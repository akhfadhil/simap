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SEMPU" sheetId="2" r:id="rId5"/>
    <sheet state="visible" name="JAMBEWANGI" sheetId="3" r:id="rId6"/>
    <sheet state="visible" name="KARANGSARI" sheetId="4" r:id="rId7"/>
    <sheet state="visible" name="TEMUGURUH" sheetId="5" r:id="rId8"/>
    <sheet state="visible" name="GENDOH" sheetId="6" r:id="rId9"/>
    <sheet state="visible" name="TEMUASRI" sheetId="7" r:id="rId10"/>
    <sheet state="visible" name="TEGALARUM" sheetId="8" r:id="rId11"/>
  </sheets>
  <definedNames/>
  <calcPr/>
  <extLst>
    <ext uri="GoogleSheetsCustomDataVersion2">
      <go:sheetsCustomData xmlns:go="http://customooxmlschemas.google.com/" r:id="rId12" roundtripDataChecksum="n2c+aUe7q/o8m9u/k7oVHh1u5pFL0qg3SGFZPAUjkaE="/>
    </ext>
  </extLst>
</workbook>
</file>

<file path=xl/sharedStrings.xml><?xml version="1.0" encoding="utf-8"?>
<sst xmlns="http://schemas.openxmlformats.org/spreadsheetml/2006/main" count="2546" uniqueCount="270">
  <si>
    <t>Kecamatan</t>
  </si>
  <si>
    <t>SEMPU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</si>
  <si>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</si>
  <si>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</si>
  <si>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</si>
  <si>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</si>
  <si>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</si>
  <si>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</si>
  <si>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</si>
  <si>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</si>
  <si>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</si>
  <si>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</si>
  <si>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</si>
  <si>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</si>
  <si>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</si>
  <si>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</si>
  <si>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</si>
  <si>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</si>
  <si>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</si>
  <si>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</si>
  <si>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</si>
  <si>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</si>
  <si>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</si>
  <si>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</si>
  <si>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</si>
  <si>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</si>
  <si>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</si>
  <si>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</si>
  <si>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</si>
  <si>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</si>
  <si>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</si>
  <si>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</si>
  <si>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</si>
  <si>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</si>
  <si>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</si>
  <si>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</si>
  <si>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</si>
  <si>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</si>
  <si>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</si>
  <si>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</si>
  <si>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</si>
  <si>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</si>
  <si>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</si>
  <si>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</si>
  <si>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</si>
  <si>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</si>
  <si>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</si>
  <si>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</si>
  <si>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</si>
  <si>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</si>
  <si>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</si>
  <si>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</si>
  <si>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</si>
  <si>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</si>
  <si>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</si>
  <si>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</si>
  <si>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</si>
  <si>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</si>
  <si>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</si>
  <si>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</si>
  <si>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</si>
  <si>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</si>
  <si>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</si>
  <si>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</si>
  <si>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</si>
  <si>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</si>
  <si>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</si>
  <si>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</si>
  <si>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</si>
  <si>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</si>
  <si>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</si>
  <si>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</si>
  <si>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</si>
  <si>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</si>
  <si>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</si>
  <si>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</si>
  <si>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</si>
  <si>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</si>
  <si>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</si>
  <si>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</si>
  <si>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</si>
  <si>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</si>
  <si>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</si>
  <si>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</si>
  <si>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</si>
  <si>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</si>
  <si>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</si>
  <si>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</si>
  <si>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</si>
  <si>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</si>
  <si>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</si>
  <si>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</si>
  <si>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</si>
  <si>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</si>
  <si>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</si>
  <si>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</si>
  <si>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</si>
  <si>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</si>
  <si>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</si>
  <si>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</si>
  <si>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</si>
  <si>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</si>
  <si>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</si>
  <si>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</si>
  <si>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</si>
  <si>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</si>
  <si>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</si>
  <si>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</si>
  <si>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</si>
  <si>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</si>
  <si>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</si>
  <si>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</si>
  <si>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</si>
  <si>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</si>
  <si>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</si>
  <si>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</si>
  <si>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</si>
  <si>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</si>
  <si>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</si>
  <si>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</si>
  <si>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</si>
  <si>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</si>
  <si>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</si>
  <si>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</si>
  <si>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</si>
  <si>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</si>
  <si>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</si>
  <si>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</si>
  <si>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</si>
  <si>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</si>
  <si>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</si>
  <si>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</si>
  <si>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</si>
  <si>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</si>
  <si>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</si>
  <si>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</si>
  <si>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</si>
  <si>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</si>
  <si>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</si>
  <si>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</si>
  <si>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</si>
  <si>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</si>
  <si>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</si>
  <si>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</si>
  <si>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</si>
  <si>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</si>
  <si>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</si>
  <si>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</si>
  <si>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</si>
  <si>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</si>
  <si>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</si>
  <si>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</si>
  <si>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</si>
  <si>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</si>
  <si>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</si>
  <si>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</si>
  <si>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</si>
  <si>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</si>
  <si>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</si>
  <si>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</si>
  <si>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</si>
  <si>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</si>
  <si>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</si>
  <si>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</si>
  <si>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</si>
  <si>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</si>
  <si>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</si>
  <si>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</si>
  <si>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</si>
  <si>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</si>
  <si>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</si>
  <si>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</si>
  <si>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</si>
  <si>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</si>
  <si>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</si>
  <si>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</si>
  <si>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</si>
  <si>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</si>
  <si>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</si>
  <si>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</si>
  <si>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</si>
  <si>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</si>
  <si>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</si>
  <si>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</si>
  <si>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</si>
  <si>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</si>
  <si>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</si>
  <si>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</si>
  <si>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</si>
  <si>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</si>
  <si>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</si>
  <si>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</si>
  <si>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</si>
  <si>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</si>
  <si>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</si>
  <si>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</si>
  <si>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</si>
  <si>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</si>
  <si>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</si>
  <si>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</si>
  <si>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</si>
  <si>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</si>
  <si>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</si>
  <si>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</si>
  <si>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</si>
  <si>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</si>
  <si>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</si>
  <si>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</si>
  <si>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</si>
  <si>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</si>
  <si>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</si>
  <si>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</si>
  <si>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</si>
  <si>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</si>
  <si>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</si>
  <si>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</si>
  <si>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</si>
  <si>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</si>
  <si>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</si>
  <si>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JAMBEWANGI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</si>
  <si>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</si>
  <si>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</si>
  <si>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</si>
  <si>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</si>
  <si>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</si>
  <si>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</si>
  <si>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</si>
  <si>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</si>
  <si>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</si>
  <si>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</si>
  <si>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</si>
  <si>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</si>
  <si>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</si>
  <si>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</si>
  <si>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</si>
  <si>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</si>
  <si>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</si>
  <si>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</si>
  <si>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</si>
  <si>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</si>
  <si>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</si>
  <si>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</si>
  <si>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</si>
  <si>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</si>
  <si>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</si>
  <si>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</si>
  <si>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</si>
  <si>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</si>
  <si>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</si>
  <si>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</si>
  <si>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</si>
  <si>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</si>
  <si>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</si>
  <si>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</si>
  <si>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</si>
  <si>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</si>
  <si>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</si>
  <si>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</si>
  <si>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</si>
  <si>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</si>
  <si>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</si>
  <si>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</si>
  <si>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</si>
  <si>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</si>
  <si>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</si>
  <si>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KARANGSARI</t>
  </si>
  <si>
    <t>TEMUGURUH</t>
  </si>
  <si>
    <t>GENDOH</t>
  </si>
  <si>
    <t>TEMUASRI</t>
  </si>
  <si>
    <t>TEGALARUM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</si>
</sst>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20" fillId="3" fontId="2" numFmtId="0" xfId="0" applyBorder="1" applyFont="1"/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GENDOH!AG14+JAMBEWANGI!BR14+KARANGSARI!AX14+SEMPU!Y14+TEGALARUM!AA14+TEMUASRI!AJ14+TEMUGURUH!AL14</f>
        <v>32583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GENDOH!AG15+JAMBEWANGI!BR15+KARANGSARI!AX15+SEMPU!Y15+TEGALARUM!AA15+TEMUASRI!AJ15+TEMUGURUH!AL15</f>
        <v>32633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65216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GENDOH!AG19+JAMBEWANGI!BR19+KARANGSARI!AX19+SEMPU!Y19+TEGALARUM!AA19+TEMUASRI!AJ19+TEMUGURUH!AL19</f>
        <v>23335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GENDOH!AG20+JAMBEWANGI!BR20+KARANGSARI!AX20+SEMPU!Y20+TEGALARUM!AA20+TEMUASRI!AJ20+TEMUGURUH!AL20</f>
        <v>25100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48435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GENDOH!AG22+JAMBEWANGI!BR22+KARANGSARI!AX22+SEMPU!Y22+TEGALARUM!AA22+TEMUASRI!AJ22+TEMUGURUH!AL22</f>
        <v>64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GENDOH!AG23+JAMBEWANGI!BR23+KARANGSARI!AX23+SEMPU!Y23+TEGALARUM!AA23+TEMUASRI!AJ23+TEMUGURUH!AL23</f>
        <v>66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GENDOH!AG25+JAMBEWANGI!BR25+KARANGSARI!AX25+SEMPU!Y25+TEGALARUM!AA25+TEMUASRI!AJ25+TEMUGURUH!AL25</f>
        <v>208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GENDOH!AG26+JAMBEWANGI!BR26+KARANGSARI!AX26+SEMPU!Y26+TEGALARUM!AA26+TEMUASRI!AJ26+TEMUGURUH!AL26</f>
        <v>282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23607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25448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49055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GENDOH!AG33+JAMBEWANGI!BR33+KARANGSARI!AX33+SEMPU!Y33+TEGALARUM!AA33+TEMUASRI!AJ33+TEMUGURUH!AL33</f>
        <v>66778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GENDOH!AG34+JAMBEWANGI!BR34+KARANGSARI!AX34+SEMPU!Y34+TEGALARUM!AA34+TEMUASRI!AJ34+TEMUGURUH!AL34</f>
        <v>49055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GENDOH!AG35+JAMBEWANGI!BR35+KARANGSARI!AX35+SEMPU!Y35+TEGALARUM!AA35+TEMUASRI!AJ35+TEMUGURUH!AL35</f>
        <v>111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17612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GENDOH!AG39+JAMBEWANGI!BR39+KARANGSARI!AX39+SEMPU!Y39+TEGALARUM!AA39+TEMUASRI!AJ39+TEMUGURUH!AL39</f>
        <v>50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GENDOH!AG40+JAMBEWANGI!BR40+KARANGSARI!AX40+SEMPU!Y40+TEGALARUM!AA40+TEMUASRI!AJ40+TEMUGURUH!AL40</f>
        <v>82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132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GENDOH!AG45+JAMBEWANGI!BR45+KARANGSARI!AX45+SEMPU!Y45+TEGALARUM!AA45+TEMUASRI!AJ45+TEMUGURUH!AL45</f>
        <v>1700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GENDOH!AG46+JAMBEWANGI!BR46+KARANGSARI!AX46+SEMPU!Y46+TEGALARUM!AA46+TEMUASRI!AJ46+TEMUGURUH!AL46</f>
        <v>4018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GENDOH!AG47+JAMBEWANGI!BR47+KARANGSARI!AX47+SEMPU!Y47+TEGALARUM!AA47+TEMUASRI!AJ47+TEMUGURUH!AL47</f>
        <v>540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GENDOH!AG48+JAMBEWANGI!BR48+KARANGSARI!AX48+SEMPU!Y48+TEGALARUM!AA48+TEMUASRI!AJ48+TEMUGURUH!AL48</f>
        <v>133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GENDOH!AG49+JAMBEWANGI!BR49+KARANGSARI!AX49+SEMPU!Y49+TEGALARUM!AA49+TEMUASRI!AJ49+TEMUGURUH!AL49</f>
        <v>170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GENDOH!AG50+JAMBEWANGI!BR50+KARANGSARI!AX50+SEMPU!Y50+TEGALARUM!AA50+TEMUASRI!AJ50+TEMUGURUH!AL50</f>
        <v>115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GENDOH!AG51+JAMBEWANGI!BR51+KARANGSARI!AX51+SEMPU!Y51+TEGALARUM!AA51+TEMUASRI!AJ51+TEMUGURUH!AL51</f>
        <v>136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GENDOH!AG52+JAMBEWANGI!BR52+KARANGSARI!AX52+SEMPU!Y52+TEGALARUM!AA52+TEMUASRI!AJ52+TEMUGURUH!AL52</f>
        <v>28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8"/>
      <c r="E53" s="59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60"/>
      <c r="E54" s="59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SUM(E45:E54)</f>
        <v>6840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GENDOH!AG57+JAMBEWANGI!BR57+KARANGSARI!AX57+SEMPU!Y57+TEGALARUM!AA57+TEMUASRI!AJ57+TEMUGURUH!AL57</f>
        <v>2119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61"/>
      <c r="E58" s="24">
        <f>GENDOH!AG58+JAMBEWANGI!BR58+KARANGSARI!AX58+SEMPU!Y58+TEGALARUM!AA58+TEMUASRI!AJ58+TEMUGURUH!AL58</f>
        <v>2226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61"/>
      <c r="E59" s="24">
        <f>GENDOH!AG59+JAMBEWANGI!BR59+KARANGSARI!AX59+SEMPU!Y59+TEGALARUM!AA59+TEMUASRI!AJ59+TEMUGURUH!AL59</f>
        <v>2367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61"/>
      <c r="E60" s="24">
        <f>GENDOH!AG60+JAMBEWANGI!BR60+KARANGSARI!AX60+SEMPU!Y60+TEGALARUM!AA60+TEMUASRI!AJ60+TEMUGURUH!AL60</f>
        <v>232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61"/>
      <c r="E61" s="24">
        <f>GENDOH!AG61+JAMBEWANGI!BR61+KARANGSARI!AX61+SEMPU!Y61+TEGALARUM!AA61+TEMUASRI!AJ61+TEMUGURUH!AL61</f>
        <v>855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61"/>
      <c r="E62" s="24">
        <f>GENDOH!AG62+JAMBEWANGI!BR62+KARANGSARI!AX62+SEMPU!Y62+TEGALARUM!AA62+TEMUASRI!AJ62+TEMUGURUH!AL62</f>
        <v>77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2"/>
      <c r="E63" s="24">
        <f>GENDOH!AG63+JAMBEWANGI!BR63+KARANGSARI!AX63+SEMPU!Y63+TEGALARUM!AA63+TEMUASRI!AJ63+TEMUGURUH!AL63</f>
        <v>170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61"/>
      <c r="E64" s="24">
        <f>GENDOH!AG64+JAMBEWANGI!BR64+KARANGSARI!AX64+SEMPU!Y64+TEGALARUM!AA64+TEMUASRI!AJ64+TEMUGURUH!AL64</f>
        <v>134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0"/>
      <c r="E65" s="59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0"/>
      <c r="E66" s="59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SUM(E57:E66)</f>
        <v>8180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GENDOH!AG69+JAMBEWANGI!BR69+KARANGSARI!AX69+SEMPU!Y69+TEGALARUM!AA69+TEMUASRI!AJ69+TEMUGURUH!AL69</f>
        <v>2282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2"/>
      <c r="E70" s="24">
        <f>GENDOH!AG70+JAMBEWANGI!BR70+KARANGSARI!AX70+SEMPU!Y70+TEGALARUM!AA70+TEMUASRI!AJ70+TEMUGURUH!AL70</f>
        <v>4168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2"/>
      <c r="E71" s="24">
        <f>GENDOH!AG71+JAMBEWANGI!BR71+KARANGSARI!AX71+SEMPU!Y71+TEGALARUM!AA71+TEMUASRI!AJ71+TEMUGURUH!AL71</f>
        <v>747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2"/>
      <c r="E72" s="24">
        <f>GENDOH!AG72+JAMBEWANGI!BR72+KARANGSARI!AX72+SEMPU!Y72+TEGALARUM!AA72+TEMUASRI!AJ72+TEMUGURUH!AL72</f>
        <v>2093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2"/>
      <c r="E73" s="24">
        <f>GENDOH!AG73+JAMBEWANGI!BR73+KARANGSARI!AX73+SEMPU!Y73+TEGALARUM!AA73+TEMUASRI!AJ73+TEMUGURUH!AL73</f>
        <v>188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2"/>
      <c r="E74" s="24">
        <f>GENDOH!AG74+JAMBEWANGI!BR74+KARANGSARI!AX74+SEMPU!Y74+TEGALARUM!AA74+TEMUASRI!AJ74+TEMUGURUH!AL74</f>
        <v>1045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2"/>
      <c r="E75" s="24">
        <f>GENDOH!AG75+JAMBEWANGI!BR75+KARANGSARI!AX75+SEMPU!Y75+TEGALARUM!AA75+TEMUASRI!AJ75+TEMUGURUH!AL75</f>
        <v>143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2"/>
      <c r="E76" s="24">
        <f>GENDOH!AG76+JAMBEWANGI!BR76+KARANGSARI!AX76+SEMPU!Y76+TEGALARUM!AA76+TEMUASRI!AJ76+TEMUGURUH!AL76</f>
        <v>134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0"/>
      <c r="E77" s="59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0"/>
      <c r="E78" s="59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SUM(E69:E78)</f>
        <v>10800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GENDOH!AG81+JAMBEWANGI!BR81+KARANGSARI!AX81+SEMPU!Y81+TEGALARUM!AA81+TEMUASRI!AJ81+TEMUGURUH!AL81</f>
        <v>1381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2"/>
      <c r="E82" s="24">
        <f>GENDOH!AG82+JAMBEWANGI!BR82+KARANGSARI!AX82+SEMPU!Y82+TEGALARUM!AA82+TEMUASRI!AJ82+TEMUGURUH!AL82</f>
        <v>3179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2"/>
      <c r="E83" s="24">
        <f>GENDOH!AG83+JAMBEWANGI!BR83+KARANGSARI!AX83+SEMPU!Y83+TEGALARUM!AA83+TEMUASRI!AJ83+TEMUGURUH!AL83</f>
        <v>2537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2"/>
      <c r="E84" s="24">
        <f>GENDOH!AG84+JAMBEWANGI!BR84+KARANGSARI!AX84+SEMPU!Y84+TEGALARUM!AA84+TEMUASRI!AJ84+TEMUGURUH!AL84</f>
        <v>184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2"/>
      <c r="E85" s="24">
        <f>GENDOH!AG85+JAMBEWANGI!BR85+KARANGSARI!AX85+SEMPU!Y85+TEGALARUM!AA85+TEMUASRI!AJ85+TEMUGURUH!AL85</f>
        <v>166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2"/>
      <c r="E86" s="24">
        <f>GENDOH!AG86+JAMBEWANGI!BR86+KARANGSARI!AX86+SEMPU!Y86+TEGALARUM!AA86+TEMUASRI!AJ86+TEMUGURUH!AL86</f>
        <v>102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2"/>
      <c r="E87" s="24">
        <f>GENDOH!AG87+JAMBEWANGI!BR87+KARANGSARI!AX87+SEMPU!Y87+TEGALARUM!AA87+TEMUASRI!AJ87+TEMUGURUH!AL87</f>
        <v>56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2"/>
      <c r="E88" s="24">
        <f>GENDOH!AG88+JAMBEWANGI!BR88+KARANGSARI!AX88+SEMPU!Y88+TEGALARUM!AA88+TEMUASRI!AJ88+TEMUGURUH!AL88</f>
        <v>11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0"/>
      <c r="E89" s="59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0"/>
      <c r="E90" s="59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SUM(E81:E90)</f>
        <v>7616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GENDOH!AG93+JAMBEWANGI!BR93+KARANGSARI!AX93+SEMPU!Y93+TEGALARUM!AA93+TEMUASRI!AJ93+TEMUGURUH!AL93</f>
        <v>533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2"/>
      <c r="E94" s="24">
        <f>GENDOH!AG94+JAMBEWANGI!BR94+KARANGSARI!AX94+SEMPU!Y94+TEGALARUM!AA94+TEMUASRI!AJ94+TEMUGURUH!AL94</f>
        <v>667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2"/>
      <c r="E95" s="24">
        <f>GENDOH!AG95+JAMBEWANGI!BR95+KARANGSARI!AX95+SEMPU!Y95+TEGALARUM!AA95+TEMUASRI!AJ95+TEMUGURUH!AL95</f>
        <v>148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2"/>
      <c r="E96" s="24">
        <f>GENDOH!AG96+JAMBEWANGI!BR96+KARANGSARI!AX96+SEMPU!Y96+TEGALARUM!AA96+TEMUASRI!AJ96+TEMUGURUH!AL96</f>
        <v>81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2"/>
      <c r="E97" s="24">
        <f>GENDOH!AG97+JAMBEWANGI!BR97+KARANGSARI!AX97+SEMPU!Y97+TEGALARUM!AA97+TEMUASRI!AJ97+TEMUGURUH!AL97</f>
        <v>182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2"/>
      <c r="E98" s="24">
        <f>GENDOH!AG98+JAMBEWANGI!BR98+KARANGSARI!AX98+SEMPU!Y98+TEGALARUM!AA98+TEMUASRI!AJ98+TEMUGURUH!AL98</f>
        <v>38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2"/>
      <c r="E99" s="24">
        <f>GENDOH!AG99+JAMBEWANGI!BR99+KARANGSARI!AX99+SEMPU!Y99+TEGALARUM!AA99+TEMUASRI!AJ99+TEMUGURUH!AL99</f>
        <v>32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2"/>
      <c r="E100" s="24">
        <f>GENDOH!AG100+JAMBEWANGI!BR100+KARANGSARI!AX100+SEMPU!Y100+TEGALARUM!AA100+TEMUASRI!AJ100+TEMUGURUH!AL100</f>
        <v>27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58"/>
      <c r="E101" s="59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58"/>
      <c r="E102" s="59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SUM(E93:E102)</f>
        <v>1708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GENDOH!AG105+JAMBEWANGI!BR105+KARANGSARI!AX105+SEMPU!Y105+TEGALARUM!AA105+TEMUASRI!AJ105+TEMUGURUH!AL105</f>
        <v>117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2"/>
      <c r="E106" s="24">
        <f>GENDOH!AG106+JAMBEWANGI!BR106+KARANGSARI!AX106+SEMPU!Y106+TEGALARUM!AA106+TEMUASRI!AJ106+TEMUGURUH!AL106</f>
        <v>63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2"/>
      <c r="E107" s="24">
        <f>GENDOH!AG107+JAMBEWANGI!BR107+KARANGSARI!AX107+SEMPU!Y107+TEGALARUM!AA107+TEMUASRI!AJ107+TEMUGURUH!AL107</f>
        <v>44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2"/>
      <c r="E108" s="24">
        <f>GENDOH!AG108+JAMBEWANGI!BR108+KARANGSARI!AX108+SEMPU!Y108+TEGALARUM!AA108+TEMUASRI!AJ108+TEMUGURUH!AL108</f>
        <v>21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2"/>
      <c r="E109" s="24">
        <f>GENDOH!AG109+JAMBEWANGI!BR109+KARANGSARI!AX109+SEMPU!Y109+TEGALARUM!AA109+TEMUASRI!AJ109+TEMUGURUH!AL109</f>
        <v>7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2"/>
      <c r="E110" s="24">
        <f>GENDOH!AG110+JAMBEWANGI!BR110+KARANGSARI!AX110+SEMPU!Y110+TEGALARUM!AA110+TEMUASRI!AJ110+TEMUGURUH!AL110</f>
        <v>6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2"/>
      <c r="E111" s="24">
        <f>GENDOH!AG111+JAMBEWANGI!BR111+KARANGSARI!AX111+SEMPU!Y111+TEGALARUM!AA111+TEMUASRI!AJ111+TEMUGURUH!AL111</f>
        <v>11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2"/>
      <c r="E112" s="24">
        <f>GENDOH!AG112+JAMBEWANGI!BR112+KARANGSARI!AX112+SEMPU!Y112+TEGALARUM!AA112+TEMUASRI!AJ112+TEMUGURUH!AL112</f>
        <v>1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0"/>
      <c r="E113" s="59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0"/>
      <c r="E114" s="59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SUM(E105:E114)</f>
        <v>270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GENDOH!AG117+JAMBEWANGI!BR117+KARANGSARI!AX117+SEMPU!Y117+TEGALARUM!AA117+TEMUASRI!AJ117+TEMUGURUH!AL117</f>
        <v>95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2"/>
      <c r="E118" s="24">
        <f>GENDOH!AG118+JAMBEWANGI!BR118+KARANGSARI!AX118+SEMPU!Y118+TEGALARUM!AA118+TEMUASRI!AJ118+TEMUGURUH!AL118</f>
        <v>43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2"/>
      <c r="E119" s="24">
        <f>GENDOH!AG119+JAMBEWANGI!BR119+KARANGSARI!AX119+SEMPU!Y119+TEGALARUM!AA119+TEMUASRI!AJ119+TEMUGURUH!AL119</f>
        <v>18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2"/>
      <c r="E120" s="24">
        <f>GENDOH!AG120+JAMBEWANGI!BR120+KARANGSARI!AX120+SEMPU!Y120+TEGALARUM!AA120+TEMUASRI!AJ120+TEMUGURUH!AL120</f>
        <v>10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0"/>
      <c r="E121" s="59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0"/>
      <c r="E122" s="59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0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0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0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0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13">
        <f>SUM(E117:E126)</f>
        <v>166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GENDOH!AG129+JAMBEWANGI!BR129+KARANGSARI!AX129+SEMPU!Y129+TEGALARUM!AA129+TEMUASRI!AJ129+TEMUGURUH!AL129</f>
        <v>277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61"/>
      <c r="E130" s="24">
        <f>GENDOH!AG130+JAMBEWANGI!BR130+KARANGSARI!AX130+SEMPU!Y130+TEGALARUM!AA130+TEMUASRI!AJ130+TEMUGURUH!AL130</f>
        <v>796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61"/>
      <c r="E131" s="24">
        <f>GENDOH!AG131+JAMBEWANGI!BR131+KARANGSARI!AX131+SEMPU!Y131+TEGALARUM!AA131+TEMUASRI!AJ131+TEMUGURUH!AL131</f>
        <v>172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61"/>
      <c r="E132" s="24">
        <f>GENDOH!AG132+JAMBEWANGI!BR132+KARANGSARI!AX132+SEMPU!Y132+TEGALARUM!AA132+TEMUASRI!AJ132+TEMUGURUH!AL132</f>
        <v>28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61"/>
      <c r="E133" s="24">
        <f>GENDOH!AG133+JAMBEWANGI!BR133+KARANGSARI!AX133+SEMPU!Y133+TEGALARUM!AA133+TEMUASRI!AJ133+TEMUGURUH!AL133</f>
        <v>14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61"/>
      <c r="E134" s="24">
        <f>GENDOH!AG134+JAMBEWANGI!BR134+KARANGSARI!AX134+SEMPU!Y134+TEGALARUM!AA134+TEMUASRI!AJ134+TEMUGURUH!AL134</f>
        <v>19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2"/>
      <c r="E135" s="24">
        <f>GENDOH!AG135+JAMBEWANGI!BR135+KARANGSARI!AX135+SEMPU!Y135+TEGALARUM!AA135+TEMUASRI!AJ135+TEMUGURUH!AL135</f>
        <v>18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61"/>
      <c r="E136" s="24">
        <f>GENDOH!AG136+JAMBEWANGI!BR136+KARANGSARI!AX136+SEMPU!Y136+TEGALARUM!AA136+TEMUASRI!AJ136+TEMUGURUH!AL136</f>
        <v>7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0"/>
      <c r="E137" s="59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0"/>
      <c r="E138" s="59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SUM(E129:E138)</f>
        <v>1331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GENDOH!AG141+JAMBEWANGI!BR141+KARANGSARI!AX141+SEMPU!Y141+TEGALARUM!AA141+TEMUASRI!AJ141+TEMUGURUH!AL141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2"/>
      <c r="E142" s="24">
        <f>GENDOH!AG142+JAMBEWANGI!BR142+KARANGSARI!AX142+SEMPU!Y142+TEGALARUM!AA142+TEMUASRI!AJ142+TEMUGURUH!AL142</f>
        <v>7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2"/>
      <c r="E143" s="24">
        <f>GENDOH!AG143+JAMBEWANGI!BR143+KARANGSARI!AX143+SEMPU!Y143+TEGALARUM!AA143+TEMUASRI!AJ143+TEMUGURUH!AL143</f>
        <v>6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2"/>
      <c r="E144" s="24">
        <f>GENDOH!AG144+JAMBEWANGI!BR144+KARANGSARI!AX144+SEMPU!Y144+TEGALARUM!AA144+TEMUASRI!AJ144+TEMUGURUH!AL144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2"/>
      <c r="E145" s="24">
        <f>GENDOH!AG145+JAMBEWANGI!BR145+KARANGSARI!AX145+SEMPU!Y145+TEGALARUM!AA145+TEMUASRI!AJ145+TEMUGURUH!AL145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2"/>
      <c r="E146" s="24">
        <f>GENDOH!AG146+JAMBEWANGI!BR146+KARANGSARI!AX146+SEMPU!Y146+TEGALARUM!AA146+TEMUASRI!AJ146+TEMUGURUH!AL146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2"/>
      <c r="E147" s="24">
        <f>GENDOH!AG147+JAMBEWANGI!BR147+KARANGSARI!AX147+SEMPU!Y147+TEGALARUM!AA147+TEMUASRI!AJ147+TEMUGURUH!AL147</f>
        <v>4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2"/>
      <c r="E148" s="24">
        <f>GENDOH!AG148+JAMBEWANGI!BR148+KARANGSARI!AX148+SEMPU!Y148+TEGALARUM!AA148+TEMUASRI!AJ148+TEMUGURUH!AL148</f>
        <v>3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0"/>
      <c r="E149" s="59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0"/>
      <c r="E150" s="59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SUM(E141:E150)</f>
        <v>34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4" t="s">
        <v>114</v>
      </c>
      <c r="D153" s="23"/>
      <c r="E153" s="24">
        <f>GENDOH!AG153+JAMBEWANGI!BR153+KARANGSARI!AX153+SEMPU!Y153+TEGALARUM!AA153+TEMUASRI!AJ153+TEMUGURUH!AL153</f>
        <v>96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>
        <v>1.0</v>
      </c>
      <c r="C154" s="66" t="s">
        <v>115</v>
      </c>
      <c r="D154" s="62"/>
      <c r="E154" s="24">
        <f>GENDOH!AG154+JAMBEWANGI!BR154+KARANGSARI!AX154+SEMPU!Y154+TEGALARUM!AA154+TEMUASRI!AJ154+TEMUGURUH!AL154</f>
        <v>159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6" t="s">
        <v>116</v>
      </c>
      <c r="D155" s="62"/>
      <c r="E155" s="24">
        <f>GENDOH!AG155+JAMBEWANGI!BR155+KARANGSARI!AX155+SEMPU!Y155+TEGALARUM!AA155+TEMUASRI!AJ155+TEMUGURUH!AL155</f>
        <v>51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6" t="s">
        <v>117</v>
      </c>
      <c r="D156" s="62"/>
      <c r="E156" s="24">
        <f>GENDOH!AG156+JAMBEWANGI!BR156+KARANGSARI!AX156+SEMPU!Y156+TEGALARUM!AA156+TEMUASRI!AJ156+TEMUGURUH!AL156</f>
        <v>9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6" t="s">
        <v>118</v>
      </c>
      <c r="D157" s="62"/>
      <c r="E157" s="24">
        <f>GENDOH!AG157+JAMBEWANGI!BR157+KARANGSARI!AX157+SEMPU!Y157+TEGALARUM!AA157+TEMUASRI!AJ157+TEMUGURUH!AL157</f>
        <v>10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58"/>
      <c r="E158" s="59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58"/>
      <c r="E159" s="59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0"/>
      <c r="E160" s="59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7"/>
      <c r="D161" s="60"/>
      <c r="E161" s="59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7"/>
      <c r="D162" s="60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8" t="s">
        <v>47</v>
      </c>
      <c r="C163" s="44"/>
      <c r="D163" s="28"/>
      <c r="E163" s="13">
        <f>SUM(E153:E162)</f>
        <v>325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GENDOH!AG165+JAMBEWANGI!BR165+KARANGSARI!AX165+SEMPU!Y165+TEGALARUM!AA165+TEMUASRI!AJ165+TEMUGURUH!AL165</f>
        <v>48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2"/>
      <c r="E166" s="24">
        <f>GENDOH!AG166+JAMBEWANGI!BR166+KARANGSARI!AX166+SEMPU!Y166+TEGALARUM!AA166+TEMUASRI!AJ166+TEMUGURUH!AL166</f>
        <v>28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2"/>
      <c r="E167" s="24">
        <f>GENDOH!AG167+JAMBEWANGI!BR167+KARANGSARI!AX167+SEMPU!Y167+TEGALARUM!AA167+TEMUASRI!AJ167+TEMUGURUH!AL167</f>
        <v>15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2"/>
      <c r="E168" s="24">
        <f>GENDOH!AG168+JAMBEWANGI!BR168+KARANGSARI!AX168+SEMPU!Y168+TEGALARUM!AA168+TEMUASRI!AJ168+TEMUGURUH!AL168</f>
        <v>50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2"/>
      <c r="E169" s="24">
        <f>GENDOH!AG169+JAMBEWANGI!BR169+KARANGSARI!AX169+SEMPU!Y169+TEGALARUM!AA169+TEMUASRI!AJ169+TEMUGURUH!AL169</f>
        <v>8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2"/>
      <c r="E170" s="24">
        <f>GENDOH!AG170+JAMBEWANGI!BR170+KARANGSARI!AX170+SEMPU!Y170+TEGALARUM!AA170+TEMUASRI!AJ170+TEMUGURUH!AL170</f>
        <v>5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2"/>
      <c r="E171" s="24">
        <f>GENDOH!AG171+JAMBEWANGI!BR171+KARANGSARI!AX171+SEMPU!Y171+TEGALARUM!AA171+TEMUASRI!AJ171+TEMUGURUH!AL171</f>
        <v>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2"/>
      <c r="E172" s="24">
        <f>GENDOH!AG172+JAMBEWANGI!BR172+KARANGSARI!AX172+SEMPU!Y172+TEGALARUM!AA172+TEMUASRI!AJ172+TEMUGURUH!AL172</f>
        <v>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0"/>
      <c r="E173" s="59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0"/>
      <c r="E174" s="59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SUM(E165:E174)</f>
        <v>161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GENDOH!AG177+JAMBEWANGI!BR177+KARANGSARI!AX177+SEMPU!Y177+TEGALARUM!AA177+TEMUASRI!AJ177+TEMUGURUH!AL177</f>
        <v>137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2"/>
      <c r="E178" s="24">
        <f>GENDOH!AG178+JAMBEWANGI!BR178+KARANGSARI!AX178+SEMPU!Y178+TEGALARUM!AA178+TEMUASRI!AJ178+TEMUGURUH!AL178</f>
        <v>96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2"/>
      <c r="E179" s="24">
        <f>GENDOH!AG179+JAMBEWANGI!BR179+KARANGSARI!AX179+SEMPU!Y179+TEGALARUM!AA179+TEMUASRI!AJ179+TEMUGURUH!AL179</f>
        <v>60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2"/>
      <c r="E180" s="24">
        <f>GENDOH!AG180+JAMBEWANGI!BR180+KARANGSARI!AX180+SEMPU!Y180+TEGALARUM!AA180+TEMUASRI!AJ180+TEMUGURUH!AL180</f>
        <v>67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2"/>
      <c r="E181" s="24">
        <f>GENDOH!AG181+JAMBEWANGI!BR181+KARANGSARI!AX181+SEMPU!Y181+TEGALARUM!AA181+TEMUASRI!AJ181+TEMUGURUH!AL181</f>
        <v>33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2"/>
      <c r="E182" s="24">
        <f>GENDOH!AG182+JAMBEWANGI!BR182+KARANGSARI!AX182+SEMPU!Y182+TEGALARUM!AA182+TEMUASRI!AJ182+TEMUGURUH!AL182</f>
        <v>17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2"/>
      <c r="E183" s="24">
        <f>GENDOH!AG183+JAMBEWANGI!BR183+KARANGSARI!AX183+SEMPU!Y183+TEGALARUM!AA183+TEMUASRI!AJ183+TEMUGURUH!AL183</f>
        <v>11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2"/>
      <c r="E184" s="24">
        <f>GENDOH!AG184+JAMBEWANGI!BR184+KARANGSARI!AX184+SEMPU!Y184+TEGALARUM!AA184+TEMUASRI!AJ184+TEMUGURUH!AL184</f>
        <v>5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0"/>
      <c r="E185" s="59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0"/>
      <c r="E186" s="59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SUM(E177:E186)</f>
        <v>426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GENDOH!AG189+JAMBEWANGI!BR189+KARANGSARI!AX189+SEMPU!Y189+TEGALARUM!AA189+TEMUASRI!AJ189+TEMUGURUH!AL189</f>
        <v>26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2"/>
      <c r="E190" s="24">
        <f>GENDOH!AG190+JAMBEWANGI!BR190+KARANGSARI!AX190+SEMPU!Y190+TEGALARUM!AA190+TEMUASRI!AJ190+TEMUGURUH!AL190</f>
        <v>40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2"/>
      <c r="E191" s="24">
        <f>GENDOH!AG191+JAMBEWANGI!BR191+KARANGSARI!AX191+SEMPU!Y191+TEGALARUM!AA191+TEMUASRI!AJ191+TEMUGURUH!AL191</f>
        <v>21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2"/>
      <c r="E192" s="24">
        <f>GENDOH!AG192+JAMBEWANGI!BR192+KARANGSARI!AX192+SEMPU!Y192+TEGALARUM!AA192+TEMUASRI!AJ192+TEMUGURUH!AL192</f>
        <v>7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2"/>
      <c r="E193" s="24">
        <f>GENDOH!AG193+JAMBEWANGI!BR193+KARANGSARI!AX193+SEMPU!Y193+TEGALARUM!AA193+TEMUASRI!AJ193+TEMUGURUH!AL193</f>
        <v>6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2"/>
      <c r="E194" s="24">
        <f>GENDOH!AG194+JAMBEWANGI!BR194+KARANGSARI!AX194+SEMPU!Y194+TEGALARUM!AA194+TEMUASRI!AJ194+TEMUGURUH!AL194</f>
        <v>5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2"/>
      <c r="E195" s="24">
        <f>GENDOH!AG195+JAMBEWANGI!BR195+KARANGSARI!AX195+SEMPU!Y195+TEGALARUM!AA195+TEMUASRI!AJ195+TEMUGURUH!AL195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2"/>
      <c r="E196" s="24">
        <f>GENDOH!AG196+JAMBEWANGI!BR196+KARANGSARI!AX196+SEMPU!Y196+TEGALARUM!AA196+TEMUASRI!AJ196+TEMUGURUH!AL196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0"/>
      <c r="E197" s="59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0"/>
      <c r="E198" s="59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SUM(E189:E198)</f>
        <v>108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GENDOH!AG201+JAMBEWANGI!BR201+KARANGSARI!AX201+SEMPU!Y201+TEGALARUM!AA201+TEMUASRI!AJ201+TEMUGURUH!AL201</f>
        <v>597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2"/>
      <c r="E202" s="24">
        <f>GENDOH!AG202+JAMBEWANGI!BR202+KARANGSARI!AX202+SEMPU!Y202+TEGALARUM!AA202+TEMUASRI!AJ202+TEMUGURUH!AL202</f>
        <v>1184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2"/>
      <c r="E203" s="24">
        <f>GENDOH!AG203+JAMBEWANGI!BR203+KARANGSARI!AX203+SEMPU!Y203+TEGALARUM!AA203+TEMUASRI!AJ203+TEMUGURUH!AL203</f>
        <v>321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2"/>
      <c r="E204" s="24">
        <f>GENDOH!AG204+JAMBEWANGI!BR204+KARANGSARI!AX204+SEMPU!Y204+TEGALARUM!AA204+TEMUASRI!AJ204+TEMUGURUH!AL204</f>
        <v>326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2"/>
      <c r="E205" s="24">
        <f>GENDOH!AG205+JAMBEWANGI!BR205+KARANGSARI!AX205+SEMPU!Y205+TEGALARUM!AA205+TEMUASRI!AJ205+TEMUGURUH!AL205</f>
        <v>86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2"/>
      <c r="E206" s="24">
        <f>GENDOH!AG206+JAMBEWANGI!BR206+KARANGSARI!AX206+SEMPU!Y206+TEGALARUM!AA206+TEMUASRI!AJ206+TEMUGURUH!AL206</f>
        <v>60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2"/>
      <c r="E207" s="24">
        <f>GENDOH!AG207+JAMBEWANGI!BR207+KARANGSARI!AX207+SEMPU!Y207+TEGALARUM!AA207+TEMUASRI!AJ207+TEMUGURUH!AL207</f>
        <v>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2"/>
      <c r="E208" s="24">
        <f>GENDOH!AG208+JAMBEWANGI!BR208+KARANGSARI!AX208+SEMPU!Y208+TEGALARUM!AA208+TEMUASRI!AJ208+TEMUGURUH!AL208</f>
        <v>47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0"/>
      <c r="E209" s="59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0"/>
      <c r="E210" s="59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SUM(E201:E210)</f>
        <v>2630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GENDOH!AG213+JAMBEWANGI!BR213+KARANGSARI!AX213+SEMPU!Y213+TEGALARUM!AA213+TEMUASRI!AJ213+TEMUGURUH!AL213</f>
        <v>328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61"/>
      <c r="E214" s="24">
        <f>GENDOH!AG214+JAMBEWANGI!BR214+KARANGSARI!AX214+SEMPU!Y214+TEGALARUM!AA214+TEMUASRI!AJ214+TEMUGURUH!AL214</f>
        <v>222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61"/>
      <c r="E215" s="24">
        <f>GENDOH!AG215+JAMBEWANGI!BR215+KARANGSARI!AX215+SEMPU!Y215+TEGALARUM!AA215+TEMUASRI!AJ215+TEMUGURUH!AL215</f>
        <v>783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9" t="s">
        <v>159</v>
      </c>
      <c r="E216" s="24">
        <f>GENDOH!AG216+JAMBEWANGI!BR216+KARANGSARI!AX216+SEMPU!Y216+TEGALARUM!AA216+TEMUASRI!AJ216+TEMUGURUH!AL216</f>
        <v>48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61"/>
      <c r="E217" s="24">
        <f>GENDOH!AG217+JAMBEWANGI!BR217+KARANGSARI!AX217+SEMPU!Y217+TEGALARUM!AA217+TEMUASRI!AJ217+TEMUGURUH!AL217</f>
        <v>20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61"/>
      <c r="E218" s="24">
        <f>GENDOH!AG218+JAMBEWANGI!BR218+KARANGSARI!AX218+SEMPU!Y218+TEGALARUM!AA218+TEMUASRI!AJ218+TEMUGURUH!AL218</f>
        <v>20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61"/>
      <c r="E219" s="24">
        <f>GENDOH!AG219+JAMBEWANGI!BR219+KARANGSARI!AX219+SEMPU!Y219+TEGALARUM!AA219+TEMUASRI!AJ219+TEMUGURUH!AL219</f>
        <v>32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61"/>
      <c r="E220" s="24">
        <f>GENDOH!AG220+JAMBEWANGI!BR220+KARANGSARI!AX220+SEMPU!Y220+TEGALARUM!AA220+TEMUASRI!AJ220+TEMUGURUH!AL220</f>
        <v>19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58"/>
      <c r="E221" s="59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58"/>
      <c r="E222" s="59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SUM(E213:E222)</f>
        <v>1472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GENDOH!AG225+JAMBEWANGI!BR225+KARANGSARI!AX225+SEMPU!Y225+TEGALARUM!AA225+TEMUASRI!AJ225+TEMUGURUH!AL225</f>
        <v>49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2"/>
      <c r="E226" s="24">
        <f>GENDOH!AG226+JAMBEWANGI!BR226+KARANGSARI!AX226+SEMPU!Y226+TEGALARUM!AA226+TEMUASRI!AJ226+TEMUGURUH!AL226</f>
        <v>213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2"/>
      <c r="E227" s="24">
        <f>GENDOH!AG227+JAMBEWANGI!BR227+KARANGSARI!AX227+SEMPU!Y227+TEGALARUM!AA227+TEMUASRI!AJ227+TEMUGURUH!AL227</f>
        <v>14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2"/>
      <c r="E228" s="24">
        <f>GENDOH!AG228+JAMBEWANGI!BR228+KARANGSARI!AX228+SEMPU!Y228+TEGALARUM!AA228+TEMUASRI!AJ228+TEMUGURUH!AL228</f>
        <v>7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2"/>
      <c r="E229" s="24">
        <f>GENDOH!AG229+JAMBEWANGI!BR229+KARANGSARI!AX229+SEMPU!Y229+TEGALARUM!AA229+TEMUASRI!AJ229+TEMUGURUH!AL229</f>
        <v>2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2"/>
      <c r="E230" s="24">
        <f>GENDOH!AG230+JAMBEWANGI!BR230+KARANGSARI!AX230+SEMPU!Y230+TEGALARUM!AA230+TEMUASRI!AJ230+TEMUGURUH!AL230</f>
        <v>3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2"/>
      <c r="E231" s="24">
        <f>GENDOH!AG231+JAMBEWANGI!BR231+KARANGSARI!AX231+SEMPU!Y231+TEGALARUM!AA231+TEMUASRI!AJ231+TEMUGURUH!AL231</f>
        <v>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2"/>
      <c r="E232" s="24">
        <f>GENDOH!AG232+JAMBEWANGI!BR232+KARANGSARI!AX232+SEMPU!Y232+TEGALARUM!AA232+TEMUASRI!AJ232+TEMUGURUH!AL232</f>
        <v>45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0"/>
      <c r="E233" s="59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0"/>
      <c r="E234" s="59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SUM(E225:E234)</f>
        <v>333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GENDOH!AG237+JAMBEWANGI!BR237+KARANGSARI!AX237+SEMPU!Y237+TEGALARUM!AA237+TEMUASRI!AJ237+TEMUGURUH!AL237</f>
        <v>213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2"/>
      <c r="E238" s="24">
        <f>GENDOH!AG238+JAMBEWANGI!BR238+KARANGSARI!AX238+SEMPU!Y238+TEGALARUM!AA238+TEMUASRI!AJ238+TEMUGURUH!AL238</f>
        <v>189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2"/>
      <c r="E239" s="24">
        <f>GENDOH!AG239+JAMBEWANGI!BR239+KARANGSARI!AX239+SEMPU!Y239+TEGALARUM!AA239+TEMUASRI!AJ239+TEMUGURUH!AL239</f>
        <v>247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2"/>
      <c r="E240" s="24">
        <f>GENDOH!AG240+JAMBEWANGI!BR240+KARANGSARI!AX240+SEMPU!Y240+TEGALARUM!AA240+TEMUASRI!AJ240+TEMUGURUH!AL240</f>
        <v>34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2"/>
      <c r="E241" s="24">
        <f>GENDOH!AG241+JAMBEWANGI!BR241+KARANGSARI!AX241+SEMPU!Y241+TEGALARUM!AA241+TEMUASRI!AJ241+TEMUGURUH!AL241</f>
        <v>26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2"/>
      <c r="E242" s="24">
        <f>GENDOH!AG242+JAMBEWANGI!BR242+KARANGSARI!AX242+SEMPU!Y242+TEGALARUM!AA242+TEMUASRI!AJ242+TEMUGURUH!AL242</f>
        <v>15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2"/>
      <c r="E243" s="24">
        <f>GENDOH!AG243+JAMBEWANGI!BR243+KARANGSARI!AX243+SEMPU!Y243+TEGALARUM!AA243+TEMUASRI!AJ243+TEMUGURUH!AL243</f>
        <v>10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2"/>
      <c r="E244" s="24">
        <f>GENDOH!AG244+JAMBEWANGI!BR244+KARANGSARI!AX244+SEMPU!Y244+TEGALARUM!AA244+TEMUASRI!AJ244+TEMUGURUH!AL244</f>
        <v>109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0"/>
      <c r="E245" s="59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0"/>
      <c r="E246" s="59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SUM(E237:E246)</f>
        <v>843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GENDOH!AG249+JAMBEWANGI!BR249+KARANGSARI!AX249+SEMPU!Y249+TEGALARUM!AA249+TEMUASRI!AJ249+TEMUGURUH!AL249</f>
        <v>70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6" t="s">
        <v>184</v>
      </c>
      <c r="D250" s="62"/>
      <c r="E250" s="24">
        <f>GENDOH!AG250+JAMBEWANGI!BR250+KARANGSARI!AX250+SEMPU!Y250+TEGALARUM!AA250+TEMUASRI!AJ250+TEMUGURUH!AL250</f>
        <v>50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6" t="s">
        <v>185</v>
      </c>
      <c r="D251" s="62"/>
      <c r="E251" s="24">
        <f>GENDOH!AG251+JAMBEWANGI!BR251+KARANGSARI!AX251+SEMPU!Y251+TEGALARUM!AA251+TEMUASRI!AJ251+TEMUGURUH!AL251</f>
        <v>329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6" t="s">
        <v>186</v>
      </c>
      <c r="D252" s="62"/>
      <c r="E252" s="24">
        <f>GENDOH!AG252+JAMBEWANGI!BR252+KARANGSARI!AX252+SEMPU!Y252+TEGALARUM!AA252+TEMUASRI!AJ252+TEMUGURUH!AL252</f>
        <v>8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6" t="s">
        <v>187</v>
      </c>
      <c r="D253" s="62"/>
      <c r="E253" s="24">
        <f>GENDOH!AG253+JAMBEWANGI!BR253+KARANGSARI!AX253+SEMPU!Y253+TEGALARUM!AA253+TEMUASRI!AJ253+TEMUGURUH!AL253</f>
        <v>2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6" t="s">
        <v>188</v>
      </c>
      <c r="D254" s="62"/>
      <c r="E254" s="24">
        <f>GENDOH!AG254+JAMBEWANGI!BR254+KARANGSARI!AX254+SEMPU!Y254+TEGALARUM!AA254+TEMUASRI!AJ254+TEMUGURUH!AL254</f>
        <v>14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6" t="s">
        <v>189</v>
      </c>
      <c r="D255" s="62"/>
      <c r="E255" s="24">
        <f>GENDOH!AG255+JAMBEWANGI!BR255+KARANGSARI!AX255+SEMPU!Y255+TEGALARUM!AA255+TEMUASRI!AJ255+TEMUGURUH!AL255</f>
        <v>8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7"/>
      <c r="D256" s="60"/>
      <c r="E256" s="59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7"/>
      <c r="D257" s="60"/>
      <c r="E257" s="59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7"/>
      <c r="D258" s="60"/>
      <c r="E258" s="59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SUM(E249:E258)</f>
        <v>481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0" t="s">
        <v>192</v>
      </c>
      <c r="C262" s="71" t="s">
        <v>193</v>
      </c>
      <c r="D262" s="16"/>
      <c r="E262" s="24">
        <f>GENDOH!AG262+JAMBEWANGI!BR262+KARANGSARI!AX262+SEMPU!Y262+TEGALARUM!AA262+TEMUASRI!AJ262+TEMUGURUH!AL262</f>
        <v>43724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0" t="s">
        <v>194</v>
      </c>
      <c r="C263" s="71" t="s">
        <v>195</v>
      </c>
      <c r="D263" s="16"/>
      <c r="E263" s="24">
        <f>GENDOH!AG263+JAMBEWANGI!BR263+KARANGSARI!AX263+SEMPU!Y263+TEGALARUM!AA263+TEMUASRI!AJ263+TEMUGURUH!AL263</f>
        <v>5331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0" t="s">
        <v>196</v>
      </c>
      <c r="C264" s="71" t="s">
        <v>197</v>
      </c>
      <c r="D264" s="16"/>
      <c r="E264" s="13">
        <f>SUM(E262:E263)</f>
        <v>49055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2"/>
      <c r="C265" s="7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2"/>
      <c r="C266" s="7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2"/>
      <c r="C267" s="7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2"/>
      <c r="C268" s="7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2"/>
      <c r="C269" s="7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2"/>
      <c r="C270" s="7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2"/>
      <c r="C271" s="7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2"/>
      <c r="C272" s="7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2"/>
      <c r="C273" s="7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2"/>
      <c r="C274" s="7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2"/>
      <c r="C275" s="7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2"/>
      <c r="C276" s="7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2"/>
      <c r="C277" s="7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2"/>
      <c r="C278" s="7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2"/>
      <c r="C279" s="7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2"/>
      <c r="C280" s="7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2"/>
      <c r="C281" s="7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2"/>
      <c r="C282" s="7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2"/>
      <c r="C283" s="7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2"/>
      <c r="C284" s="7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2"/>
      <c r="C285" s="7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2"/>
      <c r="C286" s="7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2"/>
      <c r="C287" s="7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2"/>
      <c r="C288" s="7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2"/>
      <c r="C289" s="7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2"/>
      <c r="C290" s="7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2"/>
      <c r="C291" s="7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2"/>
      <c r="C292" s="7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2"/>
      <c r="C293" s="7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2"/>
      <c r="C294" s="7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2"/>
      <c r="C295" s="7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2"/>
      <c r="C296" s="7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2"/>
      <c r="C297" s="7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2"/>
      <c r="C298" s="7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2"/>
      <c r="C299" s="7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2"/>
      <c r="C300" s="7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2"/>
      <c r="C301" s="7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2"/>
      <c r="C302" s="7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2"/>
      <c r="C303" s="7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2"/>
      <c r="C304" s="7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2"/>
      <c r="C305" s="7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2"/>
      <c r="C306" s="7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2"/>
      <c r="C307" s="7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2"/>
      <c r="C308" s="7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2"/>
      <c r="C309" s="7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2"/>
      <c r="C310" s="7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2"/>
      <c r="C311" s="7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2"/>
      <c r="C312" s="7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2"/>
      <c r="C313" s="7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2"/>
      <c r="C314" s="7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2"/>
      <c r="C315" s="7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2"/>
      <c r="C316" s="7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2"/>
      <c r="C317" s="7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2"/>
      <c r="C318" s="7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2"/>
      <c r="C319" s="7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2"/>
      <c r="C320" s="7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2"/>
      <c r="C321" s="7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2"/>
      <c r="C322" s="7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2"/>
      <c r="C323" s="7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2"/>
      <c r="C324" s="7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2"/>
      <c r="C325" s="7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2"/>
      <c r="C326" s="7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2"/>
      <c r="C327" s="7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2"/>
      <c r="C328" s="7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2"/>
      <c r="C329" s="7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2"/>
      <c r="C330" s="7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2"/>
      <c r="C331" s="7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2"/>
      <c r="C332" s="7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2"/>
      <c r="C333" s="7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2"/>
      <c r="C334" s="7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2"/>
      <c r="C335" s="7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2"/>
      <c r="C336" s="7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2"/>
      <c r="C337" s="7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2"/>
      <c r="C338" s="7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2"/>
      <c r="C339" s="7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2"/>
      <c r="C340" s="7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2"/>
      <c r="C341" s="7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2"/>
      <c r="C342" s="7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2"/>
      <c r="C343" s="7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2"/>
      <c r="C344" s="7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2"/>
      <c r="C345" s="7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2"/>
      <c r="C346" s="7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2"/>
      <c r="C347" s="7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2"/>
      <c r="C348" s="7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2"/>
      <c r="C349" s="7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2"/>
      <c r="C350" s="7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2"/>
      <c r="C351" s="7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2"/>
      <c r="C352" s="7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2"/>
      <c r="C353" s="7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2"/>
      <c r="C354" s="7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2"/>
      <c r="C355" s="7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2"/>
      <c r="C356" s="7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2"/>
      <c r="C357" s="7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2"/>
      <c r="C358" s="7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2"/>
      <c r="C359" s="7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2"/>
      <c r="C360" s="7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2"/>
      <c r="C361" s="7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2"/>
      <c r="C362" s="7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2"/>
      <c r="C363" s="7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2"/>
      <c r="C364" s="7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2"/>
      <c r="C365" s="7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2"/>
      <c r="C366" s="7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2"/>
      <c r="C367" s="7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2"/>
      <c r="C368" s="7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2"/>
      <c r="C369" s="7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2"/>
      <c r="C370" s="7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2"/>
      <c r="C371" s="7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2"/>
      <c r="C372" s="7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2"/>
      <c r="C373" s="7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2"/>
      <c r="C374" s="7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2"/>
      <c r="C375" s="7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2"/>
      <c r="C376" s="7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2"/>
      <c r="C377" s="7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2"/>
      <c r="C378" s="7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2"/>
      <c r="C379" s="7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2"/>
      <c r="C380" s="7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2"/>
      <c r="C381" s="7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2"/>
      <c r="C382" s="7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2"/>
      <c r="C383" s="7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2"/>
      <c r="C384" s="7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2"/>
      <c r="C385" s="7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2"/>
      <c r="C386" s="7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2"/>
      <c r="C387" s="7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2"/>
      <c r="C388" s="7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2"/>
      <c r="C389" s="7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2"/>
      <c r="C390" s="7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2"/>
      <c r="C391" s="7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2"/>
      <c r="C392" s="7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2"/>
      <c r="C393" s="7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2"/>
      <c r="C394" s="7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2"/>
      <c r="C395" s="7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2"/>
      <c r="C396" s="7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2"/>
      <c r="C397" s="7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2"/>
      <c r="C398" s="7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2"/>
      <c r="C399" s="7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2"/>
      <c r="C400" s="7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2"/>
      <c r="C401" s="7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2"/>
      <c r="C402" s="7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2"/>
      <c r="C403" s="7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2"/>
      <c r="C404" s="7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2"/>
      <c r="C405" s="7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2"/>
      <c r="C406" s="7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2"/>
      <c r="C407" s="7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2"/>
      <c r="C408" s="7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2"/>
      <c r="C409" s="7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2"/>
      <c r="C410" s="7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2"/>
      <c r="C411" s="7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2"/>
      <c r="C412" s="7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2"/>
      <c r="C413" s="7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2"/>
      <c r="C414" s="7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2"/>
      <c r="C415" s="7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2"/>
      <c r="C416" s="7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2"/>
      <c r="C417" s="7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2"/>
      <c r="C418" s="7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2"/>
      <c r="C419" s="7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2"/>
      <c r="C420" s="7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2"/>
      <c r="C421" s="7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2"/>
      <c r="C422" s="7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2"/>
      <c r="C423" s="7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2"/>
      <c r="C424" s="7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2"/>
      <c r="C425" s="7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2"/>
      <c r="C426" s="7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2"/>
      <c r="C427" s="7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2"/>
      <c r="C428" s="7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2"/>
      <c r="C429" s="7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2"/>
      <c r="C430" s="7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2"/>
      <c r="C431" s="7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2"/>
      <c r="C432" s="7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2"/>
      <c r="C433" s="7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2"/>
      <c r="C434" s="7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2"/>
      <c r="C435" s="7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2"/>
      <c r="C436" s="7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2"/>
      <c r="C437" s="7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2"/>
      <c r="C438" s="7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2"/>
      <c r="C439" s="7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2"/>
      <c r="C440" s="7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2"/>
      <c r="C441" s="7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2"/>
      <c r="C442" s="7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2"/>
      <c r="C443" s="7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2"/>
      <c r="C444" s="7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2"/>
      <c r="C445" s="7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2"/>
      <c r="C446" s="7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2"/>
      <c r="C447" s="7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2"/>
      <c r="C448" s="7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2"/>
      <c r="C449" s="7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2"/>
      <c r="C450" s="7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2"/>
      <c r="C451" s="7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2"/>
      <c r="C452" s="7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2"/>
      <c r="C453" s="7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2"/>
      <c r="C454" s="7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2"/>
      <c r="C455" s="7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2"/>
      <c r="C456" s="7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2"/>
      <c r="C457" s="7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2"/>
      <c r="C458" s="7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2"/>
      <c r="C459" s="7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2"/>
      <c r="C460" s="7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2"/>
      <c r="C461" s="7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2"/>
      <c r="C462" s="73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2"/>
      <c r="C463" s="73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2"/>
      <c r="C464" s="73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9.14"/>
    <col customWidth="1" min="20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133.0</v>
      </c>
      <c r="G14" s="19">
        <v>87.0</v>
      </c>
      <c r="H14" s="19">
        <v>116.0</v>
      </c>
      <c r="I14" s="19">
        <v>126.0</v>
      </c>
      <c r="J14" s="19">
        <v>145.0</v>
      </c>
      <c r="K14" s="19">
        <v>80.0</v>
      </c>
      <c r="L14" s="19">
        <v>103.0</v>
      </c>
      <c r="M14" s="19">
        <v>142.0</v>
      </c>
      <c r="N14" s="19">
        <v>129.0</v>
      </c>
      <c r="O14" s="19">
        <v>151.0</v>
      </c>
      <c r="P14" s="19">
        <v>129.0</v>
      </c>
      <c r="Q14" s="19">
        <v>136.0</v>
      </c>
      <c r="R14" s="19">
        <v>109.0</v>
      </c>
      <c r="S14" s="19">
        <v>132.0</v>
      </c>
      <c r="T14" s="19">
        <v>141.0</v>
      </c>
      <c r="U14" s="19">
        <v>134.0</v>
      </c>
      <c r="V14" s="19">
        <v>99.0</v>
      </c>
      <c r="W14" s="19">
        <v>108.0</v>
      </c>
      <c r="X14" s="19">
        <v>79.0</v>
      </c>
      <c r="Y14" s="13">
        <f t="shared" ref="Y14:Y16" si="1">SUM(E14:X14)</f>
        <v>2410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106.0</v>
      </c>
      <c r="H15" s="19">
        <v>107.0</v>
      </c>
      <c r="I15" s="19">
        <v>133.0</v>
      </c>
      <c r="J15" s="19">
        <v>145.0</v>
      </c>
      <c r="K15" s="19">
        <v>104.0</v>
      </c>
      <c r="L15" s="19">
        <v>99.0</v>
      </c>
      <c r="M15" s="19">
        <v>135.0</v>
      </c>
      <c r="N15" s="19">
        <v>146.0</v>
      </c>
      <c r="O15" s="19">
        <v>135.0</v>
      </c>
      <c r="P15" s="19">
        <v>148.0</v>
      </c>
      <c r="Q15" s="19">
        <v>149.0</v>
      </c>
      <c r="R15" s="19">
        <v>120.0</v>
      </c>
      <c r="S15" s="19">
        <v>143.0</v>
      </c>
      <c r="T15" s="19">
        <v>142.0</v>
      </c>
      <c r="U15" s="19">
        <v>129.0</v>
      </c>
      <c r="V15" s="19">
        <v>112.0</v>
      </c>
      <c r="W15" s="19">
        <v>133.0</v>
      </c>
      <c r="X15" s="19">
        <v>71.0</v>
      </c>
      <c r="Y15" s="13">
        <f t="shared" si="1"/>
        <v>2543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271</v>
      </c>
      <c r="F16" s="13">
        <f t="shared" si="2"/>
        <v>279</v>
      </c>
      <c r="G16" s="13">
        <f t="shared" si="2"/>
        <v>193</v>
      </c>
      <c r="H16" s="13">
        <f t="shared" si="2"/>
        <v>223</v>
      </c>
      <c r="I16" s="13">
        <f t="shared" si="2"/>
        <v>259</v>
      </c>
      <c r="J16" s="13">
        <f t="shared" si="2"/>
        <v>290</v>
      </c>
      <c r="K16" s="13">
        <f t="shared" si="2"/>
        <v>184</v>
      </c>
      <c r="L16" s="13">
        <f t="shared" si="2"/>
        <v>202</v>
      </c>
      <c r="M16" s="13">
        <f t="shared" si="2"/>
        <v>277</v>
      </c>
      <c r="N16" s="13">
        <f t="shared" si="2"/>
        <v>275</v>
      </c>
      <c r="O16" s="13">
        <f t="shared" si="2"/>
        <v>286</v>
      </c>
      <c r="P16" s="13">
        <f t="shared" si="2"/>
        <v>277</v>
      </c>
      <c r="Q16" s="13">
        <f t="shared" si="2"/>
        <v>285</v>
      </c>
      <c r="R16" s="13">
        <f t="shared" si="2"/>
        <v>229</v>
      </c>
      <c r="S16" s="13">
        <f t="shared" si="2"/>
        <v>275</v>
      </c>
      <c r="T16" s="13">
        <f t="shared" si="2"/>
        <v>283</v>
      </c>
      <c r="U16" s="13">
        <f t="shared" si="2"/>
        <v>263</v>
      </c>
      <c r="V16" s="13">
        <f t="shared" si="2"/>
        <v>211</v>
      </c>
      <c r="W16" s="13">
        <f t="shared" si="2"/>
        <v>241</v>
      </c>
      <c r="X16" s="13">
        <f t="shared" si="2"/>
        <v>150</v>
      </c>
      <c r="Y16" s="13">
        <f t="shared" si="1"/>
        <v>4953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92.0</v>
      </c>
      <c r="G19" s="19">
        <v>68.0</v>
      </c>
      <c r="H19" s="19">
        <v>84.0</v>
      </c>
      <c r="I19" s="19">
        <v>96.0</v>
      </c>
      <c r="J19" s="19">
        <v>100.0</v>
      </c>
      <c r="K19" s="19">
        <v>55.0</v>
      </c>
      <c r="L19" s="19">
        <v>86.0</v>
      </c>
      <c r="M19" s="19">
        <v>112.0</v>
      </c>
      <c r="N19" s="19">
        <v>96.0</v>
      </c>
      <c r="O19" s="19">
        <v>113.0</v>
      </c>
      <c r="P19" s="19">
        <v>97.0</v>
      </c>
      <c r="Q19" s="19">
        <v>99.0</v>
      </c>
      <c r="R19" s="19">
        <v>85.0</v>
      </c>
      <c r="S19" s="19">
        <v>95.0</v>
      </c>
      <c r="T19" s="19">
        <v>99.0</v>
      </c>
      <c r="U19" s="19">
        <v>103.0</v>
      </c>
      <c r="V19" s="19">
        <v>76.0</v>
      </c>
      <c r="W19" s="19">
        <v>77.0</v>
      </c>
      <c r="X19" s="19">
        <v>62.0</v>
      </c>
      <c r="Y19" s="13">
        <f t="shared" ref="Y19:Y30" si="3">SUM(E19:X19)</f>
        <v>1803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114.0</v>
      </c>
      <c r="G20" s="19">
        <v>86.0</v>
      </c>
      <c r="H20" s="19">
        <v>86.0</v>
      </c>
      <c r="I20" s="19">
        <v>101.0</v>
      </c>
      <c r="J20" s="19">
        <v>114.0</v>
      </c>
      <c r="K20" s="19">
        <v>77.0</v>
      </c>
      <c r="L20" s="19">
        <v>82.0</v>
      </c>
      <c r="M20" s="19">
        <v>112.0</v>
      </c>
      <c r="N20" s="19">
        <v>112.0</v>
      </c>
      <c r="O20" s="19">
        <v>109.0</v>
      </c>
      <c r="P20" s="19">
        <v>127.0</v>
      </c>
      <c r="Q20" s="19">
        <v>116.0</v>
      </c>
      <c r="R20" s="19">
        <v>91.0</v>
      </c>
      <c r="S20" s="19">
        <v>117.0</v>
      </c>
      <c r="T20" s="19">
        <v>108.0</v>
      </c>
      <c r="U20" s="19">
        <v>109.0</v>
      </c>
      <c r="V20" s="19">
        <v>92.0</v>
      </c>
      <c r="W20" s="19">
        <v>107.0</v>
      </c>
      <c r="X20" s="19">
        <v>62.0</v>
      </c>
      <c r="Y20" s="13">
        <f t="shared" si="3"/>
        <v>2028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214</v>
      </c>
      <c r="F21" s="13">
        <f t="shared" si="4"/>
        <v>206</v>
      </c>
      <c r="G21" s="13">
        <f t="shared" si="4"/>
        <v>154</v>
      </c>
      <c r="H21" s="13">
        <f t="shared" si="4"/>
        <v>170</v>
      </c>
      <c r="I21" s="13">
        <f t="shared" si="4"/>
        <v>197</v>
      </c>
      <c r="J21" s="13">
        <f t="shared" si="4"/>
        <v>214</v>
      </c>
      <c r="K21" s="13">
        <f t="shared" si="4"/>
        <v>132</v>
      </c>
      <c r="L21" s="13">
        <f t="shared" si="4"/>
        <v>168</v>
      </c>
      <c r="M21" s="13">
        <f t="shared" si="4"/>
        <v>224</v>
      </c>
      <c r="N21" s="13">
        <f t="shared" si="4"/>
        <v>208</v>
      </c>
      <c r="O21" s="13">
        <f t="shared" si="4"/>
        <v>222</v>
      </c>
      <c r="P21" s="13">
        <f t="shared" si="4"/>
        <v>224</v>
      </c>
      <c r="Q21" s="13">
        <f t="shared" si="4"/>
        <v>215</v>
      </c>
      <c r="R21" s="13">
        <f t="shared" si="4"/>
        <v>176</v>
      </c>
      <c r="S21" s="13">
        <f t="shared" si="4"/>
        <v>212</v>
      </c>
      <c r="T21" s="13">
        <f t="shared" si="4"/>
        <v>207</v>
      </c>
      <c r="U21" s="13">
        <f t="shared" si="4"/>
        <v>212</v>
      </c>
      <c r="V21" s="13">
        <f t="shared" si="4"/>
        <v>168</v>
      </c>
      <c r="W21" s="13">
        <f t="shared" si="4"/>
        <v>184</v>
      </c>
      <c r="X21" s="13">
        <f t="shared" si="4"/>
        <v>124</v>
      </c>
      <c r="Y21" s="13">
        <f t="shared" si="3"/>
        <v>3831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2.0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4.0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3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3.0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0.0</v>
      </c>
      <c r="O25" s="19">
        <v>0.0</v>
      </c>
      <c r="P25" s="19">
        <v>1.0</v>
      </c>
      <c r="Q25" s="19">
        <v>1.0</v>
      </c>
      <c r="R25" s="19">
        <v>3.0</v>
      </c>
      <c r="S25" s="19">
        <v>2.0</v>
      </c>
      <c r="T25" s="19">
        <v>0.0</v>
      </c>
      <c r="U25" s="19">
        <v>10.0</v>
      </c>
      <c r="V25" s="19">
        <v>1.0</v>
      </c>
      <c r="W25" s="19">
        <v>0.0</v>
      </c>
      <c r="X25" s="19">
        <v>1.0</v>
      </c>
      <c r="Y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5.0</v>
      </c>
      <c r="G26" s="19">
        <v>0.0</v>
      </c>
      <c r="H26" s="19">
        <v>4.0</v>
      </c>
      <c r="I26" s="19">
        <v>1.0</v>
      </c>
      <c r="J26" s="19">
        <v>3.0</v>
      </c>
      <c r="K26" s="19">
        <v>0.0</v>
      </c>
      <c r="L26" s="19">
        <v>1.0</v>
      </c>
      <c r="M26" s="19">
        <v>4.0</v>
      </c>
      <c r="N26" s="19">
        <v>0.0</v>
      </c>
      <c r="O26" s="19">
        <v>0.0</v>
      </c>
      <c r="P26" s="19">
        <v>1.0</v>
      </c>
      <c r="Q26" s="19">
        <v>1.0</v>
      </c>
      <c r="R26" s="19">
        <v>1.0</v>
      </c>
      <c r="S26" s="19">
        <v>4.0</v>
      </c>
      <c r="T26" s="19">
        <v>1.0</v>
      </c>
      <c r="U26" s="19">
        <v>6.0</v>
      </c>
      <c r="V26" s="19">
        <v>5.0</v>
      </c>
      <c r="W26" s="19">
        <v>1.0</v>
      </c>
      <c r="X26" s="19">
        <v>1.0</v>
      </c>
      <c r="Y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6</v>
      </c>
      <c r="G27" s="13">
        <f t="shared" si="6"/>
        <v>0</v>
      </c>
      <c r="H27" s="13">
        <f t="shared" si="6"/>
        <v>7</v>
      </c>
      <c r="I27" s="13">
        <f t="shared" si="6"/>
        <v>2</v>
      </c>
      <c r="J27" s="13">
        <f t="shared" si="6"/>
        <v>4</v>
      </c>
      <c r="K27" s="13">
        <f t="shared" si="6"/>
        <v>1</v>
      </c>
      <c r="L27" s="13">
        <f t="shared" si="6"/>
        <v>2</v>
      </c>
      <c r="M27" s="13">
        <f t="shared" si="6"/>
        <v>6</v>
      </c>
      <c r="N27" s="13">
        <f t="shared" si="6"/>
        <v>0</v>
      </c>
      <c r="O27" s="13">
        <v>0.0</v>
      </c>
      <c r="P27" s="13">
        <f t="shared" ref="P27:X27" si="7">SUM(P25:P26)</f>
        <v>2</v>
      </c>
      <c r="Q27" s="13">
        <f t="shared" si="7"/>
        <v>2</v>
      </c>
      <c r="R27" s="13">
        <f t="shared" si="7"/>
        <v>4</v>
      </c>
      <c r="S27" s="13">
        <f t="shared" si="7"/>
        <v>6</v>
      </c>
      <c r="T27" s="13">
        <f t="shared" si="7"/>
        <v>1</v>
      </c>
      <c r="U27" s="13">
        <f t="shared" si="7"/>
        <v>16</v>
      </c>
      <c r="V27" s="13">
        <f t="shared" si="7"/>
        <v>6</v>
      </c>
      <c r="W27" s="13">
        <f t="shared" si="7"/>
        <v>1</v>
      </c>
      <c r="X27" s="13">
        <f t="shared" si="7"/>
        <v>2</v>
      </c>
      <c r="Y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8">SUM(E19,E22,E25)</f>
        <v>110</v>
      </c>
      <c r="F28" s="13">
        <f t="shared" si="8"/>
        <v>93</v>
      </c>
      <c r="G28" s="13">
        <f t="shared" si="8"/>
        <v>68</v>
      </c>
      <c r="H28" s="13">
        <f t="shared" si="8"/>
        <v>87</v>
      </c>
      <c r="I28" s="13">
        <f t="shared" si="8"/>
        <v>97</v>
      </c>
      <c r="J28" s="13">
        <f t="shared" si="8"/>
        <v>101</v>
      </c>
      <c r="K28" s="13">
        <f t="shared" si="8"/>
        <v>57</v>
      </c>
      <c r="L28" s="13">
        <f t="shared" si="8"/>
        <v>87</v>
      </c>
      <c r="M28" s="13">
        <f t="shared" si="8"/>
        <v>114</v>
      </c>
      <c r="N28" s="13">
        <f t="shared" si="8"/>
        <v>96</v>
      </c>
      <c r="O28" s="13">
        <f t="shared" si="8"/>
        <v>113</v>
      </c>
      <c r="P28" s="13">
        <f t="shared" si="8"/>
        <v>98</v>
      </c>
      <c r="Q28" s="13">
        <f t="shared" si="8"/>
        <v>100</v>
      </c>
      <c r="R28" s="13">
        <f t="shared" si="8"/>
        <v>90</v>
      </c>
      <c r="S28" s="13">
        <f t="shared" si="8"/>
        <v>97</v>
      </c>
      <c r="T28" s="13">
        <f t="shared" si="8"/>
        <v>99</v>
      </c>
      <c r="U28" s="13">
        <f t="shared" si="8"/>
        <v>113</v>
      </c>
      <c r="V28" s="13">
        <f t="shared" si="8"/>
        <v>77</v>
      </c>
      <c r="W28" s="13">
        <f t="shared" si="8"/>
        <v>77</v>
      </c>
      <c r="X28" s="13">
        <f t="shared" si="8"/>
        <v>63</v>
      </c>
      <c r="Y28" s="13">
        <f t="shared" si="3"/>
        <v>1837</v>
      </c>
    </row>
    <row r="29" ht="12.75" customHeight="1">
      <c r="A29" s="35"/>
      <c r="B29" s="27"/>
      <c r="C29" s="34"/>
      <c r="D29" s="13" t="s">
        <v>13</v>
      </c>
      <c r="E29" s="13">
        <f t="shared" ref="E29:X29" si="9">SUM(E20,E23,E26)</f>
        <v>107</v>
      </c>
      <c r="F29" s="13">
        <f t="shared" si="9"/>
        <v>119</v>
      </c>
      <c r="G29" s="13">
        <f t="shared" si="9"/>
        <v>86</v>
      </c>
      <c r="H29" s="13">
        <f t="shared" si="9"/>
        <v>90</v>
      </c>
      <c r="I29" s="13">
        <f t="shared" si="9"/>
        <v>102</v>
      </c>
      <c r="J29" s="13">
        <f t="shared" si="9"/>
        <v>117</v>
      </c>
      <c r="K29" s="13">
        <f t="shared" si="9"/>
        <v>81</v>
      </c>
      <c r="L29" s="13">
        <f t="shared" si="9"/>
        <v>83</v>
      </c>
      <c r="M29" s="13">
        <f t="shared" si="9"/>
        <v>116</v>
      </c>
      <c r="N29" s="13">
        <f t="shared" si="9"/>
        <v>112</v>
      </c>
      <c r="O29" s="13">
        <f t="shared" si="9"/>
        <v>109</v>
      </c>
      <c r="P29" s="13">
        <f t="shared" si="9"/>
        <v>128</v>
      </c>
      <c r="Q29" s="13">
        <f t="shared" si="9"/>
        <v>117</v>
      </c>
      <c r="R29" s="13">
        <f t="shared" si="9"/>
        <v>93</v>
      </c>
      <c r="S29" s="13">
        <f t="shared" si="9"/>
        <v>121</v>
      </c>
      <c r="T29" s="13">
        <f t="shared" si="9"/>
        <v>109</v>
      </c>
      <c r="U29" s="13">
        <f t="shared" si="9"/>
        <v>115</v>
      </c>
      <c r="V29" s="13">
        <f t="shared" si="9"/>
        <v>97</v>
      </c>
      <c r="W29" s="13">
        <f t="shared" si="9"/>
        <v>108</v>
      </c>
      <c r="X29" s="13">
        <f t="shared" si="9"/>
        <v>63</v>
      </c>
      <c r="Y29" s="13">
        <f t="shared" si="3"/>
        <v>2073</v>
      </c>
    </row>
    <row r="30" ht="12.75" customHeight="1">
      <c r="A30" s="35"/>
      <c r="B30" s="28"/>
      <c r="C30" s="36"/>
      <c r="D30" s="13" t="s">
        <v>14</v>
      </c>
      <c r="E30" s="13">
        <f t="shared" ref="E30:X30" si="10">SUM(E28:E29)</f>
        <v>217</v>
      </c>
      <c r="F30" s="13">
        <f t="shared" si="10"/>
        <v>212</v>
      </c>
      <c r="G30" s="13">
        <f t="shared" si="10"/>
        <v>154</v>
      </c>
      <c r="H30" s="13">
        <f t="shared" si="10"/>
        <v>177</v>
      </c>
      <c r="I30" s="13">
        <f t="shared" si="10"/>
        <v>199</v>
      </c>
      <c r="J30" s="13">
        <f t="shared" si="10"/>
        <v>218</v>
      </c>
      <c r="K30" s="13">
        <f t="shared" si="10"/>
        <v>138</v>
      </c>
      <c r="L30" s="13">
        <f t="shared" si="10"/>
        <v>170</v>
      </c>
      <c r="M30" s="13">
        <f t="shared" si="10"/>
        <v>230</v>
      </c>
      <c r="N30" s="13">
        <f t="shared" si="10"/>
        <v>208</v>
      </c>
      <c r="O30" s="13">
        <f t="shared" si="10"/>
        <v>222</v>
      </c>
      <c r="P30" s="13">
        <f t="shared" si="10"/>
        <v>226</v>
      </c>
      <c r="Q30" s="13">
        <f t="shared" si="10"/>
        <v>217</v>
      </c>
      <c r="R30" s="13">
        <f t="shared" si="10"/>
        <v>183</v>
      </c>
      <c r="S30" s="13">
        <f t="shared" si="10"/>
        <v>218</v>
      </c>
      <c r="T30" s="13">
        <f t="shared" si="10"/>
        <v>208</v>
      </c>
      <c r="U30" s="13">
        <f t="shared" si="10"/>
        <v>228</v>
      </c>
      <c r="V30" s="13">
        <f t="shared" si="10"/>
        <v>174</v>
      </c>
      <c r="W30" s="13">
        <f t="shared" si="10"/>
        <v>185</v>
      </c>
      <c r="X30" s="13">
        <f t="shared" si="10"/>
        <v>126</v>
      </c>
      <c r="Y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6"/>
    </row>
    <row r="33" ht="12.75" customHeight="1">
      <c r="A33" s="19">
        <v>1.0</v>
      </c>
      <c r="B33" s="20" t="s">
        <v>27</v>
      </c>
      <c r="C33" s="15"/>
      <c r="D33" s="16"/>
      <c r="E33" s="19">
        <v>260.0</v>
      </c>
      <c r="F33" s="19">
        <v>287.0</v>
      </c>
      <c r="G33" s="19">
        <v>197.0</v>
      </c>
      <c r="H33" s="19">
        <v>228.0</v>
      </c>
      <c r="I33" s="19">
        <v>265.0</v>
      </c>
      <c r="J33" s="19">
        <v>296.0</v>
      </c>
      <c r="K33" s="19">
        <v>187.0</v>
      </c>
      <c r="L33" s="19">
        <v>207.0</v>
      </c>
      <c r="M33" s="19">
        <v>283.0</v>
      </c>
      <c r="N33" s="19">
        <v>281.0</v>
      </c>
      <c r="O33" s="19">
        <v>292.0</v>
      </c>
      <c r="P33" s="19">
        <v>281.0</v>
      </c>
      <c r="Q33" s="19">
        <v>291.0</v>
      </c>
      <c r="R33" s="19">
        <v>233.0</v>
      </c>
      <c r="S33" s="19">
        <v>281.0</v>
      </c>
      <c r="T33" s="19">
        <v>289.0</v>
      </c>
      <c r="U33" s="19">
        <v>269.0</v>
      </c>
      <c r="V33" s="19">
        <v>236.0</v>
      </c>
      <c r="W33" s="19">
        <v>246.0</v>
      </c>
      <c r="X33" s="19">
        <v>153.0</v>
      </c>
      <c r="Y33" s="13">
        <f t="shared" ref="Y33:Y36" si="11">SUM(E33:X33)</f>
        <v>5062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212.0</v>
      </c>
      <c r="G34" s="13">
        <v>154.0</v>
      </c>
      <c r="H34" s="13">
        <v>177.0</v>
      </c>
      <c r="I34" s="13">
        <v>199.0</v>
      </c>
      <c r="J34" s="13">
        <v>218.0</v>
      </c>
      <c r="K34" s="13">
        <v>138.0</v>
      </c>
      <c r="L34" s="13">
        <v>170.0</v>
      </c>
      <c r="M34" s="13">
        <v>230.0</v>
      </c>
      <c r="N34" s="13">
        <v>208.0</v>
      </c>
      <c r="O34" s="13">
        <v>222.0</v>
      </c>
      <c r="P34" s="13">
        <v>226.0</v>
      </c>
      <c r="Q34" s="13">
        <v>217.0</v>
      </c>
      <c r="R34" s="13">
        <v>183.0</v>
      </c>
      <c r="S34" s="13">
        <v>218.0</v>
      </c>
      <c r="T34" s="13">
        <v>208.0</v>
      </c>
      <c r="U34" s="13">
        <v>228.0</v>
      </c>
      <c r="V34" s="13">
        <v>174.0</v>
      </c>
      <c r="W34" s="13">
        <v>185.0</v>
      </c>
      <c r="X34" s="13">
        <v>126.0</v>
      </c>
      <c r="Y34" s="13">
        <f t="shared" si="11"/>
        <v>3910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1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2">E33-(E34+E35)</f>
        <v>43</v>
      </c>
      <c r="F36" s="13">
        <f t="shared" si="12"/>
        <v>75</v>
      </c>
      <c r="G36" s="13">
        <f t="shared" si="12"/>
        <v>43</v>
      </c>
      <c r="H36" s="13">
        <f t="shared" si="12"/>
        <v>51</v>
      </c>
      <c r="I36" s="13">
        <f t="shared" si="12"/>
        <v>66</v>
      </c>
      <c r="J36" s="13">
        <f t="shared" si="12"/>
        <v>78</v>
      </c>
      <c r="K36" s="13">
        <f t="shared" si="12"/>
        <v>49</v>
      </c>
      <c r="L36" s="13">
        <f t="shared" si="12"/>
        <v>37</v>
      </c>
      <c r="M36" s="13">
        <f t="shared" si="12"/>
        <v>53</v>
      </c>
      <c r="N36" s="13">
        <f t="shared" si="12"/>
        <v>73</v>
      </c>
      <c r="O36" s="13">
        <f t="shared" si="12"/>
        <v>70</v>
      </c>
      <c r="P36" s="13">
        <f t="shared" si="12"/>
        <v>55</v>
      </c>
      <c r="Q36" s="13">
        <f t="shared" si="12"/>
        <v>74</v>
      </c>
      <c r="R36" s="13">
        <f t="shared" si="12"/>
        <v>50</v>
      </c>
      <c r="S36" s="13">
        <f t="shared" si="12"/>
        <v>63</v>
      </c>
      <c r="T36" s="13">
        <f t="shared" si="12"/>
        <v>80</v>
      </c>
      <c r="U36" s="13">
        <f t="shared" si="12"/>
        <v>41</v>
      </c>
      <c r="V36" s="13">
        <f t="shared" si="12"/>
        <v>62</v>
      </c>
      <c r="W36" s="13">
        <f t="shared" si="12"/>
        <v>61</v>
      </c>
      <c r="X36" s="13">
        <f t="shared" si="12"/>
        <v>27</v>
      </c>
      <c r="Y36" s="13">
        <f t="shared" si="11"/>
        <v>1151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2.0</v>
      </c>
      <c r="Y39" s="13">
        <f t="shared" ref="Y39:Y41" si="13">SUM(E39:X39)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0.0</v>
      </c>
      <c r="Y40" s="13">
        <f t="shared" si="13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X41" si="14">SUM(E39:E40)</f>
        <v>0</v>
      </c>
      <c r="F41" s="13">
        <f t="shared" si="14"/>
        <v>1</v>
      </c>
      <c r="G41" s="13">
        <f t="shared" si="14"/>
        <v>0</v>
      </c>
      <c r="H41" s="13">
        <f t="shared" si="14"/>
        <v>2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2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1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2</v>
      </c>
      <c r="X41" s="13">
        <f t="shared" si="14"/>
        <v>2</v>
      </c>
      <c r="Y41" s="13">
        <f t="shared" si="13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5.0</v>
      </c>
      <c r="G45" s="19">
        <v>2.0</v>
      </c>
      <c r="H45" s="19">
        <v>5.0</v>
      </c>
      <c r="I45" s="19">
        <v>9.0</v>
      </c>
      <c r="J45" s="19">
        <v>9.0</v>
      </c>
      <c r="K45" s="19">
        <v>3.0</v>
      </c>
      <c r="L45" s="19">
        <v>3.0</v>
      </c>
      <c r="M45" s="19">
        <v>5.0</v>
      </c>
      <c r="N45" s="19">
        <v>6.0</v>
      </c>
      <c r="O45" s="19">
        <v>2.0</v>
      </c>
      <c r="P45" s="19">
        <v>9.0</v>
      </c>
      <c r="Q45" s="19">
        <v>0.0</v>
      </c>
      <c r="R45" s="19">
        <v>4.0</v>
      </c>
      <c r="S45" s="19">
        <v>3.0</v>
      </c>
      <c r="T45" s="19">
        <v>6.0</v>
      </c>
      <c r="U45" s="19">
        <v>8.0</v>
      </c>
      <c r="V45" s="19">
        <v>6.0</v>
      </c>
      <c r="W45" s="19">
        <v>3.0</v>
      </c>
      <c r="X45" s="19">
        <v>6.0</v>
      </c>
      <c r="Y45" s="13">
        <f t="shared" ref="Y45:Y54" si="15">SUM(E45:X45)</f>
        <v>96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15.0</v>
      </c>
      <c r="F46" s="19">
        <v>10.0</v>
      </c>
      <c r="G46" s="19">
        <v>5.0</v>
      </c>
      <c r="H46" s="19">
        <v>9.0</v>
      </c>
      <c r="I46" s="19">
        <v>17.0</v>
      </c>
      <c r="J46" s="19">
        <v>7.0</v>
      </c>
      <c r="K46" s="19">
        <v>3.0</v>
      </c>
      <c r="L46" s="19">
        <v>3.0</v>
      </c>
      <c r="M46" s="19">
        <v>20.0</v>
      </c>
      <c r="N46" s="19">
        <v>8.0</v>
      </c>
      <c r="O46" s="19">
        <v>3.0</v>
      </c>
      <c r="P46" s="19">
        <v>57.0</v>
      </c>
      <c r="Q46" s="19">
        <v>9.0</v>
      </c>
      <c r="R46" s="19">
        <v>15.0</v>
      </c>
      <c r="S46" s="19">
        <v>16.0</v>
      </c>
      <c r="T46" s="19">
        <v>15.0</v>
      </c>
      <c r="U46" s="19">
        <v>21.0</v>
      </c>
      <c r="V46" s="19">
        <v>7.0</v>
      </c>
      <c r="W46" s="19">
        <v>18.0</v>
      </c>
      <c r="X46" s="19">
        <v>5.0</v>
      </c>
      <c r="Y46" s="13">
        <f t="shared" si="15"/>
        <v>263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3.0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1.0</v>
      </c>
      <c r="M47" s="19">
        <v>0.0</v>
      </c>
      <c r="N47" s="19">
        <v>2.0</v>
      </c>
      <c r="O47" s="19">
        <v>0.0</v>
      </c>
      <c r="P47" s="19">
        <v>1.0</v>
      </c>
      <c r="Q47" s="19">
        <v>23.0</v>
      </c>
      <c r="R47" s="19">
        <v>0.0</v>
      </c>
      <c r="S47" s="19">
        <v>2.0</v>
      </c>
      <c r="T47" s="19">
        <v>3.0</v>
      </c>
      <c r="U47" s="19">
        <v>2.0</v>
      </c>
      <c r="V47" s="19">
        <v>2.0</v>
      </c>
      <c r="W47" s="19">
        <v>2.0</v>
      </c>
      <c r="X47" s="19">
        <v>2.0</v>
      </c>
      <c r="Y47" s="13">
        <f t="shared" si="15"/>
        <v>45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0.0</v>
      </c>
      <c r="P48" s="19">
        <v>1.0</v>
      </c>
      <c r="Q48" s="19">
        <v>3.0</v>
      </c>
      <c r="R48" s="19">
        <v>0.0</v>
      </c>
      <c r="S48" s="19">
        <v>0.0</v>
      </c>
      <c r="T48" s="19">
        <v>1.0</v>
      </c>
      <c r="U48" s="19">
        <v>2.0</v>
      </c>
      <c r="V48" s="19">
        <v>1.0</v>
      </c>
      <c r="W48" s="19">
        <v>0.0</v>
      </c>
      <c r="X48" s="19">
        <v>1.0</v>
      </c>
      <c r="Y48" s="13">
        <f t="shared" si="15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2.0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1.0</v>
      </c>
      <c r="M49" s="19">
        <v>0.0</v>
      </c>
      <c r="N49" s="19">
        <v>1.0</v>
      </c>
      <c r="O49" s="19">
        <v>0.0</v>
      </c>
      <c r="P49" s="19">
        <v>4.0</v>
      </c>
      <c r="Q49" s="19">
        <v>0.0</v>
      </c>
      <c r="R49" s="19">
        <v>1.0</v>
      </c>
      <c r="S49" s="19">
        <v>1.0</v>
      </c>
      <c r="T49" s="19">
        <v>1.0</v>
      </c>
      <c r="U49" s="19">
        <v>1.0</v>
      </c>
      <c r="V49" s="19">
        <v>1.0</v>
      </c>
      <c r="W49" s="19">
        <v>1.0</v>
      </c>
      <c r="X49" s="19">
        <v>0.0</v>
      </c>
      <c r="Y49" s="13">
        <f t="shared" si="15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1.0</v>
      </c>
      <c r="N50" s="19">
        <v>0.0</v>
      </c>
      <c r="O50" s="19">
        <v>0.0</v>
      </c>
      <c r="P50" s="19">
        <v>2.0</v>
      </c>
      <c r="Q50" s="19">
        <v>0.0</v>
      </c>
      <c r="R50" s="19">
        <v>0.0</v>
      </c>
      <c r="S50" s="19">
        <v>0.0</v>
      </c>
      <c r="T50" s="19">
        <v>1.0</v>
      </c>
      <c r="U50" s="19">
        <v>2.0</v>
      </c>
      <c r="V50" s="19">
        <v>0.0</v>
      </c>
      <c r="W50" s="19">
        <v>1.0</v>
      </c>
      <c r="X50" s="19">
        <v>1.0</v>
      </c>
      <c r="Y50" s="13">
        <f t="shared" si="15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1.0</v>
      </c>
      <c r="S51" s="19">
        <v>1.0</v>
      </c>
      <c r="T51" s="19">
        <v>0.0</v>
      </c>
      <c r="U51" s="19">
        <v>0.0</v>
      </c>
      <c r="V51" s="19">
        <v>0.0</v>
      </c>
      <c r="W51" s="19">
        <v>1.0</v>
      </c>
      <c r="X51" s="19">
        <v>0.0</v>
      </c>
      <c r="Y51" s="13">
        <f t="shared" si="15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3">
        <f t="shared" si="15"/>
        <v>1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5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5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16">SUM(E45:E54)</f>
        <v>21</v>
      </c>
      <c r="F55" s="13">
        <f t="shared" si="16"/>
        <v>20</v>
      </c>
      <c r="G55" s="13">
        <f t="shared" si="16"/>
        <v>8</v>
      </c>
      <c r="H55" s="13">
        <f t="shared" si="16"/>
        <v>14</v>
      </c>
      <c r="I55" s="13">
        <f t="shared" si="16"/>
        <v>26</v>
      </c>
      <c r="J55" s="13">
        <f t="shared" si="16"/>
        <v>16</v>
      </c>
      <c r="K55" s="13">
        <f t="shared" si="16"/>
        <v>6</v>
      </c>
      <c r="L55" s="13">
        <f t="shared" si="16"/>
        <v>9</v>
      </c>
      <c r="M55" s="13">
        <f t="shared" si="16"/>
        <v>27</v>
      </c>
      <c r="N55" s="13">
        <f t="shared" si="16"/>
        <v>17</v>
      </c>
      <c r="O55" s="13">
        <f t="shared" si="16"/>
        <v>5</v>
      </c>
      <c r="P55" s="13">
        <f t="shared" si="16"/>
        <v>75</v>
      </c>
      <c r="Q55" s="13">
        <f t="shared" si="16"/>
        <v>35</v>
      </c>
      <c r="R55" s="13">
        <f t="shared" si="16"/>
        <v>22</v>
      </c>
      <c r="S55" s="13">
        <f t="shared" si="16"/>
        <v>23</v>
      </c>
      <c r="T55" s="13">
        <f t="shared" si="16"/>
        <v>27</v>
      </c>
      <c r="U55" s="13">
        <f t="shared" si="16"/>
        <v>36</v>
      </c>
      <c r="V55" s="13">
        <f t="shared" si="16"/>
        <v>17</v>
      </c>
      <c r="W55" s="13">
        <f t="shared" si="16"/>
        <v>26</v>
      </c>
      <c r="X55" s="13">
        <f t="shared" si="16"/>
        <v>15</v>
      </c>
      <c r="Y55" s="13">
        <f t="shared" si="16"/>
        <v>445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10.0</v>
      </c>
      <c r="G57" s="19">
        <v>2.0</v>
      </c>
      <c r="H57" s="19">
        <v>7.0</v>
      </c>
      <c r="I57" s="19">
        <v>9.0</v>
      </c>
      <c r="J57" s="19">
        <v>9.0</v>
      </c>
      <c r="K57" s="19">
        <v>7.0</v>
      </c>
      <c r="L57" s="19">
        <v>6.0</v>
      </c>
      <c r="M57" s="19">
        <v>2.0</v>
      </c>
      <c r="N57" s="19">
        <v>12.0</v>
      </c>
      <c r="O57" s="19">
        <v>5.0</v>
      </c>
      <c r="P57" s="19">
        <v>5.0</v>
      </c>
      <c r="Q57" s="19">
        <v>4.0</v>
      </c>
      <c r="R57" s="19">
        <v>5.0</v>
      </c>
      <c r="S57" s="19">
        <v>6.0</v>
      </c>
      <c r="T57" s="19">
        <v>12.0</v>
      </c>
      <c r="U57" s="19">
        <v>13.0</v>
      </c>
      <c r="V57" s="19">
        <v>16.0</v>
      </c>
      <c r="W57" s="19">
        <v>3.0</v>
      </c>
      <c r="X57" s="19">
        <v>7.0</v>
      </c>
      <c r="Y57" s="13">
        <f t="shared" ref="Y57:Y66" si="17">SUM(E57:X57)</f>
        <v>149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7.0</v>
      </c>
      <c r="F58" s="19">
        <v>19.0</v>
      </c>
      <c r="G58" s="19">
        <v>9.0</v>
      </c>
      <c r="H58" s="19">
        <v>14.0</v>
      </c>
      <c r="I58" s="19">
        <v>24.0</v>
      </c>
      <c r="J58" s="19">
        <v>8.0</v>
      </c>
      <c r="K58" s="19">
        <v>10.0</v>
      </c>
      <c r="L58" s="19">
        <v>6.0</v>
      </c>
      <c r="M58" s="19">
        <v>4.0</v>
      </c>
      <c r="N58" s="19">
        <v>42.0</v>
      </c>
      <c r="O58" s="19">
        <v>8.0</v>
      </c>
      <c r="P58" s="19">
        <v>8.0</v>
      </c>
      <c r="Q58" s="19">
        <v>1.0</v>
      </c>
      <c r="R58" s="19">
        <v>4.0</v>
      </c>
      <c r="S58" s="19">
        <v>3.0</v>
      </c>
      <c r="T58" s="19">
        <v>11.0</v>
      </c>
      <c r="U58" s="19">
        <v>14.0</v>
      </c>
      <c r="V58" s="19">
        <v>21.0</v>
      </c>
      <c r="W58" s="19">
        <v>23.0</v>
      </c>
      <c r="X58" s="19">
        <v>24.0</v>
      </c>
      <c r="Y58" s="13">
        <f t="shared" si="17"/>
        <v>260</v>
      </c>
    </row>
    <row r="59" ht="12.75" customHeight="1">
      <c r="A59" s="18"/>
      <c r="B59" s="55">
        <v>2.0</v>
      </c>
      <c r="C59" s="50" t="s">
        <v>50</v>
      </c>
      <c r="D59" s="61"/>
      <c r="E59" s="19">
        <v>88.0</v>
      </c>
      <c r="F59" s="19">
        <v>4.0</v>
      </c>
      <c r="G59" s="19">
        <v>3.0</v>
      </c>
      <c r="H59" s="19">
        <v>4.0</v>
      </c>
      <c r="I59" s="19">
        <v>5.0</v>
      </c>
      <c r="J59" s="19">
        <v>3.0</v>
      </c>
      <c r="K59" s="19">
        <v>1.0</v>
      </c>
      <c r="L59" s="19">
        <v>3.0</v>
      </c>
      <c r="M59" s="19">
        <v>1.0</v>
      </c>
      <c r="N59" s="19">
        <v>14.0</v>
      </c>
      <c r="O59" s="19">
        <v>66.0</v>
      </c>
      <c r="P59" s="19">
        <v>1.0</v>
      </c>
      <c r="Q59" s="19">
        <v>0.0</v>
      </c>
      <c r="R59" s="19">
        <v>2.0</v>
      </c>
      <c r="S59" s="19">
        <v>52.0</v>
      </c>
      <c r="T59" s="19">
        <v>50.0</v>
      </c>
      <c r="U59" s="19">
        <v>26.0</v>
      </c>
      <c r="V59" s="19">
        <v>9.0</v>
      </c>
      <c r="W59" s="19">
        <v>57.0</v>
      </c>
      <c r="X59" s="19">
        <v>0.0</v>
      </c>
      <c r="Y59" s="13">
        <f t="shared" si="17"/>
        <v>389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2.0</v>
      </c>
      <c r="G60" s="19">
        <v>0.0</v>
      </c>
      <c r="H60" s="19">
        <v>0.0</v>
      </c>
      <c r="I60" s="19">
        <v>5.0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2.0</v>
      </c>
      <c r="P60" s="19">
        <v>3.0</v>
      </c>
      <c r="Q60" s="19">
        <v>0.0</v>
      </c>
      <c r="R60" s="19">
        <v>0.0</v>
      </c>
      <c r="S60" s="19">
        <v>2.0</v>
      </c>
      <c r="T60" s="19">
        <v>1.0</v>
      </c>
      <c r="U60" s="19">
        <v>0.0</v>
      </c>
      <c r="V60" s="19">
        <v>0.0</v>
      </c>
      <c r="W60" s="19">
        <v>0.0</v>
      </c>
      <c r="X60" s="19">
        <v>0.0</v>
      </c>
      <c r="Y60" s="13">
        <f t="shared" si="17"/>
        <v>18</v>
      </c>
    </row>
    <row r="61" ht="12.75" customHeight="1">
      <c r="A61" s="18"/>
      <c r="B61" s="55">
        <v>4.0</v>
      </c>
      <c r="C61" s="50" t="s">
        <v>52</v>
      </c>
      <c r="D61" s="61"/>
      <c r="E61" s="19">
        <v>0.0</v>
      </c>
      <c r="F61" s="19">
        <v>6.0</v>
      </c>
      <c r="G61" s="19">
        <v>3.0</v>
      </c>
      <c r="H61" s="19">
        <v>9.0</v>
      </c>
      <c r="I61" s="19">
        <v>0.0</v>
      </c>
      <c r="J61" s="19">
        <v>3.0</v>
      </c>
      <c r="K61" s="19">
        <v>2.0</v>
      </c>
      <c r="L61" s="19">
        <v>3.0</v>
      </c>
      <c r="M61" s="19">
        <v>3.0</v>
      </c>
      <c r="N61" s="19">
        <v>0.0</v>
      </c>
      <c r="O61" s="19">
        <v>3.0</v>
      </c>
      <c r="P61" s="19">
        <v>7.0</v>
      </c>
      <c r="Q61" s="19">
        <v>3.0</v>
      </c>
      <c r="R61" s="19">
        <v>9.0</v>
      </c>
      <c r="S61" s="19">
        <v>1.0</v>
      </c>
      <c r="T61" s="19">
        <v>1.0</v>
      </c>
      <c r="U61" s="19">
        <v>7.0</v>
      </c>
      <c r="V61" s="19">
        <v>4.0</v>
      </c>
      <c r="W61" s="19">
        <v>3.0</v>
      </c>
      <c r="X61" s="19">
        <v>0.0</v>
      </c>
      <c r="Y61" s="13">
        <f t="shared" si="17"/>
        <v>67</v>
      </c>
    </row>
    <row r="62" ht="12.75" customHeight="1">
      <c r="A62" s="18"/>
      <c r="B62" s="55">
        <v>5.0</v>
      </c>
      <c r="C62" s="50" t="s">
        <v>53</v>
      </c>
      <c r="D62" s="61"/>
      <c r="E62" s="19">
        <v>0.0</v>
      </c>
      <c r="F62" s="19">
        <v>0.0</v>
      </c>
      <c r="G62" s="19">
        <v>1.0</v>
      </c>
      <c r="H62" s="19">
        <v>0.0</v>
      </c>
      <c r="I62" s="19">
        <v>2.0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1.0</v>
      </c>
      <c r="U62" s="19">
        <v>1.0</v>
      </c>
      <c r="V62" s="19">
        <v>0.0</v>
      </c>
      <c r="W62" s="19">
        <v>0.0</v>
      </c>
      <c r="X62" s="19">
        <v>0.0</v>
      </c>
      <c r="Y62" s="13">
        <f t="shared" si="17"/>
        <v>7</v>
      </c>
    </row>
    <row r="63" ht="12.75" customHeight="1">
      <c r="A63" s="18"/>
      <c r="B63" s="55">
        <v>6.0</v>
      </c>
      <c r="C63" s="50" t="s">
        <v>54</v>
      </c>
      <c r="D63" s="62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2.0</v>
      </c>
      <c r="P63" s="19">
        <v>0.0</v>
      </c>
      <c r="Q63" s="19">
        <v>0.0</v>
      </c>
      <c r="R63" s="19">
        <v>0.0</v>
      </c>
      <c r="S63" s="19">
        <v>1.0</v>
      </c>
      <c r="T63" s="19">
        <v>1.0</v>
      </c>
      <c r="U63" s="19">
        <v>0.0</v>
      </c>
      <c r="V63" s="19">
        <v>0.0</v>
      </c>
      <c r="W63" s="19">
        <v>0.0</v>
      </c>
      <c r="X63" s="19">
        <v>1.0</v>
      </c>
      <c r="Y63" s="13">
        <f t="shared" si="17"/>
        <v>7</v>
      </c>
    </row>
    <row r="64" ht="12.75" customHeight="1">
      <c r="A64" s="18"/>
      <c r="B64" s="55">
        <v>7.0</v>
      </c>
      <c r="C64" s="50" t="s">
        <v>55</v>
      </c>
      <c r="D64" s="61"/>
      <c r="E64" s="19">
        <v>1.0</v>
      </c>
      <c r="F64" s="19">
        <v>0.0</v>
      </c>
      <c r="G64" s="19">
        <v>0.0</v>
      </c>
      <c r="H64" s="19">
        <v>0.0</v>
      </c>
      <c r="I64" s="19">
        <v>2.0</v>
      </c>
      <c r="J64" s="19">
        <v>3.0</v>
      </c>
      <c r="K64" s="19">
        <v>0.0</v>
      </c>
      <c r="L64" s="19">
        <v>0.0</v>
      </c>
      <c r="M64" s="19">
        <v>2.0</v>
      </c>
      <c r="N64" s="19">
        <v>1.0</v>
      </c>
      <c r="O64" s="19">
        <v>0.0</v>
      </c>
      <c r="P64" s="19">
        <v>6.0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3">
        <f t="shared" si="17"/>
        <v>16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7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7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8">SUM(E57:E66)</f>
        <v>106</v>
      </c>
      <c r="F67" s="13">
        <f t="shared" si="18"/>
        <v>42</v>
      </c>
      <c r="G67" s="13">
        <f t="shared" si="18"/>
        <v>18</v>
      </c>
      <c r="H67" s="13">
        <f t="shared" si="18"/>
        <v>34</v>
      </c>
      <c r="I67" s="13">
        <f t="shared" si="18"/>
        <v>47</v>
      </c>
      <c r="J67" s="13">
        <f t="shared" si="18"/>
        <v>27</v>
      </c>
      <c r="K67" s="13">
        <f t="shared" si="18"/>
        <v>21</v>
      </c>
      <c r="L67" s="13">
        <f t="shared" si="18"/>
        <v>20</v>
      </c>
      <c r="M67" s="13">
        <f t="shared" si="18"/>
        <v>12</v>
      </c>
      <c r="N67" s="13">
        <f t="shared" si="18"/>
        <v>69</v>
      </c>
      <c r="O67" s="13">
        <f t="shared" si="18"/>
        <v>86</v>
      </c>
      <c r="P67" s="13">
        <f t="shared" si="18"/>
        <v>31</v>
      </c>
      <c r="Q67" s="13">
        <f t="shared" si="18"/>
        <v>8</v>
      </c>
      <c r="R67" s="13">
        <f t="shared" si="18"/>
        <v>20</v>
      </c>
      <c r="S67" s="13">
        <f t="shared" si="18"/>
        <v>65</v>
      </c>
      <c r="T67" s="13">
        <f t="shared" si="18"/>
        <v>77</v>
      </c>
      <c r="U67" s="13">
        <f t="shared" si="18"/>
        <v>62</v>
      </c>
      <c r="V67" s="13">
        <f t="shared" si="18"/>
        <v>50</v>
      </c>
      <c r="W67" s="13">
        <f t="shared" si="18"/>
        <v>86</v>
      </c>
      <c r="X67" s="13">
        <f t="shared" si="18"/>
        <v>32</v>
      </c>
      <c r="Y67" s="13">
        <f t="shared" si="18"/>
        <v>913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7.0</v>
      </c>
      <c r="G69" s="19">
        <v>8.0</v>
      </c>
      <c r="H69" s="19">
        <v>11.0</v>
      </c>
      <c r="I69" s="19">
        <v>9.0</v>
      </c>
      <c r="J69" s="19">
        <v>18.0</v>
      </c>
      <c r="K69" s="19">
        <v>11.0</v>
      </c>
      <c r="L69" s="19">
        <v>10.0</v>
      </c>
      <c r="M69" s="19">
        <v>6.0</v>
      </c>
      <c r="N69" s="19">
        <v>1.0</v>
      </c>
      <c r="O69" s="19">
        <v>11.0</v>
      </c>
      <c r="P69" s="19">
        <v>1.0</v>
      </c>
      <c r="Q69" s="19">
        <v>6.0</v>
      </c>
      <c r="R69" s="19">
        <v>6.0</v>
      </c>
      <c r="S69" s="19">
        <v>7.0</v>
      </c>
      <c r="T69" s="19">
        <v>3.0</v>
      </c>
      <c r="U69" s="19">
        <v>4.0</v>
      </c>
      <c r="V69" s="19">
        <v>4.0</v>
      </c>
      <c r="W69" s="19">
        <v>4.0</v>
      </c>
      <c r="X69" s="19">
        <v>8.0</v>
      </c>
      <c r="Y69" s="13">
        <f t="shared" ref="Y69:Y78" si="19">SUM(E69:X69)</f>
        <v>141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5.0</v>
      </c>
      <c r="F70" s="19">
        <v>21.0</v>
      </c>
      <c r="G70" s="19">
        <v>10.0</v>
      </c>
      <c r="H70" s="19">
        <v>19.0</v>
      </c>
      <c r="I70" s="19">
        <v>15.0</v>
      </c>
      <c r="J70" s="19">
        <v>35.0</v>
      </c>
      <c r="K70" s="19">
        <v>36.0</v>
      </c>
      <c r="L70" s="19">
        <v>29.0</v>
      </c>
      <c r="M70" s="19">
        <v>13.0</v>
      </c>
      <c r="N70" s="19">
        <v>9.0</v>
      </c>
      <c r="O70" s="19">
        <v>11.0</v>
      </c>
      <c r="P70" s="19">
        <v>5.0</v>
      </c>
      <c r="Q70" s="19">
        <v>25.0</v>
      </c>
      <c r="R70" s="19">
        <v>10.0</v>
      </c>
      <c r="S70" s="19">
        <v>5.0</v>
      </c>
      <c r="T70" s="19">
        <v>16.0</v>
      </c>
      <c r="U70" s="19">
        <v>24.0</v>
      </c>
      <c r="V70" s="19">
        <v>1.0</v>
      </c>
      <c r="W70" s="19">
        <v>9.0</v>
      </c>
      <c r="X70" s="19">
        <v>3.0</v>
      </c>
      <c r="Y70" s="13">
        <f t="shared" si="19"/>
        <v>301</v>
      </c>
    </row>
    <row r="71" ht="12.75" customHeight="1">
      <c r="A71" s="18"/>
      <c r="B71" s="55">
        <v>2.0</v>
      </c>
      <c r="C71" s="50" t="s">
        <v>58</v>
      </c>
      <c r="D71" s="62"/>
      <c r="E71" s="19">
        <v>0.0</v>
      </c>
      <c r="F71" s="19">
        <v>1.0</v>
      </c>
      <c r="G71" s="19">
        <v>1.0</v>
      </c>
      <c r="H71" s="19">
        <v>3.0</v>
      </c>
      <c r="I71" s="19">
        <v>2.0</v>
      </c>
      <c r="J71" s="19">
        <v>3.0</v>
      </c>
      <c r="K71" s="19">
        <v>1.0</v>
      </c>
      <c r="L71" s="19">
        <v>5.0</v>
      </c>
      <c r="M71" s="19">
        <v>0.0</v>
      </c>
      <c r="N71" s="19">
        <v>0.0</v>
      </c>
      <c r="O71" s="19">
        <v>3.0</v>
      </c>
      <c r="P71" s="19">
        <v>2.0</v>
      </c>
      <c r="Q71" s="19">
        <v>0.0</v>
      </c>
      <c r="R71" s="19">
        <v>3.0</v>
      </c>
      <c r="S71" s="19">
        <v>1.0</v>
      </c>
      <c r="T71" s="19">
        <v>1.0</v>
      </c>
      <c r="U71" s="19">
        <v>0.0</v>
      </c>
      <c r="V71" s="19">
        <v>1.0</v>
      </c>
      <c r="W71" s="19">
        <v>0.0</v>
      </c>
      <c r="X71" s="19">
        <v>0.0</v>
      </c>
      <c r="Y71" s="13">
        <f t="shared" si="19"/>
        <v>27</v>
      </c>
    </row>
    <row r="72" ht="12.75" customHeight="1">
      <c r="A72" s="18"/>
      <c r="B72" s="55">
        <v>3.0</v>
      </c>
      <c r="C72" s="50" t="s">
        <v>59</v>
      </c>
      <c r="D72" s="62"/>
      <c r="E72" s="19">
        <v>2.0</v>
      </c>
      <c r="F72" s="19">
        <v>1.0</v>
      </c>
      <c r="G72" s="19">
        <v>2.0</v>
      </c>
      <c r="H72" s="19">
        <v>8.0</v>
      </c>
      <c r="I72" s="19">
        <v>2.0</v>
      </c>
      <c r="J72" s="19">
        <v>6.0</v>
      </c>
      <c r="K72" s="19">
        <v>3.0</v>
      </c>
      <c r="L72" s="19">
        <v>1.0</v>
      </c>
      <c r="M72" s="19">
        <v>1.0</v>
      </c>
      <c r="N72" s="19">
        <v>1.0</v>
      </c>
      <c r="O72" s="19">
        <v>27.0</v>
      </c>
      <c r="P72" s="19">
        <v>3.0</v>
      </c>
      <c r="Q72" s="19">
        <v>3.0</v>
      </c>
      <c r="R72" s="19">
        <v>3.0</v>
      </c>
      <c r="S72" s="19">
        <v>5.0</v>
      </c>
      <c r="T72" s="19">
        <v>8.0</v>
      </c>
      <c r="U72" s="19">
        <v>2.0</v>
      </c>
      <c r="V72" s="19">
        <v>1.0</v>
      </c>
      <c r="W72" s="19">
        <v>1.0</v>
      </c>
      <c r="X72" s="19">
        <v>0.0</v>
      </c>
      <c r="Y72" s="13">
        <f t="shared" si="19"/>
        <v>80</v>
      </c>
    </row>
    <row r="73" ht="12.75" customHeight="1">
      <c r="A73" s="18"/>
      <c r="B73" s="55">
        <v>4.0</v>
      </c>
      <c r="C73" s="50" t="s">
        <v>60</v>
      </c>
      <c r="D73" s="62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1.0</v>
      </c>
      <c r="V73" s="19">
        <v>1.0</v>
      </c>
      <c r="W73" s="19">
        <v>0.0</v>
      </c>
      <c r="X73" s="19">
        <v>0.0</v>
      </c>
      <c r="Y73" s="13">
        <f t="shared" si="19"/>
        <v>3</v>
      </c>
    </row>
    <row r="74" ht="12.75" customHeight="1">
      <c r="A74" s="18"/>
      <c r="B74" s="55">
        <v>5.0</v>
      </c>
      <c r="C74" s="50" t="s">
        <v>61</v>
      </c>
      <c r="D74" s="62"/>
      <c r="E74" s="19">
        <v>4.0</v>
      </c>
      <c r="F74" s="19">
        <v>2.0</v>
      </c>
      <c r="G74" s="19">
        <v>22.0</v>
      </c>
      <c r="H74" s="19">
        <v>20.0</v>
      </c>
      <c r="I74" s="19">
        <v>0.0</v>
      </c>
      <c r="J74" s="19">
        <v>16.0</v>
      </c>
      <c r="K74" s="19">
        <v>0.0</v>
      </c>
      <c r="L74" s="19">
        <v>15.0</v>
      </c>
      <c r="M74" s="19">
        <v>36.0</v>
      </c>
      <c r="N74" s="19">
        <v>13.0</v>
      </c>
      <c r="O74" s="19">
        <v>17.0</v>
      </c>
      <c r="P74" s="19">
        <v>15.0</v>
      </c>
      <c r="Q74" s="19">
        <v>13.0</v>
      </c>
      <c r="R74" s="19">
        <v>0.0</v>
      </c>
      <c r="S74" s="19">
        <v>14.0</v>
      </c>
      <c r="T74" s="19">
        <v>3.0</v>
      </c>
      <c r="U74" s="19">
        <v>12.0</v>
      </c>
      <c r="V74" s="19">
        <v>1.0</v>
      </c>
      <c r="W74" s="19">
        <v>0.0</v>
      </c>
      <c r="X74" s="19">
        <v>2.0</v>
      </c>
      <c r="Y74" s="13">
        <f t="shared" si="19"/>
        <v>205</v>
      </c>
    </row>
    <row r="75" ht="12.75" customHeight="1">
      <c r="A75" s="18"/>
      <c r="B75" s="55">
        <v>6.0</v>
      </c>
      <c r="C75" s="50" t="s">
        <v>62</v>
      </c>
      <c r="D75" s="62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2.0</v>
      </c>
      <c r="K75" s="19">
        <v>0.0</v>
      </c>
      <c r="L75" s="19">
        <v>2.0</v>
      </c>
      <c r="M75" s="19">
        <v>0.0</v>
      </c>
      <c r="N75" s="19">
        <v>1.0</v>
      </c>
      <c r="O75" s="19">
        <v>0.0</v>
      </c>
      <c r="P75" s="19">
        <v>0.0</v>
      </c>
      <c r="Q75" s="19">
        <v>1.0</v>
      </c>
      <c r="R75" s="19">
        <v>2.0</v>
      </c>
      <c r="S75" s="19">
        <v>1.0</v>
      </c>
      <c r="T75" s="19">
        <v>1.0</v>
      </c>
      <c r="U75" s="19">
        <v>2.0</v>
      </c>
      <c r="V75" s="19">
        <v>0.0</v>
      </c>
      <c r="W75" s="19">
        <v>0.0</v>
      </c>
      <c r="X75" s="19">
        <v>0.0</v>
      </c>
      <c r="Y75" s="13">
        <f t="shared" si="19"/>
        <v>12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2.0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3">
        <f t="shared" si="19"/>
        <v>4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9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9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20">SUM(E69:E78)</f>
        <v>17</v>
      </c>
      <c r="F79" s="13">
        <f t="shared" si="20"/>
        <v>32</v>
      </c>
      <c r="G79" s="13">
        <f t="shared" si="20"/>
        <v>43</v>
      </c>
      <c r="H79" s="13">
        <f t="shared" si="20"/>
        <v>61</v>
      </c>
      <c r="I79" s="13">
        <f t="shared" si="20"/>
        <v>29</v>
      </c>
      <c r="J79" s="13">
        <f t="shared" si="20"/>
        <v>80</v>
      </c>
      <c r="K79" s="13">
        <f t="shared" si="20"/>
        <v>51</v>
      </c>
      <c r="L79" s="13">
        <f t="shared" si="20"/>
        <v>62</v>
      </c>
      <c r="M79" s="13">
        <f t="shared" si="20"/>
        <v>58</v>
      </c>
      <c r="N79" s="13">
        <f t="shared" si="20"/>
        <v>26</v>
      </c>
      <c r="O79" s="13">
        <f t="shared" si="20"/>
        <v>69</v>
      </c>
      <c r="P79" s="13">
        <f t="shared" si="20"/>
        <v>26</v>
      </c>
      <c r="Q79" s="13">
        <f t="shared" si="20"/>
        <v>48</v>
      </c>
      <c r="R79" s="13">
        <f t="shared" si="20"/>
        <v>24</v>
      </c>
      <c r="S79" s="13">
        <f t="shared" si="20"/>
        <v>34</v>
      </c>
      <c r="T79" s="13">
        <f t="shared" si="20"/>
        <v>32</v>
      </c>
      <c r="U79" s="13">
        <f t="shared" si="20"/>
        <v>45</v>
      </c>
      <c r="V79" s="13">
        <f t="shared" si="20"/>
        <v>9</v>
      </c>
      <c r="W79" s="13">
        <f t="shared" si="20"/>
        <v>14</v>
      </c>
      <c r="X79" s="13">
        <f t="shared" si="20"/>
        <v>13</v>
      </c>
      <c r="Y79" s="13">
        <f t="shared" si="20"/>
        <v>773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6.0</v>
      </c>
      <c r="G81" s="19">
        <v>2.0</v>
      </c>
      <c r="H81" s="19">
        <v>4.0</v>
      </c>
      <c r="I81" s="19">
        <v>5.0</v>
      </c>
      <c r="J81" s="19">
        <v>1.0</v>
      </c>
      <c r="K81" s="19">
        <v>0.0</v>
      </c>
      <c r="L81" s="19">
        <v>3.0</v>
      </c>
      <c r="M81" s="19">
        <v>1.0</v>
      </c>
      <c r="N81" s="19">
        <v>7.0</v>
      </c>
      <c r="O81" s="19">
        <v>3.0</v>
      </c>
      <c r="P81" s="19">
        <v>4.0</v>
      </c>
      <c r="Q81" s="19">
        <v>2.0</v>
      </c>
      <c r="R81" s="19">
        <v>4.0</v>
      </c>
      <c r="S81" s="19">
        <v>5.0</v>
      </c>
      <c r="T81" s="19">
        <v>4.0</v>
      </c>
      <c r="U81" s="19">
        <v>7.0</v>
      </c>
      <c r="V81" s="19">
        <v>10.0</v>
      </c>
      <c r="W81" s="19">
        <v>0.0</v>
      </c>
      <c r="X81" s="19">
        <v>7.0</v>
      </c>
      <c r="Y81" s="13">
        <f t="shared" ref="Y81:Y90" si="21">SUM(E81:X81)</f>
        <v>76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8.0</v>
      </c>
      <c r="F82" s="19">
        <v>28.0</v>
      </c>
      <c r="G82" s="19">
        <v>5.0</v>
      </c>
      <c r="H82" s="19">
        <v>0.0</v>
      </c>
      <c r="I82" s="19">
        <v>9.0</v>
      </c>
      <c r="J82" s="19">
        <v>6.0</v>
      </c>
      <c r="K82" s="19">
        <v>1.0</v>
      </c>
      <c r="L82" s="19">
        <v>0.0</v>
      </c>
      <c r="M82" s="19">
        <v>1.0</v>
      </c>
      <c r="N82" s="19">
        <v>28.0</v>
      </c>
      <c r="O82" s="19">
        <v>3.0</v>
      </c>
      <c r="P82" s="19">
        <v>19.0</v>
      </c>
      <c r="Q82" s="19">
        <v>4.0</v>
      </c>
      <c r="R82" s="19">
        <v>0.0</v>
      </c>
      <c r="S82" s="19">
        <v>8.0</v>
      </c>
      <c r="T82" s="19">
        <v>6.0</v>
      </c>
      <c r="U82" s="19">
        <v>8.0</v>
      </c>
      <c r="V82" s="19">
        <v>22.0</v>
      </c>
      <c r="W82" s="19">
        <v>4.0</v>
      </c>
      <c r="X82" s="19">
        <v>15.0</v>
      </c>
      <c r="Y82" s="13">
        <f t="shared" si="21"/>
        <v>175</v>
      </c>
    </row>
    <row r="83" ht="12.75" customHeight="1">
      <c r="A83" s="18"/>
      <c r="B83" s="55">
        <v>2.0</v>
      </c>
      <c r="C83" s="50" t="s">
        <v>66</v>
      </c>
      <c r="D83" s="62"/>
      <c r="E83" s="19">
        <v>6.0</v>
      </c>
      <c r="F83" s="19">
        <v>15.0</v>
      </c>
      <c r="G83" s="19">
        <v>14.0</v>
      </c>
      <c r="H83" s="19">
        <v>4.0</v>
      </c>
      <c r="I83" s="19">
        <v>8.0</v>
      </c>
      <c r="J83" s="19">
        <v>4.0</v>
      </c>
      <c r="K83" s="19">
        <v>2.0</v>
      </c>
      <c r="L83" s="19">
        <v>9.0</v>
      </c>
      <c r="M83" s="19">
        <v>21.0</v>
      </c>
      <c r="N83" s="19">
        <v>14.0</v>
      </c>
      <c r="O83" s="19">
        <v>7.0</v>
      </c>
      <c r="P83" s="19">
        <v>4.0</v>
      </c>
      <c r="Q83" s="19">
        <v>16.0</v>
      </c>
      <c r="R83" s="19">
        <v>24.0</v>
      </c>
      <c r="S83" s="19">
        <v>16.0</v>
      </c>
      <c r="T83" s="19">
        <v>5.0</v>
      </c>
      <c r="U83" s="19">
        <v>9.0</v>
      </c>
      <c r="V83" s="19">
        <v>36.0</v>
      </c>
      <c r="W83" s="19">
        <v>18.0</v>
      </c>
      <c r="X83" s="19">
        <v>6.0</v>
      </c>
      <c r="Y83" s="13">
        <f t="shared" si="21"/>
        <v>238</v>
      </c>
    </row>
    <row r="84" ht="12.75" customHeight="1">
      <c r="A84" s="18"/>
      <c r="B84" s="55">
        <v>3.0</v>
      </c>
      <c r="C84" s="50" t="s">
        <v>67</v>
      </c>
      <c r="D84" s="62"/>
      <c r="E84" s="19">
        <v>0.0</v>
      </c>
      <c r="F84" s="19">
        <v>1.0</v>
      </c>
      <c r="G84" s="19">
        <v>0.0</v>
      </c>
      <c r="H84" s="19">
        <v>1.0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9">
        <v>2.0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1.0</v>
      </c>
      <c r="W84" s="19">
        <v>0.0</v>
      </c>
      <c r="X84" s="19">
        <v>4.0</v>
      </c>
      <c r="Y84" s="13">
        <f t="shared" si="21"/>
        <v>12</v>
      </c>
    </row>
    <row r="85" ht="12.75" customHeight="1">
      <c r="A85" s="18"/>
      <c r="B85" s="55">
        <v>4.0</v>
      </c>
      <c r="C85" s="50" t="s">
        <v>68</v>
      </c>
      <c r="D85" s="62"/>
      <c r="E85" s="19">
        <v>1.0</v>
      </c>
      <c r="F85" s="19">
        <v>0.0</v>
      </c>
      <c r="G85" s="19">
        <v>1.0</v>
      </c>
      <c r="H85" s="19">
        <v>1.0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2.0</v>
      </c>
      <c r="O85" s="19">
        <v>2.0</v>
      </c>
      <c r="P85" s="19">
        <v>0.0</v>
      </c>
      <c r="Q85" s="19">
        <v>1.0</v>
      </c>
      <c r="R85" s="19">
        <v>0.0</v>
      </c>
      <c r="S85" s="19">
        <v>0.0</v>
      </c>
      <c r="T85" s="19">
        <v>1.0</v>
      </c>
      <c r="U85" s="19">
        <v>0.0</v>
      </c>
      <c r="V85" s="19">
        <v>2.0</v>
      </c>
      <c r="W85" s="19">
        <v>1.0</v>
      </c>
      <c r="X85" s="19">
        <v>0.0</v>
      </c>
      <c r="Y85" s="13">
        <f t="shared" si="21"/>
        <v>13</v>
      </c>
    </row>
    <row r="86" ht="12.75" customHeight="1">
      <c r="A86" s="18"/>
      <c r="B86" s="55">
        <v>5.0</v>
      </c>
      <c r="C86" s="50" t="s">
        <v>69</v>
      </c>
      <c r="D86" s="62"/>
      <c r="E86" s="19">
        <v>2.0</v>
      </c>
      <c r="F86" s="19">
        <v>4.0</v>
      </c>
      <c r="G86" s="19">
        <v>1.0</v>
      </c>
      <c r="H86" s="19">
        <v>0.0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1.0</v>
      </c>
      <c r="V86" s="19">
        <v>0.0</v>
      </c>
      <c r="W86" s="19">
        <v>1.0</v>
      </c>
      <c r="X86" s="19">
        <v>0.0</v>
      </c>
      <c r="Y86" s="13">
        <f t="shared" si="21"/>
        <v>11</v>
      </c>
    </row>
    <row r="87" ht="12.75" customHeight="1">
      <c r="A87" s="18"/>
      <c r="B87" s="55">
        <v>6.0</v>
      </c>
      <c r="C87" s="50" t="s">
        <v>70</v>
      </c>
      <c r="D87" s="62"/>
      <c r="E87" s="19">
        <v>1.0</v>
      </c>
      <c r="F87" s="19">
        <v>0.0</v>
      </c>
      <c r="G87" s="19">
        <v>1.0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3">
        <f t="shared" si="21"/>
        <v>4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3">
        <f t="shared" si="21"/>
        <v>1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1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1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22">SUM(E81:E90)</f>
        <v>19</v>
      </c>
      <c r="F91" s="13">
        <f t="shared" si="22"/>
        <v>55</v>
      </c>
      <c r="G91" s="13">
        <f t="shared" si="22"/>
        <v>24</v>
      </c>
      <c r="H91" s="13">
        <f t="shared" si="22"/>
        <v>10</v>
      </c>
      <c r="I91" s="13">
        <f t="shared" si="22"/>
        <v>25</v>
      </c>
      <c r="J91" s="13">
        <f t="shared" si="22"/>
        <v>11</v>
      </c>
      <c r="K91" s="13">
        <f t="shared" si="22"/>
        <v>4</v>
      </c>
      <c r="L91" s="13">
        <f t="shared" si="22"/>
        <v>12</v>
      </c>
      <c r="M91" s="13">
        <f t="shared" si="22"/>
        <v>25</v>
      </c>
      <c r="N91" s="13">
        <f t="shared" si="22"/>
        <v>53</v>
      </c>
      <c r="O91" s="13">
        <f t="shared" si="22"/>
        <v>15</v>
      </c>
      <c r="P91" s="13">
        <f t="shared" si="22"/>
        <v>28</v>
      </c>
      <c r="Q91" s="13">
        <f t="shared" si="22"/>
        <v>23</v>
      </c>
      <c r="R91" s="13">
        <f t="shared" si="22"/>
        <v>29</v>
      </c>
      <c r="S91" s="13">
        <f t="shared" si="22"/>
        <v>29</v>
      </c>
      <c r="T91" s="13">
        <f t="shared" si="22"/>
        <v>16</v>
      </c>
      <c r="U91" s="13">
        <f t="shared" si="22"/>
        <v>25</v>
      </c>
      <c r="V91" s="13">
        <f t="shared" si="22"/>
        <v>71</v>
      </c>
      <c r="W91" s="13">
        <f t="shared" si="22"/>
        <v>24</v>
      </c>
      <c r="X91" s="13">
        <f t="shared" si="22"/>
        <v>32</v>
      </c>
      <c r="Y91" s="13">
        <f t="shared" si="22"/>
        <v>530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2.0</v>
      </c>
      <c r="H93" s="19">
        <v>1.0</v>
      </c>
      <c r="I93" s="19">
        <v>2.0</v>
      </c>
      <c r="J93" s="19">
        <v>2.0</v>
      </c>
      <c r="K93" s="19">
        <v>1.0</v>
      </c>
      <c r="L93" s="19">
        <v>3.0</v>
      </c>
      <c r="M93" s="19">
        <v>0.0</v>
      </c>
      <c r="N93" s="19">
        <v>4.0</v>
      </c>
      <c r="O93" s="19">
        <v>4.0</v>
      </c>
      <c r="P93" s="19">
        <v>3.0</v>
      </c>
      <c r="Q93" s="19">
        <v>2.0</v>
      </c>
      <c r="R93" s="19">
        <v>2.0</v>
      </c>
      <c r="S93" s="19">
        <v>2.0</v>
      </c>
      <c r="T93" s="19">
        <v>9.0</v>
      </c>
      <c r="U93" s="19">
        <v>4.0</v>
      </c>
      <c r="V93" s="19">
        <v>2.0</v>
      </c>
      <c r="W93" s="19">
        <v>0.0</v>
      </c>
      <c r="X93" s="19">
        <v>3.0</v>
      </c>
      <c r="Y93" s="13">
        <f t="shared" ref="Y93:Y102" si="23">SUM(E93:X93)</f>
        <v>48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2.0</v>
      </c>
      <c r="F94" s="19">
        <v>1.0</v>
      </c>
      <c r="G94" s="19">
        <v>2.0</v>
      </c>
      <c r="H94" s="19">
        <v>0.0</v>
      </c>
      <c r="I94" s="19">
        <v>2.0</v>
      </c>
      <c r="J94" s="19">
        <v>2.0</v>
      </c>
      <c r="K94" s="19">
        <v>1.0</v>
      </c>
      <c r="L94" s="19">
        <v>2.0</v>
      </c>
      <c r="M94" s="19">
        <v>1.0</v>
      </c>
      <c r="N94" s="19">
        <v>7.0</v>
      </c>
      <c r="O94" s="19">
        <v>3.0</v>
      </c>
      <c r="P94" s="19">
        <v>3.0</v>
      </c>
      <c r="Q94" s="19">
        <v>3.0</v>
      </c>
      <c r="R94" s="19">
        <v>2.0</v>
      </c>
      <c r="S94" s="19">
        <v>4.0</v>
      </c>
      <c r="T94" s="19">
        <v>6.0</v>
      </c>
      <c r="U94" s="19">
        <v>6.0</v>
      </c>
      <c r="V94" s="19">
        <v>1.0</v>
      </c>
      <c r="W94" s="19">
        <v>3.0</v>
      </c>
      <c r="X94" s="19">
        <v>4.0</v>
      </c>
      <c r="Y94" s="13">
        <f t="shared" si="23"/>
        <v>55</v>
      </c>
    </row>
    <row r="95" ht="12.75" customHeight="1">
      <c r="A95" s="18"/>
      <c r="B95" s="55">
        <v>2.0</v>
      </c>
      <c r="C95" s="50" t="s">
        <v>75</v>
      </c>
      <c r="D95" s="62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0.0</v>
      </c>
      <c r="S95" s="19">
        <v>1.0</v>
      </c>
      <c r="T95" s="19">
        <v>4.0</v>
      </c>
      <c r="U95" s="19">
        <v>0.0</v>
      </c>
      <c r="V95" s="19">
        <v>0.0</v>
      </c>
      <c r="W95" s="19">
        <v>1.0</v>
      </c>
      <c r="X95" s="19">
        <v>0.0</v>
      </c>
      <c r="Y95" s="13">
        <f t="shared" si="23"/>
        <v>7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2.0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3">
        <f t="shared" si="23"/>
        <v>5</v>
      </c>
    </row>
    <row r="97" ht="12.75" customHeight="1">
      <c r="A97" s="18"/>
      <c r="B97" s="55">
        <v>4.0</v>
      </c>
      <c r="C97" s="50" t="s">
        <v>77</v>
      </c>
      <c r="D97" s="62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2.0</v>
      </c>
      <c r="R97" s="19">
        <v>0.0</v>
      </c>
      <c r="S97" s="19">
        <v>0.0</v>
      </c>
      <c r="T97" s="19">
        <v>0.0</v>
      </c>
      <c r="U97" s="19">
        <v>0.0</v>
      </c>
      <c r="V97" s="19">
        <v>2.0</v>
      </c>
      <c r="W97" s="19">
        <v>1.0</v>
      </c>
      <c r="X97" s="19">
        <v>0.0</v>
      </c>
      <c r="Y97" s="13">
        <f t="shared" si="23"/>
        <v>6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2.0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3">
        <f t="shared" si="23"/>
        <v>3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2.0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1.0</v>
      </c>
      <c r="V99" s="19">
        <v>0.0</v>
      </c>
      <c r="W99" s="19">
        <v>1.0</v>
      </c>
      <c r="X99" s="19">
        <v>0.0</v>
      </c>
      <c r="Y99" s="13">
        <f t="shared" si="23"/>
        <v>4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1.0</v>
      </c>
      <c r="S100" s="19">
        <v>0.0</v>
      </c>
      <c r="T100" s="19">
        <v>0.0</v>
      </c>
      <c r="U100" s="19">
        <v>0.0</v>
      </c>
      <c r="V100" s="19">
        <v>0.0</v>
      </c>
      <c r="W100" s="19">
        <v>1.0</v>
      </c>
      <c r="X100" s="19">
        <v>0.0</v>
      </c>
      <c r="Y100" s="13">
        <f t="shared" si="23"/>
        <v>3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3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3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24">SUM(E93:E102)</f>
        <v>3</v>
      </c>
      <c r="F103" s="13">
        <f t="shared" si="24"/>
        <v>2</v>
      </c>
      <c r="G103" s="13">
        <f t="shared" si="24"/>
        <v>4</v>
      </c>
      <c r="H103" s="13">
        <f t="shared" si="24"/>
        <v>2</v>
      </c>
      <c r="I103" s="13">
        <f t="shared" si="24"/>
        <v>4</v>
      </c>
      <c r="J103" s="13">
        <f t="shared" si="24"/>
        <v>6</v>
      </c>
      <c r="K103" s="13">
        <f t="shared" si="24"/>
        <v>4</v>
      </c>
      <c r="L103" s="13">
        <f t="shared" si="24"/>
        <v>8</v>
      </c>
      <c r="M103" s="13">
        <f t="shared" si="24"/>
        <v>1</v>
      </c>
      <c r="N103" s="13">
        <f t="shared" si="24"/>
        <v>11</v>
      </c>
      <c r="O103" s="13">
        <f t="shared" si="24"/>
        <v>8</v>
      </c>
      <c r="P103" s="13">
        <f t="shared" si="24"/>
        <v>7</v>
      </c>
      <c r="Q103" s="13">
        <f t="shared" si="24"/>
        <v>7</v>
      </c>
      <c r="R103" s="13">
        <f t="shared" si="24"/>
        <v>7</v>
      </c>
      <c r="S103" s="13">
        <f t="shared" si="24"/>
        <v>7</v>
      </c>
      <c r="T103" s="13">
        <f t="shared" si="24"/>
        <v>19</v>
      </c>
      <c r="U103" s="13">
        <f t="shared" si="24"/>
        <v>11</v>
      </c>
      <c r="V103" s="13">
        <f t="shared" si="24"/>
        <v>5</v>
      </c>
      <c r="W103" s="13">
        <f t="shared" si="24"/>
        <v>7</v>
      </c>
      <c r="X103" s="13">
        <f t="shared" si="24"/>
        <v>8</v>
      </c>
      <c r="Y103" s="13">
        <f t="shared" si="24"/>
        <v>131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1.0</v>
      </c>
      <c r="L105" s="19">
        <v>1.0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3">
        <f t="shared" ref="Y105:Y114" si="25">SUM(E105:X105)</f>
        <v>7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1.0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0.0</v>
      </c>
      <c r="Y106" s="13">
        <f t="shared" si="25"/>
        <v>4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1.0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1.0</v>
      </c>
      <c r="W107" s="19">
        <v>1.0</v>
      </c>
      <c r="X107" s="19">
        <v>0.0</v>
      </c>
      <c r="Y107" s="13">
        <f t="shared" si="25"/>
        <v>6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3">
        <f t="shared" si="25"/>
        <v>2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3">
        <f t="shared" si="25"/>
        <v>0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1.0</v>
      </c>
      <c r="S110" s="19">
        <v>0.0</v>
      </c>
      <c r="T110" s="19">
        <v>1.0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5"/>
        <v>2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1.0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1.0</v>
      </c>
      <c r="V111" s="19">
        <v>0.0</v>
      </c>
      <c r="W111" s="19">
        <v>0.0</v>
      </c>
      <c r="X111" s="19">
        <v>0.0</v>
      </c>
      <c r="Y111" s="13">
        <f t="shared" si="25"/>
        <v>2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5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5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5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26">SUM(E105:E114)</f>
        <v>1</v>
      </c>
      <c r="F115" s="13">
        <f t="shared" si="26"/>
        <v>1</v>
      </c>
      <c r="G115" s="13">
        <f t="shared" si="26"/>
        <v>0</v>
      </c>
      <c r="H115" s="13">
        <f t="shared" si="26"/>
        <v>1</v>
      </c>
      <c r="I115" s="13">
        <f t="shared" si="26"/>
        <v>2</v>
      </c>
      <c r="J115" s="13">
        <f t="shared" si="26"/>
        <v>1</v>
      </c>
      <c r="K115" s="13">
        <f t="shared" si="26"/>
        <v>3</v>
      </c>
      <c r="L115" s="13">
        <f t="shared" si="26"/>
        <v>3</v>
      </c>
      <c r="M115" s="13">
        <f t="shared" si="26"/>
        <v>0</v>
      </c>
      <c r="N115" s="13">
        <f t="shared" si="26"/>
        <v>1</v>
      </c>
      <c r="O115" s="13">
        <f t="shared" si="26"/>
        <v>1</v>
      </c>
      <c r="P115" s="13">
        <f t="shared" si="26"/>
        <v>1</v>
      </c>
      <c r="Q115" s="13">
        <f t="shared" si="26"/>
        <v>0</v>
      </c>
      <c r="R115" s="13">
        <f t="shared" si="26"/>
        <v>1</v>
      </c>
      <c r="S115" s="13">
        <f t="shared" si="26"/>
        <v>0</v>
      </c>
      <c r="T115" s="13">
        <f t="shared" si="26"/>
        <v>2</v>
      </c>
      <c r="U115" s="13">
        <f t="shared" si="26"/>
        <v>3</v>
      </c>
      <c r="V115" s="13">
        <f t="shared" si="26"/>
        <v>1</v>
      </c>
      <c r="W115" s="13">
        <f t="shared" si="26"/>
        <v>1</v>
      </c>
      <c r="X115" s="13">
        <f t="shared" si="26"/>
        <v>0</v>
      </c>
      <c r="Y115" s="13">
        <f t="shared" si="26"/>
        <v>23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1.0</v>
      </c>
      <c r="L117" s="19">
        <v>0.0</v>
      </c>
      <c r="M117" s="19">
        <v>0.0</v>
      </c>
      <c r="N117" s="19">
        <v>1.0</v>
      </c>
      <c r="O117" s="19">
        <v>1.0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1.0</v>
      </c>
      <c r="V117" s="19">
        <v>0.0</v>
      </c>
      <c r="W117" s="19">
        <v>0.0</v>
      </c>
      <c r="X117" s="19">
        <v>1.0</v>
      </c>
      <c r="Y117" s="13">
        <f t="shared" ref="Y117:Y126" si="27">SUM(E117:X117)</f>
        <v>7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3">
        <f t="shared" si="27"/>
        <v>2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3">
        <f t="shared" si="27"/>
        <v>0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3">
        <f t="shared" si="27"/>
        <v>2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7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7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7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7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7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7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Y127" si="28">SUM(E117:E126)</f>
        <v>0</v>
      </c>
      <c r="F127" s="13">
        <f t="shared" si="28"/>
        <v>0</v>
      </c>
      <c r="G127" s="13">
        <f t="shared" si="28"/>
        <v>1</v>
      </c>
      <c r="H127" s="13">
        <f t="shared" si="28"/>
        <v>0</v>
      </c>
      <c r="I127" s="13">
        <f t="shared" si="28"/>
        <v>0</v>
      </c>
      <c r="J127" s="13">
        <f t="shared" si="28"/>
        <v>1</v>
      </c>
      <c r="K127" s="13">
        <f t="shared" si="28"/>
        <v>1</v>
      </c>
      <c r="L127" s="13">
        <f t="shared" si="28"/>
        <v>0</v>
      </c>
      <c r="M127" s="13">
        <f t="shared" si="28"/>
        <v>0</v>
      </c>
      <c r="N127" s="13">
        <f t="shared" si="28"/>
        <v>3</v>
      </c>
      <c r="O127" s="13">
        <f t="shared" si="28"/>
        <v>1</v>
      </c>
      <c r="P127" s="13">
        <f t="shared" si="28"/>
        <v>1</v>
      </c>
      <c r="Q127" s="13">
        <f t="shared" si="28"/>
        <v>0</v>
      </c>
      <c r="R127" s="13">
        <f t="shared" si="28"/>
        <v>0</v>
      </c>
      <c r="S127" s="13">
        <f t="shared" si="28"/>
        <v>0</v>
      </c>
      <c r="T127" s="13">
        <f t="shared" si="28"/>
        <v>1</v>
      </c>
      <c r="U127" s="13">
        <f t="shared" si="28"/>
        <v>1</v>
      </c>
      <c r="V127" s="13">
        <f t="shared" si="28"/>
        <v>0</v>
      </c>
      <c r="W127" s="13">
        <f t="shared" si="28"/>
        <v>0</v>
      </c>
      <c r="X127" s="13">
        <f t="shared" si="28"/>
        <v>1</v>
      </c>
      <c r="Y127" s="13">
        <f t="shared" si="28"/>
        <v>11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2.0</v>
      </c>
      <c r="H129" s="19">
        <v>1.0</v>
      </c>
      <c r="I129" s="19">
        <v>2.0</v>
      </c>
      <c r="J129" s="19">
        <v>2.0</v>
      </c>
      <c r="K129" s="19">
        <v>0.0</v>
      </c>
      <c r="L129" s="19">
        <v>4.0</v>
      </c>
      <c r="M129" s="19">
        <v>3.0</v>
      </c>
      <c r="N129" s="19">
        <v>0.0</v>
      </c>
      <c r="O129" s="19">
        <v>0.0</v>
      </c>
      <c r="P129" s="19">
        <v>5.0</v>
      </c>
      <c r="Q129" s="19">
        <v>5.0</v>
      </c>
      <c r="R129" s="19">
        <v>0.0</v>
      </c>
      <c r="S129" s="19">
        <v>0.0</v>
      </c>
      <c r="T129" s="19">
        <v>1.0</v>
      </c>
      <c r="U129" s="19">
        <v>1.0</v>
      </c>
      <c r="V129" s="19">
        <v>0.0</v>
      </c>
      <c r="W129" s="19">
        <v>0.0</v>
      </c>
      <c r="X129" s="19">
        <v>0.0</v>
      </c>
      <c r="Y129" s="13">
        <f t="shared" ref="Y129:Y138" si="29">SUM(E129:X129)</f>
        <v>28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2.0</v>
      </c>
      <c r="F130" s="19">
        <v>1.0</v>
      </c>
      <c r="G130" s="19">
        <v>1.0</v>
      </c>
      <c r="H130" s="19">
        <v>0.0</v>
      </c>
      <c r="I130" s="19">
        <v>3.0</v>
      </c>
      <c r="J130" s="19">
        <v>4.0</v>
      </c>
      <c r="K130" s="19">
        <v>1.0</v>
      </c>
      <c r="L130" s="19">
        <v>1.0</v>
      </c>
      <c r="M130" s="19">
        <v>4.0</v>
      </c>
      <c r="N130" s="19">
        <v>0.0</v>
      </c>
      <c r="O130" s="19">
        <v>0.0</v>
      </c>
      <c r="P130" s="19">
        <v>13.0</v>
      </c>
      <c r="Q130" s="19">
        <v>6.0</v>
      </c>
      <c r="R130" s="19">
        <v>4.0</v>
      </c>
      <c r="S130" s="19">
        <v>1.0</v>
      </c>
      <c r="T130" s="19">
        <v>4.0</v>
      </c>
      <c r="U130" s="19">
        <v>2.0</v>
      </c>
      <c r="V130" s="19">
        <v>0.0</v>
      </c>
      <c r="W130" s="19">
        <v>1.0</v>
      </c>
      <c r="X130" s="19">
        <v>0.0</v>
      </c>
      <c r="Y130" s="13">
        <f t="shared" si="29"/>
        <v>48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3.0</v>
      </c>
      <c r="F131" s="19">
        <v>2.0</v>
      </c>
      <c r="G131" s="19">
        <v>3.0</v>
      </c>
      <c r="H131" s="19">
        <v>0.0</v>
      </c>
      <c r="I131" s="19">
        <v>0.0</v>
      </c>
      <c r="J131" s="19">
        <v>5.0</v>
      </c>
      <c r="K131" s="19">
        <v>1.0</v>
      </c>
      <c r="L131" s="19">
        <v>7.0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3.0</v>
      </c>
      <c r="S131" s="19">
        <v>0.0</v>
      </c>
      <c r="T131" s="19">
        <v>0.0</v>
      </c>
      <c r="U131" s="19">
        <v>0.0</v>
      </c>
      <c r="V131" s="19">
        <v>2.0</v>
      </c>
      <c r="W131" s="19">
        <v>0.0</v>
      </c>
      <c r="X131" s="19">
        <v>0.0</v>
      </c>
      <c r="Y131" s="13">
        <f t="shared" si="29"/>
        <v>27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3">
        <f t="shared" si="29"/>
        <v>2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1.0</v>
      </c>
      <c r="H133" s="19">
        <v>1.0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3">
        <f t="shared" si="29"/>
        <v>3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3">
        <f t="shared" si="29"/>
        <v>3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3">
        <f t="shared" si="29"/>
        <v>1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1.0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3">
        <f t="shared" si="29"/>
        <v>1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9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9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30">SUM(E129:E138)</f>
        <v>6</v>
      </c>
      <c r="F139" s="13">
        <f t="shared" si="30"/>
        <v>4</v>
      </c>
      <c r="G139" s="13">
        <f t="shared" si="30"/>
        <v>8</v>
      </c>
      <c r="H139" s="13">
        <f t="shared" si="30"/>
        <v>2</v>
      </c>
      <c r="I139" s="13">
        <f t="shared" si="30"/>
        <v>7</v>
      </c>
      <c r="J139" s="13">
        <f t="shared" si="30"/>
        <v>13</v>
      </c>
      <c r="K139" s="13">
        <f t="shared" si="30"/>
        <v>2</v>
      </c>
      <c r="L139" s="13">
        <f t="shared" si="30"/>
        <v>13</v>
      </c>
      <c r="M139" s="13">
        <f t="shared" si="30"/>
        <v>7</v>
      </c>
      <c r="N139" s="13">
        <f t="shared" si="30"/>
        <v>0</v>
      </c>
      <c r="O139" s="13">
        <f t="shared" si="30"/>
        <v>0</v>
      </c>
      <c r="P139" s="13">
        <f t="shared" si="30"/>
        <v>18</v>
      </c>
      <c r="Q139" s="13">
        <f t="shared" si="30"/>
        <v>12</v>
      </c>
      <c r="R139" s="13">
        <f t="shared" si="30"/>
        <v>7</v>
      </c>
      <c r="S139" s="13">
        <f t="shared" si="30"/>
        <v>2</v>
      </c>
      <c r="T139" s="13">
        <f t="shared" si="30"/>
        <v>5</v>
      </c>
      <c r="U139" s="13">
        <f t="shared" si="30"/>
        <v>3</v>
      </c>
      <c r="V139" s="13">
        <f t="shared" si="30"/>
        <v>2</v>
      </c>
      <c r="W139" s="13">
        <f t="shared" si="30"/>
        <v>1</v>
      </c>
      <c r="X139" s="13">
        <f t="shared" si="30"/>
        <v>1</v>
      </c>
      <c r="Y139" s="13">
        <f t="shared" si="30"/>
        <v>113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0" si="31">SUM(E141:X141)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1"/>
        <v>0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1.0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1"/>
        <v>1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1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1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1"/>
        <v>0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1"/>
        <v>0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1.0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1"/>
        <v>1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1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1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32">SUM(E141:E150)</f>
        <v>0</v>
      </c>
      <c r="F151" s="13">
        <f t="shared" si="32"/>
        <v>1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1</v>
      </c>
      <c r="K151" s="13">
        <f t="shared" si="32"/>
        <v>0</v>
      </c>
      <c r="L151" s="13">
        <f t="shared" si="32"/>
        <v>0</v>
      </c>
      <c r="M151" s="13">
        <f t="shared" si="32"/>
        <v>1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0</v>
      </c>
      <c r="S151" s="13">
        <f t="shared" si="32"/>
        <v>0</v>
      </c>
      <c r="T151" s="13">
        <f t="shared" si="32"/>
        <v>1</v>
      </c>
      <c r="U151" s="13">
        <f t="shared" si="32"/>
        <v>0</v>
      </c>
      <c r="V151" s="13">
        <f t="shared" si="32"/>
        <v>0</v>
      </c>
      <c r="W151" s="13">
        <f t="shared" si="32"/>
        <v>0</v>
      </c>
      <c r="X151" s="13">
        <f t="shared" si="32"/>
        <v>0</v>
      </c>
      <c r="Y151" s="13">
        <f t="shared" si="32"/>
        <v>4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2.0</v>
      </c>
      <c r="O153" s="19">
        <v>1.0</v>
      </c>
      <c r="P153" s="19">
        <v>0.0</v>
      </c>
      <c r="Q153" s="19">
        <v>0.0</v>
      </c>
      <c r="R153" s="19">
        <v>2.0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3">
        <f t="shared" ref="Y153:Y163" si="33">SUM(E153:X153)</f>
        <v>6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9">
        <v>0.0</v>
      </c>
      <c r="Y154" s="13">
        <f t="shared" si="33"/>
        <v>2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3">
        <f t="shared" si="33"/>
        <v>1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3">
        <f t="shared" si="33"/>
        <v>0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si="33"/>
        <v>0</v>
      </c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3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3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3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3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X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1</v>
      </c>
      <c r="M163" s="13">
        <f t="shared" si="34"/>
        <v>0</v>
      </c>
      <c r="N163" s="13">
        <f t="shared" si="34"/>
        <v>2</v>
      </c>
      <c r="O163" s="13">
        <f t="shared" si="34"/>
        <v>1</v>
      </c>
      <c r="P163" s="13">
        <f t="shared" si="34"/>
        <v>1</v>
      </c>
      <c r="Q163" s="13">
        <f t="shared" si="34"/>
        <v>0</v>
      </c>
      <c r="R163" s="13">
        <f t="shared" si="34"/>
        <v>2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3"/>
        <v>9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2.0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3">
        <f t="shared" ref="Y165:Y174" si="35">SUM(E165:X165)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3">
        <f t="shared" si="35"/>
        <v>2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19">
        <v>0.0</v>
      </c>
      <c r="P167" s="19">
        <v>0.0</v>
      </c>
      <c r="Q167" s="19">
        <v>1.0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3">
        <f t="shared" si="35"/>
        <v>3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33.0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3">
        <f t="shared" si="35"/>
        <v>35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5"/>
        <v>1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5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5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2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37</v>
      </c>
      <c r="R175" s="13">
        <f t="shared" si="36"/>
        <v>0</v>
      </c>
      <c r="S175" s="13">
        <f t="shared" si="36"/>
        <v>0</v>
      </c>
      <c r="T175" s="13">
        <f t="shared" si="36"/>
        <v>1</v>
      </c>
      <c r="U175" s="13">
        <f t="shared" si="36"/>
        <v>2</v>
      </c>
      <c r="V175" s="13">
        <f t="shared" si="36"/>
        <v>0</v>
      </c>
      <c r="W175" s="13">
        <f t="shared" si="36"/>
        <v>1</v>
      </c>
      <c r="X175" s="13">
        <f t="shared" si="36"/>
        <v>0</v>
      </c>
      <c r="Y175" s="13">
        <f t="shared" si="36"/>
        <v>46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1.0</v>
      </c>
      <c r="U177" s="19">
        <v>0.0</v>
      </c>
      <c r="V177" s="19">
        <v>0.0</v>
      </c>
      <c r="W177" s="19">
        <v>1.0</v>
      </c>
      <c r="X177" s="19">
        <v>0.0</v>
      </c>
      <c r="Y177" s="13">
        <f t="shared" ref="Y177:Y186" si="37">SUM(E177:X177)</f>
        <v>6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0.0</v>
      </c>
      <c r="F178" s="19">
        <v>0.0</v>
      </c>
      <c r="G178" s="19">
        <v>3.0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1.0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3">
        <f t="shared" si="37"/>
        <v>5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2.0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3">
        <f t="shared" si="37"/>
        <v>4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3">
        <f t="shared" si="37"/>
        <v>0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3">
        <f t="shared" si="37"/>
        <v>4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3">
        <f t="shared" si="37"/>
        <v>2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7"/>
        <v>1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3">
        <f t="shared" si="37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7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38">SUM(E177:E186)</f>
        <v>1</v>
      </c>
      <c r="F187" s="13">
        <f t="shared" si="38"/>
        <v>4</v>
      </c>
      <c r="G187" s="13">
        <f t="shared" si="38"/>
        <v>3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1</v>
      </c>
      <c r="L187" s="13">
        <f t="shared" si="38"/>
        <v>3</v>
      </c>
      <c r="M187" s="13">
        <f t="shared" si="38"/>
        <v>1</v>
      </c>
      <c r="N187" s="13">
        <f t="shared" si="38"/>
        <v>1</v>
      </c>
      <c r="O187" s="13">
        <f t="shared" si="38"/>
        <v>0</v>
      </c>
      <c r="P187" s="13">
        <f t="shared" si="38"/>
        <v>2</v>
      </c>
      <c r="Q187" s="13">
        <f t="shared" si="38"/>
        <v>1</v>
      </c>
      <c r="R187" s="13">
        <f t="shared" si="38"/>
        <v>1</v>
      </c>
      <c r="S187" s="13">
        <f t="shared" si="38"/>
        <v>1</v>
      </c>
      <c r="T187" s="13">
        <f t="shared" si="38"/>
        <v>1</v>
      </c>
      <c r="U187" s="13">
        <f t="shared" si="38"/>
        <v>1</v>
      </c>
      <c r="V187" s="13">
        <f t="shared" si="38"/>
        <v>0</v>
      </c>
      <c r="W187" s="13">
        <f t="shared" si="38"/>
        <v>1</v>
      </c>
      <c r="X187" s="13">
        <f t="shared" si="38"/>
        <v>0</v>
      </c>
      <c r="Y187" s="13">
        <f t="shared" si="38"/>
        <v>22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1.0</v>
      </c>
      <c r="K189" s="19">
        <v>2.0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4.0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3">
        <f t="shared" ref="Y189:Y198" si="39">SUM(E189:X189)</f>
        <v>9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2.0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3">
        <f t="shared" si="39"/>
        <v>4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1.0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2.0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3">
        <f t="shared" si="39"/>
        <v>4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1.0</v>
      </c>
      <c r="O192" s="19">
        <v>0.0</v>
      </c>
      <c r="P192" s="19">
        <v>0.0</v>
      </c>
      <c r="Q192" s="19">
        <v>5.0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9"/>
        <v>6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9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9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3</v>
      </c>
      <c r="K199" s="13">
        <f t="shared" si="40"/>
        <v>4</v>
      </c>
      <c r="L199" s="13">
        <f t="shared" si="40"/>
        <v>0</v>
      </c>
      <c r="M199" s="13">
        <f t="shared" si="40"/>
        <v>0</v>
      </c>
      <c r="N199" s="13">
        <f t="shared" si="40"/>
        <v>1</v>
      </c>
      <c r="O199" s="13">
        <f t="shared" si="40"/>
        <v>0</v>
      </c>
      <c r="P199" s="13">
        <f t="shared" si="40"/>
        <v>1</v>
      </c>
      <c r="Q199" s="13">
        <f t="shared" si="40"/>
        <v>13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23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9.0</v>
      </c>
      <c r="F201" s="19">
        <v>4.0</v>
      </c>
      <c r="G201" s="19">
        <v>1.0</v>
      </c>
      <c r="H201" s="19">
        <v>2.0</v>
      </c>
      <c r="I201" s="19">
        <v>0.0</v>
      </c>
      <c r="J201" s="19">
        <v>3.0</v>
      </c>
      <c r="K201" s="19">
        <v>1.0</v>
      </c>
      <c r="L201" s="19">
        <v>4.0</v>
      </c>
      <c r="M201" s="19">
        <v>5.0</v>
      </c>
      <c r="N201" s="19">
        <v>1.0</v>
      </c>
      <c r="O201" s="19">
        <v>2.0</v>
      </c>
      <c r="P201" s="19">
        <v>1.0</v>
      </c>
      <c r="Q201" s="19">
        <v>0.0</v>
      </c>
      <c r="R201" s="19">
        <v>2.0</v>
      </c>
      <c r="S201" s="19">
        <v>0.0</v>
      </c>
      <c r="T201" s="19">
        <v>2.0</v>
      </c>
      <c r="U201" s="19">
        <v>2.0</v>
      </c>
      <c r="V201" s="19">
        <v>2.0</v>
      </c>
      <c r="W201" s="19">
        <v>1.0</v>
      </c>
      <c r="X201" s="19">
        <v>2.0</v>
      </c>
      <c r="Y201" s="13">
        <f t="shared" ref="Y201:Y210" si="41">SUM(E201:X201)</f>
        <v>44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5.0</v>
      </c>
      <c r="F202" s="19">
        <v>5.0</v>
      </c>
      <c r="G202" s="19">
        <v>2.0</v>
      </c>
      <c r="H202" s="19">
        <v>2.0</v>
      </c>
      <c r="I202" s="19">
        <v>5.0</v>
      </c>
      <c r="J202" s="19">
        <v>2.0</v>
      </c>
      <c r="K202" s="19">
        <v>3.0</v>
      </c>
      <c r="L202" s="19">
        <v>3.0</v>
      </c>
      <c r="M202" s="19">
        <v>1.0</v>
      </c>
      <c r="N202" s="19">
        <v>0.0</v>
      </c>
      <c r="O202" s="19">
        <v>2.0</v>
      </c>
      <c r="P202" s="19">
        <v>0.0</v>
      </c>
      <c r="Q202" s="19">
        <v>0.0</v>
      </c>
      <c r="R202" s="19">
        <v>36.0</v>
      </c>
      <c r="S202" s="19">
        <v>2.0</v>
      </c>
      <c r="T202" s="19">
        <v>4.0</v>
      </c>
      <c r="U202" s="19">
        <v>5.0</v>
      </c>
      <c r="V202" s="19">
        <v>2.0</v>
      </c>
      <c r="W202" s="19">
        <v>4.0</v>
      </c>
      <c r="X202" s="19">
        <v>3.0</v>
      </c>
      <c r="Y202" s="13">
        <f t="shared" si="41"/>
        <v>86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0.0</v>
      </c>
      <c r="F203" s="19">
        <v>2.0</v>
      </c>
      <c r="G203" s="19">
        <v>2.0</v>
      </c>
      <c r="H203" s="19">
        <v>0.0</v>
      </c>
      <c r="I203" s="19">
        <v>4.0</v>
      </c>
      <c r="J203" s="19">
        <v>1.0</v>
      </c>
      <c r="K203" s="19">
        <v>0.0</v>
      </c>
      <c r="L203" s="19">
        <v>1.0</v>
      </c>
      <c r="M203" s="19">
        <v>1.0</v>
      </c>
      <c r="N203" s="19">
        <v>2.0</v>
      </c>
      <c r="O203" s="19">
        <v>0.0</v>
      </c>
      <c r="P203" s="19">
        <v>1.0</v>
      </c>
      <c r="Q203" s="19">
        <v>1.0</v>
      </c>
      <c r="R203" s="19">
        <v>0.0</v>
      </c>
      <c r="S203" s="19">
        <v>0.0</v>
      </c>
      <c r="T203" s="19">
        <v>0.0</v>
      </c>
      <c r="U203" s="19">
        <v>3.0</v>
      </c>
      <c r="V203" s="19">
        <v>2.0</v>
      </c>
      <c r="W203" s="19">
        <v>0.0</v>
      </c>
      <c r="X203" s="19">
        <v>3.0</v>
      </c>
      <c r="Y203" s="13">
        <f t="shared" si="41"/>
        <v>23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4.0</v>
      </c>
      <c r="F204" s="19">
        <v>18.0</v>
      </c>
      <c r="G204" s="19">
        <v>10.0</v>
      </c>
      <c r="H204" s="19">
        <v>10.0</v>
      </c>
      <c r="I204" s="19">
        <v>16.0</v>
      </c>
      <c r="J204" s="19">
        <v>9.0</v>
      </c>
      <c r="K204" s="19">
        <v>11.0</v>
      </c>
      <c r="L204" s="19">
        <v>7.0</v>
      </c>
      <c r="M204" s="19">
        <v>1.0</v>
      </c>
      <c r="N204" s="19">
        <v>8.0</v>
      </c>
      <c r="O204" s="19">
        <v>22.0</v>
      </c>
      <c r="P204" s="19">
        <v>6.0</v>
      </c>
      <c r="Q204" s="19">
        <v>0.0</v>
      </c>
      <c r="R204" s="19">
        <v>2.0</v>
      </c>
      <c r="S204" s="19">
        <v>3.0</v>
      </c>
      <c r="T204" s="19">
        <v>0.0</v>
      </c>
      <c r="U204" s="19">
        <v>4.0</v>
      </c>
      <c r="V204" s="19">
        <v>0.0</v>
      </c>
      <c r="W204" s="19">
        <v>0.0</v>
      </c>
      <c r="X204" s="19">
        <v>0.0</v>
      </c>
      <c r="Y204" s="13">
        <f t="shared" si="41"/>
        <v>131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1.0</v>
      </c>
      <c r="U205" s="19">
        <v>0.0</v>
      </c>
      <c r="V205" s="19">
        <v>0.0</v>
      </c>
      <c r="W205" s="19">
        <v>1.0</v>
      </c>
      <c r="X205" s="19">
        <v>1.0</v>
      </c>
      <c r="Y205" s="13">
        <f t="shared" si="41"/>
        <v>6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2.0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1.0</v>
      </c>
      <c r="T206" s="19">
        <v>1.0</v>
      </c>
      <c r="U206" s="19">
        <v>1.0</v>
      </c>
      <c r="V206" s="19">
        <v>0.0</v>
      </c>
      <c r="W206" s="19">
        <v>0.0</v>
      </c>
      <c r="X206" s="19">
        <v>0.0</v>
      </c>
      <c r="Y206" s="13">
        <f t="shared" si="41"/>
        <v>7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3">
        <f t="shared" si="41"/>
        <v>2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1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42">SUM(E201:E210)</f>
        <v>18</v>
      </c>
      <c r="F211" s="13">
        <f t="shared" si="42"/>
        <v>31</v>
      </c>
      <c r="G211" s="13">
        <f t="shared" si="42"/>
        <v>15</v>
      </c>
      <c r="H211" s="13">
        <f t="shared" si="42"/>
        <v>14</v>
      </c>
      <c r="I211" s="13">
        <f t="shared" si="42"/>
        <v>26</v>
      </c>
      <c r="J211" s="13">
        <f t="shared" si="42"/>
        <v>15</v>
      </c>
      <c r="K211" s="13">
        <f t="shared" si="42"/>
        <v>15</v>
      </c>
      <c r="L211" s="13">
        <f t="shared" si="42"/>
        <v>18</v>
      </c>
      <c r="M211" s="13">
        <f t="shared" si="42"/>
        <v>8</v>
      </c>
      <c r="N211" s="13">
        <f t="shared" si="42"/>
        <v>11</v>
      </c>
      <c r="O211" s="13">
        <f t="shared" si="42"/>
        <v>26</v>
      </c>
      <c r="P211" s="13">
        <f t="shared" si="42"/>
        <v>9</v>
      </c>
      <c r="Q211" s="13">
        <f t="shared" si="42"/>
        <v>1</v>
      </c>
      <c r="R211" s="13">
        <f t="shared" si="42"/>
        <v>41</v>
      </c>
      <c r="S211" s="13">
        <f t="shared" si="42"/>
        <v>6</v>
      </c>
      <c r="T211" s="13">
        <f t="shared" si="42"/>
        <v>9</v>
      </c>
      <c r="U211" s="13">
        <f t="shared" si="42"/>
        <v>15</v>
      </c>
      <c r="V211" s="13">
        <f t="shared" si="42"/>
        <v>6</v>
      </c>
      <c r="W211" s="13">
        <f t="shared" si="42"/>
        <v>6</v>
      </c>
      <c r="X211" s="13">
        <f t="shared" si="42"/>
        <v>9</v>
      </c>
      <c r="Y211" s="13">
        <f t="shared" si="42"/>
        <v>299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2.0</v>
      </c>
      <c r="H213" s="19">
        <v>1.0</v>
      </c>
      <c r="I213" s="19">
        <v>1.0</v>
      </c>
      <c r="J213" s="19">
        <v>2.0</v>
      </c>
      <c r="K213" s="19">
        <v>2.0</v>
      </c>
      <c r="L213" s="19">
        <v>1.0</v>
      </c>
      <c r="M213" s="19">
        <v>5.0</v>
      </c>
      <c r="N213" s="19">
        <v>0.0</v>
      </c>
      <c r="O213" s="19">
        <v>1.0</v>
      </c>
      <c r="P213" s="19">
        <v>5.0</v>
      </c>
      <c r="Q213" s="19">
        <v>2.0</v>
      </c>
      <c r="R213" s="19">
        <v>1.0</v>
      </c>
      <c r="S213" s="19">
        <v>0.0</v>
      </c>
      <c r="T213" s="19">
        <v>0.0</v>
      </c>
      <c r="U213" s="19">
        <v>0.0</v>
      </c>
      <c r="V213" s="19">
        <v>1.0</v>
      </c>
      <c r="W213" s="19">
        <v>1.0</v>
      </c>
      <c r="X213" s="19">
        <v>0.0</v>
      </c>
      <c r="Y213" s="13">
        <f t="shared" ref="Y213:Y222" si="43">SUM(E213:X213)</f>
        <v>26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0.0</v>
      </c>
      <c r="F214" s="19">
        <v>0.0</v>
      </c>
      <c r="G214" s="19">
        <v>1.0</v>
      </c>
      <c r="H214" s="19">
        <v>1.0</v>
      </c>
      <c r="I214" s="19">
        <v>1.0</v>
      </c>
      <c r="J214" s="19">
        <v>2.0</v>
      </c>
      <c r="K214" s="19">
        <v>3.0</v>
      </c>
      <c r="L214" s="19">
        <v>1.0</v>
      </c>
      <c r="M214" s="19">
        <v>2.0</v>
      </c>
      <c r="N214" s="19">
        <v>0.0</v>
      </c>
      <c r="O214" s="19">
        <v>0.0</v>
      </c>
      <c r="P214" s="19">
        <v>4.0</v>
      </c>
      <c r="Q214" s="19">
        <v>0.0</v>
      </c>
      <c r="R214" s="19">
        <v>0.0</v>
      </c>
      <c r="S214" s="19">
        <v>2.0</v>
      </c>
      <c r="T214" s="19">
        <v>0.0</v>
      </c>
      <c r="U214" s="19">
        <v>1.0</v>
      </c>
      <c r="V214" s="19">
        <v>0.0</v>
      </c>
      <c r="W214" s="19">
        <v>1.0</v>
      </c>
      <c r="X214" s="19">
        <v>0.0</v>
      </c>
      <c r="Y214" s="13">
        <f t="shared" si="43"/>
        <v>19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12.0</v>
      </c>
      <c r="F215" s="19">
        <v>2.0</v>
      </c>
      <c r="G215" s="19">
        <v>1.0</v>
      </c>
      <c r="H215" s="19">
        <v>2.0</v>
      </c>
      <c r="I215" s="19">
        <v>1.0</v>
      </c>
      <c r="J215" s="19">
        <v>4.0</v>
      </c>
      <c r="K215" s="19">
        <v>0.0</v>
      </c>
      <c r="L215" s="19">
        <v>0.0</v>
      </c>
      <c r="M215" s="19">
        <v>42.0</v>
      </c>
      <c r="N215" s="19">
        <v>1.0</v>
      </c>
      <c r="O215" s="19">
        <v>0.0</v>
      </c>
      <c r="P215" s="19">
        <v>1.0</v>
      </c>
      <c r="Q215" s="19">
        <v>0.0</v>
      </c>
      <c r="R215" s="19">
        <v>2.0</v>
      </c>
      <c r="S215" s="19">
        <v>35.0</v>
      </c>
      <c r="T215" s="19">
        <v>4.0</v>
      </c>
      <c r="U215" s="19">
        <v>0.0</v>
      </c>
      <c r="V215" s="19">
        <v>2.0</v>
      </c>
      <c r="W215" s="19">
        <v>1.0</v>
      </c>
      <c r="X215" s="19">
        <v>3.0</v>
      </c>
      <c r="Y215" s="13">
        <f t="shared" si="43"/>
        <v>113</v>
      </c>
    </row>
    <row r="216" ht="12.75" customHeight="1">
      <c r="A216" s="18"/>
      <c r="B216" s="55">
        <v>3.0</v>
      </c>
      <c r="C216" s="69" t="s">
        <v>159</v>
      </c>
      <c r="E216" s="19">
        <v>1.0</v>
      </c>
      <c r="F216" s="19">
        <v>1.0</v>
      </c>
      <c r="G216" s="19">
        <v>0.0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3">
        <f t="shared" si="43"/>
        <v>3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3">
        <f t="shared" si="43"/>
        <v>3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3"/>
        <v>0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3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44">SUM(E213:E222)</f>
        <v>14</v>
      </c>
      <c r="F223" s="13">
        <f t="shared" si="44"/>
        <v>4</v>
      </c>
      <c r="G223" s="13">
        <f t="shared" si="44"/>
        <v>4</v>
      </c>
      <c r="H223" s="13">
        <f t="shared" si="44"/>
        <v>5</v>
      </c>
      <c r="I223" s="13">
        <f t="shared" si="44"/>
        <v>3</v>
      </c>
      <c r="J223" s="13">
        <f t="shared" si="44"/>
        <v>8</v>
      </c>
      <c r="K223" s="13">
        <f t="shared" si="44"/>
        <v>5</v>
      </c>
      <c r="L223" s="13">
        <f t="shared" si="44"/>
        <v>2</v>
      </c>
      <c r="M223" s="13">
        <f t="shared" si="44"/>
        <v>50</v>
      </c>
      <c r="N223" s="13">
        <f t="shared" si="44"/>
        <v>1</v>
      </c>
      <c r="O223" s="13">
        <f t="shared" si="44"/>
        <v>1</v>
      </c>
      <c r="P223" s="13">
        <f t="shared" si="44"/>
        <v>11</v>
      </c>
      <c r="Q223" s="13">
        <f t="shared" si="44"/>
        <v>2</v>
      </c>
      <c r="R223" s="13">
        <f t="shared" si="44"/>
        <v>3</v>
      </c>
      <c r="S223" s="13">
        <f t="shared" si="44"/>
        <v>37</v>
      </c>
      <c r="T223" s="13">
        <f t="shared" si="44"/>
        <v>5</v>
      </c>
      <c r="U223" s="13">
        <f t="shared" si="44"/>
        <v>1</v>
      </c>
      <c r="V223" s="13">
        <f t="shared" si="44"/>
        <v>3</v>
      </c>
      <c r="W223" s="13">
        <f t="shared" si="44"/>
        <v>3</v>
      </c>
      <c r="X223" s="13">
        <f t="shared" si="44"/>
        <v>3</v>
      </c>
      <c r="Y223" s="13">
        <f t="shared" si="44"/>
        <v>165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2.0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3">
        <f t="shared" ref="Y225:Y234" si="45">SUM(E225:X225)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0.0</v>
      </c>
      <c r="G226" s="19">
        <v>0.0</v>
      </c>
      <c r="H226" s="19">
        <v>0.0</v>
      </c>
      <c r="I226" s="19">
        <v>2.0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3">
        <f t="shared" si="45"/>
        <v>4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3">
        <f t="shared" si="45"/>
        <v>1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2.0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3">
        <f t="shared" si="45"/>
        <v>4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5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46">SUM(E225:E234)</f>
        <v>0</v>
      </c>
      <c r="F235" s="13">
        <f t="shared" si="46"/>
        <v>0</v>
      </c>
      <c r="G235" s="13">
        <f t="shared" si="46"/>
        <v>1</v>
      </c>
      <c r="H235" s="13">
        <f t="shared" si="46"/>
        <v>2</v>
      </c>
      <c r="I235" s="13">
        <f t="shared" si="46"/>
        <v>3</v>
      </c>
      <c r="J235" s="13">
        <f t="shared" si="46"/>
        <v>2</v>
      </c>
      <c r="K235" s="13">
        <f t="shared" si="46"/>
        <v>2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3</v>
      </c>
      <c r="R235" s="13">
        <f t="shared" si="46"/>
        <v>1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16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1.0</v>
      </c>
      <c r="K237" s="19">
        <v>1.0</v>
      </c>
      <c r="L237" s="19">
        <v>0.0</v>
      </c>
      <c r="M237" s="19">
        <v>0.0</v>
      </c>
      <c r="N237" s="19">
        <v>4.0</v>
      </c>
      <c r="O237" s="19">
        <v>0.0</v>
      </c>
      <c r="P237" s="19">
        <v>1.0</v>
      </c>
      <c r="Q237" s="19">
        <v>0.0</v>
      </c>
      <c r="R237" s="19">
        <v>0.0</v>
      </c>
      <c r="S237" s="19">
        <v>0.0</v>
      </c>
      <c r="T237" s="19">
        <v>1.0</v>
      </c>
      <c r="U237" s="19">
        <v>0.0</v>
      </c>
      <c r="V237" s="19">
        <v>1.0</v>
      </c>
      <c r="W237" s="19">
        <v>0.0</v>
      </c>
      <c r="X237" s="19">
        <v>0.0</v>
      </c>
      <c r="Y237" s="13">
        <f t="shared" ref="Y237:Y246" si="47">SUM(E237:X237)</f>
        <v>10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0.0</v>
      </c>
      <c r="G238" s="19">
        <v>0.0</v>
      </c>
      <c r="H238" s="19">
        <v>2.0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3">
        <f t="shared" si="47"/>
        <v>3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2.0</v>
      </c>
      <c r="F239" s="19">
        <v>0.0</v>
      </c>
      <c r="G239" s="19">
        <v>1.0</v>
      </c>
      <c r="H239" s="19">
        <v>0.0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3">
        <f t="shared" si="47"/>
        <v>4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0.0</v>
      </c>
      <c r="G240" s="19">
        <v>0.0</v>
      </c>
      <c r="H240" s="19">
        <v>0.0</v>
      </c>
      <c r="I240" s="19">
        <v>2.0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0.0</v>
      </c>
      <c r="Y240" s="13">
        <f t="shared" si="47"/>
        <v>3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4.0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3">
        <f t="shared" si="47"/>
        <v>4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3">
        <f t="shared" si="47"/>
        <v>1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7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48">SUM(E237:E246)</f>
        <v>3</v>
      </c>
      <c r="F247" s="13">
        <f t="shared" si="48"/>
        <v>0</v>
      </c>
      <c r="G247" s="13">
        <f t="shared" si="48"/>
        <v>1</v>
      </c>
      <c r="H247" s="13">
        <f t="shared" si="48"/>
        <v>3</v>
      </c>
      <c r="I247" s="13">
        <f t="shared" si="48"/>
        <v>3</v>
      </c>
      <c r="J247" s="13">
        <f t="shared" si="48"/>
        <v>1</v>
      </c>
      <c r="K247" s="13">
        <f t="shared" si="48"/>
        <v>1</v>
      </c>
      <c r="L247" s="13">
        <f t="shared" si="48"/>
        <v>0</v>
      </c>
      <c r="M247" s="13">
        <f t="shared" si="48"/>
        <v>4</v>
      </c>
      <c r="N247" s="13">
        <f t="shared" si="48"/>
        <v>4</v>
      </c>
      <c r="O247" s="13">
        <f t="shared" si="48"/>
        <v>0</v>
      </c>
      <c r="P247" s="13">
        <f t="shared" si="48"/>
        <v>1</v>
      </c>
      <c r="Q247" s="13">
        <f t="shared" si="48"/>
        <v>0</v>
      </c>
      <c r="R247" s="13">
        <f t="shared" si="48"/>
        <v>0</v>
      </c>
      <c r="S247" s="13">
        <f t="shared" si="48"/>
        <v>1</v>
      </c>
      <c r="T247" s="13">
        <f t="shared" si="48"/>
        <v>1</v>
      </c>
      <c r="U247" s="13">
        <f t="shared" si="48"/>
        <v>1</v>
      </c>
      <c r="V247" s="13">
        <f t="shared" si="48"/>
        <v>1</v>
      </c>
      <c r="W247" s="13">
        <f t="shared" si="48"/>
        <v>0</v>
      </c>
      <c r="X247" s="13">
        <f t="shared" si="48"/>
        <v>0</v>
      </c>
      <c r="Y247" s="13">
        <f t="shared" si="48"/>
        <v>25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1.0</v>
      </c>
      <c r="I249" s="19">
        <v>0.0</v>
      </c>
      <c r="J249" s="19">
        <v>0.0</v>
      </c>
      <c r="K249" s="19">
        <v>1.0</v>
      </c>
      <c r="L249" s="19">
        <v>0.0</v>
      </c>
      <c r="M249" s="19">
        <v>1.0</v>
      </c>
      <c r="N249" s="19">
        <v>0.0</v>
      </c>
      <c r="O249" s="19">
        <v>0.0</v>
      </c>
      <c r="P249" s="19">
        <v>2.0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1.0</v>
      </c>
      <c r="Y249" s="13">
        <f t="shared" ref="Y249:Y258" si="49">SUM(E249:X249)</f>
        <v>8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1.0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1.0</v>
      </c>
      <c r="X250" s="19">
        <v>0.0</v>
      </c>
      <c r="Y250" s="13">
        <f t="shared" si="49"/>
        <v>5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0.0</v>
      </c>
      <c r="G251" s="19">
        <v>0.0</v>
      </c>
      <c r="H251" s="19">
        <v>0.0</v>
      </c>
      <c r="I251" s="19">
        <v>1.0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1.0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3">
        <f t="shared" si="49"/>
        <v>3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9"/>
        <v>2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1.0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3">
        <f t="shared" si="49"/>
        <v>1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9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9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50">SUM(E249:E258)</f>
        <v>1</v>
      </c>
      <c r="F259" s="13">
        <f t="shared" si="50"/>
        <v>0</v>
      </c>
      <c r="G259" s="13">
        <f t="shared" si="50"/>
        <v>1</v>
      </c>
      <c r="H259" s="13">
        <f t="shared" si="50"/>
        <v>3</v>
      </c>
      <c r="I259" s="13">
        <f t="shared" si="50"/>
        <v>1</v>
      </c>
      <c r="J259" s="13">
        <f t="shared" si="50"/>
        <v>1</v>
      </c>
      <c r="K259" s="13">
        <f t="shared" si="50"/>
        <v>2</v>
      </c>
      <c r="L259" s="13">
        <f t="shared" si="50"/>
        <v>0</v>
      </c>
      <c r="M259" s="13">
        <f t="shared" si="50"/>
        <v>2</v>
      </c>
      <c r="N259" s="13">
        <f t="shared" si="50"/>
        <v>0</v>
      </c>
      <c r="O259" s="13">
        <f t="shared" si="50"/>
        <v>1</v>
      </c>
      <c r="P259" s="13">
        <f t="shared" si="50"/>
        <v>3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1</v>
      </c>
      <c r="W259" s="13">
        <f t="shared" si="50"/>
        <v>1</v>
      </c>
      <c r="X259" s="13">
        <f t="shared" si="50"/>
        <v>1</v>
      </c>
      <c r="Y259" s="13">
        <f t="shared" si="50"/>
        <v>19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X262" si="51">E55+E67+E79+E91+E103+E115+E127+E139+E151+E163+E175+E187+E199+E211+E223+E235+E247+E259</f>
        <v>210</v>
      </c>
      <c r="F262" s="19">
        <f t="shared" si="51"/>
        <v>196</v>
      </c>
      <c r="G262" s="19">
        <f t="shared" si="51"/>
        <v>131</v>
      </c>
      <c r="H262" s="19">
        <f t="shared" si="51"/>
        <v>153</v>
      </c>
      <c r="I262" s="19">
        <f t="shared" si="51"/>
        <v>177</v>
      </c>
      <c r="J262" s="19">
        <f t="shared" si="51"/>
        <v>187</v>
      </c>
      <c r="K262" s="19">
        <f t="shared" si="51"/>
        <v>122</v>
      </c>
      <c r="L262" s="19">
        <f t="shared" si="51"/>
        <v>151</v>
      </c>
      <c r="M262" s="19">
        <f t="shared" si="51"/>
        <v>199</v>
      </c>
      <c r="N262" s="19">
        <f t="shared" si="51"/>
        <v>200</v>
      </c>
      <c r="O262" s="19">
        <f t="shared" si="51"/>
        <v>215</v>
      </c>
      <c r="P262" s="19">
        <f t="shared" si="51"/>
        <v>215</v>
      </c>
      <c r="Q262" s="19">
        <f t="shared" si="51"/>
        <v>190</v>
      </c>
      <c r="R262" s="19">
        <f t="shared" si="51"/>
        <v>158</v>
      </c>
      <c r="S262" s="19">
        <f t="shared" si="51"/>
        <v>206</v>
      </c>
      <c r="T262" s="19">
        <f t="shared" si="51"/>
        <v>198</v>
      </c>
      <c r="U262" s="19">
        <f t="shared" si="51"/>
        <v>207</v>
      </c>
      <c r="V262" s="19">
        <f t="shared" si="51"/>
        <v>166</v>
      </c>
      <c r="W262" s="19">
        <f t="shared" si="51"/>
        <v>171</v>
      </c>
      <c r="X262" s="19">
        <f t="shared" si="51"/>
        <v>115</v>
      </c>
      <c r="Y262" s="13">
        <f t="shared" ref="Y262:Y264" si="52">SUM(E262:X262)</f>
        <v>3567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7.0</v>
      </c>
      <c r="F263" s="19">
        <v>16.0</v>
      </c>
      <c r="G263" s="19">
        <v>23.0</v>
      </c>
      <c r="H263" s="19">
        <v>24.0</v>
      </c>
      <c r="I263" s="19">
        <v>22.0</v>
      </c>
      <c r="J263" s="19">
        <v>31.0</v>
      </c>
      <c r="K263" s="19">
        <v>16.0</v>
      </c>
      <c r="L263" s="19">
        <v>19.0</v>
      </c>
      <c r="M263" s="19">
        <v>31.0</v>
      </c>
      <c r="N263" s="19">
        <v>8.0</v>
      </c>
      <c r="O263" s="19">
        <v>7.0</v>
      </c>
      <c r="P263" s="19">
        <v>11.0</v>
      </c>
      <c r="Q263" s="19">
        <v>27.0</v>
      </c>
      <c r="R263" s="19">
        <v>25.0</v>
      </c>
      <c r="S263" s="19">
        <v>12.0</v>
      </c>
      <c r="T263" s="19">
        <v>10.0</v>
      </c>
      <c r="U263" s="19">
        <v>21.0</v>
      </c>
      <c r="V263" s="19">
        <v>8.0</v>
      </c>
      <c r="W263" s="19">
        <v>14.0</v>
      </c>
      <c r="X263" s="19">
        <v>11.0</v>
      </c>
      <c r="Y263" s="13">
        <f t="shared" si="52"/>
        <v>343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X264" si="53">SUM(E262:E263)</f>
        <v>217</v>
      </c>
      <c r="F264" s="13">
        <f t="shared" si="53"/>
        <v>212</v>
      </c>
      <c r="G264" s="13">
        <f t="shared" si="53"/>
        <v>154</v>
      </c>
      <c r="H264" s="13">
        <f t="shared" si="53"/>
        <v>177</v>
      </c>
      <c r="I264" s="13">
        <f t="shared" si="53"/>
        <v>199</v>
      </c>
      <c r="J264" s="13">
        <f t="shared" si="53"/>
        <v>218</v>
      </c>
      <c r="K264" s="13">
        <f t="shared" si="53"/>
        <v>138</v>
      </c>
      <c r="L264" s="13">
        <f t="shared" si="53"/>
        <v>170</v>
      </c>
      <c r="M264" s="13">
        <f t="shared" si="53"/>
        <v>230</v>
      </c>
      <c r="N264" s="13">
        <f t="shared" si="53"/>
        <v>208</v>
      </c>
      <c r="O264" s="13">
        <f t="shared" si="53"/>
        <v>222</v>
      </c>
      <c r="P264" s="13">
        <f t="shared" si="53"/>
        <v>226</v>
      </c>
      <c r="Q264" s="13">
        <f t="shared" si="53"/>
        <v>217</v>
      </c>
      <c r="R264" s="13">
        <f t="shared" si="53"/>
        <v>183</v>
      </c>
      <c r="S264" s="13">
        <f t="shared" si="53"/>
        <v>218</v>
      </c>
      <c r="T264" s="13">
        <f t="shared" si="53"/>
        <v>208</v>
      </c>
      <c r="U264" s="13">
        <f t="shared" si="53"/>
        <v>228</v>
      </c>
      <c r="V264" s="13">
        <f t="shared" si="53"/>
        <v>174</v>
      </c>
      <c r="W264" s="13">
        <f t="shared" si="53"/>
        <v>185</v>
      </c>
      <c r="X264" s="13">
        <f t="shared" si="53"/>
        <v>126</v>
      </c>
      <c r="Y264" s="13">
        <f t="shared" si="52"/>
        <v>3910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V34 X34">
    <cfRule type="expression" dxfId="0" priority="1">
      <formula>E34&lt;&gt;E64</formula>
    </cfRule>
  </conditionalFormatting>
  <conditionalFormatting sqref="E14:X15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E30&lt;&gt;E47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conditionalFormatting sqref="U34">
    <cfRule type="expression" dxfId="0" priority="29">
      <formula>U34&lt;&gt;U47</formula>
    </cfRule>
  </conditionalFormatting>
  <conditionalFormatting sqref="W34">
    <cfRule type="expression" dxfId="0" priority="30">
      <formula>W34&lt;&gt;W47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9" width="8.71"/>
    <col customWidth="1" min="70" max="70" width="13.29"/>
    <col customWidth="1" min="71" max="7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13" t="s">
        <v>250</v>
      </c>
      <c r="BD13" s="13" t="s">
        <v>251</v>
      </c>
      <c r="BE13" s="13" t="s">
        <v>252</v>
      </c>
      <c r="BF13" s="13" t="s">
        <v>253</v>
      </c>
      <c r="BG13" s="13" t="s">
        <v>254</v>
      </c>
      <c r="BH13" s="13" t="s">
        <v>255</v>
      </c>
      <c r="BI13" s="13" t="s">
        <v>256</v>
      </c>
      <c r="BJ13" s="13" t="s">
        <v>257</v>
      </c>
      <c r="BK13" s="13" t="s">
        <v>258</v>
      </c>
      <c r="BL13" s="13" t="s">
        <v>259</v>
      </c>
      <c r="BM13" s="13" t="s">
        <v>260</v>
      </c>
      <c r="BN13" s="13" t="s">
        <v>261</v>
      </c>
      <c r="BO13" s="13" t="s">
        <v>262</v>
      </c>
      <c r="BP13" s="13" t="s">
        <v>263</v>
      </c>
      <c r="BQ13" s="13" t="s">
        <v>264</v>
      </c>
      <c r="B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122.0</v>
      </c>
      <c r="F14" s="19">
        <v>121.0</v>
      </c>
      <c r="G14" s="19">
        <v>102.0</v>
      </c>
      <c r="H14" s="19">
        <v>136.0</v>
      </c>
      <c r="I14" s="19">
        <v>143.0</v>
      </c>
      <c r="J14" s="19">
        <v>138.0</v>
      </c>
      <c r="K14" s="19">
        <v>140.0</v>
      </c>
      <c r="L14" s="19">
        <v>114.0</v>
      </c>
      <c r="M14" s="19">
        <v>153.0</v>
      </c>
      <c r="N14" s="19">
        <v>150.0</v>
      </c>
      <c r="O14" s="19">
        <v>146.0</v>
      </c>
      <c r="P14" s="19">
        <v>146.0</v>
      </c>
      <c r="Q14" s="19">
        <v>136.0</v>
      </c>
      <c r="R14" s="19">
        <v>131.0</v>
      </c>
      <c r="S14" s="19">
        <v>140.0</v>
      </c>
      <c r="T14" s="19">
        <v>142.0</v>
      </c>
      <c r="U14" s="19">
        <v>139.0</v>
      </c>
      <c r="V14" s="19">
        <v>147.0</v>
      </c>
      <c r="W14" s="19">
        <v>140.0</v>
      </c>
      <c r="X14" s="19">
        <v>143.0</v>
      </c>
      <c r="Y14" s="19">
        <v>143.0</v>
      </c>
      <c r="Z14" s="19">
        <v>162.0</v>
      </c>
      <c r="AA14" s="19">
        <v>144.0</v>
      </c>
      <c r="AB14" s="19">
        <v>145.0</v>
      </c>
      <c r="AC14" s="19">
        <v>155.0</v>
      </c>
      <c r="AD14" s="19">
        <v>149.0</v>
      </c>
      <c r="AE14" s="19">
        <v>157.0</v>
      </c>
      <c r="AF14" s="19">
        <v>146.0</v>
      </c>
      <c r="AG14" s="19">
        <v>138.0</v>
      </c>
      <c r="AH14" s="19">
        <v>145.0</v>
      </c>
      <c r="AI14" s="19">
        <v>145.0</v>
      </c>
      <c r="AJ14" s="19">
        <v>144.0</v>
      </c>
      <c r="AK14" s="19">
        <v>143.0</v>
      </c>
      <c r="AL14" s="19">
        <v>133.0</v>
      </c>
      <c r="AM14" s="19">
        <v>122.0</v>
      </c>
      <c r="AN14" s="19">
        <v>160.0</v>
      </c>
      <c r="AO14" s="19">
        <v>153.0</v>
      </c>
      <c r="AP14" s="19">
        <v>139.0</v>
      </c>
      <c r="AQ14" s="19">
        <v>136.0</v>
      </c>
      <c r="AR14" s="19">
        <v>105.0</v>
      </c>
      <c r="AS14" s="19">
        <v>115.0</v>
      </c>
      <c r="AT14" s="19">
        <v>112.0</v>
      </c>
      <c r="AU14" s="19">
        <v>147.0</v>
      </c>
      <c r="AV14" s="19">
        <v>126.0</v>
      </c>
      <c r="AW14" s="19">
        <v>120.0</v>
      </c>
      <c r="AX14" s="19">
        <v>142.0</v>
      </c>
      <c r="AY14" s="19">
        <v>144.0</v>
      </c>
      <c r="AZ14" s="19">
        <v>140.0</v>
      </c>
      <c r="BA14" s="19">
        <v>137.0</v>
      </c>
      <c r="BB14" s="19">
        <v>94.0</v>
      </c>
      <c r="BC14" s="19">
        <v>108.0</v>
      </c>
      <c r="BD14" s="19">
        <v>146.0</v>
      </c>
      <c r="BE14" s="19">
        <v>110.0</v>
      </c>
      <c r="BF14" s="19">
        <v>132.0</v>
      </c>
      <c r="BG14" s="19">
        <v>146.0</v>
      </c>
      <c r="BH14" s="19">
        <v>122.0</v>
      </c>
      <c r="BI14" s="19">
        <v>126.0</v>
      </c>
      <c r="BJ14" s="19">
        <v>140.0</v>
      </c>
      <c r="BK14" s="19">
        <v>124.0</v>
      </c>
      <c r="BL14" s="19">
        <v>153.0</v>
      </c>
      <c r="BM14" s="19">
        <v>132.0</v>
      </c>
      <c r="BN14" s="19">
        <v>149.0</v>
      </c>
      <c r="BO14" s="19">
        <v>142.0</v>
      </c>
      <c r="BP14" s="19">
        <v>146.0</v>
      </c>
      <c r="BQ14" s="19">
        <v>133.0</v>
      </c>
      <c r="BR14" s="13">
        <f t="shared" ref="BR14:BR16" si="1">SUM(E14:BQ14)</f>
        <v>8879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102.0</v>
      </c>
      <c r="G15" s="19">
        <v>97.0</v>
      </c>
      <c r="H15" s="19">
        <v>144.0</v>
      </c>
      <c r="I15" s="19">
        <v>136.0</v>
      </c>
      <c r="J15" s="19">
        <v>129.0</v>
      </c>
      <c r="K15" s="19">
        <v>142.0</v>
      </c>
      <c r="L15" s="19">
        <v>135.0</v>
      </c>
      <c r="M15" s="19">
        <v>137.0</v>
      </c>
      <c r="N15" s="19">
        <v>144.0</v>
      </c>
      <c r="O15" s="19">
        <v>147.0</v>
      </c>
      <c r="P15" s="19">
        <v>147.0</v>
      </c>
      <c r="Q15" s="19">
        <v>154.0</v>
      </c>
      <c r="R15" s="19">
        <v>143.0</v>
      </c>
      <c r="S15" s="19">
        <v>141.0</v>
      </c>
      <c r="T15" s="19">
        <v>151.0</v>
      </c>
      <c r="U15" s="19">
        <v>141.0</v>
      </c>
      <c r="V15" s="19">
        <v>132.0</v>
      </c>
      <c r="W15" s="19">
        <v>137.0</v>
      </c>
      <c r="X15" s="19">
        <v>128.0</v>
      </c>
      <c r="Y15" s="19">
        <v>146.0</v>
      </c>
      <c r="Z15" s="19">
        <v>136.0</v>
      </c>
      <c r="AA15" s="19">
        <v>145.0</v>
      </c>
      <c r="AB15" s="19">
        <v>143.0</v>
      </c>
      <c r="AC15" s="19">
        <v>136.0</v>
      </c>
      <c r="AD15" s="19">
        <v>147.0</v>
      </c>
      <c r="AE15" s="19">
        <v>139.0</v>
      </c>
      <c r="AF15" s="19">
        <v>149.0</v>
      </c>
      <c r="AG15" s="19">
        <v>138.0</v>
      </c>
      <c r="AH15" s="19">
        <v>143.0</v>
      </c>
      <c r="AI15" s="19">
        <v>139.0</v>
      </c>
      <c r="AJ15" s="19">
        <v>147.0</v>
      </c>
      <c r="AK15" s="19">
        <v>143.0</v>
      </c>
      <c r="AL15" s="19">
        <v>107.0</v>
      </c>
      <c r="AM15" s="19">
        <v>121.0</v>
      </c>
      <c r="AN15" s="19">
        <v>136.0</v>
      </c>
      <c r="AO15" s="19">
        <v>141.0</v>
      </c>
      <c r="AP15" s="19">
        <v>143.0</v>
      </c>
      <c r="AQ15" s="19">
        <v>142.0</v>
      </c>
      <c r="AR15" s="19">
        <v>122.0</v>
      </c>
      <c r="AS15" s="19">
        <v>133.0</v>
      </c>
      <c r="AT15" s="19">
        <v>103.0</v>
      </c>
      <c r="AU15" s="19">
        <v>126.0</v>
      </c>
      <c r="AV15" s="19">
        <v>120.0</v>
      </c>
      <c r="AW15" s="19">
        <v>132.0</v>
      </c>
      <c r="AX15" s="19">
        <v>149.0</v>
      </c>
      <c r="AY15" s="19">
        <v>143.0</v>
      </c>
      <c r="AZ15" s="19">
        <v>129.0</v>
      </c>
      <c r="BA15" s="19">
        <v>145.0</v>
      </c>
      <c r="BB15" s="19">
        <v>96.0</v>
      </c>
      <c r="BC15" s="19">
        <v>96.0</v>
      </c>
      <c r="BD15" s="19">
        <v>143.0</v>
      </c>
      <c r="BE15" s="19">
        <v>119.0</v>
      </c>
      <c r="BF15" s="19">
        <v>150.0</v>
      </c>
      <c r="BG15" s="19">
        <v>131.0</v>
      </c>
      <c r="BH15" s="19">
        <v>123.0</v>
      </c>
      <c r="BI15" s="19">
        <v>115.0</v>
      </c>
      <c r="BJ15" s="19">
        <v>137.0</v>
      </c>
      <c r="BK15" s="19">
        <v>132.0</v>
      </c>
      <c r="BL15" s="19">
        <v>144.0</v>
      </c>
      <c r="BM15" s="19">
        <v>125.0</v>
      </c>
      <c r="BN15" s="19">
        <v>141.0</v>
      </c>
      <c r="BO15" s="19">
        <v>143.0</v>
      </c>
      <c r="BP15" s="19">
        <v>139.0</v>
      </c>
      <c r="BQ15" s="19">
        <v>133.0</v>
      </c>
      <c r="BR15" s="13">
        <f t="shared" si="1"/>
        <v>8715</v>
      </c>
    </row>
    <row r="16" ht="12.75" customHeight="1">
      <c r="A16" s="25"/>
      <c r="B16" s="21"/>
      <c r="C16" s="28"/>
      <c r="D16" s="13" t="s">
        <v>14</v>
      </c>
      <c r="E16" s="13">
        <f t="shared" ref="E16:BQ16" si="2">SUM(E14:E15)</f>
        <v>240</v>
      </c>
      <c r="F16" s="13">
        <f t="shared" si="2"/>
        <v>223</v>
      </c>
      <c r="G16" s="13">
        <f t="shared" si="2"/>
        <v>199</v>
      </c>
      <c r="H16" s="13">
        <f t="shared" si="2"/>
        <v>280</v>
      </c>
      <c r="I16" s="13">
        <f t="shared" si="2"/>
        <v>279</v>
      </c>
      <c r="J16" s="13">
        <f t="shared" si="2"/>
        <v>267</v>
      </c>
      <c r="K16" s="13">
        <f t="shared" si="2"/>
        <v>282</v>
      </c>
      <c r="L16" s="13">
        <f t="shared" si="2"/>
        <v>249</v>
      </c>
      <c r="M16" s="13">
        <f t="shared" si="2"/>
        <v>290</v>
      </c>
      <c r="N16" s="13">
        <f t="shared" si="2"/>
        <v>294</v>
      </c>
      <c r="O16" s="13">
        <f t="shared" si="2"/>
        <v>293</v>
      </c>
      <c r="P16" s="13">
        <f t="shared" si="2"/>
        <v>293</v>
      </c>
      <c r="Q16" s="13">
        <f t="shared" si="2"/>
        <v>290</v>
      </c>
      <c r="R16" s="13">
        <f t="shared" si="2"/>
        <v>274</v>
      </c>
      <c r="S16" s="13">
        <f t="shared" si="2"/>
        <v>281</v>
      </c>
      <c r="T16" s="13">
        <f t="shared" si="2"/>
        <v>293</v>
      </c>
      <c r="U16" s="13">
        <f t="shared" si="2"/>
        <v>280</v>
      </c>
      <c r="V16" s="13">
        <f t="shared" si="2"/>
        <v>279</v>
      </c>
      <c r="W16" s="13">
        <f t="shared" si="2"/>
        <v>277</v>
      </c>
      <c r="X16" s="13">
        <f t="shared" si="2"/>
        <v>271</v>
      </c>
      <c r="Y16" s="13">
        <f t="shared" si="2"/>
        <v>289</v>
      </c>
      <c r="Z16" s="13">
        <f t="shared" si="2"/>
        <v>298</v>
      </c>
      <c r="AA16" s="13">
        <f t="shared" si="2"/>
        <v>289</v>
      </c>
      <c r="AB16" s="13">
        <f t="shared" si="2"/>
        <v>288</v>
      </c>
      <c r="AC16" s="13">
        <f t="shared" si="2"/>
        <v>291</v>
      </c>
      <c r="AD16" s="13">
        <f t="shared" si="2"/>
        <v>296</v>
      </c>
      <c r="AE16" s="13">
        <f t="shared" si="2"/>
        <v>296</v>
      </c>
      <c r="AF16" s="13">
        <f t="shared" si="2"/>
        <v>295</v>
      </c>
      <c r="AG16" s="13">
        <f t="shared" si="2"/>
        <v>276</v>
      </c>
      <c r="AH16" s="13">
        <f t="shared" si="2"/>
        <v>288</v>
      </c>
      <c r="AI16" s="13">
        <f t="shared" si="2"/>
        <v>284</v>
      </c>
      <c r="AJ16" s="13">
        <f t="shared" si="2"/>
        <v>291</v>
      </c>
      <c r="AK16" s="13">
        <f t="shared" si="2"/>
        <v>286</v>
      </c>
      <c r="AL16" s="13">
        <f t="shared" si="2"/>
        <v>240</v>
      </c>
      <c r="AM16" s="13">
        <f t="shared" si="2"/>
        <v>243</v>
      </c>
      <c r="AN16" s="13">
        <f t="shared" si="2"/>
        <v>296</v>
      </c>
      <c r="AO16" s="13">
        <f t="shared" si="2"/>
        <v>294</v>
      </c>
      <c r="AP16" s="13">
        <f t="shared" si="2"/>
        <v>282</v>
      </c>
      <c r="AQ16" s="13">
        <f t="shared" si="2"/>
        <v>278</v>
      </c>
      <c r="AR16" s="13">
        <f t="shared" si="2"/>
        <v>227</v>
      </c>
      <c r="AS16" s="13">
        <f t="shared" si="2"/>
        <v>248</v>
      </c>
      <c r="AT16" s="13">
        <f t="shared" si="2"/>
        <v>215</v>
      </c>
      <c r="AU16" s="13">
        <f t="shared" si="2"/>
        <v>273</v>
      </c>
      <c r="AV16" s="13">
        <f t="shared" si="2"/>
        <v>246</v>
      </c>
      <c r="AW16" s="13">
        <f t="shared" si="2"/>
        <v>252</v>
      </c>
      <c r="AX16" s="13">
        <f t="shared" si="2"/>
        <v>291</v>
      </c>
      <c r="AY16" s="13">
        <f t="shared" si="2"/>
        <v>287</v>
      </c>
      <c r="AZ16" s="13">
        <f t="shared" si="2"/>
        <v>269</v>
      </c>
      <c r="BA16" s="13">
        <f t="shared" si="2"/>
        <v>282</v>
      </c>
      <c r="BB16" s="13">
        <f t="shared" si="2"/>
        <v>190</v>
      </c>
      <c r="BC16" s="13">
        <f t="shared" si="2"/>
        <v>204</v>
      </c>
      <c r="BD16" s="13">
        <f t="shared" si="2"/>
        <v>289</v>
      </c>
      <c r="BE16" s="13">
        <f t="shared" si="2"/>
        <v>229</v>
      </c>
      <c r="BF16" s="13">
        <f t="shared" si="2"/>
        <v>282</v>
      </c>
      <c r="BG16" s="13">
        <f t="shared" si="2"/>
        <v>277</v>
      </c>
      <c r="BH16" s="13">
        <f t="shared" si="2"/>
        <v>245</v>
      </c>
      <c r="BI16" s="13">
        <f t="shared" si="2"/>
        <v>241</v>
      </c>
      <c r="BJ16" s="13">
        <f t="shared" si="2"/>
        <v>277</v>
      </c>
      <c r="BK16" s="13">
        <f t="shared" si="2"/>
        <v>256</v>
      </c>
      <c r="BL16" s="13">
        <f t="shared" si="2"/>
        <v>297</v>
      </c>
      <c r="BM16" s="13">
        <f t="shared" si="2"/>
        <v>257</v>
      </c>
      <c r="BN16" s="13">
        <f t="shared" si="2"/>
        <v>290</v>
      </c>
      <c r="BO16" s="13">
        <f t="shared" si="2"/>
        <v>285</v>
      </c>
      <c r="BP16" s="13">
        <f t="shared" si="2"/>
        <v>285</v>
      </c>
      <c r="BQ16" s="13">
        <f t="shared" si="2"/>
        <v>266</v>
      </c>
      <c r="BR16" s="13">
        <f t="shared" si="1"/>
        <v>17594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85.0</v>
      </c>
      <c r="G19" s="19">
        <v>77.0</v>
      </c>
      <c r="H19" s="19">
        <v>90.0</v>
      </c>
      <c r="I19" s="19">
        <v>103.0</v>
      </c>
      <c r="J19" s="19">
        <v>117.0</v>
      </c>
      <c r="K19" s="19">
        <v>100.0</v>
      </c>
      <c r="L19" s="19">
        <v>82.0</v>
      </c>
      <c r="M19" s="19">
        <v>95.0</v>
      </c>
      <c r="N19" s="19">
        <v>106.0</v>
      </c>
      <c r="O19" s="19">
        <v>94.0</v>
      </c>
      <c r="P19" s="19">
        <v>103.0</v>
      </c>
      <c r="Q19" s="19">
        <v>88.0</v>
      </c>
      <c r="R19" s="19">
        <v>81.0</v>
      </c>
      <c r="S19" s="19">
        <v>97.0</v>
      </c>
      <c r="T19" s="19">
        <v>86.0</v>
      </c>
      <c r="U19" s="19">
        <v>100.0</v>
      </c>
      <c r="V19" s="19">
        <v>94.0</v>
      </c>
      <c r="W19" s="19">
        <v>84.0</v>
      </c>
      <c r="X19" s="19">
        <v>94.0</v>
      </c>
      <c r="Y19" s="19">
        <v>109.0</v>
      </c>
      <c r="Z19" s="19">
        <v>113.0</v>
      </c>
      <c r="AA19" s="19">
        <v>98.0</v>
      </c>
      <c r="AB19" s="19">
        <v>104.0</v>
      </c>
      <c r="AC19" s="19">
        <v>120.0</v>
      </c>
      <c r="AD19" s="19">
        <v>109.0</v>
      </c>
      <c r="AE19" s="19">
        <v>113.0</v>
      </c>
      <c r="AF19" s="19">
        <v>99.0</v>
      </c>
      <c r="AG19" s="19">
        <v>93.0</v>
      </c>
      <c r="AH19" s="19">
        <v>95.0</v>
      </c>
      <c r="AI19" s="19">
        <v>98.0</v>
      </c>
      <c r="AJ19" s="19">
        <v>111.0</v>
      </c>
      <c r="AK19" s="19">
        <v>107.0</v>
      </c>
      <c r="AL19" s="19">
        <v>104.0</v>
      </c>
      <c r="AM19" s="19">
        <v>95.0</v>
      </c>
      <c r="AN19" s="19">
        <v>120.0</v>
      </c>
      <c r="AO19" s="19">
        <v>118.0</v>
      </c>
      <c r="AP19" s="19">
        <v>98.0</v>
      </c>
      <c r="AQ19" s="19">
        <v>101.0</v>
      </c>
      <c r="AR19" s="19">
        <v>87.0</v>
      </c>
      <c r="AS19" s="19">
        <v>87.0</v>
      </c>
      <c r="AT19" s="19">
        <v>84.0</v>
      </c>
      <c r="AU19" s="19">
        <v>122.0</v>
      </c>
      <c r="AV19" s="19">
        <v>80.0</v>
      </c>
      <c r="AW19" s="19">
        <v>86.0</v>
      </c>
      <c r="AX19" s="19">
        <v>101.0</v>
      </c>
      <c r="AY19" s="19">
        <v>94.0</v>
      </c>
      <c r="AZ19" s="19">
        <v>98.0</v>
      </c>
      <c r="BA19" s="19">
        <v>105.0</v>
      </c>
      <c r="BB19" s="19">
        <v>62.0</v>
      </c>
      <c r="BC19" s="19">
        <v>81.0</v>
      </c>
      <c r="BD19" s="19">
        <v>104.0</v>
      </c>
      <c r="BE19" s="19">
        <v>82.0</v>
      </c>
      <c r="BF19" s="19">
        <v>101.0</v>
      </c>
      <c r="BG19" s="19">
        <v>122.0</v>
      </c>
      <c r="BH19" s="19">
        <v>95.0</v>
      </c>
      <c r="BI19" s="19">
        <v>101.0</v>
      </c>
      <c r="BJ19" s="19">
        <v>112.0</v>
      </c>
      <c r="BK19" s="19">
        <v>101.0</v>
      </c>
      <c r="BL19" s="19">
        <v>113.0</v>
      </c>
      <c r="BM19" s="19">
        <v>96.0</v>
      </c>
      <c r="BN19" s="19">
        <v>107.0</v>
      </c>
      <c r="BO19" s="19">
        <v>105.0</v>
      </c>
      <c r="BP19" s="19">
        <v>115.0</v>
      </c>
      <c r="BQ19" s="19">
        <v>109.0</v>
      </c>
      <c r="BR19" s="13">
        <f t="shared" ref="BR19:BR30" si="3">SUM(E19:BQ19)</f>
        <v>6409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72.0</v>
      </c>
      <c r="G20" s="19">
        <v>76.0</v>
      </c>
      <c r="H20" s="19">
        <v>107.0</v>
      </c>
      <c r="I20" s="19">
        <v>104.0</v>
      </c>
      <c r="J20" s="19">
        <v>112.0</v>
      </c>
      <c r="K20" s="19">
        <v>112.0</v>
      </c>
      <c r="L20" s="19">
        <v>109.0</v>
      </c>
      <c r="M20" s="19">
        <v>110.0</v>
      </c>
      <c r="N20" s="19">
        <v>122.0</v>
      </c>
      <c r="O20" s="19">
        <v>108.0</v>
      </c>
      <c r="P20" s="19">
        <v>115.0</v>
      </c>
      <c r="Q20" s="19">
        <v>120.0</v>
      </c>
      <c r="R20" s="19">
        <v>118.0</v>
      </c>
      <c r="S20" s="19">
        <v>108.0</v>
      </c>
      <c r="T20" s="19">
        <v>104.0</v>
      </c>
      <c r="U20" s="19">
        <v>108.0</v>
      </c>
      <c r="V20" s="19">
        <v>96.0</v>
      </c>
      <c r="W20" s="19">
        <v>103.0</v>
      </c>
      <c r="X20" s="19">
        <v>92.0</v>
      </c>
      <c r="Y20" s="19">
        <v>111.0</v>
      </c>
      <c r="Z20" s="19">
        <v>107.0</v>
      </c>
      <c r="AA20" s="19">
        <v>110.0</v>
      </c>
      <c r="AB20" s="19">
        <v>100.0</v>
      </c>
      <c r="AC20" s="19">
        <v>115.0</v>
      </c>
      <c r="AD20" s="19">
        <v>115.0</v>
      </c>
      <c r="AE20" s="19">
        <v>102.0</v>
      </c>
      <c r="AF20" s="19">
        <v>122.0</v>
      </c>
      <c r="AG20" s="19">
        <v>98.0</v>
      </c>
      <c r="AH20" s="19">
        <v>105.0</v>
      </c>
      <c r="AI20" s="19">
        <v>102.0</v>
      </c>
      <c r="AJ20" s="19">
        <v>116.0</v>
      </c>
      <c r="AK20" s="19">
        <v>111.0</v>
      </c>
      <c r="AL20" s="19">
        <v>93.0</v>
      </c>
      <c r="AM20" s="19">
        <v>98.0</v>
      </c>
      <c r="AN20" s="19">
        <v>101.0</v>
      </c>
      <c r="AO20" s="19">
        <v>118.0</v>
      </c>
      <c r="AP20" s="19">
        <v>121.0</v>
      </c>
      <c r="AQ20" s="19">
        <v>110.0</v>
      </c>
      <c r="AR20" s="19">
        <v>105.0</v>
      </c>
      <c r="AS20" s="19">
        <v>110.0</v>
      </c>
      <c r="AT20" s="19">
        <v>83.0</v>
      </c>
      <c r="AU20" s="19">
        <v>111.0</v>
      </c>
      <c r="AV20" s="19">
        <v>98.0</v>
      </c>
      <c r="AW20" s="19">
        <v>102.0</v>
      </c>
      <c r="AX20" s="19">
        <v>115.0</v>
      </c>
      <c r="AY20" s="19">
        <v>106.0</v>
      </c>
      <c r="AZ20" s="19">
        <v>99.0</v>
      </c>
      <c r="BA20" s="19">
        <v>109.0</v>
      </c>
      <c r="BB20" s="19">
        <v>66.0</v>
      </c>
      <c r="BC20" s="19">
        <v>86.0</v>
      </c>
      <c r="BD20" s="19">
        <v>119.0</v>
      </c>
      <c r="BE20" s="19">
        <v>101.0</v>
      </c>
      <c r="BF20" s="19">
        <v>122.0</v>
      </c>
      <c r="BG20" s="19">
        <v>108.0</v>
      </c>
      <c r="BH20" s="19">
        <v>103.0</v>
      </c>
      <c r="BI20" s="19">
        <v>98.0</v>
      </c>
      <c r="BJ20" s="19">
        <v>108.0</v>
      </c>
      <c r="BK20" s="19">
        <v>103.0</v>
      </c>
      <c r="BL20" s="19">
        <v>110.0</v>
      </c>
      <c r="BM20" s="19">
        <v>89.0</v>
      </c>
      <c r="BN20" s="19">
        <v>121.0</v>
      </c>
      <c r="BO20" s="19">
        <v>107.0</v>
      </c>
      <c r="BP20" s="19">
        <v>113.0</v>
      </c>
      <c r="BQ20" s="19">
        <v>115.0</v>
      </c>
      <c r="BR20" s="13">
        <f t="shared" si="3"/>
        <v>6851</v>
      </c>
    </row>
    <row r="21" ht="12.75" customHeight="1">
      <c r="A21" s="35"/>
      <c r="B21" s="28"/>
      <c r="C21" s="36"/>
      <c r="D21" s="13" t="s">
        <v>14</v>
      </c>
      <c r="E21" s="13">
        <f t="shared" ref="E21:BQ21" si="4">SUM(E19:E20)</f>
        <v>171</v>
      </c>
      <c r="F21" s="13">
        <f t="shared" si="4"/>
        <v>157</v>
      </c>
      <c r="G21" s="13">
        <f t="shared" si="4"/>
        <v>153</v>
      </c>
      <c r="H21" s="13">
        <f t="shared" si="4"/>
        <v>197</v>
      </c>
      <c r="I21" s="13">
        <f t="shared" si="4"/>
        <v>207</v>
      </c>
      <c r="J21" s="13">
        <f t="shared" si="4"/>
        <v>229</v>
      </c>
      <c r="K21" s="13">
        <f t="shared" si="4"/>
        <v>212</v>
      </c>
      <c r="L21" s="13">
        <f t="shared" si="4"/>
        <v>191</v>
      </c>
      <c r="M21" s="13">
        <f t="shared" si="4"/>
        <v>205</v>
      </c>
      <c r="N21" s="13">
        <f t="shared" si="4"/>
        <v>228</v>
      </c>
      <c r="O21" s="13">
        <f t="shared" si="4"/>
        <v>202</v>
      </c>
      <c r="P21" s="13">
        <f t="shared" si="4"/>
        <v>218</v>
      </c>
      <c r="Q21" s="13">
        <f t="shared" si="4"/>
        <v>208</v>
      </c>
      <c r="R21" s="13">
        <f t="shared" si="4"/>
        <v>199</v>
      </c>
      <c r="S21" s="13">
        <f t="shared" si="4"/>
        <v>205</v>
      </c>
      <c r="T21" s="13">
        <f t="shared" si="4"/>
        <v>190</v>
      </c>
      <c r="U21" s="13">
        <f t="shared" si="4"/>
        <v>208</v>
      </c>
      <c r="V21" s="13">
        <f t="shared" si="4"/>
        <v>190</v>
      </c>
      <c r="W21" s="13">
        <f t="shared" si="4"/>
        <v>187</v>
      </c>
      <c r="X21" s="13">
        <f t="shared" si="4"/>
        <v>186</v>
      </c>
      <c r="Y21" s="13">
        <f t="shared" si="4"/>
        <v>220</v>
      </c>
      <c r="Z21" s="13">
        <f t="shared" si="4"/>
        <v>220</v>
      </c>
      <c r="AA21" s="13">
        <f t="shared" si="4"/>
        <v>208</v>
      </c>
      <c r="AB21" s="13">
        <f t="shared" si="4"/>
        <v>204</v>
      </c>
      <c r="AC21" s="13">
        <f t="shared" si="4"/>
        <v>235</v>
      </c>
      <c r="AD21" s="13">
        <f t="shared" si="4"/>
        <v>224</v>
      </c>
      <c r="AE21" s="13">
        <f t="shared" si="4"/>
        <v>215</v>
      </c>
      <c r="AF21" s="13">
        <f t="shared" si="4"/>
        <v>221</v>
      </c>
      <c r="AG21" s="13">
        <f t="shared" si="4"/>
        <v>191</v>
      </c>
      <c r="AH21" s="13">
        <f t="shared" si="4"/>
        <v>200</v>
      </c>
      <c r="AI21" s="13">
        <f t="shared" si="4"/>
        <v>200</v>
      </c>
      <c r="AJ21" s="13">
        <f t="shared" si="4"/>
        <v>227</v>
      </c>
      <c r="AK21" s="13">
        <f t="shared" si="4"/>
        <v>218</v>
      </c>
      <c r="AL21" s="13">
        <f t="shared" si="4"/>
        <v>197</v>
      </c>
      <c r="AM21" s="13">
        <f t="shared" si="4"/>
        <v>193</v>
      </c>
      <c r="AN21" s="13">
        <f t="shared" si="4"/>
        <v>221</v>
      </c>
      <c r="AO21" s="13">
        <f t="shared" si="4"/>
        <v>236</v>
      </c>
      <c r="AP21" s="13">
        <f t="shared" si="4"/>
        <v>219</v>
      </c>
      <c r="AQ21" s="13">
        <f t="shared" si="4"/>
        <v>211</v>
      </c>
      <c r="AR21" s="13">
        <f t="shared" si="4"/>
        <v>192</v>
      </c>
      <c r="AS21" s="13">
        <f t="shared" si="4"/>
        <v>197</v>
      </c>
      <c r="AT21" s="13">
        <f t="shared" si="4"/>
        <v>167</v>
      </c>
      <c r="AU21" s="13">
        <f t="shared" si="4"/>
        <v>233</v>
      </c>
      <c r="AV21" s="13">
        <f t="shared" si="4"/>
        <v>178</v>
      </c>
      <c r="AW21" s="13">
        <f t="shared" si="4"/>
        <v>188</v>
      </c>
      <c r="AX21" s="13">
        <f t="shared" si="4"/>
        <v>216</v>
      </c>
      <c r="AY21" s="13">
        <f t="shared" si="4"/>
        <v>200</v>
      </c>
      <c r="AZ21" s="13">
        <f t="shared" si="4"/>
        <v>197</v>
      </c>
      <c r="BA21" s="13">
        <f t="shared" si="4"/>
        <v>214</v>
      </c>
      <c r="BB21" s="13">
        <f t="shared" si="4"/>
        <v>128</v>
      </c>
      <c r="BC21" s="13">
        <f t="shared" si="4"/>
        <v>167</v>
      </c>
      <c r="BD21" s="13">
        <f t="shared" si="4"/>
        <v>223</v>
      </c>
      <c r="BE21" s="13">
        <f t="shared" si="4"/>
        <v>183</v>
      </c>
      <c r="BF21" s="13">
        <f t="shared" si="4"/>
        <v>223</v>
      </c>
      <c r="BG21" s="13">
        <f t="shared" si="4"/>
        <v>230</v>
      </c>
      <c r="BH21" s="13">
        <f t="shared" si="4"/>
        <v>198</v>
      </c>
      <c r="BI21" s="13">
        <f t="shared" si="4"/>
        <v>199</v>
      </c>
      <c r="BJ21" s="13">
        <f t="shared" si="4"/>
        <v>220</v>
      </c>
      <c r="BK21" s="13">
        <f t="shared" si="4"/>
        <v>204</v>
      </c>
      <c r="BL21" s="13">
        <f t="shared" si="4"/>
        <v>223</v>
      </c>
      <c r="BM21" s="13">
        <f t="shared" si="4"/>
        <v>185</v>
      </c>
      <c r="BN21" s="13">
        <f t="shared" si="4"/>
        <v>228</v>
      </c>
      <c r="BO21" s="13">
        <f t="shared" si="4"/>
        <v>212</v>
      </c>
      <c r="BP21" s="13">
        <f t="shared" si="4"/>
        <v>228</v>
      </c>
      <c r="BQ21" s="13">
        <f t="shared" si="4"/>
        <v>224</v>
      </c>
      <c r="BR21" s="13">
        <f t="shared" si="3"/>
        <v>13260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1.0</v>
      </c>
      <c r="P22" s="19">
        <v>1.0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1.0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2.0</v>
      </c>
      <c r="BN22" s="19">
        <v>0.0</v>
      </c>
      <c r="BO22" s="19">
        <v>1.0</v>
      </c>
      <c r="BP22" s="19">
        <v>0.0</v>
      </c>
      <c r="BQ22" s="19">
        <v>0.0</v>
      </c>
      <c r="BR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1.0</v>
      </c>
      <c r="BN23" s="19">
        <v>0.0</v>
      </c>
      <c r="BO23" s="19">
        <v>0.0</v>
      </c>
      <c r="BP23" s="19">
        <v>0.0</v>
      </c>
      <c r="BQ23" s="19">
        <v>0.0</v>
      </c>
      <c r="BR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B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3</v>
      </c>
      <c r="BN24" s="13">
        <f t="shared" si="5"/>
        <v>0</v>
      </c>
      <c r="BO24" s="13">
        <f t="shared" si="5"/>
        <v>1</v>
      </c>
      <c r="BP24" s="13">
        <f t="shared" si="5"/>
        <v>0</v>
      </c>
      <c r="BQ24" s="13">
        <f t="shared" si="5"/>
        <v>0</v>
      </c>
      <c r="BR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5.0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3.0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3.0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1.0</v>
      </c>
      <c r="AN25" s="19">
        <v>2.0</v>
      </c>
      <c r="AO25" s="19">
        <v>3.0</v>
      </c>
      <c r="AP25" s="19">
        <v>0.0</v>
      </c>
      <c r="AQ25" s="19">
        <v>1.0</v>
      </c>
      <c r="AR25" s="19">
        <v>0.0</v>
      </c>
      <c r="AS25" s="19">
        <v>1.0</v>
      </c>
      <c r="AT25" s="19">
        <v>0.0</v>
      </c>
      <c r="AU25" s="19">
        <v>0.0</v>
      </c>
      <c r="AV25" s="19">
        <v>16.0</v>
      </c>
      <c r="AW25" s="19">
        <v>0.0</v>
      </c>
      <c r="AX25" s="19">
        <v>0.0</v>
      </c>
      <c r="AY25" s="19">
        <v>1.0</v>
      </c>
      <c r="AZ25" s="19">
        <v>0.0</v>
      </c>
      <c r="BA25" s="19">
        <v>0.0</v>
      </c>
      <c r="BB25" s="19">
        <v>0.0</v>
      </c>
      <c r="BC25" s="19">
        <v>2.0</v>
      </c>
      <c r="BD25" s="19">
        <v>0.0</v>
      </c>
      <c r="BE25" s="19">
        <v>0.0</v>
      </c>
      <c r="BF25" s="19">
        <v>4.0</v>
      </c>
      <c r="BG25" s="19">
        <v>1.0</v>
      </c>
      <c r="BH25" s="19">
        <v>2.0</v>
      </c>
      <c r="BI25" s="19">
        <v>0.0</v>
      </c>
      <c r="BJ25" s="19">
        <v>0.0</v>
      </c>
      <c r="BK25" s="19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2.0</v>
      </c>
      <c r="I26" s="19">
        <v>0.0</v>
      </c>
      <c r="J26" s="19">
        <v>0.0</v>
      </c>
      <c r="K26" s="19">
        <v>4.0</v>
      </c>
      <c r="L26" s="19">
        <v>2.0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1.0</v>
      </c>
      <c r="AH26" s="19">
        <v>2.0</v>
      </c>
      <c r="AI26" s="19">
        <v>0.0</v>
      </c>
      <c r="AJ26" s="19">
        <v>0.0</v>
      </c>
      <c r="AK26" s="19">
        <v>3.0</v>
      </c>
      <c r="AL26" s="19">
        <v>0.0</v>
      </c>
      <c r="AM26" s="19">
        <v>1.0</v>
      </c>
      <c r="AN26" s="19">
        <v>0.0</v>
      </c>
      <c r="AO26" s="19">
        <v>0.0</v>
      </c>
      <c r="AP26" s="19">
        <v>0.0</v>
      </c>
      <c r="AQ26" s="19">
        <v>1.0</v>
      </c>
      <c r="AR26" s="19">
        <v>0.0</v>
      </c>
      <c r="AS26" s="19">
        <v>2.0</v>
      </c>
      <c r="AT26" s="19">
        <v>0.0</v>
      </c>
      <c r="AU26" s="19">
        <v>0.0</v>
      </c>
      <c r="AV26" s="19">
        <v>17.0</v>
      </c>
      <c r="AW26" s="19">
        <v>0.0</v>
      </c>
      <c r="AX26" s="19">
        <v>0.0</v>
      </c>
      <c r="AY26" s="19">
        <v>1.0</v>
      </c>
      <c r="AZ26" s="19">
        <v>0.0</v>
      </c>
      <c r="BA26" s="19">
        <v>0.0</v>
      </c>
      <c r="BB26" s="19">
        <v>0.0</v>
      </c>
      <c r="BC26" s="19">
        <v>3.0</v>
      </c>
      <c r="BD26" s="19">
        <v>0.0</v>
      </c>
      <c r="BE26" s="19">
        <v>0.0</v>
      </c>
      <c r="BF26" s="19">
        <v>4.0</v>
      </c>
      <c r="BG26" s="19">
        <v>2.0</v>
      </c>
      <c r="BH26" s="19">
        <v>3.0</v>
      </c>
      <c r="BI26" s="19">
        <v>1.0</v>
      </c>
      <c r="BJ26" s="19">
        <v>0.0</v>
      </c>
      <c r="BK26" s="19">
        <v>0.0</v>
      </c>
      <c r="BL26" s="19">
        <v>0.0</v>
      </c>
      <c r="BM26" s="19">
        <v>0.0</v>
      </c>
      <c r="BN26" s="19">
        <v>0.0</v>
      </c>
      <c r="BO26" s="19">
        <v>2.0</v>
      </c>
      <c r="BP26" s="19">
        <v>0.0</v>
      </c>
      <c r="BQ26" s="19">
        <v>0.0</v>
      </c>
      <c r="BR26" s="13">
        <f t="shared" si="3"/>
        <v>63</v>
      </c>
    </row>
    <row r="27" ht="12.75" customHeight="1">
      <c r="A27" s="35"/>
      <c r="B27" s="28"/>
      <c r="C27" s="36"/>
      <c r="D27" s="13" t="s">
        <v>14</v>
      </c>
      <c r="E27" s="13">
        <f t="shared" ref="E27:BQ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9</v>
      </c>
      <c r="L27" s="13">
        <f t="shared" si="6"/>
        <v>4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</v>
      </c>
      <c r="AH27" s="13">
        <f t="shared" si="6"/>
        <v>2</v>
      </c>
      <c r="AI27" s="13">
        <f t="shared" si="6"/>
        <v>0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2</v>
      </c>
      <c r="AN27" s="13">
        <f t="shared" si="6"/>
        <v>2</v>
      </c>
      <c r="AO27" s="13">
        <f t="shared" si="6"/>
        <v>3</v>
      </c>
      <c r="AP27" s="13">
        <f t="shared" si="6"/>
        <v>0</v>
      </c>
      <c r="AQ27" s="13">
        <f t="shared" si="6"/>
        <v>2</v>
      </c>
      <c r="AR27" s="13">
        <f t="shared" si="6"/>
        <v>0</v>
      </c>
      <c r="AS27" s="13">
        <f t="shared" si="6"/>
        <v>3</v>
      </c>
      <c r="AT27" s="13">
        <f t="shared" si="6"/>
        <v>0</v>
      </c>
      <c r="AU27" s="13">
        <f t="shared" si="6"/>
        <v>0</v>
      </c>
      <c r="AV27" s="13">
        <f t="shared" si="6"/>
        <v>33</v>
      </c>
      <c r="AW27" s="13">
        <f t="shared" si="6"/>
        <v>0</v>
      </c>
      <c r="AX27" s="13">
        <f t="shared" si="6"/>
        <v>0</v>
      </c>
      <c r="AY27" s="13">
        <f t="shared" si="6"/>
        <v>2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0</v>
      </c>
      <c r="BE27" s="13">
        <f t="shared" si="6"/>
        <v>0</v>
      </c>
      <c r="BF27" s="13">
        <f t="shared" si="6"/>
        <v>8</v>
      </c>
      <c r="BG27" s="13">
        <f t="shared" si="6"/>
        <v>3</v>
      </c>
      <c r="BH27" s="13">
        <f t="shared" si="6"/>
        <v>5</v>
      </c>
      <c r="BI27" s="13">
        <f t="shared" si="6"/>
        <v>1</v>
      </c>
      <c r="BJ27" s="13">
        <f t="shared" si="6"/>
        <v>0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2</v>
      </c>
      <c r="BP27" s="13">
        <f t="shared" si="6"/>
        <v>0</v>
      </c>
      <c r="BQ27" s="13">
        <f t="shared" si="6"/>
        <v>0</v>
      </c>
      <c r="BR27" s="13">
        <f t="shared" si="3"/>
        <v>118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Q28" si="7">SUM(E19,E22,E25)</f>
        <v>78</v>
      </c>
      <c r="F28" s="13">
        <f t="shared" si="7"/>
        <v>87</v>
      </c>
      <c r="G28" s="13">
        <f t="shared" si="7"/>
        <v>77</v>
      </c>
      <c r="H28" s="13">
        <f t="shared" si="7"/>
        <v>91</v>
      </c>
      <c r="I28" s="13">
        <f t="shared" si="7"/>
        <v>103</v>
      </c>
      <c r="J28" s="13">
        <f t="shared" si="7"/>
        <v>117</v>
      </c>
      <c r="K28" s="13">
        <f t="shared" si="7"/>
        <v>105</v>
      </c>
      <c r="L28" s="13">
        <f t="shared" si="7"/>
        <v>84</v>
      </c>
      <c r="M28" s="13">
        <f t="shared" si="7"/>
        <v>97</v>
      </c>
      <c r="N28" s="13">
        <f t="shared" si="7"/>
        <v>110</v>
      </c>
      <c r="O28" s="13">
        <f t="shared" si="7"/>
        <v>95</v>
      </c>
      <c r="P28" s="13">
        <f t="shared" si="7"/>
        <v>104</v>
      </c>
      <c r="Q28" s="13">
        <f t="shared" si="7"/>
        <v>88</v>
      </c>
      <c r="R28" s="13">
        <f t="shared" si="7"/>
        <v>84</v>
      </c>
      <c r="S28" s="13">
        <f t="shared" si="7"/>
        <v>98</v>
      </c>
      <c r="T28" s="13">
        <f t="shared" si="7"/>
        <v>88</v>
      </c>
      <c r="U28" s="13">
        <f t="shared" si="7"/>
        <v>100</v>
      </c>
      <c r="V28" s="13">
        <f t="shared" si="7"/>
        <v>94</v>
      </c>
      <c r="W28" s="13">
        <f t="shared" si="7"/>
        <v>84</v>
      </c>
      <c r="X28" s="13">
        <f t="shared" si="7"/>
        <v>97</v>
      </c>
      <c r="Y28" s="13">
        <f t="shared" si="7"/>
        <v>109</v>
      </c>
      <c r="Z28" s="13">
        <f t="shared" si="7"/>
        <v>113</v>
      </c>
      <c r="AA28" s="13">
        <f t="shared" si="7"/>
        <v>98</v>
      </c>
      <c r="AB28" s="13">
        <f t="shared" si="7"/>
        <v>105</v>
      </c>
      <c r="AC28" s="13">
        <f t="shared" si="7"/>
        <v>120</v>
      </c>
      <c r="AD28" s="13">
        <f t="shared" si="7"/>
        <v>109</v>
      </c>
      <c r="AE28" s="13">
        <f t="shared" si="7"/>
        <v>113</v>
      </c>
      <c r="AF28" s="13">
        <f t="shared" si="7"/>
        <v>99</v>
      </c>
      <c r="AG28" s="13">
        <f t="shared" si="7"/>
        <v>93</v>
      </c>
      <c r="AH28" s="13">
        <f t="shared" si="7"/>
        <v>95</v>
      </c>
      <c r="AI28" s="13">
        <f t="shared" si="7"/>
        <v>98</v>
      </c>
      <c r="AJ28" s="13">
        <f t="shared" si="7"/>
        <v>111</v>
      </c>
      <c r="AK28" s="13">
        <f t="shared" si="7"/>
        <v>107</v>
      </c>
      <c r="AL28" s="13">
        <f t="shared" si="7"/>
        <v>104</v>
      </c>
      <c r="AM28" s="13">
        <f t="shared" si="7"/>
        <v>96</v>
      </c>
      <c r="AN28" s="13">
        <f t="shared" si="7"/>
        <v>122</v>
      </c>
      <c r="AO28" s="13">
        <f t="shared" si="7"/>
        <v>121</v>
      </c>
      <c r="AP28" s="13">
        <f t="shared" si="7"/>
        <v>98</v>
      </c>
      <c r="AQ28" s="13">
        <f t="shared" si="7"/>
        <v>102</v>
      </c>
      <c r="AR28" s="13">
        <f t="shared" si="7"/>
        <v>87</v>
      </c>
      <c r="AS28" s="13">
        <f t="shared" si="7"/>
        <v>88</v>
      </c>
      <c r="AT28" s="13">
        <f t="shared" si="7"/>
        <v>84</v>
      </c>
      <c r="AU28" s="13">
        <f t="shared" si="7"/>
        <v>122</v>
      </c>
      <c r="AV28" s="13">
        <f t="shared" si="7"/>
        <v>96</v>
      </c>
      <c r="AW28" s="13">
        <f t="shared" si="7"/>
        <v>86</v>
      </c>
      <c r="AX28" s="13">
        <f t="shared" si="7"/>
        <v>101</v>
      </c>
      <c r="AY28" s="13">
        <f t="shared" si="7"/>
        <v>95</v>
      </c>
      <c r="AZ28" s="13">
        <f t="shared" si="7"/>
        <v>98</v>
      </c>
      <c r="BA28" s="13">
        <f t="shared" si="7"/>
        <v>105</v>
      </c>
      <c r="BB28" s="13">
        <f t="shared" si="7"/>
        <v>63</v>
      </c>
      <c r="BC28" s="13">
        <f t="shared" si="7"/>
        <v>83</v>
      </c>
      <c r="BD28" s="13">
        <f t="shared" si="7"/>
        <v>104</v>
      </c>
      <c r="BE28" s="13">
        <f t="shared" si="7"/>
        <v>82</v>
      </c>
      <c r="BF28" s="13">
        <f t="shared" si="7"/>
        <v>105</v>
      </c>
      <c r="BG28" s="13">
        <f t="shared" si="7"/>
        <v>123</v>
      </c>
      <c r="BH28" s="13">
        <f t="shared" si="7"/>
        <v>97</v>
      </c>
      <c r="BI28" s="13">
        <f t="shared" si="7"/>
        <v>101</v>
      </c>
      <c r="BJ28" s="13">
        <f t="shared" si="7"/>
        <v>112</v>
      </c>
      <c r="BK28" s="13">
        <f t="shared" si="7"/>
        <v>101</v>
      </c>
      <c r="BL28" s="13">
        <f t="shared" si="7"/>
        <v>113</v>
      </c>
      <c r="BM28" s="13">
        <f t="shared" si="7"/>
        <v>98</v>
      </c>
      <c r="BN28" s="13">
        <f t="shared" si="7"/>
        <v>107</v>
      </c>
      <c r="BO28" s="13">
        <f t="shared" si="7"/>
        <v>106</v>
      </c>
      <c r="BP28" s="13">
        <f t="shared" si="7"/>
        <v>115</v>
      </c>
      <c r="BQ28" s="13">
        <f t="shared" si="7"/>
        <v>109</v>
      </c>
      <c r="BR28" s="13">
        <f t="shared" si="3"/>
        <v>6475</v>
      </c>
    </row>
    <row r="29" ht="12.75" customHeight="1">
      <c r="A29" s="35"/>
      <c r="B29" s="27"/>
      <c r="C29" s="34"/>
      <c r="D29" s="13" t="s">
        <v>13</v>
      </c>
      <c r="E29" s="13">
        <f t="shared" ref="E29:BQ29" si="8">SUM(E20,E23,E26)</f>
        <v>93</v>
      </c>
      <c r="F29" s="13">
        <f t="shared" si="8"/>
        <v>76</v>
      </c>
      <c r="G29" s="13">
        <f t="shared" si="8"/>
        <v>76</v>
      </c>
      <c r="H29" s="13">
        <f t="shared" si="8"/>
        <v>109</v>
      </c>
      <c r="I29" s="13">
        <f t="shared" si="8"/>
        <v>104</v>
      </c>
      <c r="J29" s="13">
        <f t="shared" si="8"/>
        <v>112</v>
      </c>
      <c r="K29" s="13">
        <f t="shared" si="8"/>
        <v>116</v>
      </c>
      <c r="L29" s="13">
        <f t="shared" si="8"/>
        <v>111</v>
      </c>
      <c r="M29" s="13">
        <f t="shared" si="8"/>
        <v>112</v>
      </c>
      <c r="N29" s="13">
        <f t="shared" si="8"/>
        <v>123</v>
      </c>
      <c r="O29" s="13">
        <f t="shared" si="8"/>
        <v>108</v>
      </c>
      <c r="P29" s="13">
        <f t="shared" si="8"/>
        <v>115</v>
      </c>
      <c r="Q29" s="13">
        <f t="shared" si="8"/>
        <v>120</v>
      </c>
      <c r="R29" s="13">
        <f t="shared" si="8"/>
        <v>119</v>
      </c>
      <c r="S29" s="13">
        <f t="shared" si="8"/>
        <v>108</v>
      </c>
      <c r="T29" s="13">
        <f t="shared" si="8"/>
        <v>105</v>
      </c>
      <c r="U29" s="13">
        <f t="shared" si="8"/>
        <v>108</v>
      </c>
      <c r="V29" s="13">
        <f t="shared" si="8"/>
        <v>96</v>
      </c>
      <c r="W29" s="13">
        <f t="shared" si="8"/>
        <v>103</v>
      </c>
      <c r="X29" s="13">
        <f t="shared" si="8"/>
        <v>97</v>
      </c>
      <c r="Y29" s="13">
        <f t="shared" si="8"/>
        <v>111</v>
      </c>
      <c r="Z29" s="13">
        <f t="shared" si="8"/>
        <v>107</v>
      </c>
      <c r="AA29" s="13">
        <f t="shared" si="8"/>
        <v>111</v>
      </c>
      <c r="AB29" s="13">
        <f t="shared" si="8"/>
        <v>100</v>
      </c>
      <c r="AC29" s="13">
        <f t="shared" si="8"/>
        <v>115</v>
      </c>
      <c r="AD29" s="13">
        <f t="shared" si="8"/>
        <v>115</v>
      </c>
      <c r="AE29" s="13">
        <f t="shared" si="8"/>
        <v>102</v>
      </c>
      <c r="AF29" s="13">
        <f t="shared" si="8"/>
        <v>122</v>
      </c>
      <c r="AG29" s="13">
        <f t="shared" si="8"/>
        <v>99</v>
      </c>
      <c r="AH29" s="13">
        <f t="shared" si="8"/>
        <v>107</v>
      </c>
      <c r="AI29" s="13">
        <f t="shared" si="8"/>
        <v>102</v>
      </c>
      <c r="AJ29" s="13">
        <f t="shared" si="8"/>
        <v>116</v>
      </c>
      <c r="AK29" s="13">
        <f t="shared" si="8"/>
        <v>114</v>
      </c>
      <c r="AL29" s="13">
        <f t="shared" si="8"/>
        <v>93</v>
      </c>
      <c r="AM29" s="13">
        <f t="shared" si="8"/>
        <v>99</v>
      </c>
      <c r="AN29" s="13">
        <f t="shared" si="8"/>
        <v>101</v>
      </c>
      <c r="AO29" s="13">
        <f t="shared" si="8"/>
        <v>119</v>
      </c>
      <c r="AP29" s="13">
        <f t="shared" si="8"/>
        <v>121</v>
      </c>
      <c r="AQ29" s="13">
        <f t="shared" si="8"/>
        <v>111</v>
      </c>
      <c r="AR29" s="13">
        <f t="shared" si="8"/>
        <v>105</v>
      </c>
      <c r="AS29" s="13">
        <f t="shared" si="8"/>
        <v>112</v>
      </c>
      <c r="AT29" s="13">
        <f t="shared" si="8"/>
        <v>83</v>
      </c>
      <c r="AU29" s="13">
        <f t="shared" si="8"/>
        <v>111</v>
      </c>
      <c r="AV29" s="13">
        <f t="shared" si="8"/>
        <v>115</v>
      </c>
      <c r="AW29" s="13">
        <f t="shared" si="8"/>
        <v>102</v>
      </c>
      <c r="AX29" s="13">
        <f t="shared" si="8"/>
        <v>115</v>
      </c>
      <c r="AY29" s="13">
        <f t="shared" si="8"/>
        <v>107</v>
      </c>
      <c r="AZ29" s="13">
        <f t="shared" si="8"/>
        <v>99</v>
      </c>
      <c r="BA29" s="13">
        <f t="shared" si="8"/>
        <v>109</v>
      </c>
      <c r="BB29" s="13">
        <f t="shared" si="8"/>
        <v>66</v>
      </c>
      <c r="BC29" s="13">
        <f t="shared" si="8"/>
        <v>89</v>
      </c>
      <c r="BD29" s="13">
        <f t="shared" si="8"/>
        <v>119</v>
      </c>
      <c r="BE29" s="13">
        <f t="shared" si="8"/>
        <v>101</v>
      </c>
      <c r="BF29" s="13">
        <f t="shared" si="8"/>
        <v>126</v>
      </c>
      <c r="BG29" s="13">
        <f t="shared" si="8"/>
        <v>110</v>
      </c>
      <c r="BH29" s="13">
        <f t="shared" si="8"/>
        <v>106</v>
      </c>
      <c r="BI29" s="13">
        <f t="shared" si="8"/>
        <v>99</v>
      </c>
      <c r="BJ29" s="13">
        <f t="shared" si="8"/>
        <v>108</v>
      </c>
      <c r="BK29" s="13">
        <f t="shared" si="8"/>
        <v>103</v>
      </c>
      <c r="BL29" s="13">
        <f t="shared" si="8"/>
        <v>110</v>
      </c>
      <c r="BM29" s="13">
        <f t="shared" si="8"/>
        <v>90</v>
      </c>
      <c r="BN29" s="13">
        <f t="shared" si="8"/>
        <v>121</v>
      </c>
      <c r="BO29" s="13">
        <f t="shared" si="8"/>
        <v>109</v>
      </c>
      <c r="BP29" s="13">
        <f t="shared" si="8"/>
        <v>113</v>
      </c>
      <c r="BQ29" s="13">
        <f t="shared" si="8"/>
        <v>115</v>
      </c>
      <c r="BR29" s="13">
        <f t="shared" si="3"/>
        <v>6919</v>
      </c>
    </row>
    <row r="30" ht="12.75" customHeight="1">
      <c r="A30" s="35"/>
      <c r="B30" s="28"/>
      <c r="C30" s="36"/>
      <c r="D30" s="13" t="s">
        <v>14</v>
      </c>
      <c r="E30" s="13">
        <f t="shared" ref="E30:BQ30" si="9">SUM(E28:E29)</f>
        <v>171</v>
      </c>
      <c r="F30" s="13">
        <f t="shared" si="9"/>
        <v>163</v>
      </c>
      <c r="G30" s="13">
        <f t="shared" si="9"/>
        <v>153</v>
      </c>
      <c r="H30" s="13">
        <f t="shared" si="9"/>
        <v>200</v>
      </c>
      <c r="I30" s="13">
        <f t="shared" si="9"/>
        <v>207</v>
      </c>
      <c r="J30" s="13">
        <f t="shared" si="9"/>
        <v>229</v>
      </c>
      <c r="K30" s="13">
        <f t="shared" si="9"/>
        <v>221</v>
      </c>
      <c r="L30" s="13">
        <f t="shared" si="9"/>
        <v>195</v>
      </c>
      <c r="M30" s="13">
        <f t="shared" si="9"/>
        <v>209</v>
      </c>
      <c r="N30" s="13">
        <f t="shared" si="9"/>
        <v>233</v>
      </c>
      <c r="O30" s="13">
        <f t="shared" si="9"/>
        <v>203</v>
      </c>
      <c r="P30" s="13">
        <f t="shared" si="9"/>
        <v>219</v>
      </c>
      <c r="Q30" s="13">
        <f t="shared" si="9"/>
        <v>208</v>
      </c>
      <c r="R30" s="13">
        <f t="shared" si="9"/>
        <v>203</v>
      </c>
      <c r="S30" s="13">
        <f t="shared" si="9"/>
        <v>206</v>
      </c>
      <c r="T30" s="13">
        <f t="shared" si="9"/>
        <v>193</v>
      </c>
      <c r="U30" s="13">
        <f t="shared" si="9"/>
        <v>208</v>
      </c>
      <c r="V30" s="13">
        <f t="shared" si="9"/>
        <v>190</v>
      </c>
      <c r="W30" s="13">
        <f t="shared" si="9"/>
        <v>187</v>
      </c>
      <c r="X30" s="13">
        <f t="shared" si="9"/>
        <v>194</v>
      </c>
      <c r="Y30" s="13">
        <f t="shared" si="9"/>
        <v>220</v>
      </c>
      <c r="Z30" s="13">
        <f t="shared" si="9"/>
        <v>220</v>
      </c>
      <c r="AA30" s="13">
        <f t="shared" si="9"/>
        <v>209</v>
      </c>
      <c r="AB30" s="13">
        <f t="shared" si="9"/>
        <v>205</v>
      </c>
      <c r="AC30" s="13">
        <f t="shared" si="9"/>
        <v>235</v>
      </c>
      <c r="AD30" s="13">
        <f t="shared" si="9"/>
        <v>224</v>
      </c>
      <c r="AE30" s="13">
        <f t="shared" si="9"/>
        <v>215</v>
      </c>
      <c r="AF30" s="13">
        <f t="shared" si="9"/>
        <v>221</v>
      </c>
      <c r="AG30" s="13">
        <f t="shared" si="9"/>
        <v>192</v>
      </c>
      <c r="AH30" s="13">
        <f t="shared" si="9"/>
        <v>202</v>
      </c>
      <c r="AI30" s="13">
        <f t="shared" si="9"/>
        <v>200</v>
      </c>
      <c r="AJ30" s="13">
        <f t="shared" si="9"/>
        <v>227</v>
      </c>
      <c r="AK30" s="13">
        <f t="shared" si="9"/>
        <v>221</v>
      </c>
      <c r="AL30" s="13">
        <f t="shared" si="9"/>
        <v>197</v>
      </c>
      <c r="AM30" s="13">
        <f t="shared" si="9"/>
        <v>195</v>
      </c>
      <c r="AN30" s="13">
        <f t="shared" si="9"/>
        <v>223</v>
      </c>
      <c r="AO30" s="13">
        <f t="shared" si="9"/>
        <v>240</v>
      </c>
      <c r="AP30" s="13">
        <f t="shared" si="9"/>
        <v>219</v>
      </c>
      <c r="AQ30" s="13">
        <f t="shared" si="9"/>
        <v>213</v>
      </c>
      <c r="AR30" s="13">
        <f t="shared" si="9"/>
        <v>192</v>
      </c>
      <c r="AS30" s="13">
        <f t="shared" si="9"/>
        <v>200</v>
      </c>
      <c r="AT30" s="13">
        <f t="shared" si="9"/>
        <v>167</v>
      </c>
      <c r="AU30" s="13">
        <f t="shared" si="9"/>
        <v>233</v>
      </c>
      <c r="AV30" s="13">
        <f t="shared" si="9"/>
        <v>211</v>
      </c>
      <c r="AW30" s="13">
        <f t="shared" si="9"/>
        <v>188</v>
      </c>
      <c r="AX30" s="13">
        <f t="shared" si="9"/>
        <v>216</v>
      </c>
      <c r="AY30" s="13">
        <f t="shared" si="9"/>
        <v>202</v>
      </c>
      <c r="AZ30" s="13">
        <f t="shared" si="9"/>
        <v>197</v>
      </c>
      <c r="BA30" s="13">
        <f t="shared" si="9"/>
        <v>214</v>
      </c>
      <c r="BB30" s="13">
        <f t="shared" si="9"/>
        <v>129</v>
      </c>
      <c r="BC30" s="13">
        <f t="shared" si="9"/>
        <v>172</v>
      </c>
      <c r="BD30" s="13">
        <f t="shared" si="9"/>
        <v>223</v>
      </c>
      <c r="BE30" s="13">
        <f t="shared" si="9"/>
        <v>183</v>
      </c>
      <c r="BF30" s="13">
        <f t="shared" si="9"/>
        <v>231</v>
      </c>
      <c r="BG30" s="13">
        <f t="shared" si="9"/>
        <v>233</v>
      </c>
      <c r="BH30" s="13">
        <f t="shared" si="9"/>
        <v>203</v>
      </c>
      <c r="BI30" s="13">
        <f t="shared" si="9"/>
        <v>200</v>
      </c>
      <c r="BJ30" s="13">
        <f t="shared" si="9"/>
        <v>220</v>
      </c>
      <c r="BK30" s="13">
        <f t="shared" si="9"/>
        <v>204</v>
      </c>
      <c r="BL30" s="13">
        <f t="shared" si="9"/>
        <v>223</v>
      </c>
      <c r="BM30" s="13">
        <f t="shared" si="9"/>
        <v>188</v>
      </c>
      <c r="BN30" s="13">
        <f t="shared" si="9"/>
        <v>228</v>
      </c>
      <c r="BO30" s="13">
        <f t="shared" si="9"/>
        <v>215</v>
      </c>
      <c r="BP30" s="13">
        <f t="shared" si="9"/>
        <v>228</v>
      </c>
      <c r="BQ30" s="13">
        <f t="shared" si="9"/>
        <v>224</v>
      </c>
      <c r="BR30" s="13">
        <f t="shared" si="3"/>
        <v>13394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76"/>
    </row>
    <row r="33" ht="12.75" customHeight="1">
      <c r="A33" s="19">
        <v>1.0</v>
      </c>
      <c r="B33" s="20" t="s">
        <v>27</v>
      </c>
      <c r="C33" s="15"/>
      <c r="D33" s="16"/>
      <c r="E33" s="19">
        <v>246.0</v>
      </c>
      <c r="F33" s="19">
        <v>228.0</v>
      </c>
      <c r="G33" s="19">
        <v>203.0</v>
      </c>
      <c r="H33" s="19">
        <v>286.0</v>
      </c>
      <c r="I33" s="19">
        <v>285.0</v>
      </c>
      <c r="J33" s="19">
        <v>272.0</v>
      </c>
      <c r="K33" s="19">
        <v>288.0</v>
      </c>
      <c r="L33" s="19">
        <v>254.0</v>
      </c>
      <c r="M33" s="19">
        <v>296.0</v>
      </c>
      <c r="N33" s="19">
        <v>305.0</v>
      </c>
      <c r="O33" s="19">
        <v>289.0</v>
      </c>
      <c r="P33" s="19">
        <v>299.0</v>
      </c>
      <c r="Q33" s="19">
        <v>287.0</v>
      </c>
      <c r="R33" s="19">
        <v>280.0</v>
      </c>
      <c r="S33" s="19">
        <v>286.0</v>
      </c>
      <c r="T33" s="19">
        <v>299.0</v>
      </c>
      <c r="U33" s="19">
        <v>276.0</v>
      </c>
      <c r="V33" s="19">
        <v>285.0</v>
      </c>
      <c r="W33" s="19">
        <v>283.0</v>
      </c>
      <c r="X33" s="19">
        <v>278.0</v>
      </c>
      <c r="Y33" s="19">
        <v>264.0</v>
      </c>
      <c r="Z33" s="19">
        <v>304.0</v>
      </c>
      <c r="AA33" s="19">
        <v>295.0</v>
      </c>
      <c r="AB33" s="19">
        <v>295.0</v>
      </c>
      <c r="AC33" s="19">
        <v>299.0</v>
      </c>
      <c r="AD33" s="19">
        <v>302.0</v>
      </c>
      <c r="AE33" s="19">
        <v>302.0</v>
      </c>
      <c r="AF33" s="19">
        <v>311.0</v>
      </c>
      <c r="AG33" s="19">
        <v>282.0</v>
      </c>
      <c r="AH33" s="19">
        <v>284.0</v>
      </c>
      <c r="AI33" s="19">
        <v>270.0</v>
      </c>
      <c r="AJ33" s="19">
        <v>297.0</v>
      </c>
      <c r="AK33" s="19">
        <v>293.0</v>
      </c>
      <c r="AL33" s="19">
        <v>235.0</v>
      </c>
      <c r="AM33" s="19">
        <v>248.0</v>
      </c>
      <c r="AN33" s="19">
        <v>302.0</v>
      </c>
      <c r="AO33" s="19">
        <v>300.0</v>
      </c>
      <c r="AP33" s="19">
        <v>296.0</v>
      </c>
      <c r="AQ33" s="19">
        <v>284.0</v>
      </c>
      <c r="AR33" s="19">
        <v>232.0</v>
      </c>
      <c r="AS33" s="19">
        <v>254.0</v>
      </c>
      <c r="AT33" s="19">
        <v>222.0</v>
      </c>
      <c r="AU33" s="19">
        <v>278.0</v>
      </c>
      <c r="AV33" s="19">
        <v>270.0</v>
      </c>
      <c r="AW33" s="19">
        <v>258.0</v>
      </c>
      <c r="AX33" s="19">
        <v>297.0</v>
      </c>
      <c r="AY33" s="19">
        <v>284.0</v>
      </c>
      <c r="AZ33" s="19">
        <v>274.0</v>
      </c>
      <c r="BA33" s="19">
        <v>289.0</v>
      </c>
      <c r="BB33" s="19">
        <v>194.0</v>
      </c>
      <c r="BC33" s="19">
        <v>209.0</v>
      </c>
      <c r="BD33" s="19">
        <v>304.0</v>
      </c>
      <c r="BE33" s="19">
        <v>234.0</v>
      </c>
      <c r="BF33" s="19">
        <v>288.0</v>
      </c>
      <c r="BG33" s="19">
        <v>283.0</v>
      </c>
      <c r="BH33" s="19">
        <v>250.0</v>
      </c>
      <c r="BI33" s="19">
        <v>246.0</v>
      </c>
      <c r="BJ33" s="19">
        <v>283.0</v>
      </c>
      <c r="BK33" s="19">
        <v>262.0</v>
      </c>
      <c r="BL33" s="19">
        <v>300.0</v>
      </c>
      <c r="BM33" s="19">
        <v>263.0</v>
      </c>
      <c r="BN33" s="19">
        <v>316.0</v>
      </c>
      <c r="BO33" s="19">
        <v>291.0</v>
      </c>
      <c r="BP33" s="19">
        <v>291.0</v>
      </c>
      <c r="BQ33" s="19">
        <v>272.0</v>
      </c>
      <c r="BR33" s="13">
        <f t="shared" ref="BR33:BR36" si="10">SUM(E33:BQ33)</f>
        <v>17932</v>
      </c>
    </row>
    <row r="34" ht="12.75" customHeight="1">
      <c r="A34" s="19">
        <v>2.0</v>
      </c>
      <c r="B34" s="20" t="s">
        <v>28</v>
      </c>
      <c r="C34" s="15"/>
      <c r="D34" s="16"/>
      <c r="E34" s="13">
        <v>171.0</v>
      </c>
      <c r="F34" s="13">
        <v>163.0</v>
      </c>
      <c r="G34" s="13">
        <v>153.0</v>
      </c>
      <c r="H34" s="13">
        <v>200.0</v>
      </c>
      <c r="I34" s="13">
        <v>207.0</v>
      </c>
      <c r="J34" s="13">
        <v>229.0</v>
      </c>
      <c r="K34" s="13">
        <v>221.0</v>
      </c>
      <c r="L34" s="13">
        <v>195.0</v>
      </c>
      <c r="M34" s="13">
        <v>209.0</v>
      </c>
      <c r="N34" s="13">
        <v>233.0</v>
      </c>
      <c r="O34" s="13">
        <v>203.0</v>
      </c>
      <c r="P34" s="13">
        <v>219.0</v>
      </c>
      <c r="Q34" s="13">
        <v>208.0</v>
      </c>
      <c r="R34" s="13">
        <v>203.0</v>
      </c>
      <c r="S34" s="13">
        <v>206.0</v>
      </c>
      <c r="T34" s="13">
        <v>193.0</v>
      </c>
      <c r="U34" s="13">
        <v>208.0</v>
      </c>
      <c r="V34" s="13">
        <v>190.0</v>
      </c>
      <c r="W34" s="13">
        <v>187.0</v>
      </c>
      <c r="X34" s="13">
        <v>194.0</v>
      </c>
      <c r="Y34" s="13">
        <v>220.0</v>
      </c>
      <c r="Z34" s="13">
        <v>220.0</v>
      </c>
      <c r="AA34" s="13">
        <v>209.0</v>
      </c>
      <c r="AB34" s="13">
        <v>205.0</v>
      </c>
      <c r="AC34" s="13">
        <v>235.0</v>
      </c>
      <c r="AD34" s="13">
        <v>224.0</v>
      </c>
      <c r="AE34" s="13">
        <v>215.0</v>
      </c>
      <c r="AF34" s="13">
        <v>221.0</v>
      </c>
      <c r="AG34" s="13">
        <v>192.0</v>
      </c>
      <c r="AH34" s="13">
        <v>202.0</v>
      </c>
      <c r="AI34" s="13">
        <v>200.0</v>
      </c>
      <c r="AJ34" s="13">
        <v>227.0</v>
      </c>
      <c r="AK34" s="13">
        <v>221.0</v>
      </c>
      <c r="AL34" s="13">
        <v>197.0</v>
      </c>
      <c r="AM34" s="13">
        <v>195.0</v>
      </c>
      <c r="AN34" s="13">
        <v>223.0</v>
      </c>
      <c r="AO34" s="13">
        <v>240.0</v>
      </c>
      <c r="AP34" s="13">
        <v>219.0</v>
      </c>
      <c r="AQ34" s="13">
        <v>213.0</v>
      </c>
      <c r="AR34" s="13">
        <v>192.0</v>
      </c>
      <c r="AS34" s="13">
        <v>200.0</v>
      </c>
      <c r="AT34" s="13">
        <v>167.0</v>
      </c>
      <c r="AU34" s="13">
        <v>233.0</v>
      </c>
      <c r="AV34" s="13">
        <v>211.0</v>
      </c>
      <c r="AW34" s="13">
        <v>188.0</v>
      </c>
      <c r="AX34" s="13">
        <v>216.0</v>
      </c>
      <c r="AY34" s="13">
        <v>202.0</v>
      </c>
      <c r="AZ34" s="13">
        <v>197.0</v>
      </c>
      <c r="BA34" s="13">
        <v>214.0</v>
      </c>
      <c r="BB34" s="13">
        <v>129.0</v>
      </c>
      <c r="BC34" s="13">
        <v>172.0</v>
      </c>
      <c r="BD34" s="13">
        <v>223.0</v>
      </c>
      <c r="BE34" s="13">
        <v>183.0</v>
      </c>
      <c r="BF34" s="13">
        <v>231.0</v>
      </c>
      <c r="BG34" s="13">
        <v>233.0</v>
      </c>
      <c r="BH34" s="13">
        <v>203.0</v>
      </c>
      <c r="BI34" s="13">
        <v>200.0</v>
      </c>
      <c r="BJ34" s="13">
        <v>220.0</v>
      </c>
      <c r="BK34" s="13">
        <v>204.0</v>
      </c>
      <c r="BL34" s="13">
        <v>223.0</v>
      </c>
      <c r="BM34" s="13">
        <v>188.0</v>
      </c>
      <c r="BN34" s="13">
        <v>228.0</v>
      </c>
      <c r="BO34" s="13">
        <v>215.0</v>
      </c>
      <c r="BP34" s="13">
        <v>228.0</v>
      </c>
      <c r="BQ34" s="13">
        <v>224.0</v>
      </c>
      <c r="BR34" s="13">
        <f t="shared" si="10"/>
        <v>13394</v>
      </c>
    </row>
    <row r="35" ht="12.75" customHeight="1">
      <c r="A35" s="19">
        <v>3.0</v>
      </c>
      <c r="B35" s="20" t="s">
        <v>29</v>
      </c>
      <c r="C35" s="15"/>
      <c r="D35" s="16"/>
      <c r="E35" s="19">
        <v>23.0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2.0</v>
      </c>
      <c r="N35" s="19">
        <v>4.0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2.0</v>
      </c>
      <c r="Y35" s="19">
        <v>1.0</v>
      </c>
      <c r="Z35" s="19">
        <v>0.0</v>
      </c>
      <c r="AA35" s="19">
        <v>0.0</v>
      </c>
      <c r="AB35" s="19">
        <v>0.0</v>
      </c>
      <c r="AC35" s="19">
        <v>6.0</v>
      </c>
      <c r="AD35" s="19">
        <v>0.0</v>
      </c>
      <c r="AE35" s="19">
        <v>0.0</v>
      </c>
      <c r="AF35" s="19">
        <v>1.0</v>
      </c>
      <c r="AG35" s="19">
        <v>1.0</v>
      </c>
      <c r="AH35" s="19">
        <v>0.0</v>
      </c>
      <c r="AI35" s="19">
        <v>1.0</v>
      </c>
      <c r="AJ35" s="19">
        <v>0.0</v>
      </c>
      <c r="AK35" s="19">
        <v>1.0</v>
      </c>
      <c r="AL35" s="19">
        <v>1.0</v>
      </c>
      <c r="AM35" s="19">
        <v>1.0</v>
      </c>
      <c r="AN35" s="19">
        <v>0.0</v>
      </c>
      <c r="AO35" s="19">
        <v>1.0</v>
      </c>
      <c r="AP35" s="19">
        <v>0.0</v>
      </c>
      <c r="AQ35" s="19">
        <v>0.0</v>
      </c>
      <c r="AR35" s="19">
        <v>2.0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14.0</v>
      </c>
      <c r="BD35" s="19">
        <v>0.0</v>
      </c>
      <c r="BE35" s="19">
        <v>0.0</v>
      </c>
      <c r="BF35" s="19">
        <v>1.0</v>
      </c>
      <c r="BG35" s="19">
        <v>0.0</v>
      </c>
      <c r="BH35" s="19">
        <v>1.0</v>
      </c>
      <c r="BI35" s="19">
        <v>0.0</v>
      </c>
      <c r="BJ35" s="19">
        <v>0.0</v>
      </c>
      <c r="BK35" s="19">
        <v>2.0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3">
        <f t="shared" si="10"/>
        <v>67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Q36" si="11">E33-(E34+E35)</f>
        <v>52</v>
      </c>
      <c r="F36" s="13">
        <f t="shared" si="11"/>
        <v>65</v>
      </c>
      <c r="G36" s="13">
        <f t="shared" si="11"/>
        <v>50</v>
      </c>
      <c r="H36" s="13">
        <f t="shared" si="11"/>
        <v>86</v>
      </c>
      <c r="I36" s="13">
        <f t="shared" si="11"/>
        <v>77</v>
      </c>
      <c r="J36" s="13">
        <f t="shared" si="11"/>
        <v>43</v>
      </c>
      <c r="K36" s="13">
        <f t="shared" si="11"/>
        <v>67</v>
      </c>
      <c r="L36" s="13">
        <f t="shared" si="11"/>
        <v>59</v>
      </c>
      <c r="M36" s="13">
        <f t="shared" si="11"/>
        <v>85</v>
      </c>
      <c r="N36" s="13">
        <f t="shared" si="11"/>
        <v>68</v>
      </c>
      <c r="O36" s="13">
        <f t="shared" si="11"/>
        <v>86</v>
      </c>
      <c r="P36" s="13">
        <f t="shared" si="11"/>
        <v>80</v>
      </c>
      <c r="Q36" s="13">
        <f t="shared" si="11"/>
        <v>79</v>
      </c>
      <c r="R36" s="13">
        <f t="shared" si="11"/>
        <v>77</v>
      </c>
      <c r="S36" s="13">
        <f t="shared" si="11"/>
        <v>80</v>
      </c>
      <c r="T36" s="13">
        <f t="shared" si="11"/>
        <v>106</v>
      </c>
      <c r="U36" s="13">
        <f t="shared" si="11"/>
        <v>67</v>
      </c>
      <c r="V36" s="13">
        <f t="shared" si="11"/>
        <v>95</v>
      </c>
      <c r="W36" s="13">
        <f t="shared" si="11"/>
        <v>96</v>
      </c>
      <c r="X36" s="13">
        <f t="shared" si="11"/>
        <v>82</v>
      </c>
      <c r="Y36" s="13">
        <f t="shared" si="11"/>
        <v>43</v>
      </c>
      <c r="Z36" s="13">
        <f t="shared" si="11"/>
        <v>84</v>
      </c>
      <c r="AA36" s="13">
        <f t="shared" si="11"/>
        <v>86</v>
      </c>
      <c r="AB36" s="13">
        <f t="shared" si="11"/>
        <v>90</v>
      </c>
      <c r="AC36" s="13">
        <f t="shared" si="11"/>
        <v>58</v>
      </c>
      <c r="AD36" s="13">
        <f t="shared" si="11"/>
        <v>78</v>
      </c>
      <c r="AE36" s="13">
        <f t="shared" si="11"/>
        <v>87</v>
      </c>
      <c r="AF36" s="13">
        <f t="shared" si="11"/>
        <v>89</v>
      </c>
      <c r="AG36" s="13">
        <f t="shared" si="11"/>
        <v>89</v>
      </c>
      <c r="AH36" s="13">
        <f t="shared" si="11"/>
        <v>82</v>
      </c>
      <c r="AI36" s="13">
        <f t="shared" si="11"/>
        <v>69</v>
      </c>
      <c r="AJ36" s="13">
        <f t="shared" si="11"/>
        <v>70</v>
      </c>
      <c r="AK36" s="13">
        <f t="shared" si="11"/>
        <v>71</v>
      </c>
      <c r="AL36" s="13">
        <f t="shared" si="11"/>
        <v>37</v>
      </c>
      <c r="AM36" s="13">
        <f t="shared" si="11"/>
        <v>52</v>
      </c>
      <c r="AN36" s="13">
        <f t="shared" si="11"/>
        <v>79</v>
      </c>
      <c r="AO36" s="13">
        <f t="shared" si="11"/>
        <v>59</v>
      </c>
      <c r="AP36" s="13">
        <f t="shared" si="11"/>
        <v>77</v>
      </c>
      <c r="AQ36" s="13">
        <f t="shared" si="11"/>
        <v>71</v>
      </c>
      <c r="AR36" s="13">
        <f t="shared" si="11"/>
        <v>38</v>
      </c>
      <c r="AS36" s="13">
        <f t="shared" si="11"/>
        <v>54</v>
      </c>
      <c r="AT36" s="13">
        <f t="shared" si="11"/>
        <v>55</v>
      </c>
      <c r="AU36" s="13">
        <f t="shared" si="11"/>
        <v>45</v>
      </c>
      <c r="AV36" s="13">
        <f t="shared" si="11"/>
        <v>59</v>
      </c>
      <c r="AW36" s="13">
        <f t="shared" si="11"/>
        <v>70</v>
      </c>
      <c r="AX36" s="13">
        <f t="shared" si="11"/>
        <v>81</v>
      </c>
      <c r="AY36" s="13">
        <f t="shared" si="11"/>
        <v>82</v>
      </c>
      <c r="AZ36" s="13">
        <f t="shared" si="11"/>
        <v>77</v>
      </c>
      <c r="BA36" s="13">
        <f t="shared" si="11"/>
        <v>75</v>
      </c>
      <c r="BB36" s="13">
        <f t="shared" si="11"/>
        <v>65</v>
      </c>
      <c r="BC36" s="13">
        <f t="shared" si="11"/>
        <v>23</v>
      </c>
      <c r="BD36" s="13">
        <f t="shared" si="11"/>
        <v>81</v>
      </c>
      <c r="BE36" s="13">
        <f t="shared" si="11"/>
        <v>51</v>
      </c>
      <c r="BF36" s="13">
        <f t="shared" si="11"/>
        <v>56</v>
      </c>
      <c r="BG36" s="13">
        <f t="shared" si="11"/>
        <v>50</v>
      </c>
      <c r="BH36" s="13">
        <f t="shared" si="11"/>
        <v>46</v>
      </c>
      <c r="BI36" s="13">
        <f t="shared" si="11"/>
        <v>46</v>
      </c>
      <c r="BJ36" s="13">
        <f t="shared" si="11"/>
        <v>63</v>
      </c>
      <c r="BK36" s="13">
        <f t="shared" si="11"/>
        <v>56</v>
      </c>
      <c r="BL36" s="13">
        <f t="shared" si="11"/>
        <v>77</v>
      </c>
      <c r="BM36" s="13">
        <f t="shared" si="11"/>
        <v>75</v>
      </c>
      <c r="BN36" s="13">
        <f t="shared" si="11"/>
        <v>88</v>
      </c>
      <c r="BO36" s="13">
        <f t="shared" si="11"/>
        <v>76</v>
      </c>
      <c r="BP36" s="13">
        <f t="shared" si="11"/>
        <v>63</v>
      </c>
      <c r="BQ36" s="13">
        <f t="shared" si="11"/>
        <v>48</v>
      </c>
      <c r="BR36" s="13">
        <f t="shared" si="10"/>
        <v>4471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2.0</v>
      </c>
      <c r="AP39" s="19">
        <v>0.0</v>
      </c>
      <c r="AQ39" s="19">
        <v>1.0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1.0</v>
      </c>
      <c r="AZ39" s="19">
        <v>0.0</v>
      </c>
      <c r="BA39" s="19">
        <v>0.0</v>
      </c>
      <c r="BB39" s="19">
        <v>0.0</v>
      </c>
      <c r="BC39" s="19">
        <v>0.0</v>
      </c>
      <c r="BD39" s="19">
        <v>1.0</v>
      </c>
      <c r="BE39" s="19">
        <v>0.0</v>
      </c>
      <c r="BF39" s="19">
        <v>0.0</v>
      </c>
      <c r="BG39" s="19">
        <v>0.0</v>
      </c>
      <c r="BH39" s="19">
        <v>1.0</v>
      </c>
      <c r="BI39" s="19">
        <v>1.0</v>
      </c>
      <c r="BJ39" s="19">
        <v>0.0</v>
      </c>
      <c r="BK39" s="19">
        <v>0.0</v>
      </c>
      <c r="BL39" s="19">
        <v>1.0</v>
      </c>
      <c r="BM39" s="19">
        <v>0.0</v>
      </c>
      <c r="BN39" s="19">
        <v>0.0</v>
      </c>
      <c r="BO39" s="19">
        <v>0.0</v>
      </c>
      <c r="BP39" s="19">
        <v>0.0</v>
      </c>
      <c r="BQ39" s="19">
        <v>0.0</v>
      </c>
      <c r="BR39" s="13">
        <f t="shared" ref="BR39:BR41" si="12">SUM(E39:BQ39)</f>
        <v>16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2.0</v>
      </c>
      <c r="V40" s="19">
        <v>0.0</v>
      </c>
      <c r="W40" s="19">
        <v>0.0</v>
      </c>
      <c r="X40" s="19">
        <v>1.0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1.0</v>
      </c>
      <c r="BA40" s="19">
        <v>0.0</v>
      </c>
      <c r="BB40" s="19">
        <v>0.0</v>
      </c>
      <c r="BC40" s="19">
        <v>0.0</v>
      </c>
      <c r="BD40" s="19">
        <v>1.0</v>
      </c>
      <c r="BE40" s="19">
        <v>0.0</v>
      </c>
      <c r="BF40" s="19">
        <v>0.0</v>
      </c>
      <c r="BG40" s="19">
        <v>0.0</v>
      </c>
      <c r="BH40" s="19">
        <v>0.0</v>
      </c>
      <c r="BI40" s="19">
        <v>1.0</v>
      </c>
      <c r="BJ40" s="19">
        <v>0.0</v>
      </c>
      <c r="BK40" s="19">
        <v>0.0</v>
      </c>
      <c r="BL40" s="19">
        <v>2.0</v>
      </c>
      <c r="BM40" s="19">
        <v>0.0</v>
      </c>
      <c r="BN40" s="19">
        <v>1.0</v>
      </c>
      <c r="BO40" s="19">
        <v>0.0</v>
      </c>
      <c r="BP40" s="19">
        <v>0.0</v>
      </c>
      <c r="BQ40" s="19">
        <v>0.0</v>
      </c>
      <c r="BR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BQ41" si="13">SUM(E39:E40)</f>
        <v>0</v>
      </c>
      <c r="F41" s="13">
        <f t="shared" si="13"/>
        <v>2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1</v>
      </c>
      <c r="BI41" s="13">
        <f t="shared" si="13"/>
        <v>2</v>
      </c>
      <c r="BJ41" s="13">
        <f t="shared" si="13"/>
        <v>0</v>
      </c>
      <c r="BK41" s="13">
        <f t="shared" si="13"/>
        <v>0</v>
      </c>
      <c r="BL41" s="13">
        <f t="shared" si="13"/>
        <v>3</v>
      </c>
      <c r="BM41" s="13">
        <f t="shared" si="13"/>
        <v>0</v>
      </c>
      <c r="BN41" s="13">
        <f t="shared" si="13"/>
        <v>1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2"/>
        <v>30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3.0</v>
      </c>
      <c r="G45" s="19">
        <v>5.0</v>
      </c>
      <c r="H45" s="19">
        <v>7.0</v>
      </c>
      <c r="I45" s="19">
        <v>5.0</v>
      </c>
      <c r="J45" s="19">
        <v>7.0</v>
      </c>
      <c r="K45" s="19">
        <v>6.0</v>
      </c>
      <c r="L45" s="19">
        <v>3.0</v>
      </c>
      <c r="M45" s="19">
        <v>7.0</v>
      </c>
      <c r="N45" s="19">
        <v>0.0</v>
      </c>
      <c r="O45" s="19">
        <v>4.0</v>
      </c>
      <c r="P45" s="19">
        <v>7.0</v>
      </c>
      <c r="Q45" s="19">
        <v>5.0</v>
      </c>
      <c r="R45" s="19">
        <v>3.0</v>
      </c>
      <c r="S45" s="19">
        <v>15.0</v>
      </c>
      <c r="T45" s="19">
        <v>8.0</v>
      </c>
      <c r="U45" s="19">
        <v>12.0</v>
      </c>
      <c r="V45" s="19">
        <v>8.0</v>
      </c>
      <c r="W45" s="19">
        <v>16.0</v>
      </c>
      <c r="X45" s="19">
        <v>26.0</v>
      </c>
      <c r="Y45" s="19">
        <v>23.0</v>
      </c>
      <c r="Z45" s="19">
        <v>5.0</v>
      </c>
      <c r="AA45" s="19">
        <v>11.0</v>
      </c>
      <c r="AB45" s="19">
        <v>7.0</v>
      </c>
      <c r="AC45" s="19">
        <v>4.0</v>
      </c>
      <c r="AD45" s="19">
        <v>9.0</v>
      </c>
      <c r="AE45" s="19">
        <v>8.0</v>
      </c>
      <c r="AF45" s="19">
        <v>22.0</v>
      </c>
      <c r="AG45" s="19">
        <v>8.0</v>
      </c>
      <c r="AH45" s="19">
        <v>10.0</v>
      </c>
      <c r="AI45" s="19">
        <v>6.0</v>
      </c>
      <c r="AJ45" s="19">
        <v>8.0</v>
      </c>
      <c r="AK45" s="19">
        <v>9.0</v>
      </c>
      <c r="AL45" s="19">
        <v>5.0</v>
      </c>
      <c r="AM45" s="19">
        <v>10.0</v>
      </c>
      <c r="AN45" s="19">
        <v>8.0</v>
      </c>
      <c r="AO45" s="19">
        <v>7.0</v>
      </c>
      <c r="AP45" s="19">
        <v>11.0</v>
      </c>
      <c r="AQ45" s="19">
        <v>5.0</v>
      </c>
      <c r="AR45" s="19">
        <v>6.0</v>
      </c>
      <c r="AS45" s="19">
        <v>6.0</v>
      </c>
      <c r="AT45" s="19">
        <v>4.0</v>
      </c>
      <c r="AU45" s="19">
        <v>2.0</v>
      </c>
      <c r="AV45" s="19">
        <v>15.0</v>
      </c>
      <c r="AW45" s="19">
        <v>7.0</v>
      </c>
      <c r="AX45" s="19">
        <v>11.0</v>
      </c>
      <c r="AY45" s="19">
        <v>14.0</v>
      </c>
      <c r="AZ45" s="19">
        <v>10.0</v>
      </c>
      <c r="BA45" s="19">
        <v>15.0</v>
      </c>
      <c r="BB45" s="19">
        <v>5.0</v>
      </c>
      <c r="BC45" s="19">
        <v>4.0</v>
      </c>
      <c r="BD45" s="19">
        <v>6.0</v>
      </c>
      <c r="BE45" s="19">
        <v>6.0</v>
      </c>
      <c r="BF45" s="19">
        <v>13.0</v>
      </c>
      <c r="BG45" s="19">
        <v>9.0</v>
      </c>
      <c r="BH45" s="19">
        <v>5.0</v>
      </c>
      <c r="BI45" s="19">
        <v>8.0</v>
      </c>
      <c r="BJ45" s="19">
        <v>4.0</v>
      </c>
      <c r="BK45" s="19">
        <v>2.0</v>
      </c>
      <c r="BL45" s="19">
        <v>4.0</v>
      </c>
      <c r="BM45" s="19">
        <v>2.0</v>
      </c>
      <c r="BN45" s="19">
        <v>4.0</v>
      </c>
      <c r="BO45" s="19">
        <v>5.0</v>
      </c>
      <c r="BP45" s="19">
        <v>4.0</v>
      </c>
      <c r="BQ45" s="19">
        <v>4.0</v>
      </c>
      <c r="BR45" s="13">
        <f t="shared" ref="BR45:BR54" si="14">SUM(E45:BQ45)</f>
        <v>500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15.0</v>
      </c>
      <c r="G46" s="19">
        <v>2.0</v>
      </c>
      <c r="H46" s="19">
        <v>5.0</v>
      </c>
      <c r="I46" s="19">
        <v>14.0</v>
      </c>
      <c r="J46" s="19">
        <v>25.0</v>
      </c>
      <c r="K46" s="19">
        <v>3.0</v>
      </c>
      <c r="L46" s="19">
        <v>8.0</v>
      </c>
      <c r="M46" s="19">
        <v>15.0</v>
      </c>
      <c r="N46" s="19">
        <v>16.0</v>
      </c>
      <c r="O46" s="19">
        <v>21.0</v>
      </c>
      <c r="P46" s="19">
        <v>11.0</v>
      </c>
      <c r="Q46" s="19">
        <v>16.0</v>
      </c>
      <c r="R46" s="19">
        <v>2.0</v>
      </c>
      <c r="S46" s="19">
        <v>27.0</v>
      </c>
      <c r="T46" s="19">
        <v>27.0</v>
      </c>
      <c r="U46" s="19">
        <v>20.0</v>
      </c>
      <c r="V46" s="19">
        <v>15.0</v>
      </c>
      <c r="W46" s="19">
        <v>35.0</v>
      </c>
      <c r="X46" s="19">
        <v>17.0</v>
      </c>
      <c r="Y46" s="19">
        <v>30.0</v>
      </c>
      <c r="Z46" s="19">
        <v>15.0</v>
      </c>
      <c r="AA46" s="19">
        <v>27.0</v>
      </c>
      <c r="AB46" s="19">
        <v>10.0</v>
      </c>
      <c r="AC46" s="19">
        <v>14.0</v>
      </c>
      <c r="AD46" s="19">
        <v>14.0</v>
      </c>
      <c r="AE46" s="19">
        <v>41.0</v>
      </c>
      <c r="AF46" s="19">
        <v>54.0</v>
      </c>
      <c r="AG46" s="19">
        <v>25.0</v>
      </c>
      <c r="AH46" s="19">
        <v>40.0</v>
      </c>
      <c r="AI46" s="19">
        <v>27.0</v>
      </c>
      <c r="AJ46" s="19">
        <v>24.0</v>
      </c>
      <c r="AK46" s="19">
        <v>20.0</v>
      </c>
      <c r="AL46" s="19">
        <v>8.0</v>
      </c>
      <c r="AM46" s="19">
        <v>5.0</v>
      </c>
      <c r="AN46" s="19">
        <v>12.0</v>
      </c>
      <c r="AO46" s="19">
        <v>16.0</v>
      </c>
      <c r="AP46" s="19">
        <v>31.0</v>
      </c>
      <c r="AQ46" s="19">
        <v>8.0</v>
      </c>
      <c r="AR46" s="19">
        <v>50.0</v>
      </c>
      <c r="AS46" s="19">
        <v>8.0</v>
      </c>
      <c r="AT46" s="19">
        <v>11.0</v>
      </c>
      <c r="AU46" s="19">
        <v>17.0</v>
      </c>
      <c r="AV46" s="19">
        <v>38.0</v>
      </c>
      <c r="AW46" s="19">
        <v>58.0</v>
      </c>
      <c r="AX46" s="19">
        <v>40.0</v>
      </c>
      <c r="AY46" s="19">
        <v>59.0</v>
      </c>
      <c r="AZ46" s="19">
        <v>34.0</v>
      </c>
      <c r="BA46" s="19">
        <v>17.0</v>
      </c>
      <c r="BB46" s="19">
        <v>14.0</v>
      </c>
      <c r="BC46" s="19">
        <v>29.0</v>
      </c>
      <c r="BD46" s="19">
        <v>51.0</v>
      </c>
      <c r="BE46" s="19">
        <v>43.0</v>
      </c>
      <c r="BF46" s="19">
        <v>30.0</v>
      </c>
      <c r="BG46" s="19">
        <v>47.0</v>
      </c>
      <c r="BH46" s="19">
        <v>21.0</v>
      </c>
      <c r="BI46" s="19">
        <v>7.0</v>
      </c>
      <c r="BJ46" s="19">
        <v>5.0</v>
      </c>
      <c r="BK46" s="19">
        <v>8.0</v>
      </c>
      <c r="BL46" s="19">
        <v>9.0</v>
      </c>
      <c r="BM46" s="19">
        <v>10.0</v>
      </c>
      <c r="BN46" s="19">
        <v>9.0</v>
      </c>
      <c r="BO46" s="19">
        <v>3.0</v>
      </c>
      <c r="BP46" s="19">
        <v>20.0</v>
      </c>
      <c r="BQ46" s="19">
        <v>18.0</v>
      </c>
      <c r="BR46" s="13">
        <f t="shared" si="14"/>
        <v>1383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0.0</v>
      </c>
      <c r="H47" s="19">
        <v>1.0</v>
      </c>
      <c r="I47" s="19">
        <v>1.0</v>
      </c>
      <c r="J47" s="19">
        <v>5.0</v>
      </c>
      <c r="K47" s="19">
        <v>0.0</v>
      </c>
      <c r="L47" s="19">
        <v>0.0</v>
      </c>
      <c r="M47" s="19">
        <v>0.0</v>
      </c>
      <c r="N47" s="19">
        <v>1.0</v>
      </c>
      <c r="O47" s="19">
        <v>1.0</v>
      </c>
      <c r="P47" s="19">
        <v>1.0</v>
      </c>
      <c r="Q47" s="19">
        <v>0.0</v>
      </c>
      <c r="R47" s="19">
        <v>2.0</v>
      </c>
      <c r="S47" s="19">
        <v>0.0</v>
      </c>
      <c r="T47" s="19">
        <v>7.0</v>
      </c>
      <c r="U47" s="19">
        <v>0.0</v>
      </c>
      <c r="V47" s="19">
        <v>4.0</v>
      </c>
      <c r="W47" s="19">
        <v>5.0</v>
      </c>
      <c r="X47" s="19">
        <v>4.0</v>
      </c>
      <c r="Y47" s="19">
        <v>3.0</v>
      </c>
      <c r="Z47" s="19">
        <v>4.0</v>
      </c>
      <c r="AA47" s="19">
        <v>0.0</v>
      </c>
      <c r="AB47" s="19">
        <v>4.0</v>
      </c>
      <c r="AC47" s="19">
        <v>0.0</v>
      </c>
      <c r="AD47" s="19">
        <v>2.0</v>
      </c>
      <c r="AE47" s="19">
        <v>1.0</v>
      </c>
      <c r="AF47" s="19">
        <v>0.0</v>
      </c>
      <c r="AG47" s="19">
        <v>2.0</v>
      </c>
      <c r="AH47" s="19">
        <v>2.0</v>
      </c>
      <c r="AI47" s="19">
        <v>4.0</v>
      </c>
      <c r="AJ47" s="19">
        <v>6.0</v>
      </c>
      <c r="AK47" s="19">
        <v>1.0</v>
      </c>
      <c r="AL47" s="19">
        <v>0.0</v>
      </c>
      <c r="AM47" s="19">
        <v>0.0</v>
      </c>
      <c r="AN47" s="19">
        <v>2.0</v>
      </c>
      <c r="AO47" s="19">
        <v>1.0</v>
      </c>
      <c r="AP47" s="19">
        <v>2.0</v>
      </c>
      <c r="AQ47" s="19">
        <v>2.0</v>
      </c>
      <c r="AR47" s="19">
        <v>9.0</v>
      </c>
      <c r="AS47" s="19">
        <v>3.0</v>
      </c>
      <c r="AT47" s="19">
        <v>0.0</v>
      </c>
      <c r="AU47" s="19">
        <v>0.0</v>
      </c>
      <c r="AV47" s="19">
        <v>3.0</v>
      </c>
      <c r="AW47" s="19">
        <v>1.0</v>
      </c>
      <c r="AX47" s="19">
        <v>0.0</v>
      </c>
      <c r="AY47" s="19">
        <v>2.0</v>
      </c>
      <c r="AZ47" s="19">
        <v>4.0</v>
      </c>
      <c r="BA47" s="19">
        <v>4.0</v>
      </c>
      <c r="BB47" s="19">
        <v>0.0</v>
      </c>
      <c r="BC47" s="19">
        <v>0.0</v>
      </c>
      <c r="BD47" s="19">
        <v>2.0</v>
      </c>
      <c r="BE47" s="19">
        <v>0.0</v>
      </c>
      <c r="BF47" s="19">
        <v>1.0</v>
      </c>
      <c r="BG47" s="19">
        <v>5.0</v>
      </c>
      <c r="BH47" s="19">
        <v>0.0</v>
      </c>
      <c r="BI47" s="19">
        <v>0.0</v>
      </c>
      <c r="BJ47" s="19">
        <v>2.0</v>
      </c>
      <c r="BK47" s="19">
        <v>0.0</v>
      </c>
      <c r="BL47" s="19">
        <v>3.0</v>
      </c>
      <c r="BM47" s="19">
        <v>0.0</v>
      </c>
      <c r="BN47" s="19">
        <v>4.0</v>
      </c>
      <c r="BO47" s="19">
        <v>0.0</v>
      </c>
      <c r="BP47" s="19">
        <v>6.0</v>
      </c>
      <c r="BQ47" s="19">
        <v>2.0</v>
      </c>
      <c r="BR47" s="13">
        <f t="shared" si="14"/>
        <v>120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2.0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0.0</v>
      </c>
      <c r="W48" s="19">
        <v>2.0</v>
      </c>
      <c r="X48" s="19">
        <v>1.0</v>
      </c>
      <c r="Y48" s="19">
        <v>1.0</v>
      </c>
      <c r="Z48" s="19">
        <v>1.0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9">
        <v>4.0</v>
      </c>
      <c r="AG48" s="19">
        <v>2.0</v>
      </c>
      <c r="AH48" s="19">
        <v>1.0</v>
      </c>
      <c r="AI48" s="19">
        <v>1.0</v>
      </c>
      <c r="AJ48" s="19">
        <v>0.0</v>
      </c>
      <c r="AK48" s="19">
        <v>1.0</v>
      </c>
      <c r="AL48" s="19">
        <v>0.0</v>
      </c>
      <c r="AM48" s="19">
        <v>0.0</v>
      </c>
      <c r="AN48" s="19">
        <v>0.0</v>
      </c>
      <c r="AO48" s="19">
        <v>1.0</v>
      </c>
      <c r="AP48" s="19">
        <v>2.0</v>
      </c>
      <c r="AQ48" s="19">
        <v>0.0</v>
      </c>
      <c r="AR48" s="19">
        <v>2.0</v>
      </c>
      <c r="AS48" s="19">
        <v>0.0</v>
      </c>
      <c r="AT48" s="19">
        <v>0.0</v>
      </c>
      <c r="AU48" s="19">
        <v>2.0</v>
      </c>
      <c r="AV48" s="19">
        <v>1.0</v>
      </c>
      <c r="AW48" s="19">
        <v>2.0</v>
      </c>
      <c r="AX48" s="19">
        <v>0.0</v>
      </c>
      <c r="AY48" s="19">
        <v>1.0</v>
      </c>
      <c r="AZ48" s="19">
        <v>1.0</v>
      </c>
      <c r="BA48" s="19">
        <v>3.0</v>
      </c>
      <c r="BB48" s="19">
        <v>0.0</v>
      </c>
      <c r="BC48" s="19">
        <v>1.0</v>
      </c>
      <c r="BD48" s="19">
        <v>0.0</v>
      </c>
      <c r="BE48" s="19">
        <v>0.0</v>
      </c>
      <c r="BF48" s="19">
        <v>1.0</v>
      </c>
      <c r="BG48" s="19">
        <v>4.0</v>
      </c>
      <c r="BH48" s="19">
        <v>0.0</v>
      </c>
      <c r="BI48" s="19">
        <v>0.0</v>
      </c>
      <c r="BJ48" s="19">
        <v>0.0</v>
      </c>
      <c r="BK48" s="19">
        <v>0.0</v>
      </c>
      <c r="BL48" s="19">
        <v>0.0</v>
      </c>
      <c r="BM48" s="19">
        <v>0.0</v>
      </c>
      <c r="BN48" s="19">
        <v>1.0</v>
      </c>
      <c r="BO48" s="19">
        <v>0.0</v>
      </c>
      <c r="BP48" s="19">
        <v>0.0</v>
      </c>
      <c r="BQ48" s="19">
        <v>0.0</v>
      </c>
      <c r="BR48" s="13">
        <f t="shared" si="14"/>
        <v>43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1.0</v>
      </c>
      <c r="P49" s="19">
        <v>1.0</v>
      </c>
      <c r="Q49" s="19">
        <v>2.0</v>
      </c>
      <c r="R49" s="19">
        <v>1.0</v>
      </c>
      <c r="S49" s="19">
        <v>7.0</v>
      </c>
      <c r="T49" s="19">
        <v>2.0</v>
      </c>
      <c r="U49" s="19">
        <v>2.0</v>
      </c>
      <c r="V49" s="19">
        <v>1.0</v>
      </c>
      <c r="W49" s="19">
        <v>0.0</v>
      </c>
      <c r="X49" s="19">
        <v>1.0</v>
      </c>
      <c r="Y49" s="19">
        <v>0.0</v>
      </c>
      <c r="Z49" s="19">
        <v>0.0</v>
      </c>
      <c r="AA49" s="19">
        <v>1.0</v>
      </c>
      <c r="AB49" s="19">
        <v>0.0</v>
      </c>
      <c r="AC49" s="19">
        <v>1.0</v>
      </c>
      <c r="AD49" s="19">
        <v>0.0</v>
      </c>
      <c r="AE49" s="19">
        <v>0.0</v>
      </c>
      <c r="AF49" s="19">
        <v>1.0</v>
      </c>
      <c r="AG49" s="19">
        <v>1.0</v>
      </c>
      <c r="AH49" s="19">
        <v>0.0</v>
      </c>
      <c r="AI49" s="19">
        <v>1.0</v>
      </c>
      <c r="AJ49" s="19">
        <v>2.0</v>
      </c>
      <c r="AK49" s="19">
        <v>3.0</v>
      </c>
      <c r="AL49" s="19">
        <v>1.0</v>
      </c>
      <c r="AM49" s="19">
        <v>1.0</v>
      </c>
      <c r="AN49" s="19">
        <v>0.0</v>
      </c>
      <c r="AO49" s="19">
        <v>4.0</v>
      </c>
      <c r="AP49" s="19">
        <v>1.0</v>
      </c>
      <c r="AQ49" s="19">
        <v>1.0</v>
      </c>
      <c r="AR49" s="19">
        <v>3.0</v>
      </c>
      <c r="AS49" s="19">
        <v>1.0</v>
      </c>
      <c r="AT49" s="19">
        <v>0.0</v>
      </c>
      <c r="AU49" s="19">
        <v>0.0</v>
      </c>
      <c r="AV49" s="19">
        <v>1.0</v>
      </c>
      <c r="AW49" s="19">
        <v>0.0</v>
      </c>
      <c r="AX49" s="19">
        <v>1.0</v>
      </c>
      <c r="AY49" s="19">
        <v>4.0</v>
      </c>
      <c r="AZ49" s="19">
        <v>4.0</v>
      </c>
      <c r="BA49" s="19">
        <v>1.0</v>
      </c>
      <c r="BB49" s="19">
        <v>1.0</v>
      </c>
      <c r="BC49" s="19">
        <v>0.0</v>
      </c>
      <c r="BD49" s="19">
        <v>1.0</v>
      </c>
      <c r="BE49" s="19">
        <v>1.0</v>
      </c>
      <c r="BF49" s="19">
        <v>0.0</v>
      </c>
      <c r="BG49" s="19">
        <v>0.0</v>
      </c>
      <c r="BH49" s="19">
        <v>0.0</v>
      </c>
      <c r="BI49" s="19">
        <v>0.0</v>
      </c>
      <c r="BJ49" s="19">
        <v>1.0</v>
      </c>
      <c r="BK49" s="19">
        <v>1.0</v>
      </c>
      <c r="BL49" s="19">
        <v>1.0</v>
      </c>
      <c r="BM49" s="19">
        <v>0.0</v>
      </c>
      <c r="BN49" s="19">
        <v>0.0</v>
      </c>
      <c r="BO49" s="19">
        <v>2.0</v>
      </c>
      <c r="BP49" s="19">
        <v>2.0</v>
      </c>
      <c r="BQ49" s="19">
        <v>0.0</v>
      </c>
      <c r="BR49" s="13">
        <f t="shared" si="14"/>
        <v>63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0.0</v>
      </c>
      <c r="S50" s="19">
        <v>1.0</v>
      </c>
      <c r="T50" s="19">
        <v>1.0</v>
      </c>
      <c r="U50" s="19">
        <v>2.0</v>
      </c>
      <c r="V50" s="19">
        <v>0.0</v>
      </c>
      <c r="W50" s="19">
        <v>2.0</v>
      </c>
      <c r="X50" s="19">
        <v>3.0</v>
      </c>
      <c r="Y50" s="19">
        <v>1.0</v>
      </c>
      <c r="Z50" s="19">
        <v>1.0</v>
      </c>
      <c r="AA50" s="19">
        <v>7.0</v>
      </c>
      <c r="AB50" s="19">
        <v>1.0</v>
      </c>
      <c r="AC50" s="19">
        <v>1.0</v>
      </c>
      <c r="AD50" s="19">
        <v>0.0</v>
      </c>
      <c r="AE50" s="19">
        <v>0.0</v>
      </c>
      <c r="AF50" s="19">
        <v>1.0</v>
      </c>
      <c r="AG50" s="19">
        <v>1.0</v>
      </c>
      <c r="AH50" s="19">
        <v>0.0</v>
      </c>
      <c r="AI50" s="19">
        <v>0.0</v>
      </c>
      <c r="AJ50" s="19">
        <v>1.0</v>
      </c>
      <c r="AK50" s="19">
        <v>0.0</v>
      </c>
      <c r="AL50" s="19">
        <v>0.0</v>
      </c>
      <c r="AM50" s="19">
        <v>2.0</v>
      </c>
      <c r="AN50" s="19">
        <v>0.0</v>
      </c>
      <c r="AO50" s="19">
        <v>1.0</v>
      </c>
      <c r="AP50" s="19">
        <v>0.0</v>
      </c>
      <c r="AQ50" s="19">
        <v>1.0</v>
      </c>
      <c r="AR50" s="19">
        <v>1.0</v>
      </c>
      <c r="AS50" s="19">
        <v>0.0</v>
      </c>
      <c r="AT50" s="19">
        <v>0.0</v>
      </c>
      <c r="AU50" s="19">
        <v>0.0</v>
      </c>
      <c r="AV50" s="19">
        <v>1.0</v>
      </c>
      <c r="AW50" s="19">
        <v>0.0</v>
      </c>
      <c r="AX50" s="19">
        <v>1.0</v>
      </c>
      <c r="AY50" s="19">
        <v>0.0</v>
      </c>
      <c r="AZ50" s="19">
        <v>4.0</v>
      </c>
      <c r="BA50" s="19">
        <v>1.0</v>
      </c>
      <c r="BB50" s="19">
        <v>0.0</v>
      </c>
      <c r="BC50" s="19">
        <v>0.0</v>
      </c>
      <c r="BD50" s="19">
        <v>1.0</v>
      </c>
      <c r="BE50" s="19">
        <v>0.0</v>
      </c>
      <c r="BF50" s="19">
        <v>0.0</v>
      </c>
      <c r="BG50" s="19">
        <v>0.0</v>
      </c>
      <c r="BH50" s="19">
        <v>0.0</v>
      </c>
      <c r="BI50" s="19">
        <v>0.0</v>
      </c>
      <c r="BJ50" s="19">
        <v>0.0</v>
      </c>
      <c r="BK50" s="19">
        <v>0.0</v>
      </c>
      <c r="BL50" s="19">
        <v>1.0</v>
      </c>
      <c r="BM50" s="19">
        <v>0.0</v>
      </c>
      <c r="BN50" s="19">
        <v>0.0</v>
      </c>
      <c r="BO50" s="19">
        <v>0.0</v>
      </c>
      <c r="BP50" s="19">
        <v>0.0</v>
      </c>
      <c r="BQ50" s="19">
        <v>0.0</v>
      </c>
      <c r="BR50" s="13">
        <f t="shared" si="14"/>
        <v>41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1.0</v>
      </c>
      <c r="S51" s="19">
        <v>1.0</v>
      </c>
      <c r="T51" s="19">
        <v>4.0</v>
      </c>
      <c r="U51" s="19">
        <v>1.0</v>
      </c>
      <c r="V51" s="19">
        <v>1.0</v>
      </c>
      <c r="W51" s="19">
        <v>3.0</v>
      </c>
      <c r="X51" s="19">
        <v>2.0</v>
      </c>
      <c r="Y51" s="19">
        <v>4.0</v>
      </c>
      <c r="Z51" s="19">
        <v>1.0</v>
      </c>
      <c r="AA51" s="19">
        <v>8.0</v>
      </c>
      <c r="AB51" s="19">
        <v>2.0</v>
      </c>
      <c r="AC51" s="19">
        <v>1.0</v>
      </c>
      <c r="AD51" s="19">
        <v>1.0</v>
      </c>
      <c r="AE51" s="19">
        <v>0.0</v>
      </c>
      <c r="AF51" s="19">
        <v>0.0</v>
      </c>
      <c r="AG51" s="19">
        <v>1.0</v>
      </c>
      <c r="AH51" s="19">
        <v>3.0</v>
      </c>
      <c r="AI51" s="19">
        <v>1.0</v>
      </c>
      <c r="AJ51" s="19">
        <v>0.0</v>
      </c>
      <c r="AK51" s="19">
        <v>0.0</v>
      </c>
      <c r="AL51" s="19">
        <v>0.0</v>
      </c>
      <c r="AM51" s="19">
        <v>1.0</v>
      </c>
      <c r="AN51" s="19">
        <v>0.0</v>
      </c>
      <c r="AO51" s="19">
        <v>2.0</v>
      </c>
      <c r="AP51" s="19">
        <v>0.0</v>
      </c>
      <c r="AQ51" s="19">
        <v>0.0</v>
      </c>
      <c r="AR51" s="19">
        <v>1.0</v>
      </c>
      <c r="AS51" s="19">
        <v>0.0</v>
      </c>
      <c r="AT51" s="19">
        <v>0.0</v>
      </c>
      <c r="AU51" s="19">
        <v>0.0</v>
      </c>
      <c r="AV51" s="19">
        <v>0.0</v>
      </c>
      <c r="AW51" s="19">
        <v>1.0</v>
      </c>
      <c r="AX51" s="19">
        <v>0.0</v>
      </c>
      <c r="AY51" s="19">
        <v>1.0</v>
      </c>
      <c r="AZ51" s="19">
        <v>1.0</v>
      </c>
      <c r="BA51" s="19">
        <v>0.0</v>
      </c>
      <c r="BB51" s="19">
        <v>0.0</v>
      </c>
      <c r="BC51" s="19">
        <v>2.0</v>
      </c>
      <c r="BD51" s="19">
        <v>1.0</v>
      </c>
      <c r="BE51" s="19">
        <v>0.0</v>
      </c>
      <c r="BF51" s="19">
        <v>2.0</v>
      </c>
      <c r="BG51" s="19">
        <v>1.0</v>
      </c>
      <c r="BH51" s="19">
        <v>2.0</v>
      </c>
      <c r="BI51" s="19">
        <v>1.0</v>
      </c>
      <c r="BJ51" s="19">
        <v>0.0</v>
      </c>
      <c r="BK51" s="19">
        <v>0.0</v>
      </c>
      <c r="BL51" s="19">
        <v>0.0</v>
      </c>
      <c r="BM51" s="19">
        <v>0.0</v>
      </c>
      <c r="BN51" s="19">
        <v>1.0</v>
      </c>
      <c r="BO51" s="19">
        <v>0.0</v>
      </c>
      <c r="BP51" s="19">
        <v>1.0</v>
      </c>
      <c r="BQ51" s="19">
        <v>0.0</v>
      </c>
      <c r="BR51" s="13">
        <f t="shared" si="14"/>
        <v>56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1.0</v>
      </c>
      <c r="S52" s="19">
        <v>0.0</v>
      </c>
      <c r="T52" s="19">
        <v>2.0</v>
      </c>
      <c r="U52" s="19">
        <v>1.0</v>
      </c>
      <c r="V52" s="19">
        <v>0.0</v>
      </c>
      <c r="W52" s="19">
        <v>0.0</v>
      </c>
      <c r="X52" s="19">
        <v>0.0</v>
      </c>
      <c r="Y52" s="19">
        <v>1.0</v>
      </c>
      <c r="Z52" s="19">
        <v>1.0</v>
      </c>
      <c r="AA52" s="19">
        <v>1.0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0.0</v>
      </c>
      <c r="BF52" s="19">
        <v>0.0</v>
      </c>
      <c r="BG52" s="19">
        <v>0.0</v>
      </c>
      <c r="BH52" s="19">
        <v>0.0</v>
      </c>
      <c r="BI52" s="19">
        <v>0.0</v>
      </c>
      <c r="BJ52" s="19">
        <v>0.0</v>
      </c>
      <c r="BK52" s="19">
        <v>0.0</v>
      </c>
      <c r="BL52" s="19">
        <v>0.0</v>
      </c>
      <c r="BM52" s="19">
        <v>0.0</v>
      </c>
      <c r="BN52" s="19">
        <v>0.0</v>
      </c>
      <c r="BO52" s="19">
        <v>0.0</v>
      </c>
      <c r="BP52" s="19">
        <v>0.0</v>
      </c>
      <c r="BQ52" s="19">
        <v>0.0</v>
      </c>
      <c r="BR52" s="13">
        <f t="shared" si="14"/>
        <v>9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R55" si="15">SUM(E45:E54)</f>
        <v>14</v>
      </c>
      <c r="F55" s="13">
        <f t="shared" si="15"/>
        <v>19</v>
      </c>
      <c r="G55" s="13">
        <f t="shared" si="15"/>
        <v>8</v>
      </c>
      <c r="H55" s="13">
        <f t="shared" si="15"/>
        <v>15</v>
      </c>
      <c r="I55" s="13">
        <f t="shared" si="15"/>
        <v>20</v>
      </c>
      <c r="J55" s="13">
        <f t="shared" si="15"/>
        <v>38</v>
      </c>
      <c r="K55" s="13">
        <f t="shared" si="15"/>
        <v>10</v>
      </c>
      <c r="L55" s="13">
        <f t="shared" si="15"/>
        <v>11</v>
      </c>
      <c r="M55" s="13">
        <f t="shared" si="15"/>
        <v>22</v>
      </c>
      <c r="N55" s="13">
        <f t="shared" si="15"/>
        <v>21</v>
      </c>
      <c r="O55" s="13">
        <f t="shared" si="15"/>
        <v>29</v>
      </c>
      <c r="P55" s="13">
        <f t="shared" si="15"/>
        <v>22</v>
      </c>
      <c r="Q55" s="13">
        <f t="shared" si="15"/>
        <v>25</v>
      </c>
      <c r="R55" s="13">
        <f t="shared" si="15"/>
        <v>10</v>
      </c>
      <c r="S55" s="13">
        <f t="shared" si="15"/>
        <v>52</v>
      </c>
      <c r="T55" s="13">
        <f t="shared" si="15"/>
        <v>52</v>
      </c>
      <c r="U55" s="13">
        <f t="shared" si="15"/>
        <v>38</v>
      </c>
      <c r="V55" s="13">
        <f t="shared" si="15"/>
        <v>29</v>
      </c>
      <c r="W55" s="13">
        <f t="shared" si="15"/>
        <v>63</v>
      </c>
      <c r="X55" s="13">
        <f t="shared" si="15"/>
        <v>54</v>
      </c>
      <c r="Y55" s="13">
        <f t="shared" si="15"/>
        <v>63</v>
      </c>
      <c r="Z55" s="13">
        <f t="shared" si="15"/>
        <v>28</v>
      </c>
      <c r="AA55" s="13">
        <f t="shared" si="15"/>
        <v>55</v>
      </c>
      <c r="AB55" s="13">
        <f t="shared" si="15"/>
        <v>24</v>
      </c>
      <c r="AC55" s="13">
        <f t="shared" si="15"/>
        <v>22</v>
      </c>
      <c r="AD55" s="13">
        <f t="shared" si="15"/>
        <v>26</v>
      </c>
      <c r="AE55" s="13">
        <f t="shared" si="15"/>
        <v>50</v>
      </c>
      <c r="AF55" s="13">
        <f t="shared" si="15"/>
        <v>82</v>
      </c>
      <c r="AG55" s="13">
        <f t="shared" si="15"/>
        <v>40</v>
      </c>
      <c r="AH55" s="13">
        <f t="shared" si="15"/>
        <v>56</v>
      </c>
      <c r="AI55" s="13">
        <f t="shared" si="15"/>
        <v>40</v>
      </c>
      <c r="AJ55" s="13">
        <f t="shared" si="15"/>
        <v>41</v>
      </c>
      <c r="AK55" s="13">
        <f t="shared" si="15"/>
        <v>34</v>
      </c>
      <c r="AL55" s="13">
        <f t="shared" si="15"/>
        <v>14</v>
      </c>
      <c r="AM55" s="13">
        <f t="shared" si="15"/>
        <v>19</v>
      </c>
      <c r="AN55" s="13">
        <f t="shared" si="15"/>
        <v>22</v>
      </c>
      <c r="AO55" s="13">
        <f t="shared" si="15"/>
        <v>32</v>
      </c>
      <c r="AP55" s="13">
        <f t="shared" si="15"/>
        <v>47</v>
      </c>
      <c r="AQ55" s="13">
        <f t="shared" si="15"/>
        <v>17</v>
      </c>
      <c r="AR55" s="13">
        <f t="shared" si="15"/>
        <v>72</v>
      </c>
      <c r="AS55" s="13">
        <f t="shared" si="15"/>
        <v>18</v>
      </c>
      <c r="AT55" s="13">
        <f t="shared" si="15"/>
        <v>15</v>
      </c>
      <c r="AU55" s="13">
        <f t="shared" si="15"/>
        <v>21</v>
      </c>
      <c r="AV55" s="13">
        <f t="shared" si="15"/>
        <v>59</v>
      </c>
      <c r="AW55" s="13">
        <f t="shared" si="15"/>
        <v>69</v>
      </c>
      <c r="AX55" s="13">
        <f t="shared" si="15"/>
        <v>53</v>
      </c>
      <c r="AY55" s="13">
        <f t="shared" si="15"/>
        <v>81</v>
      </c>
      <c r="AZ55" s="13">
        <f t="shared" si="15"/>
        <v>58</v>
      </c>
      <c r="BA55" s="13">
        <f t="shared" si="15"/>
        <v>41</v>
      </c>
      <c r="BB55" s="13">
        <f t="shared" si="15"/>
        <v>20</v>
      </c>
      <c r="BC55" s="13">
        <f t="shared" si="15"/>
        <v>36</v>
      </c>
      <c r="BD55" s="13">
        <f t="shared" si="15"/>
        <v>62</v>
      </c>
      <c r="BE55" s="13">
        <f t="shared" si="15"/>
        <v>50</v>
      </c>
      <c r="BF55" s="13">
        <f t="shared" si="15"/>
        <v>47</v>
      </c>
      <c r="BG55" s="13">
        <f t="shared" si="15"/>
        <v>66</v>
      </c>
      <c r="BH55" s="13">
        <f t="shared" si="15"/>
        <v>28</v>
      </c>
      <c r="BI55" s="13">
        <f t="shared" si="15"/>
        <v>16</v>
      </c>
      <c r="BJ55" s="13">
        <f t="shared" si="15"/>
        <v>12</v>
      </c>
      <c r="BK55" s="13">
        <f t="shared" si="15"/>
        <v>11</v>
      </c>
      <c r="BL55" s="13">
        <f t="shared" si="15"/>
        <v>18</v>
      </c>
      <c r="BM55" s="13">
        <f t="shared" si="15"/>
        <v>12</v>
      </c>
      <c r="BN55" s="13">
        <f t="shared" si="15"/>
        <v>19</v>
      </c>
      <c r="BO55" s="13">
        <f t="shared" si="15"/>
        <v>10</v>
      </c>
      <c r="BP55" s="13">
        <f t="shared" si="15"/>
        <v>33</v>
      </c>
      <c r="BQ55" s="13">
        <f t="shared" si="15"/>
        <v>24</v>
      </c>
      <c r="BR55" s="13">
        <f t="shared" si="15"/>
        <v>2215</v>
      </c>
    </row>
    <row r="56" ht="12.75" customHeight="1">
      <c r="A56" s="45"/>
      <c r="B56" s="44"/>
      <c r="C56" s="44"/>
      <c r="D56" s="44"/>
      <c r="E56" s="44"/>
      <c r="BR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5.0</v>
      </c>
      <c r="G57" s="19">
        <v>5.0</v>
      </c>
      <c r="H57" s="19">
        <v>12.0</v>
      </c>
      <c r="I57" s="19">
        <v>4.0</v>
      </c>
      <c r="J57" s="19">
        <v>6.0</v>
      </c>
      <c r="K57" s="19">
        <v>9.0</v>
      </c>
      <c r="L57" s="19">
        <v>5.0</v>
      </c>
      <c r="M57" s="19">
        <v>5.0</v>
      </c>
      <c r="N57" s="19">
        <v>0.0</v>
      </c>
      <c r="O57" s="19">
        <v>5.0</v>
      </c>
      <c r="P57" s="19">
        <v>4.0</v>
      </c>
      <c r="Q57" s="19">
        <v>9.0</v>
      </c>
      <c r="R57" s="19">
        <v>17.0</v>
      </c>
      <c r="S57" s="19">
        <v>4.0</v>
      </c>
      <c r="T57" s="19">
        <v>2.0</v>
      </c>
      <c r="U57" s="19">
        <v>7.0</v>
      </c>
      <c r="V57" s="19">
        <v>4.0</v>
      </c>
      <c r="W57" s="19">
        <v>6.0</v>
      </c>
      <c r="X57" s="19">
        <v>6.0</v>
      </c>
      <c r="Y57" s="19">
        <v>16.0</v>
      </c>
      <c r="Z57" s="19">
        <v>9.0</v>
      </c>
      <c r="AA57" s="19">
        <v>6.0</v>
      </c>
      <c r="AB57" s="19">
        <v>7.0</v>
      </c>
      <c r="AC57" s="19">
        <v>8.0</v>
      </c>
      <c r="AD57" s="19">
        <v>5.0</v>
      </c>
      <c r="AE57" s="19">
        <v>3.0</v>
      </c>
      <c r="AF57" s="19">
        <v>1.0</v>
      </c>
      <c r="AG57" s="19">
        <v>8.0</v>
      </c>
      <c r="AH57" s="19">
        <v>12.0</v>
      </c>
      <c r="AI57" s="19">
        <v>3.0</v>
      </c>
      <c r="AJ57" s="19">
        <v>4.0</v>
      </c>
      <c r="AK57" s="19">
        <v>3.0</v>
      </c>
      <c r="AL57" s="19">
        <v>6.0</v>
      </c>
      <c r="AM57" s="19">
        <v>9.0</v>
      </c>
      <c r="AN57" s="19">
        <v>24.0</v>
      </c>
      <c r="AO57" s="19">
        <v>16.0</v>
      </c>
      <c r="AP57" s="19">
        <v>6.0</v>
      </c>
      <c r="AQ57" s="19">
        <v>8.0</v>
      </c>
      <c r="AR57" s="19">
        <v>2.0</v>
      </c>
      <c r="AS57" s="19">
        <v>2.0</v>
      </c>
      <c r="AT57" s="19">
        <v>4.0</v>
      </c>
      <c r="AU57" s="19">
        <v>5.0</v>
      </c>
      <c r="AV57" s="19">
        <v>9.0</v>
      </c>
      <c r="AW57" s="19">
        <v>4.0</v>
      </c>
      <c r="AX57" s="19">
        <v>5.0</v>
      </c>
      <c r="AY57" s="19">
        <v>2.0</v>
      </c>
      <c r="AZ57" s="19">
        <v>5.0</v>
      </c>
      <c r="BA57" s="19">
        <v>4.0</v>
      </c>
      <c r="BB57" s="19">
        <v>1.0</v>
      </c>
      <c r="BC57" s="19">
        <v>8.0</v>
      </c>
      <c r="BD57" s="19">
        <v>4.0</v>
      </c>
      <c r="BE57" s="19">
        <v>2.0</v>
      </c>
      <c r="BF57" s="19">
        <v>8.0</v>
      </c>
      <c r="BG57" s="19">
        <v>13.0</v>
      </c>
      <c r="BH57" s="19">
        <v>12.0</v>
      </c>
      <c r="BI57" s="19">
        <v>8.0</v>
      </c>
      <c r="BJ57" s="19">
        <v>9.0</v>
      </c>
      <c r="BK57" s="19">
        <v>8.0</v>
      </c>
      <c r="BL57" s="19">
        <v>12.0</v>
      </c>
      <c r="BM57" s="19">
        <v>6.0</v>
      </c>
      <c r="BN57" s="19">
        <v>7.0</v>
      </c>
      <c r="BO57" s="19">
        <v>17.0</v>
      </c>
      <c r="BP57" s="19">
        <v>6.0</v>
      </c>
      <c r="BQ57" s="19">
        <v>7.0</v>
      </c>
      <c r="BR57" s="13">
        <f t="shared" ref="BR57:BR66" si="16">SUM(E57:BQ57)</f>
        <v>444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6.0</v>
      </c>
      <c r="F58" s="19">
        <v>4.0</v>
      </c>
      <c r="G58" s="19">
        <v>1.0</v>
      </c>
      <c r="H58" s="19">
        <v>2.0</v>
      </c>
      <c r="I58" s="19">
        <v>8.0</v>
      </c>
      <c r="J58" s="19">
        <v>5.0</v>
      </c>
      <c r="K58" s="19">
        <v>3.0</v>
      </c>
      <c r="L58" s="19">
        <v>3.0</v>
      </c>
      <c r="M58" s="19">
        <v>3.0</v>
      </c>
      <c r="N58" s="19">
        <v>6.0</v>
      </c>
      <c r="O58" s="19">
        <v>3.0</v>
      </c>
      <c r="P58" s="19">
        <v>2.0</v>
      </c>
      <c r="Q58" s="19">
        <v>24.0</v>
      </c>
      <c r="R58" s="19">
        <v>7.0</v>
      </c>
      <c r="S58" s="19">
        <v>5.0</v>
      </c>
      <c r="T58" s="19">
        <v>2.0</v>
      </c>
      <c r="U58" s="19">
        <v>4.0</v>
      </c>
      <c r="V58" s="19">
        <v>4.0</v>
      </c>
      <c r="W58" s="19">
        <v>6.0</v>
      </c>
      <c r="X58" s="19">
        <v>2.0</v>
      </c>
      <c r="Y58" s="19">
        <v>14.0</v>
      </c>
      <c r="Z58" s="19">
        <v>2.0</v>
      </c>
      <c r="AA58" s="19">
        <v>9.0</v>
      </c>
      <c r="AB58" s="19">
        <v>7.0</v>
      </c>
      <c r="AC58" s="19">
        <v>5.0</v>
      </c>
      <c r="AD58" s="19">
        <v>11.0</v>
      </c>
      <c r="AE58" s="19">
        <v>1.0</v>
      </c>
      <c r="AF58" s="19">
        <v>3.0</v>
      </c>
      <c r="AG58" s="19">
        <v>6.0</v>
      </c>
      <c r="AH58" s="19">
        <v>16.0</v>
      </c>
      <c r="AI58" s="19">
        <v>10.0</v>
      </c>
      <c r="AJ58" s="19">
        <v>5.0</v>
      </c>
      <c r="AK58" s="19">
        <v>6.0</v>
      </c>
      <c r="AL58" s="19">
        <v>18.0</v>
      </c>
      <c r="AM58" s="19">
        <v>16.0</v>
      </c>
      <c r="AN58" s="19">
        <v>18.0</v>
      </c>
      <c r="AO58" s="19">
        <v>15.0</v>
      </c>
      <c r="AP58" s="19">
        <v>5.0</v>
      </c>
      <c r="AQ58" s="19">
        <v>4.0</v>
      </c>
      <c r="AR58" s="19">
        <v>4.0</v>
      </c>
      <c r="AS58" s="19">
        <v>10.0</v>
      </c>
      <c r="AT58" s="19">
        <v>7.0</v>
      </c>
      <c r="AU58" s="19">
        <v>2.0</v>
      </c>
      <c r="AV58" s="19">
        <v>5.0</v>
      </c>
      <c r="AW58" s="19">
        <v>1.0</v>
      </c>
      <c r="AX58" s="19">
        <v>1.0</v>
      </c>
      <c r="AY58" s="19">
        <v>10.0</v>
      </c>
      <c r="AZ58" s="19">
        <v>5.0</v>
      </c>
      <c r="BA58" s="19">
        <v>10.0</v>
      </c>
      <c r="BB58" s="19">
        <v>8.0</v>
      </c>
      <c r="BC58" s="19">
        <v>11.0</v>
      </c>
      <c r="BD58" s="19">
        <v>15.0</v>
      </c>
      <c r="BE58" s="19">
        <v>7.0</v>
      </c>
      <c r="BF58" s="19">
        <v>14.0</v>
      </c>
      <c r="BG58" s="19">
        <v>18.0</v>
      </c>
      <c r="BH58" s="19">
        <v>8.0</v>
      </c>
      <c r="BI58" s="19">
        <v>9.0</v>
      </c>
      <c r="BJ58" s="19">
        <v>10.0</v>
      </c>
      <c r="BK58" s="19">
        <v>20.0</v>
      </c>
      <c r="BL58" s="19">
        <v>10.0</v>
      </c>
      <c r="BM58" s="19">
        <v>8.0</v>
      </c>
      <c r="BN58" s="19">
        <v>16.0</v>
      </c>
      <c r="BO58" s="19">
        <v>11.0</v>
      </c>
      <c r="BP58" s="19">
        <v>8.0</v>
      </c>
      <c r="BQ58" s="19">
        <v>12.0</v>
      </c>
      <c r="BR58" s="13">
        <f t="shared" si="16"/>
        <v>511</v>
      </c>
    </row>
    <row r="59" ht="12.75" customHeight="1">
      <c r="A59" s="18"/>
      <c r="B59" s="55">
        <v>2.0</v>
      </c>
      <c r="C59" s="50" t="s">
        <v>50</v>
      </c>
      <c r="D59" s="61"/>
      <c r="E59" s="19">
        <v>12.0</v>
      </c>
      <c r="F59" s="19">
        <v>1.0</v>
      </c>
      <c r="G59" s="19">
        <v>0.0</v>
      </c>
      <c r="H59" s="19">
        <v>3.0</v>
      </c>
      <c r="I59" s="19">
        <v>2.0</v>
      </c>
      <c r="J59" s="19">
        <v>16.0</v>
      </c>
      <c r="K59" s="19">
        <v>5.0</v>
      </c>
      <c r="L59" s="19">
        <v>3.0</v>
      </c>
      <c r="M59" s="19">
        <v>4.0</v>
      </c>
      <c r="N59" s="19">
        <v>2.0</v>
      </c>
      <c r="O59" s="19">
        <v>5.0</v>
      </c>
      <c r="P59" s="19">
        <v>5.0</v>
      </c>
      <c r="Q59" s="19">
        <v>4.0</v>
      </c>
      <c r="R59" s="19">
        <v>5.0</v>
      </c>
      <c r="S59" s="19">
        <v>4.0</v>
      </c>
      <c r="T59" s="19">
        <v>2.0</v>
      </c>
      <c r="U59" s="19">
        <v>3.0</v>
      </c>
      <c r="V59" s="19">
        <v>0.0</v>
      </c>
      <c r="W59" s="19">
        <v>0.0</v>
      </c>
      <c r="X59" s="19">
        <v>1.0</v>
      </c>
      <c r="Y59" s="19">
        <v>2.0</v>
      </c>
      <c r="Z59" s="19">
        <v>1.0</v>
      </c>
      <c r="AA59" s="19">
        <v>5.0</v>
      </c>
      <c r="AB59" s="19">
        <v>2.0</v>
      </c>
      <c r="AC59" s="19">
        <v>5.0</v>
      </c>
      <c r="AD59" s="19">
        <v>1.0</v>
      </c>
      <c r="AE59" s="19">
        <v>3.0</v>
      </c>
      <c r="AF59" s="19">
        <v>1.0</v>
      </c>
      <c r="AG59" s="19">
        <v>4.0</v>
      </c>
      <c r="AH59" s="19">
        <v>2.0</v>
      </c>
      <c r="AI59" s="19">
        <v>4.0</v>
      </c>
      <c r="AJ59" s="19">
        <v>4.0</v>
      </c>
      <c r="AK59" s="19">
        <v>2.0</v>
      </c>
      <c r="AL59" s="19">
        <v>2.0</v>
      </c>
      <c r="AM59" s="19">
        <v>5.0</v>
      </c>
      <c r="AN59" s="19">
        <v>10.0</v>
      </c>
      <c r="AO59" s="19">
        <v>6.0</v>
      </c>
      <c r="AP59" s="19">
        <v>3.0</v>
      </c>
      <c r="AQ59" s="19">
        <v>14.0</v>
      </c>
      <c r="AR59" s="19">
        <v>2.0</v>
      </c>
      <c r="AS59" s="19">
        <v>2.0</v>
      </c>
      <c r="AT59" s="19">
        <v>2.0</v>
      </c>
      <c r="AU59" s="19">
        <v>2.0</v>
      </c>
      <c r="AV59" s="19">
        <v>2.0</v>
      </c>
      <c r="AW59" s="19">
        <v>5.0</v>
      </c>
      <c r="AX59" s="19">
        <v>1.0</v>
      </c>
      <c r="AY59" s="19">
        <v>13.0</v>
      </c>
      <c r="AZ59" s="19">
        <v>14.0</v>
      </c>
      <c r="BA59" s="19">
        <v>2.0</v>
      </c>
      <c r="BB59" s="19">
        <v>3.0</v>
      </c>
      <c r="BC59" s="19">
        <v>10.0</v>
      </c>
      <c r="BD59" s="19">
        <v>4.0</v>
      </c>
      <c r="BE59" s="19">
        <v>2.0</v>
      </c>
      <c r="BF59" s="19">
        <v>40.0</v>
      </c>
      <c r="BG59" s="19">
        <v>40.0</v>
      </c>
      <c r="BH59" s="19">
        <v>12.0</v>
      </c>
      <c r="BI59" s="19">
        <v>19.0</v>
      </c>
      <c r="BJ59" s="19">
        <v>26.0</v>
      </c>
      <c r="BK59" s="19">
        <v>2.0</v>
      </c>
      <c r="BL59" s="19">
        <v>115.0</v>
      </c>
      <c r="BM59" s="19">
        <v>34.0</v>
      </c>
      <c r="BN59" s="19">
        <v>6.0</v>
      </c>
      <c r="BO59" s="19">
        <v>20.0</v>
      </c>
      <c r="BP59" s="19">
        <v>27.0</v>
      </c>
      <c r="BQ59" s="19">
        <v>58.0</v>
      </c>
      <c r="BR59" s="13">
        <f t="shared" si="16"/>
        <v>616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1.0</v>
      </c>
      <c r="G60" s="19">
        <v>0.0</v>
      </c>
      <c r="H60" s="19">
        <v>1.0</v>
      </c>
      <c r="I60" s="19">
        <v>0.0</v>
      </c>
      <c r="J60" s="19">
        <v>2.0</v>
      </c>
      <c r="K60" s="19">
        <v>0.0</v>
      </c>
      <c r="L60" s="19">
        <v>1.0</v>
      </c>
      <c r="M60" s="19">
        <v>0.0</v>
      </c>
      <c r="N60" s="19">
        <v>1.0</v>
      </c>
      <c r="O60" s="19">
        <v>0.0</v>
      </c>
      <c r="P60" s="19">
        <v>1.0</v>
      </c>
      <c r="Q60" s="19">
        <v>3.0</v>
      </c>
      <c r="R60" s="19">
        <v>1.0</v>
      </c>
      <c r="S60" s="19">
        <v>0.0</v>
      </c>
      <c r="T60" s="19">
        <v>1.0</v>
      </c>
      <c r="U60" s="19">
        <v>1.0</v>
      </c>
      <c r="V60" s="19">
        <v>0.0</v>
      </c>
      <c r="W60" s="19">
        <v>2.0</v>
      </c>
      <c r="X60" s="19">
        <v>0.0</v>
      </c>
      <c r="Y60" s="19">
        <v>0.0</v>
      </c>
      <c r="Z60" s="19">
        <v>3.0</v>
      </c>
      <c r="AA60" s="19">
        <v>0.0</v>
      </c>
      <c r="AB60" s="19">
        <v>0.0</v>
      </c>
      <c r="AC60" s="19">
        <v>1.0</v>
      </c>
      <c r="AD60" s="19">
        <v>1.0</v>
      </c>
      <c r="AE60" s="19">
        <v>0.0</v>
      </c>
      <c r="AF60" s="19">
        <v>0.0</v>
      </c>
      <c r="AG60" s="19">
        <v>1.0</v>
      </c>
      <c r="AH60" s="19">
        <v>0.0</v>
      </c>
      <c r="AI60" s="19">
        <v>3.0</v>
      </c>
      <c r="AJ60" s="19">
        <v>4.0</v>
      </c>
      <c r="AK60" s="19">
        <v>1.0</v>
      </c>
      <c r="AL60" s="19">
        <v>1.0</v>
      </c>
      <c r="AM60" s="19">
        <v>0.0</v>
      </c>
      <c r="AN60" s="19">
        <v>1.0</v>
      </c>
      <c r="AO60" s="19">
        <v>3.0</v>
      </c>
      <c r="AP60" s="19">
        <v>1.0</v>
      </c>
      <c r="AQ60" s="19">
        <v>1.0</v>
      </c>
      <c r="AR60" s="19">
        <v>0.0</v>
      </c>
      <c r="AS60" s="19">
        <v>1.0</v>
      </c>
      <c r="AT60" s="19">
        <v>1.0</v>
      </c>
      <c r="AU60" s="19">
        <v>1.0</v>
      </c>
      <c r="AV60" s="19">
        <v>3.0</v>
      </c>
      <c r="AW60" s="19">
        <v>1.0</v>
      </c>
      <c r="AX60" s="19">
        <v>0.0</v>
      </c>
      <c r="AY60" s="19">
        <v>0.0</v>
      </c>
      <c r="AZ60" s="19">
        <v>0.0</v>
      </c>
      <c r="BA60" s="19">
        <v>3.0</v>
      </c>
      <c r="BB60" s="19">
        <v>0.0</v>
      </c>
      <c r="BC60" s="19">
        <v>0.0</v>
      </c>
      <c r="BD60" s="19">
        <v>0.0</v>
      </c>
      <c r="BE60" s="19">
        <v>0.0</v>
      </c>
      <c r="BF60" s="19">
        <v>0.0</v>
      </c>
      <c r="BG60" s="19">
        <v>1.0</v>
      </c>
      <c r="BH60" s="19">
        <v>3.0</v>
      </c>
      <c r="BI60" s="19">
        <v>0.0</v>
      </c>
      <c r="BJ60" s="19">
        <v>1.0</v>
      </c>
      <c r="BK60" s="19">
        <v>1.0</v>
      </c>
      <c r="BL60" s="19">
        <v>0.0</v>
      </c>
      <c r="BM60" s="19">
        <v>2.0</v>
      </c>
      <c r="BN60" s="19">
        <v>3.0</v>
      </c>
      <c r="BO60" s="19">
        <v>1.0</v>
      </c>
      <c r="BP60" s="19">
        <v>0.0</v>
      </c>
      <c r="BQ60" s="19">
        <v>2.0</v>
      </c>
      <c r="BR60" s="13">
        <f t="shared" si="16"/>
        <v>61</v>
      </c>
    </row>
    <row r="61" ht="12.75" customHeight="1">
      <c r="A61" s="18"/>
      <c r="B61" s="55">
        <v>4.0</v>
      </c>
      <c r="C61" s="50" t="s">
        <v>52</v>
      </c>
      <c r="D61" s="61"/>
      <c r="E61" s="19">
        <v>2.0</v>
      </c>
      <c r="F61" s="19">
        <v>1.0</v>
      </c>
      <c r="G61" s="19">
        <v>4.0</v>
      </c>
      <c r="H61" s="19">
        <v>8.0</v>
      </c>
      <c r="I61" s="19">
        <v>18.0</v>
      </c>
      <c r="J61" s="19">
        <v>3.0</v>
      </c>
      <c r="K61" s="19">
        <v>1.0</v>
      </c>
      <c r="L61" s="19">
        <v>1.0</v>
      </c>
      <c r="M61" s="19">
        <v>1.0</v>
      </c>
      <c r="N61" s="19">
        <v>1.0</v>
      </c>
      <c r="O61" s="19">
        <v>2.0</v>
      </c>
      <c r="P61" s="19">
        <v>0.0</v>
      </c>
      <c r="Q61" s="19">
        <v>3.0</v>
      </c>
      <c r="R61" s="19">
        <v>2.0</v>
      </c>
      <c r="S61" s="19">
        <v>2.0</v>
      </c>
      <c r="T61" s="19">
        <v>8.0</v>
      </c>
      <c r="U61" s="19">
        <v>11.0</v>
      </c>
      <c r="V61" s="19">
        <v>19.0</v>
      </c>
      <c r="W61" s="19">
        <v>11.0</v>
      </c>
      <c r="X61" s="19">
        <v>10.0</v>
      </c>
      <c r="Y61" s="19">
        <v>9.0</v>
      </c>
      <c r="Z61" s="19">
        <v>74.0</v>
      </c>
      <c r="AA61" s="19">
        <v>10.0</v>
      </c>
      <c r="AB61" s="19">
        <v>15.0</v>
      </c>
      <c r="AC61" s="19">
        <v>3.0</v>
      </c>
      <c r="AD61" s="19">
        <v>9.0</v>
      </c>
      <c r="AE61" s="19">
        <v>0.0</v>
      </c>
      <c r="AF61" s="19">
        <v>1.0</v>
      </c>
      <c r="AG61" s="19">
        <v>6.0</v>
      </c>
      <c r="AH61" s="19">
        <v>2.0</v>
      </c>
      <c r="AI61" s="19">
        <v>9.0</v>
      </c>
      <c r="AJ61" s="19">
        <v>2.0</v>
      </c>
      <c r="AK61" s="19">
        <v>2.0</v>
      </c>
      <c r="AL61" s="19">
        <v>0.0</v>
      </c>
      <c r="AM61" s="19">
        <v>3.0</v>
      </c>
      <c r="AN61" s="19">
        <v>3.0</v>
      </c>
      <c r="AO61" s="19">
        <v>4.0</v>
      </c>
      <c r="AP61" s="19">
        <v>4.0</v>
      </c>
      <c r="AQ61" s="19">
        <v>14.0</v>
      </c>
      <c r="AR61" s="19">
        <v>0.0</v>
      </c>
      <c r="AS61" s="19">
        <v>5.0</v>
      </c>
      <c r="AT61" s="19">
        <v>3.0</v>
      </c>
      <c r="AU61" s="19">
        <v>10.0</v>
      </c>
      <c r="AV61" s="19">
        <v>5.0</v>
      </c>
      <c r="AW61" s="19">
        <v>0.0</v>
      </c>
      <c r="AX61" s="19">
        <v>4.0</v>
      </c>
      <c r="AY61" s="19">
        <v>4.0</v>
      </c>
      <c r="AZ61" s="19">
        <v>8.0</v>
      </c>
      <c r="BA61" s="19">
        <v>4.0</v>
      </c>
      <c r="BB61" s="19">
        <v>2.0</v>
      </c>
      <c r="BC61" s="19">
        <v>9.0</v>
      </c>
      <c r="BD61" s="19">
        <v>9.0</v>
      </c>
      <c r="BE61" s="19">
        <v>11.0</v>
      </c>
      <c r="BF61" s="19">
        <v>5.0</v>
      </c>
      <c r="BG61" s="19">
        <v>2.0</v>
      </c>
      <c r="BH61" s="19">
        <v>1.0</v>
      </c>
      <c r="BI61" s="19">
        <v>4.0</v>
      </c>
      <c r="BJ61" s="19">
        <v>23.0</v>
      </c>
      <c r="BK61" s="19">
        <v>16.0</v>
      </c>
      <c r="BL61" s="19">
        <v>1.0</v>
      </c>
      <c r="BM61" s="19">
        <v>2.0</v>
      </c>
      <c r="BN61" s="19">
        <v>13.0</v>
      </c>
      <c r="BO61" s="19">
        <v>1.0</v>
      </c>
      <c r="BP61" s="19">
        <v>7.0</v>
      </c>
      <c r="BQ61" s="19">
        <v>3.0</v>
      </c>
      <c r="BR61" s="13">
        <f t="shared" si="16"/>
        <v>430</v>
      </c>
    </row>
    <row r="62" ht="12.75" customHeight="1">
      <c r="A62" s="18"/>
      <c r="B62" s="55">
        <v>5.0</v>
      </c>
      <c r="C62" s="50" t="s">
        <v>53</v>
      </c>
      <c r="D62" s="61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1.0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1.0</v>
      </c>
      <c r="AU62" s="19">
        <v>0.0</v>
      </c>
      <c r="AV62" s="19">
        <v>0.0</v>
      </c>
      <c r="AW62" s="19">
        <v>0.0</v>
      </c>
      <c r="AX62" s="19">
        <v>1.0</v>
      </c>
      <c r="AY62" s="19">
        <v>0.0</v>
      </c>
      <c r="AZ62" s="19">
        <v>1.0</v>
      </c>
      <c r="BA62" s="19">
        <v>0.0</v>
      </c>
      <c r="BB62" s="19">
        <v>0.0</v>
      </c>
      <c r="BC62" s="19">
        <v>0.0</v>
      </c>
      <c r="BD62" s="19">
        <v>2.0</v>
      </c>
      <c r="BE62" s="19">
        <v>0.0</v>
      </c>
      <c r="BF62" s="19">
        <v>0.0</v>
      </c>
      <c r="BG62" s="19">
        <v>1.0</v>
      </c>
      <c r="BH62" s="19">
        <v>0.0</v>
      </c>
      <c r="BI62" s="19">
        <v>0.0</v>
      </c>
      <c r="BJ62" s="19">
        <v>0.0</v>
      </c>
      <c r="BK62" s="19">
        <v>2.0</v>
      </c>
      <c r="BL62" s="19">
        <v>1.0</v>
      </c>
      <c r="BM62" s="19">
        <v>0.0</v>
      </c>
      <c r="BN62" s="19">
        <v>1.0</v>
      </c>
      <c r="BO62" s="19">
        <v>0.0</v>
      </c>
      <c r="BP62" s="19">
        <v>1.0</v>
      </c>
      <c r="BQ62" s="19">
        <v>0.0</v>
      </c>
      <c r="BR62" s="13">
        <f t="shared" si="16"/>
        <v>16</v>
      </c>
    </row>
    <row r="63" ht="12.75" customHeight="1">
      <c r="A63" s="18"/>
      <c r="B63" s="55">
        <v>6.0</v>
      </c>
      <c r="C63" s="50" t="s">
        <v>54</v>
      </c>
      <c r="D63" s="62"/>
      <c r="E63" s="19">
        <v>1.0</v>
      </c>
      <c r="F63" s="19">
        <v>0.0</v>
      </c>
      <c r="G63" s="19">
        <v>0.0</v>
      </c>
      <c r="H63" s="19">
        <v>2.0</v>
      </c>
      <c r="I63" s="19">
        <v>1.0</v>
      </c>
      <c r="J63" s="19">
        <v>0.0</v>
      </c>
      <c r="K63" s="19">
        <v>1.0</v>
      </c>
      <c r="L63" s="19">
        <v>0.0</v>
      </c>
      <c r="M63" s="19">
        <v>1.0</v>
      </c>
      <c r="N63" s="19">
        <v>1.0</v>
      </c>
      <c r="O63" s="19">
        <v>1.0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1.0</v>
      </c>
      <c r="V63" s="19">
        <v>1.0</v>
      </c>
      <c r="W63" s="19">
        <v>1.0</v>
      </c>
      <c r="X63" s="19">
        <v>0.0</v>
      </c>
      <c r="Y63" s="19">
        <v>0.0</v>
      </c>
      <c r="Z63" s="19">
        <v>1.0</v>
      </c>
      <c r="AA63" s="19">
        <v>2.0</v>
      </c>
      <c r="AB63" s="19">
        <v>1.0</v>
      </c>
      <c r="AC63" s="19">
        <v>0.0</v>
      </c>
      <c r="AD63" s="19">
        <v>1.0</v>
      </c>
      <c r="AE63" s="19">
        <v>1.0</v>
      </c>
      <c r="AF63" s="19">
        <v>0.0</v>
      </c>
      <c r="AG63" s="19">
        <v>2.0</v>
      </c>
      <c r="AH63" s="19">
        <v>1.0</v>
      </c>
      <c r="AI63" s="19">
        <v>1.0</v>
      </c>
      <c r="AJ63" s="19">
        <v>1.0</v>
      </c>
      <c r="AK63" s="19">
        <v>0.0</v>
      </c>
      <c r="AL63" s="19">
        <v>0.0</v>
      </c>
      <c r="AM63" s="19">
        <v>2.0</v>
      </c>
      <c r="AN63" s="19">
        <v>1.0</v>
      </c>
      <c r="AO63" s="19">
        <v>1.0</v>
      </c>
      <c r="AP63" s="19">
        <v>1.0</v>
      </c>
      <c r="AQ63" s="19">
        <v>1.0</v>
      </c>
      <c r="AR63" s="19">
        <v>0.0</v>
      </c>
      <c r="AS63" s="19">
        <v>1.0</v>
      </c>
      <c r="AT63" s="19">
        <v>1.0</v>
      </c>
      <c r="AU63" s="19">
        <v>2.0</v>
      </c>
      <c r="AV63" s="19">
        <v>2.0</v>
      </c>
      <c r="AW63" s="19">
        <v>0.0</v>
      </c>
      <c r="AX63" s="19">
        <v>0.0</v>
      </c>
      <c r="AY63" s="19">
        <v>0.0</v>
      </c>
      <c r="AZ63" s="19">
        <v>0.0</v>
      </c>
      <c r="BA63" s="19">
        <v>2.0</v>
      </c>
      <c r="BB63" s="19">
        <v>1.0</v>
      </c>
      <c r="BC63" s="19">
        <v>2.0</v>
      </c>
      <c r="BD63" s="19">
        <v>2.0</v>
      </c>
      <c r="BE63" s="19">
        <v>0.0</v>
      </c>
      <c r="BF63" s="19">
        <v>2.0</v>
      </c>
      <c r="BG63" s="19">
        <v>0.0</v>
      </c>
      <c r="BH63" s="19">
        <v>1.0</v>
      </c>
      <c r="BI63" s="19">
        <v>4.0</v>
      </c>
      <c r="BJ63" s="19">
        <v>0.0</v>
      </c>
      <c r="BK63" s="19">
        <v>3.0</v>
      </c>
      <c r="BL63" s="19">
        <v>0.0</v>
      </c>
      <c r="BM63" s="19">
        <v>0.0</v>
      </c>
      <c r="BN63" s="19">
        <v>0.0</v>
      </c>
      <c r="BO63" s="19">
        <v>0.0</v>
      </c>
      <c r="BP63" s="19">
        <v>0.0</v>
      </c>
      <c r="BQ63" s="19">
        <v>0.0</v>
      </c>
      <c r="BR63" s="13">
        <f t="shared" si="16"/>
        <v>51</v>
      </c>
    </row>
    <row r="64" ht="12.75" customHeight="1">
      <c r="A64" s="18"/>
      <c r="B64" s="55">
        <v>7.0</v>
      </c>
      <c r="C64" s="50" t="s">
        <v>55</v>
      </c>
      <c r="D64" s="61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1.0</v>
      </c>
      <c r="W64" s="19">
        <v>0.0</v>
      </c>
      <c r="X64" s="19">
        <v>0.0</v>
      </c>
      <c r="Y64" s="19">
        <v>1.0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1.0</v>
      </c>
      <c r="AH64" s="19">
        <v>2.0</v>
      </c>
      <c r="AI64" s="19">
        <v>0.0</v>
      </c>
      <c r="AJ64" s="19">
        <v>0.0</v>
      </c>
      <c r="AK64" s="19">
        <v>0.0</v>
      </c>
      <c r="AL64" s="19">
        <v>1.0</v>
      </c>
      <c r="AM64" s="19">
        <v>2.0</v>
      </c>
      <c r="AN64" s="19">
        <v>2.0</v>
      </c>
      <c r="AO64" s="19">
        <v>0.0</v>
      </c>
      <c r="AP64" s="19">
        <v>0.0</v>
      </c>
      <c r="AQ64" s="19">
        <v>1.0</v>
      </c>
      <c r="AR64" s="19">
        <v>0.0</v>
      </c>
      <c r="AS64" s="19">
        <v>0.0</v>
      </c>
      <c r="AT64" s="19">
        <v>0.0</v>
      </c>
      <c r="AU64" s="19">
        <v>0.0</v>
      </c>
      <c r="AV64" s="19">
        <v>0.0</v>
      </c>
      <c r="AW64" s="19">
        <v>1.0</v>
      </c>
      <c r="AX64" s="19">
        <v>1.0</v>
      </c>
      <c r="AY64" s="19">
        <v>0.0</v>
      </c>
      <c r="AZ64" s="19">
        <v>0.0</v>
      </c>
      <c r="BA64" s="19">
        <v>0.0</v>
      </c>
      <c r="BB64" s="19">
        <v>0.0</v>
      </c>
      <c r="BC64" s="19">
        <v>0.0</v>
      </c>
      <c r="BD64" s="19">
        <v>1.0</v>
      </c>
      <c r="BE64" s="19">
        <v>0.0</v>
      </c>
      <c r="BF64" s="19">
        <v>0.0</v>
      </c>
      <c r="BG64" s="19">
        <v>1.0</v>
      </c>
      <c r="BH64" s="19">
        <v>1.0</v>
      </c>
      <c r="BI64" s="19">
        <v>0.0</v>
      </c>
      <c r="BJ64" s="19">
        <v>0.0</v>
      </c>
      <c r="BK64" s="19">
        <v>0.0</v>
      </c>
      <c r="BL64" s="19">
        <v>0.0</v>
      </c>
      <c r="BM64" s="19">
        <v>0.0</v>
      </c>
      <c r="BN64" s="19">
        <v>0.0</v>
      </c>
      <c r="BO64" s="19">
        <v>0.0</v>
      </c>
      <c r="BP64" s="19">
        <v>0.0</v>
      </c>
      <c r="BQ64" s="19">
        <v>0.0</v>
      </c>
      <c r="BR64" s="13">
        <f t="shared" si="16"/>
        <v>19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R67" si="17">SUM(E57:E66)</f>
        <v>27</v>
      </c>
      <c r="F67" s="13">
        <f t="shared" si="17"/>
        <v>12</v>
      </c>
      <c r="G67" s="13">
        <f t="shared" si="17"/>
        <v>10</v>
      </c>
      <c r="H67" s="13">
        <f t="shared" si="17"/>
        <v>29</v>
      </c>
      <c r="I67" s="13">
        <f t="shared" si="17"/>
        <v>34</v>
      </c>
      <c r="J67" s="13">
        <f t="shared" si="17"/>
        <v>33</v>
      </c>
      <c r="K67" s="13">
        <f t="shared" si="17"/>
        <v>20</v>
      </c>
      <c r="L67" s="13">
        <f t="shared" si="17"/>
        <v>13</v>
      </c>
      <c r="M67" s="13">
        <f t="shared" si="17"/>
        <v>14</v>
      </c>
      <c r="N67" s="13">
        <f t="shared" si="17"/>
        <v>11</v>
      </c>
      <c r="O67" s="13">
        <f t="shared" si="17"/>
        <v>16</v>
      </c>
      <c r="P67" s="13">
        <f t="shared" si="17"/>
        <v>13</v>
      </c>
      <c r="Q67" s="13">
        <f t="shared" si="17"/>
        <v>43</v>
      </c>
      <c r="R67" s="13">
        <f t="shared" si="17"/>
        <v>33</v>
      </c>
      <c r="S67" s="13">
        <f t="shared" si="17"/>
        <v>15</v>
      </c>
      <c r="T67" s="13">
        <f t="shared" si="17"/>
        <v>15</v>
      </c>
      <c r="U67" s="13">
        <f t="shared" si="17"/>
        <v>27</v>
      </c>
      <c r="V67" s="13">
        <f t="shared" si="17"/>
        <v>29</v>
      </c>
      <c r="W67" s="13">
        <f t="shared" si="17"/>
        <v>26</v>
      </c>
      <c r="X67" s="13">
        <f t="shared" si="17"/>
        <v>20</v>
      </c>
      <c r="Y67" s="13">
        <f t="shared" si="17"/>
        <v>42</v>
      </c>
      <c r="Z67" s="13">
        <f t="shared" si="17"/>
        <v>90</v>
      </c>
      <c r="AA67" s="13">
        <f t="shared" si="17"/>
        <v>33</v>
      </c>
      <c r="AB67" s="13">
        <f t="shared" si="17"/>
        <v>32</v>
      </c>
      <c r="AC67" s="13">
        <f t="shared" si="17"/>
        <v>22</v>
      </c>
      <c r="AD67" s="13">
        <f t="shared" si="17"/>
        <v>28</v>
      </c>
      <c r="AE67" s="13">
        <f t="shared" si="17"/>
        <v>8</v>
      </c>
      <c r="AF67" s="13">
        <f t="shared" si="17"/>
        <v>6</v>
      </c>
      <c r="AG67" s="13">
        <f t="shared" si="17"/>
        <v>28</v>
      </c>
      <c r="AH67" s="13">
        <f t="shared" si="17"/>
        <v>35</v>
      </c>
      <c r="AI67" s="13">
        <f t="shared" si="17"/>
        <v>30</v>
      </c>
      <c r="AJ67" s="13">
        <f t="shared" si="17"/>
        <v>20</v>
      </c>
      <c r="AK67" s="13">
        <f t="shared" si="17"/>
        <v>14</v>
      </c>
      <c r="AL67" s="13">
        <f t="shared" si="17"/>
        <v>28</v>
      </c>
      <c r="AM67" s="13">
        <f t="shared" si="17"/>
        <v>37</v>
      </c>
      <c r="AN67" s="13">
        <f t="shared" si="17"/>
        <v>59</v>
      </c>
      <c r="AO67" s="13">
        <f t="shared" si="17"/>
        <v>45</v>
      </c>
      <c r="AP67" s="13">
        <f t="shared" si="17"/>
        <v>20</v>
      </c>
      <c r="AQ67" s="13">
        <f t="shared" si="17"/>
        <v>43</v>
      </c>
      <c r="AR67" s="13">
        <f t="shared" si="17"/>
        <v>8</v>
      </c>
      <c r="AS67" s="13">
        <f t="shared" si="17"/>
        <v>21</v>
      </c>
      <c r="AT67" s="13">
        <f t="shared" si="17"/>
        <v>19</v>
      </c>
      <c r="AU67" s="13">
        <f t="shared" si="17"/>
        <v>22</v>
      </c>
      <c r="AV67" s="13">
        <f t="shared" si="17"/>
        <v>26</v>
      </c>
      <c r="AW67" s="13">
        <f t="shared" si="17"/>
        <v>12</v>
      </c>
      <c r="AX67" s="13">
        <f t="shared" si="17"/>
        <v>13</v>
      </c>
      <c r="AY67" s="13">
        <f t="shared" si="17"/>
        <v>29</v>
      </c>
      <c r="AZ67" s="13">
        <f t="shared" si="17"/>
        <v>33</v>
      </c>
      <c r="BA67" s="13">
        <f t="shared" si="17"/>
        <v>25</v>
      </c>
      <c r="BB67" s="13">
        <f t="shared" si="17"/>
        <v>15</v>
      </c>
      <c r="BC67" s="13">
        <f t="shared" si="17"/>
        <v>40</v>
      </c>
      <c r="BD67" s="13">
        <f t="shared" si="17"/>
        <v>37</v>
      </c>
      <c r="BE67" s="13">
        <f t="shared" si="17"/>
        <v>22</v>
      </c>
      <c r="BF67" s="13">
        <f t="shared" si="17"/>
        <v>69</v>
      </c>
      <c r="BG67" s="13">
        <f t="shared" si="17"/>
        <v>76</v>
      </c>
      <c r="BH67" s="13">
        <f t="shared" si="17"/>
        <v>38</v>
      </c>
      <c r="BI67" s="13">
        <f t="shared" si="17"/>
        <v>44</v>
      </c>
      <c r="BJ67" s="13">
        <f t="shared" si="17"/>
        <v>69</v>
      </c>
      <c r="BK67" s="13">
        <f t="shared" si="17"/>
        <v>52</v>
      </c>
      <c r="BL67" s="13">
        <f t="shared" si="17"/>
        <v>139</v>
      </c>
      <c r="BM67" s="13">
        <f t="shared" si="17"/>
        <v>52</v>
      </c>
      <c r="BN67" s="13">
        <f t="shared" si="17"/>
        <v>46</v>
      </c>
      <c r="BO67" s="13">
        <f t="shared" si="17"/>
        <v>50</v>
      </c>
      <c r="BP67" s="13">
        <f t="shared" si="17"/>
        <v>49</v>
      </c>
      <c r="BQ67" s="13">
        <f t="shared" si="17"/>
        <v>82</v>
      </c>
      <c r="BR67" s="13">
        <f t="shared" si="17"/>
        <v>2148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7.0</v>
      </c>
      <c r="G69" s="19">
        <v>2.0</v>
      </c>
      <c r="H69" s="19">
        <v>22.0</v>
      </c>
      <c r="I69" s="19">
        <v>5.0</v>
      </c>
      <c r="J69" s="19">
        <v>6.0</v>
      </c>
      <c r="K69" s="19">
        <v>23.0</v>
      </c>
      <c r="L69" s="19">
        <v>12.0</v>
      </c>
      <c r="M69" s="19">
        <v>17.0</v>
      </c>
      <c r="N69" s="19">
        <v>0.0</v>
      </c>
      <c r="O69" s="19">
        <v>19.0</v>
      </c>
      <c r="P69" s="19">
        <v>16.0</v>
      </c>
      <c r="Q69" s="19">
        <v>8.0</v>
      </c>
      <c r="R69" s="19">
        <v>10.0</v>
      </c>
      <c r="S69" s="19">
        <v>10.0</v>
      </c>
      <c r="T69" s="19">
        <v>9.0</v>
      </c>
      <c r="U69" s="19">
        <v>12.0</v>
      </c>
      <c r="V69" s="19">
        <v>10.0</v>
      </c>
      <c r="W69" s="19">
        <v>11.0</v>
      </c>
      <c r="X69" s="19">
        <v>12.0</v>
      </c>
      <c r="Y69" s="19">
        <v>10.0</v>
      </c>
      <c r="Z69" s="19">
        <v>2.0</v>
      </c>
      <c r="AA69" s="19">
        <v>4.0</v>
      </c>
      <c r="AB69" s="19">
        <v>5.0</v>
      </c>
      <c r="AC69" s="19">
        <v>11.0</v>
      </c>
      <c r="AD69" s="19">
        <v>14.0</v>
      </c>
      <c r="AE69" s="19">
        <v>10.0</v>
      </c>
      <c r="AF69" s="19">
        <v>7.0</v>
      </c>
      <c r="AG69" s="19">
        <v>5.0</v>
      </c>
      <c r="AH69" s="19">
        <v>1.0</v>
      </c>
      <c r="AI69" s="19">
        <v>5.0</v>
      </c>
      <c r="AJ69" s="19">
        <v>5.0</v>
      </c>
      <c r="AK69" s="19">
        <v>9.0</v>
      </c>
      <c r="AL69" s="19">
        <v>8.0</v>
      </c>
      <c r="AM69" s="19">
        <v>11.0</v>
      </c>
      <c r="AN69" s="19">
        <v>12.0</v>
      </c>
      <c r="AO69" s="19">
        <v>14.0</v>
      </c>
      <c r="AP69" s="19">
        <v>4.0</v>
      </c>
      <c r="AQ69" s="19">
        <v>19.0</v>
      </c>
      <c r="AR69" s="19">
        <v>4.0</v>
      </c>
      <c r="AS69" s="19">
        <v>5.0</v>
      </c>
      <c r="AT69" s="19">
        <v>5.0</v>
      </c>
      <c r="AU69" s="19">
        <v>3.0</v>
      </c>
      <c r="AV69" s="19">
        <v>4.0</v>
      </c>
      <c r="AW69" s="19">
        <v>7.0</v>
      </c>
      <c r="AX69" s="19">
        <v>10.0</v>
      </c>
      <c r="AY69" s="19">
        <v>6.0</v>
      </c>
      <c r="AZ69" s="19">
        <v>0.0</v>
      </c>
      <c r="BA69" s="19">
        <v>2.0</v>
      </c>
      <c r="BB69" s="19">
        <v>5.0</v>
      </c>
      <c r="BC69" s="19">
        <v>4.0</v>
      </c>
      <c r="BD69" s="19">
        <v>3.0</v>
      </c>
      <c r="BE69" s="19">
        <v>0.0</v>
      </c>
      <c r="BF69" s="19">
        <v>7.0</v>
      </c>
      <c r="BG69" s="19">
        <v>13.0</v>
      </c>
      <c r="BH69" s="19">
        <v>5.0</v>
      </c>
      <c r="BI69" s="19">
        <v>18.0</v>
      </c>
      <c r="BJ69" s="19">
        <v>19.0</v>
      </c>
      <c r="BK69" s="19">
        <v>8.0</v>
      </c>
      <c r="BL69" s="19">
        <v>1.0</v>
      </c>
      <c r="BM69" s="19">
        <v>10.0</v>
      </c>
      <c r="BN69" s="19">
        <v>10.0</v>
      </c>
      <c r="BO69" s="19">
        <v>11.0</v>
      </c>
      <c r="BP69" s="19">
        <v>5.0</v>
      </c>
      <c r="BQ69" s="19">
        <v>12.0</v>
      </c>
      <c r="BR69" s="13">
        <f t="shared" ref="BR69:BR78" si="18">SUM(E69:BQ69)</f>
        <v>550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8.0</v>
      </c>
      <c r="F70" s="19">
        <v>15.0</v>
      </c>
      <c r="G70" s="19">
        <v>2.0</v>
      </c>
      <c r="H70" s="19">
        <v>17.0</v>
      </c>
      <c r="I70" s="19">
        <v>3.0</v>
      </c>
      <c r="J70" s="19">
        <v>14.0</v>
      </c>
      <c r="K70" s="19">
        <v>17.0</v>
      </c>
      <c r="L70" s="19">
        <v>8.0</v>
      </c>
      <c r="M70" s="19">
        <v>10.0</v>
      </c>
      <c r="N70" s="19">
        <v>8.0</v>
      </c>
      <c r="O70" s="19">
        <v>6.0</v>
      </c>
      <c r="P70" s="19">
        <v>14.0</v>
      </c>
      <c r="Q70" s="19">
        <v>17.0</v>
      </c>
      <c r="R70" s="19">
        <v>24.0</v>
      </c>
      <c r="S70" s="19">
        <v>21.0</v>
      </c>
      <c r="T70" s="19">
        <v>28.0</v>
      </c>
      <c r="U70" s="19">
        <v>23.0</v>
      </c>
      <c r="V70" s="19">
        <v>16.0</v>
      </c>
      <c r="W70" s="19">
        <v>19.0</v>
      </c>
      <c r="X70" s="19">
        <v>20.0</v>
      </c>
      <c r="Y70" s="19">
        <v>9.0</v>
      </c>
      <c r="Z70" s="19">
        <v>7.0</v>
      </c>
      <c r="AA70" s="19">
        <v>21.0</v>
      </c>
      <c r="AB70" s="19">
        <v>16.0</v>
      </c>
      <c r="AC70" s="19">
        <v>36.0</v>
      </c>
      <c r="AD70" s="19">
        <v>35.0</v>
      </c>
      <c r="AE70" s="19">
        <v>34.0</v>
      </c>
      <c r="AF70" s="19">
        <v>16.0</v>
      </c>
      <c r="AG70" s="19">
        <v>18.0</v>
      </c>
      <c r="AH70" s="19">
        <v>10.0</v>
      </c>
      <c r="AI70" s="19">
        <v>11.0</v>
      </c>
      <c r="AJ70" s="19">
        <v>21.0</v>
      </c>
      <c r="AK70" s="19">
        <v>4.0</v>
      </c>
      <c r="AL70" s="19">
        <v>5.0</v>
      </c>
      <c r="AM70" s="19">
        <v>17.0</v>
      </c>
      <c r="AN70" s="19">
        <v>11.0</v>
      </c>
      <c r="AO70" s="19">
        <v>21.0</v>
      </c>
      <c r="AP70" s="19">
        <v>11.0</v>
      </c>
      <c r="AQ70" s="19">
        <v>20.0</v>
      </c>
      <c r="AR70" s="19">
        <v>4.0</v>
      </c>
      <c r="AS70" s="19">
        <v>6.0</v>
      </c>
      <c r="AT70" s="19">
        <v>6.0</v>
      </c>
      <c r="AU70" s="19">
        <v>28.0</v>
      </c>
      <c r="AV70" s="19">
        <v>28.0</v>
      </c>
      <c r="AW70" s="19">
        <v>11.0</v>
      </c>
      <c r="AX70" s="19">
        <v>30.0</v>
      </c>
      <c r="AY70" s="19">
        <v>8.0</v>
      </c>
      <c r="AZ70" s="19">
        <v>23.0</v>
      </c>
      <c r="BA70" s="19">
        <v>5.0</v>
      </c>
      <c r="BB70" s="19">
        <v>7.0</v>
      </c>
      <c r="BC70" s="19">
        <v>16.0</v>
      </c>
      <c r="BD70" s="19">
        <v>42.0</v>
      </c>
      <c r="BE70" s="19">
        <v>21.0</v>
      </c>
      <c r="BF70" s="19">
        <v>11.0</v>
      </c>
      <c r="BG70" s="19">
        <v>17.0</v>
      </c>
      <c r="BH70" s="19">
        <v>12.0</v>
      </c>
      <c r="BI70" s="19">
        <v>9.0</v>
      </c>
      <c r="BJ70" s="19">
        <v>13.0</v>
      </c>
      <c r="BK70" s="19">
        <v>23.0</v>
      </c>
      <c r="BL70" s="19">
        <v>2.0</v>
      </c>
      <c r="BM70" s="19">
        <v>15.0</v>
      </c>
      <c r="BN70" s="19">
        <v>14.0</v>
      </c>
      <c r="BO70" s="19">
        <v>12.0</v>
      </c>
      <c r="BP70" s="19">
        <v>22.0</v>
      </c>
      <c r="BQ70" s="19">
        <v>6.0</v>
      </c>
      <c r="BR70" s="13">
        <f t="shared" si="18"/>
        <v>1004</v>
      </c>
    </row>
    <row r="71" ht="12.75" customHeight="1">
      <c r="A71" s="18"/>
      <c r="B71" s="55">
        <v>2.0</v>
      </c>
      <c r="C71" s="50" t="s">
        <v>58</v>
      </c>
      <c r="D71" s="62"/>
      <c r="E71" s="19">
        <v>1.0</v>
      </c>
      <c r="F71" s="19">
        <v>1.0</v>
      </c>
      <c r="G71" s="19">
        <v>1.0</v>
      </c>
      <c r="H71" s="19">
        <v>1.0</v>
      </c>
      <c r="I71" s="19">
        <v>2.0</v>
      </c>
      <c r="J71" s="19">
        <v>4.0</v>
      </c>
      <c r="K71" s="19">
        <v>3.0</v>
      </c>
      <c r="L71" s="19">
        <v>3.0</v>
      </c>
      <c r="M71" s="19">
        <v>4.0</v>
      </c>
      <c r="N71" s="19">
        <v>3.0</v>
      </c>
      <c r="O71" s="19">
        <v>3.0</v>
      </c>
      <c r="P71" s="19">
        <v>2.0</v>
      </c>
      <c r="Q71" s="19">
        <v>1.0</v>
      </c>
      <c r="R71" s="19">
        <v>0.0</v>
      </c>
      <c r="S71" s="19">
        <v>1.0</v>
      </c>
      <c r="T71" s="19">
        <v>1.0</v>
      </c>
      <c r="U71" s="19">
        <v>2.0</v>
      </c>
      <c r="V71" s="19">
        <v>2.0</v>
      </c>
      <c r="W71" s="19">
        <v>2.0</v>
      </c>
      <c r="X71" s="19">
        <v>0.0</v>
      </c>
      <c r="Y71" s="19">
        <v>1.0</v>
      </c>
      <c r="Z71" s="19">
        <v>1.0</v>
      </c>
      <c r="AA71" s="19">
        <v>0.0</v>
      </c>
      <c r="AB71" s="19">
        <v>3.0</v>
      </c>
      <c r="AC71" s="19">
        <v>2.0</v>
      </c>
      <c r="AD71" s="19">
        <v>0.0</v>
      </c>
      <c r="AE71" s="19">
        <v>1.0</v>
      </c>
      <c r="AF71" s="19">
        <v>6.0</v>
      </c>
      <c r="AG71" s="19">
        <v>6.0</v>
      </c>
      <c r="AH71" s="19">
        <v>16.0</v>
      </c>
      <c r="AI71" s="19">
        <v>5.0</v>
      </c>
      <c r="AJ71" s="19">
        <v>10.0</v>
      </c>
      <c r="AK71" s="19">
        <v>14.0</v>
      </c>
      <c r="AL71" s="19">
        <v>36.0</v>
      </c>
      <c r="AM71" s="19">
        <v>17.0</v>
      </c>
      <c r="AN71" s="19">
        <v>10.0</v>
      </c>
      <c r="AO71" s="19">
        <v>4.0</v>
      </c>
      <c r="AP71" s="19">
        <v>40.0</v>
      </c>
      <c r="AQ71" s="19">
        <v>39.0</v>
      </c>
      <c r="AR71" s="19">
        <v>9.0</v>
      </c>
      <c r="AS71" s="19">
        <v>24.0</v>
      </c>
      <c r="AT71" s="19">
        <v>33.0</v>
      </c>
      <c r="AU71" s="19">
        <v>1.0</v>
      </c>
      <c r="AV71" s="19">
        <v>2.0</v>
      </c>
      <c r="AW71" s="19">
        <v>2.0</v>
      </c>
      <c r="AX71" s="19">
        <v>0.0</v>
      </c>
      <c r="AY71" s="19">
        <v>2.0</v>
      </c>
      <c r="AZ71" s="19">
        <v>2.0</v>
      </c>
      <c r="BA71" s="19">
        <v>1.0</v>
      </c>
      <c r="BB71" s="19">
        <v>0.0</v>
      </c>
      <c r="BC71" s="19">
        <v>1.0</v>
      </c>
      <c r="BD71" s="19">
        <v>0.0</v>
      </c>
      <c r="BE71" s="19">
        <v>1.0</v>
      </c>
      <c r="BF71" s="19">
        <v>4.0</v>
      </c>
      <c r="BG71" s="19">
        <v>1.0</v>
      </c>
      <c r="BH71" s="19">
        <v>1.0</v>
      </c>
      <c r="BI71" s="19">
        <v>7.0</v>
      </c>
      <c r="BJ71" s="19">
        <v>2.0</v>
      </c>
      <c r="BK71" s="19">
        <v>8.0</v>
      </c>
      <c r="BL71" s="19">
        <v>0.0</v>
      </c>
      <c r="BM71" s="19">
        <v>2.0</v>
      </c>
      <c r="BN71" s="19">
        <v>5.0</v>
      </c>
      <c r="BO71" s="19">
        <v>1.0</v>
      </c>
      <c r="BP71" s="19">
        <v>2.0</v>
      </c>
      <c r="BQ71" s="19">
        <v>1.0</v>
      </c>
      <c r="BR71" s="13">
        <f t="shared" si="18"/>
        <v>360</v>
      </c>
    </row>
    <row r="72" ht="12.75" customHeight="1">
      <c r="A72" s="18"/>
      <c r="B72" s="55">
        <v>3.0</v>
      </c>
      <c r="C72" s="50" t="s">
        <v>59</v>
      </c>
      <c r="D72" s="62"/>
      <c r="E72" s="19">
        <v>3.0</v>
      </c>
      <c r="F72" s="19">
        <v>15.0</v>
      </c>
      <c r="G72" s="19">
        <v>3.0</v>
      </c>
      <c r="H72" s="19">
        <v>11.0</v>
      </c>
      <c r="I72" s="19">
        <v>1.0</v>
      </c>
      <c r="J72" s="19">
        <v>4.0</v>
      </c>
      <c r="K72" s="19">
        <v>44.0</v>
      </c>
      <c r="L72" s="19">
        <v>8.0</v>
      </c>
      <c r="M72" s="19">
        <v>10.0</v>
      </c>
      <c r="N72" s="19">
        <v>11.0</v>
      </c>
      <c r="O72" s="19">
        <v>55.0</v>
      </c>
      <c r="P72" s="19">
        <v>56.0</v>
      </c>
      <c r="Q72" s="19">
        <v>3.0</v>
      </c>
      <c r="R72" s="19">
        <v>6.0</v>
      </c>
      <c r="S72" s="19">
        <v>0.0</v>
      </c>
      <c r="T72" s="19">
        <v>0.0</v>
      </c>
      <c r="U72" s="19">
        <v>2.0</v>
      </c>
      <c r="V72" s="19">
        <v>1.0</v>
      </c>
      <c r="W72" s="19">
        <v>2.0</v>
      </c>
      <c r="X72" s="19">
        <v>0.0</v>
      </c>
      <c r="Y72" s="19">
        <v>0.0</v>
      </c>
      <c r="Z72" s="19">
        <v>1.0</v>
      </c>
      <c r="AA72" s="19">
        <v>0.0</v>
      </c>
      <c r="AB72" s="19">
        <v>1.0</v>
      </c>
      <c r="AC72" s="19">
        <v>2.0</v>
      </c>
      <c r="AD72" s="19">
        <v>1.0</v>
      </c>
      <c r="AE72" s="19">
        <v>1.0</v>
      </c>
      <c r="AF72" s="19">
        <v>3.0</v>
      </c>
      <c r="AG72" s="19">
        <v>1.0</v>
      </c>
      <c r="AH72" s="19">
        <v>2.0</v>
      </c>
      <c r="AI72" s="19">
        <v>2.0</v>
      </c>
      <c r="AJ72" s="19">
        <v>2.0</v>
      </c>
      <c r="AK72" s="19">
        <v>4.0</v>
      </c>
      <c r="AL72" s="19">
        <v>39.0</v>
      </c>
      <c r="AM72" s="19">
        <v>7.0</v>
      </c>
      <c r="AN72" s="19">
        <v>8.0</v>
      </c>
      <c r="AO72" s="19">
        <v>7.0</v>
      </c>
      <c r="AP72" s="19">
        <v>1.0</v>
      </c>
      <c r="AQ72" s="19">
        <v>5.0</v>
      </c>
      <c r="AR72" s="19">
        <v>3.0</v>
      </c>
      <c r="AS72" s="19">
        <v>1.0</v>
      </c>
      <c r="AT72" s="19">
        <v>0.0</v>
      </c>
      <c r="AU72" s="19">
        <v>6.0</v>
      </c>
      <c r="AV72" s="19">
        <v>6.0</v>
      </c>
      <c r="AW72" s="19">
        <v>35.0</v>
      </c>
      <c r="AX72" s="19">
        <v>34.0</v>
      </c>
      <c r="AY72" s="19">
        <v>9.0</v>
      </c>
      <c r="AZ72" s="19">
        <v>16.0</v>
      </c>
      <c r="BA72" s="19">
        <v>17.0</v>
      </c>
      <c r="BB72" s="19">
        <v>0.0</v>
      </c>
      <c r="BC72" s="19">
        <v>0.0</v>
      </c>
      <c r="BD72" s="19">
        <v>0.0</v>
      </c>
      <c r="BE72" s="19">
        <v>0.0</v>
      </c>
      <c r="BF72" s="19">
        <v>3.0</v>
      </c>
      <c r="BG72" s="19">
        <v>10.0</v>
      </c>
      <c r="BH72" s="19">
        <v>7.0</v>
      </c>
      <c r="BI72" s="19">
        <v>2.0</v>
      </c>
      <c r="BJ72" s="19">
        <v>6.0</v>
      </c>
      <c r="BK72" s="19">
        <v>4.0</v>
      </c>
      <c r="BL72" s="19">
        <v>0.0</v>
      </c>
      <c r="BM72" s="19">
        <v>5.0</v>
      </c>
      <c r="BN72" s="19">
        <v>3.0</v>
      </c>
      <c r="BO72" s="19">
        <v>1.0</v>
      </c>
      <c r="BP72" s="19">
        <v>0.0</v>
      </c>
      <c r="BQ72" s="19">
        <v>2.0</v>
      </c>
      <c r="BR72" s="13">
        <f t="shared" si="18"/>
        <v>492</v>
      </c>
    </row>
    <row r="73" ht="12.75" customHeight="1">
      <c r="A73" s="18"/>
      <c r="B73" s="55">
        <v>4.0</v>
      </c>
      <c r="C73" s="50" t="s">
        <v>60</v>
      </c>
      <c r="D73" s="62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1.0</v>
      </c>
      <c r="M73" s="19">
        <v>1.0</v>
      </c>
      <c r="N73" s="19">
        <v>2.0</v>
      </c>
      <c r="O73" s="19">
        <v>1.0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1.0</v>
      </c>
      <c r="V73" s="19">
        <v>0.0</v>
      </c>
      <c r="W73" s="19">
        <v>1.0</v>
      </c>
      <c r="X73" s="19">
        <v>0.0</v>
      </c>
      <c r="Y73" s="19">
        <v>1.0</v>
      </c>
      <c r="Z73" s="19">
        <v>0.0</v>
      </c>
      <c r="AA73" s="19">
        <v>0.0</v>
      </c>
      <c r="AB73" s="19">
        <v>0.0</v>
      </c>
      <c r="AC73" s="19">
        <v>0.0</v>
      </c>
      <c r="AD73" s="19">
        <v>1.0</v>
      </c>
      <c r="AE73" s="19">
        <v>1.0</v>
      </c>
      <c r="AF73" s="19">
        <v>0.0</v>
      </c>
      <c r="AG73" s="19">
        <v>0.0</v>
      </c>
      <c r="AH73" s="19">
        <v>0.0</v>
      </c>
      <c r="AI73" s="19">
        <v>0.0</v>
      </c>
      <c r="AJ73" s="19">
        <v>2.0</v>
      </c>
      <c r="AK73" s="19">
        <v>1.0</v>
      </c>
      <c r="AL73" s="19">
        <v>1.0</v>
      </c>
      <c r="AM73" s="19">
        <v>0.0</v>
      </c>
      <c r="AN73" s="19">
        <v>3.0</v>
      </c>
      <c r="AO73" s="19">
        <v>0.0</v>
      </c>
      <c r="AP73" s="19">
        <v>0.0</v>
      </c>
      <c r="AQ73" s="19">
        <v>1.0</v>
      </c>
      <c r="AR73" s="19">
        <v>0.0</v>
      </c>
      <c r="AS73" s="19">
        <v>0.0</v>
      </c>
      <c r="AT73" s="19">
        <v>0.0</v>
      </c>
      <c r="AU73" s="19">
        <v>0.0</v>
      </c>
      <c r="AV73" s="19">
        <v>0.0</v>
      </c>
      <c r="AW73" s="19">
        <v>1.0</v>
      </c>
      <c r="AX73" s="19">
        <v>0.0</v>
      </c>
      <c r="AY73" s="19">
        <v>2.0</v>
      </c>
      <c r="AZ73" s="19">
        <v>0.0</v>
      </c>
      <c r="BA73" s="19">
        <v>0.0</v>
      </c>
      <c r="BB73" s="19">
        <v>0.0</v>
      </c>
      <c r="BC73" s="19">
        <v>0.0</v>
      </c>
      <c r="BD73" s="19">
        <v>0.0</v>
      </c>
      <c r="BE73" s="19">
        <v>0.0</v>
      </c>
      <c r="BF73" s="19">
        <v>2.0</v>
      </c>
      <c r="BG73" s="19">
        <v>0.0</v>
      </c>
      <c r="BH73" s="19">
        <v>5.0</v>
      </c>
      <c r="BI73" s="19">
        <v>1.0</v>
      </c>
      <c r="BJ73" s="19">
        <v>2.0</v>
      </c>
      <c r="BK73" s="19">
        <v>0.0</v>
      </c>
      <c r="BL73" s="19">
        <v>0.0</v>
      </c>
      <c r="BM73" s="19">
        <v>1.0</v>
      </c>
      <c r="BN73" s="19">
        <v>0.0</v>
      </c>
      <c r="BO73" s="19">
        <v>1.0</v>
      </c>
      <c r="BP73" s="19">
        <v>1.0</v>
      </c>
      <c r="BQ73" s="19">
        <v>0.0</v>
      </c>
      <c r="BR73" s="13">
        <f t="shared" si="18"/>
        <v>37</v>
      </c>
    </row>
    <row r="74" ht="12.75" customHeight="1">
      <c r="A74" s="18"/>
      <c r="B74" s="55">
        <v>5.0</v>
      </c>
      <c r="C74" s="50" t="s">
        <v>61</v>
      </c>
      <c r="D74" s="62"/>
      <c r="E74" s="19">
        <v>4.0</v>
      </c>
      <c r="F74" s="19">
        <v>1.0</v>
      </c>
      <c r="G74" s="19">
        <v>0.0</v>
      </c>
      <c r="H74" s="19">
        <v>4.0</v>
      </c>
      <c r="I74" s="19">
        <v>1.0</v>
      </c>
      <c r="J74" s="19">
        <v>2.0</v>
      </c>
      <c r="K74" s="19">
        <v>2.0</v>
      </c>
      <c r="L74" s="19">
        <v>0.0</v>
      </c>
      <c r="M74" s="19">
        <v>2.0</v>
      </c>
      <c r="N74" s="19">
        <v>2.0</v>
      </c>
      <c r="O74" s="19">
        <v>2.0</v>
      </c>
      <c r="P74" s="19">
        <v>1.0</v>
      </c>
      <c r="Q74" s="19">
        <v>19.0</v>
      </c>
      <c r="R74" s="19">
        <v>4.0</v>
      </c>
      <c r="S74" s="19">
        <v>0.0</v>
      </c>
      <c r="T74" s="19">
        <v>1.0</v>
      </c>
      <c r="U74" s="19">
        <v>3.0</v>
      </c>
      <c r="V74" s="19">
        <v>2.0</v>
      </c>
      <c r="W74" s="19">
        <v>4.0</v>
      </c>
      <c r="X74" s="19">
        <v>3.0</v>
      </c>
      <c r="Y74" s="19">
        <v>6.0</v>
      </c>
      <c r="Z74" s="19">
        <v>3.0</v>
      </c>
      <c r="AA74" s="19">
        <v>1.0</v>
      </c>
      <c r="AB74" s="19">
        <v>2.0</v>
      </c>
      <c r="AC74" s="19">
        <v>2.0</v>
      </c>
      <c r="AD74" s="19">
        <v>2.0</v>
      </c>
      <c r="AE74" s="19">
        <v>3.0</v>
      </c>
      <c r="AF74" s="19">
        <v>1.0</v>
      </c>
      <c r="AG74" s="19">
        <v>1.0</v>
      </c>
      <c r="AH74" s="19">
        <v>1.0</v>
      </c>
      <c r="AI74" s="19">
        <v>0.0</v>
      </c>
      <c r="AJ74" s="19">
        <v>2.0</v>
      </c>
      <c r="AK74" s="19">
        <v>2.0</v>
      </c>
      <c r="AL74" s="19">
        <v>1.0</v>
      </c>
      <c r="AM74" s="19">
        <v>2.0</v>
      </c>
      <c r="AN74" s="19">
        <v>0.0</v>
      </c>
      <c r="AO74" s="19">
        <v>8.0</v>
      </c>
      <c r="AP74" s="19">
        <v>3.0</v>
      </c>
      <c r="AQ74" s="19">
        <v>7.0</v>
      </c>
      <c r="AR74" s="19">
        <v>1.0</v>
      </c>
      <c r="AS74" s="19">
        <v>2.0</v>
      </c>
      <c r="AT74" s="19">
        <v>3.0</v>
      </c>
      <c r="AU74" s="19">
        <v>26.0</v>
      </c>
      <c r="AV74" s="19">
        <v>2.0</v>
      </c>
      <c r="AW74" s="19">
        <v>0.0</v>
      </c>
      <c r="AX74" s="19">
        <v>4.0</v>
      </c>
      <c r="AY74" s="19">
        <v>1.0</v>
      </c>
      <c r="AZ74" s="19">
        <v>0.0</v>
      </c>
      <c r="BA74" s="19">
        <v>0.0</v>
      </c>
      <c r="BB74" s="19">
        <v>2.0</v>
      </c>
      <c r="BC74" s="19">
        <v>2.0</v>
      </c>
      <c r="BD74" s="19">
        <v>2.0</v>
      </c>
      <c r="BE74" s="19">
        <v>1.0</v>
      </c>
      <c r="BF74" s="19">
        <v>10.0</v>
      </c>
      <c r="BG74" s="19">
        <v>1.0</v>
      </c>
      <c r="BH74" s="19">
        <v>14.0</v>
      </c>
      <c r="BI74" s="19">
        <v>23.0</v>
      </c>
      <c r="BJ74" s="19">
        <v>6.0</v>
      </c>
      <c r="BK74" s="19">
        <v>9.0</v>
      </c>
      <c r="BL74" s="19">
        <v>1.0</v>
      </c>
      <c r="BM74" s="19">
        <v>2.0</v>
      </c>
      <c r="BN74" s="19">
        <v>0.0</v>
      </c>
      <c r="BO74" s="19">
        <v>1.0</v>
      </c>
      <c r="BP74" s="19">
        <v>0.0</v>
      </c>
      <c r="BQ74" s="19">
        <v>2.0</v>
      </c>
      <c r="BR74" s="13">
        <f t="shared" si="18"/>
        <v>219</v>
      </c>
    </row>
    <row r="75" ht="12.75" customHeight="1">
      <c r="A75" s="18"/>
      <c r="B75" s="55">
        <v>6.0</v>
      </c>
      <c r="C75" s="50" t="s">
        <v>62</v>
      </c>
      <c r="D75" s="62"/>
      <c r="E75" s="19">
        <v>0.0</v>
      </c>
      <c r="F75" s="19">
        <v>0.0</v>
      </c>
      <c r="G75" s="19">
        <v>1.0</v>
      </c>
      <c r="H75" s="19">
        <v>1.0</v>
      </c>
      <c r="I75" s="19">
        <v>0.0</v>
      </c>
      <c r="J75" s="19">
        <v>0.0</v>
      </c>
      <c r="K75" s="19">
        <v>1.0</v>
      </c>
      <c r="L75" s="19">
        <v>0.0</v>
      </c>
      <c r="M75" s="19">
        <v>1.0</v>
      </c>
      <c r="N75" s="19">
        <v>0.0</v>
      </c>
      <c r="O75" s="19">
        <v>2.0</v>
      </c>
      <c r="P75" s="19">
        <v>1.0</v>
      </c>
      <c r="Q75" s="19">
        <v>1.0</v>
      </c>
      <c r="R75" s="19">
        <v>2.0</v>
      </c>
      <c r="S75" s="19">
        <v>1.0</v>
      </c>
      <c r="T75" s="19">
        <v>0.0</v>
      </c>
      <c r="U75" s="19">
        <v>2.0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9">
        <v>1.0</v>
      </c>
      <c r="AB75" s="19">
        <v>0.0</v>
      </c>
      <c r="AC75" s="19">
        <v>4.0</v>
      </c>
      <c r="AD75" s="19">
        <v>1.0</v>
      </c>
      <c r="AE75" s="19">
        <v>0.0</v>
      </c>
      <c r="AF75" s="19">
        <v>0.0</v>
      </c>
      <c r="AG75" s="19">
        <v>0.0</v>
      </c>
      <c r="AH75" s="19">
        <v>0.0</v>
      </c>
      <c r="AI75" s="19">
        <v>1.0</v>
      </c>
      <c r="AJ75" s="19">
        <v>0.0</v>
      </c>
      <c r="AK75" s="19">
        <v>2.0</v>
      </c>
      <c r="AL75" s="19">
        <v>0.0</v>
      </c>
      <c r="AM75" s="19">
        <v>0.0</v>
      </c>
      <c r="AN75" s="19">
        <v>2.0</v>
      </c>
      <c r="AO75" s="19">
        <v>2.0</v>
      </c>
      <c r="AP75" s="19">
        <v>0.0</v>
      </c>
      <c r="AQ75" s="19">
        <v>2.0</v>
      </c>
      <c r="AR75" s="19">
        <v>1.0</v>
      </c>
      <c r="AS75" s="19">
        <v>0.0</v>
      </c>
      <c r="AT75" s="19">
        <v>0.0</v>
      </c>
      <c r="AU75" s="19">
        <v>0.0</v>
      </c>
      <c r="AV75" s="19">
        <v>1.0</v>
      </c>
      <c r="AW75" s="19">
        <v>0.0</v>
      </c>
      <c r="AX75" s="19">
        <v>0.0</v>
      </c>
      <c r="AY75" s="19">
        <v>0.0</v>
      </c>
      <c r="AZ75" s="19">
        <v>0.0</v>
      </c>
      <c r="BA75" s="19">
        <v>0.0</v>
      </c>
      <c r="BB75" s="19">
        <v>0.0</v>
      </c>
      <c r="BC75" s="19">
        <v>1.0</v>
      </c>
      <c r="BD75" s="19">
        <v>0.0</v>
      </c>
      <c r="BE75" s="19">
        <v>1.0</v>
      </c>
      <c r="BF75" s="19">
        <v>0.0</v>
      </c>
      <c r="BG75" s="19">
        <v>1.0</v>
      </c>
      <c r="BH75" s="19">
        <v>1.0</v>
      </c>
      <c r="BI75" s="19">
        <v>4.0</v>
      </c>
      <c r="BJ75" s="19">
        <v>2.0</v>
      </c>
      <c r="BK75" s="19">
        <v>0.0</v>
      </c>
      <c r="BL75" s="19">
        <v>1.0</v>
      </c>
      <c r="BM75" s="19">
        <v>0.0</v>
      </c>
      <c r="BN75" s="19">
        <v>1.0</v>
      </c>
      <c r="BO75" s="19">
        <v>0.0</v>
      </c>
      <c r="BP75" s="19">
        <v>1.0</v>
      </c>
      <c r="BQ75" s="19">
        <v>1.0</v>
      </c>
      <c r="BR75" s="13">
        <f t="shared" si="18"/>
        <v>45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1.0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1.0</v>
      </c>
      <c r="Z76" s="19">
        <v>0.0</v>
      </c>
      <c r="AA76" s="19">
        <v>2.0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0.0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9">
        <v>1.0</v>
      </c>
      <c r="AT76" s="19">
        <v>0.0</v>
      </c>
      <c r="AU76" s="19">
        <v>0.0</v>
      </c>
      <c r="AV76" s="19">
        <v>0.0</v>
      </c>
      <c r="AW76" s="19">
        <v>0.0</v>
      </c>
      <c r="AX76" s="19">
        <v>1.0</v>
      </c>
      <c r="AY76" s="19">
        <v>0.0</v>
      </c>
      <c r="AZ76" s="19">
        <v>1.0</v>
      </c>
      <c r="BA76" s="19">
        <v>0.0</v>
      </c>
      <c r="BB76" s="19">
        <v>0.0</v>
      </c>
      <c r="BC76" s="19">
        <v>0.0</v>
      </c>
      <c r="BD76" s="19">
        <v>1.0</v>
      </c>
      <c r="BE76" s="19">
        <v>0.0</v>
      </c>
      <c r="BF76" s="19">
        <v>1.0</v>
      </c>
      <c r="BG76" s="19">
        <v>1.0</v>
      </c>
      <c r="BH76" s="19">
        <v>0.0</v>
      </c>
      <c r="BI76" s="19">
        <v>0.0</v>
      </c>
      <c r="BJ76" s="19">
        <v>1.0</v>
      </c>
      <c r="BK76" s="19">
        <v>0.0</v>
      </c>
      <c r="BL76" s="19">
        <v>0.0</v>
      </c>
      <c r="BM76" s="19">
        <v>0.0</v>
      </c>
      <c r="BN76" s="19">
        <v>0.0</v>
      </c>
      <c r="BO76" s="19">
        <v>0.0</v>
      </c>
      <c r="BP76" s="19">
        <v>1.0</v>
      </c>
      <c r="BQ76" s="19">
        <v>0.0</v>
      </c>
      <c r="BR76" s="13">
        <f t="shared" si="18"/>
        <v>14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R79" si="19">SUM(E69:E78)</f>
        <v>22</v>
      </c>
      <c r="F79" s="13">
        <f t="shared" si="19"/>
        <v>40</v>
      </c>
      <c r="G79" s="13">
        <f t="shared" si="19"/>
        <v>9</v>
      </c>
      <c r="H79" s="13">
        <f t="shared" si="19"/>
        <v>56</v>
      </c>
      <c r="I79" s="13">
        <f t="shared" si="19"/>
        <v>12</v>
      </c>
      <c r="J79" s="13">
        <f t="shared" si="19"/>
        <v>30</v>
      </c>
      <c r="K79" s="13">
        <f t="shared" si="19"/>
        <v>92</v>
      </c>
      <c r="L79" s="13">
        <f t="shared" si="19"/>
        <v>32</v>
      </c>
      <c r="M79" s="13">
        <f t="shared" si="19"/>
        <v>45</v>
      </c>
      <c r="N79" s="13">
        <f t="shared" si="19"/>
        <v>26</v>
      </c>
      <c r="O79" s="13">
        <f t="shared" si="19"/>
        <v>89</v>
      </c>
      <c r="P79" s="13">
        <f t="shared" si="19"/>
        <v>91</v>
      </c>
      <c r="Q79" s="13">
        <f t="shared" si="19"/>
        <v>49</v>
      </c>
      <c r="R79" s="13">
        <f t="shared" si="19"/>
        <v>46</v>
      </c>
      <c r="S79" s="13">
        <f t="shared" si="19"/>
        <v>34</v>
      </c>
      <c r="T79" s="13">
        <f t="shared" si="19"/>
        <v>39</v>
      </c>
      <c r="U79" s="13">
        <f t="shared" si="19"/>
        <v>45</v>
      </c>
      <c r="V79" s="13">
        <f t="shared" si="19"/>
        <v>31</v>
      </c>
      <c r="W79" s="13">
        <f t="shared" si="19"/>
        <v>39</v>
      </c>
      <c r="X79" s="13">
        <f t="shared" si="19"/>
        <v>35</v>
      </c>
      <c r="Y79" s="13">
        <f t="shared" si="19"/>
        <v>28</v>
      </c>
      <c r="Z79" s="13">
        <f t="shared" si="19"/>
        <v>15</v>
      </c>
      <c r="AA79" s="13">
        <f t="shared" si="19"/>
        <v>29</v>
      </c>
      <c r="AB79" s="13">
        <f t="shared" si="19"/>
        <v>27</v>
      </c>
      <c r="AC79" s="13">
        <f t="shared" si="19"/>
        <v>57</v>
      </c>
      <c r="AD79" s="13">
        <f t="shared" si="19"/>
        <v>54</v>
      </c>
      <c r="AE79" s="13">
        <f t="shared" si="19"/>
        <v>50</v>
      </c>
      <c r="AF79" s="13">
        <f t="shared" si="19"/>
        <v>33</v>
      </c>
      <c r="AG79" s="13">
        <f t="shared" si="19"/>
        <v>31</v>
      </c>
      <c r="AH79" s="13">
        <f t="shared" si="19"/>
        <v>30</v>
      </c>
      <c r="AI79" s="13">
        <f t="shared" si="19"/>
        <v>24</v>
      </c>
      <c r="AJ79" s="13">
        <f t="shared" si="19"/>
        <v>42</v>
      </c>
      <c r="AK79" s="13">
        <f t="shared" si="19"/>
        <v>36</v>
      </c>
      <c r="AL79" s="13">
        <f t="shared" si="19"/>
        <v>90</v>
      </c>
      <c r="AM79" s="13">
        <f t="shared" si="19"/>
        <v>54</v>
      </c>
      <c r="AN79" s="13">
        <f t="shared" si="19"/>
        <v>46</v>
      </c>
      <c r="AO79" s="13">
        <f t="shared" si="19"/>
        <v>56</v>
      </c>
      <c r="AP79" s="13">
        <f t="shared" si="19"/>
        <v>59</v>
      </c>
      <c r="AQ79" s="13">
        <f t="shared" si="19"/>
        <v>93</v>
      </c>
      <c r="AR79" s="13">
        <f t="shared" si="19"/>
        <v>22</v>
      </c>
      <c r="AS79" s="13">
        <f t="shared" si="19"/>
        <v>39</v>
      </c>
      <c r="AT79" s="13">
        <f t="shared" si="19"/>
        <v>47</v>
      </c>
      <c r="AU79" s="13">
        <f t="shared" si="19"/>
        <v>64</v>
      </c>
      <c r="AV79" s="13">
        <f t="shared" si="19"/>
        <v>43</v>
      </c>
      <c r="AW79" s="13">
        <f t="shared" si="19"/>
        <v>56</v>
      </c>
      <c r="AX79" s="13">
        <f t="shared" si="19"/>
        <v>79</v>
      </c>
      <c r="AY79" s="13">
        <f t="shared" si="19"/>
        <v>28</v>
      </c>
      <c r="AZ79" s="13">
        <f t="shared" si="19"/>
        <v>42</v>
      </c>
      <c r="BA79" s="13">
        <f t="shared" si="19"/>
        <v>25</v>
      </c>
      <c r="BB79" s="13">
        <f t="shared" si="19"/>
        <v>14</v>
      </c>
      <c r="BC79" s="13">
        <f t="shared" si="19"/>
        <v>24</v>
      </c>
      <c r="BD79" s="13">
        <f t="shared" si="19"/>
        <v>48</v>
      </c>
      <c r="BE79" s="13">
        <f t="shared" si="19"/>
        <v>24</v>
      </c>
      <c r="BF79" s="13">
        <f t="shared" si="19"/>
        <v>38</v>
      </c>
      <c r="BG79" s="13">
        <f t="shared" si="19"/>
        <v>44</v>
      </c>
      <c r="BH79" s="13">
        <f t="shared" si="19"/>
        <v>45</v>
      </c>
      <c r="BI79" s="13">
        <f t="shared" si="19"/>
        <v>64</v>
      </c>
      <c r="BJ79" s="13">
        <f t="shared" si="19"/>
        <v>51</v>
      </c>
      <c r="BK79" s="13">
        <f t="shared" si="19"/>
        <v>52</v>
      </c>
      <c r="BL79" s="13">
        <f t="shared" si="19"/>
        <v>5</v>
      </c>
      <c r="BM79" s="13">
        <f t="shared" si="19"/>
        <v>35</v>
      </c>
      <c r="BN79" s="13">
        <f t="shared" si="19"/>
        <v>33</v>
      </c>
      <c r="BO79" s="13">
        <f t="shared" si="19"/>
        <v>27</v>
      </c>
      <c r="BP79" s="13">
        <f t="shared" si="19"/>
        <v>32</v>
      </c>
      <c r="BQ79" s="13">
        <f t="shared" si="19"/>
        <v>24</v>
      </c>
      <c r="BR79" s="13">
        <f t="shared" si="19"/>
        <v>2721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5.0</v>
      </c>
      <c r="G81" s="19">
        <v>24.0</v>
      </c>
      <c r="H81" s="19">
        <v>6.0</v>
      </c>
      <c r="I81" s="19">
        <v>6.0</v>
      </c>
      <c r="J81" s="19">
        <v>3.0</v>
      </c>
      <c r="K81" s="19">
        <v>6.0</v>
      </c>
      <c r="L81" s="19">
        <v>0.0</v>
      </c>
      <c r="M81" s="19">
        <v>6.0</v>
      </c>
      <c r="N81" s="19">
        <v>0.0</v>
      </c>
      <c r="O81" s="19">
        <v>3.0</v>
      </c>
      <c r="P81" s="19">
        <v>5.0</v>
      </c>
      <c r="Q81" s="19">
        <v>1.0</v>
      </c>
      <c r="R81" s="19">
        <v>10.0</v>
      </c>
      <c r="S81" s="19">
        <v>4.0</v>
      </c>
      <c r="T81" s="19">
        <v>3.0</v>
      </c>
      <c r="U81" s="19">
        <v>8.0</v>
      </c>
      <c r="V81" s="19">
        <v>14.0</v>
      </c>
      <c r="W81" s="19">
        <v>2.0</v>
      </c>
      <c r="X81" s="19">
        <v>6.0</v>
      </c>
      <c r="Y81" s="19">
        <v>1.0</v>
      </c>
      <c r="Z81" s="19">
        <v>4.0</v>
      </c>
      <c r="AA81" s="19">
        <v>5.0</v>
      </c>
      <c r="AB81" s="19">
        <v>3.0</v>
      </c>
      <c r="AC81" s="19">
        <v>4.0</v>
      </c>
      <c r="AD81" s="19">
        <v>1.0</v>
      </c>
      <c r="AE81" s="19">
        <v>10.0</v>
      </c>
      <c r="AF81" s="19">
        <v>13.0</v>
      </c>
      <c r="AG81" s="19">
        <v>13.0</v>
      </c>
      <c r="AH81" s="19">
        <v>11.0</v>
      </c>
      <c r="AI81" s="19">
        <v>3.0</v>
      </c>
      <c r="AJ81" s="19">
        <v>3.0</v>
      </c>
      <c r="AK81" s="19">
        <v>15.0</v>
      </c>
      <c r="AL81" s="19">
        <v>5.0</v>
      </c>
      <c r="AM81" s="19">
        <v>10.0</v>
      </c>
      <c r="AN81" s="19">
        <v>7.0</v>
      </c>
      <c r="AO81" s="19">
        <v>4.0</v>
      </c>
      <c r="AP81" s="19">
        <v>5.0</v>
      </c>
      <c r="AQ81" s="19">
        <v>2.0</v>
      </c>
      <c r="AR81" s="19">
        <v>0.0</v>
      </c>
      <c r="AS81" s="19">
        <v>15.0</v>
      </c>
      <c r="AT81" s="19">
        <v>5.0</v>
      </c>
      <c r="AU81" s="19">
        <v>3.0</v>
      </c>
      <c r="AV81" s="19">
        <v>0.0</v>
      </c>
      <c r="AW81" s="19">
        <v>1.0</v>
      </c>
      <c r="AX81" s="19">
        <v>2.0</v>
      </c>
      <c r="AY81" s="19">
        <v>2.0</v>
      </c>
      <c r="AZ81" s="19">
        <v>2.0</v>
      </c>
      <c r="BA81" s="19">
        <v>11.0</v>
      </c>
      <c r="BB81" s="19">
        <v>7.0</v>
      </c>
      <c r="BC81" s="19">
        <v>1.0</v>
      </c>
      <c r="BD81" s="19">
        <v>2.0</v>
      </c>
      <c r="BE81" s="19">
        <v>3.0</v>
      </c>
      <c r="BF81" s="19">
        <v>2.0</v>
      </c>
      <c r="BG81" s="19">
        <v>2.0</v>
      </c>
      <c r="BH81" s="19">
        <v>3.0</v>
      </c>
      <c r="BI81" s="19">
        <v>1.0</v>
      </c>
      <c r="BJ81" s="19">
        <v>3.0</v>
      </c>
      <c r="BK81" s="19">
        <v>2.0</v>
      </c>
      <c r="BL81" s="19">
        <v>2.0</v>
      </c>
      <c r="BM81" s="19">
        <v>3.0</v>
      </c>
      <c r="BN81" s="19">
        <v>4.0</v>
      </c>
      <c r="BO81" s="19">
        <v>7.0</v>
      </c>
      <c r="BP81" s="19">
        <v>4.0</v>
      </c>
      <c r="BQ81" s="19">
        <v>3.0</v>
      </c>
      <c r="BR81" s="13">
        <f t="shared" ref="BR81:BR90" si="20">SUM(E81:BQ81)</f>
        <v>328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44.0</v>
      </c>
      <c r="F82" s="19">
        <v>23.0</v>
      </c>
      <c r="G82" s="19">
        <v>57.0</v>
      </c>
      <c r="H82" s="19">
        <v>29.0</v>
      </c>
      <c r="I82" s="19">
        <v>47.0</v>
      </c>
      <c r="J82" s="19">
        <v>36.0</v>
      </c>
      <c r="K82" s="19">
        <v>32.0</v>
      </c>
      <c r="L82" s="19">
        <v>20.0</v>
      </c>
      <c r="M82" s="19">
        <v>36.0</v>
      </c>
      <c r="N82" s="19">
        <v>69.0</v>
      </c>
      <c r="O82" s="19">
        <v>18.0</v>
      </c>
      <c r="P82" s="19">
        <v>12.0</v>
      </c>
      <c r="Q82" s="19">
        <v>2.0</v>
      </c>
      <c r="R82" s="19">
        <v>3.0</v>
      </c>
      <c r="S82" s="19">
        <v>6.0</v>
      </c>
      <c r="T82" s="19">
        <v>1.0</v>
      </c>
      <c r="U82" s="19">
        <v>5.0</v>
      </c>
      <c r="V82" s="19">
        <v>5.0</v>
      </c>
      <c r="W82" s="19">
        <v>5.0</v>
      </c>
      <c r="X82" s="19">
        <v>2.0</v>
      </c>
      <c r="Y82" s="19">
        <v>3.0</v>
      </c>
      <c r="Z82" s="19">
        <v>3.0</v>
      </c>
      <c r="AA82" s="19">
        <v>12.0</v>
      </c>
      <c r="AB82" s="19">
        <v>6.0</v>
      </c>
      <c r="AC82" s="19">
        <v>9.0</v>
      </c>
      <c r="AD82" s="19">
        <v>3.0</v>
      </c>
      <c r="AE82" s="19">
        <v>1.0</v>
      </c>
      <c r="AF82" s="19">
        <v>7.0</v>
      </c>
      <c r="AG82" s="19">
        <v>6.0</v>
      </c>
      <c r="AH82" s="19">
        <v>4.0</v>
      </c>
      <c r="AI82" s="19">
        <v>9.0</v>
      </c>
      <c r="AJ82" s="19">
        <v>3.0</v>
      </c>
      <c r="AK82" s="19">
        <v>12.0</v>
      </c>
      <c r="AL82" s="19">
        <v>6.0</v>
      </c>
      <c r="AM82" s="19">
        <v>1.0</v>
      </c>
      <c r="AN82" s="19">
        <v>3.0</v>
      </c>
      <c r="AO82" s="19">
        <v>4.0</v>
      </c>
      <c r="AP82" s="19">
        <v>9.0</v>
      </c>
      <c r="AQ82" s="19">
        <v>3.0</v>
      </c>
      <c r="AR82" s="19">
        <v>2.0</v>
      </c>
      <c r="AS82" s="19">
        <v>45.0</v>
      </c>
      <c r="AT82" s="19">
        <v>58.0</v>
      </c>
      <c r="AU82" s="19">
        <v>1.0</v>
      </c>
      <c r="AV82" s="19">
        <v>5.0</v>
      </c>
      <c r="AW82" s="19">
        <v>1.0</v>
      </c>
      <c r="AX82" s="19">
        <v>3.0</v>
      </c>
      <c r="AY82" s="19">
        <v>1.0</v>
      </c>
      <c r="AZ82" s="19">
        <v>1.0</v>
      </c>
      <c r="BA82" s="19">
        <v>31.0</v>
      </c>
      <c r="BB82" s="19">
        <v>24.0</v>
      </c>
      <c r="BC82" s="19">
        <v>3.0</v>
      </c>
      <c r="BD82" s="19">
        <v>6.0</v>
      </c>
      <c r="BE82" s="19">
        <v>4.0</v>
      </c>
      <c r="BF82" s="19">
        <v>0.0</v>
      </c>
      <c r="BG82" s="19">
        <v>2.0</v>
      </c>
      <c r="BH82" s="19">
        <v>0.0</v>
      </c>
      <c r="BI82" s="19">
        <v>1.0</v>
      </c>
      <c r="BJ82" s="19">
        <v>1.0</v>
      </c>
      <c r="BK82" s="19">
        <v>6.0</v>
      </c>
      <c r="BL82" s="19">
        <v>2.0</v>
      </c>
      <c r="BM82" s="19">
        <v>2.0</v>
      </c>
      <c r="BN82" s="19">
        <v>6.0</v>
      </c>
      <c r="BO82" s="19">
        <v>4.0</v>
      </c>
      <c r="BP82" s="19">
        <v>5.0</v>
      </c>
      <c r="BQ82" s="19">
        <v>1.0</v>
      </c>
      <c r="BR82" s="13">
        <f t="shared" si="20"/>
        <v>771</v>
      </c>
    </row>
    <row r="83" ht="12.75" customHeight="1">
      <c r="A83" s="18"/>
      <c r="B83" s="55">
        <v>2.0</v>
      </c>
      <c r="C83" s="50" t="s">
        <v>66</v>
      </c>
      <c r="D83" s="62"/>
      <c r="E83" s="19">
        <v>4.0</v>
      </c>
      <c r="F83" s="19">
        <v>11.0</v>
      </c>
      <c r="G83" s="19">
        <v>3.0</v>
      </c>
      <c r="H83" s="19">
        <v>13.0</v>
      </c>
      <c r="I83" s="19">
        <v>3.0</v>
      </c>
      <c r="J83" s="19">
        <v>14.0</v>
      </c>
      <c r="K83" s="19">
        <v>4.0</v>
      </c>
      <c r="L83" s="19">
        <v>4.0</v>
      </c>
      <c r="M83" s="19">
        <v>10.0</v>
      </c>
      <c r="N83" s="19">
        <v>14.0</v>
      </c>
      <c r="O83" s="19">
        <v>3.0</v>
      </c>
      <c r="P83" s="19">
        <v>2.0</v>
      </c>
      <c r="Q83" s="19">
        <v>20.0</v>
      </c>
      <c r="R83" s="19">
        <v>13.0</v>
      </c>
      <c r="S83" s="19">
        <v>15.0</v>
      </c>
      <c r="T83" s="19">
        <v>21.0</v>
      </c>
      <c r="U83" s="19">
        <v>27.0</v>
      </c>
      <c r="V83" s="19">
        <v>20.0</v>
      </c>
      <c r="W83" s="19">
        <v>7.0</v>
      </c>
      <c r="X83" s="19">
        <v>16.0</v>
      </c>
      <c r="Y83" s="19">
        <v>14.0</v>
      </c>
      <c r="Z83" s="19">
        <v>17.0</v>
      </c>
      <c r="AA83" s="19">
        <v>22.0</v>
      </c>
      <c r="AB83" s="19">
        <v>12.0</v>
      </c>
      <c r="AC83" s="19">
        <v>15.0</v>
      </c>
      <c r="AD83" s="19">
        <v>4.0</v>
      </c>
      <c r="AE83" s="19">
        <v>49.0</v>
      </c>
      <c r="AF83" s="19">
        <v>46.0</v>
      </c>
      <c r="AG83" s="19">
        <v>23.0</v>
      </c>
      <c r="AH83" s="19">
        <v>12.0</v>
      </c>
      <c r="AI83" s="19">
        <v>7.0</v>
      </c>
      <c r="AJ83" s="19">
        <v>6.0</v>
      </c>
      <c r="AK83" s="19">
        <v>29.0</v>
      </c>
      <c r="AL83" s="19">
        <v>15.0</v>
      </c>
      <c r="AM83" s="19">
        <v>23.0</v>
      </c>
      <c r="AN83" s="19">
        <v>19.0</v>
      </c>
      <c r="AO83" s="19">
        <v>23.0</v>
      </c>
      <c r="AP83" s="19">
        <v>7.0</v>
      </c>
      <c r="AQ83" s="19">
        <v>17.0</v>
      </c>
      <c r="AR83" s="19">
        <v>9.0</v>
      </c>
      <c r="AS83" s="19">
        <v>29.0</v>
      </c>
      <c r="AT83" s="19">
        <v>8.0</v>
      </c>
      <c r="AU83" s="19">
        <v>70.0</v>
      </c>
      <c r="AV83" s="19">
        <v>21.0</v>
      </c>
      <c r="AW83" s="19">
        <v>8.0</v>
      </c>
      <c r="AX83" s="19">
        <v>6.0</v>
      </c>
      <c r="AY83" s="19">
        <v>1.0</v>
      </c>
      <c r="AZ83" s="19">
        <v>9.0</v>
      </c>
      <c r="BA83" s="19">
        <v>17.0</v>
      </c>
      <c r="BB83" s="19">
        <v>7.0</v>
      </c>
      <c r="BC83" s="19">
        <v>6.0</v>
      </c>
      <c r="BD83" s="19">
        <v>11.0</v>
      </c>
      <c r="BE83" s="19">
        <v>4.0</v>
      </c>
      <c r="BF83" s="19">
        <v>9.0</v>
      </c>
      <c r="BG83" s="19">
        <v>4.0</v>
      </c>
      <c r="BH83" s="19">
        <v>13.0</v>
      </c>
      <c r="BI83" s="19">
        <v>10.0</v>
      </c>
      <c r="BJ83" s="19">
        <v>19.0</v>
      </c>
      <c r="BK83" s="19">
        <v>27.0</v>
      </c>
      <c r="BL83" s="19">
        <v>12.0</v>
      </c>
      <c r="BM83" s="19">
        <v>36.0</v>
      </c>
      <c r="BN83" s="19">
        <v>29.0</v>
      </c>
      <c r="BO83" s="19">
        <v>51.0</v>
      </c>
      <c r="BP83" s="19">
        <v>24.0</v>
      </c>
      <c r="BQ83" s="19">
        <v>21.0</v>
      </c>
      <c r="BR83" s="13">
        <f t="shared" si="20"/>
        <v>1045</v>
      </c>
    </row>
    <row r="84" ht="12.75" customHeight="1">
      <c r="A84" s="18"/>
      <c r="B84" s="55">
        <v>3.0</v>
      </c>
      <c r="C84" s="50" t="s">
        <v>67</v>
      </c>
      <c r="D84" s="62"/>
      <c r="E84" s="19">
        <v>0.0</v>
      </c>
      <c r="F84" s="19">
        <v>0.0</v>
      </c>
      <c r="G84" s="19">
        <v>1.0</v>
      </c>
      <c r="H84" s="19">
        <v>2.0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2.0</v>
      </c>
      <c r="S84" s="19">
        <v>0.0</v>
      </c>
      <c r="T84" s="19">
        <v>1.0</v>
      </c>
      <c r="U84" s="19">
        <v>0.0</v>
      </c>
      <c r="V84" s="19">
        <v>2.0</v>
      </c>
      <c r="W84" s="19">
        <v>2.0</v>
      </c>
      <c r="X84" s="19">
        <v>0.0</v>
      </c>
      <c r="Y84" s="19">
        <v>0.0</v>
      </c>
      <c r="Z84" s="19">
        <v>0.0</v>
      </c>
      <c r="AA84" s="19">
        <v>0.0</v>
      </c>
      <c r="AB84" s="19">
        <v>1.0</v>
      </c>
      <c r="AC84" s="19">
        <v>1.0</v>
      </c>
      <c r="AD84" s="19">
        <v>0.0</v>
      </c>
      <c r="AE84" s="19">
        <v>0.0</v>
      </c>
      <c r="AF84" s="19">
        <v>2.0</v>
      </c>
      <c r="AG84" s="19">
        <v>1.0</v>
      </c>
      <c r="AH84" s="19">
        <v>2.0</v>
      </c>
      <c r="AI84" s="19">
        <v>2.0</v>
      </c>
      <c r="AJ84" s="19">
        <v>2.0</v>
      </c>
      <c r="AK84" s="19">
        <v>7.0</v>
      </c>
      <c r="AL84" s="19">
        <v>2.0</v>
      </c>
      <c r="AM84" s="19">
        <v>1.0</v>
      </c>
      <c r="AN84" s="19">
        <v>1.0</v>
      </c>
      <c r="AO84" s="19">
        <v>0.0</v>
      </c>
      <c r="AP84" s="19">
        <v>2.0</v>
      </c>
      <c r="AQ84" s="19">
        <v>1.0</v>
      </c>
      <c r="AR84" s="19">
        <v>0.0</v>
      </c>
      <c r="AS84" s="19">
        <v>1.0</v>
      </c>
      <c r="AT84" s="19">
        <v>1.0</v>
      </c>
      <c r="AU84" s="19">
        <v>0.0</v>
      </c>
      <c r="AV84" s="19">
        <v>0.0</v>
      </c>
      <c r="AW84" s="19">
        <v>0.0</v>
      </c>
      <c r="AX84" s="19">
        <v>0.0</v>
      </c>
      <c r="AY84" s="19">
        <v>0.0</v>
      </c>
      <c r="AZ84" s="19">
        <v>0.0</v>
      </c>
      <c r="BA84" s="19">
        <v>1.0</v>
      </c>
      <c r="BB84" s="19">
        <v>0.0</v>
      </c>
      <c r="BC84" s="19">
        <v>0.0</v>
      </c>
      <c r="BD84" s="19">
        <v>0.0</v>
      </c>
      <c r="BE84" s="19">
        <v>0.0</v>
      </c>
      <c r="BF84" s="19">
        <v>1.0</v>
      </c>
      <c r="BG84" s="19">
        <v>0.0</v>
      </c>
      <c r="BH84" s="19">
        <v>0.0</v>
      </c>
      <c r="BI84" s="19">
        <v>0.0</v>
      </c>
      <c r="BJ84" s="19">
        <v>0.0</v>
      </c>
      <c r="BK84" s="19">
        <v>1.0</v>
      </c>
      <c r="BL84" s="19">
        <v>3.0</v>
      </c>
      <c r="BM84" s="19">
        <v>1.0</v>
      </c>
      <c r="BN84" s="19">
        <v>1.0</v>
      </c>
      <c r="BO84" s="19">
        <v>0.0</v>
      </c>
      <c r="BP84" s="19">
        <v>0.0</v>
      </c>
      <c r="BQ84" s="19">
        <v>0.0</v>
      </c>
      <c r="BR84" s="13">
        <f t="shared" si="20"/>
        <v>48</v>
      </c>
    </row>
    <row r="85" ht="12.75" customHeight="1">
      <c r="A85" s="18"/>
      <c r="B85" s="55">
        <v>4.0</v>
      </c>
      <c r="C85" s="50" t="s">
        <v>68</v>
      </c>
      <c r="D85" s="62"/>
      <c r="E85" s="19">
        <v>0.0</v>
      </c>
      <c r="F85" s="19">
        <v>1.0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2.0</v>
      </c>
      <c r="S85" s="19">
        <v>0.0</v>
      </c>
      <c r="T85" s="19">
        <v>0.0</v>
      </c>
      <c r="U85" s="19">
        <v>1.0</v>
      </c>
      <c r="V85" s="19">
        <v>4.0</v>
      </c>
      <c r="W85" s="19">
        <v>1.0</v>
      </c>
      <c r="X85" s="19">
        <v>0.0</v>
      </c>
      <c r="Y85" s="19">
        <v>0.0</v>
      </c>
      <c r="Z85" s="19">
        <v>2.0</v>
      </c>
      <c r="AA85" s="19">
        <v>0.0</v>
      </c>
      <c r="AB85" s="19">
        <v>0.0</v>
      </c>
      <c r="AC85" s="19">
        <v>1.0</v>
      </c>
      <c r="AD85" s="19">
        <v>0.0</v>
      </c>
      <c r="AE85" s="19">
        <v>1.0</v>
      </c>
      <c r="AF85" s="19">
        <v>0.0</v>
      </c>
      <c r="AG85" s="19">
        <v>2.0</v>
      </c>
      <c r="AH85" s="19">
        <v>2.0</v>
      </c>
      <c r="AI85" s="19">
        <v>0.0</v>
      </c>
      <c r="AJ85" s="19">
        <v>0.0</v>
      </c>
      <c r="AK85" s="19">
        <v>5.0</v>
      </c>
      <c r="AL85" s="19">
        <v>0.0</v>
      </c>
      <c r="AM85" s="19">
        <v>3.0</v>
      </c>
      <c r="AN85" s="19">
        <v>0.0</v>
      </c>
      <c r="AO85" s="19">
        <v>0.0</v>
      </c>
      <c r="AP85" s="19">
        <v>2.0</v>
      </c>
      <c r="AQ85" s="19">
        <v>1.0</v>
      </c>
      <c r="AR85" s="19">
        <v>0.0</v>
      </c>
      <c r="AS85" s="19">
        <v>1.0</v>
      </c>
      <c r="AT85" s="19">
        <v>1.0</v>
      </c>
      <c r="AU85" s="19">
        <v>0.0</v>
      </c>
      <c r="AV85" s="19">
        <v>0.0</v>
      </c>
      <c r="AW85" s="19">
        <v>0.0</v>
      </c>
      <c r="AX85" s="19">
        <v>2.0</v>
      </c>
      <c r="AY85" s="19">
        <v>0.0</v>
      </c>
      <c r="AZ85" s="19">
        <v>0.0</v>
      </c>
      <c r="BA85" s="19">
        <v>1.0</v>
      </c>
      <c r="BB85" s="19">
        <v>0.0</v>
      </c>
      <c r="BC85" s="19">
        <v>5.0</v>
      </c>
      <c r="BD85" s="19">
        <v>0.0</v>
      </c>
      <c r="BE85" s="19">
        <v>0.0</v>
      </c>
      <c r="BF85" s="19">
        <v>1.0</v>
      </c>
      <c r="BG85" s="19">
        <v>1.0</v>
      </c>
      <c r="BH85" s="19">
        <v>0.0</v>
      </c>
      <c r="BI85" s="19">
        <v>1.0</v>
      </c>
      <c r="BJ85" s="19">
        <v>1.0</v>
      </c>
      <c r="BK85" s="19">
        <v>0.0</v>
      </c>
      <c r="BL85" s="19">
        <v>0.0</v>
      </c>
      <c r="BM85" s="19">
        <v>0.0</v>
      </c>
      <c r="BN85" s="19">
        <v>0.0</v>
      </c>
      <c r="BO85" s="19">
        <v>0.0</v>
      </c>
      <c r="BP85" s="19">
        <v>0.0</v>
      </c>
      <c r="BQ85" s="19">
        <v>0.0</v>
      </c>
      <c r="BR85" s="13">
        <f t="shared" si="20"/>
        <v>46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1.0</v>
      </c>
      <c r="T86" s="19">
        <v>1.0</v>
      </c>
      <c r="U86" s="19">
        <v>0.0</v>
      </c>
      <c r="V86" s="19">
        <v>1.0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1.0</v>
      </c>
      <c r="AG86" s="19">
        <v>1.0</v>
      </c>
      <c r="AH86" s="19">
        <v>1.0</v>
      </c>
      <c r="AI86" s="19">
        <v>0.0</v>
      </c>
      <c r="AJ86" s="19">
        <v>1.0</v>
      </c>
      <c r="AK86" s="19">
        <v>2.0</v>
      </c>
      <c r="AL86" s="19">
        <v>0.0</v>
      </c>
      <c r="AM86" s="19">
        <v>0.0</v>
      </c>
      <c r="AN86" s="19">
        <v>0.0</v>
      </c>
      <c r="AO86" s="19">
        <v>1.0</v>
      </c>
      <c r="AP86" s="19">
        <v>2.0</v>
      </c>
      <c r="AQ86" s="19">
        <v>0.0</v>
      </c>
      <c r="AR86" s="19">
        <v>4.0</v>
      </c>
      <c r="AS86" s="19">
        <v>3.0</v>
      </c>
      <c r="AT86" s="19">
        <v>0.0</v>
      </c>
      <c r="AU86" s="19">
        <v>0.0</v>
      </c>
      <c r="AV86" s="19">
        <v>0.0</v>
      </c>
      <c r="AW86" s="19">
        <v>0.0</v>
      </c>
      <c r="AX86" s="19">
        <v>0.0</v>
      </c>
      <c r="AY86" s="19">
        <v>0.0</v>
      </c>
      <c r="AZ86" s="19">
        <v>0.0</v>
      </c>
      <c r="BA86" s="19">
        <v>0.0</v>
      </c>
      <c r="BB86" s="19">
        <v>0.0</v>
      </c>
      <c r="BC86" s="19">
        <v>0.0</v>
      </c>
      <c r="BD86" s="19">
        <v>0.0</v>
      </c>
      <c r="BE86" s="19">
        <v>1.0</v>
      </c>
      <c r="BF86" s="19">
        <v>3.0</v>
      </c>
      <c r="BG86" s="19">
        <v>2.0</v>
      </c>
      <c r="BH86" s="19">
        <v>0.0</v>
      </c>
      <c r="BI86" s="19">
        <v>0.0</v>
      </c>
      <c r="BJ86" s="19">
        <v>0.0</v>
      </c>
      <c r="BK86" s="19">
        <v>2.0</v>
      </c>
      <c r="BL86" s="19">
        <v>0.0</v>
      </c>
      <c r="BM86" s="19">
        <v>0.0</v>
      </c>
      <c r="BN86" s="19">
        <v>0.0</v>
      </c>
      <c r="BO86" s="19">
        <v>1.0</v>
      </c>
      <c r="BP86" s="19">
        <v>2.0</v>
      </c>
      <c r="BQ86" s="19">
        <v>0.0</v>
      </c>
      <c r="BR86" s="13">
        <f t="shared" si="20"/>
        <v>32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1.0</v>
      </c>
      <c r="X87" s="19">
        <v>0.0</v>
      </c>
      <c r="Y87" s="19">
        <v>0.0</v>
      </c>
      <c r="Z87" s="19">
        <v>0.0</v>
      </c>
      <c r="AA87" s="19">
        <v>1.0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1.0</v>
      </c>
      <c r="AL87" s="19">
        <v>0.0</v>
      </c>
      <c r="AM87" s="19">
        <v>1.0</v>
      </c>
      <c r="AN87" s="19">
        <v>3.0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1.0</v>
      </c>
      <c r="AW87" s="19">
        <v>0.0</v>
      </c>
      <c r="AX87" s="19">
        <v>0.0</v>
      </c>
      <c r="AY87" s="19">
        <v>1.0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1.0</v>
      </c>
      <c r="BF87" s="19">
        <v>0.0</v>
      </c>
      <c r="BG87" s="19">
        <v>0.0</v>
      </c>
      <c r="BH87" s="19">
        <v>0.0</v>
      </c>
      <c r="BI87" s="19">
        <v>0.0</v>
      </c>
      <c r="BJ87" s="19">
        <v>0.0</v>
      </c>
      <c r="BK87" s="19">
        <v>0.0</v>
      </c>
      <c r="BL87" s="19">
        <v>0.0</v>
      </c>
      <c r="BM87" s="19">
        <v>0.0</v>
      </c>
      <c r="BN87" s="19">
        <v>1.0</v>
      </c>
      <c r="BO87" s="19">
        <v>0.0</v>
      </c>
      <c r="BP87" s="19">
        <v>0.0</v>
      </c>
      <c r="BQ87" s="19">
        <v>0.0</v>
      </c>
      <c r="BR87" s="13">
        <f t="shared" si="20"/>
        <v>13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1.0</v>
      </c>
      <c r="AL88" s="19">
        <v>1.0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9">
        <v>0.0</v>
      </c>
      <c r="BL88" s="19">
        <v>0.0</v>
      </c>
      <c r="BM88" s="19">
        <v>0.0</v>
      </c>
      <c r="BN88" s="19">
        <v>0.0</v>
      </c>
      <c r="BO88" s="19">
        <v>0.0</v>
      </c>
      <c r="BP88" s="19">
        <v>0.0</v>
      </c>
      <c r="BQ88" s="19">
        <v>0.0</v>
      </c>
      <c r="BR88" s="13">
        <f t="shared" si="20"/>
        <v>4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R91" si="21">SUM(E81:E90)</f>
        <v>55</v>
      </c>
      <c r="F91" s="13">
        <f t="shared" si="21"/>
        <v>40</v>
      </c>
      <c r="G91" s="13">
        <f t="shared" si="21"/>
        <v>86</v>
      </c>
      <c r="H91" s="13">
        <f t="shared" si="21"/>
        <v>51</v>
      </c>
      <c r="I91" s="13">
        <f t="shared" si="21"/>
        <v>56</v>
      </c>
      <c r="J91" s="13">
        <f t="shared" si="21"/>
        <v>53</v>
      </c>
      <c r="K91" s="13">
        <f t="shared" si="21"/>
        <v>43</v>
      </c>
      <c r="L91" s="13">
        <f t="shared" si="21"/>
        <v>25</v>
      </c>
      <c r="M91" s="13">
        <f t="shared" si="21"/>
        <v>53</v>
      </c>
      <c r="N91" s="13">
        <f t="shared" si="21"/>
        <v>86</v>
      </c>
      <c r="O91" s="13">
        <f t="shared" si="21"/>
        <v>25</v>
      </c>
      <c r="P91" s="13">
        <f t="shared" si="21"/>
        <v>21</v>
      </c>
      <c r="Q91" s="13">
        <f t="shared" si="21"/>
        <v>23</v>
      </c>
      <c r="R91" s="13">
        <f t="shared" si="21"/>
        <v>30</v>
      </c>
      <c r="S91" s="13">
        <f t="shared" si="21"/>
        <v>27</v>
      </c>
      <c r="T91" s="13">
        <f t="shared" si="21"/>
        <v>27</v>
      </c>
      <c r="U91" s="13">
        <f t="shared" si="21"/>
        <v>41</v>
      </c>
      <c r="V91" s="13">
        <f t="shared" si="21"/>
        <v>47</v>
      </c>
      <c r="W91" s="13">
        <f t="shared" si="21"/>
        <v>18</v>
      </c>
      <c r="X91" s="13">
        <f t="shared" si="21"/>
        <v>24</v>
      </c>
      <c r="Y91" s="13">
        <f t="shared" si="21"/>
        <v>18</v>
      </c>
      <c r="Z91" s="13">
        <f t="shared" si="21"/>
        <v>26</v>
      </c>
      <c r="AA91" s="13">
        <f t="shared" si="21"/>
        <v>40</v>
      </c>
      <c r="AB91" s="13">
        <f t="shared" si="21"/>
        <v>22</v>
      </c>
      <c r="AC91" s="13">
        <f t="shared" si="21"/>
        <v>30</v>
      </c>
      <c r="AD91" s="13">
        <f t="shared" si="21"/>
        <v>8</v>
      </c>
      <c r="AE91" s="13">
        <f t="shared" si="21"/>
        <v>61</v>
      </c>
      <c r="AF91" s="13">
        <f t="shared" si="21"/>
        <v>69</v>
      </c>
      <c r="AG91" s="13">
        <f t="shared" si="21"/>
        <v>46</v>
      </c>
      <c r="AH91" s="13">
        <f t="shared" si="21"/>
        <v>32</v>
      </c>
      <c r="AI91" s="13">
        <f t="shared" si="21"/>
        <v>21</v>
      </c>
      <c r="AJ91" s="13">
        <f t="shared" si="21"/>
        <v>15</v>
      </c>
      <c r="AK91" s="13">
        <f t="shared" si="21"/>
        <v>72</v>
      </c>
      <c r="AL91" s="13">
        <f t="shared" si="21"/>
        <v>29</v>
      </c>
      <c r="AM91" s="13">
        <f t="shared" si="21"/>
        <v>39</v>
      </c>
      <c r="AN91" s="13">
        <f t="shared" si="21"/>
        <v>33</v>
      </c>
      <c r="AO91" s="13">
        <f t="shared" si="21"/>
        <v>32</v>
      </c>
      <c r="AP91" s="13">
        <f t="shared" si="21"/>
        <v>27</v>
      </c>
      <c r="AQ91" s="13">
        <f t="shared" si="21"/>
        <v>24</v>
      </c>
      <c r="AR91" s="13">
        <f t="shared" si="21"/>
        <v>15</v>
      </c>
      <c r="AS91" s="13">
        <f t="shared" si="21"/>
        <v>94</v>
      </c>
      <c r="AT91" s="13">
        <f t="shared" si="21"/>
        <v>73</v>
      </c>
      <c r="AU91" s="13">
        <f t="shared" si="21"/>
        <v>74</v>
      </c>
      <c r="AV91" s="13">
        <f t="shared" si="21"/>
        <v>27</v>
      </c>
      <c r="AW91" s="13">
        <f t="shared" si="21"/>
        <v>10</v>
      </c>
      <c r="AX91" s="13">
        <f t="shared" si="21"/>
        <v>13</v>
      </c>
      <c r="AY91" s="13">
        <f t="shared" si="21"/>
        <v>5</v>
      </c>
      <c r="AZ91" s="13">
        <f t="shared" si="21"/>
        <v>12</v>
      </c>
      <c r="BA91" s="13">
        <f t="shared" si="21"/>
        <v>61</v>
      </c>
      <c r="BB91" s="13">
        <f t="shared" si="21"/>
        <v>38</v>
      </c>
      <c r="BC91" s="13">
        <f t="shared" si="21"/>
        <v>15</v>
      </c>
      <c r="BD91" s="13">
        <f t="shared" si="21"/>
        <v>19</v>
      </c>
      <c r="BE91" s="13">
        <f t="shared" si="21"/>
        <v>13</v>
      </c>
      <c r="BF91" s="13">
        <f t="shared" si="21"/>
        <v>16</v>
      </c>
      <c r="BG91" s="13">
        <f t="shared" si="21"/>
        <v>11</v>
      </c>
      <c r="BH91" s="13">
        <f t="shared" si="21"/>
        <v>16</v>
      </c>
      <c r="BI91" s="13">
        <f t="shared" si="21"/>
        <v>13</v>
      </c>
      <c r="BJ91" s="13">
        <f t="shared" si="21"/>
        <v>24</v>
      </c>
      <c r="BK91" s="13">
        <f t="shared" si="21"/>
        <v>38</v>
      </c>
      <c r="BL91" s="13">
        <f t="shared" si="21"/>
        <v>19</v>
      </c>
      <c r="BM91" s="13">
        <f t="shared" si="21"/>
        <v>42</v>
      </c>
      <c r="BN91" s="13">
        <f t="shared" si="21"/>
        <v>41</v>
      </c>
      <c r="BO91" s="13">
        <f t="shared" si="21"/>
        <v>63</v>
      </c>
      <c r="BP91" s="13">
        <f t="shared" si="21"/>
        <v>35</v>
      </c>
      <c r="BQ91" s="13">
        <f t="shared" si="21"/>
        <v>25</v>
      </c>
      <c r="BR91" s="13">
        <f t="shared" si="21"/>
        <v>2287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5.0</v>
      </c>
      <c r="F93" s="19">
        <v>5.0</v>
      </c>
      <c r="G93" s="19">
        <v>4.0</v>
      </c>
      <c r="H93" s="19">
        <v>3.0</v>
      </c>
      <c r="I93" s="19">
        <v>5.0</v>
      </c>
      <c r="J93" s="19">
        <v>7.0</v>
      </c>
      <c r="K93" s="19">
        <v>3.0</v>
      </c>
      <c r="L93" s="19">
        <v>0.0</v>
      </c>
      <c r="M93" s="19">
        <v>2.0</v>
      </c>
      <c r="N93" s="19">
        <v>0.0</v>
      </c>
      <c r="O93" s="19">
        <v>1.0</v>
      </c>
      <c r="P93" s="19">
        <v>0.0</v>
      </c>
      <c r="Q93" s="19">
        <v>2.0</v>
      </c>
      <c r="R93" s="19">
        <v>9.0</v>
      </c>
      <c r="S93" s="19">
        <v>1.0</v>
      </c>
      <c r="T93" s="19">
        <v>0.0</v>
      </c>
      <c r="U93" s="19">
        <v>2.0</v>
      </c>
      <c r="V93" s="19">
        <v>2.0</v>
      </c>
      <c r="W93" s="19">
        <v>2.0</v>
      </c>
      <c r="X93" s="19">
        <v>0.0</v>
      </c>
      <c r="Y93" s="19">
        <v>5.0</v>
      </c>
      <c r="Z93" s="19">
        <v>2.0</v>
      </c>
      <c r="AA93" s="19">
        <v>2.0</v>
      </c>
      <c r="AB93" s="19">
        <v>9.0</v>
      </c>
      <c r="AC93" s="19">
        <v>8.0</v>
      </c>
      <c r="AD93" s="19">
        <v>19.0</v>
      </c>
      <c r="AE93" s="19">
        <v>2.0</v>
      </c>
      <c r="AF93" s="19">
        <v>0.0</v>
      </c>
      <c r="AG93" s="19">
        <v>0.0</v>
      </c>
      <c r="AH93" s="19">
        <v>1.0</v>
      </c>
      <c r="AI93" s="19">
        <v>2.0</v>
      </c>
      <c r="AJ93" s="19">
        <v>5.0</v>
      </c>
      <c r="AK93" s="19">
        <v>0.0</v>
      </c>
      <c r="AL93" s="19">
        <v>1.0</v>
      </c>
      <c r="AM93" s="19">
        <v>3.0</v>
      </c>
      <c r="AN93" s="19">
        <v>1.0</v>
      </c>
      <c r="AO93" s="19">
        <v>10.0</v>
      </c>
      <c r="AP93" s="19">
        <v>4.0</v>
      </c>
      <c r="AQ93" s="19">
        <v>7.0</v>
      </c>
      <c r="AR93" s="19">
        <v>5.0</v>
      </c>
      <c r="AS93" s="19">
        <v>1.0</v>
      </c>
      <c r="AT93" s="19">
        <v>1.0</v>
      </c>
      <c r="AU93" s="19">
        <v>0.0</v>
      </c>
      <c r="AV93" s="19">
        <v>3.0</v>
      </c>
      <c r="AW93" s="19">
        <v>5.0</v>
      </c>
      <c r="AX93" s="19">
        <v>0.0</v>
      </c>
      <c r="AY93" s="19">
        <v>3.0</v>
      </c>
      <c r="AZ93" s="19">
        <v>2.0</v>
      </c>
      <c r="BA93" s="19">
        <v>2.0</v>
      </c>
      <c r="BB93" s="19">
        <v>1.0</v>
      </c>
      <c r="BC93" s="19">
        <v>5.0</v>
      </c>
      <c r="BD93" s="19">
        <v>5.0</v>
      </c>
      <c r="BE93" s="19">
        <v>3.0</v>
      </c>
      <c r="BF93" s="19">
        <v>13.0</v>
      </c>
      <c r="BG93" s="19">
        <v>1.0</v>
      </c>
      <c r="BH93" s="19">
        <v>6.0</v>
      </c>
      <c r="BI93" s="19">
        <v>7.0</v>
      </c>
      <c r="BJ93" s="19">
        <v>4.0</v>
      </c>
      <c r="BK93" s="19">
        <v>4.0</v>
      </c>
      <c r="BL93" s="19">
        <v>3.0</v>
      </c>
      <c r="BM93" s="19">
        <v>3.0</v>
      </c>
      <c r="BN93" s="19">
        <v>12.0</v>
      </c>
      <c r="BO93" s="19">
        <v>8.0</v>
      </c>
      <c r="BP93" s="19">
        <v>9.0</v>
      </c>
      <c r="BQ93" s="19">
        <v>6.0</v>
      </c>
      <c r="BR93" s="13">
        <f t="shared" ref="BR93:BR102" si="22">SUM(E93:BQ93)</f>
        <v>246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6.0</v>
      </c>
      <c r="F94" s="19">
        <v>5.0</v>
      </c>
      <c r="G94" s="19">
        <v>6.0</v>
      </c>
      <c r="H94" s="19">
        <v>3.0</v>
      </c>
      <c r="I94" s="19">
        <v>3.0</v>
      </c>
      <c r="J94" s="19">
        <v>8.0</v>
      </c>
      <c r="K94" s="19">
        <v>3.0</v>
      </c>
      <c r="L94" s="19">
        <v>0.0</v>
      </c>
      <c r="M94" s="19">
        <v>2.0</v>
      </c>
      <c r="N94" s="19">
        <v>5.0</v>
      </c>
      <c r="O94" s="19">
        <v>0.0</v>
      </c>
      <c r="P94" s="19">
        <v>1.0</v>
      </c>
      <c r="Q94" s="19">
        <v>0.0</v>
      </c>
      <c r="R94" s="19">
        <v>5.0</v>
      </c>
      <c r="S94" s="19">
        <v>8.0</v>
      </c>
      <c r="T94" s="19">
        <v>1.0</v>
      </c>
      <c r="U94" s="19">
        <v>2.0</v>
      </c>
      <c r="V94" s="19">
        <v>2.0</v>
      </c>
      <c r="W94" s="19">
        <v>0.0</v>
      </c>
      <c r="X94" s="19">
        <v>1.0</v>
      </c>
      <c r="Y94" s="19">
        <v>1.0</v>
      </c>
      <c r="Z94" s="19">
        <v>7.0</v>
      </c>
      <c r="AA94" s="19">
        <v>0.0</v>
      </c>
      <c r="AB94" s="19">
        <v>6.0</v>
      </c>
      <c r="AC94" s="19">
        <v>8.0</v>
      </c>
      <c r="AD94" s="19">
        <v>7.0</v>
      </c>
      <c r="AE94" s="19">
        <v>1.0</v>
      </c>
      <c r="AF94" s="19">
        <v>0.0</v>
      </c>
      <c r="AG94" s="19">
        <v>1.0</v>
      </c>
      <c r="AH94" s="19">
        <v>2.0</v>
      </c>
      <c r="AI94" s="19">
        <v>9.0</v>
      </c>
      <c r="AJ94" s="19">
        <v>11.0</v>
      </c>
      <c r="AK94" s="19">
        <v>0.0</v>
      </c>
      <c r="AL94" s="19">
        <v>3.0</v>
      </c>
      <c r="AM94" s="19">
        <v>2.0</v>
      </c>
      <c r="AN94" s="19">
        <v>2.0</v>
      </c>
      <c r="AO94" s="19">
        <v>5.0</v>
      </c>
      <c r="AP94" s="19">
        <v>0.0</v>
      </c>
      <c r="AQ94" s="19">
        <v>2.0</v>
      </c>
      <c r="AR94" s="19">
        <v>5.0</v>
      </c>
      <c r="AS94" s="19">
        <v>2.0</v>
      </c>
      <c r="AT94" s="19">
        <v>0.0</v>
      </c>
      <c r="AU94" s="19">
        <v>0.0</v>
      </c>
      <c r="AV94" s="19">
        <v>2.0</v>
      </c>
      <c r="AW94" s="19">
        <v>2.0</v>
      </c>
      <c r="AX94" s="19">
        <v>3.0</v>
      </c>
      <c r="AY94" s="19">
        <v>3.0</v>
      </c>
      <c r="AZ94" s="19">
        <v>3.0</v>
      </c>
      <c r="BA94" s="19">
        <v>1.0</v>
      </c>
      <c r="BB94" s="19">
        <v>0.0</v>
      </c>
      <c r="BC94" s="19">
        <v>0.0</v>
      </c>
      <c r="BD94" s="19">
        <v>4.0</v>
      </c>
      <c r="BE94" s="19">
        <v>5.0</v>
      </c>
      <c r="BF94" s="19">
        <v>9.0</v>
      </c>
      <c r="BG94" s="19">
        <v>2.0</v>
      </c>
      <c r="BH94" s="19">
        <v>3.0</v>
      </c>
      <c r="BI94" s="19">
        <v>7.0</v>
      </c>
      <c r="BJ94" s="19">
        <v>2.0</v>
      </c>
      <c r="BK94" s="19">
        <v>3.0</v>
      </c>
      <c r="BL94" s="19">
        <v>5.0</v>
      </c>
      <c r="BM94" s="19">
        <v>3.0</v>
      </c>
      <c r="BN94" s="19">
        <v>16.0</v>
      </c>
      <c r="BO94" s="19">
        <v>16.0</v>
      </c>
      <c r="BP94" s="19">
        <v>15.0</v>
      </c>
      <c r="BQ94" s="19">
        <v>8.0</v>
      </c>
      <c r="BR94" s="13">
        <f t="shared" si="22"/>
        <v>247</v>
      </c>
    </row>
    <row r="95" ht="12.75" customHeight="1">
      <c r="A95" s="18"/>
      <c r="B95" s="55">
        <v>2.0</v>
      </c>
      <c r="C95" s="50" t="s">
        <v>75</v>
      </c>
      <c r="D95" s="62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4.0</v>
      </c>
      <c r="S95" s="19">
        <v>2.0</v>
      </c>
      <c r="T95" s="19">
        <v>1.0</v>
      </c>
      <c r="U95" s="19">
        <v>0.0</v>
      </c>
      <c r="V95" s="19">
        <v>2.0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2.0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2.0</v>
      </c>
      <c r="AJ95" s="19">
        <v>1.0</v>
      </c>
      <c r="AK95" s="19">
        <v>1.0</v>
      </c>
      <c r="AL95" s="19">
        <v>0.0</v>
      </c>
      <c r="AM95" s="19">
        <v>1.0</v>
      </c>
      <c r="AN95" s="19">
        <v>1.0</v>
      </c>
      <c r="AO95" s="19">
        <v>3.0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9">
        <v>1.0</v>
      </c>
      <c r="AW95" s="19">
        <v>0.0</v>
      </c>
      <c r="AX95" s="19">
        <v>0.0</v>
      </c>
      <c r="AY95" s="19">
        <v>0.0</v>
      </c>
      <c r="AZ95" s="19">
        <v>0.0</v>
      </c>
      <c r="BA95" s="19">
        <v>1.0</v>
      </c>
      <c r="BB95" s="19">
        <v>0.0</v>
      </c>
      <c r="BC95" s="19">
        <v>0.0</v>
      </c>
      <c r="BD95" s="19">
        <v>0.0</v>
      </c>
      <c r="BE95" s="19">
        <v>0.0</v>
      </c>
      <c r="BF95" s="19">
        <v>0.0</v>
      </c>
      <c r="BG95" s="19">
        <v>1.0</v>
      </c>
      <c r="BH95" s="19">
        <v>1.0</v>
      </c>
      <c r="BI95" s="19">
        <v>1.0</v>
      </c>
      <c r="BJ95" s="19">
        <v>0.0</v>
      </c>
      <c r="BK95" s="19">
        <v>0.0</v>
      </c>
      <c r="BL95" s="19">
        <v>2.0</v>
      </c>
      <c r="BM95" s="19">
        <v>0.0</v>
      </c>
      <c r="BN95" s="19">
        <v>1.0</v>
      </c>
      <c r="BO95" s="19">
        <v>2.0</v>
      </c>
      <c r="BP95" s="19">
        <v>5.0</v>
      </c>
      <c r="BQ95" s="19">
        <v>2.0</v>
      </c>
      <c r="BR95" s="13">
        <f t="shared" si="22"/>
        <v>38</v>
      </c>
    </row>
    <row r="96" ht="12.75" customHeight="1">
      <c r="A96" s="18"/>
      <c r="B96" s="55">
        <v>3.0</v>
      </c>
      <c r="C96" s="50" t="s">
        <v>76</v>
      </c>
      <c r="D96" s="62"/>
      <c r="E96" s="19">
        <v>2.0</v>
      </c>
      <c r="F96" s="19">
        <v>0.0</v>
      </c>
      <c r="G96" s="19">
        <v>1.0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3.0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3.0</v>
      </c>
      <c r="AC96" s="19">
        <v>2.0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9">
        <v>3.0</v>
      </c>
      <c r="AJ96" s="19">
        <v>2.0</v>
      </c>
      <c r="AK96" s="19">
        <v>0.0</v>
      </c>
      <c r="AL96" s="19">
        <v>0.0</v>
      </c>
      <c r="AM96" s="19">
        <v>0.0</v>
      </c>
      <c r="AN96" s="19">
        <v>0.0</v>
      </c>
      <c r="AO96" s="19">
        <v>1.0</v>
      </c>
      <c r="AP96" s="19">
        <v>0.0</v>
      </c>
      <c r="AQ96" s="19">
        <v>1.0</v>
      </c>
      <c r="AR96" s="19">
        <v>1.0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0.0</v>
      </c>
      <c r="BC96" s="19">
        <v>1.0</v>
      </c>
      <c r="BD96" s="19">
        <v>2.0</v>
      </c>
      <c r="BE96" s="19">
        <v>0.0</v>
      </c>
      <c r="BF96" s="19">
        <v>3.0</v>
      </c>
      <c r="BG96" s="19">
        <v>0.0</v>
      </c>
      <c r="BH96" s="19">
        <v>1.0</v>
      </c>
      <c r="BI96" s="19">
        <v>0.0</v>
      </c>
      <c r="BJ96" s="19">
        <v>0.0</v>
      </c>
      <c r="BK96" s="19">
        <v>0.0</v>
      </c>
      <c r="BL96" s="19">
        <v>0.0</v>
      </c>
      <c r="BM96" s="19">
        <v>1.0</v>
      </c>
      <c r="BN96" s="19">
        <v>3.0</v>
      </c>
      <c r="BO96" s="19">
        <v>1.0</v>
      </c>
      <c r="BP96" s="19">
        <v>2.0</v>
      </c>
      <c r="BQ96" s="19">
        <v>3.0</v>
      </c>
      <c r="BR96" s="13">
        <f t="shared" si="22"/>
        <v>42</v>
      </c>
    </row>
    <row r="97" ht="12.75" customHeight="1">
      <c r="A97" s="18"/>
      <c r="B97" s="55">
        <v>4.0</v>
      </c>
      <c r="C97" s="50" t="s">
        <v>77</v>
      </c>
      <c r="D97" s="62"/>
      <c r="E97" s="19">
        <v>0.0</v>
      </c>
      <c r="F97" s="19">
        <v>0.0</v>
      </c>
      <c r="G97" s="19">
        <v>0.0</v>
      </c>
      <c r="H97" s="19">
        <v>1.0</v>
      </c>
      <c r="I97" s="19">
        <v>1.0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1.0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1.0</v>
      </c>
      <c r="AK97" s="19">
        <v>0.0</v>
      </c>
      <c r="AL97" s="19">
        <v>0.0</v>
      </c>
      <c r="AM97" s="19">
        <v>0.0</v>
      </c>
      <c r="AN97" s="19">
        <v>2.0</v>
      </c>
      <c r="AO97" s="19">
        <v>1.0</v>
      </c>
      <c r="AP97" s="19">
        <v>0.0</v>
      </c>
      <c r="AQ97" s="19">
        <v>1.0</v>
      </c>
      <c r="AR97" s="19">
        <v>1.0</v>
      </c>
      <c r="AS97" s="19">
        <v>0.0</v>
      </c>
      <c r="AT97" s="19">
        <v>0.0</v>
      </c>
      <c r="AU97" s="19">
        <v>2.0</v>
      </c>
      <c r="AV97" s="19">
        <v>0.0</v>
      </c>
      <c r="AW97" s="19">
        <v>0.0</v>
      </c>
      <c r="AX97" s="19">
        <v>0.0</v>
      </c>
      <c r="AY97" s="19">
        <v>1.0</v>
      </c>
      <c r="AZ97" s="19">
        <v>0.0</v>
      </c>
      <c r="BA97" s="19">
        <v>1.0</v>
      </c>
      <c r="BB97" s="19">
        <v>0.0</v>
      </c>
      <c r="BC97" s="19">
        <v>0.0</v>
      </c>
      <c r="BD97" s="19">
        <v>0.0</v>
      </c>
      <c r="BE97" s="19">
        <v>1.0</v>
      </c>
      <c r="BF97" s="19">
        <v>0.0</v>
      </c>
      <c r="BG97" s="19">
        <v>0.0</v>
      </c>
      <c r="BH97" s="19">
        <v>0.0</v>
      </c>
      <c r="BI97" s="19">
        <v>1.0</v>
      </c>
      <c r="BJ97" s="19">
        <v>2.0</v>
      </c>
      <c r="BK97" s="19">
        <v>0.0</v>
      </c>
      <c r="BL97" s="19">
        <v>0.0</v>
      </c>
      <c r="BM97" s="19">
        <v>0.0</v>
      </c>
      <c r="BN97" s="19">
        <v>0.0</v>
      </c>
      <c r="BO97" s="19">
        <v>0.0</v>
      </c>
      <c r="BP97" s="19">
        <v>0.0</v>
      </c>
      <c r="BQ97" s="19">
        <v>0.0</v>
      </c>
      <c r="BR97" s="13">
        <f t="shared" si="22"/>
        <v>20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1.0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1.0</v>
      </c>
      <c r="AK98" s="19">
        <v>1.0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2.0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9">
        <v>0.0</v>
      </c>
      <c r="BD98" s="19">
        <v>2.0</v>
      </c>
      <c r="BE98" s="19">
        <v>0.0</v>
      </c>
      <c r="BF98" s="19">
        <v>0.0</v>
      </c>
      <c r="BG98" s="19">
        <v>0.0</v>
      </c>
      <c r="BH98" s="19">
        <v>0.0</v>
      </c>
      <c r="BI98" s="19">
        <v>0.0</v>
      </c>
      <c r="BJ98" s="19">
        <v>1.0</v>
      </c>
      <c r="BK98" s="19">
        <v>0.0</v>
      </c>
      <c r="BL98" s="19">
        <v>0.0</v>
      </c>
      <c r="BM98" s="19">
        <v>1.0</v>
      </c>
      <c r="BN98" s="19">
        <v>0.0</v>
      </c>
      <c r="BO98" s="19">
        <v>1.0</v>
      </c>
      <c r="BP98" s="19">
        <v>0.0</v>
      </c>
      <c r="BQ98" s="19">
        <v>2.0</v>
      </c>
      <c r="BR98" s="13">
        <f t="shared" si="22"/>
        <v>15</v>
      </c>
    </row>
    <row r="99" ht="12.75" customHeight="1">
      <c r="A99" s="18"/>
      <c r="B99" s="55">
        <v>6.0</v>
      </c>
      <c r="C99" s="50" t="s">
        <v>79</v>
      </c>
      <c r="D99" s="62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2.0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2.0</v>
      </c>
      <c r="W99" s="19">
        <v>0.0</v>
      </c>
      <c r="X99" s="19">
        <v>1.0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1.0</v>
      </c>
      <c r="AK99" s="19">
        <v>0.0</v>
      </c>
      <c r="AL99" s="19">
        <v>0.0</v>
      </c>
      <c r="AM99" s="19">
        <v>0.0</v>
      </c>
      <c r="AN99" s="19">
        <v>1.0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1.0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1.0</v>
      </c>
      <c r="BE99" s="19">
        <v>0.0</v>
      </c>
      <c r="BF99" s="19">
        <v>0.0</v>
      </c>
      <c r="BG99" s="19">
        <v>0.0</v>
      </c>
      <c r="BH99" s="19">
        <v>1.0</v>
      </c>
      <c r="BI99" s="19">
        <v>0.0</v>
      </c>
      <c r="BJ99" s="19">
        <v>0.0</v>
      </c>
      <c r="BK99" s="19">
        <v>0.0</v>
      </c>
      <c r="BL99" s="19">
        <v>1.0</v>
      </c>
      <c r="BM99" s="19">
        <v>0.0</v>
      </c>
      <c r="BN99" s="19">
        <v>2.0</v>
      </c>
      <c r="BO99" s="19">
        <v>0.0</v>
      </c>
      <c r="BP99" s="19">
        <v>1.0</v>
      </c>
      <c r="BQ99" s="19">
        <v>0.0</v>
      </c>
      <c r="BR99" s="13">
        <f t="shared" si="22"/>
        <v>18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1.0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1.0</v>
      </c>
      <c r="BF100" s="19">
        <v>0.0</v>
      </c>
      <c r="BG100" s="19">
        <v>1.0</v>
      </c>
      <c r="BH100" s="19">
        <v>0.0</v>
      </c>
      <c r="BI100" s="19">
        <v>1.0</v>
      </c>
      <c r="BJ100" s="19">
        <v>0.0</v>
      </c>
      <c r="BK100" s="19">
        <v>1.0</v>
      </c>
      <c r="BL100" s="19">
        <v>0.0</v>
      </c>
      <c r="BM100" s="19">
        <v>1.0</v>
      </c>
      <c r="BN100" s="19">
        <v>0.0</v>
      </c>
      <c r="BO100" s="19">
        <v>0.0</v>
      </c>
      <c r="BP100" s="19">
        <v>0.0</v>
      </c>
      <c r="BQ100" s="19">
        <v>0.0</v>
      </c>
      <c r="BR100" s="13">
        <f t="shared" si="22"/>
        <v>10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R103" si="23">SUM(E93:E102)</f>
        <v>14</v>
      </c>
      <c r="F103" s="13">
        <f t="shared" si="23"/>
        <v>11</v>
      </c>
      <c r="G103" s="13">
        <f t="shared" si="23"/>
        <v>11</v>
      </c>
      <c r="H103" s="13">
        <f t="shared" si="23"/>
        <v>9</v>
      </c>
      <c r="I103" s="13">
        <f t="shared" si="23"/>
        <v>10</v>
      </c>
      <c r="J103" s="13">
        <f t="shared" si="23"/>
        <v>16</v>
      </c>
      <c r="K103" s="13">
        <f t="shared" si="23"/>
        <v>8</v>
      </c>
      <c r="L103" s="13">
        <f t="shared" si="23"/>
        <v>0</v>
      </c>
      <c r="M103" s="13">
        <f t="shared" si="23"/>
        <v>6</v>
      </c>
      <c r="N103" s="13">
        <f t="shared" si="23"/>
        <v>9</v>
      </c>
      <c r="O103" s="13">
        <f t="shared" si="23"/>
        <v>1</v>
      </c>
      <c r="P103" s="13">
        <f t="shared" si="23"/>
        <v>1</v>
      </c>
      <c r="Q103" s="13">
        <f t="shared" si="23"/>
        <v>2</v>
      </c>
      <c r="R103" s="13">
        <f t="shared" si="23"/>
        <v>21</v>
      </c>
      <c r="S103" s="13">
        <f t="shared" si="23"/>
        <v>12</v>
      </c>
      <c r="T103" s="13">
        <f t="shared" si="23"/>
        <v>3</v>
      </c>
      <c r="U103" s="13">
        <f t="shared" si="23"/>
        <v>6</v>
      </c>
      <c r="V103" s="13">
        <f t="shared" si="23"/>
        <v>8</v>
      </c>
      <c r="W103" s="13">
        <f t="shared" si="23"/>
        <v>2</v>
      </c>
      <c r="X103" s="13">
        <f t="shared" si="23"/>
        <v>2</v>
      </c>
      <c r="Y103" s="13">
        <f t="shared" si="23"/>
        <v>8</v>
      </c>
      <c r="Z103" s="13">
        <f t="shared" si="23"/>
        <v>11</v>
      </c>
      <c r="AA103" s="13">
        <f t="shared" si="23"/>
        <v>2</v>
      </c>
      <c r="AB103" s="13">
        <f t="shared" si="23"/>
        <v>18</v>
      </c>
      <c r="AC103" s="13">
        <f t="shared" si="23"/>
        <v>22</v>
      </c>
      <c r="AD103" s="13">
        <f t="shared" si="23"/>
        <v>27</v>
      </c>
      <c r="AE103" s="13">
        <f t="shared" si="23"/>
        <v>3</v>
      </c>
      <c r="AF103" s="13">
        <f t="shared" si="23"/>
        <v>0</v>
      </c>
      <c r="AG103" s="13">
        <f t="shared" si="23"/>
        <v>2</v>
      </c>
      <c r="AH103" s="13">
        <f t="shared" si="23"/>
        <v>3</v>
      </c>
      <c r="AI103" s="13">
        <f t="shared" si="23"/>
        <v>16</v>
      </c>
      <c r="AJ103" s="13">
        <f t="shared" si="23"/>
        <v>22</v>
      </c>
      <c r="AK103" s="13">
        <f t="shared" si="23"/>
        <v>2</v>
      </c>
      <c r="AL103" s="13">
        <f t="shared" si="23"/>
        <v>4</v>
      </c>
      <c r="AM103" s="13">
        <f t="shared" si="23"/>
        <v>6</v>
      </c>
      <c r="AN103" s="13">
        <f t="shared" si="23"/>
        <v>7</v>
      </c>
      <c r="AO103" s="13">
        <f t="shared" si="23"/>
        <v>20</v>
      </c>
      <c r="AP103" s="13">
        <f t="shared" si="23"/>
        <v>4</v>
      </c>
      <c r="AQ103" s="13">
        <f t="shared" si="23"/>
        <v>13</v>
      </c>
      <c r="AR103" s="13">
        <f t="shared" si="23"/>
        <v>12</v>
      </c>
      <c r="AS103" s="13">
        <f t="shared" si="23"/>
        <v>3</v>
      </c>
      <c r="AT103" s="13">
        <f t="shared" si="23"/>
        <v>1</v>
      </c>
      <c r="AU103" s="13">
        <f t="shared" si="23"/>
        <v>2</v>
      </c>
      <c r="AV103" s="13">
        <f t="shared" si="23"/>
        <v>6</v>
      </c>
      <c r="AW103" s="13">
        <f t="shared" si="23"/>
        <v>7</v>
      </c>
      <c r="AX103" s="13">
        <f t="shared" si="23"/>
        <v>4</v>
      </c>
      <c r="AY103" s="13">
        <f t="shared" si="23"/>
        <v>7</v>
      </c>
      <c r="AZ103" s="13">
        <f t="shared" si="23"/>
        <v>5</v>
      </c>
      <c r="BA103" s="13">
        <f t="shared" si="23"/>
        <v>5</v>
      </c>
      <c r="BB103" s="13">
        <f t="shared" si="23"/>
        <v>1</v>
      </c>
      <c r="BC103" s="13">
        <f t="shared" si="23"/>
        <v>6</v>
      </c>
      <c r="BD103" s="13">
        <f t="shared" si="23"/>
        <v>14</v>
      </c>
      <c r="BE103" s="13">
        <f t="shared" si="23"/>
        <v>10</v>
      </c>
      <c r="BF103" s="13">
        <f t="shared" si="23"/>
        <v>25</v>
      </c>
      <c r="BG103" s="13">
        <f t="shared" si="23"/>
        <v>5</v>
      </c>
      <c r="BH103" s="13">
        <f t="shared" si="23"/>
        <v>12</v>
      </c>
      <c r="BI103" s="13">
        <f t="shared" si="23"/>
        <v>17</v>
      </c>
      <c r="BJ103" s="13">
        <f t="shared" si="23"/>
        <v>9</v>
      </c>
      <c r="BK103" s="13">
        <f t="shared" si="23"/>
        <v>8</v>
      </c>
      <c r="BL103" s="13">
        <f t="shared" si="23"/>
        <v>11</v>
      </c>
      <c r="BM103" s="13">
        <f t="shared" si="23"/>
        <v>9</v>
      </c>
      <c r="BN103" s="13">
        <f t="shared" si="23"/>
        <v>34</v>
      </c>
      <c r="BO103" s="13">
        <f t="shared" si="23"/>
        <v>28</v>
      </c>
      <c r="BP103" s="13">
        <f t="shared" si="23"/>
        <v>32</v>
      </c>
      <c r="BQ103" s="13">
        <f t="shared" si="23"/>
        <v>21</v>
      </c>
      <c r="BR103" s="13">
        <f t="shared" si="23"/>
        <v>636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1.0</v>
      </c>
      <c r="T105" s="19">
        <v>2.0</v>
      </c>
      <c r="U105" s="19">
        <v>2.0</v>
      </c>
      <c r="V105" s="19">
        <v>2.0</v>
      </c>
      <c r="W105" s="19">
        <v>3.0</v>
      </c>
      <c r="X105" s="19">
        <v>0.0</v>
      </c>
      <c r="Y105" s="19">
        <v>2.0</v>
      </c>
      <c r="Z105" s="19">
        <v>0.0</v>
      </c>
      <c r="AA105" s="19">
        <v>3.0</v>
      </c>
      <c r="AB105" s="19">
        <v>0.0</v>
      </c>
      <c r="AC105" s="19">
        <v>2.0</v>
      </c>
      <c r="AD105" s="19">
        <v>0.0</v>
      </c>
      <c r="AE105" s="19">
        <v>0.0</v>
      </c>
      <c r="AF105" s="19">
        <v>0.0</v>
      </c>
      <c r="AG105" s="19">
        <v>1.0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1.0</v>
      </c>
      <c r="AO105" s="19">
        <v>0.0</v>
      </c>
      <c r="AP105" s="19">
        <v>1.0</v>
      </c>
      <c r="AQ105" s="19">
        <v>0.0</v>
      </c>
      <c r="AR105" s="19">
        <v>1.0</v>
      </c>
      <c r="AS105" s="19">
        <v>0.0</v>
      </c>
      <c r="AT105" s="19">
        <v>0.0</v>
      </c>
      <c r="AU105" s="19">
        <v>2.0</v>
      </c>
      <c r="AV105" s="19">
        <v>1.0</v>
      </c>
      <c r="AW105" s="19">
        <v>0.0</v>
      </c>
      <c r="AX105" s="19">
        <v>0.0</v>
      </c>
      <c r="AY105" s="19">
        <v>1.0</v>
      </c>
      <c r="AZ105" s="19">
        <v>1.0</v>
      </c>
      <c r="BA105" s="19">
        <v>0.0</v>
      </c>
      <c r="BB105" s="19">
        <v>0.0</v>
      </c>
      <c r="BC105" s="19">
        <v>0.0</v>
      </c>
      <c r="BD105" s="19">
        <v>0.0</v>
      </c>
      <c r="BE105" s="19">
        <v>1.0</v>
      </c>
      <c r="BF105" s="19">
        <v>1.0</v>
      </c>
      <c r="BG105" s="19">
        <v>0.0</v>
      </c>
      <c r="BH105" s="19">
        <v>1.0</v>
      </c>
      <c r="BI105" s="19">
        <v>0.0</v>
      </c>
      <c r="BJ105" s="19">
        <v>0.0</v>
      </c>
      <c r="BK105" s="19">
        <v>0.0</v>
      </c>
      <c r="BL105" s="19">
        <v>1.0</v>
      </c>
      <c r="BM105" s="19">
        <v>0.0</v>
      </c>
      <c r="BN105" s="19">
        <v>2.0</v>
      </c>
      <c r="BO105" s="19">
        <v>1.0</v>
      </c>
      <c r="BP105" s="19">
        <v>2.0</v>
      </c>
      <c r="BQ105" s="19">
        <v>1.0</v>
      </c>
      <c r="BR105" s="13">
        <f t="shared" ref="BR105:BR114" si="24">SUM(E105:BQ105)</f>
        <v>38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2.0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2.0</v>
      </c>
      <c r="T106" s="19">
        <v>0.0</v>
      </c>
      <c r="U106" s="19">
        <v>1.0</v>
      </c>
      <c r="V106" s="19">
        <v>0.0</v>
      </c>
      <c r="W106" s="19">
        <v>0.0</v>
      </c>
      <c r="X106" s="19">
        <v>1.0</v>
      </c>
      <c r="Y106" s="19">
        <v>1.0</v>
      </c>
      <c r="Z106" s="19">
        <v>0.0</v>
      </c>
      <c r="AA106" s="19">
        <v>1.0</v>
      </c>
      <c r="AB106" s="19">
        <v>1.0</v>
      </c>
      <c r="AC106" s="19">
        <v>0.0</v>
      </c>
      <c r="AD106" s="19">
        <v>0.0</v>
      </c>
      <c r="AE106" s="19">
        <v>1.0</v>
      </c>
      <c r="AF106" s="19">
        <v>1.0</v>
      </c>
      <c r="AG106" s="19">
        <v>0.0</v>
      </c>
      <c r="AH106" s="19">
        <v>1.0</v>
      </c>
      <c r="AI106" s="19">
        <v>2.0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2.0</v>
      </c>
      <c r="AO106" s="19">
        <v>1.0</v>
      </c>
      <c r="AP106" s="19">
        <v>0.0</v>
      </c>
      <c r="AQ106" s="19">
        <v>0.0</v>
      </c>
      <c r="AR106" s="19">
        <v>1.0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0.0</v>
      </c>
      <c r="BC106" s="19">
        <v>0.0</v>
      </c>
      <c r="BD106" s="19">
        <v>0.0</v>
      </c>
      <c r="BE106" s="19">
        <v>1.0</v>
      </c>
      <c r="BF106" s="19">
        <v>0.0</v>
      </c>
      <c r="BG106" s="19">
        <v>0.0</v>
      </c>
      <c r="BH106" s="19">
        <v>0.0</v>
      </c>
      <c r="BI106" s="19">
        <v>0.0</v>
      </c>
      <c r="BJ106" s="19">
        <v>0.0</v>
      </c>
      <c r="BK106" s="19">
        <v>0.0</v>
      </c>
      <c r="BL106" s="19">
        <v>0.0</v>
      </c>
      <c r="BM106" s="19">
        <v>2.0</v>
      </c>
      <c r="BN106" s="19">
        <v>0.0</v>
      </c>
      <c r="BO106" s="19">
        <v>0.0</v>
      </c>
      <c r="BP106" s="19">
        <v>1.0</v>
      </c>
      <c r="BQ106" s="19">
        <v>2.0</v>
      </c>
      <c r="BR106" s="13">
        <f t="shared" si="24"/>
        <v>25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1.0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1.0</v>
      </c>
      <c r="AX107" s="19">
        <v>1.0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9">
        <v>0.0</v>
      </c>
      <c r="BF107" s="19">
        <v>0.0</v>
      </c>
      <c r="BG107" s="19">
        <v>0.0</v>
      </c>
      <c r="BH107" s="19">
        <v>1.0</v>
      </c>
      <c r="BI107" s="19">
        <v>0.0</v>
      </c>
      <c r="BJ107" s="19">
        <v>1.0</v>
      </c>
      <c r="BK107" s="19">
        <v>0.0</v>
      </c>
      <c r="BL107" s="19">
        <v>0.0</v>
      </c>
      <c r="BM107" s="19">
        <v>0.0</v>
      </c>
      <c r="BN107" s="19">
        <v>0.0</v>
      </c>
      <c r="BO107" s="19">
        <v>0.0</v>
      </c>
      <c r="BP107" s="19">
        <v>0.0</v>
      </c>
      <c r="BQ107" s="19">
        <v>2.0</v>
      </c>
      <c r="BR107" s="13">
        <f t="shared" si="24"/>
        <v>11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1.0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9">
        <v>0.0</v>
      </c>
      <c r="BL108" s="19">
        <v>0.0</v>
      </c>
      <c r="BM108" s="19">
        <v>0.0</v>
      </c>
      <c r="BN108" s="19">
        <v>0.0</v>
      </c>
      <c r="BO108" s="19">
        <v>0.0</v>
      </c>
      <c r="BP108" s="19">
        <v>3.0</v>
      </c>
      <c r="BQ108" s="19">
        <v>0.0</v>
      </c>
      <c r="BR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0.0</v>
      </c>
      <c r="BG109" s="19">
        <v>0.0</v>
      </c>
      <c r="BH109" s="19">
        <v>1.0</v>
      </c>
      <c r="BI109" s="19">
        <v>1.0</v>
      </c>
      <c r="BJ109" s="19">
        <v>0.0</v>
      </c>
      <c r="BK109" s="19">
        <v>0.0</v>
      </c>
      <c r="BL109" s="19">
        <v>0.0</v>
      </c>
      <c r="BM109" s="19">
        <v>0.0</v>
      </c>
      <c r="BN109" s="19">
        <v>0.0</v>
      </c>
      <c r="BO109" s="19">
        <v>0.0</v>
      </c>
      <c r="BP109" s="19">
        <v>0.0</v>
      </c>
      <c r="BQ109" s="19">
        <v>0.0</v>
      </c>
      <c r="BR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1.0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1.0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19">
        <v>0.0</v>
      </c>
      <c r="BM110" s="19">
        <v>0.0</v>
      </c>
      <c r="BN110" s="19">
        <v>0.0</v>
      </c>
      <c r="BO110" s="19">
        <v>0.0</v>
      </c>
      <c r="BP110" s="19">
        <v>0.0</v>
      </c>
      <c r="BQ110" s="19">
        <v>0.0</v>
      </c>
      <c r="BR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1.0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9">
        <v>0.0</v>
      </c>
      <c r="BG111" s="19">
        <v>0.0</v>
      </c>
      <c r="BH111" s="19">
        <v>1.0</v>
      </c>
      <c r="BI111" s="19">
        <v>0.0</v>
      </c>
      <c r="BJ111" s="19">
        <v>0.0</v>
      </c>
      <c r="BK111" s="19">
        <v>0.0</v>
      </c>
      <c r="BL111" s="19">
        <v>0.0</v>
      </c>
      <c r="BM111" s="19">
        <v>0.0</v>
      </c>
      <c r="BN111" s="19">
        <v>0.0</v>
      </c>
      <c r="BO111" s="19">
        <v>0.0</v>
      </c>
      <c r="BP111" s="19">
        <v>0.0</v>
      </c>
      <c r="BQ111" s="19">
        <v>0.0</v>
      </c>
      <c r="BR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1.0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19">
        <v>0.0</v>
      </c>
      <c r="BM112" s="19">
        <v>0.0</v>
      </c>
      <c r="BN112" s="19">
        <v>0.0</v>
      </c>
      <c r="BO112" s="19">
        <v>0.0</v>
      </c>
      <c r="BP112" s="19">
        <v>0.0</v>
      </c>
      <c r="BQ112" s="19">
        <v>0.0</v>
      </c>
      <c r="BR112" s="13">
        <f t="shared" si="24"/>
        <v>1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R115" si="25">SUM(E105:E114)</f>
        <v>0</v>
      </c>
      <c r="F115" s="13">
        <f t="shared" si="25"/>
        <v>2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4</v>
      </c>
      <c r="T115" s="13">
        <f t="shared" si="25"/>
        <v>2</v>
      </c>
      <c r="U115" s="13">
        <f t="shared" si="25"/>
        <v>3</v>
      </c>
      <c r="V115" s="13">
        <f t="shared" si="25"/>
        <v>2</v>
      </c>
      <c r="W115" s="13">
        <f t="shared" si="25"/>
        <v>3</v>
      </c>
      <c r="X115" s="13">
        <f t="shared" si="25"/>
        <v>1</v>
      </c>
      <c r="Y115" s="13">
        <f t="shared" si="25"/>
        <v>5</v>
      </c>
      <c r="Z115" s="13">
        <f t="shared" si="25"/>
        <v>1</v>
      </c>
      <c r="AA115" s="13">
        <f t="shared" si="25"/>
        <v>4</v>
      </c>
      <c r="AB115" s="13">
        <f t="shared" si="25"/>
        <v>1</v>
      </c>
      <c r="AC115" s="13">
        <f t="shared" si="25"/>
        <v>2</v>
      </c>
      <c r="AD115" s="13">
        <f t="shared" si="25"/>
        <v>0</v>
      </c>
      <c r="AE115" s="13">
        <f t="shared" si="25"/>
        <v>1</v>
      </c>
      <c r="AF115" s="13">
        <f t="shared" si="25"/>
        <v>1</v>
      </c>
      <c r="AG115" s="13">
        <f t="shared" si="25"/>
        <v>1</v>
      </c>
      <c r="AH115" s="13">
        <f t="shared" si="25"/>
        <v>2</v>
      </c>
      <c r="AI115" s="13">
        <f t="shared" si="25"/>
        <v>2</v>
      </c>
      <c r="AJ115" s="13">
        <f t="shared" si="25"/>
        <v>1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3</v>
      </c>
      <c r="AO115" s="13">
        <f t="shared" si="25"/>
        <v>1</v>
      </c>
      <c r="AP115" s="13">
        <f t="shared" si="25"/>
        <v>1</v>
      </c>
      <c r="AQ115" s="13">
        <f t="shared" si="25"/>
        <v>0</v>
      </c>
      <c r="AR115" s="13">
        <f t="shared" si="25"/>
        <v>2</v>
      </c>
      <c r="AS115" s="13">
        <f t="shared" si="25"/>
        <v>0</v>
      </c>
      <c r="AT115" s="13">
        <f t="shared" si="25"/>
        <v>0</v>
      </c>
      <c r="AU115" s="13">
        <f t="shared" si="25"/>
        <v>2</v>
      </c>
      <c r="AV115" s="13">
        <f t="shared" si="25"/>
        <v>2</v>
      </c>
      <c r="AW115" s="13">
        <f t="shared" si="25"/>
        <v>1</v>
      </c>
      <c r="AX115" s="13">
        <f t="shared" si="25"/>
        <v>1</v>
      </c>
      <c r="AY115" s="13">
        <f t="shared" si="25"/>
        <v>1</v>
      </c>
      <c r="AZ115" s="13">
        <f t="shared" si="25"/>
        <v>1</v>
      </c>
      <c r="BA115" s="13">
        <f t="shared" si="25"/>
        <v>1</v>
      </c>
      <c r="BB115" s="13">
        <f t="shared" si="25"/>
        <v>0</v>
      </c>
      <c r="BC115" s="13">
        <f t="shared" si="25"/>
        <v>0</v>
      </c>
      <c r="BD115" s="13">
        <f t="shared" si="25"/>
        <v>1</v>
      </c>
      <c r="BE115" s="13">
        <f t="shared" si="25"/>
        <v>2</v>
      </c>
      <c r="BF115" s="13">
        <f t="shared" si="25"/>
        <v>1</v>
      </c>
      <c r="BG115" s="13">
        <f t="shared" si="25"/>
        <v>0</v>
      </c>
      <c r="BH115" s="13">
        <f t="shared" si="25"/>
        <v>4</v>
      </c>
      <c r="BI115" s="13">
        <f t="shared" si="25"/>
        <v>1</v>
      </c>
      <c r="BJ115" s="13">
        <f t="shared" si="25"/>
        <v>1</v>
      </c>
      <c r="BK115" s="13">
        <f t="shared" si="25"/>
        <v>0</v>
      </c>
      <c r="BL115" s="13">
        <f t="shared" si="25"/>
        <v>1</v>
      </c>
      <c r="BM115" s="13">
        <f t="shared" si="25"/>
        <v>2</v>
      </c>
      <c r="BN115" s="13">
        <f t="shared" si="25"/>
        <v>2</v>
      </c>
      <c r="BO115" s="13">
        <f t="shared" si="25"/>
        <v>1</v>
      </c>
      <c r="BP115" s="13">
        <f t="shared" si="25"/>
        <v>6</v>
      </c>
      <c r="BQ115" s="13">
        <f t="shared" si="25"/>
        <v>5</v>
      </c>
      <c r="BR115" s="13">
        <f t="shared" si="25"/>
        <v>87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2.0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2.0</v>
      </c>
      <c r="P117" s="19">
        <v>0.0</v>
      </c>
      <c r="Q117" s="19">
        <v>0.0</v>
      </c>
      <c r="R117" s="19">
        <v>2.0</v>
      </c>
      <c r="S117" s="19">
        <v>1.0</v>
      </c>
      <c r="T117" s="19">
        <v>1.0</v>
      </c>
      <c r="U117" s="19">
        <v>0.0</v>
      </c>
      <c r="V117" s="19">
        <v>0.0</v>
      </c>
      <c r="W117" s="19">
        <v>1.0</v>
      </c>
      <c r="X117" s="19">
        <v>0.0</v>
      </c>
      <c r="Y117" s="19">
        <v>0.0</v>
      </c>
      <c r="Z117" s="19">
        <v>1.0</v>
      </c>
      <c r="AA117" s="19">
        <v>1.0</v>
      </c>
      <c r="AB117" s="19">
        <v>0.0</v>
      </c>
      <c r="AC117" s="19">
        <v>2.0</v>
      </c>
      <c r="AD117" s="19">
        <v>0.0</v>
      </c>
      <c r="AE117" s="19">
        <v>0.0</v>
      </c>
      <c r="AF117" s="19">
        <v>2.0</v>
      </c>
      <c r="AG117" s="19">
        <v>3.0</v>
      </c>
      <c r="AH117" s="19">
        <v>0.0</v>
      </c>
      <c r="AI117" s="19">
        <v>1.0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1.0</v>
      </c>
      <c r="AO117" s="19">
        <v>0.0</v>
      </c>
      <c r="AP117" s="19">
        <v>0.0</v>
      </c>
      <c r="AQ117" s="19">
        <v>1.0</v>
      </c>
      <c r="AR117" s="19">
        <v>0.0</v>
      </c>
      <c r="AS117" s="19">
        <v>0.0</v>
      </c>
      <c r="AT117" s="19">
        <v>1.0</v>
      </c>
      <c r="AU117" s="19">
        <v>0.0</v>
      </c>
      <c r="AV117" s="19">
        <v>0.0</v>
      </c>
      <c r="AW117" s="19">
        <v>0.0</v>
      </c>
      <c r="AX117" s="19">
        <v>0.0</v>
      </c>
      <c r="AY117" s="19">
        <v>0.0</v>
      </c>
      <c r="AZ117" s="19">
        <v>0.0</v>
      </c>
      <c r="BA117" s="19">
        <v>2.0</v>
      </c>
      <c r="BB117" s="19">
        <v>0.0</v>
      </c>
      <c r="BC117" s="19">
        <v>1.0</v>
      </c>
      <c r="BD117" s="19">
        <v>1.0</v>
      </c>
      <c r="BE117" s="19">
        <v>0.0</v>
      </c>
      <c r="BF117" s="19">
        <v>0.0</v>
      </c>
      <c r="BG117" s="19">
        <v>0.0</v>
      </c>
      <c r="BH117" s="19">
        <v>3.0</v>
      </c>
      <c r="BI117" s="19">
        <v>1.0</v>
      </c>
      <c r="BJ117" s="19">
        <v>1.0</v>
      </c>
      <c r="BK117" s="19">
        <v>0.0</v>
      </c>
      <c r="BL117" s="19">
        <v>0.0</v>
      </c>
      <c r="BM117" s="19">
        <v>2.0</v>
      </c>
      <c r="BN117" s="19">
        <v>1.0</v>
      </c>
      <c r="BO117" s="19">
        <v>0.0</v>
      </c>
      <c r="BP117" s="19">
        <v>2.0</v>
      </c>
      <c r="BQ117" s="19">
        <v>0.0</v>
      </c>
      <c r="BR117" s="13">
        <f t="shared" ref="BR117:BR126" si="26">SUM(E117:BQ117)</f>
        <v>38</v>
      </c>
      <c r="BS117" s="5"/>
      <c r="BT117" s="5"/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1.0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1.0</v>
      </c>
      <c r="Y118" s="19">
        <v>1.0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1.0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1.0</v>
      </c>
      <c r="AR118" s="19">
        <v>1.0</v>
      </c>
      <c r="AS118" s="19">
        <v>0.0</v>
      </c>
      <c r="AT118" s="19">
        <v>0.0</v>
      </c>
      <c r="AU118" s="19">
        <v>1.0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9">
        <v>0.0</v>
      </c>
      <c r="BF118" s="19">
        <v>0.0</v>
      </c>
      <c r="BG118" s="19">
        <v>0.0</v>
      </c>
      <c r="BH118" s="19">
        <v>0.0</v>
      </c>
      <c r="BI118" s="19">
        <v>0.0</v>
      </c>
      <c r="BJ118" s="19">
        <v>0.0</v>
      </c>
      <c r="BK118" s="19">
        <v>0.0</v>
      </c>
      <c r="BL118" s="19">
        <v>0.0</v>
      </c>
      <c r="BM118" s="19">
        <v>1.0</v>
      </c>
      <c r="BN118" s="19">
        <v>1.0</v>
      </c>
      <c r="BO118" s="19">
        <v>0.0</v>
      </c>
      <c r="BP118" s="19">
        <v>0.0</v>
      </c>
      <c r="BQ118" s="19">
        <v>1.0</v>
      </c>
      <c r="BR118" s="13">
        <f t="shared" si="26"/>
        <v>13</v>
      </c>
      <c r="BS118" s="5"/>
      <c r="BT118" s="5"/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1.0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1.0</v>
      </c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9">
        <v>1.0</v>
      </c>
      <c r="BL119" s="19">
        <v>0.0</v>
      </c>
      <c r="BM119" s="19">
        <v>0.0</v>
      </c>
      <c r="BN119" s="19">
        <v>0.0</v>
      </c>
      <c r="BO119" s="19">
        <v>0.0</v>
      </c>
      <c r="BP119" s="19">
        <v>0.0</v>
      </c>
      <c r="BQ119" s="19">
        <v>0.0</v>
      </c>
      <c r="BR119" s="13">
        <f t="shared" si="26"/>
        <v>7</v>
      </c>
      <c r="BS119" s="5"/>
      <c r="BT119" s="5"/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1.0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0.0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9">
        <v>0.0</v>
      </c>
      <c r="BL120" s="19">
        <v>0.0</v>
      </c>
      <c r="BM120" s="19">
        <v>0.0</v>
      </c>
      <c r="BN120" s="19">
        <v>0.0</v>
      </c>
      <c r="BO120" s="19">
        <v>0.0</v>
      </c>
      <c r="BP120" s="19">
        <v>0.0</v>
      </c>
      <c r="BQ120" s="19">
        <v>0.0</v>
      </c>
      <c r="BR120" s="13">
        <f t="shared" si="26"/>
        <v>3</v>
      </c>
      <c r="BS120" s="5"/>
      <c r="BT120" s="5"/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3">
        <f t="shared" si="26"/>
        <v>0</v>
      </c>
      <c r="BS121" s="5"/>
      <c r="BT121" s="5"/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3">
        <f t="shared" si="26"/>
        <v>0</v>
      </c>
      <c r="BS122" s="5"/>
      <c r="BT122" s="5"/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13">
        <f t="shared" si="26"/>
        <v>0</v>
      </c>
      <c r="BS123" s="5"/>
      <c r="BT123" s="5"/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13">
        <f t="shared" si="26"/>
        <v>0</v>
      </c>
      <c r="BS124" s="5"/>
      <c r="BT124" s="5"/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13">
        <f t="shared" si="26"/>
        <v>0</v>
      </c>
      <c r="BS125" s="5"/>
      <c r="BT125" s="5"/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13">
        <f t="shared" si="26"/>
        <v>0</v>
      </c>
      <c r="BS126" s="5"/>
      <c r="BT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R127" si="27">SUM(E117:E126)</f>
        <v>1</v>
      </c>
      <c r="F127" s="13">
        <f t="shared" si="27"/>
        <v>0</v>
      </c>
      <c r="G127" s="13">
        <f t="shared" si="27"/>
        <v>2</v>
      </c>
      <c r="H127" s="13">
        <f t="shared" si="27"/>
        <v>0</v>
      </c>
      <c r="I127" s="13">
        <f t="shared" si="27"/>
        <v>3</v>
      </c>
      <c r="J127" s="13">
        <f t="shared" si="27"/>
        <v>0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3</v>
      </c>
      <c r="P127" s="13">
        <f t="shared" si="27"/>
        <v>1</v>
      </c>
      <c r="Q127" s="13">
        <f t="shared" si="27"/>
        <v>0</v>
      </c>
      <c r="R127" s="13">
        <f t="shared" si="27"/>
        <v>2</v>
      </c>
      <c r="S127" s="13">
        <f t="shared" si="27"/>
        <v>2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1</v>
      </c>
      <c r="Y127" s="13">
        <f t="shared" si="27"/>
        <v>1</v>
      </c>
      <c r="Z127" s="13">
        <f t="shared" si="27"/>
        <v>1</v>
      </c>
      <c r="AA127" s="13">
        <f t="shared" si="27"/>
        <v>2</v>
      </c>
      <c r="AB127" s="13">
        <f t="shared" si="27"/>
        <v>0</v>
      </c>
      <c r="AC127" s="13">
        <f t="shared" si="27"/>
        <v>2</v>
      </c>
      <c r="AD127" s="13">
        <f t="shared" si="27"/>
        <v>0</v>
      </c>
      <c r="AE127" s="13">
        <f t="shared" si="27"/>
        <v>0</v>
      </c>
      <c r="AF127" s="13">
        <f t="shared" si="27"/>
        <v>3</v>
      </c>
      <c r="AG127" s="13">
        <f t="shared" si="27"/>
        <v>3</v>
      </c>
      <c r="AH127" s="13">
        <f t="shared" si="27"/>
        <v>1</v>
      </c>
      <c r="AI127" s="13">
        <f t="shared" si="27"/>
        <v>1</v>
      </c>
      <c r="AJ127" s="13">
        <f t="shared" si="27"/>
        <v>0</v>
      </c>
      <c r="AK127" s="13">
        <f t="shared" si="27"/>
        <v>1</v>
      </c>
      <c r="AL127" s="13">
        <f t="shared" si="27"/>
        <v>0</v>
      </c>
      <c r="AM127" s="13">
        <f t="shared" si="27"/>
        <v>0</v>
      </c>
      <c r="AN127" s="13">
        <f t="shared" si="27"/>
        <v>1</v>
      </c>
      <c r="AO127" s="13">
        <f t="shared" si="27"/>
        <v>1</v>
      </c>
      <c r="AP127" s="13">
        <f t="shared" si="27"/>
        <v>0</v>
      </c>
      <c r="AQ127" s="13">
        <f t="shared" si="27"/>
        <v>2</v>
      </c>
      <c r="AR127" s="13">
        <f t="shared" si="27"/>
        <v>1</v>
      </c>
      <c r="AS127" s="13">
        <f t="shared" si="27"/>
        <v>0</v>
      </c>
      <c r="AT127" s="13">
        <f t="shared" si="27"/>
        <v>1</v>
      </c>
      <c r="AU127" s="13">
        <f t="shared" si="27"/>
        <v>1</v>
      </c>
      <c r="AV127" s="13">
        <f t="shared" si="27"/>
        <v>0</v>
      </c>
      <c r="AW127" s="13">
        <f t="shared" si="27"/>
        <v>0</v>
      </c>
      <c r="AX127" s="13">
        <f t="shared" si="27"/>
        <v>0</v>
      </c>
      <c r="AY127" s="13">
        <f t="shared" si="27"/>
        <v>0</v>
      </c>
      <c r="AZ127" s="13">
        <f t="shared" si="27"/>
        <v>0</v>
      </c>
      <c r="BA127" s="13">
        <f t="shared" si="27"/>
        <v>2</v>
      </c>
      <c r="BB127" s="13">
        <f t="shared" si="27"/>
        <v>0</v>
      </c>
      <c r="BC127" s="13">
        <f t="shared" si="27"/>
        <v>1</v>
      </c>
      <c r="BD127" s="13">
        <f t="shared" si="27"/>
        <v>1</v>
      </c>
      <c r="BE127" s="13">
        <f t="shared" si="27"/>
        <v>1</v>
      </c>
      <c r="BF127" s="13">
        <f t="shared" si="27"/>
        <v>0</v>
      </c>
      <c r="BG127" s="13">
        <f t="shared" si="27"/>
        <v>0</v>
      </c>
      <c r="BH127" s="13">
        <f t="shared" si="27"/>
        <v>3</v>
      </c>
      <c r="BI127" s="13">
        <f t="shared" si="27"/>
        <v>1</v>
      </c>
      <c r="BJ127" s="13">
        <f t="shared" si="27"/>
        <v>1</v>
      </c>
      <c r="BK127" s="13">
        <f t="shared" si="27"/>
        <v>1</v>
      </c>
      <c r="BL127" s="13">
        <f t="shared" si="27"/>
        <v>0</v>
      </c>
      <c r="BM127" s="13">
        <f t="shared" si="27"/>
        <v>3</v>
      </c>
      <c r="BN127" s="13">
        <f t="shared" si="27"/>
        <v>2</v>
      </c>
      <c r="BO127" s="13">
        <f t="shared" si="27"/>
        <v>0</v>
      </c>
      <c r="BP127" s="13">
        <f t="shared" si="27"/>
        <v>2</v>
      </c>
      <c r="BQ127" s="13">
        <f t="shared" si="27"/>
        <v>1</v>
      </c>
      <c r="BR127" s="13">
        <f t="shared" si="27"/>
        <v>61</v>
      </c>
      <c r="BS127" s="5"/>
      <c r="BT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5"/>
      <c r="BT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1.0</v>
      </c>
      <c r="H129" s="19">
        <v>1.0</v>
      </c>
      <c r="I129" s="19">
        <v>0.0</v>
      </c>
      <c r="J129" s="19">
        <v>1.0</v>
      </c>
      <c r="K129" s="19">
        <v>1.0</v>
      </c>
      <c r="L129" s="19">
        <v>0.0</v>
      </c>
      <c r="M129" s="19">
        <v>3.0</v>
      </c>
      <c r="N129" s="19">
        <v>0.0</v>
      </c>
      <c r="O129" s="19">
        <v>0.0</v>
      </c>
      <c r="P129" s="19">
        <v>2.0</v>
      </c>
      <c r="Q129" s="19">
        <v>3.0</v>
      </c>
      <c r="R129" s="19">
        <v>0.0</v>
      </c>
      <c r="S129" s="19">
        <v>1.0</v>
      </c>
      <c r="T129" s="19">
        <v>0.0</v>
      </c>
      <c r="U129" s="19">
        <v>3.0</v>
      </c>
      <c r="V129" s="19">
        <v>0.0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2.0</v>
      </c>
      <c r="AD129" s="19">
        <v>1.0</v>
      </c>
      <c r="AE129" s="19">
        <v>0.0</v>
      </c>
      <c r="AF129" s="19">
        <v>1.0</v>
      </c>
      <c r="AG129" s="19">
        <v>1.0</v>
      </c>
      <c r="AH129" s="19">
        <v>0.0</v>
      </c>
      <c r="AI129" s="19">
        <v>0.0</v>
      </c>
      <c r="AJ129" s="19">
        <v>0.0</v>
      </c>
      <c r="AK129" s="19">
        <v>1.0</v>
      </c>
      <c r="AL129" s="19">
        <v>1.0</v>
      </c>
      <c r="AM129" s="19">
        <v>0.0</v>
      </c>
      <c r="AN129" s="19">
        <v>0.0</v>
      </c>
      <c r="AO129" s="19">
        <v>0.0</v>
      </c>
      <c r="AP129" s="19">
        <v>3.0</v>
      </c>
      <c r="AQ129" s="19">
        <v>1.0</v>
      </c>
      <c r="AR129" s="19">
        <v>2.0</v>
      </c>
      <c r="AS129" s="19">
        <v>0.0</v>
      </c>
      <c r="AT129" s="19">
        <v>0.0</v>
      </c>
      <c r="AU129" s="19">
        <v>1.0</v>
      </c>
      <c r="AV129" s="19">
        <v>0.0</v>
      </c>
      <c r="AW129" s="19">
        <v>2.0</v>
      </c>
      <c r="AX129" s="19">
        <v>0.0</v>
      </c>
      <c r="AY129" s="19">
        <v>1.0</v>
      </c>
      <c r="AZ129" s="19">
        <v>0.0</v>
      </c>
      <c r="BA129" s="19">
        <v>0.0</v>
      </c>
      <c r="BB129" s="19">
        <v>1.0</v>
      </c>
      <c r="BC129" s="19">
        <v>3.0</v>
      </c>
      <c r="BD129" s="19">
        <v>0.0</v>
      </c>
      <c r="BE129" s="19">
        <v>0.0</v>
      </c>
      <c r="BF129" s="19">
        <v>2.0</v>
      </c>
      <c r="BG129" s="19">
        <v>1.0</v>
      </c>
      <c r="BH129" s="19">
        <v>1.0</v>
      </c>
      <c r="BI129" s="19">
        <v>2.0</v>
      </c>
      <c r="BJ129" s="19">
        <v>3.0</v>
      </c>
      <c r="BK129" s="19">
        <v>1.0</v>
      </c>
      <c r="BL129" s="19">
        <v>6.0</v>
      </c>
      <c r="BM129" s="19">
        <v>3.0</v>
      </c>
      <c r="BN129" s="19">
        <v>0.0</v>
      </c>
      <c r="BO129" s="19">
        <v>0.0</v>
      </c>
      <c r="BP129" s="19">
        <v>0.0</v>
      </c>
      <c r="BQ129" s="19">
        <v>1.0</v>
      </c>
      <c r="BR129" s="13">
        <f t="shared" ref="BR129:BR138" si="28">SUM(E129:BQ129)</f>
        <v>61</v>
      </c>
      <c r="BS129" s="5"/>
      <c r="BT129" s="5"/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0.0</v>
      </c>
      <c r="F130" s="19">
        <v>3.0</v>
      </c>
      <c r="G130" s="19">
        <v>0.0</v>
      </c>
      <c r="H130" s="19">
        <v>0.0</v>
      </c>
      <c r="I130" s="19">
        <v>1.0</v>
      </c>
      <c r="J130" s="19">
        <v>1.0</v>
      </c>
      <c r="K130" s="19">
        <v>1.0</v>
      </c>
      <c r="L130" s="19">
        <v>5.0</v>
      </c>
      <c r="M130" s="19">
        <v>2.0</v>
      </c>
      <c r="N130" s="19">
        <v>5.0</v>
      </c>
      <c r="O130" s="19">
        <v>0.0</v>
      </c>
      <c r="P130" s="19">
        <v>2.0</v>
      </c>
      <c r="Q130" s="19">
        <v>4.0</v>
      </c>
      <c r="R130" s="19">
        <v>1.0</v>
      </c>
      <c r="S130" s="19">
        <v>0.0</v>
      </c>
      <c r="T130" s="19">
        <v>2.0</v>
      </c>
      <c r="U130" s="19">
        <v>2.0</v>
      </c>
      <c r="V130" s="19">
        <v>0.0</v>
      </c>
      <c r="W130" s="19">
        <v>1.0</v>
      </c>
      <c r="X130" s="19">
        <v>1.0</v>
      </c>
      <c r="Y130" s="19">
        <v>0.0</v>
      </c>
      <c r="Z130" s="19">
        <v>0.0</v>
      </c>
      <c r="AA130" s="19">
        <v>1.0</v>
      </c>
      <c r="AB130" s="19">
        <v>0.0</v>
      </c>
      <c r="AC130" s="19">
        <v>0.0</v>
      </c>
      <c r="AD130" s="19">
        <v>0.0</v>
      </c>
      <c r="AE130" s="19">
        <v>1.0</v>
      </c>
      <c r="AF130" s="19">
        <v>0.0</v>
      </c>
      <c r="AG130" s="19">
        <v>2.0</v>
      </c>
      <c r="AH130" s="19">
        <v>0.0</v>
      </c>
      <c r="AI130" s="19">
        <v>0.0</v>
      </c>
      <c r="AJ130" s="19">
        <v>1.0</v>
      </c>
      <c r="AK130" s="19">
        <v>2.0</v>
      </c>
      <c r="AL130" s="19">
        <v>1.0</v>
      </c>
      <c r="AM130" s="19">
        <v>0.0</v>
      </c>
      <c r="AN130" s="19">
        <v>1.0</v>
      </c>
      <c r="AO130" s="19">
        <v>0.0</v>
      </c>
      <c r="AP130" s="19">
        <v>1.0</v>
      </c>
      <c r="AQ130" s="19">
        <v>0.0</v>
      </c>
      <c r="AR130" s="19">
        <v>3.0</v>
      </c>
      <c r="AS130" s="19">
        <v>0.0</v>
      </c>
      <c r="AT130" s="19">
        <v>0.0</v>
      </c>
      <c r="AU130" s="19">
        <v>1.0</v>
      </c>
      <c r="AV130" s="19">
        <v>4.0</v>
      </c>
      <c r="AW130" s="19">
        <v>5.0</v>
      </c>
      <c r="AX130" s="19">
        <v>1.0</v>
      </c>
      <c r="AY130" s="19">
        <v>0.0</v>
      </c>
      <c r="AZ130" s="19">
        <v>1.0</v>
      </c>
      <c r="BA130" s="19">
        <v>0.0</v>
      </c>
      <c r="BB130" s="19">
        <v>1.0</v>
      </c>
      <c r="BC130" s="19">
        <v>4.0</v>
      </c>
      <c r="BD130" s="19">
        <v>0.0</v>
      </c>
      <c r="BE130" s="19">
        <v>0.0</v>
      </c>
      <c r="BF130" s="19">
        <v>3.0</v>
      </c>
      <c r="BG130" s="19">
        <v>6.0</v>
      </c>
      <c r="BH130" s="19">
        <v>4.0</v>
      </c>
      <c r="BI130" s="19">
        <v>2.0</v>
      </c>
      <c r="BJ130" s="19">
        <v>2.0</v>
      </c>
      <c r="BK130" s="19">
        <v>6.0</v>
      </c>
      <c r="BL130" s="19">
        <v>4.0</v>
      </c>
      <c r="BM130" s="19">
        <v>3.0</v>
      </c>
      <c r="BN130" s="19">
        <v>2.0</v>
      </c>
      <c r="BO130" s="19">
        <v>2.0</v>
      </c>
      <c r="BP130" s="19">
        <v>0.0</v>
      </c>
      <c r="BQ130" s="19">
        <v>5.0</v>
      </c>
      <c r="BR130" s="13">
        <f t="shared" si="28"/>
        <v>100</v>
      </c>
      <c r="BS130" s="1"/>
      <c r="BT130" s="1"/>
    </row>
    <row r="131" ht="12.75" customHeight="1">
      <c r="A131" s="18"/>
      <c r="B131" s="55">
        <v>2.0</v>
      </c>
      <c r="C131" s="50" t="s">
        <v>98</v>
      </c>
      <c r="D131" s="61"/>
      <c r="E131" s="19">
        <v>3.0</v>
      </c>
      <c r="F131" s="19">
        <v>0.0</v>
      </c>
      <c r="G131" s="19">
        <v>3.0</v>
      </c>
      <c r="H131" s="19">
        <v>0.0</v>
      </c>
      <c r="I131" s="19">
        <v>2.0</v>
      </c>
      <c r="J131" s="19">
        <v>0.0</v>
      </c>
      <c r="K131" s="19">
        <v>1.0</v>
      </c>
      <c r="L131" s="19">
        <v>0.0</v>
      </c>
      <c r="M131" s="19">
        <v>1.0</v>
      </c>
      <c r="N131" s="19">
        <v>0.0</v>
      </c>
      <c r="O131" s="19">
        <v>2.0</v>
      </c>
      <c r="P131" s="19">
        <v>0.0</v>
      </c>
      <c r="Q131" s="19">
        <v>9.0</v>
      </c>
      <c r="R131" s="19">
        <v>1.0</v>
      </c>
      <c r="S131" s="19">
        <v>0.0</v>
      </c>
      <c r="T131" s="19">
        <v>6.0</v>
      </c>
      <c r="U131" s="19">
        <v>4.0</v>
      </c>
      <c r="V131" s="19">
        <v>0.0</v>
      </c>
      <c r="W131" s="19">
        <v>0.0</v>
      </c>
      <c r="X131" s="19">
        <v>0.0</v>
      </c>
      <c r="Y131" s="19">
        <v>3.0</v>
      </c>
      <c r="Z131" s="19">
        <v>0.0</v>
      </c>
      <c r="AA131" s="19">
        <v>2.0</v>
      </c>
      <c r="AB131" s="19">
        <v>0.0</v>
      </c>
      <c r="AC131" s="19">
        <v>1.0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1.0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1.0</v>
      </c>
      <c r="AR131" s="19">
        <v>0.0</v>
      </c>
      <c r="AS131" s="19">
        <v>0.0</v>
      </c>
      <c r="AT131" s="19">
        <v>0.0</v>
      </c>
      <c r="AU131" s="19">
        <v>0.0</v>
      </c>
      <c r="AV131" s="19">
        <v>4.0</v>
      </c>
      <c r="AW131" s="19">
        <v>1.0</v>
      </c>
      <c r="AX131" s="19">
        <v>0.0</v>
      </c>
      <c r="AY131" s="19">
        <v>1.0</v>
      </c>
      <c r="AZ131" s="19">
        <v>1.0</v>
      </c>
      <c r="BA131" s="19">
        <v>0.0</v>
      </c>
      <c r="BB131" s="19">
        <v>0.0</v>
      </c>
      <c r="BC131" s="19">
        <v>0.0</v>
      </c>
      <c r="BD131" s="19">
        <v>1.0</v>
      </c>
      <c r="BE131" s="19">
        <v>0.0</v>
      </c>
      <c r="BF131" s="19">
        <v>2.0</v>
      </c>
      <c r="BG131" s="19">
        <v>1.0</v>
      </c>
      <c r="BH131" s="19">
        <v>0.0</v>
      </c>
      <c r="BI131" s="19">
        <v>0.0</v>
      </c>
      <c r="BJ131" s="19">
        <v>2.0</v>
      </c>
      <c r="BK131" s="19">
        <v>0.0</v>
      </c>
      <c r="BL131" s="19">
        <v>2.0</v>
      </c>
      <c r="BM131" s="19">
        <v>2.0</v>
      </c>
      <c r="BN131" s="19">
        <v>0.0</v>
      </c>
      <c r="BO131" s="19">
        <v>0.0</v>
      </c>
      <c r="BP131" s="19">
        <v>0.0</v>
      </c>
      <c r="BQ131" s="19">
        <v>0.0</v>
      </c>
      <c r="BR131" s="13">
        <f t="shared" si="28"/>
        <v>57</v>
      </c>
      <c r="BS131" s="52"/>
      <c r="BT131" s="52"/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1.0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9">
        <v>0.0</v>
      </c>
      <c r="BC132" s="19">
        <v>0.0</v>
      </c>
      <c r="BD132" s="19">
        <v>1.0</v>
      </c>
      <c r="BE132" s="19">
        <v>0.0</v>
      </c>
      <c r="BF132" s="19">
        <v>0.0</v>
      </c>
      <c r="BG132" s="19">
        <v>0.0</v>
      </c>
      <c r="BH132" s="19">
        <v>0.0</v>
      </c>
      <c r="BI132" s="19">
        <v>0.0</v>
      </c>
      <c r="BJ132" s="19">
        <v>0.0</v>
      </c>
      <c r="BK132" s="19">
        <v>0.0</v>
      </c>
      <c r="BL132" s="19">
        <v>1.0</v>
      </c>
      <c r="BM132" s="19">
        <v>0.0</v>
      </c>
      <c r="BN132" s="19">
        <v>0.0</v>
      </c>
      <c r="BO132" s="19">
        <v>0.0</v>
      </c>
      <c r="BP132" s="19">
        <v>0.0</v>
      </c>
      <c r="BQ132" s="19">
        <v>1.0</v>
      </c>
      <c r="BR132" s="13">
        <f t="shared" si="28"/>
        <v>4</v>
      </c>
      <c r="BS132" s="5"/>
      <c r="BT132" s="5"/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1.0</v>
      </c>
      <c r="BJ133" s="19">
        <v>1.0</v>
      </c>
      <c r="BK133" s="19">
        <v>0.0</v>
      </c>
      <c r="BL133" s="19">
        <v>0.0</v>
      </c>
      <c r="BM133" s="19">
        <v>0.0</v>
      </c>
      <c r="BN133" s="19">
        <v>0.0</v>
      </c>
      <c r="BO133" s="19">
        <v>0.0</v>
      </c>
      <c r="BP133" s="19">
        <v>0.0</v>
      </c>
      <c r="BQ133" s="19">
        <v>0.0</v>
      </c>
      <c r="BR133" s="13">
        <f t="shared" si="28"/>
        <v>3</v>
      </c>
      <c r="BS133" s="5"/>
      <c r="BT133" s="5"/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1.0</v>
      </c>
      <c r="Q134" s="19">
        <v>1.0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1.0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9">
        <v>0.0</v>
      </c>
      <c r="BF134" s="19">
        <v>0.0</v>
      </c>
      <c r="BG134" s="19">
        <v>2.0</v>
      </c>
      <c r="BH134" s="19">
        <v>0.0</v>
      </c>
      <c r="BI134" s="19">
        <v>0.0</v>
      </c>
      <c r="BJ134" s="19">
        <v>0.0</v>
      </c>
      <c r="BK134" s="19">
        <v>0.0</v>
      </c>
      <c r="BL134" s="19">
        <v>0.0</v>
      </c>
      <c r="BM134" s="19">
        <v>0.0</v>
      </c>
      <c r="BN134" s="19">
        <v>0.0</v>
      </c>
      <c r="BO134" s="19">
        <v>0.0</v>
      </c>
      <c r="BP134" s="19">
        <v>1.0</v>
      </c>
      <c r="BQ134" s="19">
        <v>0.0</v>
      </c>
      <c r="BR134" s="13">
        <f t="shared" si="28"/>
        <v>7</v>
      </c>
      <c r="BS134" s="5"/>
      <c r="BT134" s="5"/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9">
        <v>1.0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1.0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1.0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1.0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19">
        <v>0.0</v>
      </c>
      <c r="BM135" s="19">
        <v>1.0</v>
      </c>
      <c r="BN135" s="19">
        <v>0.0</v>
      </c>
      <c r="BO135" s="19">
        <v>0.0</v>
      </c>
      <c r="BP135" s="19">
        <v>0.0</v>
      </c>
      <c r="BQ135" s="19">
        <v>0.0</v>
      </c>
      <c r="BR135" s="13">
        <f t="shared" si="28"/>
        <v>7</v>
      </c>
      <c r="BS135" s="5"/>
      <c r="BT135" s="5"/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19">
        <v>0.0</v>
      </c>
      <c r="BM136" s="19">
        <v>0.0</v>
      </c>
      <c r="BN136" s="19">
        <v>1.0</v>
      </c>
      <c r="BO136" s="19">
        <v>0.0</v>
      </c>
      <c r="BP136" s="19">
        <v>0.0</v>
      </c>
      <c r="BQ136" s="19">
        <v>0.0</v>
      </c>
      <c r="BR136" s="13">
        <f t="shared" si="28"/>
        <v>1</v>
      </c>
      <c r="BS136" s="5"/>
      <c r="BT136" s="5"/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3">
        <f t="shared" si="28"/>
        <v>0</v>
      </c>
      <c r="BS137" s="5"/>
      <c r="BT137" s="5"/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3">
        <f t="shared" si="28"/>
        <v>0</v>
      </c>
      <c r="BS138" s="5"/>
      <c r="BT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R139" si="29">SUM(E129:E138)</f>
        <v>4</v>
      </c>
      <c r="F139" s="13">
        <f t="shared" si="29"/>
        <v>5</v>
      </c>
      <c r="G139" s="13">
        <f t="shared" si="29"/>
        <v>4</v>
      </c>
      <c r="H139" s="13">
        <f t="shared" si="29"/>
        <v>1</v>
      </c>
      <c r="I139" s="13">
        <f t="shared" si="29"/>
        <v>3</v>
      </c>
      <c r="J139" s="13">
        <f t="shared" si="29"/>
        <v>2</v>
      </c>
      <c r="K139" s="13">
        <f t="shared" si="29"/>
        <v>3</v>
      </c>
      <c r="L139" s="13">
        <f t="shared" si="29"/>
        <v>5</v>
      </c>
      <c r="M139" s="13">
        <f t="shared" si="29"/>
        <v>6</v>
      </c>
      <c r="N139" s="13">
        <f t="shared" si="29"/>
        <v>6</v>
      </c>
      <c r="O139" s="13">
        <f t="shared" si="29"/>
        <v>2</v>
      </c>
      <c r="P139" s="13">
        <f t="shared" si="29"/>
        <v>6</v>
      </c>
      <c r="Q139" s="13">
        <f t="shared" si="29"/>
        <v>17</v>
      </c>
      <c r="R139" s="13">
        <f t="shared" si="29"/>
        <v>2</v>
      </c>
      <c r="S139" s="13">
        <f t="shared" si="29"/>
        <v>1</v>
      </c>
      <c r="T139" s="13">
        <f t="shared" si="29"/>
        <v>9</v>
      </c>
      <c r="U139" s="13">
        <f t="shared" si="29"/>
        <v>9</v>
      </c>
      <c r="V139" s="13">
        <f t="shared" si="29"/>
        <v>0</v>
      </c>
      <c r="W139" s="13">
        <f t="shared" si="29"/>
        <v>2</v>
      </c>
      <c r="X139" s="13">
        <f t="shared" si="29"/>
        <v>1</v>
      </c>
      <c r="Y139" s="13">
        <f t="shared" si="29"/>
        <v>3</v>
      </c>
      <c r="Z139" s="13">
        <f t="shared" si="29"/>
        <v>0</v>
      </c>
      <c r="AA139" s="13">
        <f t="shared" si="29"/>
        <v>3</v>
      </c>
      <c r="AB139" s="13">
        <f t="shared" si="29"/>
        <v>0</v>
      </c>
      <c r="AC139" s="13">
        <f t="shared" si="29"/>
        <v>4</v>
      </c>
      <c r="AD139" s="13">
        <f t="shared" si="29"/>
        <v>1</v>
      </c>
      <c r="AE139" s="13">
        <f t="shared" si="29"/>
        <v>1</v>
      </c>
      <c r="AF139" s="13">
        <f t="shared" si="29"/>
        <v>2</v>
      </c>
      <c r="AG139" s="13">
        <f t="shared" si="29"/>
        <v>3</v>
      </c>
      <c r="AH139" s="13">
        <f t="shared" si="29"/>
        <v>0</v>
      </c>
      <c r="AI139" s="13">
        <f t="shared" si="29"/>
        <v>0</v>
      </c>
      <c r="AJ139" s="13">
        <f t="shared" si="29"/>
        <v>2</v>
      </c>
      <c r="AK139" s="13">
        <f t="shared" si="29"/>
        <v>3</v>
      </c>
      <c r="AL139" s="13">
        <f t="shared" si="29"/>
        <v>2</v>
      </c>
      <c r="AM139" s="13">
        <f t="shared" si="29"/>
        <v>0</v>
      </c>
      <c r="AN139" s="13">
        <f t="shared" si="29"/>
        <v>1</v>
      </c>
      <c r="AO139" s="13">
        <f t="shared" si="29"/>
        <v>0</v>
      </c>
      <c r="AP139" s="13">
        <f t="shared" si="29"/>
        <v>5</v>
      </c>
      <c r="AQ139" s="13">
        <f t="shared" si="29"/>
        <v>2</v>
      </c>
      <c r="AR139" s="13">
        <f t="shared" si="29"/>
        <v>6</v>
      </c>
      <c r="AS139" s="13">
        <f t="shared" si="29"/>
        <v>0</v>
      </c>
      <c r="AT139" s="13">
        <f t="shared" si="29"/>
        <v>0</v>
      </c>
      <c r="AU139" s="13">
        <f t="shared" si="29"/>
        <v>2</v>
      </c>
      <c r="AV139" s="13">
        <f t="shared" si="29"/>
        <v>9</v>
      </c>
      <c r="AW139" s="13">
        <f t="shared" si="29"/>
        <v>8</v>
      </c>
      <c r="AX139" s="13">
        <f t="shared" si="29"/>
        <v>2</v>
      </c>
      <c r="AY139" s="13">
        <f t="shared" si="29"/>
        <v>2</v>
      </c>
      <c r="AZ139" s="13">
        <f t="shared" si="29"/>
        <v>2</v>
      </c>
      <c r="BA139" s="13">
        <f t="shared" si="29"/>
        <v>0</v>
      </c>
      <c r="BB139" s="13">
        <f t="shared" si="29"/>
        <v>2</v>
      </c>
      <c r="BC139" s="13">
        <f t="shared" si="29"/>
        <v>7</v>
      </c>
      <c r="BD139" s="13">
        <f t="shared" si="29"/>
        <v>3</v>
      </c>
      <c r="BE139" s="13">
        <f t="shared" si="29"/>
        <v>0</v>
      </c>
      <c r="BF139" s="13">
        <f t="shared" si="29"/>
        <v>7</v>
      </c>
      <c r="BG139" s="13">
        <f t="shared" si="29"/>
        <v>10</v>
      </c>
      <c r="BH139" s="13">
        <f t="shared" si="29"/>
        <v>5</v>
      </c>
      <c r="BI139" s="13">
        <f t="shared" si="29"/>
        <v>5</v>
      </c>
      <c r="BJ139" s="13">
        <f t="shared" si="29"/>
        <v>8</v>
      </c>
      <c r="BK139" s="13">
        <f t="shared" si="29"/>
        <v>7</v>
      </c>
      <c r="BL139" s="13">
        <f t="shared" si="29"/>
        <v>13</v>
      </c>
      <c r="BM139" s="13">
        <f t="shared" si="29"/>
        <v>9</v>
      </c>
      <c r="BN139" s="13">
        <f t="shared" si="29"/>
        <v>3</v>
      </c>
      <c r="BO139" s="13">
        <f t="shared" si="29"/>
        <v>2</v>
      </c>
      <c r="BP139" s="13">
        <f t="shared" si="29"/>
        <v>1</v>
      </c>
      <c r="BQ139" s="13">
        <f t="shared" si="29"/>
        <v>7</v>
      </c>
      <c r="BR139" s="13">
        <f t="shared" si="29"/>
        <v>240</v>
      </c>
      <c r="BS139" s="5"/>
      <c r="BT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5"/>
      <c r="BT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1.0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1.0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0.0</v>
      </c>
      <c r="BL141" s="19">
        <v>0.0</v>
      </c>
      <c r="BM141" s="19">
        <v>0.0</v>
      </c>
      <c r="BN141" s="19">
        <v>0.0</v>
      </c>
      <c r="BO141" s="19">
        <v>0.0</v>
      </c>
      <c r="BP141" s="19">
        <v>0.0</v>
      </c>
      <c r="BQ141" s="19">
        <v>0.0</v>
      </c>
      <c r="BR141" s="13">
        <f t="shared" ref="BR141:BR150" si="30">SUM(E141:BQ141)</f>
        <v>3</v>
      </c>
      <c r="BS141" s="1"/>
      <c r="BT141" s="1"/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1.0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1.0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1.0</v>
      </c>
      <c r="BI142" s="19">
        <v>0.0</v>
      </c>
      <c r="BJ142" s="19">
        <v>1.0</v>
      </c>
      <c r="BK142" s="19">
        <v>0.0</v>
      </c>
      <c r="BL142" s="19">
        <v>0.0</v>
      </c>
      <c r="BM142" s="19">
        <v>0.0</v>
      </c>
      <c r="BN142" s="19">
        <v>0.0</v>
      </c>
      <c r="BO142" s="19">
        <v>0.0</v>
      </c>
      <c r="BP142" s="19">
        <v>0.0</v>
      </c>
      <c r="BQ142" s="19">
        <v>0.0</v>
      </c>
      <c r="BR142" s="13">
        <f t="shared" si="30"/>
        <v>4</v>
      </c>
      <c r="BS142" s="52"/>
      <c r="BT142" s="52"/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1.0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1.0</v>
      </c>
      <c r="BH143" s="19">
        <v>0.0</v>
      </c>
      <c r="BI143" s="19">
        <v>0.0</v>
      </c>
      <c r="BJ143" s="19">
        <v>0.0</v>
      </c>
      <c r="BK143" s="19">
        <v>0.0</v>
      </c>
      <c r="BL143" s="19">
        <v>0.0</v>
      </c>
      <c r="BM143" s="19">
        <v>0.0</v>
      </c>
      <c r="BN143" s="19">
        <v>0.0</v>
      </c>
      <c r="BO143" s="19">
        <v>1.0</v>
      </c>
      <c r="BP143" s="19">
        <v>0.0</v>
      </c>
      <c r="BQ143" s="19">
        <v>0.0</v>
      </c>
      <c r="BR143" s="13">
        <f t="shared" si="30"/>
        <v>3</v>
      </c>
      <c r="BS143" s="5"/>
      <c r="BT143" s="5"/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1.0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9">
        <v>0.0</v>
      </c>
      <c r="BL144" s="19">
        <v>0.0</v>
      </c>
      <c r="BM144" s="19">
        <v>0.0</v>
      </c>
      <c r="BN144" s="19">
        <v>0.0</v>
      </c>
      <c r="BO144" s="19">
        <v>0.0</v>
      </c>
      <c r="BP144" s="19">
        <v>0.0</v>
      </c>
      <c r="BQ144" s="19">
        <v>0.0</v>
      </c>
      <c r="BR144" s="13">
        <f t="shared" si="30"/>
        <v>1</v>
      </c>
      <c r="BS144" s="5"/>
      <c r="BT144" s="5"/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1.0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9">
        <v>0.0</v>
      </c>
      <c r="BM145" s="19">
        <v>0.0</v>
      </c>
      <c r="BN145" s="19">
        <v>0.0</v>
      </c>
      <c r="BO145" s="19">
        <v>0.0</v>
      </c>
      <c r="BP145" s="19">
        <v>0.0</v>
      </c>
      <c r="BQ145" s="19">
        <v>0.0</v>
      </c>
      <c r="BR145" s="13">
        <f t="shared" si="30"/>
        <v>1</v>
      </c>
      <c r="BS145" s="5"/>
      <c r="BT145" s="5"/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1.0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9">
        <v>0.0</v>
      </c>
      <c r="BL146" s="19">
        <v>0.0</v>
      </c>
      <c r="BM146" s="19">
        <v>0.0</v>
      </c>
      <c r="BN146" s="19">
        <v>0.0</v>
      </c>
      <c r="BO146" s="19">
        <v>0.0</v>
      </c>
      <c r="BP146" s="19">
        <v>0.0</v>
      </c>
      <c r="BQ146" s="19">
        <v>0.0</v>
      </c>
      <c r="BR146" s="13">
        <f t="shared" si="30"/>
        <v>1</v>
      </c>
      <c r="BS146" s="5"/>
      <c r="BT146" s="5"/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9">
        <v>0.0</v>
      </c>
      <c r="BM147" s="19">
        <v>0.0</v>
      </c>
      <c r="BN147" s="19">
        <v>0.0</v>
      </c>
      <c r="BO147" s="19">
        <v>0.0</v>
      </c>
      <c r="BP147" s="19">
        <v>0.0</v>
      </c>
      <c r="BQ147" s="19">
        <v>0.0</v>
      </c>
      <c r="BR147" s="13">
        <f t="shared" si="30"/>
        <v>0</v>
      </c>
      <c r="BS147" s="5"/>
      <c r="BT147" s="5"/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9">
        <v>0.0</v>
      </c>
      <c r="BM148" s="19">
        <v>0.0</v>
      </c>
      <c r="BN148" s="19">
        <v>0.0</v>
      </c>
      <c r="BO148" s="19">
        <v>0.0</v>
      </c>
      <c r="BP148" s="19">
        <v>0.0</v>
      </c>
      <c r="BQ148" s="19">
        <v>1.0</v>
      </c>
      <c r="BR148" s="13">
        <f t="shared" si="30"/>
        <v>1</v>
      </c>
      <c r="BS148" s="5"/>
      <c r="BT148" s="5"/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3">
        <f t="shared" si="30"/>
        <v>0</v>
      </c>
      <c r="BS149" s="5"/>
      <c r="BT149" s="5"/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3">
        <f t="shared" si="30"/>
        <v>0</v>
      </c>
      <c r="BS150" s="5"/>
      <c r="BT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1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1</v>
      </c>
      <c r="AZ151" s="13">
        <f t="shared" si="31"/>
        <v>0</v>
      </c>
      <c r="BA151" s="13">
        <f t="shared" si="31"/>
        <v>1</v>
      </c>
      <c r="BB151" s="13">
        <f t="shared" si="31"/>
        <v>0</v>
      </c>
      <c r="BC151" s="13">
        <f t="shared" si="31"/>
        <v>1</v>
      </c>
      <c r="BD151" s="13">
        <f t="shared" si="31"/>
        <v>1</v>
      </c>
      <c r="BE151" s="13">
        <f t="shared" si="31"/>
        <v>1</v>
      </c>
      <c r="BF151" s="13">
        <f t="shared" si="31"/>
        <v>0</v>
      </c>
      <c r="BG151" s="13">
        <f t="shared" si="31"/>
        <v>1</v>
      </c>
      <c r="BH151" s="13">
        <f t="shared" si="31"/>
        <v>1</v>
      </c>
      <c r="BI151" s="13">
        <f t="shared" si="31"/>
        <v>0</v>
      </c>
      <c r="BJ151" s="13">
        <f t="shared" si="31"/>
        <v>1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1</v>
      </c>
      <c r="BP151" s="13">
        <f t="shared" si="31"/>
        <v>0</v>
      </c>
      <c r="BQ151" s="13">
        <f t="shared" si="31"/>
        <v>1</v>
      </c>
      <c r="BR151" s="13">
        <f t="shared" si="31"/>
        <v>14</v>
      </c>
      <c r="BS151" s="1"/>
      <c r="BT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13"/>
      <c r="BS152" s="52"/>
      <c r="BT152" s="52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2.0</v>
      </c>
      <c r="Q153" s="19">
        <v>0.0</v>
      </c>
      <c r="R153" s="19">
        <v>0.0</v>
      </c>
      <c r="S153" s="19">
        <v>2.0</v>
      </c>
      <c r="T153" s="19">
        <v>0.0</v>
      </c>
      <c r="U153" s="19">
        <v>1.0</v>
      </c>
      <c r="V153" s="19">
        <v>1.0</v>
      </c>
      <c r="W153" s="19">
        <v>0.0</v>
      </c>
      <c r="X153" s="19">
        <v>0.0</v>
      </c>
      <c r="Y153" s="19">
        <v>1.0</v>
      </c>
      <c r="Z153" s="19">
        <v>0.0</v>
      </c>
      <c r="AA153" s="19">
        <v>0.0</v>
      </c>
      <c r="AB153" s="19">
        <v>0.0</v>
      </c>
      <c r="AC153" s="19">
        <v>1.0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0.0</v>
      </c>
      <c r="BG153" s="19">
        <v>0.0</v>
      </c>
      <c r="BH153" s="19">
        <v>0.0</v>
      </c>
      <c r="BI153" s="19">
        <v>0.0</v>
      </c>
      <c r="BJ153" s="19">
        <v>1.0</v>
      </c>
      <c r="BK153" s="19">
        <v>0.0</v>
      </c>
      <c r="BL153" s="19">
        <v>0.0</v>
      </c>
      <c r="BM153" s="19">
        <v>0.0</v>
      </c>
      <c r="BN153" s="19">
        <v>0.0</v>
      </c>
      <c r="BO153" s="19">
        <v>0.0</v>
      </c>
      <c r="BP153" s="19">
        <v>0.0</v>
      </c>
      <c r="BQ153" s="19">
        <v>0.0</v>
      </c>
      <c r="BR153" s="13">
        <f t="shared" ref="BR153:BR163" si="32">SUM(E153:BQ153)</f>
        <v>10</v>
      </c>
      <c r="BS153" s="5"/>
      <c r="BT153" s="5"/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3.0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6.0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1.0</v>
      </c>
      <c r="AB154" s="19">
        <v>2.0</v>
      </c>
      <c r="AC154" s="19">
        <v>0.0</v>
      </c>
      <c r="AD154" s="19">
        <v>0.0</v>
      </c>
      <c r="AE154" s="19">
        <v>1.0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1.0</v>
      </c>
      <c r="AY154" s="19">
        <v>1.0</v>
      </c>
      <c r="AZ154" s="19">
        <v>0.0</v>
      </c>
      <c r="BA154" s="19">
        <v>0.0</v>
      </c>
      <c r="BB154" s="19">
        <v>0.0</v>
      </c>
      <c r="BC154" s="19">
        <v>1.0</v>
      </c>
      <c r="BD154" s="19">
        <v>1.0</v>
      </c>
      <c r="BE154" s="19">
        <v>0.0</v>
      </c>
      <c r="BF154" s="19">
        <v>0.0</v>
      </c>
      <c r="BG154" s="19">
        <v>0.0</v>
      </c>
      <c r="BH154" s="19">
        <v>1.0</v>
      </c>
      <c r="BI154" s="19">
        <v>0.0</v>
      </c>
      <c r="BJ154" s="19">
        <v>0.0</v>
      </c>
      <c r="BK154" s="19">
        <v>0.0</v>
      </c>
      <c r="BL154" s="19">
        <v>0.0</v>
      </c>
      <c r="BM154" s="19">
        <v>0.0</v>
      </c>
      <c r="BN154" s="19">
        <v>0.0</v>
      </c>
      <c r="BO154" s="19">
        <v>0.0</v>
      </c>
      <c r="BP154" s="19">
        <v>3.0</v>
      </c>
      <c r="BQ154" s="19">
        <v>0.0</v>
      </c>
      <c r="BR154" s="13">
        <f t="shared" si="32"/>
        <v>23</v>
      </c>
      <c r="BS154" s="5"/>
      <c r="BT154" s="5"/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2.0</v>
      </c>
      <c r="V155" s="19">
        <v>1.0</v>
      </c>
      <c r="W155" s="19">
        <v>1.0</v>
      </c>
      <c r="X155" s="19">
        <v>0.0</v>
      </c>
      <c r="Y155" s="19">
        <v>1.0</v>
      </c>
      <c r="Z155" s="19">
        <v>1.0</v>
      </c>
      <c r="AA155" s="19">
        <v>1.0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1.0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1.0</v>
      </c>
      <c r="BA155" s="19">
        <v>0.0</v>
      </c>
      <c r="BB155" s="19">
        <v>0.0</v>
      </c>
      <c r="BC155" s="19">
        <v>1.0</v>
      </c>
      <c r="BD155" s="19">
        <v>1.0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1.0</v>
      </c>
      <c r="BJ155" s="19">
        <v>0.0</v>
      </c>
      <c r="BK155" s="19">
        <v>1.0</v>
      </c>
      <c r="BL155" s="19">
        <v>0.0</v>
      </c>
      <c r="BM155" s="19">
        <v>0.0</v>
      </c>
      <c r="BN155" s="19">
        <v>0.0</v>
      </c>
      <c r="BO155" s="19">
        <v>1.0</v>
      </c>
      <c r="BP155" s="19">
        <v>1.0</v>
      </c>
      <c r="BQ155" s="19">
        <v>0.0</v>
      </c>
      <c r="BR155" s="13">
        <f t="shared" si="32"/>
        <v>15</v>
      </c>
      <c r="BS155" s="5"/>
      <c r="BT155" s="5"/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1.0</v>
      </c>
      <c r="BJ156" s="19">
        <v>0.0</v>
      </c>
      <c r="BK156" s="19">
        <v>0.0</v>
      </c>
      <c r="BL156" s="19">
        <v>0.0</v>
      </c>
      <c r="BM156" s="19">
        <v>0.0</v>
      </c>
      <c r="BN156" s="19">
        <v>0.0</v>
      </c>
      <c r="BO156" s="19">
        <v>0.0</v>
      </c>
      <c r="BP156" s="19">
        <v>0.0</v>
      </c>
      <c r="BQ156" s="19">
        <v>0.0</v>
      </c>
      <c r="BR156" s="13">
        <f t="shared" si="32"/>
        <v>1</v>
      </c>
      <c r="BS156" s="5"/>
      <c r="BT156" s="5"/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1.0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0.0</v>
      </c>
      <c r="BL157" s="19">
        <v>0.0</v>
      </c>
      <c r="BM157" s="19">
        <v>1.0</v>
      </c>
      <c r="BN157" s="19">
        <v>0.0</v>
      </c>
      <c r="BO157" s="19">
        <v>0.0</v>
      </c>
      <c r="BP157" s="19">
        <v>0.0</v>
      </c>
      <c r="BQ157" s="19">
        <v>0.0</v>
      </c>
      <c r="BR157" s="13">
        <f t="shared" si="32"/>
        <v>3</v>
      </c>
      <c r="BS157" s="5"/>
      <c r="BT157" s="5"/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3">
        <f t="shared" si="32"/>
        <v>0</v>
      </c>
      <c r="BS158" s="5"/>
      <c r="BT158" s="5"/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3">
        <f t="shared" si="32"/>
        <v>0</v>
      </c>
      <c r="BS159" s="5"/>
      <c r="BT159" s="5"/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3">
        <f t="shared" si="32"/>
        <v>0</v>
      </c>
      <c r="BS160" s="5"/>
      <c r="BT160" s="5"/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3">
        <f t="shared" si="32"/>
        <v>0</v>
      </c>
      <c r="BS161" s="5"/>
      <c r="BT161" s="5"/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3">
        <f t="shared" si="32"/>
        <v>0</v>
      </c>
      <c r="BS162" s="5"/>
      <c r="BT162" s="5"/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BQ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3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2</v>
      </c>
      <c r="Q163" s="13">
        <f t="shared" si="33"/>
        <v>0</v>
      </c>
      <c r="R163" s="13">
        <f t="shared" si="33"/>
        <v>1</v>
      </c>
      <c r="S163" s="13">
        <f t="shared" si="33"/>
        <v>8</v>
      </c>
      <c r="T163" s="13">
        <f t="shared" si="33"/>
        <v>0</v>
      </c>
      <c r="U163" s="13">
        <f t="shared" si="33"/>
        <v>3</v>
      </c>
      <c r="V163" s="13">
        <f t="shared" si="33"/>
        <v>3</v>
      </c>
      <c r="W163" s="13">
        <f t="shared" si="33"/>
        <v>1</v>
      </c>
      <c r="X163" s="13">
        <f t="shared" si="33"/>
        <v>0</v>
      </c>
      <c r="Y163" s="13">
        <f t="shared" si="33"/>
        <v>2</v>
      </c>
      <c r="Z163" s="13">
        <f t="shared" si="33"/>
        <v>2</v>
      </c>
      <c r="AA163" s="13">
        <f t="shared" si="33"/>
        <v>2</v>
      </c>
      <c r="AB163" s="13">
        <f t="shared" si="33"/>
        <v>2</v>
      </c>
      <c r="AC163" s="13">
        <f t="shared" si="33"/>
        <v>1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1</v>
      </c>
      <c r="AV163" s="13">
        <f t="shared" si="33"/>
        <v>0</v>
      </c>
      <c r="AW163" s="13">
        <f t="shared" si="33"/>
        <v>0</v>
      </c>
      <c r="AX163" s="13">
        <f t="shared" si="33"/>
        <v>1</v>
      </c>
      <c r="AY163" s="13">
        <f t="shared" si="33"/>
        <v>1</v>
      </c>
      <c r="AZ163" s="13">
        <f t="shared" si="33"/>
        <v>1</v>
      </c>
      <c r="BA163" s="13">
        <f t="shared" si="33"/>
        <v>0</v>
      </c>
      <c r="BB163" s="13">
        <f t="shared" si="33"/>
        <v>0</v>
      </c>
      <c r="BC163" s="13">
        <f t="shared" si="33"/>
        <v>2</v>
      </c>
      <c r="BD163" s="13">
        <f t="shared" si="33"/>
        <v>2</v>
      </c>
      <c r="BE163" s="13">
        <f t="shared" si="33"/>
        <v>0</v>
      </c>
      <c r="BF163" s="13">
        <f t="shared" si="33"/>
        <v>0</v>
      </c>
      <c r="BG163" s="13">
        <f t="shared" si="33"/>
        <v>0</v>
      </c>
      <c r="BH163" s="13">
        <f t="shared" si="33"/>
        <v>1</v>
      </c>
      <c r="BI163" s="13">
        <f t="shared" si="33"/>
        <v>2</v>
      </c>
      <c r="BJ163" s="13">
        <f t="shared" si="33"/>
        <v>1</v>
      </c>
      <c r="BK163" s="13">
        <f t="shared" si="33"/>
        <v>1</v>
      </c>
      <c r="BL163" s="13">
        <f t="shared" si="33"/>
        <v>0</v>
      </c>
      <c r="BM163" s="13">
        <f t="shared" si="33"/>
        <v>1</v>
      </c>
      <c r="BN163" s="13">
        <f t="shared" si="33"/>
        <v>0</v>
      </c>
      <c r="BO163" s="13">
        <f t="shared" si="33"/>
        <v>1</v>
      </c>
      <c r="BP163" s="13">
        <f t="shared" si="33"/>
        <v>4</v>
      </c>
      <c r="BQ163" s="13">
        <f t="shared" si="33"/>
        <v>0</v>
      </c>
      <c r="BR163" s="13">
        <f t="shared" si="32"/>
        <v>52</v>
      </c>
      <c r="BS163" s="5"/>
      <c r="BT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5"/>
      <c r="BT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2.0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1.0</v>
      </c>
      <c r="AO165" s="19">
        <v>2.0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1.0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1.0</v>
      </c>
      <c r="BD165" s="19">
        <v>0.0</v>
      </c>
      <c r="BE165" s="19">
        <v>0.0</v>
      </c>
      <c r="BF165" s="19">
        <v>1.0</v>
      </c>
      <c r="BG165" s="19">
        <v>0.0</v>
      </c>
      <c r="BH165" s="19">
        <v>1.0</v>
      </c>
      <c r="BI165" s="19">
        <v>0.0</v>
      </c>
      <c r="BJ165" s="19">
        <v>1.0</v>
      </c>
      <c r="BK165" s="19">
        <v>1.0</v>
      </c>
      <c r="BL165" s="19">
        <v>0.0</v>
      </c>
      <c r="BM165" s="19">
        <v>0.0</v>
      </c>
      <c r="BN165" s="19">
        <v>0.0</v>
      </c>
      <c r="BO165" s="19">
        <v>0.0</v>
      </c>
      <c r="BP165" s="19">
        <v>1.0</v>
      </c>
      <c r="BQ165" s="19">
        <v>2.0</v>
      </c>
      <c r="BR165" s="13">
        <f t="shared" ref="BR165:BR174" si="34">SUM(E165:BQ165)</f>
        <v>18</v>
      </c>
      <c r="BS165" s="1"/>
      <c r="BT165" s="1"/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1.0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1.0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1.0</v>
      </c>
      <c r="AO166" s="19">
        <v>1.0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1.0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1.0</v>
      </c>
      <c r="BF166" s="19">
        <v>0.0</v>
      </c>
      <c r="BG166" s="19">
        <v>0.0</v>
      </c>
      <c r="BH166" s="19">
        <v>0.0</v>
      </c>
      <c r="BI166" s="19">
        <v>1.0</v>
      </c>
      <c r="BJ166" s="19">
        <v>0.0</v>
      </c>
      <c r="BK166" s="19">
        <v>0.0</v>
      </c>
      <c r="BL166" s="19">
        <v>0.0</v>
      </c>
      <c r="BM166" s="19">
        <v>0.0</v>
      </c>
      <c r="BN166" s="19">
        <v>0.0</v>
      </c>
      <c r="BO166" s="19">
        <v>0.0</v>
      </c>
      <c r="BP166" s="19">
        <v>0.0</v>
      </c>
      <c r="BQ166" s="19">
        <v>0.0</v>
      </c>
      <c r="BR166" s="13">
        <f t="shared" si="34"/>
        <v>9</v>
      </c>
      <c r="BS166" s="52"/>
      <c r="BT166" s="52"/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1.0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1.0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1.0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9">
        <v>0.0</v>
      </c>
      <c r="BL167" s="19">
        <v>0.0</v>
      </c>
      <c r="BM167" s="19">
        <v>0.0</v>
      </c>
      <c r="BN167" s="19">
        <v>0.0</v>
      </c>
      <c r="BO167" s="19">
        <v>0.0</v>
      </c>
      <c r="BP167" s="19">
        <v>0.0</v>
      </c>
      <c r="BQ167" s="19">
        <v>0.0</v>
      </c>
      <c r="BR167" s="13">
        <f t="shared" si="34"/>
        <v>3</v>
      </c>
      <c r="BS167" s="5"/>
      <c r="BT167" s="5"/>
    </row>
    <row r="168" ht="12.75" customHeight="1">
      <c r="A168" s="18"/>
      <c r="B168" s="55">
        <v>3.0</v>
      </c>
      <c r="C168" s="50" t="s">
        <v>123</v>
      </c>
      <c r="D168" s="62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1.0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1.0</v>
      </c>
      <c r="X168" s="19">
        <v>0.0</v>
      </c>
      <c r="Y168" s="19">
        <v>0.0</v>
      </c>
      <c r="Z168" s="19">
        <v>0.0</v>
      </c>
      <c r="AA168" s="19">
        <v>1.0</v>
      </c>
      <c r="AB168" s="19">
        <v>0.0</v>
      </c>
      <c r="AC168" s="19">
        <v>0.0</v>
      </c>
      <c r="AD168" s="19">
        <v>1.0</v>
      </c>
      <c r="AE168" s="19">
        <v>1.0</v>
      </c>
      <c r="AF168" s="19">
        <v>0.0</v>
      </c>
      <c r="AG168" s="19">
        <v>0.0</v>
      </c>
      <c r="AH168" s="19">
        <v>0.0</v>
      </c>
      <c r="AI168" s="19">
        <v>1.0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1.0</v>
      </c>
      <c r="BI168" s="19">
        <v>0.0</v>
      </c>
      <c r="BJ168" s="19">
        <v>0.0</v>
      </c>
      <c r="BK168" s="19">
        <v>0.0</v>
      </c>
      <c r="BL168" s="19">
        <v>0.0</v>
      </c>
      <c r="BM168" s="19">
        <v>0.0</v>
      </c>
      <c r="BN168" s="19">
        <v>0.0</v>
      </c>
      <c r="BO168" s="19">
        <v>0.0</v>
      </c>
      <c r="BP168" s="19">
        <v>0.0</v>
      </c>
      <c r="BQ168" s="19">
        <v>0.0</v>
      </c>
      <c r="BR168" s="13">
        <f t="shared" si="34"/>
        <v>9</v>
      </c>
      <c r="BS168" s="5"/>
      <c r="BT168" s="5"/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0.0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9">
        <v>0.0</v>
      </c>
      <c r="BL169" s="19">
        <v>0.0</v>
      </c>
      <c r="BM169" s="19">
        <v>0.0</v>
      </c>
      <c r="BN169" s="19">
        <v>0.0</v>
      </c>
      <c r="BO169" s="19">
        <v>0.0</v>
      </c>
      <c r="BP169" s="19">
        <v>0.0</v>
      </c>
      <c r="BQ169" s="19">
        <v>0.0</v>
      </c>
      <c r="BR169" s="13">
        <f t="shared" si="34"/>
        <v>0</v>
      </c>
      <c r="BS169" s="5"/>
      <c r="BT169" s="5"/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1.0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9">
        <v>0.0</v>
      </c>
      <c r="BL170" s="19">
        <v>0.0</v>
      </c>
      <c r="BM170" s="19">
        <v>0.0</v>
      </c>
      <c r="BN170" s="19">
        <v>0.0</v>
      </c>
      <c r="BO170" s="19">
        <v>0.0</v>
      </c>
      <c r="BP170" s="19">
        <v>0.0</v>
      </c>
      <c r="BQ170" s="19">
        <v>0.0</v>
      </c>
      <c r="BR170" s="13">
        <f t="shared" si="34"/>
        <v>1</v>
      </c>
      <c r="BS170" s="5"/>
      <c r="BT170" s="5"/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9">
        <v>0.0</v>
      </c>
      <c r="BL171" s="19">
        <v>0.0</v>
      </c>
      <c r="BM171" s="19">
        <v>0.0</v>
      </c>
      <c r="BN171" s="19">
        <v>0.0</v>
      </c>
      <c r="BO171" s="19">
        <v>0.0</v>
      </c>
      <c r="BP171" s="19">
        <v>0.0</v>
      </c>
      <c r="BQ171" s="19">
        <v>0.0</v>
      </c>
      <c r="BR171" s="13">
        <f t="shared" si="34"/>
        <v>0</v>
      </c>
      <c r="BS171" s="5"/>
      <c r="BT171" s="5"/>
    </row>
    <row r="172" ht="12.75" customHeight="1">
      <c r="A172" s="18"/>
      <c r="B172" s="55">
        <v>7.0</v>
      </c>
      <c r="C172" s="50" t="s">
        <v>127</v>
      </c>
      <c r="D172" s="62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9">
        <v>0.0</v>
      </c>
      <c r="BL172" s="19">
        <v>0.0</v>
      </c>
      <c r="BM172" s="19">
        <v>0.0</v>
      </c>
      <c r="BN172" s="19">
        <v>0.0</v>
      </c>
      <c r="BO172" s="19">
        <v>0.0</v>
      </c>
      <c r="BP172" s="19">
        <v>0.0</v>
      </c>
      <c r="BQ172" s="19">
        <v>0.0</v>
      </c>
      <c r="BR172" s="13">
        <f t="shared" si="34"/>
        <v>2</v>
      </c>
      <c r="BS172" s="5"/>
      <c r="BT172" s="5"/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3">
        <f t="shared" si="34"/>
        <v>0</v>
      </c>
      <c r="BS173" s="5"/>
      <c r="BT173" s="5"/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3">
        <f t="shared" si="34"/>
        <v>0</v>
      </c>
      <c r="BS174" s="5"/>
      <c r="BT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R175" si="35">SUM(E165:E174)</f>
        <v>2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3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2</v>
      </c>
      <c r="AE175" s="13">
        <f t="shared" si="35"/>
        <v>1</v>
      </c>
      <c r="AF175" s="13">
        <f t="shared" si="35"/>
        <v>1</v>
      </c>
      <c r="AG175" s="13">
        <f t="shared" si="35"/>
        <v>0</v>
      </c>
      <c r="AH175" s="13">
        <f t="shared" si="35"/>
        <v>1</v>
      </c>
      <c r="AI175" s="13">
        <f t="shared" si="35"/>
        <v>1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0</v>
      </c>
      <c r="AN175" s="13">
        <f t="shared" si="35"/>
        <v>2</v>
      </c>
      <c r="AO175" s="13">
        <f t="shared" si="35"/>
        <v>3</v>
      </c>
      <c r="AP175" s="13">
        <f t="shared" si="35"/>
        <v>1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2</v>
      </c>
      <c r="AW175" s="13">
        <f t="shared" si="35"/>
        <v>1</v>
      </c>
      <c r="AX175" s="13">
        <f t="shared" si="35"/>
        <v>0</v>
      </c>
      <c r="AY175" s="13">
        <f t="shared" si="35"/>
        <v>0</v>
      </c>
      <c r="AZ175" s="13">
        <f t="shared" si="35"/>
        <v>1</v>
      </c>
      <c r="BA175" s="13">
        <f t="shared" si="35"/>
        <v>0</v>
      </c>
      <c r="BB175" s="13">
        <f t="shared" si="35"/>
        <v>0</v>
      </c>
      <c r="BC175" s="13">
        <f t="shared" si="35"/>
        <v>1</v>
      </c>
      <c r="BD175" s="13">
        <f t="shared" si="35"/>
        <v>0</v>
      </c>
      <c r="BE175" s="13">
        <f t="shared" si="35"/>
        <v>1</v>
      </c>
      <c r="BF175" s="13">
        <f t="shared" si="35"/>
        <v>1</v>
      </c>
      <c r="BG175" s="13">
        <f t="shared" si="35"/>
        <v>0</v>
      </c>
      <c r="BH175" s="13">
        <f t="shared" si="35"/>
        <v>2</v>
      </c>
      <c r="BI175" s="13">
        <f t="shared" si="35"/>
        <v>1</v>
      </c>
      <c r="BJ175" s="13">
        <f t="shared" si="35"/>
        <v>1</v>
      </c>
      <c r="BK175" s="13">
        <f t="shared" si="35"/>
        <v>1</v>
      </c>
      <c r="BL175" s="13">
        <f t="shared" si="35"/>
        <v>0</v>
      </c>
      <c r="BM175" s="13">
        <f t="shared" si="35"/>
        <v>0</v>
      </c>
      <c r="BN175" s="13">
        <f t="shared" si="35"/>
        <v>0</v>
      </c>
      <c r="BO175" s="13">
        <f t="shared" si="35"/>
        <v>0</v>
      </c>
      <c r="BP175" s="13">
        <f t="shared" si="35"/>
        <v>1</v>
      </c>
      <c r="BQ175" s="13">
        <f t="shared" si="35"/>
        <v>2</v>
      </c>
      <c r="BR175" s="13">
        <f t="shared" si="35"/>
        <v>42</v>
      </c>
      <c r="BS175" s="5"/>
      <c r="BT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1"/>
      <c r="BT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9">
        <v>0.0</v>
      </c>
      <c r="L177" s="19">
        <v>0.0</v>
      </c>
      <c r="M177" s="19">
        <v>1.0</v>
      </c>
      <c r="N177" s="19">
        <v>0.0</v>
      </c>
      <c r="O177" s="19">
        <v>0.0</v>
      </c>
      <c r="P177" s="19">
        <v>2.0</v>
      </c>
      <c r="Q177" s="19">
        <v>0.0</v>
      </c>
      <c r="R177" s="19">
        <v>2.0</v>
      </c>
      <c r="S177" s="19">
        <v>0.0</v>
      </c>
      <c r="T177" s="19">
        <v>1.0</v>
      </c>
      <c r="U177" s="19">
        <v>2.0</v>
      </c>
      <c r="V177" s="19">
        <v>0.0</v>
      </c>
      <c r="W177" s="19">
        <v>1.0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2.0</v>
      </c>
      <c r="AN177" s="19">
        <v>1.0</v>
      </c>
      <c r="AO177" s="19">
        <v>1.0</v>
      </c>
      <c r="AP177" s="19">
        <v>1.0</v>
      </c>
      <c r="AQ177" s="19">
        <v>0.0</v>
      </c>
      <c r="AR177" s="19">
        <v>1.0</v>
      </c>
      <c r="AS177" s="19">
        <v>1.0</v>
      </c>
      <c r="AT177" s="19">
        <v>0.0</v>
      </c>
      <c r="AU177" s="19">
        <v>0.0</v>
      </c>
      <c r="AV177" s="19">
        <v>2.0</v>
      </c>
      <c r="AW177" s="19">
        <v>2.0</v>
      </c>
      <c r="AX177" s="19">
        <v>1.0</v>
      </c>
      <c r="AY177" s="19">
        <v>0.0</v>
      </c>
      <c r="AZ177" s="19">
        <v>0.0</v>
      </c>
      <c r="BA177" s="19">
        <v>0.0</v>
      </c>
      <c r="BB177" s="19">
        <v>1.0</v>
      </c>
      <c r="BC177" s="19">
        <v>3.0</v>
      </c>
      <c r="BD177" s="19">
        <v>0.0</v>
      </c>
      <c r="BE177" s="19">
        <v>1.0</v>
      </c>
      <c r="BF177" s="19">
        <v>1.0</v>
      </c>
      <c r="BG177" s="19">
        <v>0.0</v>
      </c>
      <c r="BH177" s="19">
        <v>1.0</v>
      </c>
      <c r="BI177" s="19">
        <v>0.0</v>
      </c>
      <c r="BJ177" s="19">
        <v>0.0</v>
      </c>
      <c r="BK177" s="19">
        <v>0.0</v>
      </c>
      <c r="BL177" s="19">
        <v>0.0</v>
      </c>
      <c r="BM177" s="19">
        <v>0.0</v>
      </c>
      <c r="BN177" s="19">
        <v>1.0</v>
      </c>
      <c r="BO177" s="19">
        <v>1.0</v>
      </c>
      <c r="BP177" s="19">
        <v>1.0</v>
      </c>
      <c r="BQ177" s="19">
        <v>0.0</v>
      </c>
      <c r="BR177" s="13">
        <f t="shared" ref="BR177:BR186" si="36">SUM(E177:BQ177)</f>
        <v>34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4.0</v>
      </c>
      <c r="N178" s="19">
        <v>0.0</v>
      </c>
      <c r="O178" s="19">
        <v>1.0</v>
      </c>
      <c r="P178" s="19">
        <v>1.0</v>
      </c>
      <c r="Q178" s="19">
        <v>1.0</v>
      </c>
      <c r="R178" s="19">
        <v>2.0</v>
      </c>
      <c r="S178" s="19">
        <v>1.0</v>
      </c>
      <c r="T178" s="19">
        <v>0.0</v>
      </c>
      <c r="U178" s="19">
        <v>0.0</v>
      </c>
      <c r="V178" s="19">
        <v>0.0</v>
      </c>
      <c r="W178" s="19">
        <v>1.0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1.0</v>
      </c>
      <c r="AH178" s="19">
        <v>1.0</v>
      </c>
      <c r="AI178" s="19">
        <v>1.0</v>
      </c>
      <c r="AJ178" s="19">
        <v>1.0</v>
      </c>
      <c r="AK178" s="19">
        <v>0.0</v>
      </c>
      <c r="AL178" s="19">
        <v>0.0</v>
      </c>
      <c r="AM178" s="19">
        <v>0.0</v>
      </c>
      <c r="AN178" s="19">
        <v>2.0</v>
      </c>
      <c r="AO178" s="19">
        <v>1.0</v>
      </c>
      <c r="AP178" s="19">
        <v>0.0</v>
      </c>
      <c r="AQ178" s="19">
        <v>0.0</v>
      </c>
      <c r="AR178" s="19">
        <v>1.0</v>
      </c>
      <c r="AS178" s="19">
        <v>0.0</v>
      </c>
      <c r="AT178" s="19">
        <v>0.0</v>
      </c>
      <c r="AU178" s="19">
        <v>1.0</v>
      </c>
      <c r="AV178" s="19">
        <v>1.0</v>
      </c>
      <c r="AW178" s="19">
        <v>0.0</v>
      </c>
      <c r="AX178" s="19">
        <v>1.0</v>
      </c>
      <c r="AY178" s="19">
        <v>0.0</v>
      </c>
      <c r="AZ178" s="19">
        <v>0.0</v>
      </c>
      <c r="BA178" s="19">
        <v>0.0</v>
      </c>
      <c r="BB178" s="19">
        <v>0.0</v>
      </c>
      <c r="BC178" s="19">
        <v>3.0</v>
      </c>
      <c r="BD178" s="19">
        <v>1.0</v>
      </c>
      <c r="BE178" s="19">
        <v>2.0</v>
      </c>
      <c r="BF178" s="19">
        <v>1.0</v>
      </c>
      <c r="BG178" s="19">
        <v>1.0</v>
      </c>
      <c r="BH178" s="19">
        <v>1.0</v>
      </c>
      <c r="BI178" s="19">
        <v>1.0</v>
      </c>
      <c r="BJ178" s="19">
        <v>1.0</v>
      </c>
      <c r="BK178" s="19">
        <v>0.0</v>
      </c>
      <c r="BL178" s="19">
        <v>0.0</v>
      </c>
      <c r="BM178" s="19">
        <v>0.0</v>
      </c>
      <c r="BN178" s="19">
        <v>0.0</v>
      </c>
      <c r="BO178" s="19">
        <v>0.0</v>
      </c>
      <c r="BP178" s="19">
        <v>0.0</v>
      </c>
      <c r="BQ178" s="19">
        <v>0.0</v>
      </c>
      <c r="BR178" s="13">
        <f t="shared" si="36"/>
        <v>36</v>
      </c>
      <c r="BS178" s="5"/>
      <c r="BT178" s="5"/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2.0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1.0</v>
      </c>
      <c r="AH179" s="19">
        <v>0.0</v>
      </c>
      <c r="AI179" s="19">
        <v>0.0</v>
      </c>
      <c r="AJ179" s="19">
        <v>0.0</v>
      </c>
      <c r="AK179" s="19">
        <v>1.0</v>
      </c>
      <c r="AL179" s="19">
        <v>0.0</v>
      </c>
      <c r="AM179" s="19">
        <v>0.0</v>
      </c>
      <c r="AN179" s="19">
        <v>1.0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1.0</v>
      </c>
      <c r="AT179" s="19">
        <v>0.0</v>
      </c>
      <c r="AU179" s="19">
        <v>0.0</v>
      </c>
      <c r="AV179" s="19">
        <v>0.0</v>
      </c>
      <c r="AW179" s="19">
        <v>1.0</v>
      </c>
      <c r="AX179" s="19">
        <v>0.0</v>
      </c>
      <c r="AY179" s="19">
        <v>0.0</v>
      </c>
      <c r="AZ179" s="19">
        <v>1.0</v>
      </c>
      <c r="BA179" s="19">
        <v>0.0</v>
      </c>
      <c r="BB179" s="19">
        <v>1.0</v>
      </c>
      <c r="BC179" s="19">
        <v>0.0</v>
      </c>
      <c r="BD179" s="19">
        <v>0.0</v>
      </c>
      <c r="BE179" s="19">
        <v>1.0</v>
      </c>
      <c r="BF179" s="19">
        <v>0.0</v>
      </c>
      <c r="BG179" s="19">
        <v>1.0</v>
      </c>
      <c r="BH179" s="19">
        <v>0.0</v>
      </c>
      <c r="BI179" s="19">
        <v>1.0</v>
      </c>
      <c r="BJ179" s="19">
        <v>0.0</v>
      </c>
      <c r="BK179" s="19">
        <v>0.0</v>
      </c>
      <c r="BL179" s="19">
        <v>0.0</v>
      </c>
      <c r="BM179" s="19">
        <v>0.0</v>
      </c>
      <c r="BN179" s="19">
        <v>0.0</v>
      </c>
      <c r="BO179" s="19">
        <v>0.0</v>
      </c>
      <c r="BP179" s="19">
        <v>1.0</v>
      </c>
      <c r="BQ179" s="19">
        <v>1.0</v>
      </c>
      <c r="BR179" s="13">
        <f t="shared" si="36"/>
        <v>17</v>
      </c>
      <c r="BS179" s="5"/>
      <c r="BT179" s="5"/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0.0</v>
      </c>
      <c r="G180" s="19">
        <v>0.0</v>
      </c>
      <c r="H180" s="19">
        <v>1.0</v>
      </c>
      <c r="I180" s="19">
        <v>1.0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1.0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1.0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9">
        <v>0.0</v>
      </c>
      <c r="BC180" s="19">
        <v>0.0</v>
      </c>
      <c r="BD180" s="19">
        <v>0.0</v>
      </c>
      <c r="BE180" s="19">
        <v>0.0</v>
      </c>
      <c r="BF180" s="19">
        <v>0.0</v>
      </c>
      <c r="BG180" s="19">
        <v>0.0</v>
      </c>
      <c r="BH180" s="19">
        <v>0.0</v>
      </c>
      <c r="BI180" s="19">
        <v>1.0</v>
      </c>
      <c r="BJ180" s="19">
        <v>0.0</v>
      </c>
      <c r="BK180" s="19">
        <v>0.0</v>
      </c>
      <c r="BL180" s="19">
        <v>0.0</v>
      </c>
      <c r="BM180" s="19">
        <v>0.0</v>
      </c>
      <c r="BN180" s="19">
        <v>0.0</v>
      </c>
      <c r="BO180" s="19">
        <v>0.0</v>
      </c>
      <c r="BP180" s="19">
        <v>0.0</v>
      </c>
      <c r="BQ180" s="19">
        <v>0.0</v>
      </c>
      <c r="BR180" s="13">
        <f t="shared" si="36"/>
        <v>8</v>
      </c>
      <c r="BS180" s="5"/>
      <c r="BT180" s="5"/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1.0</v>
      </c>
      <c r="AN181" s="19">
        <v>0.0</v>
      </c>
      <c r="AO181" s="19">
        <v>1.0</v>
      </c>
      <c r="AP181" s="19">
        <v>0.0</v>
      </c>
      <c r="AQ181" s="19">
        <v>0.0</v>
      </c>
      <c r="AR181" s="19">
        <v>1.0</v>
      </c>
      <c r="AS181" s="19">
        <v>0.0</v>
      </c>
      <c r="AT181" s="19">
        <v>0.0</v>
      </c>
      <c r="AU181" s="19">
        <v>0.0</v>
      </c>
      <c r="AV181" s="19">
        <v>1.0</v>
      </c>
      <c r="AW181" s="19">
        <v>2.0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1.0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0.0</v>
      </c>
      <c r="BH181" s="19">
        <v>0.0</v>
      </c>
      <c r="BI181" s="19">
        <v>0.0</v>
      </c>
      <c r="BJ181" s="19">
        <v>0.0</v>
      </c>
      <c r="BK181" s="19">
        <v>0.0</v>
      </c>
      <c r="BL181" s="19">
        <v>0.0</v>
      </c>
      <c r="BM181" s="19">
        <v>0.0</v>
      </c>
      <c r="BN181" s="19">
        <v>0.0</v>
      </c>
      <c r="BO181" s="19">
        <v>0.0</v>
      </c>
      <c r="BP181" s="19">
        <v>0.0</v>
      </c>
      <c r="BQ181" s="19">
        <v>0.0</v>
      </c>
      <c r="BR181" s="13">
        <f t="shared" si="36"/>
        <v>10</v>
      </c>
      <c r="BS181" s="5"/>
      <c r="BT181" s="5"/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1.0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2.0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0.0</v>
      </c>
      <c r="BI182" s="19">
        <v>0.0</v>
      </c>
      <c r="BJ182" s="19">
        <v>0.0</v>
      </c>
      <c r="BK182" s="19">
        <v>0.0</v>
      </c>
      <c r="BL182" s="19">
        <v>0.0</v>
      </c>
      <c r="BM182" s="19">
        <v>0.0</v>
      </c>
      <c r="BN182" s="19">
        <v>0.0</v>
      </c>
      <c r="BO182" s="19">
        <v>0.0</v>
      </c>
      <c r="BP182" s="19">
        <v>0.0</v>
      </c>
      <c r="BQ182" s="19">
        <v>0.0</v>
      </c>
      <c r="BR182" s="13">
        <f t="shared" si="36"/>
        <v>5</v>
      </c>
      <c r="BS182" s="5"/>
      <c r="BT182" s="5"/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1.0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1.0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0.0</v>
      </c>
      <c r="BI183" s="19">
        <v>0.0</v>
      </c>
      <c r="BJ183" s="19">
        <v>0.0</v>
      </c>
      <c r="BK183" s="19">
        <v>0.0</v>
      </c>
      <c r="BL183" s="19">
        <v>0.0</v>
      </c>
      <c r="BM183" s="19">
        <v>0.0</v>
      </c>
      <c r="BN183" s="19">
        <v>0.0</v>
      </c>
      <c r="BO183" s="19">
        <v>0.0</v>
      </c>
      <c r="BP183" s="19">
        <v>0.0</v>
      </c>
      <c r="BQ183" s="19">
        <v>0.0</v>
      </c>
      <c r="BR183" s="13">
        <f t="shared" si="36"/>
        <v>2</v>
      </c>
      <c r="BS183" s="5"/>
      <c r="BT183" s="5"/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1.0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1.0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0.0</v>
      </c>
      <c r="BC184" s="19">
        <v>0.0</v>
      </c>
      <c r="BD184" s="19">
        <v>0.0</v>
      </c>
      <c r="BE184" s="19">
        <v>0.0</v>
      </c>
      <c r="BF184" s="19">
        <v>0.0</v>
      </c>
      <c r="BG184" s="19">
        <v>0.0</v>
      </c>
      <c r="BH184" s="19">
        <v>0.0</v>
      </c>
      <c r="BI184" s="19">
        <v>0.0</v>
      </c>
      <c r="BJ184" s="19">
        <v>0.0</v>
      </c>
      <c r="BK184" s="19">
        <v>0.0</v>
      </c>
      <c r="BL184" s="19">
        <v>0.0</v>
      </c>
      <c r="BM184" s="19">
        <v>0.0</v>
      </c>
      <c r="BN184" s="19">
        <v>0.0</v>
      </c>
      <c r="BO184" s="19">
        <v>0.0</v>
      </c>
      <c r="BP184" s="19">
        <v>0.0</v>
      </c>
      <c r="BQ184" s="19">
        <v>0.0</v>
      </c>
      <c r="BR184" s="13">
        <f t="shared" si="36"/>
        <v>2</v>
      </c>
      <c r="BS184" s="5"/>
      <c r="BT184" s="5"/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3">
        <f t="shared" si="36"/>
        <v>0</v>
      </c>
      <c r="BS185" s="5"/>
      <c r="BT185" s="5"/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3">
        <f t="shared" si="36"/>
        <v>0</v>
      </c>
      <c r="BS186" s="5"/>
      <c r="BT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R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2</v>
      </c>
      <c r="I187" s="13">
        <f t="shared" si="37"/>
        <v>1</v>
      </c>
      <c r="J187" s="13">
        <f t="shared" si="37"/>
        <v>2</v>
      </c>
      <c r="K187" s="13">
        <f t="shared" si="37"/>
        <v>3</v>
      </c>
      <c r="L187" s="13">
        <f t="shared" si="37"/>
        <v>0</v>
      </c>
      <c r="M187" s="13">
        <f t="shared" si="37"/>
        <v>7</v>
      </c>
      <c r="N187" s="13">
        <f t="shared" si="37"/>
        <v>0</v>
      </c>
      <c r="O187" s="13">
        <f t="shared" si="37"/>
        <v>1</v>
      </c>
      <c r="P187" s="13">
        <f t="shared" si="37"/>
        <v>4</v>
      </c>
      <c r="Q187" s="13">
        <f t="shared" si="37"/>
        <v>3</v>
      </c>
      <c r="R187" s="13">
        <f t="shared" si="37"/>
        <v>4</v>
      </c>
      <c r="S187" s="13">
        <f t="shared" si="37"/>
        <v>1</v>
      </c>
      <c r="T187" s="13">
        <f t="shared" si="37"/>
        <v>1</v>
      </c>
      <c r="U187" s="13">
        <f t="shared" si="37"/>
        <v>3</v>
      </c>
      <c r="V187" s="13">
        <f t="shared" si="37"/>
        <v>0</v>
      </c>
      <c r="W187" s="13">
        <f t="shared" si="37"/>
        <v>2</v>
      </c>
      <c r="X187" s="13">
        <f t="shared" si="37"/>
        <v>4</v>
      </c>
      <c r="Y187" s="13">
        <f t="shared" si="37"/>
        <v>2</v>
      </c>
      <c r="Z187" s="13">
        <f t="shared" si="37"/>
        <v>0</v>
      </c>
      <c r="AA187" s="13">
        <f t="shared" si="37"/>
        <v>1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0</v>
      </c>
      <c r="AF187" s="13">
        <f t="shared" si="37"/>
        <v>1</v>
      </c>
      <c r="AG187" s="13">
        <f t="shared" si="37"/>
        <v>2</v>
      </c>
      <c r="AH187" s="13">
        <f t="shared" si="37"/>
        <v>1</v>
      </c>
      <c r="AI187" s="13">
        <f t="shared" si="37"/>
        <v>3</v>
      </c>
      <c r="AJ187" s="13">
        <f t="shared" si="37"/>
        <v>1</v>
      </c>
      <c r="AK187" s="13">
        <f t="shared" si="37"/>
        <v>1</v>
      </c>
      <c r="AL187" s="13">
        <f t="shared" si="37"/>
        <v>0</v>
      </c>
      <c r="AM187" s="13">
        <f t="shared" si="37"/>
        <v>4</v>
      </c>
      <c r="AN187" s="13">
        <f t="shared" si="37"/>
        <v>4</v>
      </c>
      <c r="AO187" s="13">
        <f t="shared" si="37"/>
        <v>4</v>
      </c>
      <c r="AP187" s="13">
        <f t="shared" si="37"/>
        <v>1</v>
      </c>
      <c r="AQ187" s="13">
        <f t="shared" si="37"/>
        <v>0</v>
      </c>
      <c r="AR187" s="13">
        <f t="shared" si="37"/>
        <v>3</v>
      </c>
      <c r="AS187" s="13">
        <f t="shared" si="37"/>
        <v>2</v>
      </c>
      <c r="AT187" s="13">
        <f t="shared" si="37"/>
        <v>0</v>
      </c>
      <c r="AU187" s="13">
        <f t="shared" si="37"/>
        <v>3</v>
      </c>
      <c r="AV187" s="13">
        <f t="shared" si="37"/>
        <v>5</v>
      </c>
      <c r="AW187" s="13">
        <f t="shared" si="37"/>
        <v>5</v>
      </c>
      <c r="AX187" s="13">
        <f t="shared" si="37"/>
        <v>2</v>
      </c>
      <c r="AY187" s="13">
        <f t="shared" si="37"/>
        <v>0</v>
      </c>
      <c r="AZ187" s="13">
        <f t="shared" si="37"/>
        <v>1</v>
      </c>
      <c r="BA187" s="13">
        <f t="shared" si="37"/>
        <v>0</v>
      </c>
      <c r="BB187" s="13">
        <f t="shared" si="37"/>
        <v>3</v>
      </c>
      <c r="BC187" s="13">
        <f t="shared" si="37"/>
        <v>6</v>
      </c>
      <c r="BD187" s="13">
        <f t="shared" si="37"/>
        <v>1</v>
      </c>
      <c r="BE187" s="13">
        <f t="shared" si="37"/>
        <v>4</v>
      </c>
      <c r="BF187" s="13">
        <f t="shared" si="37"/>
        <v>2</v>
      </c>
      <c r="BG187" s="13">
        <f t="shared" si="37"/>
        <v>2</v>
      </c>
      <c r="BH187" s="13">
        <f t="shared" si="37"/>
        <v>2</v>
      </c>
      <c r="BI187" s="13">
        <f t="shared" si="37"/>
        <v>3</v>
      </c>
      <c r="BJ187" s="13">
        <f t="shared" si="37"/>
        <v>1</v>
      </c>
      <c r="BK187" s="13">
        <f t="shared" si="37"/>
        <v>0</v>
      </c>
      <c r="BL187" s="13">
        <f t="shared" si="37"/>
        <v>0</v>
      </c>
      <c r="BM187" s="13">
        <f t="shared" si="37"/>
        <v>0</v>
      </c>
      <c r="BN187" s="13">
        <f t="shared" si="37"/>
        <v>1</v>
      </c>
      <c r="BO187" s="13">
        <f t="shared" si="37"/>
        <v>1</v>
      </c>
      <c r="BP187" s="13">
        <f t="shared" si="37"/>
        <v>2</v>
      </c>
      <c r="BQ187" s="13">
        <f t="shared" si="37"/>
        <v>1</v>
      </c>
      <c r="BR187" s="13">
        <f t="shared" si="37"/>
        <v>114</v>
      </c>
      <c r="BS187" s="1"/>
      <c r="BT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1.0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1.0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1.0</v>
      </c>
      <c r="BF189" s="19">
        <v>0.0</v>
      </c>
      <c r="BG189" s="19">
        <v>1.0</v>
      </c>
      <c r="BH189" s="19">
        <v>0.0</v>
      </c>
      <c r="BI189" s="19">
        <v>0.0</v>
      </c>
      <c r="BJ189" s="19">
        <v>0.0</v>
      </c>
      <c r="BK189" s="19">
        <v>0.0</v>
      </c>
      <c r="BL189" s="19">
        <v>0.0</v>
      </c>
      <c r="BM189" s="19">
        <v>0.0</v>
      </c>
      <c r="BN189" s="19">
        <v>0.0</v>
      </c>
      <c r="BO189" s="19">
        <v>0.0</v>
      </c>
      <c r="BP189" s="19">
        <v>0.0</v>
      </c>
      <c r="BQ189" s="19">
        <v>0.0</v>
      </c>
      <c r="BR189" s="13">
        <f t="shared" ref="BR189:BR198" si="38">SUM(E189:BQ189)</f>
        <v>7</v>
      </c>
      <c r="BS189" s="5"/>
      <c r="BT189" s="5"/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2.0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1.0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1.0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1.0</v>
      </c>
      <c r="AZ190" s="19">
        <v>0.0</v>
      </c>
      <c r="BA190" s="19">
        <v>1.0</v>
      </c>
      <c r="BB190" s="19">
        <v>0.0</v>
      </c>
      <c r="BC190" s="19">
        <v>0.0</v>
      </c>
      <c r="BD190" s="19">
        <v>0.0</v>
      </c>
      <c r="BE190" s="19">
        <v>1.0</v>
      </c>
      <c r="BF190" s="19">
        <v>1.0</v>
      </c>
      <c r="BG190" s="19">
        <v>1.0</v>
      </c>
      <c r="BH190" s="19">
        <v>0.0</v>
      </c>
      <c r="BI190" s="19">
        <v>0.0</v>
      </c>
      <c r="BJ190" s="19">
        <v>0.0</v>
      </c>
      <c r="BK190" s="19">
        <v>1.0</v>
      </c>
      <c r="BL190" s="19">
        <v>0.0</v>
      </c>
      <c r="BM190" s="19">
        <v>0.0</v>
      </c>
      <c r="BN190" s="19">
        <v>0.0</v>
      </c>
      <c r="BO190" s="19">
        <v>0.0</v>
      </c>
      <c r="BP190" s="19">
        <v>0.0</v>
      </c>
      <c r="BQ190" s="19">
        <v>0.0</v>
      </c>
      <c r="BR190" s="13">
        <f t="shared" si="38"/>
        <v>12</v>
      </c>
      <c r="BS190" s="5"/>
      <c r="BT190" s="5"/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1.0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3.0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2.0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1.0</v>
      </c>
      <c r="BF191" s="19">
        <v>0.0</v>
      </c>
      <c r="BG191" s="19">
        <v>0.0</v>
      </c>
      <c r="BH191" s="19">
        <v>0.0</v>
      </c>
      <c r="BI191" s="19">
        <v>0.0</v>
      </c>
      <c r="BJ191" s="19">
        <v>0.0</v>
      </c>
      <c r="BK191" s="19">
        <v>0.0</v>
      </c>
      <c r="BL191" s="19">
        <v>0.0</v>
      </c>
      <c r="BM191" s="19">
        <v>0.0</v>
      </c>
      <c r="BN191" s="19">
        <v>0.0</v>
      </c>
      <c r="BO191" s="19">
        <v>0.0</v>
      </c>
      <c r="BP191" s="19">
        <v>0.0</v>
      </c>
      <c r="BQ191" s="19">
        <v>0.0</v>
      </c>
      <c r="BR191" s="13">
        <f t="shared" si="38"/>
        <v>8</v>
      </c>
      <c r="BS191" s="5"/>
      <c r="BT191" s="5"/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1.0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9">
        <v>0.0</v>
      </c>
      <c r="BL192" s="19">
        <v>0.0</v>
      </c>
      <c r="BM192" s="19">
        <v>0.0</v>
      </c>
      <c r="BN192" s="19">
        <v>0.0</v>
      </c>
      <c r="BO192" s="19">
        <v>0.0</v>
      </c>
      <c r="BP192" s="19">
        <v>0.0</v>
      </c>
      <c r="BQ192" s="19">
        <v>0.0</v>
      </c>
      <c r="BR192" s="13">
        <f t="shared" si="38"/>
        <v>1</v>
      </c>
      <c r="BS192" s="5"/>
      <c r="BT192" s="5"/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1.0</v>
      </c>
      <c r="BH193" s="19">
        <v>0.0</v>
      </c>
      <c r="BI193" s="19">
        <v>0.0</v>
      </c>
      <c r="BJ193" s="19">
        <v>0.0</v>
      </c>
      <c r="BK193" s="19">
        <v>0.0</v>
      </c>
      <c r="BL193" s="19">
        <v>0.0</v>
      </c>
      <c r="BM193" s="19">
        <v>0.0</v>
      </c>
      <c r="BN193" s="19">
        <v>0.0</v>
      </c>
      <c r="BO193" s="19">
        <v>0.0</v>
      </c>
      <c r="BP193" s="19">
        <v>0.0</v>
      </c>
      <c r="BQ193" s="19">
        <v>0.0</v>
      </c>
      <c r="BR193" s="13">
        <f t="shared" si="38"/>
        <v>1</v>
      </c>
      <c r="BS193" s="5"/>
      <c r="BT193" s="5"/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1.0</v>
      </c>
      <c r="BE194" s="19">
        <v>0.0</v>
      </c>
      <c r="BF194" s="19">
        <v>0.0</v>
      </c>
      <c r="BG194" s="19">
        <v>0.0</v>
      </c>
      <c r="BH194" s="19">
        <v>0.0</v>
      </c>
      <c r="BI194" s="19">
        <v>0.0</v>
      </c>
      <c r="BJ194" s="19">
        <v>0.0</v>
      </c>
      <c r="BK194" s="19">
        <v>0.0</v>
      </c>
      <c r="BL194" s="19">
        <v>0.0</v>
      </c>
      <c r="BM194" s="19">
        <v>0.0</v>
      </c>
      <c r="BN194" s="19">
        <v>0.0</v>
      </c>
      <c r="BO194" s="19">
        <v>0.0</v>
      </c>
      <c r="BP194" s="19">
        <v>0.0</v>
      </c>
      <c r="BQ194" s="19">
        <v>0.0</v>
      </c>
      <c r="BR194" s="13">
        <f t="shared" si="38"/>
        <v>1</v>
      </c>
      <c r="BS194" s="5"/>
      <c r="BT194" s="5"/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9">
        <v>0.0</v>
      </c>
      <c r="BL195" s="19">
        <v>0.0</v>
      </c>
      <c r="BM195" s="19">
        <v>0.0</v>
      </c>
      <c r="BN195" s="19">
        <v>0.0</v>
      </c>
      <c r="BO195" s="19">
        <v>0.0</v>
      </c>
      <c r="BP195" s="19">
        <v>0.0</v>
      </c>
      <c r="BQ195" s="19">
        <v>0.0</v>
      </c>
      <c r="BR195" s="13">
        <f t="shared" si="38"/>
        <v>0</v>
      </c>
      <c r="BS195" s="5"/>
      <c r="BT195" s="5"/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9">
        <v>0.0</v>
      </c>
      <c r="BL196" s="19">
        <v>0.0</v>
      </c>
      <c r="BM196" s="19">
        <v>0.0</v>
      </c>
      <c r="BN196" s="19">
        <v>0.0</v>
      </c>
      <c r="BO196" s="19">
        <v>0.0</v>
      </c>
      <c r="BP196" s="19">
        <v>0.0</v>
      </c>
      <c r="BQ196" s="19">
        <v>0.0</v>
      </c>
      <c r="BR196" s="13">
        <f t="shared" si="38"/>
        <v>0</v>
      </c>
      <c r="BS196" s="1"/>
      <c r="BT196" s="1"/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3">
        <f t="shared" si="38"/>
        <v>0</v>
      </c>
      <c r="BS197" s="1"/>
      <c r="BT197" s="1"/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3">
        <f t="shared" si="38"/>
        <v>0</v>
      </c>
      <c r="BS198" s="1"/>
      <c r="BT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R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0</v>
      </c>
      <c r="AB199" s="13">
        <f t="shared" si="39"/>
        <v>2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2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5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1</v>
      </c>
      <c r="AY199" s="13">
        <f t="shared" si="39"/>
        <v>1</v>
      </c>
      <c r="AZ199" s="13">
        <f t="shared" si="39"/>
        <v>2</v>
      </c>
      <c r="BA199" s="13">
        <f t="shared" si="39"/>
        <v>1</v>
      </c>
      <c r="BB199" s="13">
        <f t="shared" si="39"/>
        <v>0</v>
      </c>
      <c r="BC199" s="13">
        <f t="shared" si="39"/>
        <v>0</v>
      </c>
      <c r="BD199" s="13">
        <f t="shared" si="39"/>
        <v>1</v>
      </c>
      <c r="BE199" s="13">
        <f t="shared" si="39"/>
        <v>3</v>
      </c>
      <c r="BF199" s="13">
        <f t="shared" si="39"/>
        <v>1</v>
      </c>
      <c r="BG199" s="13">
        <f t="shared" si="39"/>
        <v>3</v>
      </c>
      <c r="BH199" s="13">
        <f t="shared" si="39"/>
        <v>0</v>
      </c>
      <c r="BI199" s="13">
        <f t="shared" si="39"/>
        <v>0</v>
      </c>
      <c r="BJ199" s="13">
        <f t="shared" si="39"/>
        <v>0</v>
      </c>
      <c r="BK199" s="13">
        <f t="shared" si="39"/>
        <v>1</v>
      </c>
      <c r="BL199" s="13">
        <f t="shared" si="39"/>
        <v>0</v>
      </c>
      <c r="BM199" s="13">
        <f t="shared" si="39"/>
        <v>0</v>
      </c>
      <c r="BN199" s="13">
        <f t="shared" si="39"/>
        <v>0</v>
      </c>
      <c r="BO199" s="13">
        <f t="shared" si="39"/>
        <v>0</v>
      </c>
      <c r="BP199" s="13">
        <f t="shared" si="39"/>
        <v>0</v>
      </c>
      <c r="BQ199" s="13">
        <f t="shared" si="39"/>
        <v>0</v>
      </c>
      <c r="BR199" s="13">
        <f t="shared" si="39"/>
        <v>30</v>
      </c>
      <c r="BS199" s="52"/>
      <c r="BT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5"/>
      <c r="BT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1.0</v>
      </c>
      <c r="G201" s="19">
        <v>1.0</v>
      </c>
      <c r="H201" s="19">
        <v>3.0</v>
      </c>
      <c r="I201" s="19">
        <v>3.0</v>
      </c>
      <c r="J201" s="19">
        <v>1.0</v>
      </c>
      <c r="K201" s="19">
        <v>3.0</v>
      </c>
      <c r="L201" s="19">
        <v>0.0</v>
      </c>
      <c r="M201" s="19">
        <v>2.0</v>
      </c>
      <c r="N201" s="19">
        <v>0.0</v>
      </c>
      <c r="O201" s="19">
        <v>0.0</v>
      </c>
      <c r="P201" s="19">
        <v>1.0</v>
      </c>
      <c r="Q201" s="19">
        <v>2.0</v>
      </c>
      <c r="R201" s="19">
        <v>8.0</v>
      </c>
      <c r="S201" s="19">
        <v>4.0</v>
      </c>
      <c r="T201" s="19">
        <v>1.0</v>
      </c>
      <c r="U201" s="19">
        <v>0.0</v>
      </c>
      <c r="V201" s="19">
        <v>3.0</v>
      </c>
      <c r="W201" s="19">
        <v>2.0</v>
      </c>
      <c r="X201" s="19">
        <v>4.0</v>
      </c>
      <c r="Y201" s="19">
        <v>2.0</v>
      </c>
      <c r="Z201" s="19">
        <v>7.0</v>
      </c>
      <c r="AA201" s="19">
        <v>0.0</v>
      </c>
      <c r="AB201" s="19">
        <v>0.0</v>
      </c>
      <c r="AC201" s="19">
        <v>2.0</v>
      </c>
      <c r="AD201" s="19">
        <v>0.0</v>
      </c>
      <c r="AE201" s="19">
        <v>2.0</v>
      </c>
      <c r="AF201" s="19">
        <v>3.0</v>
      </c>
      <c r="AG201" s="19">
        <v>1.0</v>
      </c>
      <c r="AH201" s="19">
        <v>3.0</v>
      </c>
      <c r="AI201" s="19">
        <v>3.0</v>
      </c>
      <c r="AJ201" s="19">
        <v>3.0</v>
      </c>
      <c r="AK201" s="19">
        <v>4.0</v>
      </c>
      <c r="AL201" s="19">
        <v>1.0</v>
      </c>
      <c r="AM201" s="19">
        <v>3.0</v>
      </c>
      <c r="AN201" s="19">
        <v>2.0</v>
      </c>
      <c r="AO201" s="19">
        <v>1.0</v>
      </c>
      <c r="AP201" s="19">
        <v>3.0</v>
      </c>
      <c r="AQ201" s="19">
        <v>0.0</v>
      </c>
      <c r="AR201" s="19">
        <v>5.0</v>
      </c>
      <c r="AS201" s="19">
        <v>0.0</v>
      </c>
      <c r="AT201" s="19">
        <v>1.0</v>
      </c>
      <c r="AU201" s="19">
        <v>3.0</v>
      </c>
      <c r="AV201" s="19">
        <v>4.0</v>
      </c>
      <c r="AW201" s="19">
        <v>1.0</v>
      </c>
      <c r="AX201" s="19">
        <v>5.0</v>
      </c>
      <c r="AY201" s="19">
        <v>1.0</v>
      </c>
      <c r="AZ201" s="19">
        <v>1.0</v>
      </c>
      <c r="BA201" s="19">
        <v>4.0</v>
      </c>
      <c r="BB201" s="19">
        <v>0.0</v>
      </c>
      <c r="BC201" s="19">
        <v>3.0</v>
      </c>
      <c r="BD201" s="19">
        <v>3.0</v>
      </c>
      <c r="BE201" s="19">
        <v>0.0</v>
      </c>
      <c r="BF201" s="19">
        <v>1.0</v>
      </c>
      <c r="BG201" s="19">
        <v>0.0</v>
      </c>
      <c r="BH201" s="19">
        <v>0.0</v>
      </c>
      <c r="BI201" s="19">
        <v>2.0</v>
      </c>
      <c r="BJ201" s="19">
        <v>4.0</v>
      </c>
      <c r="BK201" s="19">
        <v>5.0</v>
      </c>
      <c r="BL201" s="19">
        <v>4.0</v>
      </c>
      <c r="BM201" s="19">
        <v>2.0</v>
      </c>
      <c r="BN201" s="19">
        <v>1.0</v>
      </c>
      <c r="BO201" s="19">
        <v>0.0</v>
      </c>
      <c r="BP201" s="19">
        <v>1.0</v>
      </c>
      <c r="BQ201" s="19">
        <v>1.0</v>
      </c>
      <c r="BR201" s="13">
        <f t="shared" ref="BR201:BR210" si="40">SUM(E201:BQ201)</f>
        <v>133</v>
      </c>
      <c r="BS201" s="5"/>
      <c r="BT201" s="5"/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0.0</v>
      </c>
      <c r="F202" s="19">
        <v>1.0</v>
      </c>
      <c r="G202" s="19">
        <v>1.0</v>
      </c>
      <c r="H202" s="19">
        <v>2.0</v>
      </c>
      <c r="I202" s="19">
        <v>2.0</v>
      </c>
      <c r="J202" s="19">
        <v>7.0</v>
      </c>
      <c r="K202" s="19">
        <v>2.0</v>
      </c>
      <c r="L202" s="19">
        <v>10.0</v>
      </c>
      <c r="M202" s="19">
        <v>5.0</v>
      </c>
      <c r="N202" s="19">
        <v>6.0</v>
      </c>
      <c r="O202" s="19">
        <v>0.0</v>
      </c>
      <c r="P202" s="19">
        <v>4.0</v>
      </c>
      <c r="Q202" s="19">
        <v>0.0</v>
      </c>
      <c r="R202" s="19">
        <v>5.0</v>
      </c>
      <c r="S202" s="19">
        <v>3.0</v>
      </c>
      <c r="T202" s="19">
        <v>4.0</v>
      </c>
      <c r="U202" s="19">
        <v>0.0</v>
      </c>
      <c r="V202" s="19">
        <v>5.0</v>
      </c>
      <c r="W202" s="19">
        <v>4.0</v>
      </c>
      <c r="X202" s="19">
        <v>5.0</v>
      </c>
      <c r="Y202" s="19">
        <v>6.0</v>
      </c>
      <c r="Z202" s="19">
        <v>10.0</v>
      </c>
      <c r="AA202" s="19">
        <v>1.0</v>
      </c>
      <c r="AB202" s="19">
        <v>0.0</v>
      </c>
      <c r="AC202" s="19">
        <v>3.0</v>
      </c>
      <c r="AD202" s="19">
        <v>2.0</v>
      </c>
      <c r="AE202" s="19">
        <v>6.0</v>
      </c>
      <c r="AF202" s="19">
        <v>0.0</v>
      </c>
      <c r="AG202" s="19">
        <v>10.0</v>
      </c>
      <c r="AH202" s="19">
        <v>3.0</v>
      </c>
      <c r="AI202" s="19">
        <v>4.0</v>
      </c>
      <c r="AJ202" s="19">
        <v>2.0</v>
      </c>
      <c r="AK202" s="19">
        <v>2.0</v>
      </c>
      <c r="AL202" s="19">
        <v>0.0</v>
      </c>
      <c r="AM202" s="19">
        <v>5.0</v>
      </c>
      <c r="AN202" s="19">
        <v>1.0</v>
      </c>
      <c r="AO202" s="19">
        <v>1.0</v>
      </c>
      <c r="AP202" s="19">
        <v>7.0</v>
      </c>
      <c r="AQ202" s="19">
        <v>1.0</v>
      </c>
      <c r="AR202" s="19">
        <v>1.0</v>
      </c>
      <c r="AS202" s="19">
        <v>0.0</v>
      </c>
      <c r="AT202" s="19">
        <v>1.0</v>
      </c>
      <c r="AU202" s="19">
        <v>4.0</v>
      </c>
      <c r="AV202" s="19">
        <v>1.0</v>
      </c>
      <c r="AW202" s="19">
        <v>0.0</v>
      </c>
      <c r="AX202" s="19">
        <v>1.0</v>
      </c>
      <c r="AY202" s="19">
        <v>2.0</v>
      </c>
      <c r="AZ202" s="19">
        <v>3.0</v>
      </c>
      <c r="BA202" s="19">
        <v>6.0</v>
      </c>
      <c r="BB202" s="19">
        <v>3.0</v>
      </c>
      <c r="BC202" s="19">
        <v>3.0</v>
      </c>
      <c r="BD202" s="19">
        <v>0.0</v>
      </c>
      <c r="BE202" s="19">
        <v>3.0</v>
      </c>
      <c r="BF202" s="19">
        <v>0.0</v>
      </c>
      <c r="BG202" s="19">
        <v>0.0</v>
      </c>
      <c r="BH202" s="19">
        <v>5.0</v>
      </c>
      <c r="BI202" s="19">
        <v>0.0</v>
      </c>
      <c r="BJ202" s="19">
        <v>5.0</v>
      </c>
      <c r="BK202" s="19">
        <v>11.0</v>
      </c>
      <c r="BL202" s="19">
        <v>1.0</v>
      </c>
      <c r="BM202" s="19">
        <v>0.0</v>
      </c>
      <c r="BN202" s="19">
        <v>6.0</v>
      </c>
      <c r="BO202" s="19">
        <v>0.0</v>
      </c>
      <c r="BP202" s="19">
        <v>1.0</v>
      </c>
      <c r="BQ202" s="19">
        <v>2.0</v>
      </c>
      <c r="BR202" s="13">
        <f t="shared" si="40"/>
        <v>189</v>
      </c>
      <c r="BS202" s="5"/>
      <c r="BT202" s="5"/>
    </row>
    <row r="203" ht="12.75" customHeight="1">
      <c r="A203" s="18"/>
      <c r="B203" s="55">
        <v>2.0</v>
      </c>
      <c r="C203" s="50" t="s">
        <v>149</v>
      </c>
      <c r="D203" s="62"/>
      <c r="E203" s="19">
        <v>1.0</v>
      </c>
      <c r="F203" s="19">
        <v>1.0</v>
      </c>
      <c r="G203" s="19">
        <v>0.0</v>
      </c>
      <c r="H203" s="19">
        <v>2.0</v>
      </c>
      <c r="I203" s="19">
        <v>2.0</v>
      </c>
      <c r="J203" s="19">
        <v>2.0</v>
      </c>
      <c r="K203" s="19">
        <v>0.0</v>
      </c>
      <c r="L203" s="19">
        <v>1.0</v>
      </c>
      <c r="M203" s="19">
        <v>0.0</v>
      </c>
      <c r="N203" s="19">
        <v>2.0</v>
      </c>
      <c r="O203" s="19">
        <v>0.0</v>
      </c>
      <c r="P203" s="19">
        <v>0.0</v>
      </c>
      <c r="Q203" s="19">
        <v>2.0</v>
      </c>
      <c r="R203" s="19">
        <v>6.0</v>
      </c>
      <c r="S203" s="19">
        <v>3.0</v>
      </c>
      <c r="T203" s="19">
        <v>2.0</v>
      </c>
      <c r="U203" s="19">
        <v>2.0</v>
      </c>
      <c r="V203" s="19">
        <v>1.0</v>
      </c>
      <c r="W203" s="19">
        <v>1.0</v>
      </c>
      <c r="X203" s="19">
        <v>2.0</v>
      </c>
      <c r="Y203" s="19">
        <v>1.0</v>
      </c>
      <c r="Z203" s="19">
        <v>1.0</v>
      </c>
      <c r="AA203" s="19">
        <v>2.0</v>
      </c>
      <c r="AB203" s="19">
        <v>0.0</v>
      </c>
      <c r="AC203" s="19">
        <v>1.0</v>
      </c>
      <c r="AD203" s="19">
        <v>0.0</v>
      </c>
      <c r="AE203" s="19">
        <v>1.0</v>
      </c>
      <c r="AF203" s="19">
        <v>0.0</v>
      </c>
      <c r="AG203" s="19">
        <v>2.0</v>
      </c>
      <c r="AH203" s="19">
        <v>1.0</v>
      </c>
      <c r="AI203" s="19">
        <v>0.0</v>
      </c>
      <c r="AJ203" s="19">
        <v>2.0</v>
      </c>
      <c r="AK203" s="19">
        <v>6.0</v>
      </c>
      <c r="AL203" s="19">
        <v>0.0</v>
      </c>
      <c r="AM203" s="19">
        <v>4.0</v>
      </c>
      <c r="AN203" s="19">
        <v>0.0</v>
      </c>
      <c r="AO203" s="19">
        <v>1.0</v>
      </c>
      <c r="AP203" s="19">
        <v>3.0</v>
      </c>
      <c r="AQ203" s="19">
        <v>2.0</v>
      </c>
      <c r="AR203" s="19">
        <v>0.0</v>
      </c>
      <c r="AS203" s="19">
        <v>1.0</v>
      </c>
      <c r="AT203" s="19">
        <v>0.0</v>
      </c>
      <c r="AU203" s="19">
        <v>2.0</v>
      </c>
      <c r="AV203" s="19">
        <v>1.0</v>
      </c>
      <c r="AW203" s="19">
        <v>0.0</v>
      </c>
      <c r="AX203" s="19">
        <v>0.0</v>
      </c>
      <c r="AY203" s="19">
        <v>2.0</v>
      </c>
      <c r="AZ203" s="19">
        <v>0.0</v>
      </c>
      <c r="BA203" s="19">
        <v>5.0</v>
      </c>
      <c r="BB203" s="19">
        <v>0.0</v>
      </c>
      <c r="BC203" s="19">
        <v>0.0</v>
      </c>
      <c r="BD203" s="19">
        <v>0.0</v>
      </c>
      <c r="BE203" s="19">
        <v>2.0</v>
      </c>
      <c r="BF203" s="19">
        <v>0.0</v>
      </c>
      <c r="BG203" s="19">
        <v>2.0</v>
      </c>
      <c r="BH203" s="19">
        <v>1.0</v>
      </c>
      <c r="BI203" s="19">
        <v>1.0</v>
      </c>
      <c r="BJ203" s="19">
        <v>1.0</v>
      </c>
      <c r="BK203" s="19">
        <v>0.0</v>
      </c>
      <c r="BL203" s="19">
        <v>0.0</v>
      </c>
      <c r="BM203" s="19">
        <v>0.0</v>
      </c>
      <c r="BN203" s="19">
        <v>1.0</v>
      </c>
      <c r="BO203" s="19">
        <v>1.0</v>
      </c>
      <c r="BP203" s="19">
        <v>0.0</v>
      </c>
      <c r="BQ203" s="19">
        <v>1.0</v>
      </c>
      <c r="BR203" s="13">
        <f t="shared" si="40"/>
        <v>78</v>
      </c>
      <c r="BS203" s="5"/>
      <c r="BT203" s="5"/>
    </row>
    <row r="204" ht="12.75" customHeight="1">
      <c r="A204" s="18"/>
      <c r="B204" s="55">
        <v>3.0</v>
      </c>
      <c r="C204" s="50" t="s">
        <v>150</v>
      </c>
      <c r="D204" s="62"/>
      <c r="E204" s="19">
        <v>0.0</v>
      </c>
      <c r="F204" s="19">
        <v>0.0</v>
      </c>
      <c r="G204" s="19">
        <v>2.0</v>
      </c>
      <c r="H204" s="19">
        <v>1.0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2.0</v>
      </c>
      <c r="Q204" s="19">
        <v>13.0</v>
      </c>
      <c r="R204" s="19">
        <v>4.0</v>
      </c>
      <c r="S204" s="19">
        <v>0.0</v>
      </c>
      <c r="T204" s="19">
        <v>1.0</v>
      </c>
      <c r="U204" s="19">
        <v>2.0</v>
      </c>
      <c r="V204" s="19">
        <v>2.0</v>
      </c>
      <c r="W204" s="19">
        <v>0.0</v>
      </c>
      <c r="X204" s="19">
        <v>2.0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9">
        <v>1.0</v>
      </c>
      <c r="AI204" s="19">
        <v>4.0</v>
      </c>
      <c r="AJ204" s="19">
        <v>10.0</v>
      </c>
      <c r="AK204" s="19">
        <v>3.0</v>
      </c>
      <c r="AL204" s="19">
        <v>9.0</v>
      </c>
      <c r="AM204" s="19">
        <v>0.0</v>
      </c>
      <c r="AN204" s="19">
        <v>0.0</v>
      </c>
      <c r="AO204" s="19">
        <v>0.0</v>
      </c>
      <c r="AP204" s="19">
        <v>1.0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1.0</v>
      </c>
      <c r="AV204" s="19">
        <v>0.0</v>
      </c>
      <c r="AW204" s="19">
        <v>1.0</v>
      </c>
      <c r="AX204" s="19">
        <v>0.0</v>
      </c>
      <c r="AY204" s="19">
        <v>1.0</v>
      </c>
      <c r="AZ204" s="19">
        <v>0.0</v>
      </c>
      <c r="BA204" s="19">
        <v>0.0</v>
      </c>
      <c r="BB204" s="19">
        <v>1.0</v>
      </c>
      <c r="BC204" s="19">
        <v>0.0</v>
      </c>
      <c r="BD204" s="19">
        <v>0.0</v>
      </c>
      <c r="BE204" s="19">
        <v>0.0</v>
      </c>
      <c r="BF204" s="19">
        <v>1.0</v>
      </c>
      <c r="BG204" s="19">
        <v>0.0</v>
      </c>
      <c r="BH204" s="19">
        <v>0.0</v>
      </c>
      <c r="BI204" s="19">
        <v>0.0</v>
      </c>
      <c r="BJ204" s="19">
        <v>2.0</v>
      </c>
      <c r="BK204" s="19">
        <v>0.0</v>
      </c>
      <c r="BL204" s="19">
        <v>0.0</v>
      </c>
      <c r="BM204" s="19">
        <v>1.0</v>
      </c>
      <c r="BN204" s="19">
        <v>0.0</v>
      </c>
      <c r="BO204" s="19">
        <v>0.0</v>
      </c>
      <c r="BP204" s="19">
        <v>0.0</v>
      </c>
      <c r="BQ204" s="19">
        <v>0.0</v>
      </c>
      <c r="BR204" s="13">
        <f t="shared" si="40"/>
        <v>68</v>
      </c>
      <c r="BS204" s="5"/>
      <c r="BT204" s="5"/>
    </row>
    <row r="205" ht="12.75" customHeight="1">
      <c r="A205" s="18"/>
      <c r="B205" s="55">
        <v>4.0</v>
      </c>
      <c r="C205" s="50" t="s">
        <v>151</v>
      </c>
      <c r="D205" s="62"/>
      <c r="E205" s="19">
        <v>1.0</v>
      </c>
      <c r="F205" s="19">
        <v>2.0</v>
      </c>
      <c r="G205" s="19">
        <v>2.0</v>
      </c>
      <c r="H205" s="19">
        <v>1.0</v>
      </c>
      <c r="I205" s="19">
        <v>1.0</v>
      </c>
      <c r="J205" s="19">
        <v>0.0</v>
      </c>
      <c r="K205" s="19">
        <v>1.0</v>
      </c>
      <c r="L205" s="19">
        <v>2.0</v>
      </c>
      <c r="M205" s="19">
        <v>2.0</v>
      </c>
      <c r="N205" s="19">
        <v>1.0</v>
      </c>
      <c r="O205" s="19">
        <v>4.0</v>
      </c>
      <c r="P205" s="19">
        <v>0.0</v>
      </c>
      <c r="Q205" s="19">
        <v>1.0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1.0</v>
      </c>
      <c r="AH205" s="19">
        <v>0.0</v>
      </c>
      <c r="AI205" s="19">
        <v>0.0</v>
      </c>
      <c r="AJ205" s="19">
        <v>0.0</v>
      </c>
      <c r="AK205" s="19">
        <v>1.0</v>
      </c>
      <c r="AL205" s="19">
        <v>0.0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9">
        <v>2.0</v>
      </c>
      <c r="AW205" s="19">
        <v>0.0</v>
      </c>
      <c r="AX205" s="19">
        <v>0.0</v>
      </c>
      <c r="AY205" s="19">
        <v>0.0</v>
      </c>
      <c r="AZ205" s="19">
        <v>0.0</v>
      </c>
      <c r="BA205" s="19">
        <v>0.0</v>
      </c>
      <c r="BB205" s="19">
        <v>0.0</v>
      </c>
      <c r="BC205" s="19">
        <v>1.0</v>
      </c>
      <c r="BD205" s="19">
        <v>0.0</v>
      </c>
      <c r="BE205" s="19">
        <v>0.0</v>
      </c>
      <c r="BF205" s="19">
        <v>0.0</v>
      </c>
      <c r="BG205" s="19">
        <v>0.0</v>
      </c>
      <c r="BH205" s="19">
        <v>1.0</v>
      </c>
      <c r="BI205" s="19">
        <v>0.0</v>
      </c>
      <c r="BJ205" s="19">
        <v>0.0</v>
      </c>
      <c r="BK205" s="19">
        <v>0.0</v>
      </c>
      <c r="BL205" s="19">
        <v>0.0</v>
      </c>
      <c r="BM205" s="19">
        <v>0.0</v>
      </c>
      <c r="BN205" s="19">
        <v>0.0</v>
      </c>
      <c r="BO205" s="19">
        <v>0.0</v>
      </c>
      <c r="BP205" s="19">
        <v>0.0</v>
      </c>
      <c r="BQ205" s="19">
        <v>0.0</v>
      </c>
      <c r="BR205" s="13">
        <f t="shared" si="40"/>
        <v>26</v>
      </c>
      <c r="BS205" s="5"/>
      <c r="BT205" s="5"/>
    </row>
    <row r="206" ht="12.75" customHeight="1">
      <c r="A206" s="18"/>
      <c r="B206" s="55">
        <v>5.0</v>
      </c>
      <c r="C206" s="50" t="s">
        <v>152</v>
      </c>
      <c r="D206" s="62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2.0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2.0</v>
      </c>
      <c r="AF206" s="19">
        <v>0.0</v>
      </c>
      <c r="AG206" s="19">
        <v>0.0</v>
      </c>
      <c r="AH206" s="19">
        <v>0.0</v>
      </c>
      <c r="AI206" s="19">
        <v>1.0</v>
      </c>
      <c r="AJ206" s="19">
        <v>0.0</v>
      </c>
      <c r="AK206" s="19">
        <v>0.0</v>
      </c>
      <c r="AL206" s="19">
        <v>0.0</v>
      </c>
      <c r="AM206" s="19">
        <v>1.0</v>
      </c>
      <c r="AN206" s="19">
        <v>0.0</v>
      </c>
      <c r="AO206" s="19">
        <v>0.0</v>
      </c>
      <c r="AP206" s="19">
        <v>1.0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9">
        <v>0.0</v>
      </c>
      <c r="AY206" s="19">
        <v>0.0</v>
      </c>
      <c r="AZ206" s="19">
        <v>1.0</v>
      </c>
      <c r="BA206" s="19">
        <v>0.0</v>
      </c>
      <c r="BB206" s="19">
        <v>0.0</v>
      </c>
      <c r="BC206" s="19">
        <v>1.0</v>
      </c>
      <c r="BD206" s="19">
        <v>1.0</v>
      </c>
      <c r="BE206" s="19">
        <v>0.0</v>
      </c>
      <c r="BF206" s="19">
        <v>1.0</v>
      </c>
      <c r="BG206" s="19">
        <v>0.0</v>
      </c>
      <c r="BH206" s="19">
        <v>0.0</v>
      </c>
      <c r="BI206" s="19">
        <v>0.0</v>
      </c>
      <c r="BJ206" s="19">
        <v>0.0</v>
      </c>
      <c r="BK206" s="19">
        <v>1.0</v>
      </c>
      <c r="BL206" s="19">
        <v>0.0</v>
      </c>
      <c r="BM206" s="19">
        <v>0.0</v>
      </c>
      <c r="BN206" s="19">
        <v>0.0</v>
      </c>
      <c r="BO206" s="19">
        <v>0.0</v>
      </c>
      <c r="BP206" s="19">
        <v>0.0</v>
      </c>
      <c r="BQ206" s="19">
        <v>0.0</v>
      </c>
      <c r="BR206" s="13">
        <f t="shared" si="40"/>
        <v>15</v>
      </c>
      <c r="BS206" s="5"/>
      <c r="BT206" s="5"/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2.0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1.0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0.0</v>
      </c>
      <c r="BH207" s="19">
        <v>0.0</v>
      </c>
      <c r="BI207" s="19">
        <v>1.0</v>
      </c>
      <c r="BJ207" s="19">
        <v>0.0</v>
      </c>
      <c r="BK207" s="19">
        <v>0.0</v>
      </c>
      <c r="BL207" s="19">
        <v>0.0</v>
      </c>
      <c r="BM207" s="19">
        <v>0.0</v>
      </c>
      <c r="BN207" s="19">
        <v>0.0</v>
      </c>
      <c r="BO207" s="19">
        <v>0.0</v>
      </c>
      <c r="BP207" s="19">
        <v>0.0</v>
      </c>
      <c r="BQ207" s="19">
        <v>0.0</v>
      </c>
      <c r="BR207" s="13">
        <f t="shared" si="40"/>
        <v>4</v>
      </c>
      <c r="BS207" s="1"/>
      <c r="BT207" s="1"/>
    </row>
    <row r="208" ht="12.75" customHeight="1">
      <c r="A208" s="18"/>
      <c r="B208" s="55">
        <v>7.0</v>
      </c>
      <c r="C208" s="50" t="s">
        <v>154</v>
      </c>
      <c r="D208" s="62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1.0</v>
      </c>
      <c r="AV208" s="19">
        <v>0.0</v>
      </c>
      <c r="AW208" s="19">
        <v>0.0</v>
      </c>
      <c r="AX208" s="19">
        <v>0.0</v>
      </c>
      <c r="AY208" s="19">
        <v>0.0</v>
      </c>
      <c r="AZ208" s="19">
        <v>1.0</v>
      </c>
      <c r="BA208" s="19">
        <v>0.0</v>
      </c>
      <c r="BB208" s="19">
        <v>1.0</v>
      </c>
      <c r="BC208" s="19">
        <v>0.0</v>
      </c>
      <c r="BD208" s="19">
        <v>1.0</v>
      </c>
      <c r="BE208" s="19">
        <v>0.0</v>
      </c>
      <c r="BF208" s="19">
        <v>0.0</v>
      </c>
      <c r="BG208" s="19">
        <v>0.0</v>
      </c>
      <c r="BH208" s="19">
        <v>0.0</v>
      </c>
      <c r="BI208" s="19">
        <v>0.0</v>
      </c>
      <c r="BJ208" s="19">
        <v>1.0</v>
      </c>
      <c r="BK208" s="19">
        <v>0.0</v>
      </c>
      <c r="BL208" s="19">
        <v>0.0</v>
      </c>
      <c r="BM208" s="19">
        <v>0.0</v>
      </c>
      <c r="BN208" s="19">
        <v>0.0</v>
      </c>
      <c r="BO208" s="19">
        <v>0.0</v>
      </c>
      <c r="BP208" s="19">
        <v>0.0</v>
      </c>
      <c r="BQ208" s="19">
        <v>0.0</v>
      </c>
      <c r="BR208" s="13">
        <f t="shared" si="40"/>
        <v>6</v>
      </c>
      <c r="BS208" s="52"/>
      <c r="BT208" s="52"/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3">
        <f t="shared" si="40"/>
        <v>0</v>
      </c>
      <c r="BS209" s="52"/>
      <c r="BT209" s="52"/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3">
        <f t="shared" si="40"/>
        <v>0</v>
      </c>
      <c r="BS210" s="52"/>
      <c r="BT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R211" si="41">SUM(E201:E210)</f>
        <v>4</v>
      </c>
      <c r="F211" s="13">
        <f t="shared" si="41"/>
        <v>6</v>
      </c>
      <c r="G211" s="13">
        <f t="shared" si="41"/>
        <v>6</v>
      </c>
      <c r="H211" s="13">
        <f t="shared" si="41"/>
        <v>9</v>
      </c>
      <c r="I211" s="13">
        <f t="shared" si="41"/>
        <v>8</v>
      </c>
      <c r="J211" s="13">
        <f t="shared" si="41"/>
        <v>10</v>
      </c>
      <c r="K211" s="13">
        <f t="shared" si="41"/>
        <v>6</v>
      </c>
      <c r="L211" s="13">
        <f t="shared" si="41"/>
        <v>14</v>
      </c>
      <c r="M211" s="13">
        <f t="shared" si="41"/>
        <v>9</v>
      </c>
      <c r="N211" s="13">
        <f t="shared" si="41"/>
        <v>10</v>
      </c>
      <c r="O211" s="13">
        <f t="shared" si="41"/>
        <v>4</v>
      </c>
      <c r="P211" s="13">
        <f t="shared" si="41"/>
        <v>8</v>
      </c>
      <c r="Q211" s="13">
        <f t="shared" si="41"/>
        <v>18</v>
      </c>
      <c r="R211" s="13">
        <f t="shared" si="41"/>
        <v>23</v>
      </c>
      <c r="S211" s="13">
        <f t="shared" si="41"/>
        <v>11</v>
      </c>
      <c r="T211" s="13">
        <f t="shared" si="41"/>
        <v>10</v>
      </c>
      <c r="U211" s="13">
        <f t="shared" si="41"/>
        <v>4</v>
      </c>
      <c r="V211" s="13">
        <f t="shared" si="41"/>
        <v>11</v>
      </c>
      <c r="W211" s="13">
        <f t="shared" si="41"/>
        <v>8</v>
      </c>
      <c r="X211" s="13">
        <f t="shared" si="41"/>
        <v>13</v>
      </c>
      <c r="Y211" s="13">
        <f t="shared" si="41"/>
        <v>11</v>
      </c>
      <c r="Z211" s="13">
        <f t="shared" si="41"/>
        <v>19</v>
      </c>
      <c r="AA211" s="13">
        <f t="shared" si="41"/>
        <v>3</v>
      </c>
      <c r="AB211" s="13">
        <f t="shared" si="41"/>
        <v>0</v>
      </c>
      <c r="AC211" s="13">
        <f t="shared" si="41"/>
        <v>6</v>
      </c>
      <c r="AD211" s="13">
        <f t="shared" si="41"/>
        <v>2</v>
      </c>
      <c r="AE211" s="13">
        <f t="shared" si="41"/>
        <v>11</v>
      </c>
      <c r="AF211" s="13">
        <f t="shared" si="41"/>
        <v>4</v>
      </c>
      <c r="AG211" s="13">
        <f t="shared" si="41"/>
        <v>14</v>
      </c>
      <c r="AH211" s="13">
        <f t="shared" si="41"/>
        <v>8</v>
      </c>
      <c r="AI211" s="13">
        <f t="shared" si="41"/>
        <v>12</v>
      </c>
      <c r="AJ211" s="13">
        <f t="shared" si="41"/>
        <v>17</v>
      </c>
      <c r="AK211" s="13">
        <f t="shared" si="41"/>
        <v>16</v>
      </c>
      <c r="AL211" s="13">
        <f t="shared" si="41"/>
        <v>10</v>
      </c>
      <c r="AM211" s="13">
        <f t="shared" si="41"/>
        <v>14</v>
      </c>
      <c r="AN211" s="13">
        <f t="shared" si="41"/>
        <v>3</v>
      </c>
      <c r="AO211" s="13">
        <f t="shared" si="41"/>
        <v>3</v>
      </c>
      <c r="AP211" s="13">
        <f t="shared" si="41"/>
        <v>15</v>
      </c>
      <c r="AQ211" s="13">
        <f t="shared" si="41"/>
        <v>3</v>
      </c>
      <c r="AR211" s="13">
        <f t="shared" si="41"/>
        <v>6</v>
      </c>
      <c r="AS211" s="13">
        <f t="shared" si="41"/>
        <v>1</v>
      </c>
      <c r="AT211" s="13">
        <f t="shared" si="41"/>
        <v>2</v>
      </c>
      <c r="AU211" s="13">
        <f t="shared" si="41"/>
        <v>11</v>
      </c>
      <c r="AV211" s="13">
        <f t="shared" si="41"/>
        <v>8</v>
      </c>
      <c r="AW211" s="13">
        <f t="shared" si="41"/>
        <v>2</v>
      </c>
      <c r="AX211" s="13">
        <f t="shared" si="41"/>
        <v>6</v>
      </c>
      <c r="AY211" s="13">
        <f t="shared" si="41"/>
        <v>6</v>
      </c>
      <c r="AZ211" s="13">
        <f t="shared" si="41"/>
        <v>7</v>
      </c>
      <c r="BA211" s="13">
        <f t="shared" si="41"/>
        <v>15</v>
      </c>
      <c r="BB211" s="13">
        <f t="shared" si="41"/>
        <v>5</v>
      </c>
      <c r="BC211" s="13">
        <f t="shared" si="41"/>
        <v>8</v>
      </c>
      <c r="BD211" s="13">
        <f t="shared" si="41"/>
        <v>5</v>
      </c>
      <c r="BE211" s="13">
        <f t="shared" si="41"/>
        <v>5</v>
      </c>
      <c r="BF211" s="13">
        <f t="shared" si="41"/>
        <v>3</v>
      </c>
      <c r="BG211" s="13">
        <f t="shared" si="41"/>
        <v>2</v>
      </c>
      <c r="BH211" s="13">
        <f t="shared" si="41"/>
        <v>7</v>
      </c>
      <c r="BI211" s="13">
        <f t="shared" si="41"/>
        <v>4</v>
      </c>
      <c r="BJ211" s="13">
        <f t="shared" si="41"/>
        <v>13</v>
      </c>
      <c r="BK211" s="13">
        <f t="shared" si="41"/>
        <v>17</v>
      </c>
      <c r="BL211" s="13">
        <f t="shared" si="41"/>
        <v>5</v>
      </c>
      <c r="BM211" s="13">
        <f t="shared" si="41"/>
        <v>3</v>
      </c>
      <c r="BN211" s="13">
        <f t="shared" si="41"/>
        <v>8</v>
      </c>
      <c r="BO211" s="13">
        <f t="shared" si="41"/>
        <v>1</v>
      </c>
      <c r="BP211" s="13">
        <f t="shared" si="41"/>
        <v>2</v>
      </c>
      <c r="BQ211" s="13">
        <f t="shared" si="41"/>
        <v>4</v>
      </c>
      <c r="BR211" s="13">
        <f t="shared" si="41"/>
        <v>519</v>
      </c>
      <c r="BS211" s="5"/>
      <c r="BT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5"/>
      <c r="BT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0.0</v>
      </c>
      <c r="H213" s="19">
        <v>1.0</v>
      </c>
      <c r="I213" s="19">
        <v>0.0</v>
      </c>
      <c r="J213" s="19">
        <v>2.0</v>
      </c>
      <c r="K213" s="19">
        <v>3.0</v>
      </c>
      <c r="L213" s="19">
        <v>1.0</v>
      </c>
      <c r="M213" s="19">
        <v>1.0</v>
      </c>
      <c r="N213" s="19">
        <v>0.0</v>
      </c>
      <c r="O213" s="19">
        <v>0.0</v>
      </c>
      <c r="P213" s="19">
        <v>4.0</v>
      </c>
      <c r="Q213" s="19">
        <v>3.0</v>
      </c>
      <c r="R213" s="19">
        <v>3.0</v>
      </c>
      <c r="S213" s="19">
        <v>3.0</v>
      </c>
      <c r="T213" s="19">
        <v>2.0</v>
      </c>
      <c r="U213" s="19">
        <v>1.0</v>
      </c>
      <c r="V213" s="19">
        <v>1.0</v>
      </c>
      <c r="W213" s="19">
        <v>0.0</v>
      </c>
      <c r="X213" s="19">
        <v>3.0</v>
      </c>
      <c r="Y213" s="19">
        <v>3.0</v>
      </c>
      <c r="Z213" s="19">
        <v>1.0</v>
      </c>
      <c r="AA213" s="19">
        <v>0.0</v>
      </c>
      <c r="AB213" s="19">
        <v>12.0</v>
      </c>
      <c r="AC213" s="19">
        <v>11.0</v>
      </c>
      <c r="AD213" s="19">
        <v>10.0</v>
      </c>
      <c r="AE213" s="19">
        <v>1.0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2.0</v>
      </c>
      <c r="AL213" s="19">
        <v>2.0</v>
      </c>
      <c r="AM213" s="19">
        <v>1.0</v>
      </c>
      <c r="AN213" s="19">
        <v>0.0</v>
      </c>
      <c r="AO213" s="19">
        <v>0.0</v>
      </c>
      <c r="AP213" s="19">
        <v>1.0</v>
      </c>
      <c r="AQ213" s="19">
        <v>1.0</v>
      </c>
      <c r="AR213" s="19">
        <v>0.0</v>
      </c>
      <c r="AS213" s="19">
        <v>2.0</v>
      </c>
      <c r="AT213" s="19">
        <v>0.0</v>
      </c>
      <c r="AU213" s="19">
        <v>2.0</v>
      </c>
      <c r="AV213" s="19">
        <v>1.0</v>
      </c>
      <c r="AW213" s="19">
        <v>2.0</v>
      </c>
      <c r="AX213" s="19">
        <v>0.0</v>
      </c>
      <c r="AY213" s="19">
        <v>3.0</v>
      </c>
      <c r="AZ213" s="19">
        <v>2.0</v>
      </c>
      <c r="BA213" s="19">
        <v>3.0</v>
      </c>
      <c r="BB213" s="19">
        <v>1.0</v>
      </c>
      <c r="BC213" s="19">
        <v>0.0</v>
      </c>
      <c r="BD213" s="19">
        <v>0.0</v>
      </c>
      <c r="BE213" s="19">
        <v>3.0</v>
      </c>
      <c r="BF213" s="19">
        <v>1.0</v>
      </c>
      <c r="BG213" s="19">
        <v>1.0</v>
      </c>
      <c r="BH213" s="19">
        <v>2.0</v>
      </c>
      <c r="BI213" s="19">
        <v>1.0</v>
      </c>
      <c r="BJ213" s="19">
        <v>2.0</v>
      </c>
      <c r="BK213" s="19">
        <v>1.0</v>
      </c>
      <c r="BL213" s="19">
        <v>0.0</v>
      </c>
      <c r="BM213" s="19">
        <v>0.0</v>
      </c>
      <c r="BN213" s="19">
        <v>0.0</v>
      </c>
      <c r="BO213" s="19">
        <v>2.0</v>
      </c>
      <c r="BP213" s="19">
        <v>1.0</v>
      </c>
      <c r="BQ213" s="19">
        <v>0.0</v>
      </c>
      <c r="BR213" s="13">
        <f t="shared" ref="BR213:BR222" si="42">SUM(E213:BQ213)</f>
        <v>105</v>
      </c>
      <c r="BS213" s="5"/>
      <c r="BT213" s="5"/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0.0</v>
      </c>
      <c r="F214" s="19">
        <v>0.0</v>
      </c>
      <c r="G214" s="19">
        <v>0.0</v>
      </c>
      <c r="H214" s="19">
        <v>1.0</v>
      </c>
      <c r="I214" s="19">
        <v>0.0</v>
      </c>
      <c r="J214" s="19">
        <v>1.0</v>
      </c>
      <c r="K214" s="19">
        <v>0.0</v>
      </c>
      <c r="L214" s="19">
        <v>0.0</v>
      </c>
      <c r="M214" s="19">
        <v>1.0</v>
      </c>
      <c r="N214" s="19">
        <v>0.0</v>
      </c>
      <c r="O214" s="19">
        <v>1.0</v>
      </c>
      <c r="P214" s="19">
        <v>0.0</v>
      </c>
      <c r="Q214" s="19">
        <v>3.0</v>
      </c>
      <c r="R214" s="19">
        <v>0.0</v>
      </c>
      <c r="S214" s="19">
        <v>3.0</v>
      </c>
      <c r="T214" s="19">
        <v>0.0</v>
      </c>
      <c r="U214" s="19">
        <v>1.0</v>
      </c>
      <c r="V214" s="19">
        <v>0.0</v>
      </c>
      <c r="W214" s="19">
        <v>2.0</v>
      </c>
      <c r="X214" s="19">
        <v>3.0</v>
      </c>
      <c r="Y214" s="19">
        <v>1.0</v>
      </c>
      <c r="Z214" s="19">
        <v>0.0</v>
      </c>
      <c r="AA214" s="19">
        <v>1.0</v>
      </c>
      <c r="AB214" s="19">
        <v>0.0</v>
      </c>
      <c r="AC214" s="19">
        <v>3.0</v>
      </c>
      <c r="AD214" s="19">
        <v>2.0</v>
      </c>
      <c r="AE214" s="19">
        <v>0.0</v>
      </c>
      <c r="AF214" s="19">
        <v>1.0</v>
      </c>
      <c r="AG214" s="19">
        <v>0.0</v>
      </c>
      <c r="AH214" s="19">
        <v>1.0</v>
      </c>
      <c r="AI214" s="19">
        <v>1.0</v>
      </c>
      <c r="AJ214" s="19">
        <v>1.0</v>
      </c>
      <c r="AK214" s="19">
        <v>1.0</v>
      </c>
      <c r="AL214" s="19">
        <v>1.0</v>
      </c>
      <c r="AM214" s="19">
        <v>0.0</v>
      </c>
      <c r="AN214" s="19">
        <v>1.0</v>
      </c>
      <c r="AO214" s="19">
        <v>1.0</v>
      </c>
      <c r="AP214" s="19">
        <v>0.0</v>
      </c>
      <c r="AQ214" s="19">
        <v>0.0</v>
      </c>
      <c r="AR214" s="19">
        <v>1.0</v>
      </c>
      <c r="AS214" s="19">
        <v>0.0</v>
      </c>
      <c r="AT214" s="19">
        <v>0.0</v>
      </c>
      <c r="AU214" s="19">
        <v>0.0</v>
      </c>
      <c r="AV214" s="19">
        <v>4.0</v>
      </c>
      <c r="AW214" s="19">
        <v>0.0</v>
      </c>
      <c r="AX214" s="19">
        <v>1.0</v>
      </c>
      <c r="AY214" s="19">
        <v>2.0</v>
      </c>
      <c r="AZ214" s="19">
        <v>1.0</v>
      </c>
      <c r="BA214" s="19">
        <v>1.0</v>
      </c>
      <c r="BB214" s="19">
        <v>1.0</v>
      </c>
      <c r="BC214" s="19">
        <v>1.0</v>
      </c>
      <c r="BD214" s="19">
        <v>0.0</v>
      </c>
      <c r="BE214" s="19">
        <v>2.0</v>
      </c>
      <c r="BF214" s="19">
        <v>1.0</v>
      </c>
      <c r="BG214" s="19">
        <v>0.0</v>
      </c>
      <c r="BH214" s="19">
        <v>0.0</v>
      </c>
      <c r="BI214" s="19">
        <v>0.0</v>
      </c>
      <c r="BJ214" s="19">
        <v>3.0</v>
      </c>
      <c r="BK214" s="19">
        <v>1.0</v>
      </c>
      <c r="BL214" s="19">
        <v>1.0</v>
      </c>
      <c r="BM214" s="19">
        <v>0.0</v>
      </c>
      <c r="BN214" s="19">
        <v>0.0</v>
      </c>
      <c r="BO214" s="19">
        <v>0.0</v>
      </c>
      <c r="BP214" s="19">
        <v>0.0</v>
      </c>
      <c r="BQ214" s="19">
        <v>1.0</v>
      </c>
      <c r="BR214" s="13">
        <f t="shared" si="42"/>
        <v>52</v>
      </c>
      <c r="BS214" s="5"/>
      <c r="BT214" s="5"/>
    </row>
    <row r="215" ht="12.75" customHeight="1">
      <c r="A215" s="18"/>
      <c r="B215" s="55">
        <v>2.0</v>
      </c>
      <c r="C215" s="50" t="s">
        <v>158</v>
      </c>
      <c r="D215" s="61"/>
      <c r="E215" s="19">
        <v>2.0</v>
      </c>
      <c r="F215" s="19">
        <v>3.0</v>
      </c>
      <c r="G215" s="19">
        <v>0.0</v>
      </c>
      <c r="H215" s="19">
        <v>1.0</v>
      </c>
      <c r="I215" s="19">
        <v>1.0</v>
      </c>
      <c r="J215" s="19">
        <v>2.0</v>
      </c>
      <c r="K215" s="19">
        <v>4.0</v>
      </c>
      <c r="L215" s="19">
        <v>64.0</v>
      </c>
      <c r="M215" s="19">
        <v>2.0</v>
      </c>
      <c r="N215" s="19">
        <v>0.0</v>
      </c>
      <c r="O215" s="19">
        <v>14.0</v>
      </c>
      <c r="P215" s="19">
        <v>35.0</v>
      </c>
      <c r="Q215" s="19">
        <v>0.0</v>
      </c>
      <c r="R215" s="19">
        <v>1.0</v>
      </c>
      <c r="S215" s="19">
        <v>1.0</v>
      </c>
      <c r="T215" s="19">
        <v>0.0</v>
      </c>
      <c r="U215" s="19">
        <v>0.0</v>
      </c>
      <c r="V215" s="19">
        <v>1.0</v>
      </c>
      <c r="W215" s="19">
        <v>1.0</v>
      </c>
      <c r="X215" s="19">
        <v>1.0</v>
      </c>
      <c r="Y215" s="19">
        <v>11.0</v>
      </c>
      <c r="Z215" s="19">
        <v>13.0</v>
      </c>
      <c r="AA215" s="19">
        <v>1.0</v>
      </c>
      <c r="AB215" s="19">
        <v>23.0</v>
      </c>
      <c r="AC215" s="19">
        <v>22.0</v>
      </c>
      <c r="AD215" s="19">
        <v>13.0</v>
      </c>
      <c r="AE215" s="19">
        <v>0.0</v>
      </c>
      <c r="AF215" s="19">
        <v>0.0</v>
      </c>
      <c r="AG215" s="19">
        <v>0.0</v>
      </c>
      <c r="AH215" s="19">
        <v>1.0</v>
      </c>
      <c r="AI215" s="19">
        <v>0.0</v>
      </c>
      <c r="AJ215" s="19">
        <v>0.0</v>
      </c>
      <c r="AK215" s="19">
        <v>1.0</v>
      </c>
      <c r="AL215" s="19">
        <v>0.0</v>
      </c>
      <c r="AM215" s="19">
        <v>0.0</v>
      </c>
      <c r="AN215" s="19">
        <v>0.0</v>
      </c>
      <c r="AO215" s="19">
        <v>3.0</v>
      </c>
      <c r="AP215" s="19">
        <v>1.0</v>
      </c>
      <c r="AQ215" s="19">
        <v>2.0</v>
      </c>
      <c r="AR215" s="19">
        <v>0.0</v>
      </c>
      <c r="AS215" s="19">
        <v>2.0</v>
      </c>
      <c r="AT215" s="19">
        <v>2.0</v>
      </c>
      <c r="AU215" s="19">
        <v>1.0</v>
      </c>
      <c r="AV215" s="19">
        <v>2.0</v>
      </c>
      <c r="AW215" s="19">
        <v>1.0</v>
      </c>
      <c r="AX215" s="19">
        <v>6.0</v>
      </c>
      <c r="AY215" s="19">
        <v>20.0</v>
      </c>
      <c r="AZ215" s="19">
        <v>0.0</v>
      </c>
      <c r="BA215" s="19">
        <v>20.0</v>
      </c>
      <c r="BB215" s="19">
        <v>11.0</v>
      </c>
      <c r="BC215" s="19">
        <v>1.0</v>
      </c>
      <c r="BD215" s="19">
        <v>6.0</v>
      </c>
      <c r="BE215" s="19">
        <v>1.0</v>
      </c>
      <c r="BF215" s="19">
        <v>0.0</v>
      </c>
      <c r="BG215" s="19">
        <v>0.0</v>
      </c>
      <c r="BH215" s="19">
        <v>1.0</v>
      </c>
      <c r="BI215" s="19">
        <v>0.0</v>
      </c>
      <c r="BJ215" s="19">
        <v>0.0</v>
      </c>
      <c r="BK215" s="19">
        <v>1.0</v>
      </c>
      <c r="BL215" s="19">
        <v>0.0</v>
      </c>
      <c r="BM215" s="19">
        <v>1.0</v>
      </c>
      <c r="BN215" s="19">
        <v>9.0</v>
      </c>
      <c r="BO215" s="19">
        <v>8.0</v>
      </c>
      <c r="BP215" s="19">
        <v>2.0</v>
      </c>
      <c r="BQ215" s="19">
        <v>4.0</v>
      </c>
      <c r="BR215" s="13">
        <f t="shared" si="42"/>
        <v>323</v>
      </c>
      <c r="BS215" s="5"/>
      <c r="BT215" s="5"/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1.0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1.0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1.0</v>
      </c>
      <c r="AK216" s="19">
        <v>0.0</v>
      </c>
      <c r="AL216" s="19">
        <v>0.0</v>
      </c>
      <c r="AM216" s="19">
        <v>1.0</v>
      </c>
      <c r="AN216" s="19">
        <v>0.0</v>
      </c>
      <c r="AO216" s="19">
        <v>1.0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9">
        <v>0.0</v>
      </c>
      <c r="AY216" s="19">
        <v>0.0</v>
      </c>
      <c r="AZ216" s="19">
        <v>0.0</v>
      </c>
      <c r="BA216" s="19">
        <v>1.0</v>
      </c>
      <c r="BB216" s="19">
        <v>0.0</v>
      </c>
      <c r="BC216" s="19">
        <v>0.0</v>
      </c>
      <c r="BD216" s="19">
        <v>0.0</v>
      </c>
      <c r="BE216" s="19">
        <v>1.0</v>
      </c>
      <c r="BF216" s="19">
        <v>1.0</v>
      </c>
      <c r="BG216" s="19">
        <v>1.0</v>
      </c>
      <c r="BH216" s="19">
        <v>2.0</v>
      </c>
      <c r="BI216" s="19">
        <v>0.0</v>
      </c>
      <c r="BJ216" s="19">
        <v>0.0</v>
      </c>
      <c r="BK216" s="19">
        <v>0.0</v>
      </c>
      <c r="BL216" s="19">
        <v>0.0</v>
      </c>
      <c r="BM216" s="19">
        <v>0.0</v>
      </c>
      <c r="BN216" s="19">
        <v>1.0</v>
      </c>
      <c r="BO216" s="19">
        <v>0.0</v>
      </c>
      <c r="BP216" s="19">
        <v>0.0</v>
      </c>
      <c r="BQ216" s="19">
        <v>0.0</v>
      </c>
      <c r="BR216" s="13">
        <f t="shared" si="42"/>
        <v>15</v>
      </c>
      <c r="BS216" s="5"/>
      <c r="BT216" s="5"/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1.0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1.0</v>
      </c>
      <c r="AW217" s="19">
        <v>0.0</v>
      </c>
      <c r="AX217" s="19">
        <v>0.0</v>
      </c>
      <c r="AY217" s="19">
        <v>0.0</v>
      </c>
      <c r="AZ217" s="19">
        <v>1.0</v>
      </c>
      <c r="BA217" s="19">
        <v>0.0</v>
      </c>
      <c r="BB217" s="19">
        <v>0.0</v>
      </c>
      <c r="BC217" s="19">
        <v>0.0</v>
      </c>
      <c r="BD217" s="19">
        <v>0.0</v>
      </c>
      <c r="BE217" s="19">
        <v>0.0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9">
        <v>0.0</v>
      </c>
      <c r="BL217" s="19">
        <v>0.0</v>
      </c>
      <c r="BM217" s="19">
        <v>1.0</v>
      </c>
      <c r="BN217" s="19">
        <v>0.0</v>
      </c>
      <c r="BO217" s="19">
        <v>0.0</v>
      </c>
      <c r="BP217" s="19">
        <v>0.0</v>
      </c>
      <c r="BQ217" s="19">
        <v>0.0</v>
      </c>
      <c r="BR217" s="13">
        <f t="shared" si="42"/>
        <v>7</v>
      </c>
      <c r="BS217" s="5"/>
      <c r="BT217" s="5"/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1.0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1.0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0.0</v>
      </c>
      <c r="BD218" s="19">
        <v>0.0</v>
      </c>
      <c r="BE218" s="19">
        <v>0.0</v>
      </c>
      <c r="BF218" s="19">
        <v>0.0</v>
      </c>
      <c r="BG218" s="19">
        <v>0.0</v>
      </c>
      <c r="BH218" s="19">
        <v>0.0</v>
      </c>
      <c r="BI218" s="19">
        <v>0.0</v>
      </c>
      <c r="BJ218" s="19">
        <v>0.0</v>
      </c>
      <c r="BK218" s="19">
        <v>1.0</v>
      </c>
      <c r="BL218" s="19">
        <v>0.0</v>
      </c>
      <c r="BM218" s="19">
        <v>1.0</v>
      </c>
      <c r="BN218" s="19">
        <v>0.0</v>
      </c>
      <c r="BO218" s="19">
        <v>0.0</v>
      </c>
      <c r="BP218" s="19">
        <v>0.0</v>
      </c>
      <c r="BQ218" s="19">
        <v>0.0</v>
      </c>
      <c r="BR218" s="13">
        <f t="shared" si="42"/>
        <v>6</v>
      </c>
      <c r="BS218" s="1"/>
      <c r="BT218" s="1"/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1.0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0.0</v>
      </c>
      <c r="BA219" s="19">
        <v>0.0</v>
      </c>
      <c r="BB219" s="19">
        <v>0.0</v>
      </c>
      <c r="BC219" s="19">
        <v>0.0</v>
      </c>
      <c r="BD219" s="19">
        <v>0.0</v>
      </c>
      <c r="BE219" s="19">
        <v>1.0</v>
      </c>
      <c r="BF219" s="19">
        <v>0.0</v>
      </c>
      <c r="BG219" s="19">
        <v>0.0</v>
      </c>
      <c r="BH219" s="19">
        <v>0.0</v>
      </c>
      <c r="BI219" s="19">
        <v>0.0</v>
      </c>
      <c r="BJ219" s="19">
        <v>0.0</v>
      </c>
      <c r="BK219" s="19">
        <v>0.0</v>
      </c>
      <c r="BL219" s="19">
        <v>0.0</v>
      </c>
      <c r="BM219" s="19">
        <v>1.0</v>
      </c>
      <c r="BN219" s="19">
        <v>0.0</v>
      </c>
      <c r="BO219" s="19">
        <v>0.0</v>
      </c>
      <c r="BP219" s="19">
        <v>0.0</v>
      </c>
      <c r="BQ219" s="19">
        <v>0.0</v>
      </c>
      <c r="BR219" s="13">
        <f t="shared" si="42"/>
        <v>3</v>
      </c>
      <c r="BS219" s="52"/>
      <c r="BT219" s="52"/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1.0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9">
        <v>0.0</v>
      </c>
      <c r="BC220" s="19">
        <v>0.0</v>
      </c>
      <c r="BD220" s="19">
        <v>0.0</v>
      </c>
      <c r="BE220" s="19">
        <v>0.0</v>
      </c>
      <c r="BF220" s="19">
        <v>1.0</v>
      </c>
      <c r="BG220" s="19">
        <v>0.0</v>
      </c>
      <c r="BH220" s="19">
        <v>0.0</v>
      </c>
      <c r="BI220" s="19">
        <v>0.0</v>
      </c>
      <c r="BJ220" s="19">
        <v>0.0</v>
      </c>
      <c r="BK220" s="19">
        <v>0.0</v>
      </c>
      <c r="BL220" s="19">
        <v>1.0</v>
      </c>
      <c r="BM220" s="19">
        <v>0.0</v>
      </c>
      <c r="BN220" s="19">
        <v>0.0</v>
      </c>
      <c r="BO220" s="19">
        <v>0.0</v>
      </c>
      <c r="BP220" s="19">
        <v>0.0</v>
      </c>
      <c r="BQ220" s="19">
        <v>0.0</v>
      </c>
      <c r="BR220" s="13">
        <f t="shared" si="42"/>
        <v>4</v>
      </c>
      <c r="BS220" s="5"/>
      <c r="BT220" s="5"/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3">
        <f t="shared" si="42"/>
        <v>0</v>
      </c>
      <c r="BS221" s="5"/>
      <c r="BT221" s="5"/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3">
        <f t="shared" si="42"/>
        <v>0</v>
      </c>
      <c r="BS222" s="5"/>
      <c r="BT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R223" si="43">SUM(E213:E222)</f>
        <v>3</v>
      </c>
      <c r="F223" s="13">
        <f t="shared" si="43"/>
        <v>4</v>
      </c>
      <c r="G223" s="13">
        <f t="shared" si="43"/>
        <v>0</v>
      </c>
      <c r="H223" s="13">
        <f t="shared" si="43"/>
        <v>3</v>
      </c>
      <c r="I223" s="13">
        <f t="shared" si="43"/>
        <v>2</v>
      </c>
      <c r="J223" s="13">
        <f t="shared" si="43"/>
        <v>5</v>
      </c>
      <c r="K223" s="13">
        <f t="shared" si="43"/>
        <v>9</v>
      </c>
      <c r="L223" s="13">
        <f t="shared" si="43"/>
        <v>65</v>
      </c>
      <c r="M223" s="13">
        <f t="shared" si="43"/>
        <v>5</v>
      </c>
      <c r="N223" s="13">
        <f t="shared" si="43"/>
        <v>1</v>
      </c>
      <c r="O223" s="13">
        <f t="shared" si="43"/>
        <v>16</v>
      </c>
      <c r="P223" s="13">
        <f t="shared" si="43"/>
        <v>40</v>
      </c>
      <c r="Q223" s="13">
        <f t="shared" si="43"/>
        <v>6</v>
      </c>
      <c r="R223" s="13">
        <f t="shared" si="43"/>
        <v>4</v>
      </c>
      <c r="S223" s="13">
        <f t="shared" si="43"/>
        <v>8</v>
      </c>
      <c r="T223" s="13">
        <f t="shared" si="43"/>
        <v>2</v>
      </c>
      <c r="U223" s="13">
        <f t="shared" si="43"/>
        <v>2</v>
      </c>
      <c r="V223" s="13">
        <f t="shared" si="43"/>
        <v>3</v>
      </c>
      <c r="W223" s="13">
        <f t="shared" si="43"/>
        <v>3</v>
      </c>
      <c r="X223" s="13">
        <f t="shared" si="43"/>
        <v>9</v>
      </c>
      <c r="Y223" s="13">
        <f t="shared" si="43"/>
        <v>15</v>
      </c>
      <c r="Z223" s="13">
        <f t="shared" si="43"/>
        <v>14</v>
      </c>
      <c r="AA223" s="13">
        <f t="shared" si="43"/>
        <v>2</v>
      </c>
      <c r="AB223" s="13">
        <f t="shared" si="43"/>
        <v>35</v>
      </c>
      <c r="AC223" s="13">
        <f t="shared" si="43"/>
        <v>36</v>
      </c>
      <c r="AD223" s="13">
        <f t="shared" si="43"/>
        <v>26</v>
      </c>
      <c r="AE223" s="13">
        <f t="shared" si="43"/>
        <v>2</v>
      </c>
      <c r="AF223" s="13">
        <f t="shared" si="43"/>
        <v>1</v>
      </c>
      <c r="AG223" s="13">
        <f t="shared" si="43"/>
        <v>0</v>
      </c>
      <c r="AH223" s="13">
        <f t="shared" si="43"/>
        <v>2</v>
      </c>
      <c r="AI223" s="13">
        <f t="shared" si="43"/>
        <v>1</v>
      </c>
      <c r="AJ223" s="13">
        <f t="shared" si="43"/>
        <v>2</v>
      </c>
      <c r="AK223" s="13">
        <f t="shared" si="43"/>
        <v>6</v>
      </c>
      <c r="AL223" s="13">
        <f t="shared" si="43"/>
        <v>3</v>
      </c>
      <c r="AM223" s="13">
        <f t="shared" si="43"/>
        <v>2</v>
      </c>
      <c r="AN223" s="13">
        <f t="shared" si="43"/>
        <v>1</v>
      </c>
      <c r="AO223" s="13">
        <f t="shared" si="43"/>
        <v>5</v>
      </c>
      <c r="AP223" s="13">
        <f t="shared" si="43"/>
        <v>3</v>
      </c>
      <c r="AQ223" s="13">
        <f t="shared" si="43"/>
        <v>3</v>
      </c>
      <c r="AR223" s="13">
        <f t="shared" si="43"/>
        <v>1</v>
      </c>
      <c r="AS223" s="13">
        <f t="shared" si="43"/>
        <v>4</v>
      </c>
      <c r="AT223" s="13">
        <f t="shared" si="43"/>
        <v>2</v>
      </c>
      <c r="AU223" s="13">
        <f t="shared" si="43"/>
        <v>3</v>
      </c>
      <c r="AV223" s="13">
        <f t="shared" si="43"/>
        <v>8</v>
      </c>
      <c r="AW223" s="13">
        <f t="shared" si="43"/>
        <v>3</v>
      </c>
      <c r="AX223" s="13">
        <f t="shared" si="43"/>
        <v>7</v>
      </c>
      <c r="AY223" s="13">
        <f t="shared" si="43"/>
        <v>25</v>
      </c>
      <c r="AZ223" s="13">
        <f t="shared" si="43"/>
        <v>4</v>
      </c>
      <c r="BA223" s="13">
        <f t="shared" si="43"/>
        <v>25</v>
      </c>
      <c r="BB223" s="13">
        <f t="shared" si="43"/>
        <v>13</v>
      </c>
      <c r="BC223" s="13">
        <f t="shared" si="43"/>
        <v>2</v>
      </c>
      <c r="BD223" s="13">
        <f t="shared" si="43"/>
        <v>6</v>
      </c>
      <c r="BE223" s="13">
        <f t="shared" si="43"/>
        <v>8</v>
      </c>
      <c r="BF223" s="13">
        <f t="shared" si="43"/>
        <v>4</v>
      </c>
      <c r="BG223" s="13">
        <f t="shared" si="43"/>
        <v>2</v>
      </c>
      <c r="BH223" s="13">
        <f t="shared" si="43"/>
        <v>5</v>
      </c>
      <c r="BI223" s="13">
        <f t="shared" si="43"/>
        <v>1</v>
      </c>
      <c r="BJ223" s="13">
        <f t="shared" si="43"/>
        <v>5</v>
      </c>
      <c r="BK223" s="13">
        <f t="shared" si="43"/>
        <v>4</v>
      </c>
      <c r="BL223" s="13">
        <f t="shared" si="43"/>
        <v>2</v>
      </c>
      <c r="BM223" s="13">
        <f t="shared" si="43"/>
        <v>4</v>
      </c>
      <c r="BN223" s="13">
        <f t="shared" si="43"/>
        <v>10</v>
      </c>
      <c r="BO223" s="13">
        <f t="shared" si="43"/>
        <v>10</v>
      </c>
      <c r="BP223" s="13">
        <f t="shared" si="43"/>
        <v>3</v>
      </c>
      <c r="BQ223" s="13">
        <f t="shared" si="43"/>
        <v>5</v>
      </c>
      <c r="BR223" s="13">
        <f t="shared" si="43"/>
        <v>515</v>
      </c>
      <c r="BS223" s="5"/>
      <c r="BT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5"/>
      <c r="BT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2.0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1.0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1.0</v>
      </c>
      <c r="AO225" s="19">
        <v>0.0</v>
      </c>
      <c r="AP225" s="19">
        <v>0.0</v>
      </c>
      <c r="AQ225" s="19">
        <v>0.0</v>
      </c>
      <c r="AR225" s="19">
        <v>1.0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1.0</v>
      </c>
      <c r="AZ225" s="19">
        <v>2.0</v>
      </c>
      <c r="BA225" s="19">
        <v>0.0</v>
      </c>
      <c r="BB225" s="19">
        <v>0.0</v>
      </c>
      <c r="BC225" s="19">
        <v>0.0</v>
      </c>
      <c r="BD225" s="19">
        <v>1.0</v>
      </c>
      <c r="BE225" s="19">
        <v>0.0</v>
      </c>
      <c r="BF225" s="19">
        <v>0.0</v>
      </c>
      <c r="BG225" s="19">
        <v>0.0</v>
      </c>
      <c r="BH225" s="19">
        <v>1.0</v>
      </c>
      <c r="BI225" s="19">
        <v>1.0</v>
      </c>
      <c r="BJ225" s="19">
        <v>1.0</v>
      </c>
      <c r="BK225" s="19">
        <v>0.0</v>
      </c>
      <c r="BL225" s="19">
        <v>0.0</v>
      </c>
      <c r="BM225" s="19">
        <v>0.0</v>
      </c>
      <c r="BN225" s="19">
        <v>0.0</v>
      </c>
      <c r="BO225" s="19">
        <v>0.0</v>
      </c>
      <c r="BP225" s="19">
        <v>0.0</v>
      </c>
      <c r="BQ225" s="19">
        <v>0.0</v>
      </c>
      <c r="BR225" s="13">
        <f t="shared" ref="BR225:BR234" si="44">SUM(E225:BQ225)</f>
        <v>14</v>
      </c>
      <c r="BS225" s="5"/>
      <c r="BT225" s="5"/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5.0</v>
      </c>
      <c r="O226" s="19">
        <v>0.0</v>
      </c>
      <c r="P226" s="19">
        <v>2.0</v>
      </c>
      <c r="Q226" s="19">
        <v>1.0</v>
      </c>
      <c r="R226" s="19">
        <v>0.0</v>
      </c>
      <c r="S226" s="19">
        <v>2.0</v>
      </c>
      <c r="T226" s="19">
        <v>0.0</v>
      </c>
      <c r="U226" s="19">
        <v>3.0</v>
      </c>
      <c r="V226" s="19">
        <v>0.0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3.0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3.0</v>
      </c>
      <c r="AH226" s="19">
        <v>0.0</v>
      </c>
      <c r="AI226" s="19">
        <v>0.0</v>
      </c>
      <c r="AJ226" s="19">
        <v>3.0</v>
      </c>
      <c r="AK226" s="19">
        <v>1.0</v>
      </c>
      <c r="AL226" s="19">
        <v>7.0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2.0</v>
      </c>
      <c r="AR226" s="19">
        <v>22.0</v>
      </c>
      <c r="AS226" s="19">
        <v>0.0</v>
      </c>
      <c r="AT226" s="19">
        <v>1.0</v>
      </c>
      <c r="AU226" s="19">
        <v>1.0</v>
      </c>
      <c r="AV226" s="19">
        <v>0.0</v>
      </c>
      <c r="AW226" s="19">
        <v>0.0</v>
      </c>
      <c r="AX226" s="19">
        <v>3.0</v>
      </c>
      <c r="AY226" s="19">
        <v>0.0</v>
      </c>
      <c r="AZ226" s="19">
        <v>6.0</v>
      </c>
      <c r="BA226" s="19">
        <v>0.0</v>
      </c>
      <c r="BB226" s="19">
        <v>0.0</v>
      </c>
      <c r="BC226" s="19">
        <v>2.0</v>
      </c>
      <c r="BD226" s="19">
        <v>0.0</v>
      </c>
      <c r="BE226" s="19">
        <v>1.0</v>
      </c>
      <c r="BF226" s="19">
        <v>1.0</v>
      </c>
      <c r="BG226" s="19">
        <v>0.0</v>
      </c>
      <c r="BH226" s="19">
        <v>13.0</v>
      </c>
      <c r="BI226" s="19">
        <v>12.0</v>
      </c>
      <c r="BJ226" s="19">
        <v>4.0</v>
      </c>
      <c r="BK226" s="19">
        <v>0.0</v>
      </c>
      <c r="BL226" s="19">
        <v>0.0</v>
      </c>
      <c r="BM226" s="19">
        <v>0.0</v>
      </c>
      <c r="BN226" s="19">
        <v>0.0</v>
      </c>
      <c r="BO226" s="19">
        <v>0.0</v>
      </c>
      <c r="BP226" s="19">
        <v>0.0</v>
      </c>
      <c r="BQ226" s="19">
        <v>3.0</v>
      </c>
      <c r="BR226" s="13">
        <f t="shared" si="44"/>
        <v>102</v>
      </c>
      <c r="BS226" s="5"/>
      <c r="BT226" s="5"/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1.0</v>
      </c>
      <c r="AP227" s="19">
        <v>0.0</v>
      </c>
      <c r="AQ227" s="19">
        <v>1.0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1.0</v>
      </c>
      <c r="BD227" s="19">
        <v>1.0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9">
        <v>0.0</v>
      </c>
      <c r="BL227" s="19">
        <v>0.0</v>
      </c>
      <c r="BM227" s="19">
        <v>0.0</v>
      </c>
      <c r="BN227" s="19">
        <v>0.0</v>
      </c>
      <c r="BO227" s="19">
        <v>0.0</v>
      </c>
      <c r="BP227" s="19">
        <v>0.0</v>
      </c>
      <c r="BQ227" s="19">
        <v>0.0</v>
      </c>
      <c r="BR227" s="13">
        <f t="shared" si="44"/>
        <v>6</v>
      </c>
      <c r="BS227" s="5"/>
      <c r="BT227" s="5"/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1.0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1.0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9">
        <v>0.0</v>
      </c>
      <c r="BG228" s="19">
        <v>0.0</v>
      </c>
      <c r="BH228" s="19">
        <v>0.0</v>
      </c>
      <c r="BI228" s="19">
        <v>0.0</v>
      </c>
      <c r="BJ228" s="19">
        <v>0.0</v>
      </c>
      <c r="BK228" s="19">
        <v>0.0</v>
      </c>
      <c r="BL228" s="19">
        <v>0.0</v>
      </c>
      <c r="BM228" s="19">
        <v>0.0</v>
      </c>
      <c r="BN228" s="19">
        <v>0.0</v>
      </c>
      <c r="BO228" s="19">
        <v>0.0</v>
      </c>
      <c r="BP228" s="19">
        <v>0.0</v>
      </c>
      <c r="BQ228" s="19">
        <v>0.0</v>
      </c>
      <c r="BR228" s="13">
        <f t="shared" si="44"/>
        <v>2</v>
      </c>
      <c r="BS228" s="5"/>
      <c r="BT228" s="5"/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1.0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0.0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9">
        <v>0.0</v>
      </c>
      <c r="BL229" s="19">
        <v>0.0</v>
      </c>
      <c r="BM229" s="19">
        <v>0.0</v>
      </c>
      <c r="BN229" s="19">
        <v>0.0</v>
      </c>
      <c r="BO229" s="19">
        <v>0.0</v>
      </c>
      <c r="BP229" s="19">
        <v>0.0</v>
      </c>
      <c r="BQ229" s="19">
        <v>0.0</v>
      </c>
      <c r="BR229" s="13">
        <f t="shared" si="44"/>
        <v>1</v>
      </c>
      <c r="BS229" s="1"/>
      <c r="BT229" s="1"/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0.0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9">
        <v>0.0</v>
      </c>
      <c r="BL230" s="19">
        <v>0.0</v>
      </c>
      <c r="BM230" s="19">
        <v>0.0</v>
      </c>
      <c r="BN230" s="19">
        <v>0.0</v>
      </c>
      <c r="BO230" s="19">
        <v>0.0</v>
      </c>
      <c r="BP230" s="19">
        <v>0.0</v>
      </c>
      <c r="BQ230" s="19">
        <v>0.0</v>
      </c>
      <c r="BR230" s="13">
        <f t="shared" si="44"/>
        <v>0</v>
      </c>
      <c r="BS230" s="52"/>
      <c r="BT230" s="52"/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9">
        <v>0.0</v>
      </c>
      <c r="BL231" s="19">
        <v>0.0</v>
      </c>
      <c r="BM231" s="19">
        <v>0.0</v>
      </c>
      <c r="BN231" s="19">
        <v>0.0</v>
      </c>
      <c r="BO231" s="19">
        <v>0.0</v>
      </c>
      <c r="BP231" s="19">
        <v>0.0</v>
      </c>
      <c r="BQ231" s="19">
        <v>0.0</v>
      </c>
      <c r="BR231" s="13">
        <f t="shared" si="44"/>
        <v>0</v>
      </c>
      <c r="BS231" s="5"/>
      <c r="BT231" s="5"/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5.0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1.0</v>
      </c>
      <c r="AN232" s="19">
        <v>0.0</v>
      </c>
      <c r="AO232" s="19">
        <v>1.0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2.0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0.0</v>
      </c>
      <c r="BH232" s="19">
        <v>0.0</v>
      </c>
      <c r="BI232" s="19">
        <v>0.0</v>
      </c>
      <c r="BJ232" s="19">
        <v>0.0</v>
      </c>
      <c r="BK232" s="19">
        <v>0.0</v>
      </c>
      <c r="BL232" s="19">
        <v>0.0</v>
      </c>
      <c r="BM232" s="19">
        <v>0.0</v>
      </c>
      <c r="BN232" s="19">
        <v>0.0</v>
      </c>
      <c r="BO232" s="19">
        <v>0.0</v>
      </c>
      <c r="BP232" s="19">
        <v>1.0</v>
      </c>
      <c r="BQ232" s="19">
        <v>0.0</v>
      </c>
      <c r="BR232" s="13">
        <f t="shared" si="44"/>
        <v>13</v>
      </c>
      <c r="BS232" s="5"/>
      <c r="BT232" s="5"/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3">
        <f t="shared" si="44"/>
        <v>0</v>
      </c>
      <c r="BS233" s="5"/>
      <c r="BT233" s="5"/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3">
        <f t="shared" si="44"/>
        <v>0</v>
      </c>
      <c r="BS234" s="5"/>
      <c r="BT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R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5</v>
      </c>
      <c r="O235" s="13">
        <f t="shared" si="45"/>
        <v>0</v>
      </c>
      <c r="P235" s="13">
        <f t="shared" si="45"/>
        <v>2</v>
      </c>
      <c r="Q235" s="13">
        <f t="shared" si="45"/>
        <v>2</v>
      </c>
      <c r="R235" s="13">
        <f t="shared" si="45"/>
        <v>5</v>
      </c>
      <c r="S235" s="13">
        <f t="shared" si="45"/>
        <v>3</v>
      </c>
      <c r="T235" s="13">
        <f t="shared" si="45"/>
        <v>0</v>
      </c>
      <c r="U235" s="13">
        <f t="shared" si="45"/>
        <v>4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1</v>
      </c>
      <c r="AA235" s="13">
        <f t="shared" si="45"/>
        <v>3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3</v>
      </c>
      <c r="AH235" s="13">
        <f t="shared" si="45"/>
        <v>2</v>
      </c>
      <c r="AI235" s="13">
        <f t="shared" si="45"/>
        <v>0</v>
      </c>
      <c r="AJ235" s="13">
        <f t="shared" si="45"/>
        <v>3</v>
      </c>
      <c r="AK235" s="13">
        <f t="shared" si="45"/>
        <v>1</v>
      </c>
      <c r="AL235" s="13">
        <f t="shared" si="45"/>
        <v>7</v>
      </c>
      <c r="AM235" s="13">
        <f t="shared" si="45"/>
        <v>1</v>
      </c>
      <c r="AN235" s="13">
        <f t="shared" si="45"/>
        <v>1</v>
      </c>
      <c r="AO235" s="13">
        <f t="shared" si="45"/>
        <v>2</v>
      </c>
      <c r="AP235" s="13">
        <f t="shared" si="45"/>
        <v>0</v>
      </c>
      <c r="AQ235" s="13">
        <f t="shared" si="45"/>
        <v>3</v>
      </c>
      <c r="AR235" s="13">
        <f t="shared" si="45"/>
        <v>23</v>
      </c>
      <c r="AS235" s="13">
        <f t="shared" si="45"/>
        <v>0</v>
      </c>
      <c r="AT235" s="13">
        <f t="shared" si="45"/>
        <v>1</v>
      </c>
      <c r="AU235" s="13">
        <f t="shared" si="45"/>
        <v>3</v>
      </c>
      <c r="AV235" s="13">
        <f t="shared" si="45"/>
        <v>0</v>
      </c>
      <c r="AW235" s="13">
        <f t="shared" si="45"/>
        <v>0</v>
      </c>
      <c r="AX235" s="13">
        <f t="shared" si="45"/>
        <v>5</v>
      </c>
      <c r="AY235" s="13">
        <f t="shared" si="45"/>
        <v>1</v>
      </c>
      <c r="AZ235" s="13">
        <f t="shared" si="45"/>
        <v>8</v>
      </c>
      <c r="BA235" s="13">
        <f t="shared" si="45"/>
        <v>0</v>
      </c>
      <c r="BB235" s="13">
        <f t="shared" si="45"/>
        <v>0</v>
      </c>
      <c r="BC235" s="13">
        <f t="shared" si="45"/>
        <v>3</v>
      </c>
      <c r="BD235" s="13">
        <f t="shared" si="45"/>
        <v>2</v>
      </c>
      <c r="BE235" s="13">
        <f t="shared" si="45"/>
        <v>1</v>
      </c>
      <c r="BF235" s="13">
        <f t="shared" si="45"/>
        <v>1</v>
      </c>
      <c r="BG235" s="13">
        <f t="shared" si="45"/>
        <v>0</v>
      </c>
      <c r="BH235" s="13">
        <f t="shared" si="45"/>
        <v>14</v>
      </c>
      <c r="BI235" s="13">
        <f t="shared" si="45"/>
        <v>13</v>
      </c>
      <c r="BJ235" s="13">
        <f t="shared" si="45"/>
        <v>5</v>
      </c>
      <c r="BK235" s="13">
        <f t="shared" si="45"/>
        <v>0</v>
      </c>
      <c r="BL235" s="13">
        <f t="shared" si="45"/>
        <v>0</v>
      </c>
      <c r="BM235" s="13">
        <f t="shared" si="45"/>
        <v>0</v>
      </c>
      <c r="BN235" s="13">
        <f t="shared" si="45"/>
        <v>0</v>
      </c>
      <c r="BO235" s="13">
        <f t="shared" si="45"/>
        <v>0</v>
      </c>
      <c r="BP235" s="13">
        <f t="shared" si="45"/>
        <v>1</v>
      </c>
      <c r="BQ235" s="13">
        <f t="shared" si="45"/>
        <v>3</v>
      </c>
      <c r="BR235" s="13">
        <f t="shared" si="45"/>
        <v>138</v>
      </c>
      <c r="BS235" s="5"/>
      <c r="BT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5"/>
      <c r="BT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2.0</v>
      </c>
      <c r="K237" s="19">
        <v>0.0</v>
      </c>
      <c r="L237" s="19">
        <v>2.0</v>
      </c>
      <c r="M237" s="19">
        <v>2.0</v>
      </c>
      <c r="N237" s="19">
        <v>0.0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0.0</v>
      </c>
      <c r="V237" s="19">
        <v>0.0</v>
      </c>
      <c r="W237" s="19">
        <v>1.0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1.0</v>
      </c>
      <c r="AD237" s="19">
        <v>0.0</v>
      </c>
      <c r="AE237" s="19">
        <v>1.0</v>
      </c>
      <c r="AF237" s="19">
        <v>0.0</v>
      </c>
      <c r="AG237" s="19">
        <v>1.0</v>
      </c>
      <c r="AH237" s="19">
        <v>0.0</v>
      </c>
      <c r="AI237" s="19">
        <v>4.0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5.0</v>
      </c>
      <c r="AP237" s="19">
        <v>0.0</v>
      </c>
      <c r="AQ237" s="19">
        <v>0.0</v>
      </c>
      <c r="AR237" s="19">
        <v>1.0</v>
      </c>
      <c r="AS237" s="19">
        <v>1.0</v>
      </c>
      <c r="AT237" s="19">
        <v>0.0</v>
      </c>
      <c r="AU237" s="19">
        <v>0.0</v>
      </c>
      <c r="AV237" s="19">
        <v>1.0</v>
      </c>
      <c r="AW237" s="19">
        <v>0.0</v>
      </c>
      <c r="AX237" s="19">
        <v>3.0</v>
      </c>
      <c r="AY237" s="19">
        <v>0.0</v>
      </c>
      <c r="AZ237" s="19">
        <v>0.0</v>
      </c>
      <c r="BA237" s="19">
        <v>2.0</v>
      </c>
      <c r="BB237" s="19">
        <v>0.0</v>
      </c>
      <c r="BC237" s="19">
        <v>0.0</v>
      </c>
      <c r="BD237" s="19">
        <v>0.0</v>
      </c>
      <c r="BE237" s="19">
        <v>2.0</v>
      </c>
      <c r="BF237" s="19">
        <v>0.0</v>
      </c>
      <c r="BG237" s="19">
        <v>0.0</v>
      </c>
      <c r="BH237" s="19">
        <v>0.0</v>
      </c>
      <c r="BI237" s="19">
        <v>0.0</v>
      </c>
      <c r="BJ237" s="19">
        <v>0.0</v>
      </c>
      <c r="BK237" s="19">
        <v>0.0</v>
      </c>
      <c r="BL237" s="19">
        <v>0.0</v>
      </c>
      <c r="BM237" s="19">
        <v>0.0</v>
      </c>
      <c r="BN237" s="19">
        <v>1.0</v>
      </c>
      <c r="BO237" s="19">
        <v>0.0</v>
      </c>
      <c r="BP237" s="19">
        <v>1.0</v>
      </c>
      <c r="BQ237" s="19">
        <v>0.0</v>
      </c>
      <c r="BR237" s="13">
        <f t="shared" ref="BR237:BR246" si="46">SUM(E237:BQ237)</f>
        <v>33</v>
      </c>
      <c r="BS237" s="5"/>
      <c r="BT237" s="5"/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0.0</v>
      </c>
      <c r="G238" s="19">
        <v>0.0</v>
      </c>
      <c r="H238" s="19">
        <v>2.0</v>
      </c>
      <c r="I238" s="19">
        <v>1.0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2.0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1.0</v>
      </c>
      <c r="AF238" s="19">
        <v>0.0</v>
      </c>
      <c r="AG238" s="19">
        <v>0.0</v>
      </c>
      <c r="AH238" s="19">
        <v>0.0</v>
      </c>
      <c r="AI238" s="19">
        <v>1.0</v>
      </c>
      <c r="AJ238" s="19">
        <v>4.0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2.0</v>
      </c>
      <c r="AP238" s="19">
        <v>1.0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9">
        <v>1.0</v>
      </c>
      <c r="AY238" s="19">
        <v>0.0</v>
      </c>
      <c r="AZ238" s="19">
        <v>3.0</v>
      </c>
      <c r="BA238" s="19">
        <v>0.0</v>
      </c>
      <c r="BB238" s="19">
        <v>0.0</v>
      </c>
      <c r="BC238" s="19">
        <v>0.0</v>
      </c>
      <c r="BD238" s="19">
        <v>0.0</v>
      </c>
      <c r="BE238" s="19">
        <v>3.0</v>
      </c>
      <c r="BF238" s="19">
        <v>0.0</v>
      </c>
      <c r="BG238" s="19">
        <v>0.0</v>
      </c>
      <c r="BH238" s="19">
        <v>0.0</v>
      </c>
      <c r="BI238" s="19">
        <v>0.0</v>
      </c>
      <c r="BJ238" s="19">
        <v>2.0</v>
      </c>
      <c r="BK238" s="19">
        <v>0.0</v>
      </c>
      <c r="BL238" s="19">
        <v>0.0</v>
      </c>
      <c r="BM238" s="19">
        <v>0.0</v>
      </c>
      <c r="BN238" s="19">
        <v>0.0</v>
      </c>
      <c r="BO238" s="19">
        <v>0.0</v>
      </c>
      <c r="BP238" s="19">
        <v>1.0</v>
      </c>
      <c r="BQ238" s="19">
        <v>1.0</v>
      </c>
      <c r="BR238" s="13">
        <f t="shared" si="46"/>
        <v>26</v>
      </c>
      <c r="BS238" s="5"/>
      <c r="BT238" s="5"/>
    </row>
    <row r="239" ht="12.75" customHeight="1">
      <c r="A239" s="18"/>
      <c r="B239" s="55">
        <v>2.0</v>
      </c>
      <c r="C239" s="50" t="s">
        <v>176</v>
      </c>
      <c r="D239" s="62"/>
      <c r="E239" s="19">
        <v>0.0</v>
      </c>
      <c r="F239" s="19">
        <v>0.0</v>
      </c>
      <c r="G239" s="19">
        <v>0.0</v>
      </c>
      <c r="H239" s="19">
        <v>0.0</v>
      </c>
      <c r="I239" s="19">
        <v>2.0</v>
      </c>
      <c r="J239" s="19">
        <v>1.0</v>
      </c>
      <c r="K239" s="19">
        <v>0.0</v>
      </c>
      <c r="L239" s="19">
        <v>1.0</v>
      </c>
      <c r="M239" s="19">
        <v>0.0</v>
      </c>
      <c r="N239" s="19">
        <v>0.0</v>
      </c>
      <c r="O239" s="19">
        <v>0.0</v>
      </c>
      <c r="P239" s="19">
        <v>1.0</v>
      </c>
      <c r="Q239" s="19">
        <v>1.0</v>
      </c>
      <c r="R239" s="19">
        <v>0.0</v>
      </c>
      <c r="S239" s="19">
        <v>0.0</v>
      </c>
      <c r="T239" s="19">
        <v>0.0</v>
      </c>
      <c r="U239" s="19">
        <v>1.0</v>
      </c>
      <c r="V239" s="19">
        <v>1.0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2.0</v>
      </c>
      <c r="AI239" s="19">
        <v>4.0</v>
      </c>
      <c r="AJ239" s="19">
        <v>3.0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1.0</v>
      </c>
      <c r="AT239" s="19">
        <v>0.0</v>
      </c>
      <c r="AU239" s="19">
        <v>1.0</v>
      </c>
      <c r="AV239" s="19">
        <v>0.0</v>
      </c>
      <c r="AW239" s="19">
        <v>0.0</v>
      </c>
      <c r="AX239" s="19">
        <v>0.0</v>
      </c>
      <c r="AY239" s="19">
        <v>0.0</v>
      </c>
      <c r="AZ239" s="19">
        <v>1.0</v>
      </c>
      <c r="BA239" s="19">
        <v>0.0</v>
      </c>
      <c r="BB239" s="19">
        <v>0.0</v>
      </c>
      <c r="BC239" s="19">
        <v>0.0</v>
      </c>
      <c r="BD239" s="19">
        <v>1.0</v>
      </c>
      <c r="BE239" s="19">
        <v>2.0</v>
      </c>
      <c r="BF239" s="19">
        <v>0.0</v>
      </c>
      <c r="BG239" s="19">
        <v>0.0</v>
      </c>
      <c r="BH239" s="19">
        <v>0.0</v>
      </c>
      <c r="BI239" s="19">
        <v>0.0</v>
      </c>
      <c r="BJ239" s="19">
        <v>0.0</v>
      </c>
      <c r="BK239" s="19">
        <v>0.0</v>
      </c>
      <c r="BL239" s="19">
        <v>0.0</v>
      </c>
      <c r="BM239" s="19">
        <v>0.0</v>
      </c>
      <c r="BN239" s="19">
        <v>0.0</v>
      </c>
      <c r="BO239" s="19">
        <v>0.0</v>
      </c>
      <c r="BP239" s="19">
        <v>0.0</v>
      </c>
      <c r="BQ239" s="19">
        <v>0.0</v>
      </c>
      <c r="BR239" s="13">
        <f t="shared" si="46"/>
        <v>23</v>
      </c>
      <c r="BS239" s="5"/>
      <c r="BT239" s="5"/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0.0</v>
      </c>
      <c r="R240" s="19">
        <v>0.0</v>
      </c>
      <c r="S240" s="19">
        <v>0.0</v>
      </c>
      <c r="T240" s="19">
        <v>1.0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1.0</v>
      </c>
      <c r="AL240" s="19">
        <v>0.0</v>
      </c>
      <c r="AM240" s="19">
        <v>0.0</v>
      </c>
      <c r="AN240" s="19">
        <v>0.0</v>
      </c>
      <c r="AO240" s="19">
        <v>1.0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0.0</v>
      </c>
      <c r="BC240" s="19">
        <v>0.0</v>
      </c>
      <c r="BD240" s="19">
        <v>0.0</v>
      </c>
      <c r="BE240" s="19">
        <v>0.0</v>
      </c>
      <c r="BF240" s="19">
        <v>0.0</v>
      </c>
      <c r="BG240" s="19">
        <v>0.0</v>
      </c>
      <c r="BH240" s="19">
        <v>0.0</v>
      </c>
      <c r="BI240" s="19">
        <v>1.0</v>
      </c>
      <c r="BJ240" s="19">
        <v>0.0</v>
      </c>
      <c r="BK240" s="19">
        <v>0.0</v>
      </c>
      <c r="BL240" s="19">
        <v>1.0</v>
      </c>
      <c r="BM240" s="19">
        <v>0.0</v>
      </c>
      <c r="BN240" s="19">
        <v>0.0</v>
      </c>
      <c r="BO240" s="19">
        <v>1.0</v>
      </c>
      <c r="BP240" s="19">
        <v>0.0</v>
      </c>
      <c r="BQ240" s="19">
        <v>0.0</v>
      </c>
      <c r="BR240" s="13">
        <f t="shared" si="46"/>
        <v>9</v>
      </c>
      <c r="BS240" s="1"/>
      <c r="BT240" s="1"/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2.0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9">
        <v>0.0</v>
      </c>
      <c r="BD241" s="19">
        <v>0.0</v>
      </c>
      <c r="BE241" s="19">
        <v>1.0</v>
      </c>
      <c r="BF241" s="19">
        <v>0.0</v>
      </c>
      <c r="BG241" s="19">
        <v>0.0</v>
      </c>
      <c r="BH241" s="19">
        <v>0.0</v>
      </c>
      <c r="BI241" s="19">
        <v>0.0</v>
      </c>
      <c r="BJ241" s="19">
        <v>0.0</v>
      </c>
      <c r="BK241" s="19">
        <v>0.0</v>
      </c>
      <c r="BL241" s="19">
        <v>0.0</v>
      </c>
      <c r="BM241" s="19">
        <v>0.0</v>
      </c>
      <c r="BN241" s="19">
        <v>0.0</v>
      </c>
      <c r="BO241" s="19">
        <v>0.0</v>
      </c>
      <c r="BP241" s="19">
        <v>0.0</v>
      </c>
      <c r="BQ241" s="19">
        <v>0.0</v>
      </c>
      <c r="BR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1.0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1.0</v>
      </c>
      <c r="BA242" s="19">
        <v>0.0</v>
      </c>
      <c r="BB242" s="19">
        <v>0.0</v>
      </c>
      <c r="BC242" s="19">
        <v>1.0</v>
      </c>
      <c r="BD242" s="19">
        <v>0.0</v>
      </c>
      <c r="BE242" s="19">
        <v>1.0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9">
        <v>0.0</v>
      </c>
      <c r="BL242" s="19">
        <v>0.0</v>
      </c>
      <c r="BM242" s="19">
        <v>0.0</v>
      </c>
      <c r="BN242" s="19">
        <v>0.0</v>
      </c>
      <c r="BO242" s="19">
        <v>0.0</v>
      </c>
      <c r="BP242" s="19">
        <v>0.0</v>
      </c>
      <c r="BQ242" s="19">
        <v>0.0</v>
      </c>
      <c r="BR242" s="13">
        <f t="shared" si="46"/>
        <v>5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1.0</v>
      </c>
      <c r="BG243" s="19">
        <v>0.0</v>
      </c>
      <c r="BH243" s="19">
        <v>1.0</v>
      </c>
      <c r="BI243" s="19">
        <v>0.0</v>
      </c>
      <c r="BJ243" s="19">
        <v>0.0</v>
      </c>
      <c r="BK243" s="19">
        <v>0.0</v>
      </c>
      <c r="BL243" s="19">
        <v>0.0</v>
      </c>
      <c r="BM243" s="19">
        <v>0.0</v>
      </c>
      <c r="BN243" s="19">
        <v>0.0</v>
      </c>
      <c r="BO243" s="19">
        <v>1.0</v>
      </c>
      <c r="BP243" s="19">
        <v>0.0</v>
      </c>
      <c r="BQ243" s="19">
        <v>0.0</v>
      </c>
      <c r="BR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1.0</v>
      </c>
      <c r="F244" s="19">
        <v>2.0</v>
      </c>
      <c r="G244" s="19">
        <v>2.0</v>
      </c>
      <c r="H244" s="19">
        <v>2.0</v>
      </c>
      <c r="I244" s="19">
        <v>19.0</v>
      </c>
      <c r="J244" s="19">
        <v>17.0</v>
      </c>
      <c r="K244" s="19">
        <v>0.0</v>
      </c>
      <c r="L244" s="19">
        <v>5.0</v>
      </c>
      <c r="M244" s="19">
        <v>6.0</v>
      </c>
      <c r="N244" s="19">
        <v>0.0</v>
      </c>
      <c r="O244" s="19">
        <v>0.0</v>
      </c>
      <c r="P244" s="19">
        <v>1.0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1.0</v>
      </c>
      <c r="W244" s="19">
        <v>1.0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1.0</v>
      </c>
      <c r="AC244" s="19">
        <v>0.0</v>
      </c>
      <c r="AD244" s="19">
        <v>0.0</v>
      </c>
      <c r="AE244" s="19">
        <v>0.0</v>
      </c>
      <c r="AF244" s="19">
        <v>1.0</v>
      </c>
      <c r="AG244" s="19">
        <v>1.0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0.0</v>
      </c>
      <c r="AM244" s="19">
        <v>0.0</v>
      </c>
      <c r="AN244" s="19">
        <v>0.0</v>
      </c>
      <c r="AO244" s="19">
        <v>0.0</v>
      </c>
      <c r="AP244" s="19">
        <v>0.0</v>
      </c>
      <c r="AQ244" s="19">
        <v>0.0</v>
      </c>
      <c r="AR244" s="19">
        <v>0.0</v>
      </c>
      <c r="AS244" s="19">
        <v>0.0</v>
      </c>
      <c r="AT244" s="19">
        <v>0.0</v>
      </c>
      <c r="AU244" s="19">
        <v>1.0</v>
      </c>
      <c r="AV244" s="19">
        <v>1.0</v>
      </c>
      <c r="AW244" s="19">
        <v>0.0</v>
      </c>
      <c r="AX244" s="19">
        <v>5.0</v>
      </c>
      <c r="AY244" s="19">
        <v>1.0</v>
      </c>
      <c r="AZ244" s="19">
        <v>0.0</v>
      </c>
      <c r="BA244" s="19">
        <v>0.0</v>
      </c>
      <c r="BB244" s="19">
        <v>0.0</v>
      </c>
      <c r="BC244" s="19">
        <v>4.0</v>
      </c>
      <c r="BD244" s="19">
        <v>0.0</v>
      </c>
      <c r="BE244" s="19">
        <v>1.0</v>
      </c>
      <c r="BF244" s="19">
        <v>1.0</v>
      </c>
      <c r="BG244" s="19">
        <v>1.0</v>
      </c>
      <c r="BH244" s="19">
        <v>0.0</v>
      </c>
      <c r="BI244" s="19">
        <v>0.0</v>
      </c>
      <c r="BJ244" s="19">
        <v>0.0</v>
      </c>
      <c r="BK244" s="19">
        <v>0.0</v>
      </c>
      <c r="BL244" s="19">
        <v>0.0</v>
      </c>
      <c r="BM244" s="19">
        <v>0.0</v>
      </c>
      <c r="BN244" s="19">
        <v>0.0</v>
      </c>
      <c r="BO244" s="19">
        <v>0.0</v>
      </c>
      <c r="BP244" s="19">
        <v>0.0</v>
      </c>
      <c r="BQ244" s="19">
        <v>0.0</v>
      </c>
      <c r="BR244" s="13">
        <f t="shared" si="46"/>
        <v>75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R247" si="47">SUM(E237:E246)</f>
        <v>1</v>
      </c>
      <c r="F247" s="13">
        <f t="shared" si="47"/>
        <v>3</v>
      </c>
      <c r="G247" s="13">
        <f t="shared" si="47"/>
        <v>2</v>
      </c>
      <c r="H247" s="13">
        <f t="shared" si="47"/>
        <v>5</v>
      </c>
      <c r="I247" s="13">
        <f t="shared" si="47"/>
        <v>23</v>
      </c>
      <c r="J247" s="13">
        <f t="shared" si="47"/>
        <v>20</v>
      </c>
      <c r="K247" s="13">
        <f t="shared" si="47"/>
        <v>1</v>
      </c>
      <c r="L247" s="13">
        <f t="shared" si="47"/>
        <v>8</v>
      </c>
      <c r="M247" s="13">
        <f t="shared" si="47"/>
        <v>8</v>
      </c>
      <c r="N247" s="13">
        <f t="shared" si="47"/>
        <v>1</v>
      </c>
      <c r="O247" s="13">
        <f t="shared" si="47"/>
        <v>0</v>
      </c>
      <c r="P247" s="13">
        <f t="shared" si="47"/>
        <v>3</v>
      </c>
      <c r="Q247" s="13">
        <f t="shared" si="47"/>
        <v>1</v>
      </c>
      <c r="R247" s="13">
        <f t="shared" si="47"/>
        <v>1</v>
      </c>
      <c r="S247" s="13">
        <f t="shared" si="47"/>
        <v>0</v>
      </c>
      <c r="T247" s="13">
        <f t="shared" si="47"/>
        <v>1</v>
      </c>
      <c r="U247" s="13">
        <f t="shared" si="47"/>
        <v>2</v>
      </c>
      <c r="V247" s="13">
        <f t="shared" si="47"/>
        <v>2</v>
      </c>
      <c r="W247" s="13">
        <f t="shared" si="47"/>
        <v>2</v>
      </c>
      <c r="X247" s="13">
        <f t="shared" si="47"/>
        <v>0</v>
      </c>
      <c r="Y247" s="13">
        <f t="shared" si="47"/>
        <v>1</v>
      </c>
      <c r="Z247" s="13">
        <f t="shared" si="47"/>
        <v>2</v>
      </c>
      <c r="AA247" s="13">
        <f t="shared" si="47"/>
        <v>0</v>
      </c>
      <c r="AB247" s="13">
        <f t="shared" si="47"/>
        <v>2</v>
      </c>
      <c r="AC247" s="13">
        <f t="shared" si="47"/>
        <v>1</v>
      </c>
      <c r="AD247" s="13">
        <f t="shared" si="47"/>
        <v>1</v>
      </c>
      <c r="AE247" s="13">
        <f t="shared" si="47"/>
        <v>2</v>
      </c>
      <c r="AF247" s="13">
        <f t="shared" si="47"/>
        <v>1</v>
      </c>
      <c r="AG247" s="13">
        <f t="shared" si="47"/>
        <v>2</v>
      </c>
      <c r="AH247" s="13">
        <f t="shared" si="47"/>
        <v>2</v>
      </c>
      <c r="AI247" s="13">
        <f t="shared" si="47"/>
        <v>9</v>
      </c>
      <c r="AJ247" s="13">
        <f t="shared" si="47"/>
        <v>9</v>
      </c>
      <c r="AK247" s="13">
        <f t="shared" si="47"/>
        <v>1</v>
      </c>
      <c r="AL247" s="13">
        <f t="shared" si="47"/>
        <v>0</v>
      </c>
      <c r="AM247" s="13">
        <f t="shared" si="47"/>
        <v>0</v>
      </c>
      <c r="AN247" s="13">
        <f t="shared" si="47"/>
        <v>0</v>
      </c>
      <c r="AO247" s="13">
        <f t="shared" si="47"/>
        <v>8</v>
      </c>
      <c r="AP247" s="13">
        <f t="shared" si="47"/>
        <v>1</v>
      </c>
      <c r="AQ247" s="13">
        <f t="shared" si="47"/>
        <v>0</v>
      </c>
      <c r="AR247" s="13">
        <f t="shared" si="47"/>
        <v>1</v>
      </c>
      <c r="AS247" s="13">
        <f t="shared" si="47"/>
        <v>2</v>
      </c>
      <c r="AT247" s="13">
        <f t="shared" si="47"/>
        <v>0</v>
      </c>
      <c r="AU247" s="13">
        <f t="shared" si="47"/>
        <v>2</v>
      </c>
      <c r="AV247" s="13">
        <f t="shared" si="47"/>
        <v>2</v>
      </c>
      <c r="AW247" s="13">
        <f t="shared" si="47"/>
        <v>0</v>
      </c>
      <c r="AX247" s="13">
        <f t="shared" si="47"/>
        <v>9</v>
      </c>
      <c r="AY247" s="13">
        <f t="shared" si="47"/>
        <v>1</v>
      </c>
      <c r="AZ247" s="13">
        <f t="shared" si="47"/>
        <v>5</v>
      </c>
      <c r="BA247" s="13">
        <f t="shared" si="47"/>
        <v>2</v>
      </c>
      <c r="BB247" s="13">
        <f t="shared" si="47"/>
        <v>0</v>
      </c>
      <c r="BC247" s="13">
        <f t="shared" si="47"/>
        <v>5</v>
      </c>
      <c r="BD247" s="13">
        <f t="shared" si="47"/>
        <v>1</v>
      </c>
      <c r="BE247" s="13">
        <f t="shared" si="47"/>
        <v>10</v>
      </c>
      <c r="BF247" s="13">
        <f t="shared" si="47"/>
        <v>2</v>
      </c>
      <c r="BG247" s="13">
        <f t="shared" si="47"/>
        <v>1</v>
      </c>
      <c r="BH247" s="13">
        <f t="shared" si="47"/>
        <v>1</v>
      </c>
      <c r="BI247" s="13">
        <f t="shared" si="47"/>
        <v>1</v>
      </c>
      <c r="BJ247" s="13">
        <f t="shared" si="47"/>
        <v>2</v>
      </c>
      <c r="BK247" s="13">
        <f t="shared" si="47"/>
        <v>0</v>
      </c>
      <c r="BL247" s="13">
        <f t="shared" si="47"/>
        <v>1</v>
      </c>
      <c r="BM247" s="13">
        <f t="shared" si="47"/>
        <v>0</v>
      </c>
      <c r="BN247" s="13">
        <f t="shared" si="47"/>
        <v>1</v>
      </c>
      <c r="BO247" s="13">
        <f t="shared" si="47"/>
        <v>2</v>
      </c>
      <c r="BP247" s="13">
        <f t="shared" si="47"/>
        <v>2</v>
      </c>
      <c r="BQ247" s="13">
        <f t="shared" si="47"/>
        <v>1</v>
      </c>
      <c r="BR247" s="13">
        <f t="shared" si="47"/>
        <v>180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1.0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2.0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2.0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1.0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1.0</v>
      </c>
      <c r="AY249" s="19">
        <v>0.0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9">
        <v>0.0</v>
      </c>
      <c r="BL249" s="19">
        <v>0.0</v>
      </c>
      <c r="BM249" s="19">
        <v>0.0</v>
      </c>
      <c r="BN249" s="19">
        <v>0.0</v>
      </c>
      <c r="BO249" s="19">
        <v>0.0</v>
      </c>
      <c r="BP249" s="19">
        <v>0.0</v>
      </c>
      <c r="BQ249" s="19">
        <v>0.0</v>
      </c>
      <c r="BR249" s="13">
        <f t="shared" ref="BR249:BR258" si="48">SUM(E249:BQ249)</f>
        <v>10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3.0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1.0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0.0</v>
      </c>
      <c r="BC250" s="19">
        <v>0.0</v>
      </c>
      <c r="BD250" s="19">
        <v>0.0</v>
      </c>
      <c r="BE250" s="19">
        <v>0.0</v>
      </c>
      <c r="BF250" s="19">
        <v>0.0</v>
      </c>
      <c r="BG250" s="19">
        <v>1.0</v>
      </c>
      <c r="BH250" s="19">
        <v>0.0</v>
      </c>
      <c r="BI250" s="19">
        <v>1.0</v>
      </c>
      <c r="BJ250" s="19">
        <v>0.0</v>
      </c>
      <c r="BK250" s="19">
        <v>0.0</v>
      </c>
      <c r="BL250" s="19">
        <v>0.0</v>
      </c>
      <c r="BM250" s="19">
        <v>0.0</v>
      </c>
      <c r="BN250" s="19">
        <v>0.0</v>
      </c>
      <c r="BO250" s="19">
        <v>0.0</v>
      </c>
      <c r="BP250" s="19">
        <v>0.0</v>
      </c>
      <c r="BQ250" s="19">
        <v>0.0</v>
      </c>
      <c r="BR250" s="13">
        <f t="shared" si="48"/>
        <v>9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1.0</v>
      </c>
      <c r="G251" s="19">
        <v>0.0</v>
      </c>
      <c r="H251" s="19">
        <v>1.0</v>
      </c>
      <c r="I251" s="19">
        <v>1.0</v>
      </c>
      <c r="J251" s="19">
        <v>0.0</v>
      </c>
      <c r="K251" s="19">
        <v>1.0</v>
      </c>
      <c r="L251" s="19">
        <v>0.0</v>
      </c>
      <c r="M251" s="19">
        <v>0.0</v>
      </c>
      <c r="N251" s="19">
        <v>0.0</v>
      </c>
      <c r="O251" s="19">
        <v>1.0</v>
      </c>
      <c r="P251" s="19">
        <v>1.0</v>
      </c>
      <c r="Q251" s="19">
        <v>0.0</v>
      </c>
      <c r="R251" s="19">
        <v>2.0</v>
      </c>
      <c r="S251" s="19">
        <v>0.0</v>
      </c>
      <c r="T251" s="19">
        <v>5.0</v>
      </c>
      <c r="U251" s="19">
        <v>0.0</v>
      </c>
      <c r="V251" s="19">
        <v>3.0</v>
      </c>
      <c r="W251" s="19">
        <v>1.0</v>
      </c>
      <c r="X251" s="19">
        <v>2.0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1.0</v>
      </c>
      <c r="AK251" s="19">
        <v>0.0</v>
      </c>
      <c r="AL251" s="19">
        <v>0.0</v>
      </c>
      <c r="AM251" s="19">
        <v>0.0</v>
      </c>
      <c r="AN251" s="19">
        <v>1.0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1.0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9">
        <v>0.0</v>
      </c>
      <c r="BB251" s="19">
        <v>0.0</v>
      </c>
      <c r="BC251" s="19">
        <v>0.0</v>
      </c>
      <c r="BD251" s="19">
        <v>0.0</v>
      </c>
      <c r="BE251" s="19">
        <v>0.0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0.0</v>
      </c>
      <c r="BK251" s="19">
        <v>0.0</v>
      </c>
      <c r="BL251" s="19">
        <v>0.0</v>
      </c>
      <c r="BM251" s="19">
        <v>0.0</v>
      </c>
      <c r="BN251" s="19">
        <v>0.0</v>
      </c>
      <c r="BO251" s="19">
        <v>0.0</v>
      </c>
      <c r="BP251" s="19">
        <v>0.0</v>
      </c>
      <c r="BQ251" s="19">
        <v>0.0</v>
      </c>
      <c r="BR251" s="13">
        <f t="shared" si="48"/>
        <v>22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1.0</v>
      </c>
      <c r="BE252" s="19">
        <v>0.0</v>
      </c>
      <c r="BF252" s="19">
        <v>0.0</v>
      </c>
      <c r="BG252" s="19">
        <v>0.0</v>
      </c>
      <c r="BH252" s="19">
        <v>0.0</v>
      </c>
      <c r="BI252" s="19">
        <v>0.0</v>
      </c>
      <c r="BJ252" s="19">
        <v>0.0</v>
      </c>
      <c r="BK252" s="19">
        <v>0.0</v>
      </c>
      <c r="BL252" s="19">
        <v>0.0</v>
      </c>
      <c r="BM252" s="19">
        <v>0.0</v>
      </c>
      <c r="BN252" s="19">
        <v>0.0</v>
      </c>
      <c r="BO252" s="19">
        <v>0.0</v>
      </c>
      <c r="BP252" s="19">
        <v>0.0</v>
      </c>
      <c r="BQ252" s="19">
        <v>0.0</v>
      </c>
      <c r="BR252" s="13">
        <f t="shared" si="48"/>
        <v>1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0.0</v>
      </c>
      <c r="BD253" s="19">
        <v>0.0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9">
        <v>0.0</v>
      </c>
      <c r="BL253" s="19">
        <v>0.0</v>
      </c>
      <c r="BM253" s="19">
        <v>0.0</v>
      </c>
      <c r="BN253" s="19">
        <v>0.0</v>
      </c>
      <c r="BO253" s="19">
        <v>0.0</v>
      </c>
      <c r="BP253" s="19">
        <v>0.0</v>
      </c>
      <c r="BQ253" s="19">
        <v>0.0</v>
      </c>
      <c r="BR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1.0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0.0</v>
      </c>
      <c r="BD254" s="19">
        <v>0.0</v>
      </c>
      <c r="BE254" s="19">
        <v>0.0</v>
      </c>
      <c r="BF254" s="19">
        <v>0.0</v>
      </c>
      <c r="BG254" s="19">
        <v>0.0</v>
      </c>
      <c r="BH254" s="19">
        <v>0.0</v>
      </c>
      <c r="BI254" s="19">
        <v>0.0</v>
      </c>
      <c r="BJ254" s="19">
        <v>0.0</v>
      </c>
      <c r="BK254" s="19">
        <v>0.0</v>
      </c>
      <c r="BL254" s="19">
        <v>0.0</v>
      </c>
      <c r="BM254" s="19">
        <v>0.0</v>
      </c>
      <c r="BN254" s="19">
        <v>0.0</v>
      </c>
      <c r="BO254" s="19">
        <v>0.0</v>
      </c>
      <c r="BP254" s="19">
        <v>0.0</v>
      </c>
      <c r="BQ254" s="19">
        <v>0.0</v>
      </c>
      <c r="BR254" s="13">
        <f t="shared" si="48"/>
        <v>1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1.0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1.0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9">
        <v>0.0</v>
      </c>
      <c r="BL255" s="19">
        <v>0.0</v>
      </c>
      <c r="BM255" s="19">
        <v>0.0</v>
      </c>
      <c r="BN255" s="19">
        <v>0.0</v>
      </c>
      <c r="BO255" s="19">
        <v>0.0</v>
      </c>
      <c r="BP255" s="19">
        <v>0.0</v>
      </c>
      <c r="BQ255" s="19">
        <v>0.0</v>
      </c>
      <c r="BR255" s="13">
        <f t="shared" si="48"/>
        <v>2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R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2</v>
      </c>
      <c r="I259" s="13">
        <f t="shared" si="49"/>
        <v>2</v>
      </c>
      <c r="J259" s="13">
        <f t="shared" si="49"/>
        <v>1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3</v>
      </c>
      <c r="Q259" s="13">
        <f t="shared" si="49"/>
        <v>1</v>
      </c>
      <c r="R259" s="13">
        <f t="shared" si="49"/>
        <v>2</v>
      </c>
      <c r="S259" s="13">
        <f t="shared" si="49"/>
        <v>0</v>
      </c>
      <c r="T259" s="13">
        <f t="shared" si="49"/>
        <v>6</v>
      </c>
      <c r="U259" s="13">
        <f t="shared" si="49"/>
        <v>0</v>
      </c>
      <c r="V259" s="13">
        <f t="shared" si="49"/>
        <v>4</v>
      </c>
      <c r="W259" s="13">
        <f t="shared" si="49"/>
        <v>1</v>
      </c>
      <c r="X259" s="13">
        <f t="shared" si="49"/>
        <v>7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1</v>
      </c>
      <c r="AJ259" s="13">
        <f t="shared" si="49"/>
        <v>1</v>
      </c>
      <c r="AK259" s="13">
        <f t="shared" si="49"/>
        <v>0</v>
      </c>
      <c r="AL259" s="13">
        <f t="shared" si="49"/>
        <v>0</v>
      </c>
      <c r="AM259" s="13">
        <f t="shared" si="49"/>
        <v>1</v>
      </c>
      <c r="AN259" s="13">
        <f t="shared" si="49"/>
        <v>2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2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1</v>
      </c>
      <c r="AY259" s="13">
        <f t="shared" si="49"/>
        <v>0</v>
      </c>
      <c r="AZ259" s="13">
        <f t="shared" si="49"/>
        <v>0</v>
      </c>
      <c r="BA259" s="13">
        <f t="shared" si="49"/>
        <v>0</v>
      </c>
      <c r="BB259" s="13">
        <f t="shared" si="49"/>
        <v>0</v>
      </c>
      <c r="BC259" s="13">
        <f t="shared" si="49"/>
        <v>1</v>
      </c>
      <c r="BD259" s="13">
        <f t="shared" si="49"/>
        <v>1</v>
      </c>
      <c r="BE259" s="13">
        <f t="shared" si="49"/>
        <v>0</v>
      </c>
      <c r="BF259" s="13">
        <f t="shared" si="49"/>
        <v>0</v>
      </c>
      <c r="BG259" s="13">
        <f t="shared" si="49"/>
        <v>1</v>
      </c>
      <c r="BH259" s="13">
        <f t="shared" si="49"/>
        <v>0</v>
      </c>
      <c r="BI259" s="13">
        <f t="shared" si="49"/>
        <v>1</v>
      </c>
      <c r="BJ259" s="13">
        <f t="shared" si="49"/>
        <v>0</v>
      </c>
      <c r="BK259" s="13">
        <f t="shared" si="49"/>
        <v>0</v>
      </c>
      <c r="BL259" s="13">
        <f t="shared" si="49"/>
        <v>0</v>
      </c>
      <c r="BM259" s="13">
        <f t="shared" si="49"/>
        <v>0</v>
      </c>
      <c r="BN259" s="13">
        <f t="shared" si="49"/>
        <v>0</v>
      </c>
      <c r="BO259" s="13">
        <f t="shared" si="49"/>
        <v>0</v>
      </c>
      <c r="BP259" s="13">
        <f t="shared" si="49"/>
        <v>0</v>
      </c>
      <c r="BQ259" s="13">
        <f t="shared" si="49"/>
        <v>0</v>
      </c>
      <c r="BR259" s="13">
        <f t="shared" si="49"/>
        <v>45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BQ262" si="50">E55+E67+E79+E91+E103+E115+E127+E139+E151+E163+E175+E187+E199+E211+E223+E235+E247+E259</f>
        <v>148</v>
      </c>
      <c r="F262" s="19">
        <f t="shared" si="50"/>
        <v>145</v>
      </c>
      <c r="G262" s="19">
        <f t="shared" si="50"/>
        <v>138</v>
      </c>
      <c r="H262" s="19">
        <f t="shared" si="50"/>
        <v>187</v>
      </c>
      <c r="I262" s="19">
        <f t="shared" si="50"/>
        <v>177</v>
      </c>
      <c r="J262" s="19">
        <f t="shared" si="50"/>
        <v>213</v>
      </c>
      <c r="K262" s="19">
        <f t="shared" si="50"/>
        <v>199</v>
      </c>
      <c r="L262" s="19">
        <f t="shared" si="50"/>
        <v>176</v>
      </c>
      <c r="M262" s="19">
        <f t="shared" si="50"/>
        <v>176</v>
      </c>
      <c r="N262" s="19">
        <f t="shared" si="50"/>
        <v>177</v>
      </c>
      <c r="O262" s="19">
        <f t="shared" si="50"/>
        <v>188</v>
      </c>
      <c r="P262" s="19">
        <f t="shared" si="50"/>
        <v>217</v>
      </c>
      <c r="Q262" s="19">
        <f t="shared" si="50"/>
        <v>190</v>
      </c>
      <c r="R262" s="19">
        <f t="shared" si="50"/>
        <v>187</v>
      </c>
      <c r="S262" s="19">
        <f t="shared" si="50"/>
        <v>178</v>
      </c>
      <c r="T262" s="19">
        <f t="shared" si="50"/>
        <v>169</v>
      </c>
      <c r="U262" s="19">
        <f t="shared" si="50"/>
        <v>191</v>
      </c>
      <c r="V262" s="19">
        <f t="shared" si="50"/>
        <v>172</v>
      </c>
      <c r="W262" s="19">
        <f t="shared" si="50"/>
        <v>172</v>
      </c>
      <c r="X262" s="19">
        <f t="shared" si="50"/>
        <v>173</v>
      </c>
      <c r="Y262" s="19">
        <f t="shared" si="50"/>
        <v>201</v>
      </c>
      <c r="Z262" s="19">
        <f t="shared" si="50"/>
        <v>210</v>
      </c>
      <c r="AA262" s="19">
        <f t="shared" si="50"/>
        <v>180</v>
      </c>
      <c r="AB262" s="19">
        <f t="shared" si="50"/>
        <v>165</v>
      </c>
      <c r="AC262" s="19">
        <f t="shared" si="50"/>
        <v>205</v>
      </c>
      <c r="AD262" s="19">
        <f t="shared" si="50"/>
        <v>175</v>
      </c>
      <c r="AE262" s="19">
        <f t="shared" si="50"/>
        <v>191</v>
      </c>
      <c r="AF262" s="19">
        <f t="shared" si="50"/>
        <v>206</v>
      </c>
      <c r="AG262" s="19">
        <f t="shared" si="50"/>
        <v>179</v>
      </c>
      <c r="AH262" s="19">
        <f t="shared" si="50"/>
        <v>175</v>
      </c>
      <c r="AI262" s="19">
        <f t="shared" si="50"/>
        <v>161</v>
      </c>
      <c r="AJ262" s="19">
        <f t="shared" si="50"/>
        <v>176</v>
      </c>
      <c r="AK262" s="19">
        <f t="shared" si="50"/>
        <v>188</v>
      </c>
      <c r="AL262" s="19">
        <f t="shared" si="50"/>
        <v>187</v>
      </c>
      <c r="AM262" s="19">
        <f t="shared" si="50"/>
        <v>177</v>
      </c>
      <c r="AN262" s="19">
        <f t="shared" si="50"/>
        <v>185</v>
      </c>
      <c r="AO262" s="19">
        <f t="shared" si="50"/>
        <v>217</v>
      </c>
      <c r="AP262" s="19">
        <f t="shared" si="50"/>
        <v>184</v>
      </c>
      <c r="AQ262" s="19">
        <f t="shared" si="50"/>
        <v>203</v>
      </c>
      <c r="AR262" s="19">
        <f t="shared" si="50"/>
        <v>172</v>
      </c>
      <c r="AS262" s="19">
        <f t="shared" si="50"/>
        <v>186</v>
      </c>
      <c r="AT262" s="19">
        <f t="shared" si="50"/>
        <v>161</v>
      </c>
      <c r="AU262" s="19">
        <f t="shared" si="50"/>
        <v>212</v>
      </c>
      <c r="AV262" s="19">
        <f t="shared" si="50"/>
        <v>197</v>
      </c>
      <c r="AW262" s="19">
        <f t="shared" si="50"/>
        <v>174</v>
      </c>
      <c r="AX262" s="19">
        <f t="shared" si="50"/>
        <v>197</v>
      </c>
      <c r="AY262" s="19">
        <f t="shared" si="50"/>
        <v>189</v>
      </c>
      <c r="AZ262" s="19">
        <f t="shared" si="50"/>
        <v>182</v>
      </c>
      <c r="BA262" s="19">
        <f t="shared" si="50"/>
        <v>204</v>
      </c>
      <c r="BB262" s="19">
        <f t="shared" si="50"/>
        <v>111</v>
      </c>
      <c r="BC262" s="19">
        <f t="shared" si="50"/>
        <v>158</v>
      </c>
      <c r="BD262" s="19">
        <f t="shared" si="50"/>
        <v>205</v>
      </c>
      <c r="BE262" s="19">
        <f t="shared" si="50"/>
        <v>155</v>
      </c>
      <c r="BF262" s="19">
        <f t="shared" si="50"/>
        <v>217</v>
      </c>
      <c r="BG262" s="19">
        <f t="shared" si="50"/>
        <v>224</v>
      </c>
      <c r="BH262" s="19">
        <f t="shared" si="50"/>
        <v>184</v>
      </c>
      <c r="BI262" s="19">
        <f t="shared" si="50"/>
        <v>187</v>
      </c>
      <c r="BJ262" s="19">
        <f t="shared" si="50"/>
        <v>204</v>
      </c>
      <c r="BK262" s="19">
        <f t="shared" si="50"/>
        <v>193</v>
      </c>
      <c r="BL262" s="19">
        <f t="shared" si="50"/>
        <v>214</v>
      </c>
      <c r="BM262" s="19">
        <f t="shared" si="50"/>
        <v>172</v>
      </c>
      <c r="BN262" s="19">
        <f t="shared" si="50"/>
        <v>200</v>
      </c>
      <c r="BO262" s="19">
        <f t="shared" si="50"/>
        <v>197</v>
      </c>
      <c r="BP262" s="19">
        <f t="shared" si="50"/>
        <v>205</v>
      </c>
      <c r="BQ262" s="19">
        <f t="shared" si="50"/>
        <v>206</v>
      </c>
      <c r="BR262" s="13">
        <f t="shared" ref="BR262:BR264" si="51">SUM(E262:BQ262)</f>
        <v>12044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23.0</v>
      </c>
      <c r="F263" s="19">
        <v>18.0</v>
      </c>
      <c r="G263" s="19">
        <v>15.0</v>
      </c>
      <c r="H263" s="19">
        <v>13.0</v>
      </c>
      <c r="I263" s="19">
        <v>30.0</v>
      </c>
      <c r="J263" s="19">
        <v>16.0</v>
      </c>
      <c r="K263" s="19">
        <v>22.0</v>
      </c>
      <c r="L263" s="19">
        <v>19.0</v>
      </c>
      <c r="M263" s="19">
        <v>33.0</v>
      </c>
      <c r="N263" s="19">
        <v>56.0</v>
      </c>
      <c r="O263" s="19">
        <v>15.0</v>
      </c>
      <c r="P263" s="19">
        <v>2.0</v>
      </c>
      <c r="Q263" s="19">
        <v>18.0</v>
      </c>
      <c r="R263" s="19">
        <v>16.0</v>
      </c>
      <c r="S263" s="19">
        <v>28.0</v>
      </c>
      <c r="T263" s="19">
        <v>24.0</v>
      </c>
      <c r="U263" s="19">
        <v>17.0</v>
      </c>
      <c r="V263" s="19">
        <v>18.0</v>
      </c>
      <c r="W263" s="19">
        <v>15.0</v>
      </c>
      <c r="X263" s="19">
        <v>21.0</v>
      </c>
      <c r="Y263" s="19">
        <v>19.0</v>
      </c>
      <c r="Z263" s="19">
        <v>10.0</v>
      </c>
      <c r="AA263" s="19">
        <v>29.0</v>
      </c>
      <c r="AB263" s="19">
        <v>40.0</v>
      </c>
      <c r="AC263" s="19">
        <v>30.0</v>
      </c>
      <c r="AD263" s="19">
        <v>49.0</v>
      </c>
      <c r="AE263" s="19">
        <v>24.0</v>
      </c>
      <c r="AF263" s="19">
        <v>15.0</v>
      </c>
      <c r="AG263" s="19">
        <v>13.0</v>
      </c>
      <c r="AH263" s="19">
        <v>27.0</v>
      </c>
      <c r="AI263" s="19">
        <v>39.0</v>
      </c>
      <c r="AJ263" s="19">
        <v>51.0</v>
      </c>
      <c r="AK263" s="19">
        <v>33.0</v>
      </c>
      <c r="AL263" s="19">
        <v>10.0</v>
      </c>
      <c r="AM263" s="19">
        <v>18.0</v>
      </c>
      <c r="AN263" s="19">
        <v>38.0</v>
      </c>
      <c r="AO263" s="19">
        <v>23.0</v>
      </c>
      <c r="AP263" s="19">
        <v>35.0</v>
      </c>
      <c r="AQ263" s="19">
        <v>10.0</v>
      </c>
      <c r="AR263" s="19">
        <v>20.0</v>
      </c>
      <c r="AS263" s="19">
        <v>14.0</v>
      </c>
      <c r="AT263" s="19">
        <v>6.0</v>
      </c>
      <c r="AU263" s="19">
        <v>21.0</v>
      </c>
      <c r="AV263" s="19">
        <v>14.0</v>
      </c>
      <c r="AW263" s="19">
        <v>14.0</v>
      </c>
      <c r="AX263" s="19">
        <v>19.0</v>
      </c>
      <c r="AY263" s="19">
        <v>13.0</v>
      </c>
      <c r="AZ263" s="19">
        <v>15.0</v>
      </c>
      <c r="BA263" s="19">
        <v>10.0</v>
      </c>
      <c r="BB263" s="19">
        <v>18.0</v>
      </c>
      <c r="BC263" s="19">
        <v>14.0</v>
      </c>
      <c r="BD263" s="19">
        <v>18.0</v>
      </c>
      <c r="BE263" s="19">
        <v>28.0</v>
      </c>
      <c r="BF263" s="19">
        <v>14.0</v>
      </c>
      <c r="BG263" s="19">
        <v>9.0</v>
      </c>
      <c r="BH263" s="19">
        <v>19.0</v>
      </c>
      <c r="BI263" s="19">
        <v>13.0</v>
      </c>
      <c r="BJ263" s="19">
        <v>16.0</v>
      </c>
      <c r="BK263" s="19">
        <v>11.0</v>
      </c>
      <c r="BL263" s="19">
        <v>9.0</v>
      </c>
      <c r="BM263" s="19">
        <v>16.0</v>
      </c>
      <c r="BN263" s="19">
        <v>28.0</v>
      </c>
      <c r="BO263" s="19">
        <v>18.0</v>
      </c>
      <c r="BP263" s="19">
        <v>23.0</v>
      </c>
      <c r="BQ263" s="19">
        <v>18.0</v>
      </c>
      <c r="BR263" s="13">
        <f t="shared" si="51"/>
        <v>1350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BQ264" si="52">SUM(E262:E263)</f>
        <v>171</v>
      </c>
      <c r="F264" s="13">
        <f t="shared" si="52"/>
        <v>163</v>
      </c>
      <c r="G264" s="13">
        <f t="shared" si="52"/>
        <v>153</v>
      </c>
      <c r="H264" s="13">
        <f t="shared" si="52"/>
        <v>200</v>
      </c>
      <c r="I264" s="13">
        <f t="shared" si="52"/>
        <v>207</v>
      </c>
      <c r="J264" s="13">
        <f t="shared" si="52"/>
        <v>229</v>
      </c>
      <c r="K264" s="13">
        <f t="shared" si="52"/>
        <v>221</v>
      </c>
      <c r="L264" s="13">
        <f t="shared" si="52"/>
        <v>195</v>
      </c>
      <c r="M264" s="13">
        <f t="shared" si="52"/>
        <v>209</v>
      </c>
      <c r="N264" s="13">
        <f t="shared" si="52"/>
        <v>233</v>
      </c>
      <c r="O264" s="13">
        <f t="shared" si="52"/>
        <v>203</v>
      </c>
      <c r="P264" s="13">
        <f t="shared" si="52"/>
        <v>219</v>
      </c>
      <c r="Q264" s="13">
        <f t="shared" si="52"/>
        <v>208</v>
      </c>
      <c r="R264" s="13">
        <f t="shared" si="52"/>
        <v>203</v>
      </c>
      <c r="S264" s="13">
        <f t="shared" si="52"/>
        <v>206</v>
      </c>
      <c r="T264" s="13">
        <f t="shared" si="52"/>
        <v>193</v>
      </c>
      <c r="U264" s="13">
        <f t="shared" si="52"/>
        <v>208</v>
      </c>
      <c r="V264" s="13">
        <f t="shared" si="52"/>
        <v>190</v>
      </c>
      <c r="W264" s="13">
        <f t="shared" si="52"/>
        <v>187</v>
      </c>
      <c r="X264" s="13">
        <f t="shared" si="52"/>
        <v>194</v>
      </c>
      <c r="Y264" s="13">
        <f t="shared" si="52"/>
        <v>220</v>
      </c>
      <c r="Z264" s="13">
        <f t="shared" si="52"/>
        <v>220</v>
      </c>
      <c r="AA264" s="13">
        <f t="shared" si="52"/>
        <v>209</v>
      </c>
      <c r="AB264" s="13">
        <f t="shared" si="52"/>
        <v>205</v>
      </c>
      <c r="AC264" s="13">
        <f t="shared" si="52"/>
        <v>235</v>
      </c>
      <c r="AD264" s="13">
        <f t="shared" si="52"/>
        <v>224</v>
      </c>
      <c r="AE264" s="13">
        <f t="shared" si="52"/>
        <v>215</v>
      </c>
      <c r="AF264" s="13">
        <f t="shared" si="52"/>
        <v>221</v>
      </c>
      <c r="AG264" s="13">
        <f t="shared" si="52"/>
        <v>192</v>
      </c>
      <c r="AH264" s="13">
        <f t="shared" si="52"/>
        <v>202</v>
      </c>
      <c r="AI264" s="13">
        <f t="shared" si="52"/>
        <v>200</v>
      </c>
      <c r="AJ264" s="13">
        <f t="shared" si="52"/>
        <v>227</v>
      </c>
      <c r="AK264" s="13">
        <f t="shared" si="52"/>
        <v>221</v>
      </c>
      <c r="AL264" s="13">
        <f t="shared" si="52"/>
        <v>197</v>
      </c>
      <c r="AM264" s="13">
        <f t="shared" si="52"/>
        <v>195</v>
      </c>
      <c r="AN264" s="13">
        <f t="shared" si="52"/>
        <v>223</v>
      </c>
      <c r="AO264" s="13">
        <f t="shared" si="52"/>
        <v>240</v>
      </c>
      <c r="AP264" s="13">
        <f t="shared" si="52"/>
        <v>219</v>
      </c>
      <c r="AQ264" s="13">
        <f t="shared" si="52"/>
        <v>213</v>
      </c>
      <c r="AR264" s="13">
        <f t="shared" si="52"/>
        <v>192</v>
      </c>
      <c r="AS264" s="13">
        <f t="shared" si="52"/>
        <v>200</v>
      </c>
      <c r="AT264" s="13">
        <f t="shared" si="52"/>
        <v>167</v>
      </c>
      <c r="AU264" s="13">
        <f t="shared" si="52"/>
        <v>233</v>
      </c>
      <c r="AV264" s="13">
        <f t="shared" si="52"/>
        <v>211</v>
      </c>
      <c r="AW264" s="13">
        <f t="shared" si="52"/>
        <v>188</v>
      </c>
      <c r="AX264" s="13">
        <f t="shared" si="52"/>
        <v>216</v>
      </c>
      <c r="AY264" s="13">
        <f t="shared" si="52"/>
        <v>202</v>
      </c>
      <c r="AZ264" s="13">
        <f t="shared" si="52"/>
        <v>197</v>
      </c>
      <c r="BA264" s="13">
        <f t="shared" si="52"/>
        <v>214</v>
      </c>
      <c r="BB264" s="13">
        <f t="shared" si="52"/>
        <v>129</v>
      </c>
      <c r="BC264" s="13">
        <f t="shared" si="52"/>
        <v>172</v>
      </c>
      <c r="BD264" s="13">
        <f t="shared" si="52"/>
        <v>223</v>
      </c>
      <c r="BE264" s="13">
        <f t="shared" si="52"/>
        <v>183</v>
      </c>
      <c r="BF264" s="13">
        <f t="shared" si="52"/>
        <v>231</v>
      </c>
      <c r="BG264" s="13">
        <f t="shared" si="52"/>
        <v>233</v>
      </c>
      <c r="BH264" s="13">
        <f t="shared" si="52"/>
        <v>203</v>
      </c>
      <c r="BI264" s="13">
        <f t="shared" si="52"/>
        <v>200</v>
      </c>
      <c r="BJ264" s="13">
        <f t="shared" si="52"/>
        <v>220</v>
      </c>
      <c r="BK264" s="13">
        <f t="shared" si="52"/>
        <v>204</v>
      </c>
      <c r="BL264" s="13">
        <f t="shared" si="52"/>
        <v>223</v>
      </c>
      <c r="BM264" s="13">
        <f t="shared" si="52"/>
        <v>188</v>
      </c>
      <c r="BN264" s="13">
        <f t="shared" si="52"/>
        <v>228</v>
      </c>
      <c r="BO264" s="13">
        <f t="shared" si="52"/>
        <v>215</v>
      </c>
      <c r="BP264" s="13">
        <f t="shared" si="52"/>
        <v>228</v>
      </c>
      <c r="BQ264" s="13">
        <f t="shared" si="52"/>
        <v>224</v>
      </c>
      <c r="BR264" s="13">
        <f t="shared" si="51"/>
        <v>13394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B247:D247"/>
    <mergeCell ref="A248:E248"/>
    <mergeCell ref="C249:D249"/>
    <mergeCell ref="B259:D259"/>
    <mergeCell ref="B261:D261"/>
    <mergeCell ref="C262:D262"/>
    <mergeCell ref="C263:D263"/>
    <mergeCell ref="C264:D264"/>
    <mergeCell ref="C213:D213"/>
    <mergeCell ref="B223:D223"/>
    <mergeCell ref="A224:E224"/>
    <mergeCell ref="C225:D225"/>
    <mergeCell ref="B235:D235"/>
    <mergeCell ref="A236:E236"/>
    <mergeCell ref="C237:D237"/>
    <mergeCell ref="B12:D12"/>
    <mergeCell ref="E12:BQ12"/>
    <mergeCell ref="BR12:B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BQ37"/>
    <mergeCell ref="B38:D38"/>
    <mergeCell ref="B39:C41"/>
    <mergeCell ref="A42:D42"/>
    <mergeCell ref="E42:B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</mergeCells>
  <conditionalFormatting sqref="E14:BQ15">
    <cfRule type="containsBlanks" dxfId="1" priority="1">
      <formula>LEN(TRIM(E14))=0</formula>
    </cfRule>
  </conditionalFormatting>
  <conditionalFormatting sqref="E19:BQ20">
    <cfRule type="containsBlanks" dxfId="1" priority="2">
      <formula>LEN(TRIM(E19))=0</formula>
    </cfRule>
  </conditionalFormatting>
  <conditionalFormatting sqref="E22:BQ23 E25:BQ26 E33:BQ33 E35:BQ35 E39:BQ40">
    <cfRule type="containsBlanks" dxfId="1" priority="3">
      <formula>LEN(TRIM(E22))=0</formula>
    </cfRule>
  </conditionalFormatting>
  <conditionalFormatting sqref="E30:BQ30">
    <cfRule type="expression" dxfId="0" priority="4">
      <formula>E30&lt;&gt;E47</formula>
    </cfRule>
  </conditionalFormatting>
  <conditionalFormatting sqref="E30:BQ30">
    <cfRule type="expression" dxfId="0" priority="5">
      <formula>E30&lt;&gt;E34</formula>
    </cfRule>
  </conditionalFormatting>
  <conditionalFormatting sqref="E34:BQ34">
    <cfRule type="expression" dxfId="2" priority="6">
      <formula>E30&lt;&gt;E34</formula>
    </cfRule>
  </conditionalFormatting>
  <conditionalFormatting sqref="E34:BQ34">
    <cfRule type="expression" dxfId="3" priority="7">
      <formula>E30=E34</formula>
    </cfRule>
  </conditionalFormatting>
  <conditionalFormatting sqref="E34:BQ34">
    <cfRule type="expression" dxfId="0" priority="8">
      <formula>E34&lt;&gt;E30</formula>
    </cfRule>
  </conditionalFormatting>
  <conditionalFormatting sqref="E34:BQ34">
    <cfRule type="expression" dxfId="0" priority="9">
      <formula>E34&lt;&gt;E64</formula>
    </cfRule>
  </conditionalFormatting>
  <conditionalFormatting sqref="E45:BQ54">
    <cfRule type="containsBlanks" dxfId="1" priority="10">
      <formula>LEN(TRIM(E45))=0</formula>
    </cfRule>
  </conditionalFormatting>
  <conditionalFormatting sqref="E57:BQ66">
    <cfRule type="containsBlanks" dxfId="1" priority="11">
      <formula>LEN(TRIM(E57))=0</formula>
    </cfRule>
  </conditionalFormatting>
  <conditionalFormatting sqref="E69:BQ78">
    <cfRule type="containsBlanks" dxfId="1" priority="12">
      <formula>LEN(TRIM(E69))=0</formula>
    </cfRule>
  </conditionalFormatting>
  <conditionalFormatting sqref="E81:BQ90">
    <cfRule type="containsBlanks" dxfId="1" priority="13">
      <formula>LEN(TRIM(E81))=0</formula>
    </cfRule>
  </conditionalFormatting>
  <conditionalFormatting sqref="E93:BQ102">
    <cfRule type="containsBlanks" dxfId="1" priority="14">
      <formula>LEN(TRIM(E93))=0</formula>
    </cfRule>
  </conditionalFormatting>
  <conditionalFormatting sqref="E105:BQ114">
    <cfRule type="containsBlanks" dxfId="1" priority="15">
      <formula>LEN(TRIM(E105))=0</formula>
    </cfRule>
  </conditionalFormatting>
  <conditionalFormatting sqref="E117:BQ126">
    <cfRule type="containsBlanks" dxfId="1" priority="16">
      <formula>LEN(TRIM(E117))=0</formula>
    </cfRule>
  </conditionalFormatting>
  <conditionalFormatting sqref="E129:BQ138">
    <cfRule type="containsBlanks" dxfId="1" priority="17">
      <formula>LEN(TRIM(E129))=0</formula>
    </cfRule>
  </conditionalFormatting>
  <conditionalFormatting sqref="E141:BQ150">
    <cfRule type="containsBlanks" dxfId="1" priority="18">
      <formula>LEN(TRIM(E141))=0</formula>
    </cfRule>
  </conditionalFormatting>
  <conditionalFormatting sqref="E153:BQ162">
    <cfRule type="containsBlanks" dxfId="1" priority="19">
      <formula>LEN(TRIM(E153))=0</formula>
    </cfRule>
  </conditionalFormatting>
  <conditionalFormatting sqref="E165:BQ174">
    <cfRule type="containsBlanks" dxfId="1" priority="20">
      <formula>LEN(TRIM(E165))=0</formula>
    </cfRule>
  </conditionalFormatting>
  <conditionalFormatting sqref="E177:BQ186">
    <cfRule type="containsBlanks" dxfId="1" priority="21">
      <formula>LEN(TRIM(E177))=0</formula>
    </cfRule>
  </conditionalFormatting>
  <conditionalFormatting sqref="E189:BQ198">
    <cfRule type="containsBlanks" dxfId="1" priority="22">
      <formula>LEN(TRIM(E189))=0</formula>
    </cfRule>
  </conditionalFormatting>
  <conditionalFormatting sqref="E201:BQ210">
    <cfRule type="containsBlanks" dxfId="1" priority="23">
      <formula>LEN(TRIM(E201))=0</formula>
    </cfRule>
  </conditionalFormatting>
  <conditionalFormatting sqref="E213:BQ222">
    <cfRule type="containsBlanks" dxfId="1" priority="24">
      <formula>LEN(TRIM(E213))=0</formula>
    </cfRule>
  </conditionalFormatting>
  <conditionalFormatting sqref="E225:BQ234">
    <cfRule type="containsBlanks" dxfId="1" priority="25">
      <formula>LEN(TRIM(E225))=0</formula>
    </cfRule>
  </conditionalFormatting>
  <conditionalFormatting sqref="E237:BQ246">
    <cfRule type="containsBlanks" dxfId="1" priority="26">
      <formula>LEN(TRIM(E237))=0</formula>
    </cfRule>
  </conditionalFormatting>
  <conditionalFormatting sqref="E249:BQ258">
    <cfRule type="containsBlanks" dxfId="1" priority="27">
      <formula>LEN(TRIM(E249))=0</formula>
    </cfRule>
  </conditionalFormatting>
  <conditionalFormatting sqref="E262:B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145.0</v>
      </c>
      <c r="G14" s="19">
        <v>119.0</v>
      </c>
      <c r="H14" s="19">
        <v>137.0</v>
      </c>
      <c r="I14" s="19">
        <v>143.0</v>
      </c>
      <c r="J14" s="19">
        <v>101.0</v>
      </c>
      <c r="K14" s="19">
        <v>146.0</v>
      </c>
      <c r="L14" s="19">
        <v>146.0</v>
      </c>
      <c r="M14" s="19">
        <v>150.0</v>
      </c>
      <c r="N14" s="19">
        <v>133.0</v>
      </c>
      <c r="O14" s="19">
        <v>124.0</v>
      </c>
      <c r="P14" s="19">
        <v>95.0</v>
      </c>
      <c r="Q14" s="19">
        <v>142.0</v>
      </c>
      <c r="R14" s="19">
        <v>147.0</v>
      </c>
      <c r="S14" s="19">
        <v>130.0</v>
      </c>
      <c r="T14" s="19">
        <v>108.0</v>
      </c>
      <c r="U14" s="19">
        <v>149.0</v>
      </c>
      <c r="V14" s="19">
        <v>135.0</v>
      </c>
      <c r="W14" s="19">
        <v>148.0</v>
      </c>
      <c r="X14" s="19">
        <v>149.0</v>
      </c>
      <c r="Y14" s="19">
        <v>157.0</v>
      </c>
      <c r="Z14" s="19">
        <v>143.0</v>
      </c>
      <c r="AA14" s="19">
        <v>163.0</v>
      </c>
      <c r="AB14" s="19">
        <v>143.0</v>
      </c>
      <c r="AC14" s="19">
        <v>111.0</v>
      </c>
      <c r="AD14" s="19">
        <v>116.0</v>
      </c>
      <c r="AE14" s="19">
        <v>138.0</v>
      </c>
      <c r="AF14" s="19">
        <v>121.0</v>
      </c>
      <c r="AG14" s="19">
        <v>136.0</v>
      </c>
      <c r="AH14" s="19">
        <v>148.0</v>
      </c>
      <c r="AI14" s="19">
        <v>98.0</v>
      </c>
      <c r="AJ14" s="19">
        <v>140.0</v>
      </c>
      <c r="AK14" s="19">
        <v>107.0</v>
      </c>
      <c r="AL14" s="19">
        <v>149.0</v>
      </c>
      <c r="AM14" s="19">
        <v>144.0</v>
      </c>
      <c r="AN14" s="19">
        <v>121.0</v>
      </c>
      <c r="AO14" s="19">
        <v>90.0</v>
      </c>
      <c r="AP14" s="19">
        <v>145.0</v>
      </c>
      <c r="AQ14" s="19">
        <v>153.0</v>
      </c>
      <c r="AR14" s="19">
        <v>135.0</v>
      </c>
      <c r="AS14" s="19">
        <v>148.0</v>
      </c>
      <c r="AT14" s="19">
        <v>142.0</v>
      </c>
      <c r="AU14" s="19">
        <v>140.0</v>
      </c>
      <c r="AV14" s="19">
        <v>136.0</v>
      </c>
      <c r="AW14" s="19">
        <v>141.0</v>
      </c>
      <c r="AX14" s="13">
        <f t="shared" ref="AX14:AX16" si="1">SUM(E14:AW14)</f>
        <v>6061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151.0</v>
      </c>
      <c r="G15" s="19">
        <v>121.0</v>
      </c>
      <c r="H15" s="19">
        <v>140.0</v>
      </c>
      <c r="I15" s="19">
        <v>145.0</v>
      </c>
      <c r="J15" s="19">
        <v>101.0</v>
      </c>
      <c r="K15" s="19">
        <v>146.0</v>
      </c>
      <c r="L15" s="19">
        <v>143.0</v>
      </c>
      <c r="M15" s="19">
        <v>144.0</v>
      </c>
      <c r="N15" s="19">
        <v>128.0</v>
      </c>
      <c r="O15" s="19">
        <v>116.0</v>
      </c>
      <c r="P15" s="19">
        <v>95.0</v>
      </c>
      <c r="Q15" s="19">
        <v>149.0</v>
      </c>
      <c r="R15" s="19">
        <v>148.0</v>
      </c>
      <c r="S15" s="19">
        <v>138.0</v>
      </c>
      <c r="T15" s="19">
        <v>104.0</v>
      </c>
      <c r="U15" s="19">
        <v>129.0</v>
      </c>
      <c r="V15" s="19">
        <v>132.0</v>
      </c>
      <c r="W15" s="19">
        <v>144.0</v>
      </c>
      <c r="X15" s="19">
        <v>141.0</v>
      </c>
      <c r="Y15" s="19">
        <v>140.0</v>
      </c>
      <c r="Z15" s="19">
        <v>134.0</v>
      </c>
      <c r="AA15" s="19">
        <v>135.0</v>
      </c>
      <c r="AB15" s="19">
        <v>145.0</v>
      </c>
      <c r="AC15" s="19">
        <v>122.0</v>
      </c>
      <c r="AD15" s="19">
        <v>118.0</v>
      </c>
      <c r="AE15" s="19">
        <v>159.0</v>
      </c>
      <c r="AF15" s="19">
        <v>128.0</v>
      </c>
      <c r="AG15" s="19">
        <v>137.0</v>
      </c>
      <c r="AH15" s="19">
        <v>130.0</v>
      </c>
      <c r="AI15" s="19">
        <v>93.0</v>
      </c>
      <c r="AJ15" s="19">
        <v>136.0</v>
      </c>
      <c r="AK15" s="19">
        <v>114.0</v>
      </c>
      <c r="AL15" s="19">
        <v>144.0</v>
      </c>
      <c r="AM15" s="19">
        <v>148.0</v>
      </c>
      <c r="AN15" s="19">
        <v>126.0</v>
      </c>
      <c r="AO15" s="19">
        <v>98.0</v>
      </c>
      <c r="AP15" s="19">
        <v>143.0</v>
      </c>
      <c r="AQ15" s="19">
        <v>145.0</v>
      </c>
      <c r="AR15" s="19">
        <v>137.0</v>
      </c>
      <c r="AS15" s="19">
        <v>140.0</v>
      </c>
      <c r="AT15" s="19">
        <v>152.0</v>
      </c>
      <c r="AU15" s="19">
        <v>134.0</v>
      </c>
      <c r="AV15" s="19">
        <v>150.0</v>
      </c>
      <c r="AW15" s="19">
        <v>154.0</v>
      </c>
      <c r="AX15" s="13">
        <f t="shared" si="1"/>
        <v>6005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277</v>
      </c>
      <c r="F16" s="13">
        <f t="shared" si="2"/>
        <v>296</v>
      </c>
      <c r="G16" s="13">
        <f t="shared" si="2"/>
        <v>240</v>
      </c>
      <c r="H16" s="13">
        <f t="shared" si="2"/>
        <v>277</v>
      </c>
      <c r="I16" s="13">
        <f t="shared" si="2"/>
        <v>288</v>
      </c>
      <c r="J16" s="13">
        <f t="shared" si="2"/>
        <v>202</v>
      </c>
      <c r="K16" s="13">
        <f t="shared" si="2"/>
        <v>292</v>
      </c>
      <c r="L16" s="13">
        <f t="shared" si="2"/>
        <v>289</v>
      </c>
      <c r="M16" s="13">
        <f t="shared" si="2"/>
        <v>294</v>
      </c>
      <c r="N16" s="13">
        <f t="shared" si="2"/>
        <v>261</v>
      </c>
      <c r="O16" s="13">
        <f t="shared" si="2"/>
        <v>240</v>
      </c>
      <c r="P16" s="13">
        <f t="shared" si="2"/>
        <v>190</v>
      </c>
      <c r="Q16" s="13">
        <f t="shared" si="2"/>
        <v>291</v>
      </c>
      <c r="R16" s="13">
        <f t="shared" si="2"/>
        <v>295</v>
      </c>
      <c r="S16" s="13">
        <f t="shared" si="2"/>
        <v>268</v>
      </c>
      <c r="T16" s="13">
        <f t="shared" si="2"/>
        <v>212</v>
      </c>
      <c r="U16" s="13">
        <f t="shared" si="2"/>
        <v>278</v>
      </c>
      <c r="V16" s="13">
        <f t="shared" si="2"/>
        <v>267</v>
      </c>
      <c r="W16" s="13">
        <f t="shared" si="2"/>
        <v>292</v>
      </c>
      <c r="X16" s="13">
        <f t="shared" si="2"/>
        <v>290</v>
      </c>
      <c r="Y16" s="13">
        <f t="shared" si="2"/>
        <v>297</v>
      </c>
      <c r="Z16" s="13">
        <f t="shared" si="2"/>
        <v>277</v>
      </c>
      <c r="AA16" s="13">
        <f t="shared" si="2"/>
        <v>298</v>
      </c>
      <c r="AB16" s="13">
        <f t="shared" si="2"/>
        <v>288</v>
      </c>
      <c r="AC16" s="13">
        <f t="shared" si="2"/>
        <v>233</v>
      </c>
      <c r="AD16" s="13">
        <f t="shared" si="2"/>
        <v>234</v>
      </c>
      <c r="AE16" s="13">
        <f t="shared" si="2"/>
        <v>297</v>
      </c>
      <c r="AF16" s="13">
        <f t="shared" si="2"/>
        <v>249</v>
      </c>
      <c r="AG16" s="13">
        <f t="shared" si="2"/>
        <v>273</v>
      </c>
      <c r="AH16" s="13">
        <f t="shared" si="2"/>
        <v>278</v>
      </c>
      <c r="AI16" s="13">
        <f t="shared" si="2"/>
        <v>191</v>
      </c>
      <c r="AJ16" s="13">
        <f t="shared" si="2"/>
        <v>276</v>
      </c>
      <c r="AK16" s="13">
        <f t="shared" si="2"/>
        <v>221</v>
      </c>
      <c r="AL16" s="13">
        <f t="shared" si="2"/>
        <v>293</v>
      </c>
      <c r="AM16" s="13">
        <f t="shared" si="2"/>
        <v>292</v>
      </c>
      <c r="AN16" s="13">
        <f t="shared" si="2"/>
        <v>247</v>
      </c>
      <c r="AO16" s="13">
        <f t="shared" si="2"/>
        <v>188</v>
      </c>
      <c r="AP16" s="13">
        <f t="shared" si="2"/>
        <v>288</v>
      </c>
      <c r="AQ16" s="13">
        <f t="shared" si="2"/>
        <v>298</v>
      </c>
      <c r="AR16" s="13">
        <f t="shared" si="2"/>
        <v>272</v>
      </c>
      <c r="AS16" s="13">
        <f t="shared" si="2"/>
        <v>288</v>
      </c>
      <c r="AT16" s="13">
        <f t="shared" si="2"/>
        <v>294</v>
      </c>
      <c r="AU16" s="13">
        <f t="shared" si="2"/>
        <v>274</v>
      </c>
      <c r="AV16" s="13">
        <f t="shared" si="2"/>
        <v>286</v>
      </c>
      <c r="AW16" s="13">
        <f t="shared" si="2"/>
        <v>295</v>
      </c>
      <c r="AX16" s="13">
        <f t="shared" si="1"/>
        <v>12066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75"/>
      <c r="P17" s="75"/>
      <c r="Q17" s="75"/>
      <c r="R17" s="75"/>
      <c r="S17" s="75"/>
      <c r="T17" s="75"/>
      <c r="U17" s="75"/>
      <c r="V17" s="75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75"/>
      <c r="AK17" s="75"/>
      <c r="AL17" s="75"/>
      <c r="AM17" s="75"/>
      <c r="AN17" s="75"/>
      <c r="AO17" s="75"/>
      <c r="AP17" s="75"/>
      <c r="AQ17" s="75"/>
      <c r="AR17" s="19"/>
      <c r="AS17" s="19"/>
      <c r="AT17" s="19"/>
      <c r="AU17" s="19"/>
      <c r="AV17" s="19"/>
      <c r="AW17" s="19"/>
      <c r="AX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75"/>
      <c r="P18" s="75"/>
      <c r="Q18" s="75"/>
      <c r="R18" s="75"/>
      <c r="S18" s="75"/>
      <c r="T18" s="75"/>
      <c r="U18" s="75"/>
      <c r="V18" s="75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75"/>
      <c r="AK18" s="75"/>
      <c r="AL18" s="75"/>
      <c r="AM18" s="75"/>
      <c r="AN18" s="75"/>
      <c r="AO18" s="75"/>
      <c r="AP18" s="75"/>
      <c r="AQ18" s="75"/>
      <c r="AR18" s="19"/>
      <c r="AS18" s="19"/>
      <c r="AT18" s="19"/>
      <c r="AU18" s="19"/>
      <c r="AV18" s="19"/>
      <c r="AW18" s="19"/>
      <c r="AX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106.0</v>
      </c>
      <c r="G19" s="19">
        <v>89.0</v>
      </c>
      <c r="H19" s="19">
        <v>106.0</v>
      </c>
      <c r="I19" s="19">
        <v>101.0</v>
      </c>
      <c r="J19" s="19">
        <v>63.0</v>
      </c>
      <c r="K19" s="19">
        <v>78.0</v>
      </c>
      <c r="L19" s="19">
        <v>102.0</v>
      </c>
      <c r="M19" s="19">
        <v>107.0</v>
      </c>
      <c r="N19" s="19">
        <v>71.0</v>
      </c>
      <c r="O19" s="19">
        <v>85.0</v>
      </c>
      <c r="P19" s="19">
        <v>71.0</v>
      </c>
      <c r="Q19" s="19">
        <v>111.0</v>
      </c>
      <c r="R19" s="19">
        <v>102.0</v>
      </c>
      <c r="S19" s="19">
        <v>95.0</v>
      </c>
      <c r="T19" s="19">
        <v>77.0</v>
      </c>
      <c r="U19" s="19">
        <v>114.0</v>
      </c>
      <c r="V19" s="19">
        <v>106.0</v>
      </c>
      <c r="W19" s="19">
        <v>100.0</v>
      </c>
      <c r="X19" s="19">
        <v>108.0</v>
      </c>
      <c r="Y19" s="19">
        <v>105.0</v>
      </c>
      <c r="Z19" s="19">
        <v>92.0</v>
      </c>
      <c r="AA19" s="19">
        <v>107.0</v>
      </c>
      <c r="AB19" s="19">
        <v>94.0</v>
      </c>
      <c r="AC19" s="19">
        <v>80.0</v>
      </c>
      <c r="AD19" s="19">
        <v>96.0</v>
      </c>
      <c r="AE19" s="19">
        <v>93.0</v>
      </c>
      <c r="AF19" s="19">
        <v>93.0</v>
      </c>
      <c r="AG19" s="19">
        <v>105.0</v>
      </c>
      <c r="AH19" s="19">
        <v>115.0</v>
      </c>
      <c r="AI19" s="19">
        <v>82.0</v>
      </c>
      <c r="AJ19" s="19">
        <v>114.0</v>
      </c>
      <c r="AK19" s="19">
        <v>75.0</v>
      </c>
      <c r="AL19" s="19">
        <v>104.0</v>
      </c>
      <c r="AM19" s="19">
        <v>102.0</v>
      </c>
      <c r="AN19" s="19">
        <v>93.0</v>
      </c>
      <c r="AO19" s="19">
        <v>71.0</v>
      </c>
      <c r="AP19" s="19">
        <v>110.0</v>
      </c>
      <c r="AQ19" s="19">
        <v>113.0</v>
      </c>
      <c r="AR19" s="19">
        <v>91.0</v>
      </c>
      <c r="AS19" s="19">
        <v>123.0</v>
      </c>
      <c r="AT19" s="19">
        <v>95.0</v>
      </c>
      <c r="AU19" s="19">
        <v>97.0</v>
      </c>
      <c r="AV19" s="19">
        <v>96.0</v>
      </c>
      <c r="AW19" s="19">
        <v>107.0</v>
      </c>
      <c r="AX19" s="13">
        <f t="shared" ref="AX19:AX30" si="3">SUM(E19:AW19)</f>
        <v>4348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123.0</v>
      </c>
      <c r="G20" s="19">
        <v>88.0</v>
      </c>
      <c r="H20" s="19">
        <v>112.0</v>
      </c>
      <c r="I20" s="19">
        <v>113.0</v>
      </c>
      <c r="J20" s="19">
        <v>73.0</v>
      </c>
      <c r="K20" s="19">
        <v>96.0</v>
      </c>
      <c r="L20" s="19">
        <v>111.0</v>
      </c>
      <c r="M20" s="19">
        <v>95.0</v>
      </c>
      <c r="N20" s="19">
        <v>93.0</v>
      </c>
      <c r="O20" s="19">
        <v>91.0</v>
      </c>
      <c r="P20" s="19">
        <v>72.0</v>
      </c>
      <c r="Q20" s="19">
        <v>117.0</v>
      </c>
      <c r="R20" s="19">
        <v>111.0</v>
      </c>
      <c r="S20" s="19">
        <v>97.0</v>
      </c>
      <c r="T20" s="19">
        <v>80.0</v>
      </c>
      <c r="U20" s="19">
        <v>104.0</v>
      </c>
      <c r="V20" s="19">
        <v>107.0</v>
      </c>
      <c r="W20" s="19">
        <v>109.0</v>
      </c>
      <c r="X20" s="19">
        <v>111.0</v>
      </c>
      <c r="Y20" s="19">
        <v>106.0</v>
      </c>
      <c r="Z20" s="19">
        <v>103.0</v>
      </c>
      <c r="AA20" s="19">
        <v>103.0</v>
      </c>
      <c r="AB20" s="19">
        <v>110.0</v>
      </c>
      <c r="AC20" s="19">
        <v>104.0</v>
      </c>
      <c r="AD20" s="19">
        <v>90.0</v>
      </c>
      <c r="AE20" s="19">
        <v>120.0</v>
      </c>
      <c r="AF20" s="19">
        <v>98.0</v>
      </c>
      <c r="AG20" s="19">
        <v>116.0</v>
      </c>
      <c r="AH20" s="19">
        <v>105.0</v>
      </c>
      <c r="AI20" s="19">
        <v>80.0</v>
      </c>
      <c r="AJ20" s="19">
        <v>109.0</v>
      </c>
      <c r="AK20" s="19">
        <v>94.0</v>
      </c>
      <c r="AL20" s="19">
        <v>90.0</v>
      </c>
      <c r="AM20" s="19">
        <v>106.0</v>
      </c>
      <c r="AN20" s="19">
        <v>101.0</v>
      </c>
      <c r="AO20" s="19">
        <v>81.0</v>
      </c>
      <c r="AP20" s="19">
        <v>118.0</v>
      </c>
      <c r="AQ20" s="19">
        <v>116.0</v>
      </c>
      <c r="AR20" s="19">
        <v>106.0</v>
      </c>
      <c r="AS20" s="19">
        <v>121.0</v>
      </c>
      <c r="AT20" s="19">
        <v>124.0</v>
      </c>
      <c r="AU20" s="19">
        <v>102.0</v>
      </c>
      <c r="AV20" s="19">
        <v>114.0</v>
      </c>
      <c r="AW20" s="19">
        <v>107.0</v>
      </c>
      <c r="AX20" s="13">
        <f t="shared" si="3"/>
        <v>4633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209</v>
      </c>
      <c r="F21" s="13">
        <f t="shared" si="4"/>
        <v>229</v>
      </c>
      <c r="G21" s="13">
        <f t="shared" si="4"/>
        <v>177</v>
      </c>
      <c r="H21" s="13">
        <f t="shared" si="4"/>
        <v>218</v>
      </c>
      <c r="I21" s="13">
        <f t="shared" si="4"/>
        <v>214</v>
      </c>
      <c r="J21" s="13">
        <f t="shared" si="4"/>
        <v>136</v>
      </c>
      <c r="K21" s="13">
        <f t="shared" si="4"/>
        <v>174</v>
      </c>
      <c r="L21" s="13">
        <f t="shared" si="4"/>
        <v>213</v>
      </c>
      <c r="M21" s="13">
        <f t="shared" si="4"/>
        <v>202</v>
      </c>
      <c r="N21" s="13">
        <f t="shared" si="4"/>
        <v>164</v>
      </c>
      <c r="O21" s="13">
        <f t="shared" si="4"/>
        <v>176</v>
      </c>
      <c r="P21" s="13">
        <f t="shared" si="4"/>
        <v>143</v>
      </c>
      <c r="Q21" s="13">
        <f t="shared" si="4"/>
        <v>228</v>
      </c>
      <c r="R21" s="13">
        <f t="shared" si="4"/>
        <v>213</v>
      </c>
      <c r="S21" s="13">
        <f t="shared" si="4"/>
        <v>192</v>
      </c>
      <c r="T21" s="13">
        <f t="shared" si="4"/>
        <v>157</v>
      </c>
      <c r="U21" s="13">
        <f t="shared" si="4"/>
        <v>218</v>
      </c>
      <c r="V21" s="13">
        <f t="shared" si="4"/>
        <v>213</v>
      </c>
      <c r="W21" s="13">
        <f t="shared" si="4"/>
        <v>209</v>
      </c>
      <c r="X21" s="13">
        <f t="shared" si="4"/>
        <v>219</v>
      </c>
      <c r="Y21" s="13">
        <f t="shared" si="4"/>
        <v>211</v>
      </c>
      <c r="Z21" s="13">
        <f t="shared" si="4"/>
        <v>195</v>
      </c>
      <c r="AA21" s="13">
        <f t="shared" si="4"/>
        <v>210</v>
      </c>
      <c r="AB21" s="13">
        <f t="shared" si="4"/>
        <v>204</v>
      </c>
      <c r="AC21" s="13">
        <f t="shared" si="4"/>
        <v>184</v>
      </c>
      <c r="AD21" s="13">
        <f t="shared" si="4"/>
        <v>186</v>
      </c>
      <c r="AE21" s="13">
        <f t="shared" si="4"/>
        <v>213</v>
      </c>
      <c r="AF21" s="13">
        <f t="shared" si="4"/>
        <v>191</v>
      </c>
      <c r="AG21" s="13">
        <f t="shared" si="4"/>
        <v>221</v>
      </c>
      <c r="AH21" s="13">
        <f t="shared" si="4"/>
        <v>220</v>
      </c>
      <c r="AI21" s="13">
        <f t="shared" si="4"/>
        <v>162</v>
      </c>
      <c r="AJ21" s="13">
        <f t="shared" si="4"/>
        <v>223</v>
      </c>
      <c r="AK21" s="13">
        <f t="shared" si="4"/>
        <v>169</v>
      </c>
      <c r="AL21" s="13">
        <f t="shared" si="4"/>
        <v>194</v>
      </c>
      <c r="AM21" s="13">
        <f t="shared" si="4"/>
        <v>208</v>
      </c>
      <c r="AN21" s="13">
        <f t="shared" si="4"/>
        <v>194</v>
      </c>
      <c r="AO21" s="13">
        <f t="shared" si="4"/>
        <v>152</v>
      </c>
      <c r="AP21" s="13">
        <f t="shared" si="4"/>
        <v>228</v>
      </c>
      <c r="AQ21" s="13">
        <f t="shared" si="4"/>
        <v>229</v>
      </c>
      <c r="AR21" s="13">
        <f t="shared" si="4"/>
        <v>197</v>
      </c>
      <c r="AS21" s="13">
        <f t="shared" si="4"/>
        <v>244</v>
      </c>
      <c r="AT21" s="13">
        <f t="shared" si="4"/>
        <v>219</v>
      </c>
      <c r="AU21" s="13">
        <f t="shared" si="4"/>
        <v>199</v>
      </c>
      <c r="AV21" s="13">
        <f t="shared" si="4"/>
        <v>210</v>
      </c>
      <c r="AW21" s="13">
        <f t="shared" si="4"/>
        <v>214</v>
      </c>
      <c r="AX21" s="13">
        <f t="shared" si="3"/>
        <v>8981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2.0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1.0</v>
      </c>
      <c r="AI22" s="19">
        <v>1.0</v>
      </c>
      <c r="AJ22" s="19">
        <v>0.0</v>
      </c>
      <c r="AK22" s="19">
        <v>0.0</v>
      </c>
      <c r="AL22" s="19">
        <v>0.0</v>
      </c>
      <c r="AM22" s="19">
        <v>1.0</v>
      </c>
      <c r="AN22" s="19">
        <v>1.0</v>
      </c>
      <c r="AO22" s="19">
        <v>0.0</v>
      </c>
      <c r="AP22" s="19">
        <v>1.0</v>
      </c>
      <c r="AQ22" s="19">
        <v>0.0</v>
      </c>
      <c r="AR22" s="19">
        <v>1.0</v>
      </c>
      <c r="AS22" s="19">
        <v>0.0</v>
      </c>
      <c r="AT22" s="19">
        <v>1.0</v>
      </c>
      <c r="AU22" s="19">
        <v>0.0</v>
      </c>
      <c r="AV22" s="19">
        <v>0.0</v>
      </c>
      <c r="AW22" s="19">
        <v>0.0</v>
      </c>
      <c r="AX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9">
        <v>2.0</v>
      </c>
      <c r="AH23" s="19">
        <v>0.0</v>
      </c>
      <c r="AI23" s="19">
        <v>0.0</v>
      </c>
      <c r="AJ23" s="19">
        <v>0.0</v>
      </c>
      <c r="AK23" s="19">
        <v>0.0</v>
      </c>
      <c r="AL23" s="19">
        <v>1.0</v>
      </c>
      <c r="AM23" s="19">
        <v>0.0</v>
      </c>
      <c r="AN23" s="19">
        <v>0.0</v>
      </c>
      <c r="AO23" s="19">
        <v>0.0</v>
      </c>
      <c r="AP23" s="19">
        <v>4.0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2.0</v>
      </c>
      <c r="AX23" s="13">
        <f t="shared" si="3"/>
        <v>18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0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5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2</v>
      </c>
      <c r="AX24" s="13">
        <f t="shared" si="3"/>
        <v>30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4.0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1.0</v>
      </c>
      <c r="S25" s="19">
        <v>1.0</v>
      </c>
      <c r="T25" s="19">
        <v>0.0</v>
      </c>
      <c r="U25" s="19">
        <v>6.0</v>
      </c>
      <c r="V25" s="19">
        <v>1.0</v>
      </c>
      <c r="W25" s="19">
        <v>3.0</v>
      </c>
      <c r="X25" s="19">
        <v>1.0</v>
      </c>
      <c r="Y25" s="19">
        <v>2.0</v>
      </c>
      <c r="Z25" s="19">
        <v>0.0</v>
      </c>
      <c r="AA25" s="19">
        <v>0.0</v>
      </c>
      <c r="AB25" s="19">
        <v>2.0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2.0</v>
      </c>
      <c r="AK25" s="19">
        <v>4.0</v>
      </c>
      <c r="AL25" s="19">
        <v>0.0</v>
      </c>
      <c r="AM25" s="19">
        <v>4.0</v>
      </c>
      <c r="AN25" s="19">
        <v>0.0</v>
      </c>
      <c r="AO25" s="19">
        <v>0.0</v>
      </c>
      <c r="AP25" s="19">
        <v>0.0</v>
      </c>
      <c r="AQ25" s="19">
        <v>1.0</v>
      </c>
      <c r="AR25" s="19">
        <v>3.0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4.0</v>
      </c>
      <c r="M26" s="19">
        <v>0.0</v>
      </c>
      <c r="N26" s="19">
        <v>0.0</v>
      </c>
      <c r="O26" s="19">
        <v>0.0</v>
      </c>
      <c r="P26" s="19">
        <v>4.0</v>
      </c>
      <c r="Q26" s="19">
        <v>0.0</v>
      </c>
      <c r="R26" s="19">
        <v>3.0</v>
      </c>
      <c r="S26" s="19">
        <v>3.0</v>
      </c>
      <c r="T26" s="19">
        <v>0.0</v>
      </c>
      <c r="U26" s="19">
        <v>7.0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1.0</v>
      </c>
      <c r="AJ26" s="19">
        <v>3.0</v>
      </c>
      <c r="AK26" s="19">
        <v>0.0</v>
      </c>
      <c r="AL26" s="19">
        <v>2.0</v>
      </c>
      <c r="AM26" s="19">
        <v>3.0</v>
      </c>
      <c r="AN26" s="19">
        <v>2.0</v>
      </c>
      <c r="AO26" s="19">
        <v>0.0</v>
      </c>
      <c r="AP26" s="19">
        <v>0.0</v>
      </c>
      <c r="AQ26" s="19">
        <v>0.0</v>
      </c>
      <c r="AR26" s="19">
        <v>3.0</v>
      </c>
      <c r="AS26" s="19">
        <v>0.0</v>
      </c>
      <c r="AT26" s="19">
        <v>0.0</v>
      </c>
      <c r="AU26" s="19">
        <v>0.0</v>
      </c>
      <c r="AV26" s="19">
        <v>1.0</v>
      </c>
      <c r="AW26" s="19">
        <v>2.0</v>
      </c>
      <c r="AX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8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0</v>
      </c>
      <c r="U27" s="13">
        <f t="shared" si="6"/>
        <v>13</v>
      </c>
      <c r="V27" s="13">
        <f t="shared" si="6"/>
        <v>1</v>
      </c>
      <c r="W27" s="13">
        <f t="shared" si="6"/>
        <v>5</v>
      </c>
      <c r="X27" s="13">
        <f t="shared" si="6"/>
        <v>2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1</v>
      </c>
      <c r="AJ27" s="13">
        <f t="shared" si="6"/>
        <v>5</v>
      </c>
      <c r="AK27" s="13">
        <f t="shared" si="6"/>
        <v>4</v>
      </c>
      <c r="AL27" s="13">
        <f t="shared" si="6"/>
        <v>2</v>
      </c>
      <c r="AM27" s="13">
        <f t="shared" si="6"/>
        <v>7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6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1</v>
      </c>
      <c r="AW27" s="13">
        <f t="shared" si="6"/>
        <v>2</v>
      </c>
      <c r="AX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103</v>
      </c>
      <c r="F28" s="13">
        <f t="shared" si="7"/>
        <v>106</v>
      </c>
      <c r="G28" s="13">
        <f t="shared" si="7"/>
        <v>89</v>
      </c>
      <c r="H28" s="13">
        <f t="shared" si="7"/>
        <v>106</v>
      </c>
      <c r="I28" s="13">
        <f t="shared" si="7"/>
        <v>103</v>
      </c>
      <c r="J28" s="13">
        <f t="shared" si="7"/>
        <v>64</v>
      </c>
      <c r="K28" s="13">
        <f t="shared" si="7"/>
        <v>80</v>
      </c>
      <c r="L28" s="13">
        <f t="shared" si="7"/>
        <v>106</v>
      </c>
      <c r="M28" s="13">
        <f t="shared" si="7"/>
        <v>107</v>
      </c>
      <c r="N28" s="13">
        <f t="shared" si="7"/>
        <v>71</v>
      </c>
      <c r="O28" s="13">
        <f t="shared" si="7"/>
        <v>85</v>
      </c>
      <c r="P28" s="13">
        <f t="shared" si="7"/>
        <v>74</v>
      </c>
      <c r="Q28" s="13">
        <f t="shared" si="7"/>
        <v>111</v>
      </c>
      <c r="R28" s="13">
        <f t="shared" si="7"/>
        <v>103</v>
      </c>
      <c r="S28" s="13">
        <f t="shared" si="7"/>
        <v>96</v>
      </c>
      <c r="T28" s="13">
        <f t="shared" si="7"/>
        <v>78</v>
      </c>
      <c r="U28" s="13">
        <f t="shared" si="7"/>
        <v>120</v>
      </c>
      <c r="V28" s="13">
        <f t="shared" si="7"/>
        <v>107</v>
      </c>
      <c r="W28" s="13">
        <f t="shared" si="7"/>
        <v>103</v>
      </c>
      <c r="X28" s="13">
        <f t="shared" si="7"/>
        <v>109</v>
      </c>
      <c r="Y28" s="13">
        <f t="shared" si="7"/>
        <v>107</v>
      </c>
      <c r="Z28" s="13">
        <f t="shared" si="7"/>
        <v>92</v>
      </c>
      <c r="AA28" s="13">
        <f t="shared" si="7"/>
        <v>107</v>
      </c>
      <c r="AB28" s="13">
        <f t="shared" si="7"/>
        <v>96</v>
      </c>
      <c r="AC28" s="13">
        <f t="shared" si="7"/>
        <v>80</v>
      </c>
      <c r="AD28" s="13">
        <f t="shared" si="7"/>
        <v>96</v>
      </c>
      <c r="AE28" s="13">
        <f t="shared" si="7"/>
        <v>93</v>
      </c>
      <c r="AF28" s="13">
        <f t="shared" si="7"/>
        <v>93</v>
      </c>
      <c r="AG28" s="13">
        <f t="shared" si="7"/>
        <v>105</v>
      </c>
      <c r="AH28" s="13">
        <f t="shared" si="7"/>
        <v>116</v>
      </c>
      <c r="AI28" s="13">
        <f t="shared" si="7"/>
        <v>83</v>
      </c>
      <c r="AJ28" s="13">
        <f t="shared" si="7"/>
        <v>116</v>
      </c>
      <c r="AK28" s="13">
        <f t="shared" si="7"/>
        <v>79</v>
      </c>
      <c r="AL28" s="13">
        <f t="shared" si="7"/>
        <v>104</v>
      </c>
      <c r="AM28" s="13">
        <f t="shared" si="7"/>
        <v>107</v>
      </c>
      <c r="AN28" s="13">
        <f t="shared" si="7"/>
        <v>94</v>
      </c>
      <c r="AO28" s="13">
        <f t="shared" si="7"/>
        <v>71</v>
      </c>
      <c r="AP28" s="13">
        <f t="shared" si="7"/>
        <v>111</v>
      </c>
      <c r="AQ28" s="13">
        <f t="shared" si="7"/>
        <v>114</v>
      </c>
      <c r="AR28" s="13">
        <f t="shared" si="7"/>
        <v>95</v>
      </c>
      <c r="AS28" s="13">
        <f t="shared" si="7"/>
        <v>123</v>
      </c>
      <c r="AT28" s="13">
        <f t="shared" si="7"/>
        <v>96</v>
      </c>
      <c r="AU28" s="13">
        <f t="shared" si="7"/>
        <v>97</v>
      </c>
      <c r="AV28" s="13">
        <f t="shared" si="7"/>
        <v>96</v>
      </c>
      <c r="AW28" s="13">
        <f t="shared" si="7"/>
        <v>107</v>
      </c>
      <c r="AX28" s="13">
        <f t="shared" si="3"/>
        <v>4399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106</v>
      </c>
      <c r="F29" s="13">
        <f t="shared" si="8"/>
        <v>124</v>
      </c>
      <c r="G29" s="13">
        <f t="shared" si="8"/>
        <v>89</v>
      </c>
      <c r="H29" s="13">
        <f t="shared" si="8"/>
        <v>113</v>
      </c>
      <c r="I29" s="13">
        <f t="shared" si="8"/>
        <v>113</v>
      </c>
      <c r="J29" s="13">
        <f t="shared" si="8"/>
        <v>73</v>
      </c>
      <c r="K29" s="13">
        <f t="shared" si="8"/>
        <v>98</v>
      </c>
      <c r="L29" s="13">
        <f t="shared" si="8"/>
        <v>116</v>
      </c>
      <c r="M29" s="13">
        <f t="shared" si="8"/>
        <v>96</v>
      </c>
      <c r="N29" s="13">
        <f t="shared" si="8"/>
        <v>93</v>
      </c>
      <c r="O29" s="13">
        <f t="shared" si="8"/>
        <v>91</v>
      </c>
      <c r="P29" s="13">
        <f t="shared" si="8"/>
        <v>76</v>
      </c>
      <c r="Q29" s="13">
        <f t="shared" si="8"/>
        <v>117</v>
      </c>
      <c r="R29" s="13">
        <f t="shared" si="8"/>
        <v>115</v>
      </c>
      <c r="S29" s="13">
        <f t="shared" si="8"/>
        <v>100</v>
      </c>
      <c r="T29" s="13">
        <f t="shared" si="8"/>
        <v>80</v>
      </c>
      <c r="U29" s="13">
        <f t="shared" si="8"/>
        <v>111</v>
      </c>
      <c r="V29" s="13">
        <f t="shared" si="8"/>
        <v>108</v>
      </c>
      <c r="W29" s="13">
        <f t="shared" si="8"/>
        <v>111</v>
      </c>
      <c r="X29" s="13">
        <f t="shared" si="8"/>
        <v>112</v>
      </c>
      <c r="Y29" s="13">
        <f t="shared" si="8"/>
        <v>106</v>
      </c>
      <c r="Z29" s="13">
        <f t="shared" si="8"/>
        <v>103</v>
      </c>
      <c r="AA29" s="13">
        <f t="shared" si="8"/>
        <v>103</v>
      </c>
      <c r="AB29" s="13">
        <f t="shared" si="8"/>
        <v>110</v>
      </c>
      <c r="AC29" s="13">
        <f t="shared" si="8"/>
        <v>105</v>
      </c>
      <c r="AD29" s="13">
        <f t="shared" si="8"/>
        <v>90</v>
      </c>
      <c r="AE29" s="13">
        <f t="shared" si="8"/>
        <v>120</v>
      </c>
      <c r="AF29" s="13">
        <f t="shared" si="8"/>
        <v>98</v>
      </c>
      <c r="AG29" s="13">
        <f t="shared" si="8"/>
        <v>118</v>
      </c>
      <c r="AH29" s="13">
        <f t="shared" si="8"/>
        <v>105</v>
      </c>
      <c r="AI29" s="13">
        <f t="shared" si="8"/>
        <v>81</v>
      </c>
      <c r="AJ29" s="13">
        <f t="shared" si="8"/>
        <v>112</v>
      </c>
      <c r="AK29" s="13">
        <f t="shared" si="8"/>
        <v>94</v>
      </c>
      <c r="AL29" s="13">
        <f t="shared" si="8"/>
        <v>93</v>
      </c>
      <c r="AM29" s="13">
        <f t="shared" si="8"/>
        <v>109</v>
      </c>
      <c r="AN29" s="13">
        <f t="shared" si="8"/>
        <v>103</v>
      </c>
      <c r="AO29" s="13">
        <f t="shared" si="8"/>
        <v>81</v>
      </c>
      <c r="AP29" s="13">
        <f t="shared" si="8"/>
        <v>122</v>
      </c>
      <c r="AQ29" s="13">
        <f t="shared" si="8"/>
        <v>116</v>
      </c>
      <c r="AR29" s="13">
        <f t="shared" si="8"/>
        <v>110</v>
      </c>
      <c r="AS29" s="13">
        <f t="shared" si="8"/>
        <v>121</v>
      </c>
      <c r="AT29" s="13">
        <f t="shared" si="8"/>
        <v>124</v>
      </c>
      <c r="AU29" s="13">
        <f t="shared" si="8"/>
        <v>102</v>
      </c>
      <c r="AV29" s="13">
        <f t="shared" si="8"/>
        <v>115</v>
      </c>
      <c r="AW29" s="13">
        <f t="shared" si="8"/>
        <v>111</v>
      </c>
      <c r="AX29" s="13">
        <f t="shared" si="3"/>
        <v>4694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209</v>
      </c>
      <c r="F30" s="13">
        <f t="shared" si="9"/>
        <v>230</v>
      </c>
      <c r="G30" s="13">
        <f t="shared" si="9"/>
        <v>178</v>
      </c>
      <c r="H30" s="13">
        <f t="shared" si="9"/>
        <v>219</v>
      </c>
      <c r="I30" s="13">
        <f t="shared" si="9"/>
        <v>216</v>
      </c>
      <c r="J30" s="13">
        <f t="shared" si="9"/>
        <v>137</v>
      </c>
      <c r="K30" s="13">
        <f t="shared" si="9"/>
        <v>178</v>
      </c>
      <c r="L30" s="13">
        <f t="shared" si="9"/>
        <v>222</v>
      </c>
      <c r="M30" s="13">
        <f t="shared" si="9"/>
        <v>203</v>
      </c>
      <c r="N30" s="13">
        <f t="shared" si="9"/>
        <v>164</v>
      </c>
      <c r="O30" s="13">
        <f t="shared" si="9"/>
        <v>176</v>
      </c>
      <c r="P30" s="13">
        <f t="shared" si="9"/>
        <v>150</v>
      </c>
      <c r="Q30" s="13">
        <f t="shared" si="9"/>
        <v>228</v>
      </c>
      <c r="R30" s="13">
        <f t="shared" si="9"/>
        <v>218</v>
      </c>
      <c r="S30" s="13">
        <f t="shared" si="9"/>
        <v>196</v>
      </c>
      <c r="T30" s="13">
        <f t="shared" si="9"/>
        <v>158</v>
      </c>
      <c r="U30" s="13">
        <f t="shared" si="9"/>
        <v>231</v>
      </c>
      <c r="V30" s="13">
        <f t="shared" si="9"/>
        <v>215</v>
      </c>
      <c r="W30" s="13">
        <f t="shared" si="9"/>
        <v>214</v>
      </c>
      <c r="X30" s="13">
        <f t="shared" si="9"/>
        <v>221</v>
      </c>
      <c r="Y30" s="13">
        <f t="shared" si="9"/>
        <v>213</v>
      </c>
      <c r="Z30" s="13">
        <f t="shared" si="9"/>
        <v>195</v>
      </c>
      <c r="AA30" s="13">
        <f t="shared" si="9"/>
        <v>210</v>
      </c>
      <c r="AB30" s="13">
        <f t="shared" si="9"/>
        <v>206</v>
      </c>
      <c r="AC30" s="13">
        <f t="shared" si="9"/>
        <v>185</v>
      </c>
      <c r="AD30" s="13">
        <f t="shared" si="9"/>
        <v>186</v>
      </c>
      <c r="AE30" s="13">
        <f t="shared" si="9"/>
        <v>213</v>
      </c>
      <c r="AF30" s="13">
        <f t="shared" si="9"/>
        <v>191</v>
      </c>
      <c r="AG30" s="13">
        <f t="shared" si="9"/>
        <v>223</v>
      </c>
      <c r="AH30" s="13">
        <f t="shared" si="9"/>
        <v>221</v>
      </c>
      <c r="AI30" s="13">
        <f t="shared" si="9"/>
        <v>164</v>
      </c>
      <c r="AJ30" s="13">
        <f t="shared" si="9"/>
        <v>228</v>
      </c>
      <c r="AK30" s="13">
        <f t="shared" si="9"/>
        <v>173</v>
      </c>
      <c r="AL30" s="13">
        <f t="shared" si="9"/>
        <v>197</v>
      </c>
      <c r="AM30" s="13">
        <f t="shared" si="9"/>
        <v>216</v>
      </c>
      <c r="AN30" s="13">
        <f t="shared" si="9"/>
        <v>197</v>
      </c>
      <c r="AO30" s="13">
        <f t="shared" si="9"/>
        <v>152</v>
      </c>
      <c r="AP30" s="13">
        <f t="shared" si="9"/>
        <v>233</v>
      </c>
      <c r="AQ30" s="13">
        <f t="shared" si="9"/>
        <v>230</v>
      </c>
      <c r="AR30" s="13">
        <f t="shared" si="9"/>
        <v>205</v>
      </c>
      <c r="AS30" s="13">
        <f t="shared" si="9"/>
        <v>244</v>
      </c>
      <c r="AT30" s="13">
        <f t="shared" si="9"/>
        <v>220</v>
      </c>
      <c r="AU30" s="13">
        <f t="shared" si="9"/>
        <v>199</v>
      </c>
      <c r="AV30" s="13">
        <f t="shared" si="9"/>
        <v>211</v>
      </c>
      <c r="AW30" s="13">
        <f t="shared" si="9"/>
        <v>218</v>
      </c>
      <c r="AX30" s="13">
        <f t="shared" si="3"/>
        <v>9093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75"/>
      <c r="P31" s="75"/>
      <c r="Q31" s="75"/>
      <c r="R31" s="75"/>
      <c r="S31" s="75"/>
      <c r="T31" s="75"/>
      <c r="U31" s="75"/>
      <c r="V31" s="75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75"/>
      <c r="AK31" s="75"/>
      <c r="AL31" s="75"/>
      <c r="AM31" s="75"/>
      <c r="AN31" s="75"/>
      <c r="AO31" s="75"/>
      <c r="AP31" s="75"/>
      <c r="AQ31" s="75"/>
      <c r="AR31" s="19"/>
      <c r="AS31" s="19"/>
      <c r="AT31" s="19"/>
      <c r="AU31" s="19"/>
      <c r="AV31" s="19"/>
      <c r="AW31" s="19"/>
      <c r="AX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77"/>
      <c r="P32" s="77"/>
      <c r="Q32" s="77"/>
      <c r="R32" s="77"/>
      <c r="S32" s="77"/>
      <c r="T32" s="77"/>
      <c r="U32" s="77"/>
      <c r="V32" s="7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77"/>
      <c r="AK32" s="77"/>
      <c r="AL32" s="77"/>
      <c r="AM32" s="77"/>
      <c r="AN32" s="77"/>
      <c r="AO32" s="77"/>
      <c r="AP32" s="77"/>
      <c r="AQ32" s="77"/>
      <c r="AR32" s="13"/>
      <c r="AS32" s="13"/>
      <c r="AT32" s="13"/>
      <c r="AU32" s="13"/>
      <c r="AV32" s="13"/>
      <c r="AW32" s="13"/>
      <c r="AX32" s="76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303.0</v>
      </c>
      <c r="G33" s="19">
        <v>245.0</v>
      </c>
      <c r="H33" s="19">
        <v>283.0</v>
      </c>
      <c r="I33" s="19">
        <v>294.0</v>
      </c>
      <c r="J33" s="19">
        <v>286.0</v>
      </c>
      <c r="K33" s="19">
        <v>287.0</v>
      </c>
      <c r="L33" s="19">
        <v>295.0</v>
      </c>
      <c r="M33" s="19">
        <v>300.0</v>
      </c>
      <c r="N33" s="19">
        <v>267.0</v>
      </c>
      <c r="O33" s="19">
        <v>245.0</v>
      </c>
      <c r="P33" s="19">
        <v>194.0</v>
      </c>
      <c r="Q33" s="19">
        <v>297.0</v>
      </c>
      <c r="R33" s="19">
        <v>301.0</v>
      </c>
      <c r="S33" s="19">
        <v>274.0</v>
      </c>
      <c r="T33" s="19">
        <v>217.0</v>
      </c>
      <c r="U33" s="19">
        <v>287.0</v>
      </c>
      <c r="V33" s="19">
        <v>273.0</v>
      </c>
      <c r="W33" s="19">
        <v>309.0</v>
      </c>
      <c r="X33" s="19">
        <v>316.0</v>
      </c>
      <c r="Y33" s="19">
        <v>303.0</v>
      </c>
      <c r="Z33" s="19">
        <v>283.0</v>
      </c>
      <c r="AA33" s="19">
        <v>304.0</v>
      </c>
      <c r="AB33" s="19">
        <v>294.0</v>
      </c>
      <c r="AC33" s="19">
        <v>238.0</v>
      </c>
      <c r="AD33" s="19">
        <v>249.0</v>
      </c>
      <c r="AE33" s="19">
        <v>323.0</v>
      </c>
      <c r="AF33" s="19">
        <v>253.0</v>
      </c>
      <c r="AG33" s="19">
        <v>279.0</v>
      </c>
      <c r="AH33" s="19">
        <v>284.0</v>
      </c>
      <c r="AI33" s="19">
        <v>195.0</v>
      </c>
      <c r="AJ33" s="19">
        <v>281.0</v>
      </c>
      <c r="AK33" s="19">
        <v>226.0</v>
      </c>
      <c r="AL33" s="19">
        <v>299.0</v>
      </c>
      <c r="AM33" s="19">
        <v>297.0</v>
      </c>
      <c r="AN33" s="19">
        <v>252.0</v>
      </c>
      <c r="AO33" s="19">
        <v>192.0</v>
      </c>
      <c r="AP33" s="19">
        <v>305.0</v>
      </c>
      <c r="AQ33" s="19">
        <v>309.0</v>
      </c>
      <c r="AR33" s="19">
        <v>278.0</v>
      </c>
      <c r="AS33" s="19">
        <v>295.0</v>
      </c>
      <c r="AT33" s="19">
        <v>300.0</v>
      </c>
      <c r="AU33" s="19">
        <v>280.0</v>
      </c>
      <c r="AV33" s="19">
        <v>292.0</v>
      </c>
      <c r="AW33" s="19">
        <v>300.0</v>
      </c>
      <c r="AX33" s="13">
        <f t="shared" ref="AX33:AX36" si="10">SUM(E33:AW33)</f>
        <v>12467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230.0</v>
      </c>
      <c r="G34" s="13">
        <v>178.0</v>
      </c>
      <c r="H34" s="13">
        <v>219.0</v>
      </c>
      <c r="I34" s="13">
        <v>216.0</v>
      </c>
      <c r="J34" s="13">
        <v>137.0</v>
      </c>
      <c r="K34" s="13">
        <v>178.0</v>
      </c>
      <c r="L34" s="13">
        <v>222.0</v>
      </c>
      <c r="M34" s="13">
        <v>203.0</v>
      </c>
      <c r="N34" s="13">
        <v>164.0</v>
      </c>
      <c r="O34" s="13">
        <v>176.0</v>
      </c>
      <c r="P34" s="13">
        <v>150.0</v>
      </c>
      <c r="Q34" s="13">
        <v>228.0</v>
      </c>
      <c r="R34" s="13">
        <v>218.0</v>
      </c>
      <c r="S34" s="13">
        <v>196.0</v>
      </c>
      <c r="T34" s="13">
        <v>158.0</v>
      </c>
      <c r="U34" s="13">
        <v>231.0</v>
      </c>
      <c r="V34" s="13">
        <v>215.0</v>
      </c>
      <c r="W34" s="13">
        <v>214.0</v>
      </c>
      <c r="X34" s="13">
        <v>221.0</v>
      </c>
      <c r="Y34" s="13">
        <v>213.0</v>
      </c>
      <c r="Z34" s="13">
        <v>195.0</v>
      </c>
      <c r="AA34" s="13">
        <v>210.0</v>
      </c>
      <c r="AB34" s="13">
        <v>206.0</v>
      </c>
      <c r="AC34" s="13">
        <v>185.0</v>
      </c>
      <c r="AD34" s="13">
        <v>186.0</v>
      </c>
      <c r="AE34" s="13">
        <v>213.0</v>
      </c>
      <c r="AF34" s="13">
        <v>191.0</v>
      </c>
      <c r="AG34" s="13">
        <v>223.0</v>
      </c>
      <c r="AH34" s="13">
        <v>221.0</v>
      </c>
      <c r="AI34" s="13">
        <v>164.0</v>
      </c>
      <c r="AJ34" s="13">
        <v>228.0</v>
      </c>
      <c r="AK34" s="13">
        <v>173.0</v>
      </c>
      <c r="AL34" s="13">
        <v>197.0</v>
      </c>
      <c r="AM34" s="13">
        <v>216.0</v>
      </c>
      <c r="AN34" s="13">
        <v>197.0</v>
      </c>
      <c r="AO34" s="13">
        <v>152.0</v>
      </c>
      <c r="AP34" s="13">
        <v>233.0</v>
      </c>
      <c r="AQ34" s="13">
        <v>230.0</v>
      </c>
      <c r="AR34" s="13">
        <v>205.0</v>
      </c>
      <c r="AS34" s="13">
        <v>244.0</v>
      </c>
      <c r="AT34" s="13">
        <v>220.0</v>
      </c>
      <c r="AU34" s="13">
        <v>199.0</v>
      </c>
      <c r="AV34" s="13">
        <v>211.0</v>
      </c>
      <c r="AW34" s="13">
        <v>218.0</v>
      </c>
      <c r="AX34" s="13">
        <f t="shared" si="10"/>
        <v>9093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1.0</v>
      </c>
      <c r="AK35" s="19">
        <v>1.0</v>
      </c>
      <c r="AL35" s="19">
        <v>0.0</v>
      </c>
      <c r="AM35" s="19">
        <v>0.0</v>
      </c>
      <c r="AN35" s="19">
        <v>1.0</v>
      </c>
      <c r="AO35" s="19">
        <v>0.0</v>
      </c>
      <c r="AP35" s="19">
        <v>0.0</v>
      </c>
      <c r="AQ35" s="19">
        <v>0.0</v>
      </c>
      <c r="AR35" s="19">
        <v>0.0</v>
      </c>
      <c r="AS35" s="19">
        <v>1.0</v>
      </c>
      <c r="AT35" s="19">
        <v>0.0</v>
      </c>
      <c r="AU35" s="19">
        <v>0.0</v>
      </c>
      <c r="AV35" s="19">
        <v>2.0</v>
      </c>
      <c r="AW35" s="19">
        <v>0.0</v>
      </c>
      <c r="AX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74</v>
      </c>
      <c r="F36" s="13">
        <f t="shared" si="11"/>
        <v>73</v>
      </c>
      <c r="G36" s="13">
        <f t="shared" si="11"/>
        <v>67</v>
      </c>
      <c r="H36" s="13">
        <f t="shared" si="11"/>
        <v>64</v>
      </c>
      <c r="I36" s="13">
        <f t="shared" si="11"/>
        <v>78</v>
      </c>
      <c r="J36" s="13">
        <f t="shared" si="11"/>
        <v>149</v>
      </c>
      <c r="K36" s="13">
        <f t="shared" si="11"/>
        <v>108</v>
      </c>
      <c r="L36" s="13">
        <f t="shared" si="11"/>
        <v>71</v>
      </c>
      <c r="M36" s="13">
        <f t="shared" si="11"/>
        <v>97</v>
      </c>
      <c r="N36" s="13">
        <f t="shared" si="11"/>
        <v>103</v>
      </c>
      <c r="O36" s="13">
        <f t="shared" si="11"/>
        <v>69</v>
      </c>
      <c r="P36" s="13">
        <f t="shared" si="11"/>
        <v>44</v>
      </c>
      <c r="Q36" s="13">
        <f t="shared" si="11"/>
        <v>69</v>
      </c>
      <c r="R36" s="13">
        <f t="shared" si="11"/>
        <v>81</v>
      </c>
      <c r="S36" s="13">
        <f t="shared" si="11"/>
        <v>77</v>
      </c>
      <c r="T36" s="13">
        <f t="shared" si="11"/>
        <v>59</v>
      </c>
      <c r="U36" s="13">
        <f t="shared" si="11"/>
        <v>56</v>
      </c>
      <c r="V36" s="13">
        <f t="shared" si="11"/>
        <v>58</v>
      </c>
      <c r="W36" s="13">
        <f t="shared" si="11"/>
        <v>95</v>
      </c>
      <c r="X36" s="13">
        <f t="shared" si="11"/>
        <v>95</v>
      </c>
      <c r="Y36" s="13">
        <f t="shared" si="11"/>
        <v>90</v>
      </c>
      <c r="Z36" s="13">
        <f t="shared" si="11"/>
        <v>88</v>
      </c>
      <c r="AA36" s="13">
        <f t="shared" si="11"/>
        <v>94</v>
      </c>
      <c r="AB36" s="13">
        <f t="shared" si="11"/>
        <v>88</v>
      </c>
      <c r="AC36" s="13">
        <f t="shared" si="11"/>
        <v>53</v>
      </c>
      <c r="AD36" s="13">
        <f t="shared" si="11"/>
        <v>63</v>
      </c>
      <c r="AE36" s="13">
        <f t="shared" si="11"/>
        <v>109</v>
      </c>
      <c r="AF36" s="13">
        <f t="shared" si="11"/>
        <v>62</v>
      </c>
      <c r="AG36" s="13">
        <f t="shared" si="11"/>
        <v>56</v>
      </c>
      <c r="AH36" s="13">
        <f t="shared" si="11"/>
        <v>63</v>
      </c>
      <c r="AI36" s="13">
        <f t="shared" si="11"/>
        <v>31</v>
      </c>
      <c r="AJ36" s="13">
        <f t="shared" si="11"/>
        <v>52</v>
      </c>
      <c r="AK36" s="13">
        <f t="shared" si="11"/>
        <v>52</v>
      </c>
      <c r="AL36" s="13">
        <f t="shared" si="11"/>
        <v>102</v>
      </c>
      <c r="AM36" s="13">
        <f t="shared" si="11"/>
        <v>81</v>
      </c>
      <c r="AN36" s="13">
        <f t="shared" si="11"/>
        <v>54</v>
      </c>
      <c r="AO36" s="13">
        <f t="shared" si="11"/>
        <v>40</v>
      </c>
      <c r="AP36" s="13">
        <f t="shared" si="11"/>
        <v>72</v>
      </c>
      <c r="AQ36" s="13">
        <f t="shared" si="11"/>
        <v>79</v>
      </c>
      <c r="AR36" s="13">
        <f t="shared" si="11"/>
        <v>73</v>
      </c>
      <c r="AS36" s="13">
        <f t="shared" si="11"/>
        <v>50</v>
      </c>
      <c r="AT36" s="13">
        <f t="shared" si="11"/>
        <v>80</v>
      </c>
      <c r="AU36" s="13">
        <f t="shared" si="11"/>
        <v>81</v>
      </c>
      <c r="AV36" s="13">
        <f t="shared" si="11"/>
        <v>79</v>
      </c>
      <c r="AW36" s="13">
        <f t="shared" si="11"/>
        <v>82</v>
      </c>
      <c r="AX36" s="13">
        <f t="shared" si="10"/>
        <v>3361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6"/>
      <c r="AV37" s="19"/>
      <c r="AW37" s="19"/>
      <c r="AX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77"/>
      <c r="P38" s="77"/>
      <c r="Q38" s="77"/>
      <c r="R38" s="77"/>
      <c r="S38" s="77"/>
      <c r="T38" s="77"/>
      <c r="U38" s="77"/>
      <c r="V38" s="7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77"/>
      <c r="AK38" s="77"/>
      <c r="AL38" s="77"/>
      <c r="AM38" s="77"/>
      <c r="AN38" s="77"/>
      <c r="AO38" s="77"/>
      <c r="AP38" s="77"/>
      <c r="AQ38" s="77"/>
      <c r="AR38" s="13"/>
      <c r="AS38" s="13"/>
      <c r="AT38" s="13"/>
      <c r="AU38" s="13"/>
      <c r="AV38" s="13"/>
      <c r="AW38" s="13"/>
      <c r="AX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1.0</v>
      </c>
      <c r="AX39" s="13">
        <f t="shared" ref="AX39:AX41" si="12">SUM(E39:AW39)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1.0</v>
      </c>
      <c r="AU40" s="19">
        <v>0.0</v>
      </c>
      <c r="AV40" s="19">
        <v>0.0</v>
      </c>
      <c r="AW40" s="19">
        <v>0.0</v>
      </c>
      <c r="AX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6"/>
      <c r="AV42" s="19"/>
      <c r="AW42" s="1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77"/>
      <c r="P43" s="13"/>
      <c r="Q43" s="77"/>
      <c r="R43" s="13"/>
      <c r="S43" s="77"/>
      <c r="T43" s="13"/>
      <c r="U43" s="7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77"/>
      <c r="AK43" s="13"/>
      <c r="AL43" s="77"/>
      <c r="AM43" s="13"/>
      <c r="AN43" s="77"/>
      <c r="AO43" s="13"/>
      <c r="AP43" s="77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75"/>
      <c r="P44" s="19"/>
      <c r="Q44" s="75"/>
      <c r="R44" s="19"/>
      <c r="S44" s="75"/>
      <c r="T44" s="19"/>
      <c r="U44" s="75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75"/>
      <c r="AK44" s="19"/>
      <c r="AL44" s="75"/>
      <c r="AM44" s="19"/>
      <c r="AN44" s="75"/>
      <c r="AO44" s="19"/>
      <c r="AP44" s="75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4.0</v>
      </c>
      <c r="G45" s="19">
        <v>0.0</v>
      </c>
      <c r="H45" s="19">
        <v>4.0</v>
      </c>
      <c r="I45" s="19">
        <v>7.0</v>
      </c>
      <c r="J45" s="19">
        <v>3.0</v>
      </c>
      <c r="K45" s="19">
        <v>1.0</v>
      </c>
      <c r="L45" s="19">
        <v>3.0</v>
      </c>
      <c r="M45" s="19">
        <v>5.0</v>
      </c>
      <c r="N45" s="19">
        <v>6.0</v>
      </c>
      <c r="O45" s="19">
        <v>7.0</v>
      </c>
      <c r="P45" s="19">
        <v>3.0</v>
      </c>
      <c r="Q45" s="19">
        <v>0.0</v>
      </c>
      <c r="R45" s="19">
        <v>7.0</v>
      </c>
      <c r="S45" s="19">
        <v>4.0</v>
      </c>
      <c r="T45" s="19">
        <v>4.0</v>
      </c>
      <c r="U45" s="19">
        <v>2.0</v>
      </c>
      <c r="V45" s="19">
        <v>7.0</v>
      </c>
      <c r="W45" s="19">
        <v>5.0</v>
      </c>
      <c r="X45" s="19">
        <v>9.0</v>
      </c>
      <c r="Y45" s="19">
        <v>4.0</v>
      </c>
      <c r="Z45" s="19">
        <v>4.0</v>
      </c>
      <c r="AA45" s="19">
        <v>6.0</v>
      </c>
      <c r="AB45" s="19">
        <v>7.0</v>
      </c>
      <c r="AC45" s="19">
        <v>3.0</v>
      </c>
      <c r="AD45" s="19">
        <v>6.0</v>
      </c>
      <c r="AE45" s="19">
        <v>8.0</v>
      </c>
      <c r="AF45" s="19">
        <v>4.0</v>
      </c>
      <c r="AG45" s="19">
        <v>9.0</v>
      </c>
      <c r="AH45" s="19">
        <v>9.0</v>
      </c>
      <c r="AI45" s="19">
        <v>8.0</v>
      </c>
      <c r="AJ45" s="19">
        <v>5.0</v>
      </c>
      <c r="AK45" s="19">
        <v>6.0</v>
      </c>
      <c r="AL45" s="19">
        <v>6.0</v>
      </c>
      <c r="AM45" s="19">
        <v>9.0</v>
      </c>
      <c r="AN45" s="19">
        <v>10.0</v>
      </c>
      <c r="AO45" s="19">
        <v>11.0</v>
      </c>
      <c r="AP45" s="19">
        <v>8.0</v>
      </c>
      <c r="AQ45" s="19">
        <v>3.0</v>
      </c>
      <c r="AR45" s="19">
        <v>7.0</v>
      </c>
      <c r="AS45" s="19">
        <v>12.0</v>
      </c>
      <c r="AT45" s="19">
        <v>3.0</v>
      </c>
      <c r="AU45" s="19">
        <v>5.0</v>
      </c>
      <c r="AV45" s="19">
        <v>8.0</v>
      </c>
      <c r="AW45" s="19">
        <v>2.0</v>
      </c>
      <c r="AX45" s="13">
        <f t="shared" ref="AX45:AX54" si="14">SUM(E45:AW45)</f>
        <v>254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2.0</v>
      </c>
      <c r="G46" s="19">
        <v>10.0</v>
      </c>
      <c r="H46" s="19">
        <v>6.0</v>
      </c>
      <c r="I46" s="19">
        <v>12.0</v>
      </c>
      <c r="J46" s="19">
        <v>12.0</v>
      </c>
      <c r="K46" s="19">
        <v>4.0</v>
      </c>
      <c r="L46" s="19">
        <v>11.0</v>
      </c>
      <c r="M46" s="19">
        <v>14.0</v>
      </c>
      <c r="N46" s="19">
        <v>16.0</v>
      </c>
      <c r="O46" s="19">
        <v>6.0</v>
      </c>
      <c r="P46" s="19">
        <v>6.0</v>
      </c>
      <c r="Q46" s="19">
        <v>18.0</v>
      </c>
      <c r="R46" s="19">
        <v>12.0</v>
      </c>
      <c r="S46" s="19">
        <v>10.0</v>
      </c>
      <c r="T46" s="19">
        <v>4.0</v>
      </c>
      <c r="U46" s="19">
        <v>11.0</v>
      </c>
      <c r="V46" s="19">
        <v>6.0</v>
      </c>
      <c r="W46" s="19">
        <v>18.0</v>
      </c>
      <c r="X46" s="19">
        <v>14.0</v>
      </c>
      <c r="Y46" s="19">
        <v>7.0</v>
      </c>
      <c r="Z46" s="19">
        <v>3.0</v>
      </c>
      <c r="AA46" s="19">
        <v>11.0</v>
      </c>
      <c r="AB46" s="19">
        <v>9.0</v>
      </c>
      <c r="AC46" s="19">
        <v>23.0</v>
      </c>
      <c r="AD46" s="19">
        <v>7.0</v>
      </c>
      <c r="AE46" s="19">
        <v>29.0</v>
      </c>
      <c r="AF46" s="19">
        <v>23.0</v>
      </c>
      <c r="AG46" s="19">
        <v>9.0</v>
      </c>
      <c r="AH46" s="19">
        <v>9.0</v>
      </c>
      <c r="AI46" s="19">
        <v>15.0</v>
      </c>
      <c r="AJ46" s="19">
        <v>30.0</v>
      </c>
      <c r="AK46" s="19">
        <v>9.0</v>
      </c>
      <c r="AL46" s="19">
        <v>6.0</v>
      </c>
      <c r="AM46" s="19">
        <v>29.0</v>
      </c>
      <c r="AN46" s="19">
        <v>19.0</v>
      </c>
      <c r="AO46" s="19">
        <v>16.0</v>
      </c>
      <c r="AP46" s="19">
        <v>28.0</v>
      </c>
      <c r="AQ46" s="19">
        <v>8.0</v>
      </c>
      <c r="AR46" s="19">
        <v>32.0</v>
      </c>
      <c r="AS46" s="19">
        <v>59.0</v>
      </c>
      <c r="AT46" s="19">
        <v>11.0</v>
      </c>
      <c r="AU46" s="19">
        <v>9.0</v>
      </c>
      <c r="AV46" s="19">
        <v>12.0</v>
      </c>
      <c r="AW46" s="19">
        <v>15.0</v>
      </c>
      <c r="AX46" s="13">
        <f t="shared" si="14"/>
        <v>626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1.0</v>
      </c>
      <c r="H47" s="19">
        <v>1.0</v>
      </c>
      <c r="I47" s="19">
        <v>1.0</v>
      </c>
      <c r="J47" s="19">
        <v>0.0</v>
      </c>
      <c r="K47" s="19">
        <v>0.0</v>
      </c>
      <c r="L47" s="19">
        <v>7.0</v>
      </c>
      <c r="M47" s="19">
        <v>3.0</v>
      </c>
      <c r="N47" s="19">
        <v>4.0</v>
      </c>
      <c r="O47" s="19">
        <v>0.0</v>
      </c>
      <c r="P47" s="19">
        <v>1.0</v>
      </c>
      <c r="Q47" s="19">
        <v>1.0</v>
      </c>
      <c r="R47" s="19">
        <v>4.0</v>
      </c>
      <c r="S47" s="19">
        <v>0.0</v>
      </c>
      <c r="T47" s="19">
        <v>0.0</v>
      </c>
      <c r="U47" s="19">
        <v>5.0</v>
      </c>
      <c r="V47" s="19">
        <v>0.0</v>
      </c>
      <c r="W47" s="19">
        <v>0.0</v>
      </c>
      <c r="X47" s="19">
        <v>5.0</v>
      </c>
      <c r="Y47" s="19">
        <v>4.0</v>
      </c>
      <c r="Z47" s="19">
        <v>3.0</v>
      </c>
      <c r="AA47" s="19">
        <v>5.0</v>
      </c>
      <c r="AB47" s="19">
        <v>2.0</v>
      </c>
      <c r="AC47" s="19">
        <v>3.0</v>
      </c>
      <c r="AD47" s="19">
        <v>1.0</v>
      </c>
      <c r="AE47" s="19">
        <v>1.0</v>
      </c>
      <c r="AF47" s="19">
        <v>1.0</v>
      </c>
      <c r="AG47" s="19">
        <v>2.0</v>
      </c>
      <c r="AH47" s="19">
        <v>4.0</v>
      </c>
      <c r="AI47" s="19">
        <v>0.0</v>
      </c>
      <c r="AJ47" s="19">
        <v>1.0</v>
      </c>
      <c r="AK47" s="19">
        <v>1.0</v>
      </c>
      <c r="AL47" s="19">
        <v>0.0</v>
      </c>
      <c r="AM47" s="19">
        <v>11.0</v>
      </c>
      <c r="AN47" s="19">
        <v>2.0</v>
      </c>
      <c r="AO47" s="19">
        <v>2.0</v>
      </c>
      <c r="AP47" s="19">
        <v>2.0</v>
      </c>
      <c r="AQ47" s="19">
        <v>2.0</v>
      </c>
      <c r="AR47" s="19">
        <v>3.0</v>
      </c>
      <c r="AS47" s="19">
        <v>1.0</v>
      </c>
      <c r="AT47" s="19">
        <v>1.0</v>
      </c>
      <c r="AU47" s="19">
        <v>1.0</v>
      </c>
      <c r="AV47" s="19">
        <v>1.0</v>
      </c>
      <c r="AW47" s="19">
        <v>1.0</v>
      </c>
      <c r="AX47" s="13">
        <f t="shared" si="14"/>
        <v>89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9">
        <v>0.0</v>
      </c>
      <c r="U48" s="19">
        <v>0.0</v>
      </c>
      <c r="V48" s="19">
        <v>0.0</v>
      </c>
      <c r="W48" s="19">
        <v>1.0</v>
      </c>
      <c r="X48" s="19">
        <v>1.0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1.0</v>
      </c>
      <c r="AH48" s="19">
        <v>1.0</v>
      </c>
      <c r="AI48" s="19">
        <v>1.0</v>
      </c>
      <c r="AJ48" s="19">
        <v>1.0</v>
      </c>
      <c r="AK48" s="19">
        <v>0.0</v>
      </c>
      <c r="AL48" s="19">
        <v>0.0</v>
      </c>
      <c r="AM48" s="19">
        <v>1.0</v>
      </c>
      <c r="AN48" s="19">
        <v>1.0</v>
      </c>
      <c r="AO48" s="19">
        <v>2.0</v>
      </c>
      <c r="AP48" s="19">
        <v>0.0</v>
      </c>
      <c r="AQ48" s="19">
        <v>0.0</v>
      </c>
      <c r="AR48" s="19">
        <v>0.0</v>
      </c>
      <c r="AS48" s="19">
        <v>1.0</v>
      </c>
      <c r="AT48" s="19">
        <v>1.0</v>
      </c>
      <c r="AU48" s="19">
        <v>0.0</v>
      </c>
      <c r="AV48" s="19">
        <v>0.0</v>
      </c>
      <c r="AW48" s="19">
        <v>0.0</v>
      </c>
      <c r="AX48" s="13">
        <f t="shared" si="14"/>
        <v>18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6.0</v>
      </c>
      <c r="Y49" s="19">
        <v>0.0</v>
      </c>
      <c r="Z49" s="19">
        <v>1.0</v>
      </c>
      <c r="AA49" s="19">
        <v>2.0</v>
      </c>
      <c r="AB49" s="19">
        <v>2.0</v>
      </c>
      <c r="AC49" s="19">
        <v>0.0</v>
      </c>
      <c r="AD49" s="19">
        <v>1.0</v>
      </c>
      <c r="AE49" s="19">
        <v>1.0</v>
      </c>
      <c r="AF49" s="19">
        <v>2.0</v>
      </c>
      <c r="AG49" s="19">
        <v>1.0</v>
      </c>
      <c r="AH49" s="19">
        <v>1.0</v>
      </c>
      <c r="AI49" s="19">
        <v>0.0</v>
      </c>
      <c r="AJ49" s="19">
        <v>0.0</v>
      </c>
      <c r="AK49" s="19">
        <v>0.0</v>
      </c>
      <c r="AL49" s="19">
        <v>0.0</v>
      </c>
      <c r="AM49" s="19">
        <v>3.0</v>
      </c>
      <c r="AN49" s="19">
        <v>1.0</v>
      </c>
      <c r="AO49" s="19">
        <v>1.0</v>
      </c>
      <c r="AP49" s="19">
        <v>0.0</v>
      </c>
      <c r="AQ49" s="19">
        <v>0.0</v>
      </c>
      <c r="AR49" s="19">
        <v>0.0</v>
      </c>
      <c r="AS49" s="19">
        <v>5.0</v>
      </c>
      <c r="AT49" s="19">
        <v>0.0</v>
      </c>
      <c r="AU49" s="19">
        <v>2.0</v>
      </c>
      <c r="AV49" s="19">
        <v>1.0</v>
      </c>
      <c r="AW49" s="19">
        <v>0.0</v>
      </c>
      <c r="AX49" s="13">
        <f t="shared" si="14"/>
        <v>34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2.0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2.0</v>
      </c>
      <c r="AN50" s="19">
        <v>0.0</v>
      </c>
      <c r="AO50" s="19">
        <v>3.0</v>
      </c>
      <c r="AP50" s="19">
        <v>0.0</v>
      </c>
      <c r="AQ50" s="19">
        <v>1.0</v>
      </c>
      <c r="AR50" s="19">
        <v>0.0</v>
      </c>
      <c r="AS50" s="19">
        <v>2.0</v>
      </c>
      <c r="AT50" s="19">
        <v>0.0</v>
      </c>
      <c r="AU50" s="19">
        <v>1.0</v>
      </c>
      <c r="AV50" s="19">
        <v>1.0</v>
      </c>
      <c r="AW50" s="19">
        <v>0.0</v>
      </c>
      <c r="AX50" s="13">
        <f t="shared" si="14"/>
        <v>16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3.0</v>
      </c>
      <c r="P51" s="19">
        <v>0.0</v>
      </c>
      <c r="Q51" s="19">
        <v>0.0</v>
      </c>
      <c r="R51" s="19">
        <v>2.0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1.0</v>
      </c>
      <c r="AD51" s="19">
        <v>0.0</v>
      </c>
      <c r="AE51" s="19">
        <v>0.0</v>
      </c>
      <c r="AF51" s="19">
        <v>2.0</v>
      </c>
      <c r="AG51" s="19">
        <v>0.0</v>
      </c>
      <c r="AH51" s="19">
        <v>0.0</v>
      </c>
      <c r="AI51" s="19">
        <v>1.0</v>
      </c>
      <c r="AJ51" s="19">
        <v>0.0</v>
      </c>
      <c r="AK51" s="19">
        <v>0.0</v>
      </c>
      <c r="AL51" s="19">
        <v>1.0</v>
      </c>
      <c r="AM51" s="19">
        <v>3.0</v>
      </c>
      <c r="AN51" s="19">
        <v>2.0</v>
      </c>
      <c r="AO51" s="19">
        <v>1.0</v>
      </c>
      <c r="AP51" s="19">
        <v>0.0</v>
      </c>
      <c r="AQ51" s="19">
        <v>0.0</v>
      </c>
      <c r="AR51" s="19">
        <v>1.0</v>
      </c>
      <c r="AS51" s="19">
        <v>2.0</v>
      </c>
      <c r="AT51" s="19">
        <v>0.0</v>
      </c>
      <c r="AU51" s="19">
        <v>0.0</v>
      </c>
      <c r="AV51" s="19">
        <v>1.0</v>
      </c>
      <c r="AW51" s="19">
        <v>1.0</v>
      </c>
      <c r="AX51" s="13">
        <f t="shared" si="14"/>
        <v>24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1.0</v>
      </c>
      <c r="AL52" s="19">
        <v>0.0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3">
        <f t="shared" si="14"/>
        <v>4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X55" si="15">SUM(E45:E54)</f>
        <v>17</v>
      </c>
      <c r="F55" s="13">
        <f t="shared" si="15"/>
        <v>6</v>
      </c>
      <c r="G55" s="13">
        <f t="shared" si="15"/>
        <v>12</v>
      </c>
      <c r="H55" s="13">
        <f t="shared" si="15"/>
        <v>13</v>
      </c>
      <c r="I55" s="13">
        <f t="shared" si="15"/>
        <v>21</v>
      </c>
      <c r="J55" s="13">
        <f t="shared" si="15"/>
        <v>16</v>
      </c>
      <c r="K55" s="13">
        <f t="shared" si="15"/>
        <v>5</v>
      </c>
      <c r="L55" s="13">
        <f t="shared" si="15"/>
        <v>22</v>
      </c>
      <c r="M55" s="13">
        <f t="shared" si="15"/>
        <v>24</v>
      </c>
      <c r="N55" s="13">
        <f t="shared" si="15"/>
        <v>28</v>
      </c>
      <c r="O55" s="13">
        <f t="shared" si="15"/>
        <v>17</v>
      </c>
      <c r="P55" s="13">
        <f t="shared" si="15"/>
        <v>11</v>
      </c>
      <c r="Q55" s="13">
        <f t="shared" si="15"/>
        <v>19</v>
      </c>
      <c r="R55" s="13">
        <f t="shared" si="15"/>
        <v>25</v>
      </c>
      <c r="S55" s="13">
        <f t="shared" si="15"/>
        <v>18</v>
      </c>
      <c r="T55" s="13">
        <f t="shared" si="15"/>
        <v>8</v>
      </c>
      <c r="U55" s="13">
        <f t="shared" si="15"/>
        <v>18</v>
      </c>
      <c r="V55" s="13">
        <f t="shared" si="15"/>
        <v>13</v>
      </c>
      <c r="W55" s="13">
        <f t="shared" si="15"/>
        <v>24</v>
      </c>
      <c r="X55" s="13">
        <f t="shared" si="15"/>
        <v>36</v>
      </c>
      <c r="Y55" s="13">
        <f t="shared" si="15"/>
        <v>15</v>
      </c>
      <c r="Z55" s="13">
        <f t="shared" si="15"/>
        <v>11</v>
      </c>
      <c r="AA55" s="13">
        <f t="shared" si="15"/>
        <v>26</v>
      </c>
      <c r="AB55" s="13">
        <f t="shared" si="15"/>
        <v>22</v>
      </c>
      <c r="AC55" s="13">
        <f t="shared" si="15"/>
        <v>30</v>
      </c>
      <c r="AD55" s="13">
        <f t="shared" si="15"/>
        <v>15</v>
      </c>
      <c r="AE55" s="13">
        <f t="shared" si="15"/>
        <v>39</v>
      </c>
      <c r="AF55" s="13">
        <f t="shared" si="15"/>
        <v>32</v>
      </c>
      <c r="AG55" s="13">
        <f t="shared" si="15"/>
        <v>22</v>
      </c>
      <c r="AH55" s="13">
        <f t="shared" si="15"/>
        <v>24</v>
      </c>
      <c r="AI55" s="13">
        <f t="shared" si="15"/>
        <v>25</v>
      </c>
      <c r="AJ55" s="13">
        <f t="shared" si="15"/>
        <v>37</v>
      </c>
      <c r="AK55" s="13">
        <f t="shared" si="15"/>
        <v>17</v>
      </c>
      <c r="AL55" s="13">
        <f t="shared" si="15"/>
        <v>13</v>
      </c>
      <c r="AM55" s="13">
        <f t="shared" si="15"/>
        <v>59</v>
      </c>
      <c r="AN55" s="13">
        <f t="shared" si="15"/>
        <v>35</v>
      </c>
      <c r="AO55" s="13">
        <f t="shared" si="15"/>
        <v>36</v>
      </c>
      <c r="AP55" s="13">
        <f t="shared" si="15"/>
        <v>38</v>
      </c>
      <c r="AQ55" s="13">
        <f t="shared" si="15"/>
        <v>14</v>
      </c>
      <c r="AR55" s="13">
        <f t="shared" si="15"/>
        <v>43</v>
      </c>
      <c r="AS55" s="13">
        <f t="shared" si="15"/>
        <v>82</v>
      </c>
      <c r="AT55" s="13">
        <f t="shared" si="15"/>
        <v>16</v>
      </c>
      <c r="AU55" s="13">
        <f t="shared" si="15"/>
        <v>18</v>
      </c>
      <c r="AV55" s="13">
        <f t="shared" si="15"/>
        <v>24</v>
      </c>
      <c r="AW55" s="13">
        <f t="shared" si="15"/>
        <v>19</v>
      </c>
      <c r="AX55" s="13">
        <f t="shared" si="15"/>
        <v>1065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9.0</v>
      </c>
      <c r="G57" s="19">
        <v>9.0</v>
      </c>
      <c r="H57" s="19">
        <v>17.0</v>
      </c>
      <c r="I57" s="19">
        <v>11.0</v>
      </c>
      <c r="J57" s="19">
        <v>10.0</v>
      </c>
      <c r="K57" s="19">
        <v>11.0</v>
      </c>
      <c r="L57" s="19">
        <v>5.0</v>
      </c>
      <c r="M57" s="19">
        <v>7.0</v>
      </c>
      <c r="N57" s="19">
        <v>7.0</v>
      </c>
      <c r="O57" s="19">
        <v>5.0</v>
      </c>
      <c r="P57" s="19">
        <v>5.0</v>
      </c>
      <c r="Q57" s="19">
        <v>5.0</v>
      </c>
      <c r="R57" s="19">
        <v>10.0</v>
      </c>
      <c r="S57" s="19">
        <v>12.0</v>
      </c>
      <c r="T57" s="19">
        <v>5.0</v>
      </c>
      <c r="U57" s="19">
        <v>4.0</v>
      </c>
      <c r="V57" s="19">
        <v>7.0</v>
      </c>
      <c r="W57" s="19">
        <v>8.0</v>
      </c>
      <c r="X57" s="19">
        <v>5.0</v>
      </c>
      <c r="Y57" s="19">
        <v>6.0</v>
      </c>
      <c r="Z57" s="19">
        <v>8.0</v>
      </c>
      <c r="AA57" s="19">
        <v>11.0</v>
      </c>
      <c r="AB57" s="19">
        <v>12.0</v>
      </c>
      <c r="AC57" s="19">
        <v>3.0</v>
      </c>
      <c r="AD57" s="19">
        <v>8.0</v>
      </c>
      <c r="AE57" s="19">
        <v>8.0</v>
      </c>
      <c r="AF57" s="19">
        <v>3.0</v>
      </c>
      <c r="AG57" s="19">
        <v>3.0</v>
      </c>
      <c r="AH57" s="19">
        <v>3.0</v>
      </c>
      <c r="AI57" s="19">
        <v>6.0</v>
      </c>
      <c r="AJ57" s="19">
        <v>7.0</v>
      </c>
      <c r="AK57" s="19">
        <v>2.0</v>
      </c>
      <c r="AL57" s="19">
        <v>8.0</v>
      </c>
      <c r="AM57" s="19">
        <v>6.0</v>
      </c>
      <c r="AN57" s="19">
        <v>10.0</v>
      </c>
      <c r="AO57" s="19">
        <v>2.0</v>
      </c>
      <c r="AP57" s="19">
        <v>9.0</v>
      </c>
      <c r="AQ57" s="19">
        <v>10.0</v>
      </c>
      <c r="AR57" s="19">
        <v>6.0</v>
      </c>
      <c r="AS57" s="19">
        <v>9.0</v>
      </c>
      <c r="AT57" s="19">
        <v>8.0</v>
      </c>
      <c r="AU57" s="19">
        <v>5.0</v>
      </c>
      <c r="AV57" s="19">
        <v>9.0</v>
      </c>
      <c r="AW57" s="19">
        <v>8.0</v>
      </c>
      <c r="AX57" s="13">
        <f t="shared" ref="AX57:AX66" si="16">SUM(E57:AW57)</f>
        <v>333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10.0</v>
      </c>
      <c r="F58" s="19">
        <v>21.0</v>
      </c>
      <c r="G58" s="19">
        <v>14.0</v>
      </c>
      <c r="H58" s="19">
        <v>31.0</v>
      </c>
      <c r="I58" s="19">
        <v>17.0</v>
      </c>
      <c r="J58" s="19">
        <v>4.0</v>
      </c>
      <c r="K58" s="19">
        <v>9.0</v>
      </c>
      <c r="L58" s="19">
        <v>9.0</v>
      </c>
      <c r="M58" s="19">
        <v>1.0</v>
      </c>
      <c r="N58" s="19">
        <v>4.0</v>
      </c>
      <c r="O58" s="19">
        <v>3.0</v>
      </c>
      <c r="P58" s="19">
        <v>1.0</v>
      </c>
      <c r="Q58" s="19">
        <v>3.0</v>
      </c>
      <c r="R58" s="19">
        <v>6.0</v>
      </c>
      <c r="S58" s="19">
        <v>4.0</v>
      </c>
      <c r="T58" s="19">
        <v>1.0</v>
      </c>
      <c r="U58" s="19">
        <v>5.0</v>
      </c>
      <c r="V58" s="19">
        <v>8.0</v>
      </c>
      <c r="W58" s="19">
        <v>2.0</v>
      </c>
      <c r="X58" s="19">
        <v>5.0</v>
      </c>
      <c r="Y58" s="19">
        <v>7.0</v>
      </c>
      <c r="Z58" s="19">
        <v>9.0</v>
      </c>
      <c r="AA58" s="19">
        <v>6.0</v>
      </c>
      <c r="AB58" s="19">
        <v>3.0</v>
      </c>
      <c r="AC58" s="19">
        <v>8.0</v>
      </c>
      <c r="AD58" s="19">
        <v>4.0</v>
      </c>
      <c r="AE58" s="19">
        <v>8.0</v>
      </c>
      <c r="AF58" s="19">
        <v>13.0</v>
      </c>
      <c r="AG58" s="19">
        <v>10.0</v>
      </c>
      <c r="AH58" s="19">
        <v>5.0</v>
      </c>
      <c r="AI58" s="19">
        <v>6.0</v>
      </c>
      <c r="AJ58" s="19">
        <v>10.0</v>
      </c>
      <c r="AK58" s="19">
        <v>5.0</v>
      </c>
      <c r="AL58" s="19">
        <v>5.0</v>
      </c>
      <c r="AM58" s="19">
        <v>6.0</v>
      </c>
      <c r="AN58" s="19">
        <v>5.0</v>
      </c>
      <c r="AO58" s="19">
        <v>1.0</v>
      </c>
      <c r="AP58" s="19">
        <v>6.0</v>
      </c>
      <c r="AQ58" s="19">
        <v>5.0</v>
      </c>
      <c r="AR58" s="19">
        <v>1.0</v>
      </c>
      <c r="AS58" s="19">
        <v>7.0</v>
      </c>
      <c r="AT58" s="19">
        <v>6.0</v>
      </c>
      <c r="AU58" s="19">
        <v>3.0</v>
      </c>
      <c r="AV58" s="19">
        <v>6.0</v>
      </c>
      <c r="AW58" s="19">
        <v>4.0</v>
      </c>
      <c r="AX58" s="13">
        <f t="shared" si="16"/>
        <v>307</v>
      </c>
    </row>
    <row r="59" ht="12.75" customHeight="1">
      <c r="A59" s="18"/>
      <c r="B59" s="55">
        <v>2.0</v>
      </c>
      <c r="C59" s="50" t="s">
        <v>50</v>
      </c>
      <c r="D59" s="61"/>
      <c r="E59" s="19">
        <v>2.0</v>
      </c>
      <c r="F59" s="19">
        <v>3.0</v>
      </c>
      <c r="G59" s="19">
        <v>3.0</v>
      </c>
      <c r="H59" s="19">
        <v>4.0</v>
      </c>
      <c r="I59" s="19">
        <v>8.0</v>
      </c>
      <c r="J59" s="19">
        <v>1.0</v>
      </c>
      <c r="K59" s="19">
        <v>6.0</v>
      </c>
      <c r="L59" s="19">
        <v>16.0</v>
      </c>
      <c r="M59" s="19">
        <v>3.0</v>
      </c>
      <c r="N59" s="19">
        <v>6.0</v>
      </c>
      <c r="O59" s="19">
        <v>3.0</v>
      </c>
      <c r="P59" s="19">
        <v>1.0</v>
      </c>
      <c r="Q59" s="19">
        <v>2.0</v>
      </c>
      <c r="R59" s="19">
        <v>3.0</v>
      </c>
      <c r="S59" s="19">
        <v>15.0</v>
      </c>
      <c r="T59" s="19">
        <v>11.0</v>
      </c>
      <c r="U59" s="19">
        <v>31.0</v>
      </c>
      <c r="V59" s="19">
        <v>13.0</v>
      </c>
      <c r="W59" s="19">
        <v>3.0</v>
      </c>
      <c r="X59" s="19">
        <v>18.0</v>
      </c>
      <c r="Y59" s="19">
        <v>2.0</v>
      </c>
      <c r="Z59" s="19">
        <v>2.0</v>
      </c>
      <c r="AA59" s="19">
        <v>4.0</v>
      </c>
      <c r="AB59" s="19">
        <v>3.0</v>
      </c>
      <c r="AC59" s="19">
        <v>1.0</v>
      </c>
      <c r="AD59" s="19">
        <v>1.0</v>
      </c>
      <c r="AE59" s="19">
        <v>1.0</v>
      </c>
      <c r="AF59" s="19">
        <v>0.0</v>
      </c>
      <c r="AG59" s="19">
        <v>1.0</v>
      </c>
      <c r="AH59" s="19">
        <v>3.0</v>
      </c>
      <c r="AI59" s="19">
        <v>2.0</v>
      </c>
      <c r="AJ59" s="19">
        <v>11.0</v>
      </c>
      <c r="AK59" s="19">
        <v>4.0</v>
      </c>
      <c r="AL59" s="19">
        <v>9.0</v>
      </c>
      <c r="AM59" s="19">
        <v>1.0</v>
      </c>
      <c r="AN59" s="19">
        <v>4.0</v>
      </c>
      <c r="AO59" s="19">
        <v>0.0</v>
      </c>
      <c r="AP59" s="19">
        <v>12.0</v>
      </c>
      <c r="AQ59" s="19">
        <v>9.0</v>
      </c>
      <c r="AR59" s="19">
        <v>15.0</v>
      </c>
      <c r="AS59" s="19">
        <v>7.0</v>
      </c>
      <c r="AT59" s="19">
        <v>5.0</v>
      </c>
      <c r="AU59" s="19">
        <v>2.0</v>
      </c>
      <c r="AV59" s="19">
        <v>3.0</v>
      </c>
      <c r="AW59" s="19">
        <v>6.0</v>
      </c>
      <c r="AX59" s="13">
        <f t="shared" si="16"/>
        <v>260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4.0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1.0</v>
      </c>
      <c r="M60" s="19">
        <v>4.0</v>
      </c>
      <c r="N60" s="19">
        <v>2.0</v>
      </c>
      <c r="O60" s="19">
        <v>0.0</v>
      </c>
      <c r="P60" s="19">
        <v>0.0</v>
      </c>
      <c r="Q60" s="19">
        <v>0.0</v>
      </c>
      <c r="R60" s="19">
        <v>1.0</v>
      </c>
      <c r="S60" s="19">
        <v>0.0</v>
      </c>
      <c r="T60" s="19">
        <v>3.0</v>
      </c>
      <c r="U60" s="19">
        <v>0.0</v>
      </c>
      <c r="V60" s="19">
        <v>1.0</v>
      </c>
      <c r="W60" s="19">
        <v>0.0</v>
      </c>
      <c r="X60" s="19">
        <v>1.0</v>
      </c>
      <c r="Y60" s="19">
        <v>1.0</v>
      </c>
      <c r="Z60" s="19">
        <v>0.0</v>
      </c>
      <c r="AA60" s="19">
        <v>0.0</v>
      </c>
      <c r="AB60" s="19">
        <v>1.0</v>
      </c>
      <c r="AC60" s="19">
        <v>0.0</v>
      </c>
      <c r="AD60" s="19">
        <v>0.0</v>
      </c>
      <c r="AE60" s="19">
        <v>3.0</v>
      </c>
      <c r="AF60" s="19">
        <v>11.0</v>
      </c>
      <c r="AG60" s="19">
        <v>1.0</v>
      </c>
      <c r="AH60" s="19">
        <v>1.0</v>
      </c>
      <c r="AI60" s="19">
        <v>0.0</v>
      </c>
      <c r="AJ60" s="19">
        <v>0.0</v>
      </c>
      <c r="AK60" s="19">
        <v>0.0</v>
      </c>
      <c r="AL60" s="19">
        <v>1.0</v>
      </c>
      <c r="AM60" s="19">
        <v>2.0</v>
      </c>
      <c r="AN60" s="19">
        <v>2.0</v>
      </c>
      <c r="AO60" s="19">
        <v>0.0</v>
      </c>
      <c r="AP60" s="19">
        <v>0.0</v>
      </c>
      <c r="AQ60" s="19">
        <v>2.0</v>
      </c>
      <c r="AR60" s="19">
        <v>1.0</v>
      </c>
      <c r="AS60" s="19">
        <v>2.0</v>
      </c>
      <c r="AT60" s="19">
        <v>1.0</v>
      </c>
      <c r="AU60" s="19">
        <v>0.0</v>
      </c>
      <c r="AV60" s="19">
        <v>2.0</v>
      </c>
      <c r="AW60" s="19">
        <v>2.0</v>
      </c>
      <c r="AX60" s="13">
        <f t="shared" si="16"/>
        <v>53</v>
      </c>
    </row>
    <row r="61" ht="12.75" customHeight="1">
      <c r="A61" s="18"/>
      <c r="B61" s="55">
        <v>4.0</v>
      </c>
      <c r="C61" s="50" t="s">
        <v>52</v>
      </c>
      <c r="D61" s="61"/>
      <c r="E61" s="19">
        <v>4.0</v>
      </c>
      <c r="F61" s="19">
        <v>2.0</v>
      </c>
      <c r="G61" s="19">
        <v>0.0</v>
      </c>
      <c r="H61" s="19">
        <v>0.0</v>
      </c>
      <c r="I61" s="19">
        <v>1.0</v>
      </c>
      <c r="J61" s="19">
        <v>0.0</v>
      </c>
      <c r="K61" s="19">
        <v>10.0</v>
      </c>
      <c r="L61" s="19">
        <v>2.0</v>
      </c>
      <c r="M61" s="19">
        <v>6.0</v>
      </c>
      <c r="N61" s="19">
        <v>1.0</v>
      </c>
      <c r="O61" s="19">
        <v>2.0</v>
      </c>
      <c r="P61" s="19">
        <v>1.0</v>
      </c>
      <c r="Q61" s="19">
        <v>0.0</v>
      </c>
      <c r="R61" s="19">
        <v>3.0</v>
      </c>
      <c r="S61" s="19">
        <v>2.0</v>
      </c>
      <c r="T61" s="19">
        <v>0.0</v>
      </c>
      <c r="U61" s="19">
        <v>0.0</v>
      </c>
      <c r="V61" s="19">
        <v>2.0</v>
      </c>
      <c r="W61" s="19">
        <v>3.0</v>
      </c>
      <c r="X61" s="19">
        <v>2.0</v>
      </c>
      <c r="Y61" s="19">
        <v>2.0</v>
      </c>
      <c r="Z61" s="19">
        <v>2.0</v>
      </c>
      <c r="AA61" s="19">
        <v>6.0</v>
      </c>
      <c r="AB61" s="19">
        <v>0.0</v>
      </c>
      <c r="AC61" s="19">
        <v>1.0</v>
      </c>
      <c r="AD61" s="19">
        <v>0.0</v>
      </c>
      <c r="AE61" s="19">
        <v>2.0</v>
      </c>
      <c r="AF61" s="19">
        <v>1.0</v>
      </c>
      <c r="AG61" s="19">
        <v>0.0</v>
      </c>
      <c r="AH61" s="19">
        <v>0.0</v>
      </c>
      <c r="AI61" s="19">
        <v>1.0</v>
      </c>
      <c r="AJ61" s="19">
        <v>3.0</v>
      </c>
      <c r="AK61" s="19">
        <v>0.0</v>
      </c>
      <c r="AL61" s="19">
        <v>3.0</v>
      </c>
      <c r="AM61" s="19">
        <v>0.0</v>
      </c>
      <c r="AN61" s="19">
        <v>3.0</v>
      </c>
      <c r="AO61" s="19">
        <v>2.0</v>
      </c>
      <c r="AP61" s="19">
        <v>1.0</v>
      </c>
      <c r="AQ61" s="19">
        <v>4.0</v>
      </c>
      <c r="AR61" s="19">
        <v>0.0</v>
      </c>
      <c r="AS61" s="19">
        <v>2.0</v>
      </c>
      <c r="AT61" s="19">
        <v>6.0</v>
      </c>
      <c r="AU61" s="19">
        <v>0.0</v>
      </c>
      <c r="AV61" s="19">
        <v>0.0</v>
      </c>
      <c r="AW61" s="19">
        <v>1.0</v>
      </c>
      <c r="AX61" s="13">
        <f t="shared" si="16"/>
        <v>81</v>
      </c>
    </row>
    <row r="62" ht="12.75" customHeight="1">
      <c r="A62" s="18"/>
      <c r="B62" s="55">
        <v>5.0</v>
      </c>
      <c r="C62" s="50" t="s">
        <v>53</v>
      </c>
      <c r="D62" s="61"/>
      <c r="E62" s="19">
        <v>1.0</v>
      </c>
      <c r="F62" s="19">
        <v>1.0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2.0</v>
      </c>
      <c r="W62" s="19">
        <v>0.0</v>
      </c>
      <c r="X62" s="19">
        <v>0.0</v>
      </c>
      <c r="Y62" s="19">
        <v>0.0</v>
      </c>
      <c r="Z62" s="19">
        <v>1.0</v>
      </c>
      <c r="AA62" s="19">
        <v>1.0</v>
      </c>
      <c r="AB62" s="19">
        <v>1.0</v>
      </c>
      <c r="AC62" s="19">
        <v>0.0</v>
      </c>
      <c r="AD62" s="19">
        <v>0.0</v>
      </c>
      <c r="AE62" s="19">
        <v>1.0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1.0</v>
      </c>
      <c r="AL62" s="19">
        <v>0.0</v>
      </c>
      <c r="AM62" s="19">
        <v>1.0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9">
        <v>0.0</v>
      </c>
      <c r="AW62" s="19">
        <v>0.0</v>
      </c>
      <c r="AX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62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1.0</v>
      </c>
      <c r="V63" s="19">
        <v>1.0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2.0</v>
      </c>
      <c r="AC63" s="19">
        <v>1.0</v>
      </c>
      <c r="AD63" s="19">
        <v>0.0</v>
      </c>
      <c r="AE63" s="19">
        <v>0.0</v>
      </c>
      <c r="AF63" s="19">
        <v>1.0</v>
      </c>
      <c r="AG63" s="19">
        <v>2.0</v>
      </c>
      <c r="AH63" s="19">
        <v>3.0</v>
      </c>
      <c r="AI63" s="19">
        <v>2.0</v>
      </c>
      <c r="AJ63" s="19">
        <v>1.0</v>
      </c>
      <c r="AK63" s="19">
        <v>2.0</v>
      </c>
      <c r="AL63" s="19">
        <v>0.0</v>
      </c>
      <c r="AM63" s="19">
        <v>0.0</v>
      </c>
      <c r="AN63" s="19">
        <v>2.0</v>
      </c>
      <c r="AO63" s="19">
        <v>2.0</v>
      </c>
      <c r="AP63" s="19">
        <v>0.0</v>
      </c>
      <c r="AQ63" s="19">
        <v>1.0</v>
      </c>
      <c r="AR63" s="19">
        <v>0.0</v>
      </c>
      <c r="AS63" s="19">
        <v>1.0</v>
      </c>
      <c r="AT63" s="19">
        <v>0.0</v>
      </c>
      <c r="AU63" s="19">
        <v>2.0</v>
      </c>
      <c r="AV63" s="19">
        <v>1.0</v>
      </c>
      <c r="AW63" s="19">
        <v>1.0</v>
      </c>
      <c r="AX63" s="13">
        <f t="shared" si="16"/>
        <v>29</v>
      </c>
    </row>
    <row r="64" ht="12.75" customHeight="1">
      <c r="A64" s="18"/>
      <c r="B64" s="55">
        <v>7.0</v>
      </c>
      <c r="C64" s="50" t="s">
        <v>55</v>
      </c>
      <c r="D64" s="61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2.0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2.0</v>
      </c>
      <c r="AC64" s="19">
        <v>0.0</v>
      </c>
      <c r="AD64" s="19">
        <v>0.0</v>
      </c>
      <c r="AE64" s="19">
        <v>4.0</v>
      </c>
      <c r="AF64" s="19">
        <v>0.0</v>
      </c>
      <c r="AG64" s="19">
        <v>0.0</v>
      </c>
      <c r="AH64" s="19">
        <v>0.0</v>
      </c>
      <c r="AI64" s="19">
        <v>1.0</v>
      </c>
      <c r="AJ64" s="19">
        <v>3.0</v>
      </c>
      <c r="AK64" s="19">
        <v>0.0</v>
      </c>
      <c r="AL64" s="19">
        <v>0.0</v>
      </c>
      <c r="AM64" s="19">
        <v>20.0</v>
      </c>
      <c r="AN64" s="19">
        <v>13.0</v>
      </c>
      <c r="AO64" s="19">
        <v>8.0</v>
      </c>
      <c r="AP64" s="19">
        <v>0.0</v>
      </c>
      <c r="AQ64" s="19">
        <v>2.0</v>
      </c>
      <c r="AR64" s="19">
        <v>0.0</v>
      </c>
      <c r="AS64" s="19">
        <v>2.0</v>
      </c>
      <c r="AT64" s="19">
        <v>0.0</v>
      </c>
      <c r="AU64" s="19">
        <v>0.0</v>
      </c>
      <c r="AV64" s="19">
        <v>0.0</v>
      </c>
      <c r="AW64" s="19">
        <v>0.0</v>
      </c>
      <c r="AX64" s="13">
        <f t="shared" si="16"/>
        <v>61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X67" si="17">SUM(E57:E66)</f>
        <v>31</v>
      </c>
      <c r="F67" s="13">
        <f t="shared" si="17"/>
        <v>40</v>
      </c>
      <c r="G67" s="13">
        <f t="shared" si="17"/>
        <v>28</v>
      </c>
      <c r="H67" s="13">
        <f t="shared" si="17"/>
        <v>52</v>
      </c>
      <c r="I67" s="13">
        <f t="shared" si="17"/>
        <v>37</v>
      </c>
      <c r="J67" s="13">
        <f t="shared" si="17"/>
        <v>15</v>
      </c>
      <c r="K67" s="13">
        <f t="shared" si="17"/>
        <v>37</v>
      </c>
      <c r="L67" s="13">
        <f t="shared" si="17"/>
        <v>33</v>
      </c>
      <c r="M67" s="13">
        <f t="shared" si="17"/>
        <v>22</v>
      </c>
      <c r="N67" s="13">
        <f t="shared" si="17"/>
        <v>22</v>
      </c>
      <c r="O67" s="13">
        <f t="shared" si="17"/>
        <v>13</v>
      </c>
      <c r="P67" s="13">
        <f t="shared" si="17"/>
        <v>8</v>
      </c>
      <c r="Q67" s="13">
        <f t="shared" si="17"/>
        <v>13</v>
      </c>
      <c r="R67" s="13">
        <f t="shared" si="17"/>
        <v>23</v>
      </c>
      <c r="S67" s="13">
        <f t="shared" si="17"/>
        <v>33</v>
      </c>
      <c r="T67" s="13">
        <f t="shared" si="17"/>
        <v>21</v>
      </c>
      <c r="U67" s="13">
        <f t="shared" si="17"/>
        <v>41</v>
      </c>
      <c r="V67" s="13">
        <f t="shared" si="17"/>
        <v>34</v>
      </c>
      <c r="W67" s="13">
        <f t="shared" si="17"/>
        <v>16</v>
      </c>
      <c r="X67" s="13">
        <f t="shared" si="17"/>
        <v>31</v>
      </c>
      <c r="Y67" s="13">
        <f t="shared" si="17"/>
        <v>18</v>
      </c>
      <c r="Z67" s="13">
        <f t="shared" si="17"/>
        <v>22</v>
      </c>
      <c r="AA67" s="13">
        <f t="shared" si="17"/>
        <v>29</v>
      </c>
      <c r="AB67" s="13">
        <f t="shared" si="17"/>
        <v>24</v>
      </c>
      <c r="AC67" s="13">
        <f t="shared" si="17"/>
        <v>14</v>
      </c>
      <c r="AD67" s="13">
        <f t="shared" si="17"/>
        <v>13</v>
      </c>
      <c r="AE67" s="13">
        <f t="shared" si="17"/>
        <v>27</v>
      </c>
      <c r="AF67" s="13">
        <f t="shared" si="17"/>
        <v>29</v>
      </c>
      <c r="AG67" s="13">
        <f t="shared" si="17"/>
        <v>17</v>
      </c>
      <c r="AH67" s="13">
        <f t="shared" si="17"/>
        <v>15</v>
      </c>
      <c r="AI67" s="13">
        <f t="shared" si="17"/>
        <v>18</v>
      </c>
      <c r="AJ67" s="13">
        <f t="shared" si="17"/>
        <v>35</v>
      </c>
      <c r="AK67" s="13">
        <f t="shared" si="17"/>
        <v>14</v>
      </c>
      <c r="AL67" s="13">
        <f t="shared" si="17"/>
        <v>26</v>
      </c>
      <c r="AM67" s="13">
        <f t="shared" si="17"/>
        <v>36</v>
      </c>
      <c r="AN67" s="13">
        <f t="shared" si="17"/>
        <v>39</v>
      </c>
      <c r="AO67" s="13">
        <f t="shared" si="17"/>
        <v>15</v>
      </c>
      <c r="AP67" s="13">
        <f t="shared" si="17"/>
        <v>28</v>
      </c>
      <c r="AQ67" s="13">
        <f t="shared" si="17"/>
        <v>33</v>
      </c>
      <c r="AR67" s="13">
        <f t="shared" si="17"/>
        <v>23</v>
      </c>
      <c r="AS67" s="13">
        <f t="shared" si="17"/>
        <v>30</v>
      </c>
      <c r="AT67" s="13">
        <f t="shared" si="17"/>
        <v>26</v>
      </c>
      <c r="AU67" s="13">
        <f t="shared" si="17"/>
        <v>12</v>
      </c>
      <c r="AV67" s="13">
        <f t="shared" si="17"/>
        <v>21</v>
      </c>
      <c r="AW67" s="13">
        <f t="shared" si="17"/>
        <v>22</v>
      </c>
      <c r="AX67" s="13">
        <f t="shared" si="17"/>
        <v>1136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15.0</v>
      </c>
      <c r="F69" s="19">
        <v>15.0</v>
      </c>
      <c r="G69" s="19">
        <v>6.0</v>
      </c>
      <c r="H69" s="19">
        <v>13.0</v>
      </c>
      <c r="I69" s="19">
        <v>16.0</v>
      </c>
      <c r="J69" s="19">
        <v>17.0</v>
      </c>
      <c r="K69" s="19">
        <v>3.0</v>
      </c>
      <c r="L69" s="19">
        <v>2.0</v>
      </c>
      <c r="M69" s="19">
        <v>9.0</v>
      </c>
      <c r="N69" s="19">
        <v>8.0</v>
      </c>
      <c r="O69" s="19">
        <v>12.0</v>
      </c>
      <c r="P69" s="19">
        <v>8.0</v>
      </c>
      <c r="Q69" s="19">
        <v>4.0</v>
      </c>
      <c r="R69" s="19">
        <v>4.0</v>
      </c>
      <c r="S69" s="19">
        <v>19.0</v>
      </c>
      <c r="T69" s="19">
        <v>5.0</v>
      </c>
      <c r="U69" s="19">
        <v>13.0</v>
      </c>
      <c r="V69" s="19">
        <v>12.0</v>
      </c>
      <c r="W69" s="19">
        <v>15.0</v>
      </c>
      <c r="X69" s="19">
        <v>11.0</v>
      </c>
      <c r="Y69" s="19">
        <v>15.0</v>
      </c>
      <c r="Z69" s="19">
        <v>7.0</v>
      </c>
      <c r="AA69" s="19">
        <v>16.0</v>
      </c>
      <c r="AB69" s="19">
        <v>11.0</v>
      </c>
      <c r="AC69" s="19">
        <v>5.0</v>
      </c>
      <c r="AD69" s="19">
        <v>7.0</v>
      </c>
      <c r="AE69" s="19">
        <v>10.0</v>
      </c>
      <c r="AF69" s="19">
        <v>10.0</v>
      </c>
      <c r="AG69" s="19">
        <v>10.0</v>
      </c>
      <c r="AH69" s="19">
        <v>7.0</v>
      </c>
      <c r="AI69" s="19">
        <v>8.0</v>
      </c>
      <c r="AJ69" s="19">
        <v>8.0</v>
      </c>
      <c r="AK69" s="19">
        <v>9.0</v>
      </c>
      <c r="AL69" s="19">
        <v>10.0</v>
      </c>
      <c r="AM69" s="19">
        <v>4.0</v>
      </c>
      <c r="AN69" s="19">
        <v>12.0</v>
      </c>
      <c r="AO69" s="19">
        <v>3.0</v>
      </c>
      <c r="AP69" s="19">
        <v>5.0</v>
      </c>
      <c r="AQ69" s="19">
        <v>10.0</v>
      </c>
      <c r="AR69" s="19">
        <v>2.0</v>
      </c>
      <c r="AS69" s="19">
        <v>8.0</v>
      </c>
      <c r="AT69" s="19">
        <v>11.0</v>
      </c>
      <c r="AU69" s="19">
        <v>15.0</v>
      </c>
      <c r="AV69" s="19">
        <v>14.0</v>
      </c>
      <c r="AW69" s="19">
        <v>20.0</v>
      </c>
      <c r="AX69" s="13">
        <f t="shared" ref="AX69:AX78" si="18">SUM(E69:AW69)</f>
        <v>444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11.0</v>
      </c>
      <c r="F70" s="19">
        <v>11.0</v>
      </c>
      <c r="G70" s="19">
        <v>11.0</v>
      </c>
      <c r="H70" s="19">
        <v>13.0</v>
      </c>
      <c r="I70" s="19">
        <v>9.0</v>
      </c>
      <c r="J70" s="19">
        <v>18.0</v>
      </c>
      <c r="K70" s="19">
        <v>4.0</v>
      </c>
      <c r="L70" s="19">
        <v>8.0</v>
      </c>
      <c r="M70" s="19">
        <v>5.0</v>
      </c>
      <c r="N70" s="19">
        <v>5.0</v>
      </c>
      <c r="O70" s="19">
        <v>4.0</v>
      </c>
      <c r="P70" s="19">
        <v>1.0</v>
      </c>
      <c r="Q70" s="19">
        <v>4.0</v>
      </c>
      <c r="R70" s="19">
        <v>2.0</v>
      </c>
      <c r="S70" s="19">
        <v>42.0</v>
      </c>
      <c r="T70" s="19">
        <v>24.0</v>
      </c>
      <c r="U70" s="19">
        <v>18.0</v>
      </c>
      <c r="V70" s="19">
        <v>44.0</v>
      </c>
      <c r="W70" s="19">
        <v>14.0</v>
      </c>
      <c r="X70" s="19">
        <v>6.0</v>
      </c>
      <c r="Y70" s="19">
        <v>4.0</v>
      </c>
      <c r="Z70" s="19">
        <v>33.0</v>
      </c>
      <c r="AA70" s="19">
        <v>14.0</v>
      </c>
      <c r="AB70" s="19">
        <v>42.0</v>
      </c>
      <c r="AC70" s="19">
        <v>17.0</v>
      </c>
      <c r="AD70" s="19">
        <v>13.0</v>
      </c>
      <c r="AE70" s="19">
        <v>16.0</v>
      </c>
      <c r="AF70" s="19">
        <v>34.0</v>
      </c>
      <c r="AG70" s="19">
        <v>37.0</v>
      </c>
      <c r="AH70" s="19">
        <v>11.0</v>
      </c>
      <c r="AI70" s="19">
        <v>21.0</v>
      </c>
      <c r="AJ70" s="19">
        <v>7.0</v>
      </c>
      <c r="AK70" s="19">
        <v>10.0</v>
      </c>
      <c r="AL70" s="19">
        <v>49.0</v>
      </c>
      <c r="AM70" s="19">
        <v>7.0</v>
      </c>
      <c r="AN70" s="19">
        <v>11.0</v>
      </c>
      <c r="AO70" s="19">
        <v>7.0</v>
      </c>
      <c r="AP70" s="19">
        <v>19.0</v>
      </c>
      <c r="AQ70" s="19">
        <v>16.0</v>
      </c>
      <c r="AR70" s="19">
        <v>12.0</v>
      </c>
      <c r="AS70" s="19">
        <v>18.0</v>
      </c>
      <c r="AT70" s="19">
        <v>32.0</v>
      </c>
      <c r="AU70" s="19">
        <v>14.0</v>
      </c>
      <c r="AV70" s="19">
        <v>36.0</v>
      </c>
      <c r="AW70" s="19">
        <v>12.0</v>
      </c>
      <c r="AX70" s="13">
        <f t="shared" si="18"/>
        <v>746</v>
      </c>
    </row>
    <row r="71" ht="12.75" customHeight="1">
      <c r="A71" s="18"/>
      <c r="B71" s="55">
        <v>2.0</v>
      </c>
      <c r="C71" s="50" t="s">
        <v>58</v>
      </c>
      <c r="D71" s="62"/>
      <c r="E71" s="19">
        <v>0.0</v>
      </c>
      <c r="F71" s="19">
        <v>0.0</v>
      </c>
      <c r="G71" s="19">
        <v>2.0</v>
      </c>
      <c r="H71" s="19">
        <v>7.0</v>
      </c>
      <c r="I71" s="19">
        <v>5.0</v>
      </c>
      <c r="J71" s="19">
        <v>1.0</v>
      </c>
      <c r="K71" s="19">
        <v>0.0</v>
      </c>
      <c r="L71" s="19">
        <v>3.0</v>
      </c>
      <c r="M71" s="19">
        <v>1.0</v>
      </c>
      <c r="N71" s="19">
        <v>0.0</v>
      </c>
      <c r="O71" s="19">
        <v>2.0</v>
      </c>
      <c r="P71" s="19">
        <v>0.0</v>
      </c>
      <c r="Q71" s="19">
        <v>0.0</v>
      </c>
      <c r="R71" s="19">
        <v>0.0</v>
      </c>
      <c r="S71" s="19">
        <v>2.0</v>
      </c>
      <c r="T71" s="19">
        <v>5.0</v>
      </c>
      <c r="U71" s="19">
        <v>5.0</v>
      </c>
      <c r="V71" s="19">
        <v>4.0</v>
      </c>
      <c r="W71" s="19">
        <v>3.0</v>
      </c>
      <c r="X71" s="19">
        <v>5.0</v>
      </c>
      <c r="Y71" s="19">
        <v>0.0</v>
      </c>
      <c r="Z71" s="19">
        <v>1.0</v>
      </c>
      <c r="AA71" s="19">
        <v>6.0</v>
      </c>
      <c r="AB71" s="19">
        <v>0.0</v>
      </c>
      <c r="AC71" s="19">
        <v>1.0</v>
      </c>
      <c r="AD71" s="19">
        <v>6.0</v>
      </c>
      <c r="AE71" s="19">
        <v>0.0</v>
      </c>
      <c r="AF71" s="19">
        <v>1.0</v>
      </c>
      <c r="AG71" s="19">
        <v>1.0</v>
      </c>
      <c r="AH71" s="19">
        <v>2.0</v>
      </c>
      <c r="AI71" s="19">
        <v>2.0</v>
      </c>
      <c r="AJ71" s="19">
        <v>4.0</v>
      </c>
      <c r="AK71" s="19">
        <v>3.0</v>
      </c>
      <c r="AL71" s="19">
        <v>0.0</v>
      </c>
      <c r="AM71" s="19">
        <v>1.0</v>
      </c>
      <c r="AN71" s="19">
        <v>1.0</v>
      </c>
      <c r="AO71" s="19">
        <v>2.0</v>
      </c>
      <c r="AP71" s="19">
        <v>0.0</v>
      </c>
      <c r="AQ71" s="19">
        <v>3.0</v>
      </c>
      <c r="AR71" s="19">
        <v>1.0</v>
      </c>
      <c r="AS71" s="19">
        <v>4.0</v>
      </c>
      <c r="AT71" s="19">
        <v>1.0</v>
      </c>
      <c r="AU71" s="19">
        <v>3.0</v>
      </c>
      <c r="AV71" s="19">
        <v>0.0</v>
      </c>
      <c r="AW71" s="19">
        <v>2.0</v>
      </c>
      <c r="AX71" s="13">
        <f t="shared" si="18"/>
        <v>90</v>
      </c>
    </row>
    <row r="72" ht="12.75" customHeight="1">
      <c r="A72" s="18"/>
      <c r="B72" s="55">
        <v>3.0</v>
      </c>
      <c r="C72" s="50" t="s">
        <v>59</v>
      </c>
      <c r="D72" s="62"/>
      <c r="E72" s="19">
        <v>36.0</v>
      </c>
      <c r="F72" s="19">
        <v>58.0</v>
      </c>
      <c r="G72" s="19">
        <v>40.0</v>
      </c>
      <c r="H72" s="19">
        <v>39.0</v>
      </c>
      <c r="I72" s="19">
        <v>13.0</v>
      </c>
      <c r="J72" s="19">
        <v>1.0</v>
      </c>
      <c r="K72" s="19">
        <v>4.0</v>
      </c>
      <c r="L72" s="19">
        <v>34.0</v>
      </c>
      <c r="M72" s="19">
        <v>0.0</v>
      </c>
      <c r="N72" s="19">
        <v>4.0</v>
      </c>
      <c r="O72" s="19">
        <v>31.0</v>
      </c>
      <c r="P72" s="19">
        <v>2.0</v>
      </c>
      <c r="Q72" s="19">
        <v>2.0</v>
      </c>
      <c r="R72" s="19">
        <v>2.0</v>
      </c>
      <c r="S72" s="19">
        <v>2.0</v>
      </c>
      <c r="T72" s="19">
        <v>10.0</v>
      </c>
      <c r="U72" s="19">
        <v>42.0</v>
      </c>
      <c r="V72" s="19">
        <v>5.0</v>
      </c>
      <c r="W72" s="19">
        <v>65.0</v>
      </c>
      <c r="X72" s="19">
        <v>66.0</v>
      </c>
      <c r="Y72" s="19">
        <v>33.0</v>
      </c>
      <c r="Z72" s="19">
        <v>19.0</v>
      </c>
      <c r="AA72" s="19">
        <v>6.0</v>
      </c>
      <c r="AB72" s="19">
        <v>1.0</v>
      </c>
      <c r="AC72" s="19">
        <v>6.0</v>
      </c>
      <c r="AD72" s="19">
        <v>29.0</v>
      </c>
      <c r="AE72" s="19">
        <v>21.0</v>
      </c>
      <c r="AF72" s="19">
        <v>10.0</v>
      </c>
      <c r="AG72" s="19">
        <v>35.0</v>
      </c>
      <c r="AH72" s="19">
        <v>23.0</v>
      </c>
      <c r="AI72" s="19">
        <v>22.0</v>
      </c>
      <c r="AJ72" s="19">
        <v>32.0</v>
      </c>
      <c r="AK72" s="19">
        <v>19.0</v>
      </c>
      <c r="AL72" s="19">
        <v>3.0</v>
      </c>
      <c r="AM72" s="19">
        <v>4.0</v>
      </c>
      <c r="AN72" s="19">
        <v>15.0</v>
      </c>
      <c r="AO72" s="19">
        <v>2.0</v>
      </c>
      <c r="AP72" s="19">
        <v>0.0</v>
      </c>
      <c r="AQ72" s="19">
        <v>14.0</v>
      </c>
      <c r="AR72" s="19">
        <v>4.0</v>
      </c>
      <c r="AS72" s="19">
        <v>6.0</v>
      </c>
      <c r="AT72" s="19">
        <v>25.0</v>
      </c>
      <c r="AU72" s="19">
        <v>16.0</v>
      </c>
      <c r="AV72" s="19">
        <v>47.0</v>
      </c>
      <c r="AW72" s="19">
        <v>27.0</v>
      </c>
      <c r="AX72" s="13">
        <f t="shared" si="18"/>
        <v>875</v>
      </c>
    </row>
    <row r="73" ht="12.75" customHeight="1">
      <c r="A73" s="18"/>
      <c r="B73" s="55">
        <v>4.0</v>
      </c>
      <c r="C73" s="50" t="s">
        <v>60</v>
      </c>
      <c r="D73" s="62"/>
      <c r="E73" s="19">
        <v>0.0</v>
      </c>
      <c r="F73" s="19">
        <v>0.0</v>
      </c>
      <c r="G73" s="19">
        <v>0.0</v>
      </c>
      <c r="H73" s="19">
        <v>1.0</v>
      </c>
      <c r="I73" s="19">
        <v>2.0</v>
      </c>
      <c r="J73" s="19">
        <v>0.0</v>
      </c>
      <c r="K73" s="19">
        <v>0.0</v>
      </c>
      <c r="L73" s="19">
        <v>2.0</v>
      </c>
      <c r="M73" s="19">
        <v>0.0</v>
      </c>
      <c r="N73" s="19">
        <v>1.0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2.0</v>
      </c>
      <c r="U73" s="19">
        <v>0.0</v>
      </c>
      <c r="V73" s="19">
        <v>1.0</v>
      </c>
      <c r="W73" s="19">
        <v>0.0</v>
      </c>
      <c r="X73" s="19">
        <v>1.0</v>
      </c>
      <c r="Y73" s="19">
        <v>2.0</v>
      </c>
      <c r="Z73" s="19">
        <v>0.0</v>
      </c>
      <c r="AA73" s="19">
        <v>0.0</v>
      </c>
      <c r="AB73" s="19">
        <v>0.0</v>
      </c>
      <c r="AC73" s="19">
        <v>1.0</v>
      </c>
      <c r="AD73" s="19">
        <v>0.0</v>
      </c>
      <c r="AE73" s="19">
        <v>0.0</v>
      </c>
      <c r="AF73" s="19">
        <v>1.0</v>
      </c>
      <c r="AG73" s="19">
        <v>0.0</v>
      </c>
      <c r="AH73" s="19">
        <v>0.0</v>
      </c>
      <c r="AI73" s="19">
        <v>1.0</v>
      </c>
      <c r="AJ73" s="19">
        <v>2.0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0.0</v>
      </c>
      <c r="AT73" s="19">
        <v>3.0</v>
      </c>
      <c r="AU73" s="19">
        <v>2.0</v>
      </c>
      <c r="AV73" s="19">
        <v>0.0</v>
      </c>
      <c r="AW73" s="19">
        <v>0.0</v>
      </c>
      <c r="AX73" s="13">
        <f t="shared" si="18"/>
        <v>23</v>
      </c>
    </row>
    <row r="74" ht="12.75" customHeight="1">
      <c r="A74" s="18"/>
      <c r="B74" s="55">
        <v>5.0</v>
      </c>
      <c r="C74" s="50" t="s">
        <v>61</v>
      </c>
      <c r="D74" s="62"/>
      <c r="E74" s="19">
        <v>1.0</v>
      </c>
      <c r="F74" s="19">
        <v>3.0</v>
      </c>
      <c r="G74" s="19">
        <v>1.0</v>
      </c>
      <c r="H74" s="19">
        <v>4.0</v>
      </c>
      <c r="I74" s="19">
        <v>4.0</v>
      </c>
      <c r="J74" s="19">
        <v>1.0</v>
      </c>
      <c r="K74" s="19">
        <v>4.0</v>
      </c>
      <c r="L74" s="19">
        <v>3.0</v>
      </c>
      <c r="M74" s="19">
        <v>2.0</v>
      </c>
      <c r="N74" s="19">
        <v>4.0</v>
      </c>
      <c r="O74" s="19">
        <v>1.0</v>
      </c>
      <c r="P74" s="19">
        <v>1.0</v>
      </c>
      <c r="Q74" s="19">
        <v>1.0</v>
      </c>
      <c r="R74" s="19">
        <v>1.0</v>
      </c>
      <c r="S74" s="19">
        <v>1.0</v>
      </c>
      <c r="T74" s="19">
        <v>3.0</v>
      </c>
      <c r="U74" s="19">
        <v>1.0</v>
      </c>
      <c r="V74" s="19">
        <v>2.0</v>
      </c>
      <c r="W74" s="19">
        <v>12.0</v>
      </c>
      <c r="X74" s="19">
        <v>0.0</v>
      </c>
      <c r="Y74" s="19">
        <v>4.0</v>
      </c>
      <c r="Z74" s="19">
        <v>4.0</v>
      </c>
      <c r="AA74" s="19">
        <v>8.0</v>
      </c>
      <c r="AB74" s="19">
        <v>18.0</v>
      </c>
      <c r="AC74" s="19">
        <v>8.0</v>
      </c>
      <c r="AD74" s="19">
        <v>3.0</v>
      </c>
      <c r="AE74" s="19">
        <v>6.0</v>
      </c>
      <c r="AF74" s="19">
        <v>4.0</v>
      </c>
      <c r="AG74" s="19">
        <v>1.0</v>
      </c>
      <c r="AH74" s="19">
        <v>2.0</v>
      </c>
      <c r="AI74" s="19">
        <v>0.0</v>
      </c>
      <c r="AJ74" s="19">
        <v>6.0</v>
      </c>
      <c r="AK74" s="19">
        <v>10.0</v>
      </c>
      <c r="AL74" s="19">
        <v>8.0</v>
      </c>
      <c r="AM74" s="19">
        <v>3.0</v>
      </c>
      <c r="AN74" s="19">
        <v>15.0</v>
      </c>
      <c r="AO74" s="19">
        <v>1.0</v>
      </c>
      <c r="AP74" s="19">
        <v>7.0</v>
      </c>
      <c r="AQ74" s="19">
        <v>2.0</v>
      </c>
      <c r="AR74" s="19">
        <v>4.0</v>
      </c>
      <c r="AS74" s="19">
        <v>3.0</v>
      </c>
      <c r="AT74" s="19">
        <v>2.0</v>
      </c>
      <c r="AU74" s="19">
        <v>4.0</v>
      </c>
      <c r="AV74" s="19">
        <v>1.0</v>
      </c>
      <c r="AW74" s="19">
        <v>4.0</v>
      </c>
      <c r="AX74" s="13">
        <f t="shared" si="18"/>
        <v>178</v>
      </c>
    </row>
    <row r="75" ht="12.75" customHeight="1">
      <c r="A75" s="18"/>
      <c r="B75" s="55">
        <v>6.0</v>
      </c>
      <c r="C75" s="50" t="s">
        <v>62</v>
      </c>
      <c r="D75" s="62"/>
      <c r="E75" s="19">
        <v>1.0</v>
      </c>
      <c r="F75" s="19">
        <v>2.0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0.0</v>
      </c>
      <c r="V75" s="19">
        <v>1.0</v>
      </c>
      <c r="W75" s="19">
        <v>2.0</v>
      </c>
      <c r="X75" s="19">
        <v>0.0</v>
      </c>
      <c r="Y75" s="19">
        <v>1.0</v>
      </c>
      <c r="Z75" s="19">
        <v>0.0</v>
      </c>
      <c r="AA75" s="19">
        <v>0.0</v>
      </c>
      <c r="AB75" s="19">
        <v>0.0</v>
      </c>
      <c r="AC75" s="19">
        <v>0.0</v>
      </c>
      <c r="AD75" s="19">
        <v>2.0</v>
      </c>
      <c r="AE75" s="19">
        <v>0.0</v>
      </c>
      <c r="AF75" s="19">
        <v>0.0</v>
      </c>
      <c r="AG75" s="19">
        <v>1.0</v>
      </c>
      <c r="AH75" s="19">
        <v>0.0</v>
      </c>
      <c r="AI75" s="19">
        <v>0.0</v>
      </c>
      <c r="AJ75" s="19">
        <v>0.0</v>
      </c>
      <c r="AK75" s="19">
        <v>0.0</v>
      </c>
      <c r="AL75" s="19">
        <v>1.0</v>
      </c>
      <c r="AM75" s="19">
        <v>1.0</v>
      </c>
      <c r="AN75" s="19">
        <v>0.0</v>
      </c>
      <c r="AO75" s="19">
        <v>1.0</v>
      </c>
      <c r="AP75" s="19">
        <v>2.0</v>
      </c>
      <c r="AQ75" s="19">
        <v>2.0</v>
      </c>
      <c r="AR75" s="19">
        <v>1.0</v>
      </c>
      <c r="AS75" s="19">
        <v>1.0</v>
      </c>
      <c r="AT75" s="19">
        <v>1.0</v>
      </c>
      <c r="AU75" s="19">
        <v>0.0</v>
      </c>
      <c r="AV75" s="19">
        <v>0.0</v>
      </c>
      <c r="AW75" s="19">
        <v>0.0</v>
      </c>
      <c r="AX75" s="13">
        <f t="shared" si="18"/>
        <v>23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2.0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1.0</v>
      </c>
      <c r="AB76" s="19">
        <v>1.0</v>
      </c>
      <c r="AC76" s="19">
        <v>0.0</v>
      </c>
      <c r="AD76" s="19">
        <v>0.0</v>
      </c>
      <c r="AE76" s="19">
        <v>1.0</v>
      </c>
      <c r="AF76" s="19">
        <v>0.0</v>
      </c>
      <c r="AG76" s="19">
        <v>0.0</v>
      </c>
      <c r="AH76" s="19">
        <v>0.0</v>
      </c>
      <c r="AI76" s="19">
        <v>1.0</v>
      </c>
      <c r="AJ76" s="19">
        <v>0.0</v>
      </c>
      <c r="AK76" s="19">
        <v>1.0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9">
        <v>2.0</v>
      </c>
      <c r="AT76" s="19">
        <v>1.0</v>
      </c>
      <c r="AU76" s="19">
        <v>3.0</v>
      </c>
      <c r="AV76" s="19">
        <v>0.0</v>
      </c>
      <c r="AW76" s="19">
        <v>3.0</v>
      </c>
      <c r="AX76" s="13">
        <f t="shared" si="18"/>
        <v>16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X79" si="19">SUM(E69:E78)</f>
        <v>64</v>
      </c>
      <c r="F79" s="13">
        <f t="shared" si="19"/>
        <v>89</v>
      </c>
      <c r="G79" s="13">
        <f t="shared" si="19"/>
        <v>60</v>
      </c>
      <c r="H79" s="13">
        <f t="shared" si="19"/>
        <v>77</v>
      </c>
      <c r="I79" s="13">
        <f t="shared" si="19"/>
        <v>49</v>
      </c>
      <c r="J79" s="13">
        <f t="shared" si="19"/>
        <v>38</v>
      </c>
      <c r="K79" s="13">
        <f t="shared" si="19"/>
        <v>16</v>
      </c>
      <c r="L79" s="13">
        <f t="shared" si="19"/>
        <v>52</v>
      </c>
      <c r="M79" s="13">
        <f t="shared" si="19"/>
        <v>18</v>
      </c>
      <c r="N79" s="13">
        <f t="shared" si="19"/>
        <v>22</v>
      </c>
      <c r="O79" s="13">
        <f t="shared" si="19"/>
        <v>50</v>
      </c>
      <c r="P79" s="13">
        <f t="shared" si="19"/>
        <v>14</v>
      </c>
      <c r="Q79" s="13">
        <f t="shared" si="19"/>
        <v>12</v>
      </c>
      <c r="R79" s="13">
        <f t="shared" si="19"/>
        <v>9</v>
      </c>
      <c r="S79" s="13">
        <f t="shared" si="19"/>
        <v>66</v>
      </c>
      <c r="T79" s="13">
        <f t="shared" si="19"/>
        <v>50</v>
      </c>
      <c r="U79" s="13">
        <f t="shared" si="19"/>
        <v>79</v>
      </c>
      <c r="V79" s="13">
        <f t="shared" si="19"/>
        <v>69</v>
      </c>
      <c r="W79" s="13">
        <f t="shared" si="19"/>
        <v>111</v>
      </c>
      <c r="X79" s="13">
        <f t="shared" si="19"/>
        <v>89</v>
      </c>
      <c r="Y79" s="13">
        <f t="shared" si="19"/>
        <v>59</v>
      </c>
      <c r="Z79" s="13">
        <f t="shared" si="19"/>
        <v>64</v>
      </c>
      <c r="AA79" s="13">
        <f t="shared" si="19"/>
        <v>51</v>
      </c>
      <c r="AB79" s="13">
        <f t="shared" si="19"/>
        <v>73</v>
      </c>
      <c r="AC79" s="13">
        <f t="shared" si="19"/>
        <v>38</v>
      </c>
      <c r="AD79" s="13">
        <f t="shared" si="19"/>
        <v>60</v>
      </c>
      <c r="AE79" s="13">
        <f t="shared" si="19"/>
        <v>54</v>
      </c>
      <c r="AF79" s="13">
        <f t="shared" si="19"/>
        <v>60</v>
      </c>
      <c r="AG79" s="13">
        <f t="shared" si="19"/>
        <v>85</v>
      </c>
      <c r="AH79" s="13">
        <f t="shared" si="19"/>
        <v>45</v>
      </c>
      <c r="AI79" s="13">
        <f t="shared" si="19"/>
        <v>55</v>
      </c>
      <c r="AJ79" s="13">
        <f t="shared" si="19"/>
        <v>59</v>
      </c>
      <c r="AK79" s="13">
        <f t="shared" si="19"/>
        <v>52</v>
      </c>
      <c r="AL79" s="13">
        <f t="shared" si="19"/>
        <v>71</v>
      </c>
      <c r="AM79" s="13">
        <f t="shared" si="19"/>
        <v>20</v>
      </c>
      <c r="AN79" s="13">
        <f t="shared" si="19"/>
        <v>54</v>
      </c>
      <c r="AO79" s="13">
        <f t="shared" si="19"/>
        <v>16</v>
      </c>
      <c r="AP79" s="13">
        <f t="shared" si="19"/>
        <v>33</v>
      </c>
      <c r="AQ79" s="13">
        <f t="shared" si="19"/>
        <v>47</v>
      </c>
      <c r="AR79" s="13">
        <f t="shared" si="19"/>
        <v>24</v>
      </c>
      <c r="AS79" s="13">
        <f t="shared" si="19"/>
        <v>42</v>
      </c>
      <c r="AT79" s="13">
        <f t="shared" si="19"/>
        <v>76</v>
      </c>
      <c r="AU79" s="13">
        <f t="shared" si="19"/>
        <v>57</v>
      </c>
      <c r="AV79" s="13">
        <f t="shared" si="19"/>
        <v>98</v>
      </c>
      <c r="AW79" s="13">
        <f t="shared" si="19"/>
        <v>68</v>
      </c>
      <c r="AX79" s="13">
        <f t="shared" si="19"/>
        <v>2395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1.0</v>
      </c>
      <c r="G81" s="19">
        <v>2.0</v>
      </c>
      <c r="H81" s="19">
        <v>4.0</v>
      </c>
      <c r="I81" s="19">
        <v>11.0</v>
      </c>
      <c r="J81" s="19">
        <v>2.0</v>
      </c>
      <c r="K81" s="19">
        <v>4.0</v>
      </c>
      <c r="L81" s="19">
        <v>4.0</v>
      </c>
      <c r="M81" s="19">
        <v>4.0</v>
      </c>
      <c r="N81" s="19">
        <v>9.0</v>
      </c>
      <c r="O81" s="19">
        <v>12.0</v>
      </c>
      <c r="P81" s="19">
        <v>24.0</v>
      </c>
      <c r="Q81" s="19">
        <v>15.0</v>
      </c>
      <c r="R81" s="19">
        <v>13.0</v>
      </c>
      <c r="S81" s="19">
        <v>3.0</v>
      </c>
      <c r="T81" s="19">
        <v>4.0</v>
      </c>
      <c r="U81" s="19">
        <v>5.0</v>
      </c>
      <c r="V81" s="19">
        <v>8.0</v>
      </c>
      <c r="W81" s="19">
        <v>3.0</v>
      </c>
      <c r="X81" s="19">
        <v>2.0</v>
      </c>
      <c r="Y81" s="19">
        <v>13.0</v>
      </c>
      <c r="Z81" s="19">
        <v>13.0</v>
      </c>
      <c r="AA81" s="19">
        <v>12.0</v>
      </c>
      <c r="AB81" s="19">
        <v>10.0</v>
      </c>
      <c r="AC81" s="19">
        <v>3.0</v>
      </c>
      <c r="AD81" s="19">
        <v>2.0</v>
      </c>
      <c r="AE81" s="19">
        <v>1.0</v>
      </c>
      <c r="AF81" s="19">
        <v>0.0</v>
      </c>
      <c r="AG81" s="19">
        <v>6.0</v>
      </c>
      <c r="AH81" s="19">
        <v>0.0</v>
      </c>
      <c r="AI81" s="19">
        <v>4.0</v>
      </c>
      <c r="AJ81" s="19">
        <v>14.0</v>
      </c>
      <c r="AK81" s="19">
        <v>3.0</v>
      </c>
      <c r="AL81" s="19">
        <v>10.0</v>
      </c>
      <c r="AM81" s="19">
        <v>11.0</v>
      </c>
      <c r="AN81" s="19">
        <v>6.0</v>
      </c>
      <c r="AO81" s="19">
        <v>13.0</v>
      </c>
      <c r="AP81" s="19">
        <v>3.0</v>
      </c>
      <c r="AQ81" s="19">
        <v>2.0</v>
      </c>
      <c r="AR81" s="19">
        <v>3.0</v>
      </c>
      <c r="AS81" s="19">
        <v>1.0</v>
      </c>
      <c r="AT81" s="19">
        <v>1.0</v>
      </c>
      <c r="AU81" s="19">
        <v>2.0</v>
      </c>
      <c r="AV81" s="19">
        <v>2.0</v>
      </c>
      <c r="AW81" s="19">
        <v>2.0</v>
      </c>
      <c r="AX81" s="13">
        <f t="shared" ref="AX81:AX90" si="20">SUM(E81:AW81)</f>
        <v>270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4.0</v>
      </c>
      <c r="F82" s="19">
        <v>8.0</v>
      </c>
      <c r="G82" s="19">
        <v>4.0</v>
      </c>
      <c r="H82" s="19">
        <v>3.0</v>
      </c>
      <c r="I82" s="19">
        <v>7.0</v>
      </c>
      <c r="J82" s="19">
        <v>6.0</v>
      </c>
      <c r="K82" s="19">
        <v>5.0</v>
      </c>
      <c r="L82" s="19">
        <v>6.0</v>
      </c>
      <c r="M82" s="19">
        <v>21.0</v>
      </c>
      <c r="N82" s="19">
        <v>5.0</v>
      </c>
      <c r="O82" s="19">
        <v>23.0</v>
      </c>
      <c r="P82" s="19">
        <v>51.0</v>
      </c>
      <c r="Q82" s="19">
        <v>102.0</v>
      </c>
      <c r="R82" s="19">
        <v>55.0</v>
      </c>
      <c r="S82" s="19">
        <v>13.0</v>
      </c>
      <c r="T82" s="19">
        <v>9.0</v>
      </c>
      <c r="U82" s="19">
        <v>46.0</v>
      </c>
      <c r="V82" s="19">
        <v>33.0</v>
      </c>
      <c r="W82" s="19">
        <v>9.0</v>
      </c>
      <c r="X82" s="19">
        <v>9.0</v>
      </c>
      <c r="Y82" s="19">
        <v>60.0</v>
      </c>
      <c r="Z82" s="19">
        <v>31.0</v>
      </c>
      <c r="AA82" s="19">
        <v>32.0</v>
      </c>
      <c r="AB82" s="19">
        <v>10.0</v>
      </c>
      <c r="AC82" s="19">
        <v>35.0</v>
      </c>
      <c r="AD82" s="19">
        <v>24.0</v>
      </c>
      <c r="AE82" s="19">
        <v>6.0</v>
      </c>
      <c r="AF82" s="19">
        <v>8.0</v>
      </c>
      <c r="AG82" s="19">
        <v>7.0</v>
      </c>
      <c r="AH82" s="19">
        <v>21.0</v>
      </c>
      <c r="AI82" s="19">
        <v>3.0</v>
      </c>
      <c r="AJ82" s="19">
        <v>13.0</v>
      </c>
      <c r="AK82" s="19">
        <v>9.0</v>
      </c>
      <c r="AL82" s="19">
        <v>11.0</v>
      </c>
      <c r="AM82" s="19">
        <v>18.0</v>
      </c>
      <c r="AN82" s="19">
        <v>4.0</v>
      </c>
      <c r="AO82" s="19">
        <v>23.0</v>
      </c>
      <c r="AP82" s="19">
        <v>3.0</v>
      </c>
      <c r="AQ82" s="19">
        <v>2.0</v>
      </c>
      <c r="AR82" s="19">
        <v>9.0</v>
      </c>
      <c r="AS82" s="19">
        <v>4.0</v>
      </c>
      <c r="AT82" s="19">
        <v>10.0</v>
      </c>
      <c r="AU82" s="19">
        <v>0.0</v>
      </c>
      <c r="AV82" s="19">
        <v>2.0</v>
      </c>
      <c r="AW82" s="19">
        <v>5.0</v>
      </c>
      <c r="AX82" s="13">
        <f t="shared" si="20"/>
        <v>769</v>
      </c>
    </row>
    <row r="83" ht="12.75" customHeight="1">
      <c r="A83" s="18"/>
      <c r="B83" s="55">
        <v>2.0</v>
      </c>
      <c r="C83" s="50" t="s">
        <v>66</v>
      </c>
      <c r="D83" s="62"/>
      <c r="E83" s="19">
        <v>2.0</v>
      </c>
      <c r="F83" s="19">
        <v>8.0</v>
      </c>
      <c r="G83" s="19">
        <v>6.0</v>
      </c>
      <c r="H83" s="19">
        <v>1.0</v>
      </c>
      <c r="I83" s="19">
        <v>9.0</v>
      </c>
      <c r="J83" s="19">
        <v>5.0</v>
      </c>
      <c r="K83" s="19">
        <v>4.0</v>
      </c>
      <c r="L83" s="19">
        <v>2.0</v>
      </c>
      <c r="M83" s="19">
        <v>4.0</v>
      </c>
      <c r="N83" s="19">
        <v>3.0</v>
      </c>
      <c r="O83" s="19">
        <v>7.0</v>
      </c>
      <c r="P83" s="19">
        <v>1.0</v>
      </c>
      <c r="Q83" s="19">
        <v>13.0</v>
      </c>
      <c r="R83" s="19">
        <v>35.0</v>
      </c>
      <c r="S83" s="19">
        <v>5.0</v>
      </c>
      <c r="T83" s="19">
        <v>3.0</v>
      </c>
      <c r="U83" s="19">
        <v>2.0</v>
      </c>
      <c r="V83" s="19">
        <v>7.0</v>
      </c>
      <c r="W83" s="19">
        <v>4.0</v>
      </c>
      <c r="X83" s="19">
        <v>2.0</v>
      </c>
      <c r="Y83" s="19">
        <v>4.0</v>
      </c>
      <c r="Z83" s="19">
        <v>6.0</v>
      </c>
      <c r="AA83" s="19">
        <v>6.0</v>
      </c>
      <c r="AB83" s="19">
        <v>5.0</v>
      </c>
      <c r="AC83" s="19">
        <v>2.0</v>
      </c>
      <c r="AD83" s="19">
        <v>5.0</v>
      </c>
      <c r="AE83" s="19">
        <v>3.0</v>
      </c>
      <c r="AF83" s="19">
        <v>0.0</v>
      </c>
      <c r="AG83" s="19">
        <v>14.0</v>
      </c>
      <c r="AH83" s="19">
        <v>7.0</v>
      </c>
      <c r="AI83" s="19">
        <v>5.0</v>
      </c>
      <c r="AJ83" s="19">
        <v>15.0</v>
      </c>
      <c r="AK83" s="19">
        <v>12.0</v>
      </c>
      <c r="AL83" s="19">
        <v>3.0</v>
      </c>
      <c r="AM83" s="19">
        <v>12.0</v>
      </c>
      <c r="AN83" s="19">
        <v>4.0</v>
      </c>
      <c r="AO83" s="19">
        <v>4.0</v>
      </c>
      <c r="AP83" s="19">
        <v>0.0</v>
      </c>
      <c r="AQ83" s="19">
        <v>9.0</v>
      </c>
      <c r="AR83" s="19">
        <v>4.0</v>
      </c>
      <c r="AS83" s="19">
        <v>2.0</v>
      </c>
      <c r="AT83" s="19">
        <v>6.0</v>
      </c>
      <c r="AU83" s="19">
        <v>9.0</v>
      </c>
      <c r="AV83" s="19">
        <v>2.0</v>
      </c>
      <c r="AW83" s="19">
        <v>0.0</v>
      </c>
      <c r="AX83" s="13">
        <f t="shared" si="20"/>
        <v>262</v>
      </c>
    </row>
    <row r="84" ht="12.75" customHeight="1">
      <c r="A84" s="18"/>
      <c r="B84" s="55">
        <v>3.0</v>
      </c>
      <c r="C84" s="50" t="s">
        <v>67</v>
      </c>
      <c r="D84" s="62"/>
      <c r="E84" s="19">
        <v>1.0</v>
      </c>
      <c r="F84" s="19">
        <v>1.0</v>
      </c>
      <c r="G84" s="19">
        <v>1.0</v>
      </c>
      <c r="H84" s="19">
        <v>0.0</v>
      </c>
      <c r="I84" s="19">
        <v>0.0</v>
      </c>
      <c r="J84" s="19">
        <v>4.0</v>
      </c>
      <c r="K84" s="19">
        <v>1.0</v>
      </c>
      <c r="L84" s="19">
        <v>1.0</v>
      </c>
      <c r="M84" s="19">
        <v>0.0</v>
      </c>
      <c r="N84" s="19">
        <v>2.0</v>
      </c>
      <c r="O84" s="19">
        <v>0.0</v>
      </c>
      <c r="P84" s="19">
        <v>1.0</v>
      </c>
      <c r="Q84" s="19">
        <v>1.0</v>
      </c>
      <c r="R84" s="19">
        <v>3.0</v>
      </c>
      <c r="S84" s="19">
        <v>0.0</v>
      </c>
      <c r="T84" s="19">
        <v>0.0</v>
      </c>
      <c r="U84" s="19">
        <v>6.0</v>
      </c>
      <c r="V84" s="19">
        <v>0.0</v>
      </c>
      <c r="W84" s="19">
        <v>1.0</v>
      </c>
      <c r="X84" s="19">
        <v>0.0</v>
      </c>
      <c r="Y84" s="19">
        <v>0.0</v>
      </c>
      <c r="Z84" s="19">
        <v>2.0</v>
      </c>
      <c r="AA84" s="19">
        <v>2.0</v>
      </c>
      <c r="AB84" s="19">
        <v>2.0</v>
      </c>
      <c r="AC84" s="19">
        <v>3.0</v>
      </c>
      <c r="AD84" s="19">
        <v>1.0</v>
      </c>
      <c r="AE84" s="19">
        <v>1.0</v>
      </c>
      <c r="AF84" s="19">
        <v>2.0</v>
      </c>
      <c r="AG84" s="19">
        <v>0.0</v>
      </c>
      <c r="AH84" s="19">
        <v>0.0</v>
      </c>
      <c r="AI84" s="19">
        <v>0.0</v>
      </c>
      <c r="AJ84" s="19">
        <v>0.0</v>
      </c>
      <c r="AK84" s="19">
        <v>1.0</v>
      </c>
      <c r="AL84" s="19">
        <v>0.0</v>
      </c>
      <c r="AM84" s="19">
        <v>0.0</v>
      </c>
      <c r="AN84" s="19">
        <v>2.0</v>
      </c>
      <c r="AO84" s="19">
        <v>2.0</v>
      </c>
      <c r="AP84" s="19">
        <v>0.0</v>
      </c>
      <c r="AQ84" s="19">
        <v>0.0</v>
      </c>
      <c r="AR84" s="19">
        <v>3.0</v>
      </c>
      <c r="AS84" s="19">
        <v>0.0</v>
      </c>
      <c r="AT84" s="19">
        <v>0.0</v>
      </c>
      <c r="AU84" s="19">
        <v>0.0</v>
      </c>
      <c r="AV84" s="19">
        <v>0.0</v>
      </c>
      <c r="AW84" s="19">
        <v>0.0</v>
      </c>
      <c r="AX84" s="13">
        <f t="shared" si="20"/>
        <v>44</v>
      </c>
    </row>
    <row r="85" ht="12.75" customHeight="1">
      <c r="A85" s="18"/>
      <c r="B85" s="55">
        <v>4.0</v>
      </c>
      <c r="C85" s="50" t="s">
        <v>68</v>
      </c>
      <c r="D85" s="62"/>
      <c r="E85" s="19">
        <v>0.0</v>
      </c>
      <c r="F85" s="19">
        <v>1.0</v>
      </c>
      <c r="G85" s="19">
        <v>0.0</v>
      </c>
      <c r="H85" s="19">
        <v>0.0</v>
      </c>
      <c r="I85" s="19">
        <v>3.0</v>
      </c>
      <c r="J85" s="19">
        <v>0.0</v>
      </c>
      <c r="K85" s="19">
        <v>3.0</v>
      </c>
      <c r="L85" s="19">
        <v>0.0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1.0</v>
      </c>
      <c r="U85" s="19">
        <v>2.0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1.0</v>
      </c>
      <c r="AB85" s="19">
        <v>0.0</v>
      </c>
      <c r="AC85" s="19">
        <v>0.0</v>
      </c>
      <c r="AD85" s="19">
        <v>2.0</v>
      </c>
      <c r="AE85" s="19">
        <v>0.0</v>
      </c>
      <c r="AF85" s="19">
        <v>0.0</v>
      </c>
      <c r="AG85" s="19">
        <v>1.0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2.0</v>
      </c>
      <c r="AO85" s="19">
        <v>0.0</v>
      </c>
      <c r="AP85" s="19">
        <v>0.0</v>
      </c>
      <c r="AQ85" s="19">
        <v>0.0</v>
      </c>
      <c r="AR85" s="19">
        <v>1.0</v>
      </c>
      <c r="AS85" s="19">
        <v>0.0</v>
      </c>
      <c r="AT85" s="19">
        <v>0.0</v>
      </c>
      <c r="AU85" s="19">
        <v>0.0</v>
      </c>
      <c r="AV85" s="19">
        <v>0.0</v>
      </c>
      <c r="AW85" s="19">
        <v>1.0</v>
      </c>
      <c r="AX85" s="13">
        <f t="shared" si="20"/>
        <v>21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0.0</v>
      </c>
      <c r="G86" s="19">
        <v>0.0</v>
      </c>
      <c r="H86" s="19">
        <v>1.0</v>
      </c>
      <c r="I86" s="19">
        <v>1.0</v>
      </c>
      <c r="J86" s="19">
        <v>2.0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2.0</v>
      </c>
      <c r="Y86" s="19">
        <v>0.0</v>
      </c>
      <c r="Z86" s="19">
        <v>0.0</v>
      </c>
      <c r="AA86" s="19">
        <v>1.0</v>
      </c>
      <c r="AB86" s="19">
        <v>0.0</v>
      </c>
      <c r="AC86" s="19">
        <v>0.0</v>
      </c>
      <c r="AD86" s="19">
        <v>2.0</v>
      </c>
      <c r="AE86" s="19">
        <v>0.0</v>
      </c>
      <c r="AF86" s="19">
        <v>1.0</v>
      </c>
      <c r="AG86" s="19">
        <v>1.0</v>
      </c>
      <c r="AH86" s="19">
        <v>0.0</v>
      </c>
      <c r="AI86" s="19">
        <v>1.0</v>
      </c>
      <c r="AJ86" s="19">
        <v>0.0</v>
      </c>
      <c r="AK86" s="19">
        <v>1.0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1.0</v>
      </c>
      <c r="AR86" s="19">
        <v>0.0</v>
      </c>
      <c r="AS86" s="19">
        <v>1.0</v>
      </c>
      <c r="AT86" s="19">
        <v>0.0</v>
      </c>
      <c r="AU86" s="19">
        <v>0.0</v>
      </c>
      <c r="AV86" s="19">
        <v>0.0</v>
      </c>
      <c r="AW86" s="19">
        <v>0.0</v>
      </c>
      <c r="AX86" s="13">
        <f t="shared" si="20"/>
        <v>17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1.0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1.0</v>
      </c>
      <c r="AK87" s="19">
        <v>1.0</v>
      </c>
      <c r="AL87" s="19">
        <v>1.0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3">
        <f t="shared" si="20"/>
        <v>9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3">
        <f t="shared" si="20"/>
        <v>1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X91" si="21">SUM(E81:E90)</f>
        <v>10</v>
      </c>
      <c r="F91" s="13">
        <f t="shared" si="21"/>
        <v>19</v>
      </c>
      <c r="G91" s="13">
        <f t="shared" si="21"/>
        <v>13</v>
      </c>
      <c r="H91" s="13">
        <f t="shared" si="21"/>
        <v>9</v>
      </c>
      <c r="I91" s="13">
        <f t="shared" si="21"/>
        <v>31</v>
      </c>
      <c r="J91" s="13">
        <f t="shared" si="21"/>
        <v>19</v>
      </c>
      <c r="K91" s="13">
        <f t="shared" si="21"/>
        <v>17</v>
      </c>
      <c r="L91" s="13">
        <f t="shared" si="21"/>
        <v>15</v>
      </c>
      <c r="M91" s="13">
        <f t="shared" si="21"/>
        <v>30</v>
      </c>
      <c r="N91" s="13">
        <f t="shared" si="21"/>
        <v>19</v>
      </c>
      <c r="O91" s="13">
        <f t="shared" si="21"/>
        <v>43</v>
      </c>
      <c r="P91" s="13">
        <f t="shared" si="21"/>
        <v>79</v>
      </c>
      <c r="Q91" s="13">
        <f t="shared" si="21"/>
        <v>131</v>
      </c>
      <c r="R91" s="13">
        <f t="shared" si="21"/>
        <v>106</v>
      </c>
      <c r="S91" s="13">
        <f t="shared" si="21"/>
        <v>21</v>
      </c>
      <c r="T91" s="13">
        <f t="shared" si="21"/>
        <v>17</v>
      </c>
      <c r="U91" s="13">
        <f t="shared" si="21"/>
        <v>61</v>
      </c>
      <c r="V91" s="13">
        <f t="shared" si="21"/>
        <v>50</v>
      </c>
      <c r="W91" s="13">
        <f t="shared" si="21"/>
        <v>18</v>
      </c>
      <c r="X91" s="13">
        <f t="shared" si="21"/>
        <v>15</v>
      </c>
      <c r="Y91" s="13">
        <f t="shared" si="21"/>
        <v>79</v>
      </c>
      <c r="Z91" s="13">
        <f t="shared" si="21"/>
        <v>52</v>
      </c>
      <c r="AA91" s="13">
        <f t="shared" si="21"/>
        <v>54</v>
      </c>
      <c r="AB91" s="13">
        <f t="shared" si="21"/>
        <v>27</v>
      </c>
      <c r="AC91" s="13">
        <f t="shared" si="21"/>
        <v>43</v>
      </c>
      <c r="AD91" s="13">
        <f t="shared" si="21"/>
        <v>37</v>
      </c>
      <c r="AE91" s="13">
        <f t="shared" si="21"/>
        <v>11</v>
      </c>
      <c r="AF91" s="13">
        <f t="shared" si="21"/>
        <v>11</v>
      </c>
      <c r="AG91" s="13">
        <f t="shared" si="21"/>
        <v>29</v>
      </c>
      <c r="AH91" s="13">
        <f t="shared" si="21"/>
        <v>28</v>
      </c>
      <c r="AI91" s="13">
        <f t="shared" si="21"/>
        <v>13</v>
      </c>
      <c r="AJ91" s="13">
        <f t="shared" si="21"/>
        <v>43</v>
      </c>
      <c r="AK91" s="13">
        <f t="shared" si="21"/>
        <v>27</v>
      </c>
      <c r="AL91" s="13">
        <f t="shared" si="21"/>
        <v>25</v>
      </c>
      <c r="AM91" s="13">
        <f t="shared" si="21"/>
        <v>41</v>
      </c>
      <c r="AN91" s="13">
        <f t="shared" si="21"/>
        <v>18</v>
      </c>
      <c r="AO91" s="13">
        <f t="shared" si="21"/>
        <v>42</v>
      </c>
      <c r="AP91" s="13">
        <f t="shared" si="21"/>
        <v>6</v>
      </c>
      <c r="AQ91" s="13">
        <f t="shared" si="21"/>
        <v>14</v>
      </c>
      <c r="AR91" s="13">
        <f t="shared" si="21"/>
        <v>20</v>
      </c>
      <c r="AS91" s="13">
        <f t="shared" si="21"/>
        <v>8</v>
      </c>
      <c r="AT91" s="13">
        <f t="shared" si="21"/>
        <v>17</v>
      </c>
      <c r="AU91" s="13">
        <f t="shared" si="21"/>
        <v>11</v>
      </c>
      <c r="AV91" s="13">
        <f t="shared" si="21"/>
        <v>6</v>
      </c>
      <c r="AW91" s="13">
        <f t="shared" si="21"/>
        <v>8</v>
      </c>
      <c r="AX91" s="13">
        <f t="shared" si="21"/>
        <v>1393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1.0</v>
      </c>
      <c r="H93" s="19">
        <v>1.0</v>
      </c>
      <c r="I93" s="19">
        <v>0.0</v>
      </c>
      <c r="J93" s="19">
        <v>0.0</v>
      </c>
      <c r="K93" s="19">
        <v>0.0</v>
      </c>
      <c r="L93" s="19">
        <v>2.0</v>
      </c>
      <c r="M93" s="19">
        <v>1.0</v>
      </c>
      <c r="N93" s="19">
        <v>0.0</v>
      </c>
      <c r="O93" s="19">
        <v>0.0</v>
      </c>
      <c r="P93" s="19">
        <v>2.0</v>
      </c>
      <c r="Q93" s="19">
        <v>1.0</v>
      </c>
      <c r="R93" s="19">
        <v>1.0</v>
      </c>
      <c r="S93" s="19">
        <v>6.0</v>
      </c>
      <c r="T93" s="19">
        <v>2.0</v>
      </c>
      <c r="U93" s="19">
        <v>0.0</v>
      </c>
      <c r="V93" s="19">
        <v>1.0</v>
      </c>
      <c r="W93" s="19">
        <v>0.0</v>
      </c>
      <c r="X93" s="19">
        <v>2.0</v>
      </c>
      <c r="Y93" s="19">
        <v>4.0</v>
      </c>
      <c r="Z93" s="19">
        <v>0.0</v>
      </c>
      <c r="AA93" s="19">
        <v>5.0</v>
      </c>
      <c r="AB93" s="19">
        <v>2.0</v>
      </c>
      <c r="AC93" s="19">
        <v>1.0</v>
      </c>
      <c r="AD93" s="19">
        <v>0.0</v>
      </c>
      <c r="AE93" s="19">
        <v>0.0</v>
      </c>
      <c r="AF93" s="19">
        <v>1.0</v>
      </c>
      <c r="AG93" s="19">
        <v>6.0</v>
      </c>
      <c r="AH93" s="19">
        <v>5.0</v>
      </c>
      <c r="AI93" s="19">
        <v>0.0</v>
      </c>
      <c r="AJ93" s="19">
        <v>1.0</v>
      </c>
      <c r="AK93" s="19">
        <v>1.0</v>
      </c>
      <c r="AL93" s="19">
        <v>0.0</v>
      </c>
      <c r="AM93" s="19">
        <v>2.0</v>
      </c>
      <c r="AN93" s="19">
        <v>6.0</v>
      </c>
      <c r="AO93" s="19">
        <v>5.0</v>
      </c>
      <c r="AP93" s="19">
        <v>5.0</v>
      </c>
      <c r="AQ93" s="19">
        <v>1.0</v>
      </c>
      <c r="AR93" s="19">
        <v>4.0</v>
      </c>
      <c r="AS93" s="19">
        <v>4.0</v>
      </c>
      <c r="AT93" s="19">
        <v>0.0</v>
      </c>
      <c r="AU93" s="19">
        <v>1.0</v>
      </c>
      <c r="AV93" s="19">
        <v>1.0</v>
      </c>
      <c r="AW93" s="19">
        <v>2.0</v>
      </c>
      <c r="AX93" s="13">
        <f t="shared" ref="AX93:AX102" si="22">SUM(E93:AW93)</f>
        <v>79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2.0</v>
      </c>
      <c r="F94" s="19">
        <v>1.0</v>
      </c>
      <c r="G94" s="19">
        <v>0.0</v>
      </c>
      <c r="H94" s="19">
        <v>0.0</v>
      </c>
      <c r="I94" s="19">
        <v>0.0</v>
      </c>
      <c r="J94" s="19">
        <v>1.0</v>
      </c>
      <c r="K94" s="19">
        <v>1.0</v>
      </c>
      <c r="L94" s="19">
        <v>1.0</v>
      </c>
      <c r="M94" s="19">
        <v>1.0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9">
        <v>1.0</v>
      </c>
      <c r="T94" s="19">
        <v>1.0</v>
      </c>
      <c r="U94" s="19">
        <v>0.0</v>
      </c>
      <c r="V94" s="19">
        <v>1.0</v>
      </c>
      <c r="W94" s="19">
        <v>5.0</v>
      </c>
      <c r="X94" s="19">
        <v>2.0</v>
      </c>
      <c r="Y94" s="19">
        <v>0.0</v>
      </c>
      <c r="Z94" s="19">
        <v>0.0</v>
      </c>
      <c r="AA94" s="19">
        <v>1.0</v>
      </c>
      <c r="AB94" s="19">
        <v>2.0</v>
      </c>
      <c r="AC94" s="19">
        <v>5.0</v>
      </c>
      <c r="AD94" s="19">
        <v>4.0</v>
      </c>
      <c r="AE94" s="19">
        <v>0.0</v>
      </c>
      <c r="AF94" s="19">
        <v>2.0</v>
      </c>
      <c r="AG94" s="19">
        <v>26.0</v>
      </c>
      <c r="AH94" s="19">
        <v>56.0</v>
      </c>
      <c r="AI94" s="19">
        <v>0.0</v>
      </c>
      <c r="AJ94" s="19">
        <v>2.0</v>
      </c>
      <c r="AK94" s="19">
        <v>1.0</v>
      </c>
      <c r="AL94" s="19">
        <v>0.0</v>
      </c>
      <c r="AM94" s="19">
        <v>1.0</v>
      </c>
      <c r="AN94" s="19">
        <v>1.0</v>
      </c>
      <c r="AO94" s="19">
        <v>0.0</v>
      </c>
      <c r="AP94" s="19">
        <v>4.0</v>
      </c>
      <c r="AQ94" s="19">
        <v>0.0</v>
      </c>
      <c r="AR94" s="19">
        <v>1.0</v>
      </c>
      <c r="AS94" s="19">
        <v>0.0</v>
      </c>
      <c r="AT94" s="19">
        <v>1.0</v>
      </c>
      <c r="AU94" s="19">
        <v>1.0</v>
      </c>
      <c r="AV94" s="19">
        <v>0.0</v>
      </c>
      <c r="AW94" s="19">
        <v>0.0</v>
      </c>
      <c r="AX94" s="13">
        <f t="shared" si="22"/>
        <v>125</v>
      </c>
    </row>
    <row r="95" ht="12.75" customHeight="1">
      <c r="A95" s="18"/>
      <c r="B95" s="55">
        <v>2.0</v>
      </c>
      <c r="C95" s="50" t="s">
        <v>75</v>
      </c>
      <c r="D95" s="62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1.0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1.0</v>
      </c>
      <c r="AE95" s="19">
        <v>0.0</v>
      </c>
      <c r="AF95" s="19">
        <v>1.0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1.0</v>
      </c>
      <c r="AT95" s="19">
        <v>0.0</v>
      </c>
      <c r="AU95" s="19">
        <v>0.0</v>
      </c>
      <c r="AV95" s="19">
        <v>0.0</v>
      </c>
      <c r="AW95" s="19">
        <v>0.0</v>
      </c>
      <c r="AX95" s="13">
        <f t="shared" si="22"/>
        <v>6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1.0</v>
      </c>
      <c r="AE96" s="19">
        <v>0.0</v>
      </c>
      <c r="AF96" s="19">
        <v>0.0</v>
      </c>
      <c r="AG96" s="19">
        <v>0.0</v>
      </c>
      <c r="AH96" s="19">
        <v>1.0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1.0</v>
      </c>
      <c r="AR96" s="19">
        <v>1.0</v>
      </c>
      <c r="AS96" s="19">
        <v>0.0</v>
      </c>
      <c r="AT96" s="19">
        <v>0.0</v>
      </c>
      <c r="AU96" s="19">
        <v>0.0</v>
      </c>
      <c r="AV96" s="19">
        <v>1.0</v>
      </c>
      <c r="AW96" s="19">
        <v>0.0</v>
      </c>
      <c r="AX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62"/>
      <c r="E97" s="19">
        <v>3.0</v>
      </c>
      <c r="F97" s="19">
        <v>1.0</v>
      </c>
      <c r="G97" s="19">
        <v>4.0</v>
      </c>
      <c r="H97" s="19">
        <v>1.0</v>
      </c>
      <c r="I97" s="19">
        <v>3.0</v>
      </c>
      <c r="J97" s="19">
        <v>1.0</v>
      </c>
      <c r="K97" s="19">
        <v>1.0</v>
      </c>
      <c r="L97" s="19">
        <v>5.0</v>
      </c>
      <c r="M97" s="19">
        <v>7.0</v>
      </c>
      <c r="N97" s="19">
        <v>2.0</v>
      </c>
      <c r="O97" s="19">
        <v>1.0</v>
      </c>
      <c r="P97" s="19">
        <v>0.0</v>
      </c>
      <c r="Q97" s="19">
        <v>14.0</v>
      </c>
      <c r="R97" s="19">
        <v>2.0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1.0</v>
      </c>
      <c r="AC97" s="19">
        <v>0.0</v>
      </c>
      <c r="AD97" s="19">
        <v>0.0</v>
      </c>
      <c r="AE97" s="19">
        <v>1.0</v>
      </c>
      <c r="AF97" s="19">
        <v>3.0</v>
      </c>
      <c r="AG97" s="19">
        <v>2.0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1.0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0.0</v>
      </c>
      <c r="AV97" s="19">
        <v>2.0</v>
      </c>
      <c r="AW97" s="19">
        <v>3.0</v>
      </c>
      <c r="AX97" s="13">
        <f t="shared" si="22"/>
        <v>59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2.0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1.0</v>
      </c>
      <c r="AH98" s="19">
        <v>0.0</v>
      </c>
      <c r="AI98" s="19">
        <v>0.0</v>
      </c>
      <c r="AJ98" s="19">
        <v>1.0</v>
      </c>
      <c r="AK98" s="19">
        <v>0.0</v>
      </c>
      <c r="AL98" s="19">
        <v>1.0</v>
      </c>
      <c r="AM98" s="19">
        <v>0.0</v>
      </c>
      <c r="AN98" s="19">
        <v>1.0</v>
      </c>
      <c r="AO98" s="19">
        <v>2.0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1.0</v>
      </c>
      <c r="AW98" s="19">
        <v>0.0</v>
      </c>
      <c r="AX98" s="13">
        <f t="shared" si="22"/>
        <v>12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1.0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2.0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1.0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3">
        <f t="shared" si="22"/>
        <v>4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X103" si="23">SUM(E93:E102)</f>
        <v>6</v>
      </c>
      <c r="F103" s="13">
        <f t="shared" si="23"/>
        <v>4</v>
      </c>
      <c r="G103" s="13">
        <f t="shared" si="23"/>
        <v>5</v>
      </c>
      <c r="H103" s="13">
        <f t="shared" si="23"/>
        <v>3</v>
      </c>
      <c r="I103" s="13">
        <f t="shared" si="23"/>
        <v>4</v>
      </c>
      <c r="J103" s="13">
        <f t="shared" si="23"/>
        <v>2</v>
      </c>
      <c r="K103" s="13">
        <f t="shared" si="23"/>
        <v>2</v>
      </c>
      <c r="L103" s="13">
        <f t="shared" si="23"/>
        <v>9</v>
      </c>
      <c r="M103" s="13">
        <f t="shared" si="23"/>
        <v>10</v>
      </c>
      <c r="N103" s="13">
        <f t="shared" si="23"/>
        <v>2</v>
      </c>
      <c r="O103" s="13">
        <f t="shared" si="23"/>
        <v>1</v>
      </c>
      <c r="P103" s="13">
        <f t="shared" si="23"/>
        <v>4</v>
      </c>
      <c r="Q103" s="13">
        <f t="shared" si="23"/>
        <v>15</v>
      </c>
      <c r="R103" s="13">
        <f t="shared" si="23"/>
        <v>3</v>
      </c>
      <c r="S103" s="13">
        <f t="shared" si="23"/>
        <v>8</v>
      </c>
      <c r="T103" s="13">
        <f t="shared" si="23"/>
        <v>4</v>
      </c>
      <c r="U103" s="13">
        <f t="shared" si="23"/>
        <v>0</v>
      </c>
      <c r="V103" s="13">
        <f t="shared" si="23"/>
        <v>3</v>
      </c>
      <c r="W103" s="13">
        <f t="shared" si="23"/>
        <v>5</v>
      </c>
      <c r="X103" s="13">
        <f t="shared" si="23"/>
        <v>6</v>
      </c>
      <c r="Y103" s="13">
        <f t="shared" si="23"/>
        <v>8</v>
      </c>
      <c r="Z103" s="13">
        <f t="shared" si="23"/>
        <v>0</v>
      </c>
      <c r="AA103" s="13">
        <f t="shared" si="23"/>
        <v>6</v>
      </c>
      <c r="AB103" s="13">
        <f t="shared" si="23"/>
        <v>5</v>
      </c>
      <c r="AC103" s="13">
        <f t="shared" si="23"/>
        <v>7</v>
      </c>
      <c r="AD103" s="13">
        <f t="shared" si="23"/>
        <v>6</v>
      </c>
      <c r="AE103" s="13">
        <f t="shared" si="23"/>
        <v>1</v>
      </c>
      <c r="AF103" s="13">
        <f t="shared" si="23"/>
        <v>8</v>
      </c>
      <c r="AG103" s="13">
        <f t="shared" si="23"/>
        <v>35</v>
      </c>
      <c r="AH103" s="13">
        <f t="shared" si="23"/>
        <v>62</v>
      </c>
      <c r="AI103" s="13">
        <f t="shared" si="23"/>
        <v>0</v>
      </c>
      <c r="AJ103" s="13">
        <f t="shared" si="23"/>
        <v>4</v>
      </c>
      <c r="AK103" s="13">
        <f t="shared" si="23"/>
        <v>2</v>
      </c>
      <c r="AL103" s="13">
        <f t="shared" si="23"/>
        <v>1</v>
      </c>
      <c r="AM103" s="13">
        <f t="shared" si="23"/>
        <v>3</v>
      </c>
      <c r="AN103" s="13">
        <f t="shared" si="23"/>
        <v>8</v>
      </c>
      <c r="AO103" s="13">
        <f t="shared" si="23"/>
        <v>8</v>
      </c>
      <c r="AP103" s="13">
        <f t="shared" si="23"/>
        <v>10</v>
      </c>
      <c r="AQ103" s="13">
        <f t="shared" si="23"/>
        <v>2</v>
      </c>
      <c r="AR103" s="13">
        <f t="shared" si="23"/>
        <v>6</v>
      </c>
      <c r="AS103" s="13">
        <f t="shared" si="23"/>
        <v>5</v>
      </c>
      <c r="AT103" s="13">
        <f t="shared" si="23"/>
        <v>1</v>
      </c>
      <c r="AU103" s="13">
        <f t="shared" si="23"/>
        <v>2</v>
      </c>
      <c r="AV103" s="13">
        <f t="shared" si="23"/>
        <v>5</v>
      </c>
      <c r="AW103" s="13">
        <f t="shared" si="23"/>
        <v>5</v>
      </c>
      <c r="AX103" s="13">
        <f t="shared" si="23"/>
        <v>296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1.0</v>
      </c>
      <c r="L105" s="19">
        <v>0.0</v>
      </c>
      <c r="M105" s="19">
        <v>1.0</v>
      </c>
      <c r="N105" s="19">
        <v>3.0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2.0</v>
      </c>
      <c r="Z105" s="19">
        <v>0.0</v>
      </c>
      <c r="AA105" s="19">
        <v>1.0</v>
      </c>
      <c r="AB105" s="19">
        <v>0.0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2.0</v>
      </c>
      <c r="AP105" s="19">
        <v>0.0</v>
      </c>
      <c r="AQ105" s="19">
        <v>1.0</v>
      </c>
      <c r="AR105" s="19">
        <v>0.0</v>
      </c>
      <c r="AS105" s="19">
        <v>0.0</v>
      </c>
      <c r="AT105" s="19">
        <v>2.0</v>
      </c>
      <c r="AU105" s="19">
        <v>1.0</v>
      </c>
      <c r="AV105" s="19">
        <v>2.0</v>
      </c>
      <c r="AW105" s="19">
        <v>0.0</v>
      </c>
      <c r="AX105" s="13">
        <f t="shared" ref="AX105:AX114" si="24">SUM(E105:AW105)</f>
        <v>22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2.0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2.0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1.0</v>
      </c>
      <c r="AM106" s="19">
        <v>1.0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1.0</v>
      </c>
      <c r="AT106" s="19">
        <v>0.0</v>
      </c>
      <c r="AU106" s="19">
        <v>0.0</v>
      </c>
      <c r="AV106" s="19">
        <v>0.0</v>
      </c>
      <c r="AW106" s="19">
        <v>0.0</v>
      </c>
      <c r="AX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2.0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3.0</v>
      </c>
      <c r="AI107" s="19">
        <v>1.0</v>
      </c>
      <c r="AJ107" s="19">
        <v>1.0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1.0</v>
      </c>
      <c r="AT107" s="19">
        <v>1.0</v>
      </c>
      <c r="AU107" s="19">
        <v>0.0</v>
      </c>
      <c r="AV107" s="19">
        <v>1.0</v>
      </c>
      <c r="AW107" s="19">
        <v>0.0</v>
      </c>
      <c r="AX107" s="13">
        <f t="shared" si="24"/>
        <v>14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1.0</v>
      </c>
      <c r="AG108" s="19">
        <v>0.0</v>
      </c>
      <c r="AH108" s="19">
        <v>1.0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1.0</v>
      </c>
      <c r="AO108" s="19">
        <v>1.0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1.0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1.0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1.0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3">
        <f t="shared" si="24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X115" si="25">SUM(E105:E114)</f>
        <v>2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3</v>
      </c>
      <c r="N115" s="13">
        <f t="shared" si="25"/>
        <v>4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0</v>
      </c>
      <c r="Y115" s="13">
        <f t="shared" si="25"/>
        <v>3</v>
      </c>
      <c r="Z115" s="13">
        <f t="shared" si="25"/>
        <v>2</v>
      </c>
      <c r="AA115" s="13">
        <f t="shared" si="25"/>
        <v>2</v>
      </c>
      <c r="AB115" s="13">
        <f t="shared" si="25"/>
        <v>2</v>
      </c>
      <c r="AC115" s="13">
        <f t="shared" si="25"/>
        <v>0</v>
      </c>
      <c r="AD115" s="13">
        <f t="shared" si="25"/>
        <v>0</v>
      </c>
      <c r="AE115" s="13">
        <f t="shared" si="25"/>
        <v>3</v>
      </c>
      <c r="AF115" s="13">
        <f t="shared" si="25"/>
        <v>1</v>
      </c>
      <c r="AG115" s="13">
        <f t="shared" si="25"/>
        <v>0</v>
      </c>
      <c r="AH115" s="13">
        <f t="shared" si="25"/>
        <v>5</v>
      </c>
      <c r="AI115" s="13">
        <f t="shared" si="25"/>
        <v>1</v>
      </c>
      <c r="AJ115" s="13">
        <f t="shared" si="25"/>
        <v>1</v>
      </c>
      <c r="AK115" s="13">
        <f t="shared" si="25"/>
        <v>0</v>
      </c>
      <c r="AL115" s="13">
        <f t="shared" si="25"/>
        <v>1</v>
      </c>
      <c r="AM115" s="13">
        <f t="shared" si="25"/>
        <v>1</v>
      </c>
      <c r="AN115" s="13">
        <f t="shared" si="25"/>
        <v>1</v>
      </c>
      <c r="AO115" s="13">
        <f t="shared" si="25"/>
        <v>3</v>
      </c>
      <c r="AP115" s="13">
        <f t="shared" si="25"/>
        <v>0</v>
      </c>
      <c r="AQ115" s="13">
        <f t="shared" si="25"/>
        <v>1</v>
      </c>
      <c r="AR115" s="13">
        <f t="shared" si="25"/>
        <v>0</v>
      </c>
      <c r="AS115" s="13">
        <f t="shared" si="25"/>
        <v>2</v>
      </c>
      <c r="AT115" s="13">
        <f t="shared" si="25"/>
        <v>3</v>
      </c>
      <c r="AU115" s="13">
        <f t="shared" si="25"/>
        <v>1</v>
      </c>
      <c r="AV115" s="13">
        <f t="shared" si="25"/>
        <v>3</v>
      </c>
      <c r="AW115" s="13">
        <f t="shared" si="25"/>
        <v>0</v>
      </c>
      <c r="AX115" s="13">
        <f t="shared" si="25"/>
        <v>54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2.0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1.0</v>
      </c>
      <c r="AG117" s="19">
        <v>0.0</v>
      </c>
      <c r="AH117" s="19">
        <v>0.0</v>
      </c>
      <c r="AI117" s="19">
        <v>1.0</v>
      </c>
      <c r="AJ117" s="19">
        <v>1.0</v>
      </c>
      <c r="AK117" s="19">
        <v>0.0</v>
      </c>
      <c r="AL117" s="19">
        <v>1.0</v>
      </c>
      <c r="AM117" s="19">
        <v>0.0</v>
      </c>
      <c r="AN117" s="19">
        <v>1.0</v>
      </c>
      <c r="AO117" s="19">
        <v>0.0</v>
      </c>
      <c r="AP117" s="19">
        <v>0.0</v>
      </c>
      <c r="AQ117" s="19">
        <v>0.0</v>
      </c>
      <c r="AR117" s="19">
        <v>1.0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0.0</v>
      </c>
      <c r="AX117" s="13">
        <f t="shared" ref="AX117:AX126" si="26">SUM(E117:AW117)</f>
        <v>13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2.0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1.0</v>
      </c>
      <c r="Z118" s="19">
        <v>0.0</v>
      </c>
      <c r="AA118" s="19">
        <v>1.0</v>
      </c>
      <c r="AB118" s="19">
        <v>0.0</v>
      </c>
      <c r="AC118" s="19">
        <v>1.0</v>
      </c>
      <c r="AD118" s="19">
        <v>0.0</v>
      </c>
      <c r="AE118" s="19">
        <v>0.0</v>
      </c>
      <c r="AF118" s="19">
        <v>0.0</v>
      </c>
      <c r="AG118" s="19">
        <v>1.0</v>
      </c>
      <c r="AH118" s="19">
        <v>0.0</v>
      </c>
      <c r="AI118" s="19">
        <v>0.0</v>
      </c>
      <c r="AJ118" s="19">
        <v>1.0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1.0</v>
      </c>
      <c r="AQ118" s="19">
        <v>1.0</v>
      </c>
      <c r="AR118" s="19">
        <v>1.0</v>
      </c>
      <c r="AS118" s="19">
        <v>0.0</v>
      </c>
      <c r="AT118" s="19">
        <v>1.0</v>
      </c>
      <c r="AU118" s="19">
        <v>0.0</v>
      </c>
      <c r="AV118" s="19">
        <v>0.0</v>
      </c>
      <c r="AW118" s="19">
        <v>0.0</v>
      </c>
      <c r="AX118" s="13">
        <f t="shared" si="26"/>
        <v>12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1.0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1.0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3">
        <f t="shared" si="26"/>
        <v>3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3">
        <f t="shared" si="26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13">
        <f t="shared" si="26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13">
        <f t="shared" si="26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13">
        <f t="shared" si="26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X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2</v>
      </c>
      <c r="J127" s="13">
        <f t="shared" si="27"/>
        <v>1</v>
      </c>
      <c r="K127" s="13">
        <f t="shared" si="27"/>
        <v>2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1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2</v>
      </c>
      <c r="Z127" s="13">
        <f t="shared" si="27"/>
        <v>0</v>
      </c>
      <c r="AA127" s="13">
        <f t="shared" si="27"/>
        <v>1</v>
      </c>
      <c r="AB127" s="13">
        <f t="shared" si="27"/>
        <v>0</v>
      </c>
      <c r="AC127" s="13">
        <f t="shared" si="27"/>
        <v>1</v>
      </c>
      <c r="AD127" s="13">
        <f t="shared" si="27"/>
        <v>1</v>
      </c>
      <c r="AE127" s="13">
        <f t="shared" si="27"/>
        <v>0</v>
      </c>
      <c r="AF127" s="13">
        <f t="shared" si="27"/>
        <v>2</v>
      </c>
      <c r="AG127" s="13">
        <f t="shared" si="27"/>
        <v>1</v>
      </c>
      <c r="AH127" s="13">
        <f t="shared" si="27"/>
        <v>0</v>
      </c>
      <c r="AI127" s="13">
        <f t="shared" si="27"/>
        <v>1</v>
      </c>
      <c r="AJ127" s="13">
        <f t="shared" si="27"/>
        <v>2</v>
      </c>
      <c r="AK127" s="13">
        <f t="shared" si="27"/>
        <v>0</v>
      </c>
      <c r="AL127" s="13">
        <f t="shared" si="27"/>
        <v>1</v>
      </c>
      <c r="AM127" s="13">
        <f t="shared" si="27"/>
        <v>0</v>
      </c>
      <c r="AN127" s="13">
        <f t="shared" si="27"/>
        <v>1</v>
      </c>
      <c r="AO127" s="13">
        <f t="shared" si="27"/>
        <v>0</v>
      </c>
      <c r="AP127" s="13">
        <f t="shared" si="27"/>
        <v>1</v>
      </c>
      <c r="AQ127" s="13">
        <f t="shared" si="27"/>
        <v>1</v>
      </c>
      <c r="AR127" s="13">
        <f t="shared" si="27"/>
        <v>2</v>
      </c>
      <c r="AS127" s="13">
        <f t="shared" si="27"/>
        <v>0</v>
      </c>
      <c r="AT127" s="13">
        <f t="shared" si="27"/>
        <v>1</v>
      </c>
      <c r="AU127" s="13">
        <f t="shared" si="27"/>
        <v>0</v>
      </c>
      <c r="AV127" s="13">
        <f t="shared" si="27"/>
        <v>0</v>
      </c>
      <c r="AW127" s="13">
        <f t="shared" si="27"/>
        <v>0</v>
      </c>
      <c r="AX127" s="13">
        <f t="shared" si="27"/>
        <v>30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10.0</v>
      </c>
      <c r="H129" s="19">
        <v>0.0</v>
      </c>
      <c r="I129" s="19">
        <v>1.0</v>
      </c>
      <c r="J129" s="19">
        <v>1.0</v>
      </c>
      <c r="K129" s="19">
        <v>10.0</v>
      </c>
      <c r="L129" s="19">
        <v>7.0</v>
      </c>
      <c r="M129" s="19">
        <v>2.0</v>
      </c>
      <c r="N129" s="19">
        <v>0.0</v>
      </c>
      <c r="O129" s="19">
        <v>1.0</v>
      </c>
      <c r="P129" s="19">
        <v>1.0</v>
      </c>
      <c r="Q129" s="19">
        <v>2.0</v>
      </c>
      <c r="R129" s="19">
        <v>1.0</v>
      </c>
      <c r="S129" s="19">
        <v>1.0</v>
      </c>
      <c r="T129" s="19">
        <v>1.0</v>
      </c>
      <c r="U129" s="19">
        <v>1.0</v>
      </c>
      <c r="V129" s="19">
        <v>0.0</v>
      </c>
      <c r="W129" s="19">
        <v>0.0</v>
      </c>
      <c r="X129" s="19">
        <v>0.0</v>
      </c>
      <c r="Y129" s="19">
        <v>1.0</v>
      </c>
      <c r="Z129" s="19">
        <v>1.0</v>
      </c>
      <c r="AA129" s="19">
        <v>3.0</v>
      </c>
      <c r="AB129" s="19">
        <v>1.0</v>
      </c>
      <c r="AC129" s="19">
        <v>0.0</v>
      </c>
      <c r="AD129" s="19">
        <v>3.0</v>
      </c>
      <c r="AE129" s="19">
        <v>2.0</v>
      </c>
      <c r="AF129" s="19">
        <v>1.0</v>
      </c>
      <c r="AG129" s="19">
        <v>1.0</v>
      </c>
      <c r="AH129" s="19">
        <v>0.0</v>
      </c>
      <c r="AI129" s="19">
        <v>3.0</v>
      </c>
      <c r="AJ129" s="19">
        <v>1.0</v>
      </c>
      <c r="AK129" s="19">
        <v>0.0</v>
      </c>
      <c r="AL129" s="19">
        <v>4.0</v>
      </c>
      <c r="AM129" s="19">
        <v>1.0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1.0</v>
      </c>
      <c r="AS129" s="19">
        <v>0.0</v>
      </c>
      <c r="AT129" s="19">
        <v>0.0</v>
      </c>
      <c r="AU129" s="19">
        <v>3.0</v>
      </c>
      <c r="AV129" s="19">
        <v>2.0</v>
      </c>
      <c r="AW129" s="19">
        <v>0.0</v>
      </c>
      <c r="AX129" s="13">
        <f t="shared" ref="AX129:AX138" si="28">SUM(E129:AW129)</f>
        <v>68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1.0</v>
      </c>
      <c r="F130" s="19">
        <v>4.0</v>
      </c>
      <c r="G130" s="19">
        <v>13.0</v>
      </c>
      <c r="H130" s="19">
        <v>15.0</v>
      </c>
      <c r="I130" s="19">
        <v>10.0</v>
      </c>
      <c r="J130" s="19">
        <v>5.0</v>
      </c>
      <c r="K130" s="19">
        <v>12.0</v>
      </c>
      <c r="L130" s="19">
        <v>33.0</v>
      </c>
      <c r="M130" s="19">
        <v>25.0</v>
      </c>
      <c r="N130" s="19">
        <v>18.0</v>
      </c>
      <c r="O130" s="19">
        <v>8.0</v>
      </c>
      <c r="P130" s="19">
        <v>1.0</v>
      </c>
      <c r="Q130" s="19">
        <v>4.0</v>
      </c>
      <c r="R130" s="19">
        <v>11.0</v>
      </c>
      <c r="S130" s="19">
        <v>4.0</v>
      </c>
      <c r="T130" s="19">
        <v>27.0</v>
      </c>
      <c r="U130" s="19">
        <v>6.0</v>
      </c>
      <c r="V130" s="19">
        <v>8.0</v>
      </c>
      <c r="W130" s="19">
        <v>2.0</v>
      </c>
      <c r="X130" s="19">
        <v>2.0</v>
      </c>
      <c r="Y130" s="19">
        <v>0.0</v>
      </c>
      <c r="Z130" s="19">
        <v>15.0</v>
      </c>
      <c r="AA130" s="19">
        <v>3.0</v>
      </c>
      <c r="AB130" s="19">
        <v>2.0</v>
      </c>
      <c r="AC130" s="19">
        <v>15.0</v>
      </c>
      <c r="AD130" s="19">
        <v>16.0</v>
      </c>
      <c r="AE130" s="19">
        <v>19.0</v>
      </c>
      <c r="AF130" s="19">
        <v>3.0</v>
      </c>
      <c r="AG130" s="19">
        <v>3.0</v>
      </c>
      <c r="AH130" s="19">
        <v>0.0</v>
      </c>
      <c r="AI130" s="19">
        <v>20.0</v>
      </c>
      <c r="AJ130" s="19">
        <v>5.0</v>
      </c>
      <c r="AK130" s="19">
        <v>7.0</v>
      </c>
      <c r="AL130" s="19">
        <v>17.0</v>
      </c>
      <c r="AM130" s="19">
        <v>0.0</v>
      </c>
      <c r="AN130" s="19">
        <v>0.0</v>
      </c>
      <c r="AO130" s="19">
        <v>0.0</v>
      </c>
      <c r="AP130" s="19">
        <v>17.0</v>
      </c>
      <c r="AQ130" s="19">
        <v>3.0</v>
      </c>
      <c r="AR130" s="19">
        <v>8.0</v>
      </c>
      <c r="AS130" s="19">
        <v>8.0</v>
      </c>
      <c r="AT130" s="19">
        <v>7.0</v>
      </c>
      <c r="AU130" s="19">
        <v>13.0</v>
      </c>
      <c r="AV130" s="19">
        <v>9.0</v>
      </c>
      <c r="AW130" s="19">
        <v>17.0</v>
      </c>
      <c r="AX130" s="13">
        <f t="shared" si="28"/>
        <v>416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2.0</v>
      </c>
      <c r="F131" s="19">
        <v>1.0</v>
      </c>
      <c r="G131" s="19">
        <v>1.0</v>
      </c>
      <c r="H131" s="19">
        <v>1.0</v>
      </c>
      <c r="I131" s="19">
        <v>3.0</v>
      </c>
      <c r="J131" s="19">
        <v>0.0</v>
      </c>
      <c r="K131" s="19">
        <v>5.0</v>
      </c>
      <c r="L131" s="19">
        <v>3.0</v>
      </c>
      <c r="M131" s="19">
        <v>3.0</v>
      </c>
      <c r="N131" s="19">
        <v>0.0</v>
      </c>
      <c r="O131" s="19">
        <v>1.0</v>
      </c>
      <c r="P131" s="19">
        <v>0.0</v>
      </c>
      <c r="Q131" s="19">
        <v>0.0</v>
      </c>
      <c r="R131" s="19">
        <v>3.0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9">
        <v>0.0</v>
      </c>
      <c r="AC131" s="19">
        <v>1.0</v>
      </c>
      <c r="AD131" s="19">
        <v>1.0</v>
      </c>
      <c r="AE131" s="19">
        <v>5.0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1.0</v>
      </c>
      <c r="AK131" s="19">
        <v>1.0</v>
      </c>
      <c r="AL131" s="19">
        <v>1.0</v>
      </c>
      <c r="AM131" s="19">
        <v>2.0</v>
      </c>
      <c r="AN131" s="19">
        <v>0.0</v>
      </c>
      <c r="AO131" s="19">
        <v>0.0</v>
      </c>
      <c r="AP131" s="19">
        <v>1.0</v>
      </c>
      <c r="AQ131" s="19">
        <v>0.0</v>
      </c>
      <c r="AR131" s="19">
        <v>1.0</v>
      </c>
      <c r="AS131" s="19">
        <v>0.0</v>
      </c>
      <c r="AT131" s="19">
        <v>0.0</v>
      </c>
      <c r="AU131" s="19">
        <v>1.0</v>
      </c>
      <c r="AV131" s="19">
        <v>0.0</v>
      </c>
      <c r="AW131" s="19">
        <v>1.0</v>
      </c>
      <c r="AX131" s="13">
        <f t="shared" si="28"/>
        <v>41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2.0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1.0</v>
      </c>
      <c r="AT132" s="19">
        <v>0.0</v>
      </c>
      <c r="AU132" s="19">
        <v>0.0</v>
      </c>
      <c r="AV132" s="19">
        <v>0.0</v>
      </c>
      <c r="AW132" s="19">
        <v>0.0</v>
      </c>
      <c r="AX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1.0</v>
      </c>
      <c r="AX133" s="13">
        <f t="shared" si="28"/>
        <v>5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1.0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1.0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1.0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3">
        <f t="shared" si="28"/>
        <v>6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1.0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1.0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3">
        <f t="shared" si="28"/>
        <v>1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3">
        <f t="shared" si="28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X139" si="29">SUM(E129:E138)</f>
        <v>4</v>
      </c>
      <c r="F139" s="13">
        <f t="shared" si="29"/>
        <v>6</v>
      </c>
      <c r="G139" s="13">
        <f t="shared" si="29"/>
        <v>25</v>
      </c>
      <c r="H139" s="13">
        <f t="shared" si="29"/>
        <v>16</v>
      </c>
      <c r="I139" s="13">
        <f t="shared" si="29"/>
        <v>14</v>
      </c>
      <c r="J139" s="13">
        <f t="shared" si="29"/>
        <v>7</v>
      </c>
      <c r="K139" s="13">
        <f t="shared" si="29"/>
        <v>27</v>
      </c>
      <c r="L139" s="13">
        <f t="shared" si="29"/>
        <v>44</v>
      </c>
      <c r="M139" s="13">
        <f t="shared" si="29"/>
        <v>31</v>
      </c>
      <c r="N139" s="13">
        <f t="shared" si="29"/>
        <v>18</v>
      </c>
      <c r="O139" s="13">
        <f t="shared" si="29"/>
        <v>11</v>
      </c>
      <c r="P139" s="13">
        <f t="shared" si="29"/>
        <v>3</v>
      </c>
      <c r="Q139" s="13">
        <f t="shared" si="29"/>
        <v>6</v>
      </c>
      <c r="R139" s="13">
        <f t="shared" si="29"/>
        <v>15</v>
      </c>
      <c r="S139" s="13">
        <f t="shared" si="29"/>
        <v>5</v>
      </c>
      <c r="T139" s="13">
        <f t="shared" si="29"/>
        <v>31</v>
      </c>
      <c r="U139" s="13">
        <f t="shared" si="29"/>
        <v>8</v>
      </c>
      <c r="V139" s="13">
        <f t="shared" si="29"/>
        <v>9</v>
      </c>
      <c r="W139" s="13">
        <f t="shared" si="29"/>
        <v>2</v>
      </c>
      <c r="X139" s="13">
        <f t="shared" si="29"/>
        <v>3</v>
      </c>
      <c r="Y139" s="13">
        <f t="shared" si="29"/>
        <v>2</v>
      </c>
      <c r="Z139" s="13">
        <f t="shared" si="29"/>
        <v>16</v>
      </c>
      <c r="AA139" s="13">
        <f t="shared" si="29"/>
        <v>6</v>
      </c>
      <c r="AB139" s="13">
        <f t="shared" si="29"/>
        <v>3</v>
      </c>
      <c r="AC139" s="13">
        <f t="shared" si="29"/>
        <v>16</v>
      </c>
      <c r="AD139" s="13">
        <f t="shared" si="29"/>
        <v>20</v>
      </c>
      <c r="AE139" s="13">
        <f t="shared" si="29"/>
        <v>26</v>
      </c>
      <c r="AF139" s="13">
        <f t="shared" si="29"/>
        <v>4</v>
      </c>
      <c r="AG139" s="13">
        <f t="shared" si="29"/>
        <v>5</v>
      </c>
      <c r="AH139" s="13">
        <f t="shared" si="29"/>
        <v>0</v>
      </c>
      <c r="AI139" s="13">
        <f t="shared" si="29"/>
        <v>23</v>
      </c>
      <c r="AJ139" s="13">
        <f t="shared" si="29"/>
        <v>7</v>
      </c>
      <c r="AK139" s="13">
        <f t="shared" si="29"/>
        <v>8</v>
      </c>
      <c r="AL139" s="13">
        <f t="shared" si="29"/>
        <v>22</v>
      </c>
      <c r="AM139" s="13">
        <f t="shared" si="29"/>
        <v>3</v>
      </c>
      <c r="AN139" s="13">
        <f t="shared" si="29"/>
        <v>0</v>
      </c>
      <c r="AO139" s="13">
        <f t="shared" si="29"/>
        <v>1</v>
      </c>
      <c r="AP139" s="13">
        <f t="shared" si="29"/>
        <v>18</v>
      </c>
      <c r="AQ139" s="13">
        <f t="shared" si="29"/>
        <v>4</v>
      </c>
      <c r="AR139" s="13">
        <f t="shared" si="29"/>
        <v>11</v>
      </c>
      <c r="AS139" s="13">
        <f t="shared" si="29"/>
        <v>9</v>
      </c>
      <c r="AT139" s="13">
        <f t="shared" si="29"/>
        <v>7</v>
      </c>
      <c r="AU139" s="13">
        <f t="shared" si="29"/>
        <v>17</v>
      </c>
      <c r="AV139" s="13">
        <f t="shared" si="29"/>
        <v>11</v>
      </c>
      <c r="AW139" s="13">
        <f t="shared" si="29"/>
        <v>19</v>
      </c>
      <c r="AX139" s="13">
        <f t="shared" si="29"/>
        <v>543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1.0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3">
        <f t="shared" ref="AX141:AX150" si="30">SUM(E141:AW141)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1.0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1.0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3">
        <f t="shared" si="30"/>
        <v>2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1.0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1.0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3">
        <f t="shared" si="30"/>
        <v>1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2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1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2.0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2.0</v>
      </c>
      <c r="M153" s="19">
        <v>0.0</v>
      </c>
      <c r="N153" s="19">
        <v>0.0</v>
      </c>
      <c r="O153" s="19">
        <v>1.0</v>
      </c>
      <c r="P153" s="19">
        <v>0.0</v>
      </c>
      <c r="Q153" s="19">
        <v>1.0</v>
      </c>
      <c r="R153" s="19">
        <v>0.0</v>
      </c>
      <c r="S153" s="19">
        <v>1.0</v>
      </c>
      <c r="T153" s="19">
        <v>1.0</v>
      </c>
      <c r="U153" s="19">
        <v>2.0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1.0</v>
      </c>
      <c r="AC153" s="19">
        <v>2.0</v>
      </c>
      <c r="AD153" s="19">
        <v>0.0</v>
      </c>
      <c r="AE153" s="19">
        <v>1.0</v>
      </c>
      <c r="AF153" s="19">
        <v>1.0</v>
      </c>
      <c r="AG153" s="19">
        <v>0.0</v>
      </c>
      <c r="AH153" s="19">
        <v>3.0</v>
      </c>
      <c r="AI153" s="19">
        <v>2.0</v>
      </c>
      <c r="AJ153" s="19">
        <v>0.0</v>
      </c>
      <c r="AK153" s="19">
        <v>1.0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5.0</v>
      </c>
      <c r="AR153" s="19">
        <v>2.0</v>
      </c>
      <c r="AS153" s="19">
        <v>1.0</v>
      </c>
      <c r="AT153" s="19">
        <v>1.0</v>
      </c>
      <c r="AU153" s="19">
        <v>3.0</v>
      </c>
      <c r="AV153" s="19">
        <v>1.0</v>
      </c>
      <c r="AW153" s="19">
        <v>1.0</v>
      </c>
      <c r="AX153" s="13">
        <f t="shared" ref="AX153:AX163" si="32">SUM(E153:AW153)</f>
        <v>35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1.0</v>
      </c>
      <c r="G154" s="19">
        <v>0.0</v>
      </c>
      <c r="H154" s="19">
        <v>1.0</v>
      </c>
      <c r="I154" s="19">
        <v>0.0</v>
      </c>
      <c r="J154" s="19">
        <v>1.0</v>
      </c>
      <c r="K154" s="19">
        <v>2.0</v>
      </c>
      <c r="L154" s="19">
        <v>1.0</v>
      </c>
      <c r="M154" s="19">
        <v>2.0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3.0</v>
      </c>
      <c r="U154" s="19">
        <v>0.0</v>
      </c>
      <c r="V154" s="19">
        <v>4.0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2.0</v>
      </c>
      <c r="AB154" s="19">
        <v>0.0</v>
      </c>
      <c r="AC154" s="19">
        <v>3.0</v>
      </c>
      <c r="AD154" s="19">
        <v>1.0</v>
      </c>
      <c r="AE154" s="19">
        <v>1.0</v>
      </c>
      <c r="AF154" s="19">
        <v>1.0</v>
      </c>
      <c r="AG154" s="19">
        <v>0.0</v>
      </c>
      <c r="AH154" s="19">
        <v>11.0</v>
      </c>
      <c r="AI154" s="19">
        <v>4.0</v>
      </c>
      <c r="AJ154" s="19">
        <v>1.0</v>
      </c>
      <c r="AK154" s="19">
        <v>3.0</v>
      </c>
      <c r="AL154" s="19">
        <v>1.0</v>
      </c>
      <c r="AM154" s="19">
        <v>3.0</v>
      </c>
      <c r="AN154" s="19">
        <v>2.0</v>
      </c>
      <c r="AO154" s="19">
        <v>2.0</v>
      </c>
      <c r="AP154" s="19">
        <v>1.0</v>
      </c>
      <c r="AQ154" s="19">
        <v>3.0</v>
      </c>
      <c r="AR154" s="19">
        <v>1.0</v>
      </c>
      <c r="AS154" s="19">
        <v>2.0</v>
      </c>
      <c r="AT154" s="19">
        <v>0.0</v>
      </c>
      <c r="AU154" s="19">
        <v>3.0</v>
      </c>
      <c r="AV154" s="19">
        <v>1.0</v>
      </c>
      <c r="AW154" s="19">
        <v>3.0</v>
      </c>
      <c r="AX154" s="13">
        <f t="shared" si="32"/>
        <v>64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1.0</v>
      </c>
      <c r="I155" s="19">
        <v>1.0</v>
      </c>
      <c r="J155" s="19">
        <v>1.0</v>
      </c>
      <c r="K155" s="19">
        <v>0.0</v>
      </c>
      <c r="L155" s="19">
        <v>1.0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1.0</v>
      </c>
      <c r="W155" s="19">
        <v>0.0</v>
      </c>
      <c r="X155" s="19">
        <v>1.0</v>
      </c>
      <c r="Y155" s="19">
        <v>0.0</v>
      </c>
      <c r="Z155" s="19">
        <v>0.0</v>
      </c>
      <c r="AA155" s="19">
        <v>1.0</v>
      </c>
      <c r="AB155" s="19">
        <v>1.0</v>
      </c>
      <c r="AC155" s="19">
        <v>0.0</v>
      </c>
      <c r="AD155" s="19">
        <v>0.0</v>
      </c>
      <c r="AE155" s="19">
        <v>0.0</v>
      </c>
      <c r="AF155" s="19">
        <v>1.0</v>
      </c>
      <c r="AG155" s="19">
        <v>0.0</v>
      </c>
      <c r="AH155" s="19">
        <v>1.0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1.0</v>
      </c>
      <c r="AN155" s="19">
        <v>1.0</v>
      </c>
      <c r="AO155" s="19">
        <v>0.0</v>
      </c>
      <c r="AP155" s="19">
        <v>1.0</v>
      </c>
      <c r="AQ155" s="19">
        <v>0.0</v>
      </c>
      <c r="AR155" s="19">
        <v>0.0</v>
      </c>
      <c r="AS155" s="19">
        <v>2.0</v>
      </c>
      <c r="AT155" s="19">
        <v>0.0</v>
      </c>
      <c r="AU155" s="19">
        <v>0.0</v>
      </c>
      <c r="AV155" s="19">
        <v>0.0</v>
      </c>
      <c r="AW155" s="19">
        <v>2.0</v>
      </c>
      <c r="AX155" s="13">
        <f t="shared" si="32"/>
        <v>19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1.0</v>
      </c>
      <c r="AH156" s="19">
        <v>0.0</v>
      </c>
      <c r="AI156" s="19">
        <v>2.0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1.0</v>
      </c>
      <c r="AT156" s="19">
        <v>0.0</v>
      </c>
      <c r="AU156" s="19">
        <v>0.0</v>
      </c>
      <c r="AV156" s="19">
        <v>0.0</v>
      </c>
      <c r="AW156" s="19">
        <v>0.0</v>
      </c>
      <c r="AX156" s="13">
        <f t="shared" si="32"/>
        <v>4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1.0</v>
      </c>
      <c r="AI157" s="19">
        <v>1.0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1.0</v>
      </c>
      <c r="AO157" s="19">
        <v>0.0</v>
      </c>
      <c r="AP157" s="19">
        <v>1.0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3">
        <f t="shared" si="32"/>
        <v>4</v>
      </c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3">
        <f t="shared" si="32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3">
        <f t="shared" si="32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3">
        <f t="shared" si="32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2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W163" si="33">SUM(E153:E162)</f>
        <v>2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1</v>
      </c>
      <c r="J163" s="13">
        <f t="shared" si="33"/>
        <v>2</v>
      </c>
      <c r="K163" s="13">
        <f t="shared" si="33"/>
        <v>2</v>
      </c>
      <c r="L163" s="13">
        <f t="shared" si="33"/>
        <v>4</v>
      </c>
      <c r="M163" s="13">
        <f t="shared" si="33"/>
        <v>2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5</v>
      </c>
      <c r="U163" s="13">
        <f t="shared" si="33"/>
        <v>2</v>
      </c>
      <c r="V163" s="13">
        <f t="shared" si="33"/>
        <v>5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3</v>
      </c>
      <c r="AB163" s="13">
        <f t="shared" si="33"/>
        <v>2</v>
      </c>
      <c r="AC163" s="13">
        <f t="shared" si="33"/>
        <v>5</v>
      </c>
      <c r="AD163" s="13">
        <f t="shared" si="33"/>
        <v>1</v>
      </c>
      <c r="AE163" s="13">
        <f t="shared" si="33"/>
        <v>2</v>
      </c>
      <c r="AF163" s="13">
        <f t="shared" si="33"/>
        <v>3</v>
      </c>
      <c r="AG163" s="13">
        <f t="shared" si="33"/>
        <v>1</v>
      </c>
      <c r="AH163" s="13">
        <f t="shared" si="33"/>
        <v>16</v>
      </c>
      <c r="AI163" s="13">
        <f t="shared" si="33"/>
        <v>9</v>
      </c>
      <c r="AJ163" s="13">
        <f t="shared" si="33"/>
        <v>1</v>
      </c>
      <c r="AK163" s="13">
        <f t="shared" si="33"/>
        <v>4</v>
      </c>
      <c r="AL163" s="13">
        <f t="shared" si="33"/>
        <v>1</v>
      </c>
      <c r="AM163" s="13">
        <f t="shared" si="33"/>
        <v>4</v>
      </c>
      <c r="AN163" s="13">
        <f t="shared" si="33"/>
        <v>4</v>
      </c>
      <c r="AO163" s="13">
        <f t="shared" si="33"/>
        <v>2</v>
      </c>
      <c r="AP163" s="13">
        <f t="shared" si="33"/>
        <v>3</v>
      </c>
      <c r="AQ163" s="13">
        <f t="shared" si="33"/>
        <v>8</v>
      </c>
      <c r="AR163" s="13">
        <f t="shared" si="33"/>
        <v>3</v>
      </c>
      <c r="AS163" s="13">
        <f t="shared" si="33"/>
        <v>6</v>
      </c>
      <c r="AT163" s="13">
        <f t="shared" si="33"/>
        <v>1</v>
      </c>
      <c r="AU163" s="13">
        <f t="shared" si="33"/>
        <v>6</v>
      </c>
      <c r="AV163" s="13">
        <f t="shared" si="33"/>
        <v>2</v>
      </c>
      <c r="AW163" s="13">
        <f t="shared" si="33"/>
        <v>6</v>
      </c>
      <c r="AX163" s="13">
        <f t="shared" si="32"/>
        <v>126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1.0</v>
      </c>
      <c r="AS165" s="19">
        <v>0.0</v>
      </c>
      <c r="AT165" s="19">
        <v>1.0</v>
      </c>
      <c r="AU165" s="19">
        <v>0.0</v>
      </c>
      <c r="AV165" s="19">
        <v>0.0</v>
      </c>
      <c r="AW165" s="19">
        <v>1.0</v>
      </c>
      <c r="AX165" s="13">
        <f t="shared" ref="AX165:AX174" si="34">SUM(E165:AW165)</f>
        <v>6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1.0</v>
      </c>
      <c r="AI166" s="19">
        <v>1.0</v>
      </c>
      <c r="AJ166" s="19">
        <v>1.0</v>
      </c>
      <c r="AK166" s="19">
        <v>0.0</v>
      </c>
      <c r="AL166" s="19">
        <v>0.0</v>
      </c>
      <c r="AM166" s="19">
        <v>1.0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3">
        <f t="shared" si="34"/>
        <v>8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1.0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1.0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1.0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3">
        <f t="shared" si="34"/>
        <v>4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1.0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1.0</v>
      </c>
      <c r="AV168" s="19">
        <v>0.0</v>
      </c>
      <c r="AW168" s="19">
        <v>0.0</v>
      </c>
      <c r="AX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1.0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1.0</v>
      </c>
      <c r="L170" s="19">
        <v>1.0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1.0</v>
      </c>
      <c r="AW170" s="19">
        <v>0.0</v>
      </c>
      <c r="AX170" s="13">
        <f t="shared" si="34"/>
        <v>3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1.0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X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3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2</v>
      </c>
      <c r="AI175" s="13">
        <f t="shared" si="35"/>
        <v>1</v>
      </c>
      <c r="AJ175" s="13">
        <f t="shared" si="35"/>
        <v>1</v>
      </c>
      <c r="AK175" s="13">
        <f t="shared" si="35"/>
        <v>0</v>
      </c>
      <c r="AL175" s="13">
        <f t="shared" si="35"/>
        <v>0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1</v>
      </c>
      <c r="AU175" s="13">
        <f t="shared" si="35"/>
        <v>1</v>
      </c>
      <c r="AV175" s="13">
        <f t="shared" si="35"/>
        <v>1</v>
      </c>
      <c r="AW175" s="13">
        <f t="shared" si="35"/>
        <v>1</v>
      </c>
      <c r="AX175" s="13">
        <f t="shared" si="35"/>
        <v>25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2.0</v>
      </c>
      <c r="I177" s="19">
        <v>0.0</v>
      </c>
      <c r="J177" s="19">
        <v>2.0</v>
      </c>
      <c r="K177" s="19">
        <v>0.0</v>
      </c>
      <c r="L177" s="19">
        <v>1.0</v>
      </c>
      <c r="M177" s="19">
        <v>1.0</v>
      </c>
      <c r="N177" s="19">
        <v>2.0</v>
      </c>
      <c r="O177" s="19">
        <v>1.0</v>
      </c>
      <c r="P177" s="19">
        <v>0.0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1.0</v>
      </c>
      <c r="AB177" s="19">
        <v>3.0</v>
      </c>
      <c r="AC177" s="19">
        <v>1.0</v>
      </c>
      <c r="AD177" s="19">
        <v>0.0</v>
      </c>
      <c r="AE177" s="19">
        <v>2.0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2.0</v>
      </c>
      <c r="AK177" s="19">
        <v>0.0</v>
      </c>
      <c r="AL177" s="19">
        <v>0.0</v>
      </c>
      <c r="AM177" s="19">
        <v>1.0</v>
      </c>
      <c r="AN177" s="19">
        <v>0.0</v>
      </c>
      <c r="AO177" s="19">
        <v>1.0</v>
      </c>
      <c r="AP177" s="19">
        <v>0.0</v>
      </c>
      <c r="AQ177" s="19">
        <v>0.0</v>
      </c>
      <c r="AR177" s="19">
        <v>0.0</v>
      </c>
      <c r="AS177" s="19">
        <v>1.0</v>
      </c>
      <c r="AT177" s="19">
        <v>0.0</v>
      </c>
      <c r="AU177" s="19">
        <v>0.0</v>
      </c>
      <c r="AV177" s="19">
        <v>0.0</v>
      </c>
      <c r="AW177" s="19">
        <v>1.0</v>
      </c>
      <c r="AX177" s="13">
        <f t="shared" ref="AX177:AX186" si="36">SUM(E177:AW177)</f>
        <v>25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0.0</v>
      </c>
      <c r="F178" s="19">
        <v>0.0</v>
      </c>
      <c r="G178" s="19">
        <v>0.0</v>
      </c>
      <c r="H178" s="19">
        <v>1.0</v>
      </c>
      <c r="I178" s="19">
        <v>1.0</v>
      </c>
      <c r="J178" s="19">
        <v>0.0</v>
      </c>
      <c r="K178" s="19">
        <v>0.0</v>
      </c>
      <c r="L178" s="19">
        <v>1.0</v>
      </c>
      <c r="M178" s="19">
        <v>2.0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1.0</v>
      </c>
      <c r="AC178" s="19">
        <v>0.0</v>
      </c>
      <c r="AD178" s="19">
        <v>0.0</v>
      </c>
      <c r="AE178" s="19">
        <v>1.0</v>
      </c>
      <c r="AF178" s="19">
        <v>0.0</v>
      </c>
      <c r="AG178" s="19">
        <v>0.0</v>
      </c>
      <c r="AH178" s="19">
        <v>1.0</v>
      </c>
      <c r="AI178" s="19">
        <v>0.0</v>
      </c>
      <c r="AJ178" s="19">
        <v>0.0</v>
      </c>
      <c r="AK178" s="19">
        <v>1.0</v>
      </c>
      <c r="AL178" s="19">
        <v>0.0</v>
      </c>
      <c r="AM178" s="19">
        <v>0.0</v>
      </c>
      <c r="AN178" s="19">
        <v>0.0</v>
      </c>
      <c r="AO178" s="19">
        <v>1.0</v>
      </c>
      <c r="AP178" s="19">
        <v>2.0</v>
      </c>
      <c r="AQ178" s="19">
        <v>2.0</v>
      </c>
      <c r="AR178" s="19">
        <v>1.0</v>
      </c>
      <c r="AS178" s="19">
        <v>0.0</v>
      </c>
      <c r="AT178" s="19">
        <v>0.0</v>
      </c>
      <c r="AU178" s="19">
        <v>0.0</v>
      </c>
      <c r="AV178" s="19">
        <v>0.0</v>
      </c>
      <c r="AW178" s="19">
        <v>1.0</v>
      </c>
      <c r="AX178" s="13">
        <f t="shared" si="36"/>
        <v>17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1.0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1.0</v>
      </c>
      <c r="AG179" s="19">
        <v>1.0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1.0</v>
      </c>
      <c r="AW179" s="19">
        <v>0.0</v>
      </c>
      <c r="AX179" s="13">
        <f t="shared" si="36"/>
        <v>10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0.0</v>
      </c>
      <c r="G180" s="19">
        <v>1.0</v>
      </c>
      <c r="H180" s="19">
        <v>0.0</v>
      </c>
      <c r="I180" s="19">
        <v>2.0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7.0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2.0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1.0</v>
      </c>
      <c r="AK180" s="19">
        <v>0.0</v>
      </c>
      <c r="AL180" s="19">
        <v>0.0</v>
      </c>
      <c r="AM180" s="19">
        <v>0.0</v>
      </c>
      <c r="AN180" s="19">
        <v>1.0</v>
      </c>
      <c r="AO180" s="19">
        <v>0.0</v>
      </c>
      <c r="AP180" s="19">
        <v>0.0</v>
      </c>
      <c r="AQ180" s="19">
        <v>0.0</v>
      </c>
      <c r="AR180" s="19">
        <v>2.0</v>
      </c>
      <c r="AS180" s="19">
        <v>0.0</v>
      </c>
      <c r="AT180" s="19">
        <v>1.0</v>
      </c>
      <c r="AU180" s="19">
        <v>1.0</v>
      </c>
      <c r="AV180" s="19">
        <v>0.0</v>
      </c>
      <c r="AW180" s="19">
        <v>0.0</v>
      </c>
      <c r="AX180" s="13">
        <f t="shared" si="36"/>
        <v>21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1.0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1.0</v>
      </c>
      <c r="AQ182" s="19">
        <v>1.0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3">
        <f t="shared" si="36"/>
        <v>6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1.0</v>
      </c>
      <c r="AV183" s="19">
        <v>0.0</v>
      </c>
      <c r="AW183" s="19">
        <v>0.0</v>
      </c>
      <c r="AX183" s="13">
        <f t="shared" si="36"/>
        <v>3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3">
        <f t="shared" si="36"/>
        <v>1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X187" si="37">SUM(E177:E186)</f>
        <v>2</v>
      </c>
      <c r="F187" s="13">
        <f t="shared" si="37"/>
        <v>1</v>
      </c>
      <c r="G187" s="13">
        <f t="shared" si="37"/>
        <v>2</v>
      </c>
      <c r="H187" s="13">
        <f t="shared" si="37"/>
        <v>3</v>
      </c>
      <c r="I187" s="13">
        <f t="shared" si="37"/>
        <v>5</v>
      </c>
      <c r="J187" s="13">
        <f t="shared" si="37"/>
        <v>3</v>
      </c>
      <c r="K187" s="13">
        <f t="shared" si="37"/>
        <v>0</v>
      </c>
      <c r="L187" s="13">
        <f t="shared" si="37"/>
        <v>4</v>
      </c>
      <c r="M187" s="13">
        <f t="shared" si="37"/>
        <v>4</v>
      </c>
      <c r="N187" s="13">
        <f t="shared" si="37"/>
        <v>3</v>
      </c>
      <c r="O187" s="13">
        <f t="shared" si="37"/>
        <v>2</v>
      </c>
      <c r="P187" s="13">
        <f t="shared" si="37"/>
        <v>9</v>
      </c>
      <c r="Q187" s="13">
        <f t="shared" si="37"/>
        <v>1</v>
      </c>
      <c r="R187" s="13">
        <f t="shared" si="37"/>
        <v>1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1</v>
      </c>
      <c r="W187" s="13">
        <f t="shared" si="37"/>
        <v>0</v>
      </c>
      <c r="X187" s="13">
        <f t="shared" si="37"/>
        <v>1</v>
      </c>
      <c r="Y187" s="13">
        <f t="shared" si="37"/>
        <v>0</v>
      </c>
      <c r="Z187" s="13">
        <f t="shared" si="37"/>
        <v>2</v>
      </c>
      <c r="AA187" s="13">
        <f t="shared" si="37"/>
        <v>1</v>
      </c>
      <c r="AB187" s="13">
        <f t="shared" si="37"/>
        <v>5</v>
      </c>
      <c r="AC187" s="13">
        <f t="shared" si="37"/>
        <v>3</v>
      </c>
      <c r="AD187" s="13">
        <f t="shared" si="37"/>
        <v>1</v>
      </c>
      <c r="AE187" s="13">
        <f t="shared" si="37"/>
        <v>3</v>
      </c>
      <c r="AF187" s="13">
        <f t="shared" si="37"/>
        <v>2</v>
      </c>
      <c r="AG187" s="13">
        <f t="shared" si="37"/>
        <v>1</v>
      </c>
      <c r="AH187" s="13">
        <f t="shared" si="37"/>
        <v>1</v>
      </c>
      <c r="AI187" s="13">
        <f t="shared" si="37"/>
        <v>0</v>
      </c>
      <c r="AJ187" s="13">
        <f t="shared" si="37"/>
        <v>3</v>
      </c>
      <c r="AK187" s="13">
        <f t="shared" si="37"/>
        <v>1</v>
      </c>
      <c r="AL187" s="13">
        <f t="shared" si="37"/>
        <v>0</v>
      </c>
      <c r="AM187" s="13">
        <f t="shared" si="37"/>
        <v>1</v>
      </c>
      <c r="AN187" s="13">
        <f t="shared" si="37"/>
        <v>1</v>
      </c>
      <c r="AO187" s="13">
        <f t="shared" si="37"/>
        <v>2</v>
      </c>
      <c r="AP187" s="13">
        <f t="shared" si="37"/>
        <v>3</v>
      </c>
      <c r="AQ187" s="13">
        <f t="shared" si="37"/>
        <v>3</v>
      </c>
      <c r="AR187" s="13">
        <f t="shared" si="37"/>
        <v>3</v>
      </c>
      <c r="AS187" s="13">
        <f t="shared" si="37"/>
        <v>1</v>
      </c>
      <c r="AT187" s="13">
        <f t="shared" si="37"/>
        <v>1</v>
      </c>
      <c r="AU187" s="13">
        <f t="shared" si="37"/>
        <v>2</v>
      </c>
      <c r="AV187" s="13">
        <f t="shared" si="37"/>
        <v>1</v>
      </c>
      <c r="AW187" s="13">
        <f t="shared" si="37"/>
        <v>2</v>
      </c>
      <c r="AX187" s="13">
        <f t="shared" si="37"/>
        <v>86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R188" s="79"/>
      <c r="AS188" s="79"/>
      <c r="AT188" s="79"/>
      <c r="AU188" s="79"/>
      <c r="AV188" s="79"/>
      <c r="AW188" s="79"/>
      <c r="A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1.0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1.0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3">
        <f t="shared" ref="AX189:AX198" si="38">SUM(E189:AW189)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1.0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1.0</v>
      </c>
      <c r="AI190" s="19">
        <v>0.0</v>
      </c>
      <c r="AJ190" s="19">
        <v>0.0</v>
      </c>
      <c r="AK190" s="19">
        <v>1.0</v>
      </c>
      <c r="AL190" s="19">
        <v>0.0</v>
      </c>
      <c r="AM190" s="19">
        <v>0.0</v>
      </c>
      <c r="AN190" s="19">
        <v>0.0</v>
      </c>
      <c r="AO190" s="19">
        <v>2.0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3">
        <f t="shared" si="38"/>
        <v>7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1.0</v>
      </c>
      <c r="AL191" s="19">
        <v>0.0</v>
      </c>
      <c r="AM191" s="19">
        <v>0.0</v>
      </c>
      <c r="AN191" s="19">
        <v>1.0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1.0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3">
        <f t="shared" si="38"/>
        <v>1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1.0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3">
        <f t="shared" si="38"/>
        <v>1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X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1</v>
      </c>
      <c r="AK199" s="13">
        <f t="shared" si="39"/>
        <v>2</v>
      </c>
      <c r="AL199" s="13">
        <f t="shared" si="39"/>
        <v>0</v>
      </c>
      <c r="AM199" s="13">
        <f t="shared" si="39"/>
        <v>0</v>
      </c>
      <c r="AN199" s="13">
        <f t="shared" si="39"/>
        <v>1</v>
      </c>
      <c r="AO199" s="13">
        <f t="shared" si="39"/>
        <v>2</v>
      </c>
      <c r="AP199" s="13">
        <f t="shared" si="39"/>
        <v>0</v>
      </c>
      <c r="AQ199" s="13">
        <f t="shared" si="39"/>
        <v>1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13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5.0</v>
      </c>
      <c r="G201" s="19">
        <v>2.0</v>
      </c>
      <c r="H201" s="19">
        <v>5.0</v>
      </c>
      <c r="I201" s="19">
        <v>3.0</v>
      </c>
      <c r="J201" s="19">
        <v>3.0</v>
      </c>
      <c r="K201" s="19">
        <v>0.0</v>
      </c>
      <c r="L201" s="19">
        <v>2.0</v>
      </c>
      <c r="M201" s="19">
        <v>7.0</v>
      </c>
      <c r="N201" s="19">
        <v>6.0</v>
      </c>
      <c r="O201" s="19">
        <v>2.0</v>
      </c>
      <c r="P201" s="19">
        <v>4.0</v>
      </c>
      <c r="Q201" s="19">
        <v>0.0</v>
      </c>
      <c r="R201" s="19">
        <v>2.0</v>
      </c>
      <c r="S201" s="19">
        <v>1.0</v>
      </c>
      <c r="T201" s="19">
        <v>0.0</v>
      </c>
      <c r="U201" s="19">
        <v>0.0</v>
      </c>
      <c r="V201" s="19">
        <v>5.0</v>
      </c>
      <c r="W201" s="19">
        <v>2.0</v>
      </c>
      <c r="X201" s="19">
        <v>1.0</v>
      </c>
      <c r="Y201" s="19">
        <v>1.0</v>
      </c>
      <c r="Z201" s="19">
        <v>1.0</v>
      </c>
      <c r="AA201" s="19">
        <v>3.0</v>
      </c>
      <c r="AB201" s="19">
        <v>1.0</v>
      </c>
      <c r="AC201" s="19">
        <v>3.0</v>
      </c>
      <c r="AD201" s="19">
        <v>3.0</v>
      </c>
      <c r="AE201" s="19">
        <v>0.0</v>
      </c>
      <c r="AF201" s="19">
        <v>1.0</v>
      </c>
      <c r="AG201" s="19">
        <v>1.0</v>
      </c>
      <c r="AH201" s="19">
        <v>1.0</v>
      </c>
      <c r="AI201" s="19">
        <v>0.0</v>
      </c>
      <c r="AJ201" s="19">
        <v>1.0</v>
      </c>
      <c r="AK201" s="19">
        <v>0.0</v>
      </c>
      <c r="AL201" s="19">
        <v>1.0</v>
      </c>
      <c r="AM201" s="19">
        <v>4.0</v>
      </c>
      <c r="AN201" s="19">
        <v>2.0</v>
      </c>
      <c r="AO201" s="19">
        <v>0.0</v>
      </c>
      <c r="AP201" s="19">
        <v>8.0</v>
      </c>
      <c r="AQ201" s="19">
        <v>8.0</v>
      </c>
      <c r="AR201" s="19">
        <v>3.0</v>
      </c>
      <c r="AS201" s="19">
        <v>1.0</v>
      </c>
      <c r="AT201" s="19">
        <v>7.0</v>
      </c>
      <c r="AU201" s="19">
        <v>2.0</v>
      </c>
      <c r="AV201" s="19">
        <v>2.0</v>
      </c>
      <c r="AW201" s="19">
        <v>5.0</v>
      </c>
      <c r="AX201" s="13">
        <f t="shared" ref="AX201:AX210" si="40">SUM(E201:AW201)</f>
        <v>115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24.0</v>
      </c>
      <c r="F202" s="19">
        <v>9.0</v>
      </c>
      <c r="G202" s="19">
        <v>3.0</v>
      </c>
      <c r="H202" s="19">
        <v>3.0</v>
      </c>
      <c r="I202" s="19">
        <v>4.0</v>
      </c>
      <c r="J202" s="19">
        <v>3.0</v>
      </c>
      <c r="K202" s="19">
        <v>5.0</v>
      </c>
      <c r="L202" s="19">
        <v>2.0</v>
      </c>
      <c r="M202" s="19">
        <v>4.0</v>
      </c>
      <c r="N202" s="19">
        <v>4.0</v>
      </c>
      <c r="O202" s="19">
        <v>1.0</v>
      </c>
      <c r="P202" s="19">
        <v>5.0</v>
      </c>
      <c r="Q202" s="19">
        <v>3.0</v>
      </c>
      <c r="R202" s="19">
        <v>2.0</v>
      </c>
      <c r="S202" s="19">
        <v>3.0</v>
      </c>
      <c r="T202" s="19">
        <v>0.0</v>
      </c>
      <c r="U202" s="19">
        <v>3.0</v>
      </c>
      <c r="V202" s="19">
        <v>2.0</v>
      </c>
      <c r="W202" s="19">
        <v>1.0</v>
      </c>
      <c r="X202" s="19">
        <v>1.0</v>
      </c>
      <c r="Y202" s="19">
        <v>1.0</v>
      </c>
      <c r="Z202" s="19">
        <v>3.0</v>
      </c>
      <c r="AA202" s="19">
        <v>1.0</v>
      </c>
      <c r="AB202" s="19">
        <v>3.0</v>
      </c>
      <c r="AC202" s="19">
        <v>6.0</v>
      </c>
      <c r="AD202" s="19">
        <v>1.0</v>
      </c>
      <c r="AE202" s="19">
        <v>9.0</v>
      </c>
      <c r="AF202" s="19">
        <v>13.0</v>
      </c>
      <c r="AG202" s="19">
        <v>2.0</v>
      </c>
      <c r="AH202" s="19">
        <v>3.0</v>
      </c>
      <c r="AI202" s="19">
        <v>2.0</v>
      </c>
      <c r="AJ202" s="19">
        <v>3.0</v>
      </c>
      <c r="AK202" s="19">
        <v>2.0</v>
      </c>
      <c r="AL202" s="19">
        <v>3.0</v>
      </c>
      <c r="AM202" s="19">
        <v>2.0</v>
      </c>
      <c r="AN202" s="19">
        <v>0.0</v>
      </c>
      <c r="AO202" s="19">
        <v>3.0</v>
      </c>
      <c r="AP202" s="19">
        <v>59.0</v>
      </c>
      <c r="AQ202" s="19">
        <v>53.0</v>
      </c>
      <c r="AR202" s="19">
        <v>44.0</v>
      </c>
      <c r="AS202" s="19">
        <v>14.0</v>
      </c>
      <c r="AT202" s="19">
        <v>32.0</v>
      </c>
      <c r="AU202" s="19">
        <v>30.0</v>
      </c>
      <c r="AV202" s="19">
        <v>16.0</v>
      </c>
      <c r="AW202" s="19">
        <v>28.0</v>
      </c>
      <c r="AX202" s="13">
        <f t="shared" si="40"/>
        <v>415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4.0</v>
      </c>
      <c r="F203" s="19">
        <v>0.0</v>
      </c>
      <c r="G203" s="19">
        <v>3.0</v>
      </c>
      <c r="H203" s="19">
        <v>0.0</v>
      </c>
      <c r="I203" s="19">
        <v>4.0</v>
      </c>
      <c r="J203" s="19">
        <v>0.0</v>
      </c>
      <c r="K203" s="19">
        <v>0.0</v>
      </c>
      <c r="L203" s="19">
        <v>0.0</v>
      </c>
      <c r="M203" s="19">
        <v>3.0</v>
      </c>
      <c r="N203" s="19">
        <v>5.0</v>
      </c>
      <c r="O203" s="19">
        <v>1.0</v>
      </c>
      <c r="P203" s="19">
        <v>1.0</v>
      </c>
      <c r="Q203" s="19">
        <v>1.0</v>
      </c>
      <c r="R203" s="19">
        <v>2.0</v>
      </c>
      <c r="S203" s="19">
        <v>2.0</v>
      </c>
      <c r="T203" s="19">
        <v>2.0</v>
      </c>
      <c r="U203" s="19">
        <v>3.0</v>
      </c>
      <c r="V203" s="19">
        <v>0.0</v>
      </c>
      <c r="W203" s="19">
        <v>0.0</v>
      </c>
      <c r="X203" s="19">
        <v>0.0</v>
      </c>
      <c r="Y203" s="19">
        <v>0.0</v>
      </c>
      <c r="Z203" s="19">
        <v>1.0</v>
      </c>
      <c r="AA203" s="19">
        <v>1.0</v>
      </c>
      <c r="AB203" s="19">
        <v>5.0</v>
      </c>
      <c r="AC203" s="19">
        <v>3.0</v>
      </c>
      <c r="AD203" s="19">
        <v>0.0</v>
      </c>
      <c r="AE203" s="19">
        <v>1.0</v>
      </c>
      <c r="AF203" s="19">
        <v>3.0</v>
      </c>
      <c r="AG203" s="19">
        <v>2.0</v>
      </c>
      <c r="AH203" s="19">
        <v>0.0</v>
      </c>
      <c r="AI203" s="19">
        <v>1.0</v>
      </c>
      <c r="AJ203" s="19">
        <v>0.0</v>
      </c>
      <c r="AK203" s="19">
        <v>0.0</v>
      </c>
      <c r="AL203" s="19">
        <v>1.0</v>
      </c>
      <c r="AM203" s="19">
        <v>1.0</v>
      </c>
      <c r="AN203" s="19">
        <v>0.0</v>
      </c>
      <c r="AO203" s="19">
        <v>1.0</v>
      </c>
      <c r="AP203" s="19">
        <v>0.0</v>
      </c>
      <c r="AQ203" s="19">
        <v>1.0</v>
      </c>
      <c r="AR203" s="19">
        <v>1.0</v>
      </c>
      <c r="AS203" s="19">
        <v>2.0</v>
      </c>
      <c r="AT203" s="19">
        <v>1.0</v>
      </c>
      <c r="AU203" s="19">
        <v>3.0</v>
      </c>
      <c r="AV203" s="19">
        <v>0.0</v>
      </c>
      <c r="AW203" s="19">
        <v>0.0</v>
      </c>
      <c r="AX203" s="13">
        <f t="shared" si="40"/>
        <v>59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1.0</v>
      </c>
      <c r="F204" s="19">
        <v>1.0</v>
      </c>
      <c r="G204" s="19">
        <v>2.0</v>
      </c>
      <c r="H204" s="19">
        <v>0.0</v>
      </c>
      <c r="I204" s="19">
        <v>0.0</v>
      </c>
      <c r="J204" s="19">
        <v>0.0</v>
      </c>
      <c r="K204" s="19">
        <v>2.0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1.0</v>
      </c>
      <c r="AC204" s="19">
        <v>1.0</v>
      </c>
      <c r="AD204" s="19">
        <v>1.0</v>
      </c>
      <c r="AE204" s="19">
        <v>0.0</v>
      </c>
      <c r="AF204" s="19">
        <v>2.0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1.0</v>
      </c>
      <c r="AL204" s="19">
        <v>0.0</v>
      </c>
      <c r="AM204" s="19">
        <v>4.0</v>
      </c>
      <c r="AN204" s="19">
        <v>1.0</v>
      </c>
      <c r="AO204" s="19">
        <v>1.0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2.0</v>
      </c>
      <c r="AU204" s="19">
        <v>0.0</v>
      </c>
      <c r="AV204" s="19">
        <v>0.0</v>
      </c>
      <c r="AW204" s="19">
        <v>1.0</v>
      </c>
      <c r="AX204" s="13">
        <f t="shared" si="40"/>
        <v>24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1.0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2.0</v>
      </c>
      <c r="N205" s="19">
        <v>3.0</v>
      </c>
      <c r="O205" s="19">
        <v>0.0</v>
      </c>
      <c r="P205" s="19">
        <v>1.0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9">
        <v>1.0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1.0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9">
        <v>0.0</v>
      </c>
      <c r="AW205" s="19">
        <v>1.0</v>
      </c>
      <c r="AX205" s="13">
        <f t="shared" si="40"/>
        <v>15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1.0</v>
      </c>
      <c r="AA206" s="19">
        <v>0.0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1.0</v>
      </c>
      <c r="AG206" s="19">
        <v>0.0</v>
      </c>
      <c r="AH206" s="19">
        <v>0.0</v>
      </c>
      <c r="AI206" s="19">
        <v>0.0</v>
      </c>
      <c r="AJ206" s="19">
        <v>1.0</v>
      </c>
      <c r="AK206" s="19">
        <v>2.0</v>
      </c>
      <c r="AL206" s="19">
        <v>0.0</v>
      </c>
      <c r="AM206" s="19">
        <v>2.0</v>
      </c>
      <c r="AN206" s="19">
        <v>0.0</v>
      </c>
      <c r="AO206" s="19">
        <v>1.0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1.0</v>
      </c>
      <c r="AX206" s="13">
        <f t="shared" si="40"/>
        <v>14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1.0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1.0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3">
        <f t="shared" si="40"/>
        <v>3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1.0</v>
      </c>
      <c r="F208" s="19">
        <v>0.0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1.0</v>
      </c>
      <c r="AF208" s="19">
        <v>0.0</v>
      </c>
      <c r="AG208" s="19">
        <v>0.0</v>
      </c>
      <c r="AH208" s="19">
        <v>1.0</v>
      </c>
      <c r="AI208" s="19">
        <v>0.0</v>
      </c>
      <c r="AJ208" s="19">
        <v>1.0</v>
      </c>
      <c r="AK208" s="19">
        <v>0.0</v>
      </c>
      <c r="AL208" s="19">
        <v>0.0</v>
      </c>
      <c r="AM208" s="19">
        <v>0.0</v>
      </c>
      <c r="AN208" s="19">
        <v>1.0</v>
      </c>
      <c r="AO208" s="19">
        <v>0.0</v>
      </c>
      <c r="AP208" s="19">
        <v>0.0</v>
      </c>
      <c r="AQ208" s="19">
        <v>1.0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1.0</v>
      </c>
      <c r="AW208" s="19">
        <v>0.0</v>
      </c>
      <c r="AX208" s="13">
        <f t="shared" si="40"/>
        <v>12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X211" si="41">SUM(E201:E210)</f>
        <v>37</v>
      </c>
      <c r="F211" s="13">
        <f t="shared" si="41"/>
        <v>16</v>
      </c>
      <c r="G211" s="13">
        <f t="shared" si="41"/>
        <v>11</v>
      </c>
      <c r="H211" s="13">
        <f t="shared" si="41"/>
        <v>8</v>
      </c>
      <c r="I211" s="13">
        <f t="shared" si="41"/>
        <v>13</v>
      </c>
      <c r="J211" s="13">
        <f t="shared" si="41"/>
        <v>6</v>
      </c>
      <c r="K211" s="13">
        <f t="shared" si="41"/>
        <v>9</v>
      </c>
      <c r="L211" s="13">
        <f t="shared" si="41"/>
        <v>5</v>
      </c>
      <c r="M211" s="13">
        <f t="shared" si="41"/>
        <v>16</v>
      </c>
      <c r="N211" s="13">
        <f t="shared" si="41"/>
        <v>21</v>
      </c>
      <c r="O211" s="13">
        <f t="shared" si="41"/>
        <v>4</v>
      </c>
      <c r="P211" s="13">
        <f t="shared" si="41"/>
        <v>12</v>
      </c>
      <c r="Q211" s="13">
        <f t="shared" si="41"/>
        <v>5</v>
      </c>
      <c r="R211" s="13">
        <f t="shared" si="41"/>
        <v>7</v>
      </c>
      <c r="S211" s="13">
        <f t="shared" si="41"/>
        <v>7</v>
      </c>
      <c r="T211" s="13">
        <f t="shared" si="41"/>
        <v>3</v>
      </c>
      <c r="U211" s="13">
        <f t="shared" si="41"/>
        <v>7</v>
      </c>
      <c r="V211" s="13">
        <f t="shared" si="41"/>
        <v>7</v>
      </c>
      <c r="W211" s="13">
        <f t="shared" si="41"/>
        <v>3</v>
      </c>
      <c r="X211" s="13">
        <f t="shared" si="41"/>
        <v>2</v>
      </c>
      <c r="Y211" s="13">
        <f t="shared" si="41"/>
        <v>4</v>
      </c>
      <c r="Z211" s="13">
        <f t="shared" si="41"/>
        <v>6</v>
      </c>
      <c r="AA211" s="13">
        <f t="shared" si="41"/>
        <v>6</v>
      </c>
      <c r="AB211" s="13">
        <f t="shared" si="41"/>
        <v>10</v>
      </c>
      <c r="AC211" s="13">
        <f t="shared" si="41"/>
        <v>14</v>
      </c>
      <c r="AD211" s="13">
        <f t="shared" si="41"/>
        <v>5</v>
      </c>
      <c r="AE211" s="13">
        <f t="shared" si="41"/>
        <v>11</v>
      </c>
      <c r="AF211" s="13">
        <f t="shared" si="41"/>
        <v>20</v>
      </c>
      <c r="AG211" s="13">
        <f t="shared" si="41"/>
        <v>5</v>
      </c>
      <c r="AH211" s="13">
        <f t="shared" si="41"/>
        <v>5</v>
      </c>
      <c r="AI211" s="13">
        <f t="shared" si="41"/>
        <v>3</v>
      </c>
      <c r="AJ211" s="13">
        <f t="shared" si="41"/>
        <v>7</v>
      </c>
      <c r="AK211" s="13">
        <f t="shared" si="41"/>
        <v>5</v>
      </c>
      <c r="AL211" s="13">
        <f t="shared" si="41"/>
        <v>6</v>
      </c>
      <c r="AM211" s="13">
        <f t="shared" si="41"/>
        <v>14</v>
      </c>
      <c r="AN211" s="13">
        <f t="shared" si="41"/>
        <v>4</v>
      </c>
      <c r="AO211" s="13">
        <f t="shared" si="41"/>
        <v>6</v>
      </c>
      <c r="AP211" s="13">
        <f t="shared" si="41"/>
        <v>67</v>
      </c>
      <c r="AQ211" s="13">
        <f t="shared" si="41"/>
        <v>63</v>
      </c>
      <c r="AR211" s="13">
        <f t="shared" si="41"/>
        <v>48</v>
      </c>
      <c r="AS211" s="13">
        <f t="shared" si="41"/>
        <v>17</v>
      </c>
      <c r="AT211" s="13">
        <f t="shared" si="41"/>
        <v>42</v>
      </c>
      <c r="AU211" s="13">
        <f t="shared" si="41"/>
        <v>35</v>
      </c>
      <c r="AV211" s="13">
        <f t="shared" si="41"/>
        <v>19</v>
      </c>
      <c r="AW211" s="13">
        <f t="shared" si="41"/>
        <v>36</v>
      </c>
      <c r="AX211" s="13">
        <f t="shared" si="41"/>
        <v>657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2.0</v>
      </c>
      <c r="H213" s="19">
        <v>1.0</v>
      </c>
      <c r="I213" s="19">
        <v>5.0</v>
      </c>
      <c r="J213" s="19">
        <v>1.0</v>
      </c>
      <c r="K213" s="19">
        <v>1.0</v>
      </c>
      <c r="L213" s="19">
        <v>0.0</v>
      </c>
      <c r="M213" s="19">
        <v>3.0</v>
      </c>
      <c r="N213" s="19">
        <v>0.0</v>
      </c>
      <c r="O213" s="19">
        <v>1.0</v>
      </c>
      <c r="P213" s="19">
        <v>0.0</v>
      </c>
      <c r="Q213" s="19">
        <v>0.0</v>
      </c>
      <c r="R213" s="19">
        <v>3.0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1.0</v>
      </c>
      <c r="Z213" s="19">
        <v>0.0</v>
      </c>
      <c r="AA213" s="19">
        <v>0.0</v>
      </c>
      <c r="AB213" s="19">
        <v>1.0</v>
      </c>
      <c r="AC213" s="19">
        <v>0.0</v>
      </c>
      <c r="AD213" s="19">
        <v>3.0</v>
      </c>
      <c r="AE213" s="19">
        <v>2.0</v>
      </c>
      <c r="AF213" s="19">
        <v>0.0</v>
      </c>
      <c r="AG213" s="19">
        <v>0.0</v>
      </c>
      <c r="AH213" s="19">
        <v>1.0</v>
      </c>
      <c r="AI213" s="19">
        <v>1.0</v>
      </c>
      <c r="AJ213" s="19">
        <v>0.0</v>
      </c>
      <c r="AK213" s="19">
        <v>2.0</v>
      </c>
      <c r="AL213" s="19">
        <v>1.0</v>
      </c>
      <c r="AM213" s="19">
        <v>1.0</v>
      </c>
      <c r="AN213" s="19">
        <v>3.0</v>
      </c>
      <c r="AO213" s="19">
        <v>0.0</v>
      </c>
      <c r="AP213" s="19">
        <v>4.0</v>
      </c>
      <c r="AQ213" s="19">
        <v>4.0</v>
      </c>
      <c r="AR213" s="19">
        <v>0.0</v>
      </c>
      <c r="AS213" s="19">
        <v>0.0</v>
      </c>
      <c r="AT213" s="19">
        <v>1.0</v>
      </c>
      <c r="AU213" s="19">
        <v>2.0</v>
      </c>
      <c r="AV213" s="19">
        <v>2.0</v>
      </c>
      <c r="AW213" s="19">
        <v>0.0</v>
      </c>
      <c r="AX213" s="13">
        <f t="shared" ref="AX213:AX222" si="42">SUM(E213:AW213)</f>
        <v>48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1.0</v>
      </c>
      <c r="F214" s="19">
        <v>1.0</v>
      </c>
      <c r="G214" s="19">
        <v>1.0</v>
      </c>
      <c r="H214" s="19">
        <v>0.0</v>
      </c>
      <c r="I214" s="19">
        <v>2.0</v>
      </c>
      <c r="J214" s="19">
        <v>0.0</v>
      </c>
      <c r="K214" s="19">
        <v>2.0</v>
      </c>
      <c r="L214" s="19">
        <v>0.0</v>
      </c>
      <c r="M214" s="19">
        <v>1.0</v>
      </c>
      <c r="N214" s="19">
        <v>2.0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1.0</v>
      </c>
      <c r="V214" s="19">
        <v>0.0</v>
      </c>
      <c r="W214" s="19">
        <v>1.0</v>
      </c>
      <c r="X214" s="19">
        <v>3.0</v>
      </c>
      <c r="Y214" s="19">
        <v>2.0</v>
      </c>
      <c r="Z214" s="19">
        <v>1.0</v>
      </c>
      <c r="AA214" s="19">
        <v>0.0</v>
      </c>
      <c r="AB214" s="19">
        <v>1.0</v>
      </c>
      <c r="AC214" s="19">
        <v>0.0</v>
      </c>
      <c r="AD214" s="19">
        <v>0.0</v>
      </c>
      <c r="AE214" s="19">
        <v>1.0</v>
      </c>
      <c r="AF214" s="19">
        <v>1.0</v>
      </c>
      <c r="AG214" s="19">
        <v>2.0</v>
      </c>
      <c r="AH214" s="19">
        <v>2.0</v>
      </c>
      <c r="AI214" s="19">
        <v>0.0</v>
      </c>
      <c r="AJ214" s="19">
        <v>2.0</v>
      </c>
      <c r="AK214" s="19">
        <v>0.0</v>
      </c>
      <c r="AL214" s="19">
        <v>0.0</v>
      </c>
      <c r="AM214" s="19">
        <v>1.0</v>
      </c>
      <c r="AN214" s="19">
        <v>1.0</v>
      </c>
      <c r="AO214" s="19">
        <v>1.0</v>
      </c>
      <c r="AP214" s="19">
        <v>0.0</v>
      </c>
      <c r="AQ214" s="19">
        <v>3.0</v>
      </c>
      <c r="AR214" s="19">
        <v>2.0</v>
      </c>
      <c r="AS214" s="19">
        <v>0.0</v>
      </c>
      <c r="AT214" s="19">
        <v>1.0</v>
      </c>
      <c r="AU214" s="19">
        <v>4.0</v>
      </c>
      <c r="AV214" s="19">
        <v>0.0</v>
      </c>
      <c r="AW214" s="19">
        <v>3.0</v>
      </c>
      <c r="AX214" s="13">
        <f t="shared" si="42"/>
        <v>43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1.0</v>
      </c>
      <c r="F215" s="19">
        <v>1.0</v>
      </c>
      <c r="G215" s="19">
        <v>2.0</v>
      </c>
      <c r="H215" s="19">
        <v>0.0</v>
      </c>
      <c r="I215" s="19">
        <v>1.0</v>
      </c>
      <c r="J215" s="19">
        <v>1.0</v>
      </c>
      <c r="K215" s="19">
        <v>1.0</v>
      </c>
      <c r="L215" s="19">
        <v>0.0</v>
      </c>
      <c r="M215" s="19">
        <v>3.0</v>
      </c>
      <c r="N215" s="19">
        <v>0.0</v>
      </c>
      <c r="O215" s="19">
        <v>0.0</v>
      </c>
      <c r="P215" s="19">
        <v>0.0</v>
      </c>
      <c r="Q215" s="19">
        <v>1.0</v>
      </c>
      <c r="R215" s="19">
        <v>1.0</v>
      </c>
      <c r="S215" s="19">
        <v>1.0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9">
        <v>1.0</v>
      </c>
      <c r="Z215" s="19">
        <v>0.0</v>
      </c>
      <c r="AA215" s="19">
        <v>3.0</v>
      </c>
      <c r="AB215" s="19">
        <v>2.0</v>
      </c>
      <c r="AC215" s="19">
        <v>0.0</v>
      </c>
      <c r="AD215" s="19">
        <v>0.0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1.0</v>
      </c>
      <c r="AJ215" s="19">
        <v>0.0</v>
      </c>
      <c r="AK215" s="19">
        <v>3.0</v>
      </c>
      <c r="AL215" s="19">
        <v>0.0</v>
      </c>
      <c r="AM215" s="19">
        <v>0.0</v>
      </c>
      <c r="AN215" s="19">
        <v>1.0</v>
      </c>
      <c r="AO215" s="19">
        <v>0.0</v>
      </c>
      <c r="AP215" s="19">
        <v>0.0</v>
      </c>
      <c r="AQ215" s="19">
        <v>2.0</v>
      </c>
      <c r="AR215" s="19">
        <v>1.0</v>
      </c>
      <c r="AS215" s="19">
        <v>0.0</v>
      </c>
      <c r="AT215" s="19">
        <v>1.0</v>
      </c>
      <c r="AU215" s="19">
        <v>1.0</v>
      </c>
      <c r="AV215" s="19">
        <v>1.0</v>
      </c>
      <c r="AW215" s="19">
        <v>1.0</v>
      </c>
      <c r="AX215" s="13">
        <f t="shared" si="42"/>
        <v>31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2.0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1.0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3">
        <f t="shared" si="42"/>
        <v>6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1.0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3">
        <f t="shared" si="42"/>
        <v>5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1.0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1.0</v>
      </c>
      <c r="AC219" s="19">
        <v>0.0</v>
      </c>
      <c r="AD219" s="19">
        <v>0.0</v>
      </c>
      <c r="AE219" s="19">
        <v>1.0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1.0</v>
      </c>
      <c r="AP219" s="19">
        <v>0.0</v>
      </c>
      <c r="AQ219" s="19">
        <v>1.0</v>
      </c>
      <c r="AR219" s="19">
        <v>0.0</v>
      </c>
      <c r="AS219" s="19">
        <v>0.0</v>
      </c>
      <c r="AT219" s="19">
        <v>2.0</v>
      </c>
      <c r="AU219" s="19">
        <v>0.0</v>
      </c>
      <c r="AV219" s="19">
        <v>0.0</v>
      </c>
      <c r="AW219" s="19">
        <v>0.0</v>
      </c>
      <c r="AX219" s="13">
        <f t="shared" si="42"/>
        <v>11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1.0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3">
        <f t="shared" si="42"/>
        <v>3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X223" si="43">SUM(E213:E222)</f>
        <v>3</v>
      </c>
      <c r="F223" s="13">
        <f t="shared" si="43"/>
        <v>6</v>
      </c>
      <c r="G223" s="13">
        <f t="shared" si="43"/>
        <v>5</v>
      </c>
      <c r="H223" s="13">
        <f t="shared" si="43"/>
        <v>1</v>
      </c>
      <c r="I223" s="13">
        <f t="shared" si="43"/>
        <v>9</v>
      </c>
      <c r="J223" s="13">
        <f t="shared" si="43"/>
        <v>2</v>
      </c>
      <c r="K223" s="13">
        <f t="shared" si="43"/>
        <v>4</v>
      </c>
      <c r="L223" s="13">
        <f t="shared" si="43"/>
        <v>2</v>
      </c>
      <c r="M223" s="13">
        <f t="shared" si="43"/>
        <v>7</v>
      </c>
      <c r="N223" s="13">
        <f t="shared" si="43"/>
        <v>3</v>
      </c>
      <c r="O223" s="13">
        <f t="shared" si="43"/>
        <v>1</v>
      </c>
      <c r="P223" s="13">
        <f t="shared" si="43"/>
        <v>0</v>
      </c>
      <c r="Q223" s="13">
        <f t="shared" si="43"/>
        <v>1</v>
      </c>
      <c r="R223" s="13">
        <f t="shared" si="43"/>
        <v>4</v>
      </c>
      <c r="S223" s="13">
        <f t="shared" si="43"/>
        <v>1</v>
      </c>
      <c r="T223" s="13">
        <f t="shared" si="43"/>
        <v>0</v>
      </c>
      <c r="U223" s="13">
        <f t="shared" si="43"/>
        <v>1</v>
      </c>
      <c r="V223" s="13">
        <f t="shared" si="43"/>
        <v>2</v>
      </c>
      <c r="W223" s="13">
        <f t="shared" si="43"/>
        <v>1</v>
      </c>
      <c r="X223" s="13">
        <f t="shared" si="43"/>
        <v>6</v>
      </c>
      <c r="Y223" s="13">
        <f t="shared" si="43"/>
        <v>6</v>
      </c>
      <c r="Z223" s="13">
        <f t="shared" si="43"/>
        <v>1</v>
      </c>
      <c r="AA223" s="13">
        <f t="shared" si="43"/>
        <v>3</v>
      </c>
      <c r="AB223" s="13">
        <f t="shared" si="43"/>
        <v>7</v>
      </c>
      <c r="AC223" s="13">
        <f t="shared" si="43"/>
        <v>0</v>
      </c>
      <c r="AD223" s="13">
        <f t="shared" si="43"/>
        <v>3</v>
      </c>
      <c r="AE223" s="13">
        <f t="shared" si="43"/>
        <v>4</v>
      </c>
      <c r="AF223" s="13">
        <f t="shared" si="43"/>
        <v>1</v>
      </c>
      <c r="AG223" s="13">
        <f t="shared" si="43"/>
        <v>2</v>
      </c>
      <c r="AH223" s="13">
        <f t="shared" si="43"/>
        <v>3</v>
      </c>
      <c r="AI223" s="13">
        <f t="shared" si="43"/>
        <v>2</v>
      </c>
      <c r="AJ223" s="13">
        <f t="shared" si="43"/>
        <v>3</v>
      </c>
      <c r="AK223" s="13">
        <f t="shared" si="43"/>
        <v>5</v>
      </c>
      <c r="AL223" s="13">
        <f t="shared" si="43"/>
        <v>2</v>
      </c>
      <c r="AM223" s="13">
        <f t="shared" si="43"/>
        <v>2</v>
      </c>
      <c r="AN223" s="13">
        <f t="shared" si="43"/>
        <v>5</v>
      </c>
      <c r="AO223" s="13">
        <f t="shared" si="43"/>
        <v>2</v>
      </c>
      <c r="AP223" s="13">
        <f t="shared" si="43"/>
        <v>4</v>
      </c>
      <c r="AQ223" s="13">
        <f t="shared" si="43"/>
        <v>10</v>
      </c>
      <c r="AR223" s="13">
        <f t="shared" si="43"/>
        <v>4</v>
      </c>
      <c r="AS223" s="13">
        <f t="shared" si="43"/>
        <v>0</v>
      </c>
      <c r="AT223" s="13">
        <f t="shared" si="43"/>
        <v>5</v>
      </c>
      <c r="AU223" s="13">
        <f t="shared" si="43"/>
        <v>7</v>
      </c>
      <c r="AV223" s="13">
        <f t="shared" si="43"/>
        <v>3</v>
      </c>
      <c r="AW223" s="13">
        <f t="shared" si="43"/>
        <v>4</v>
      </c>
      <c r="AX223" s="13">
        <f t="shared" si="43"/>
        <v>147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3.0</v>
      </c>
      <c r="AC225" s="19">
        <v>0.0</v>
      </c>
      <c r="AD225" s="19">
        <v>0.0</v>
      </c>
      <c r="AE225" s="19">
        <v>0.0</v>
      </c>
      <c r="AF225" s="19">
        <v>1.0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1.0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3">
        <f t="shared" ref="AX225:AX234" si="44">SUM(E225:AW225)</f>
        <v>7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2.0</v>
      </c>
      <c r="F226" s="19">
        <v>2.0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2.0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2.0</v>
      </c>
      <c r="Y226" s="19">
        <v>0.0</v>
      </c>
      <c r="Z226" s="19">
        <v>0.0</v>
      </c>
      <c r="AA226" s="19">
        <v>1.0</v>
      </c>
      <c r="AB226" s="19">
        <v>9.0</v>
      </c>
      <c r="AC226" s="19">
        <v>0.0</v>
      </c>
      <c r="AD226" s="19">
        <v>0.0</v>
      </c>
      <c r="AE226" s="19">
        <v>8.0</v>
      </c>
      <c r="AF226" s="19">
        <v>0.0</v>
      </c>
      <c r="AG226" s="19">
        <v>1.0</v>
      </c>
      <c r="AH226" s="19">
        <v>0.0</v>
      </c>
      <c r="AI226" s="19">
        <v>0.0</v>
      </c>
      <c r="AJ226" s="19">
        <v>5.0</v>
      </c>
      <c r="AK226" s="19">
        <v>0.0</v>
      </c>
      <c r="AL226" s="19">
        <v>1.0</v>
      </c>
      <c r="AM226" s="19">
        <v>1.0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1.0</v>
      </c>
      <c r="AS226" s="19">
        <v>0.0</v>
      </c>
      <c r="AT226" s="19">
        <v>0.0</v>
      </c>
      <c r="AU226" s="19">
        <v>0.0</v>
      </c>
      <c r="AV226" s="19">
        <v>0.0</v>
      </c>
      <c r="AW226" s="19">
        <v>0.0</v>
      </c>
      <c r="AX226" s="13">
        <f t="shared" si="44"/>
        <v>36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1.0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2.0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3">
        <f t="shared" si="44"/>
        <v>4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1.0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1.0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3">
        <f t="shared" si="44"/>
        <v>3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1.0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3">
        <f t="shared" si="44"/>
        <v>1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0.0</v>
      </c>
      <c r="H232" s="19">
        <v>0.0</v>
      </c>
      <c r="I232" s="19">
        <v>1.0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1.0</v>
      </c>
      <c r="AV232" s="19">
        <v>0.0</v>
      </c>
      <c r="AW232" s="19">
        <v>0.0</v>
      </c>
      <c r="AX232" s="13">
        <f t="shared" si="44"/>
        <v>4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X235" si="45">SUM(E225:E234)</f>
        <v>2</v>
      </c>
      <c r="F235" s="13">
        <f t="shared" si="45"/>
        <v>2</v>
      </c>
      <c r="G235" s="13">
        <f t="shared" si="45"/>
        <v>1</v>
      </c>
      <c r="H235" s="13">
        <f t="shared" si="45"/>
        <v>0</v>
      </c>
      <c r="I235" s="13">
        <f t="shared" si="45"/>
        <v>4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2</v>
      </c>
      <c r="AA235" s="13">
        <f t="shared" si="45"/>
        <v>1</v>
      </c>
      <c r="AB235" s="13">
        <f t="shared" si="45"/>
        <v>13</v>
      </c>
      <c r="AC235" s="13">
        <f t="shared" si="45"/>
        <v>0</v>
      </c>
      <c r="AD235" s="13">
        <f t="shared" si="45"/>
        <v>0</v>
      </c>
      <c r="AE235" s="13">
        <f t="shared" si="45"/>
        <v>9</v>
      </c>
      <c r="AF235" s="13">
        <f t="shared" si="45"/>
        <v>1</v>
      </c>
      <c r="AG235" s="13">
        <f t="shared" si="45"/>
        <v>1</v>
      </c>
      <c r="AH235" s="13">
        <f t="shared" si="45"/>
        <v>0</v>
      </c>
      <c r="AI235" s="13">
        <f t="shared" si="45"/>
        <v>0</v>
      </c>
      <c r="AJ235" s="13">
        <f t="shared" si="45"/>
        <v>5</v>
      </c>
      <c r="AK235" s="13">
        <f t="shared" si="45"/>
        <v>1</v>
      </c>
      <c r="AL235" s="13">
        <f t="shared" si="45"/>
        <v>1</v>
      </c>
      <c r="AM235" s="13">
        <f t="shared" si="45"/>
        <v>2</v>
      </c>
      <c r="AN235" s="13">
        <f t="shared" si="45"/>
        <v>0</v>
      </c>
      <c r="AO235" s="13">
        <f t="shared" si="45"/>
        <v>3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0</v>
      </c>
      <c r="AU235" s="13">
        <f t="shared" si="45"/>
        <v>1</v>
      </c>
      <c r="AV235" s="13">
        <f t="shared" si="45"/>
        <v>0</v>
      </c>
      <c r="AW235" s="13">
        <f t="shared" si="45"/>
        <v>0</v>
      </c>
      <c r="AX235" s="13">
        <f t="shared" si="45"/>
        <v>55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2.0</v>
      </c>
      <c r="I237" s="19">
        <v>0.0</v>
      </c>
      <c r="J237" s="19">
        <v>0.0</v>
      </c>
      <c r="K237" s="19">
        <v>4.0</v>
      </c>
      <c r="L237" s="19">
        <v>1.0</v>
      </c>
      <c r="M237" s="19">
        <v>3.0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9">
        <v>0.0</v>
      </c>
      <c r="U237" s="19">
        <v>0.0</v>
      </c>
      <c r="V237" s="19">
        <v>1.0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2.0</v>
      </c>
      <c r="AD237" s="19">
        <v>0.0</v>
      </c>
      <c r="AE237" s="19">
        <v>0.0</v>
      </c>
      <c r="AF237" s="19">
        <v>1.0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1.0</v>
      </c>
      <c r="AP237" s="19">
        <v>0.0</v>
      </c>
      <c r="AQ237" s="19">
        <v>1.0</v>
      </c>
      <c r="AR237" s="19">
        <v>0.0</v>
      </c>
      <c r="AS237" s="19">
        <v>1.0</v>
      </c>
      <c r="AT237" s="19">
        <v>0.0</v>
      </c>
      <c r="AU237" s="19">
        <v>2.0</v>
      </c>
      <c r="AV237" s="19">
        <v>0.0</v>
      </c>
      <c r="AW237" s="19">
        <v>1.0</v>
      </c>
      <c r="AX237" s="13">
        <f t="shared" ref="AX237:AX246" si="46">SUM(E237:AW237)</f>
        <v>22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2.0</v>
      </c>
      <c r="G238" s="19">
        <v>0.0</v>
      </c>
      <c r="H238" s="19">
        <v>0.0</v>
      </c>
      <c r="I238" s="19">
        <v>0.0</v>
      </c>
      <c r="J238" s="19">
        <v>1.0</v>
      </c>
      <c r="K238" s="19">
        <v>8.0</v>
      </c>
      <c r="L238" s="19">
        <v>3.0</v>
      </c>
      <c r="M238" s="19">
        <v>1.0</v>
      </c>
      <c r="N238" s="19">
        <v>3.0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1.0</v>
      </c>
      <c r="AK238" s="19">
        <v>2.0</v>
      </c>
      <c r="AL238" s="19">
        <v>0.0</v>
      </c>
      <c r="AM238" s="19">
        <v>2.0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3">
        <f t="shared" si="46"/>
        <v>27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0.0</v>
      </c>
      <c r="F239" s="19">
        <v>1.0</v>
      </c>
      <c r="G239" s="19">
        <v>0.0</v>
      </c>
      <c r="H239" s="19">
        <v>1.0</v>
      </c>
      <c r="I239" s="19">
        <v>1.0</v>
      </c>
      <c r="J239" s="19">
        <v>0.0</v>
      </c>
      <c r="K239" s="19">
        <v>10.0</v>
      </c>
      <c r="L239" s="19">
        <v>3.0</v>
      </c>
      <c r="M239" s="19">
        <v>3.0</v>
      </c>
      <c r="N239" s="19">
        <v>1.0</v>
      </c>
      <c r="O239" s="19">
        <v>0.0</v>
      </c>
      <c r="P239" s="19">
        <v>0.0</v>
      </c>
      <c r="Q239" s="19">
        <v>1.0</v>
      </c>
      <c r="R239" s="19">
        <v>0.0</v>
      </c>
      <c r="S239" s="19">
        <v>1.0</v>
      </c>
      <c r="T239" s="19">
        <v>0.0</v>
      </c>
      <c r="U239" s="19">
        <v>0.0</v>
      </c>
      <c r="V239" s="19">
        <v>1.0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1.0</v>
      </c>
      <c r="AB239" s="19">
        <v>0.0</v>
      </c>
      <c r="AC239" s="19">
        <v>0.0</v>
      </c>
      <c r="AD239" s="19">
        <v>1.0</v>
      </c>
      <c r="AE239" s="19">
        <v>0.0</v>
      </c>
      <c r="AF239" s="19">
        <v>0.0</v>
      </c>
      <c r="AG239" s="19">
        <v>1.0</v>
      </c>
      <c r="AH239" s="19">
        <v>2.0</v>
      </c>
      <c r="AI239" s="19">
        <v>2.0</v>
      </c>
      <c r="AJ239" s="19">
        <v>2.0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1.0</v>
      </c>
      <c r="AU239" s="19">
        <v>0.0</v>
      </c>
      <c r="AV239" s="19">
        <v>0.0</v>
      </c>
      <c r="AW239" s="19">
        <v>0.0</v>
      </c>
      <c r="AX239" s="13">
        <f t="shared" si="46"/>
        <v>33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2.0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1.0</v>
      </c>
      <c r="AP240" s="19">
        <v>0.0</v>
      </c>
      <c r="AQ240" s="19">
        <v>1.0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3">
        <f t="shared" si="46"/>
        <v>6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1.0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1.0</v>
      </c>
      <c r="AT241" s="19">
        <v>0.0</v>
      </c>
      <c r="AU241" s="19">
        <v>0.0</v>
      </c>
      <c r="AV241" s="19">
        <v>0.0</v>
      </c>
      <c r="AW241" s="19">
        <v>1.0</v>
      </c>
      <c r="AX241" s="13">
        <f t="shared" si="46"/>
        <v>7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1.0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1.0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1.0</v>
      </c>
      <c r="AU242" s="19">
        <v>0.0</v>
      </c>
      <c r="AV242" s="19">
        <v>0.0</v>
      </c>
      <c r="AW242" s="19">
        <v>0.0</v>
      </c>
      <c r="AX242" s="13">
        <f t="shared" si="46"/>
        <v>3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1.0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1.0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2.0</v>
      </c>
      <c r="T244" s="19">
        <v>0.0</v>
      </c>
      <c r="U244" s="19">
        <v>1.0</v>
      </c>
      <c r="V244" s="19">
        <v>0.0</v>
      </c>
      <c r="W244" s="19">
        <v>0.0</v>
      </c>
      <c r="X244" s="19">
        <v>0.0</v>
      </c>
      <c r="Y244" s="19">
        <v>0.0</v>
      </c>
      <c r="Z244" s="19">
        <v>1.0</v>
      </c>
      <c r="AA244" s="19">
        <v>0.0</v>
      </c>
      <c r="AB244" s="19">
        <v>0.0</v>
      </c>
      <c r="AC244" s="19">
        <v>0.0</v>
      </c>
      <c r="AD244" s="19">
        <v>1.0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1.0</v>
      </c>
      <c r="AK244" s="19">
        <v>1.0</v>
      </c>
      <c r="AL244" s="19">
        <v>0.0</v>
      </c>
      <c r="AM244" s="19">
        <v>0.0</v>
      </c>
      <c r="AN244" s="19">
        <v>1.0</v>
      </c>
      <c r="AO244" s="19">
        <v>0.0</v>
      </c>
      <c r="AP244" s="19">
        <v>0.0</v>
      </c>
      <c r="AQ244" s="19">
        <v>0.0</v>
      </c>
      <c r="AR244" s="19">
        <v>0.0</v>
      </c>
      <c r="AS244" s="19">
        <v>1.0</v>
      </c>
      <c r="AT244" s="19">
        <v>1.0</v>
      </c>
      <c r="AU244" s="19">
        <v>0.0</v>
      </c>
      <c r="AV244" s="19">
        <v>2.0</v>
      </c>
      <c r="AW244" s="19">
        <v>1.0</v>
      </c>
      <c r="AX244" s="13">
        <f t="shared" si="46"/>
        <v>15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X247" si="47">SUM(E237:E246)</f>
        <v>0</v>
      </c>
      <c r="F247" s="13">
        <f t="shared" si="47"/>
        <v>4</v>
      </c>
      <c r="G247" s="13">
        <f t="shared" si="47"/>
        <v>0</v>
      </c>
      <c r="H247" s="13">
        <f t="shared" si="47"/>
        <v>3</v>
      </c>
      <c r="I247" s="13">
        <f t="shared" si="47"/>
        <v>1</v>
      </c>
      <c r="J247" s="13">
        <f t="shared" si="47"/>
        <v>1</v>
      </c>
      <c r="K247" s="13">
        <f t="shared" si="47"/>
        <v>26</v>
      </c>
      <c r="L247" s="13">
        <f t="shared" si="47"/>
        <v>8</v>
      </c>
      <c r="M247" s="13">
        <f t="shared" si="47"/>
        <v>8</v>
      </c>
      <c r="N247" s="13">
        <f t="shared" si="47"/>
        <v>4</v>
      </c>
      <c r="O247" s="13">
        <f t="shared" si="47"/>
        <v>1</v>
      </c>
      <c r="P247" s="13">
        <f t="shared" si="47"/>
        <v>0</v>
      </c>
      <c r="Q247" s="13">
        <f t="shared" si="47"/>
        <v>2</v>
      </c>
      <c r="R247" s="13">
        <f t="shared" si="47"/>
        <v>1</v>
      </c>
      <c r="S247" s="13">
        <f t="shared" si="47"/>
        <v>3</v>
      </c>
      <c r="T247" s="13">
        <f t="shared" si="47"/>
        <v>0</v>
      </c>
      <c r="U247" s="13">
        <f t="shared" si="47"/>
        <v>2</v>
      </c>
      <c r="V247" s="13">
        <f t="shared" si="47"/>
        <v>4</v>
      </c>
      <c r="W247" s="13">
        <f t="shared" si="47"/>
        <v>1</v>
      </c>
      <c r="X247" s="13">
        <f t="shared" si="47"/>
        <v>0</v>
      </c>
      <c r="Y247" s="13">
        <f t="shared" si="47"/>
        <v>0</v>
      </c>
      <c r="Z247" s="13">
        <f t="shared" si="47"/>
        <v>2</v>
      </c>
      <c r="AA247" s="13">
        <f t="shared" si="47"/>
        <v>2</v>
      </c>
      <c r="AB247" s="13">
        <f t="shared" si="47"/>
        <v>1</v>
      </c>
      <c r="AC247" s="13">
        <f t="shared" si="47"/>
        <v>2</v>
      </c>
      <c r="AD247" s="13">
        <f t="shared" si="47"/>
        <v>2</v>
      </c>
      <c r="AE247" s="13">
        <f t="shared" si="47"/>
        <v>1</v>
      </c>
      <c r="AF247" s="13">
        <f t="shared" si="47"/>
        <v>1</v>
      </c>
      <c r="AG247" s="13">
        <f t="shared" si="47"/>
        <v>1</v>
      </c>
      <c r="AH247" s="13">
        <f t="shared" si="47"/>
        <v>2</v>
      </c>
      <c r="AI247" s="13">
        <f t="shared" si="47"/>
        <v>2</v>
      </c>
      <c r="AJ247" s="13">
        <f t="shared" si="47"/>
        <v>5</v>
      </c>
      <c r="AK247" s="13">
        <f t="shared" si="47"/>
        <v>4</v>
      </c>
      <c r="AL247" s="13">
        <f t="shared" si="47"/>
        <v>0</v>
      </c>
      <c r="AM247" s="13">
        <f t="shared" si="47"/>
        <v>2</v>
      </c>
      <c r="AN247" s="13">
        <f t="shared" si="47"/>
        <v>1</v>
      </c>
      <c r="AO247" s="13">
        <f t="shared" si="47"/>
        <v>2</v>
      </c>
      <c r="AP247" s="13">
        <f t="shared" si="47"/>
        <v>0</v>
      </c>
      <c r="AQ247" s="13">
        <f t="shared" si="47"/>
        <v>2</v>
      </c>
      <c r="AR247" s="13">
        <f t="shared" si="47"/>
        <v>0</v>
      </c>
      <c r="AS247" s="13">
        <f t="shared" si="47"/>
        <v>3</v>
      </c>
      <c r="AT247" s="13">
        <f t="shared" si="47"/>
        <v>3</v>
      </c>
      <c r="AU247" s="13">
        <f t="shared" si="47"/>
        <v>2</v>
      </c>
      <c r="AV247" s="13">
        <f t="shared" si="47"/>
        <v>2</v>
      </c>
      <c r="AW247" s="13">
        <f t="shared" si="47"/>
        <v>3</v>
      </c>
      <c r="AX247" s="13">
        <f t="shared" si="47"/>
        <v>114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2.0</v>
      </c>
      <c r="I249" s="19">
        <v>0.0</v>
      </c>
      <c r="J249" s="19">
        <v>0.0</v>
      </c>
      <c r="K249" s="19">
        <v>1.0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2.0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1.0</v>
      </c>
      <c r="AJ249" s="19">
        <v>0.0</v>
      </c>
      <c r="AK249" s="19">
        <v>2.0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1.0</v>
      </c>
      <c r="AV249" s="19">
        <v>0.0</v>
      </c>
      <c r="AW249" s="19">
        <v>0.0</v>
      </c>
      <c r="AX249" s="13">
        <f t="shared" ref="AX249:AX258" si="48">SUM(E249:AW249)</f>
        <v>10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1.0</v>
      </c>
      <c r="Z250" s="19">
        <v>1.0</v>
      </c>
      <c r="AA250" s="19">
        <v>1.0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1.0</v>
      </c>
      <c r="AR250" s="19">
        <v>0.0</v>
      </c>
      <c r="AS250" s="19">
        <v>1.0</v>
      </c>
      <c r="AT250" s="19">
        <v>0.0</v>
      </c>
      <c r="AU250" s="19">
        <v>1.0</v>
      </c>
      <c r="AV250" s="19">
        <v>0.0</v>
      </c>
      <c r="AW250" s="19">
        <v>0.0</v>
      </c>
      <c r="AX250" s="13">
        <f t="shared" si="48"/>
        <v>6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2.0</v>
      </c>
      <c r="G251" s="19">
        <v>5.0</v>
      </c>
      <c r="H251" s="19">
        <v>0.0</v>
      </c>
      <c r="I251" s="19">
        <v>2.0</v>
      </c>
      <c r="J251" s="19">
        <v>0.0</v>
      </c>
      <c r="K251" s="19">
        <v>4.0</v>
      </c>
      <c r="L251" s="19">
        <v>4.0</v>
      </c>
      <c r="M251" s="19">
        <v>0.0</v>
      </c>
      <c r="N251" s="19">
        <v>1.0</v>
      </c>
      <c r="O251" s="19">
        <v>0.0</v>
      </c>
      <c r="P251" s="19">
        <v>1.0</v>
      </c>
      <c r="Q251" s="19">
        <v>1.0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2.0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1.0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1.0</v>
      </c>
      <c r="AN251" s="19">
        <v>0.0</v>
      </c>
      <c r="AO251" s="19">
        <v>0.0</v>
      </c>
      <c r="AP251" s="19">
        <v>0.0</v>
      </c>
      <c r="AQ251" s="19">
        <v>5.0</v>
      </c>
      <c r="AR251" s="19">
        <v>0.0</v>
      </c>
      <c r="AS251" s="19">
        <v>3.0</v>
      </c>
      <c r="AT251" s="19">
        <v>1.0</v>
      </c>
      <c r="AU251" s="19">
        <v>0.0</v>
      </c>
      <c r="AV251" s="19">
        <v>0.0</v>
      </c>
      <c r="AW251" s="19">
        <v>0.0</v>
      </c>
      <c r="AX251" s="13">
        <f t="shared" si="48"/>
        <v>33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1.0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3">
        <f t="shared" si="48"/>
        <v>1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1.0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1.0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3">
        <f t="shared" si="48"/>
        <v>2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2.0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1.0</v>
      </c>
      <c r="S254" s="19">
        <v>1.0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1.0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3">
        <f t="shared" si="48"/>
        <v>6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1.0</v>
      </c>
      <c r="AG255" s="19">
        <v>1.0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3">
        <f t="shared" si="48"/>
        <v>2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X259" si="49">SUM(E249:E258)</f>
        <v>1</v>
      </c>
      <c r="F259" s="13">
        <f t="shared" si="49"/>
        <v>2</v>
      </c>
      <c r="G259" s="13">
        <f t="shared" si="49"/>
        <v>5</v>
      </c>
      <c r="H259" s="13">
        <f t="shared" si="49"/>
        <v>2</v>
      </c>
      <c r="I259" s="13">
        <f t="shared" si="49"/>
        <v>2</v>
      </c>
      <c r="J259" s="13">
        <f t="shared" si="49"/>
        <v>2</v>
      </c>
      <c r="K259" s="13">
        <f t="shared" si="49"/>
        <v>5</v>
      </c>
      <c r="L259" s="13">
        <f t="shared" si="49"/>
        <v>4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1</v>
      </c>
      <c r="R259" s="13">
        <f t="shared" si="49"/>
        <v>1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2</v>
      </c>
      <c r="X259" s="13">
        <f t="shared" si="49"/>
        <v>1</v>
      </c>
      <c r="Y259" s="13">
        <f t="shared" si="49"/>
        <v>3</v>
      </c>
      <c r="Z259" s="13">
        <f t="shared" si="49"/>
        <v>1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2</v>
      </c>
      <c r="AH259" s="13">
        <f t="shared" si="49"/>
        <v>0</v>
      </c>
      <c r="AI259" s="13">
        <f t="shared" si="49"/>
        <v>2</v>
      </c>
      <c r="AJ259" s="13">
        <f t="shared" si="49"/>
        <v>0</v>
      </c>
      <c r="AK259" s="13">
        <f t="shared" si="49"/>
        <v>2</v>
      </c>
      <c r="AL259" s="13">
        <f t="shared" si="49"/>
        <v>0</v>
      </c>
      <c r="AM259" s="13">
        <f t="shared" si="49"/>
        <v>1</v>
      </c>
      <c r="AN259" s="13">
        <f t="shared" si="49"/>
        <v>2</v>
      </c>
      <c r="AO259" s="13">
        <f t="shared" si="49"/>
        <v>0</v>
      </c>
      <c r="AP259" s="13">
        <f t="shared" si="49"/>
        <v>0</v>
      </c>
      <c r="AQ259" s="13">
        <f t="shared" si="49"/>
        <v>6</v>
      </c>
      <c r="AR259" s="13">
        <f t="shared" si="49"/>
        <v>0</v>
      </c>
      <c r="AS259" s="13">
        <f t="shared" si="49"/>
        <v>4</v>
      </c>
      <c r="AT259" s="13">
        <f t="shared" si="49"/>
        <v>1</v>
      </c>
      <c r="AU259" s="13">
        <f t="shared" si="49"/>
        <v>2</v>
      </c>
      <c r="AV259" s="13">
        <f t="shared" si="49"/>
        <v>0</v>
      </c>
      <c r="AW259" s="13">
        <f t="shared" si="49"/>
        <v>0</v>
      </c>
      <c r="AX259" s="13">
        <f t="shared" si="49"/>
        <v>60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77"/>
      <c r="P261" s="77"/>
      <c r="Q261" s="77"/>
      <c r="R261" s="77"/>
      <c r="S261" s="77"/>
      <c r="T261" s="77"/>
      <c r="U261" s="77"/>
      <c r="V261" s="7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77"/>
      <c r="AK261" s="77"/>
      <c r="AL261" s="77"/>
      <c r="AM261" s="77"/>
      <c r="AN261" s="77"/>
      <c r="AO261" s="77"/>
      <c r="AP261" s="77"/>
      <c r="AQ261" s="77"/>
      <c r="AR261" s="13"/>
      <c r="AS261" s="13"/>
      <c r="AT261" s="13"/>
      <c r="AU261" s="13"/>
      <c r="AV261" s="13"/>
      <c r="AW261" s="13"/>
      <c r="AX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W262" si="50">E55+E67+E79+E91+E103+E115+E127+E139+E151+E163+E175+E187+E199+E211+E223+E235+E247+E259</f>
        <v>181</v>
      </c>
      <c r="F262" s="19">
        <f t="shared" si="50"/>
        <v>198</v>
      </c>
      <c r="G262" s="19">
        <f t="shared" si="50"/>
        <v>168</v>
      </c>
      <c r="H262" s="19">
        <f t="shared" si="50"/>
        <v>192</v>
      </c>
      <c r="I262" s="19">
        <f t="shared" si="50"/>
        <v>195</v>
      </c>
      <c r="J262" s="19">
        <f t="shared" si="50"/>
        <v>115</v>
      </c>
      <c r="K262" s="19">
        <f t="shared" si="50"/>
        <v>156</v>
      </c>
      <c r="L262" s="19">
        <f t="shared" si="50"/>
        <v>205</v>
      </c>
      <c r="M262" s="19">
        <f t="shared" si="50"/>
        <v>176</v>
      </c>
      <c r="N262" s="19">
        <f t="shared" si="50"/>
        <v>148</v>
      </c>
      <c r="O262" s="19">
        <f t="shared" si="50"/>
        <v>149</v>
      </c>
      <c r="P262" s="19">
        <f t="shared" si="50"/>
        <v>141</v>
      </c>
      <c r="Q262" s="19">
        <f t="shared" si="50"/>
        <v>209</v>
      </c>
      <c r="R262" s="19">
        <f t="shared" si="50"/>
        <v>195</v>
      </c>
      <c r="S262" s="19">
        <f t="shared" si="50"/>
        <v>168</v>
      </c>
      <c r="T262" s="19">
        <f t="shared" si="50"/>
        <v>141</v>
      </c>
      <c r="U262" s="19">
        <f t="shared" si="50"/>
        <v>220</v>
      </c>
      <c r="V262" s="19">
        <f t="shared" si="50"/>
        <v>201</v>
      </c>
      <c r="W262" s="19">
        <f t="shared" si="50"/>
        <v>186</v>
      </c>
      <c r="X262" s="19">
        <f t="shared" si="50"/>
        <v>193</v>
      </c>
      <c r="Y262" s="19">
        <f t="shared" si="50"/>
        <v>200</v>
      </c>
      <c r="Z262" s="19">
        <f t="shared" si="50"/>
        <v>182</v>
      </c>
      <c r="AA262" s="19">
        <f t="shared" si="50"/>
        <v>193</v>
      </c>
      <c r="AB262" s="19">
        <f t="shared" si="50"/>
        <v>195</v>
      </c>
      <c r="AC262" s="19">
        <f t="shared" si="50"/>
        <v>173</v>
      </c>
      <c r="AD262" s="19">
        <f t="shared" si="50"/>
        <v>164</v>
      </c>
      <c r="AE262" s="19">
        <f t="shared" si="50"/>
        <v>192</v>
      </c>
      <c r="AF262" s="19">
        <f t="shared" si="50"/>
        <v>176</v>
      </c>
      <c r="AG262" s="19">
        <f t="shared" si="50"/>
        <v>207</v>
      </c>
      <c r="AH262" s="19">
        <f t="shared" si="50"/>
        <v>209</v>
      </c>
      <c r="AI262" s="19">
        <f t="shared" si="50"/>
        <v>155</v>
      </c>
      <c r="AJ262" s="19">
        <f t="shared" si="50"/>
        <v>214</v>
      </c>
      <c r="AK262" s="19">
        <f t="shared" si="50"/>
        <v>144</v>
      </c>
      <c r="AL262" s="19">
        <f t="shared" si="50"/>
        <v>171</v>
      </c>
      <c r="AM262" s="19">
        <f t="shared" si="50"/>
        <v>191</v>
      </c>
      <c r="AN262" s="19">
        <f t="shared" si="50"/>
        <v>174</v>
      </c>
      <c r="AO262" s="19">
        <f t="shared" si="50"/>
        <v>140</v>
      </c>
      <c r="AP262" s="19">
        <f t="shared" si="50"/>
        <v>212</v>
      </c>
      <c r="AQ262" s="19">
        <f t="shared" si="50"/>
        <v>209</v>
      </c>
      <c r="AR262" s="19">
        <f t="shared" si="50"/>
        <v>189</v>
      </c>
      <c r="AS262" s="19">
        <f t="shared" si="50"/>
        <v>209</v>
      </c>
      <c r="AT262" s="19">
        <f t="shared" si="50"/>
        <v>201</v>
      </c>
      <c r="AU262" s="19">
        <f t="shared" si="50"/>
        <v>174</v>
      </c>
      <c r="AV262" s="19">
        <f t="shared" si="50"/>
        <v>196</v>
      </c>
      <c r="AW262" s="19">
        <f t="shared" si="50"/>
        <v>193</v>
      </c>
      <c r="AX262" s="13">
        <f t="shared" ref="AX262:AX264" si="51">SUM(E262:AW262)</f>
        <v>8200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28.0</v>
      </c>
      <c r="F263" s="19">
        <v>32.0</v>
      </c>
      <c r="G263" s="19">
        <v>10.0</v>
      </c>
      <c r="H263" s="19">
        <v>27.0</v>
      </c>
      <c r="I263" s="19">
        <v>21.0</v>
      </c>
      <c r="J263" s="19">
        <v>22.0</v>
      </c>
      <c r="K263" s="19">
        <v>22.0</v>
      </c>
      <c r="L263" s="19">
        <v>17.0</v>
      </c>
      <c r="M263" s="19">
        <v>27.0</v>
      </c>
      <c r="N263" s="19">
        <v>16.0</v>
      </c>
      <c r="O263" s="19">
        <v>27.0</v>
      </c>
      <c r="P263" s="19">
        <v>9.0</v>
      </c>
      <c r="Q263" s="19">
        <v>19.0</v>
      </c>
      <c r="R263" s="19">
        <v>23.0</v>
      </c>
      <c r="S263" s="19">
        <v>28.0</v>
      </c>
      <c r="T263" s="19">
        <v>17.0</v>
      </c>
      <c r="U263" s="19">
        <v>11.0</v>
      </c>
      <c r="V263" s="19">
        <v>14.0</v>
      </c>
      <c r="W263" s="19">
        <v>28.0</v>
      </c>
      <c r="X263" s="19">
        <v>28.0</v>
      </c>
      <c r="Y263" s="19">
        <v>13.0</v>
      </c>
      <c r="Z263" s="19">
        <v>13.0</v>
      </c>
      <c r="AA263" s="19">
        <v>17.0</v>
      </c>
      <c r="AB263" s="19">
        <v>11.0</v>
      </c>
      <c r="AC263" s="19">
        <v>12.0</v>
      </c>
      <c r="AD263" s="19">
        <v>22.0</v>
      </c>
      <c r="AE263" s="19">
        <v>21.0</v>
      </c>
      <c r="AF263" s="19">
        <v>15.0</v>
      </c>
      <c r="AG263" s="19">
        <v>16.0</v>
      </c>
      <c r="AH263" s="19">
        <v>12.0</v>
      </c>
      <c r="AI263" s="19">
        <v>9.0</v>
      </c>
      <c r="AJ263" s="19">
        <v>14.0</v>
      </c>
      <c r="AK263" s="19">
        <v>29.0</v>
      </c>
      <c r="AL263" s="19">
        <v>26.0</v>
      </c>
      <c r="AM263" s="19">
        <v>25.0</v>
      </c>
      <c r="AN263" s="19">
        <v>23.0</v>
      </c>
      <c r="AO263" s="19">
        <v>12.0</v>
      </c>
      <c r="AP263" s="19">
        <v>21.0</v>
      </c>
      <c r="AQ263" s="19">
        <v>21.0</v>
      </c>
      <c r="AR263" s="19">
        <v>16.0</v>
      </c>
      <c r="AS263" s="19">
        <v>35.0</v>
      </c>
      <c r="AT263" s="19">
        <v>19.0</v>
      </c>
      <c r="AU263" s="19">
        <v>25.0</v>
      </c>
      <c r="AV263" s="19">
        <v>15.0</v>
      </c>
      <c r="AW263" s="19">
        <v>25.0</v>
      </c>
      <c r="AX263" s="13">
        <f t="shared" si="51"/>
        <v>893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W264" si="52">SUM(E262:E263)</f>
        <v>209</v>
      </c>
      <c r="F264" s="13">
        <f t="shared" si="52"/>
        <v>230</v>
      </c>
      <c r="G264" s="13">
        <f t="shared" si="52"/>
        <v>178</v>
      </c>
      <c r="H264" s="13">
        <f t="shared" si="52"/>
        <v>219</v>
      </c>
      <c r="I264" s="13">
        <f t="shared" si="52"/>
        <v>216</v>
      </c>
      <c r="J264" s="13">
        <f t="shared" si="52"/>
        <v>137</v>
      </c>
      <c r="K264" s="13">
        <f t="shared" si="52"/>
        <v>178</v>
      </c>
      <c r="L264" s="13">
        <f t="shared" si="52"/>
        <v>222</v>
      </c>
      <c r="M264" s="13">
        <f t="shared" si="52"/>
        <v>203</v>
      </c>
      <c r="N264" s="13">
        <f t="shared" si="52"/>
        <v>164</v>
      </c>
      <c r="O264" s="13">
        <f t="shared" si="52"/>
        <v>176</v>
      </c>
      <c r="P264" s="13">
        <f t="shared" si="52"/>
        <v>150</v>
      </c>
      <c r="Q264" s="13">
        <f t="shared" si="52"/>
        <v>228</v>
      </c>
      <c r="R264" s="13">
        <f t="shared" si="52"/>
        <v>218</v>
      </c>
      <c r="S264" s="13">
        <f t="shared" si="52"/>
        <v>196</v>
      </c>
      <c r="T264" s="13">
        <f t="shared" si="52"/>
        <v>158</v>
      </c>
      <c r="U264" s="13">
        <f t="shared" si="52"/>
        <v>231</v>
      </c>
      <c r="V264" s="13">
        <f t="shared" si="52"/>
        <v>215</v>
      </c>
      <c r="W264" s="13">
        <f t="shared" si="52"/>
        <v>214</v>
      </c>
      <c r="X264" s="13">
        <f t="shared" si="52"/>
        <v>221</v>
      </c>
      <c r="Y264" s="13">
        <f t="shared" si="52"/>
        <v>213</v>
      </c>
      <c r="Z264" s="13">
        <f t="shared" si="52"/>
        <v>195</v>
      </c>
      <c r="AA264" s="13">
        <f t="shared" si="52"/>
        <v>210</v>
      </c>
      <c r="AB264" s="13">
        <f t="shared" si="52"/>
        <v>206</v>
      </c>
      <c r="AC264" s="13">
        <f t="shared" si="52"/>
        <v>185</v>
      </c>
      <c r="AD264" s="13">
        <f t="shared" si="52"/>
        <v>186</v>
      </c>
      <c r="AE264" s="13">
        <f t="shared" si="52"/>
        <v>213</v>
      </c>
      <c r="AF264" s="13">
        <f t="shared" si="52"/>
        <v>191</v>
      </c>
      <c r="AG264" s="13">
        <f t="shared" si="52"/>
        <v>223</v>
      </c>
      <c r="AH264" s="13">
        <f t="shared" si="52"/>
        <v>221</v>
      </c>
      <c r="AI264" s="13">
        <f t="shared" si="52"/>
        <v>164</v>
      </c>
      <c r="AJ264" s="13">
        <f t="shared" si="52"/>
        <v>228</v>
      </c>
      <c r="AK264" s="13">
        <f t="shared" si="52"/>
        <v>173</v>
      </c>
      <c r="AL264" s="13">
        <f t="shared" si="52"/>
        <v>197</v>
      </c>
      <c r="AM264" s="13">
        <f t="shared" si="52"/>
        <v>216</v>
      </c>
      <c r="AN264" s="13">
        <f t="shared" si="52"/>
        <v>197</v>
      </c>
      <c r="AO264" s="13">
        <f t="shared" si="52"/>
        <v>152</v>
      </c>
      <c r="AP264" s="13">
        <f t="shared" si="52"/>
        <v>233</v>
      </c>
      <c r="AQ264" s="13">
        <f t="shared" si="52"/>
        <v>230</v>
      </c>
      <c r="AR264" s="13">
        <f t="shared" si="52"/>
        <v>205</v>
      </c>
      <c r="AS264" s="13">
        <f t="shared" si="52"/>
        <v>244</v>
      </c>
      <c r="AT264" s="13">
        <f t="shared" si="52"/>
        <v>220</v>
      </c>
      <c r="AU264" s="13">
        <f t="shared" si="52"/>
        <v>199</v>
      </c>
      <c r="AV264" s="13">
        <f t="shared" si="52"/>
        <v>211</v>
      </c>
      <c r="AW264" s="13">
        <f t="shared" si="52"/>
        <v>218</v>
      </c>
      <c r="AX264" s="13">
        <f t="shared" si="51"/>
        <v>9093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U37"/>
    <mergeCell ref="B38:D38"/>
    <mergeCell ref="B39:C41"/>
    <mergeCell ref="A42:D42"/>
    <mergeCell ref="E42:AU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34:U34 W34:AP34 AR34:AW34">
    <cfRule type="expression" dxfId="0" priority="1">
      <formula>E34&lt;&gt;E64</formula>
    </cfRule>
  </conditionalFormatting>
  <conditionalFormatting sqref="E14:AW15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E30&lt;&gt;E47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E45:AW54">
    <cfRule type="containsBlanks" dxfId="1" priority="10">
      <formula>LEN(TRIM(E45))=0</formula>
    </cfRule>
  </conditionalFormatting>
  <conditionalFormatting sqref="E57:AW66">
    <cfRule type="containsBlanks" dxfId="1" priority="11">
      <formula>LEN(TRIM(E57))=0</formula>
    </cfRule>
  </conditionalFormatting>
  <conditionalFormatting sqref="E69:AW78">
    <cfRule type="containsBlanks" dxfId="1" priority="12">
      <formula>LEN(TRIM(E69))=0</formula>
    </cfRule>
  </conditionalFormatting>
  <conditionalFormatting sqref="E81:AW90">
    <cfRule type="containsBlanks" dxfId="1" priority="13">
      <formula>LEN(TRIM(E81))=0</formula>
    </cfRule>
  </conditionalFormatting>
  <conditionalFormatting sqref="E93:AW102">
    <cfRule type="containsBlanks" dxfId="1" priority="14">
      <formula>LEN(TRIM(E93))=0</formula>
    </cfRule>
  </conditionalFormatting>
  <conditionalFormatting sqref="E105:AW114">
    <cfRule type="containsBlanks" dxfId="1" priority="15">
      <formula>LEN(TRIM(E105))=0</formula>
    </cfRule>
  </conditionalFormatting>
  <conditionalFormatting sqref="E117:AW126">
    <cfRule type="containsBlanks" dxfId="1" priority="16">
      <formula>LEN(TRIM(E117))=0</formula>
    </cfRule>
  </conditionalFormatting>
  <conditionalFormatting sqref="E129:AW138">
    <cfRule type="containsBlanks" dxfId="1" priority="17">
      <formula>LEN(TRIM(E129))=0</formula>
    </cfRule>
  </conditionalFormatting>
  <conditionalFormatting sqref="E141:AW150">
    <cfRule type="containsBlanks" dxfId="1" priority="18">
      <formula>LEN(TRIM(E141))=0</formula>
    </cfRule>
  </conditionalFormatting>
  <conditionalFormatting sqref="E153:AW162">
    <cfRule type="containsBlanks" dxfId="1" priority="19">
      <formula>LEN(TRIM(E153))=0</formula>
    </cfRule>
  </conditionalFormatting>
  <conditionalFormatting sqref="E165:AW174">
    <cfRule type="containsBlanks" dxfId="1" priority="20">
      <formula>LEN(TRIM(E165))=0</formula>
    </cfRule>
  </conditionalFormatting>
  <conditionalFormatting sqref="E177:AW186">
    <cfRule type="containsBlanks" dxfId="1" priority="21">
      <formula>LEN(TRIM(E177))=0</formula>
    </cfRule>
  </conditionalFormatting>
  <conditionalFormatting sqref="E189:AW198">
    <cfRule type="containsBlanks" dxfId="1" priority="22">
      <formula>LEN(TRIM(E189))=0</formula>
    </cfRule>
  </conditionalFormatting>
  <conditionalFormatting sqref="E201:AW210">
    <cfRule type="containsBlanks" dxfId="1" priority="23">
      <formula>LEN(TRIM(E201))=0</formula>
    </cfRule>
  </conditionalFormatting>
  <conditionalFormatting sqref="E213:AW222">
    <cfRule type="containsBlanks" dxfId="1" priority="24">
      <formula>LEN(TRIM(E213))=0</formula>
    </cfRule>
  </conditionalFormatting>
  <conditionalFormatting sqref="E225:AW234">
    <cfRule type="containsBlanks" dxfId="1" priority="25">
      <formula>LEN(TRIM(E225))=0</formula>
    </cfRule>
  </conditionalFormatting>
  <conditionalFormatting sqref="E237:AW246">
    <cfRule type="containsBlanks" dxfId="1" priority="26">
      <formula>LEN(TRIM(E237))=0</formula>
    </cfRule>
  </conditionalFormatting>
  <conditionalFormatting sqref="E249:AW258">
    <cfRule type="containsBlanks" dxfId="1" priority="27">
      <formula>LEN(TRIM(E249))=0</formula>
    </cfRule>
  </conditionalFormatting>
  <conditionalFormatting sqref="E262:AW263">
    <cfRule type="containsBlanks" dxfId="1" priority="28">
      <formula>LEN(TRIM(E262))=0</formula>
    </cfRule>
  </conditionalFormatting>
  <conditionalFormatting sqref="V34">
    <cfRule type="expression" dxfId="0" priority="29">
      <formula>V34&lt;&gt;V47</formula>
    </cfRule>
  </conditionalFormatting>
  <conditionalFormatting sqref="AQ34">
    <cfRule type="expression" dxfId="0" priority="30">
      <formula>AQ34&lt;&gt;AQ47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118.0</v>
      </c>
      <c r="G14" s="19">
        <v>119.0</v>
      </c>
      <c r="H14" s="19">
        <v>126.0</v>
      </c>
      <c r="I14" s="19">
        <v>112.0</v>
      </c>
      <c r="J14" s="19">
        <v>139.0</v>
      </c>
      <c r="K14" s="19">
        <v>141.0</v>
      </c>
      <c r="L14" s="19">
        <v>143.0</v>
      </c>
      <c r="M14" s="19">
        <v>110.0</v>
      </c>
      <c r="N14" s="19">
        <v>142.0</v>
      </c>
      <c r="O14" s="19">
        <v>114.0</v>
      </c>
      <c r="P14" s="19">
        <v>115.0</v>
      </c>
      <c r="Q14" s="19">
        <v>119.0</v>
      </c>
      <c r="R14" s="19">
        <v>146.0</v>
      </c>
      <c r="S14" s="19">
        <v>131.0</v>
      </c>
      <c r="T14" s="19">
        <v>105.0</v>
      </c>
      <c r="U14" s="19">
        <v>140.0</v>
      </c>
      <c r="V14" s="19">
        <v>152.0</v>
      </c>
      <c r="W14" s="19">
        <v>136.0</v>
      </c>
      <c r="X14" s="19">
        <v>121.0</v>
      </c>
      <c r="Y14" s="19">
        <v>108.0</v>
      </c>
      <c r="Z14" s="19">
        <v>112.0</v>
      </c>
      <c r="AA14" s="19">
        <v>148.0</v>
      </c>
      <c r="AB14" s="19">
        <v>143.0</v>
      </c>
      <c r="AC14" s="19">
        <v>149.0</v>
      </c>
      <c r="AD14" s="19">
        <v>144.0</v>
      </c>
      <c r="AE14" s="19">
        <v>146.0</v>
      </c>
      <c r="AF14" s="19">
        <v>150.0</v>
      </c>
      <c r="AG14" s="19">
        <v>154.0</v>
      </c>
      <c r="AH14" s="19">
        <v>146.0</v>
      </c>
      <c r="AI14" s="19">
        <v>158.0</v>
      </c>
      <c r="AJ14" s="19">
        <v>144.0</v>
      </c>
      <c r="AK14" s="19">
        <v>149.0</v>
      </c>
      <c r="AL14" s="13">
        <f t="shared" ref="AL14:AL16" si="1">SUM(E14:AK14)</f>
        <v>4429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113.0</v>
      </c>
      <c r="G15" s="19">
        <v>123.0</v>
      </c>
      <c r="H15" s="19">
        <v>137.0</v>
      </c>
      <c r="I15" s="19">
        <v>113.0</v>
      </c>
      <c r="J15" s="19">
        <v>131.0</v>
      </c>
      <c r="K15" s="19">
        <v>142.0</v>
      </c>
      <c r="L15" s="19">
        <v>134.0</v>
      </c>
      <c r="M15" s="19">
        <v>141.0</v>
      </c>
      <c r="N15" s="19">
        <v>150.0</v>
      </c>
      <c r="O15" s="19">
        <v>121.0</v>
      </c>
      <c r="P15" s="19">
        <v>131.0</v>
      </c>
      <c r="Q15" s="19">
        <v>122.0</v>
      </c>
      <c r="R15" s="19">
        <v>144.0</v>
      </c>
      <c r="S15" s="19">
        <v>117.0</v>
      </c>
      <c r="T15" s="19">
        <v>95.0</v>
      </c>
      <c r="U15" s="19">
        <v>126.0</v>
      </c>
      <c r="V15" s="19">
        <v>138.0</v>
      </c>
      <c r="W15" s="19">
        <v>149.0</v>
      </c>
      <c r="X15" s="19">
        <v>115.0</v>
      </c>
      <c r="Y15" s="19">
        <v>94.0</v>
      </c>
      <c r="Z15" s="19">
        <v>117.0</v>
      </c>
      <c r="AA15" s="19">
        <v>135.0</v>
      </c>
      <c r="AB15" s="19">
        <v>152.0</v>
      </c>
      <c r="AC15" s="19">
        <v>150.0</v>
      </c>
      <c r="AD15" s="19">
        <v>146.0</v>
      </c>
      <c r="AE15" s="19">
        <v>151.0</v>
      </c>
      <c r="AF15" s="19">
        <v>145.0</v>
      </c>
      <c r="AG15" s="19">
        <v>143.0</v>
      </c>
      <c r="AH15" s="19">
        <v>130.0</v>
      </c>
      <c r="AI15" s="19">
        <v>137.0</v>
      </c>
      <c r="AJ15" s="19">
        <v>147.0</v>
      </c>
      <c r="AK15" s="19">
        <v>146.0</v>
      </c>
      <c r="AL15" s="13">
        <f t="shared" si="1"/>
        <v>4371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285</v>
      </c>
      <c r="F16" s="13">
        <f t="shared" si="2"/>
        <v>231</v>
      </c>
      <c r="G16" s="13">
        <f t="shared" si="2"/>
        <v>242</v>
      </c>
      <c r="H16" s="13">
        <f t="shared" si="2"/>
        <v>263</v>
      </c>
      <c r="I16" s="13">
        <f t="shared" si="2"/>
        <v>225</v>
      </c>
      <c r="J16" s="13">
        <f t="shared" si="2"/>
        <v>270</v>
      </c>
      <c r="K16" s="13">
        <f t="shared" si="2"/>
        <v>283</v>
      </c>
      <c r="L16" s="13">
        <f t="shared" si="2"/>
        <v>277</v>
      </c>
      <c r="M16" s="13">
        <f t="shared" si="2"/>
        <v>251</v>
      </c>
      <c r="N16" s="13">
        <f t="shared" si="2"/>
        <v>292</v>
      </c>
      <c r="O16" s="13">
        <f t="shared" si="2"/>
        <v>235</v>
      </c>
      <c r="P16" s="13">
        <f t="shared" si="2"/>
        <v>246</v>
      </c>
      <c r="Q16" s="13">
        <f t="shared" si="2"/>
        <v>241</v>
      </c>
      <c r="R16" s="13">
        <f t="shared" si="2"/>
        <v>290</v>
      </c>
      <c r="S16" s="13">
        <f t="shared" si="2"/>
        <v>248</v>
      </c>
      <c r="T16" s="13">
        <f t="shared" si="2"/>
        <v>200</v>
      </c>
      <c r="U16" s="13">
        <f t="shared" si="2"/>
        <v>266</v>
      </c>
      <c r="V16" s="13">
        <f t="shared" si="2"/>
        <v>290</v>
      </c>
      <c r="W16" s="13">
        <f t="shared" si="2"/>
        <v>285</v>
      </c>
      <c r="X16" s="13">
        <f t="shared" si="2"/>
        <v>236</v>
      </c>
      <c r="Y16" s="13">
        <f t="shared" si="2"/>
        <v>202</v>
      </c>
      <c r="Z16" s="13">
        <f t="shared" si="2"/>
        <v>229</v>
      </c>
      <c r="AA16" s="13">
        <f t="shared" si="2"/>
        <v>283</v>
      </c>
      <c r="AB16" s="13">
        <f t="shared" si="2"/>
        <v>295</v>
      </c>
      <c r="AC16" s="13">
        <f t="shared" si="2"/>
        <v>299</v>
      </c>
      <c r="AD16" s="13">
        <f t="shared" si="2"/>
        <v>290</v>
      </c>
      <c r="AE16" s="13">
        <f t="shared" si="2"/>
        <v>297</v>
      </c>
      <c r="AF16" s="13">
        <f t="shared" si="2"/>
        <v>295</v>
      </c>
      <c r="AG16" s="13">
        <f t="shared" si="2"/>
        <v>297</v>
      </c>
      <c r="AH16" s="13">
        <f t="shared" si="2"/>
        <v>276</v>
      </c>
      <c r="AI16" s="13">
        <f t="shared" si="2"/>
        <v>295</v>
      </c>
      <c r="AJ16" s="13">
        <f t="shared" si="2"/>
        <v>291</v>
      </c>
      <c r="AK16" s="13">
        <f t="shared" si="2"/>
        <v>295</v>
      </c>
      <c r="AL16" s="13">
        <f t="shared" si="1"/>
        <v>8800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19"/>
      <c r="S17" s="19"/>
      <c r="T17" s="19"/>
      <c r="U17" s="19"/>
      <c r="V17" s="19"/>
      <c r="W17" s="19"/>
      <c r="X17" s="19"/>
      <c r="Y17" s="19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19"/>
      <c r="S18" s="19"/>
      <c r="T18" s="19"/>
      <c r="U18" s="19"/>
      <c r="V18" s="19"/>
      <c r="W18" s="19"/>
      <c r="X18" s="19"/>
      <c r="Y18" s="19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80.0</v>
      </c>
      <c r="G19" s="19">
        <v>88.0</v>
      </c>
      <c r="H19" s="19">
        <v>87.0</v>
      </c>
      <c r="I19" s="19">
        <v>80.0</v>
      </c>
      <c r="J19" s="19">
        <v>96.0</v>
      </c>
      <c r="K19" s="19">
        <v>104.0</v>
      </c>
      <c r="L19" s="19">
        <v>105.0</v>
      </c>
      <c r="M19" s="19">
        <v>81.0</v>
      </c>
      <c r="N19" s="19">
        <v>98.0</v>
      </c>
      <c r="O19" s="19">
        <v>77.0</v>
      </c>
      <c r="P19" s="19">
        <v>80.0</v>
      </c>
      <c r="Q19" s="19">
        <v>83.0</v>
      </c>
      <c r="R19" s="19">
        <v>86.0</v>
      </c>
      <c r="S19" s="19">
        <v>103.0</v>
      </c>
      <c r="T19" s="19">
        <v>71.0</v>
      </c>
      <c r="U19" s="19">
        <v>93.0</v>
      </c>
      <c r="V19" s="19">
        <v>100.0</v>
      </c>
      <c r="W19" s="19">
        <v>97.0</v>
      </c>
      <c r="X19" s="19">
        <v>68.0</v>
      </c>
      <c r="Y19" s="19">
        <v>67.0</v>
      </c>
      <c r="Z19" s="19">
        <v>79.0</v>
      </c>
      <c r="AA19" s="19">
        <v>105.0</v>
      </c>
      <c r="AB19" s="19">
        <v>90.0</v>
      </c>
      <c r="AC19" s="19">
        <v>99.0</v>
      </c>
      <c r="AD19" s="19">
        <v>146.0</v>
      </c>
      <c r="AE19" s="19">
        <v>112.0</v>
      </c>
      <c r="AF19" s="19">
        <v>90.0</v>
      </c>
      <c r="AG19" s="19">
        <v>118.0</v>
      </c>
      <c r="AH19" s="19">
        <v>100.0</v>
      </c>
      <c r="AI19" s="19">
        <v>106.0</v>
      </c>
      <c r="AJ19" s="19">
        <v>107.0</v>
      </c>
      <c r="AK19" s="19">
        <v>117.0</v>
      </c>
      <c r="AL19" s="13">
        <f t="shared" ref="AL19:AL30" si="3">SUM(E19:AK19)</f>
        <v>3125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87.0</v>
      </c>
      <c r="G20" s="19">
        <v>90.0</v>
      </c>
      <c r="H20" s="19">
        <v>97.0</v>
      </c>
      <c r="I20" s="19">
        <v>81.0</v>
      </c>
      <c r="J20" s="19">
        <v>92.0</v>
      </c>
      <c r="K20" s="19">
        <v>110.0</v>
      </c>
      <c r="L20" s="19">
        <v>98.0</v>
      </c>
      <c r="M20" s="19">
        <v>104.0</v>
      </c>
      <c r="N20" s="19">
        <v>110.0</v>
      </c>
      <c r="O20" s="19">
        <v>99.0</v>
      </c>
      <c r="P20" s="19">
        <v>91.0</v>
      </c>
      <c r="Q20" s="19">
        <v>92.0</v>
      </c>
      <c r="R20" s="19">
        <v>96.0</v>
      </c>
      <c r="S20" s="19">
        <v>98.0</v>
      </c>
      <c r="T20" s="19">
        <v>76.0</v>
      </c>
      <c r="U20" s="19">
        <v>86.0</v>
      </c>
      <c r="V20" s="19">
        <v>94.0</v>
      </c>
      <c r="W20" s="19">
        <v>110.0</v>
      </c>
      <c r="X20" s="19">
        <v>77.0</v>
      </c>
      <c r="Y20" s="19">
        <v>75.0</v>
      </c>
      <c r="Z20" s="19">
        <v>86.0</v>
      </c>
      <c r="AA20" s="19">
        <v>108.0</v>
      </c>
      <c r="AB20" s="19">
        <v>106.0</v>
      </c>
      <c r="AC20" s="19">
        <v>119.0</v>
      </c>
      <c r="AD20" s="19">
        <v>66.0</v>
      </c>
      <c r="AE20" s="19">
        <v>128.0</v>
      </c>
      <c r="AF20" s="19">
        <v>95.0</v>
      </c>
      <c r="AG20" s="19">
        <v>119.0</v>
      </c>
      <c r="AH20" s="19">
        <v>95.0</v>
      </c>
      <c r="AI20" s="19">
        <v>104.0</v>
      </c>
      <c r="AJ20" s="19">
        <v>123.0</v>
      </c>
      <c r="AK20" s="19">
        <v>122.0</v>
      </c>
      <c r="AL20" s="13">
        <f t="shared" si="3"/>
        <v>3232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210</v>
      </c>
      <c r="F21" s="13">
        <f t="shared" si="4"/>
        <v>167</v>
      </c>
      <c r="G21" s="13">
        <f t="shared" si="4"/>
        <v>178</v>
      </c>
      <c r="H21" s="13">
        <f t="shared" si="4"/>
        <v>184</v>
      </c>
      <c r="I21" s="13">
        <f t="shared" si="4"/>
        <v>161</v>
      </c>
      <c r="J21" s="13">
        <f t="shared" si="4"/>
        <v>188</v>
      </c>
      <c r="K21" s="13">
        <f t="shared" si="4"/>
        <v>214</v>
      </c>
      <c r="L21" s="13">
        <f t="shared" si="4"/>
        <v>203</v>
      </c>
      <c r="M21" s="13">
        <f t="shared" si="4"/>
        <v>185</v>
      </c>
      <c r="N21" s="13">
        <f t="shared" si="4"/>
        <v>208</v>
      </c>
      <c r="O21" s="13">
        <f t="shared" si="4"/>
        <v>176</v>
      </c>
      <c r="P21" s="13">
        <f t="shared" si="4"/>
        <v>171</v>
      </c>
      <c r="Q21" s="13">
        <f t="shared" si="4"/>
        <v>175</v>
      </c>
      <c r="R21" s="13">
        <f t="shared" si="4"/>
        <v>182</v>
      </c>
      <c r="S21" s="13">
        <f t="shared" si="4"/>
        <v>201</v>
      </c>
      <c r="T21" s="13">
        <f t="shared" si="4"/>
        <v>147</v>
      </c>
      <c r="U21" s="13">
        <f t="shared" si="4"/>
        <v>179</v>
      </c>
      <c r="V21" s="13">
        <f t="shared" si="4"/>
        <v>194</v>
      </c>
      <c r="W21" s="13">
        <f t="shared" si="4"/>
        <v>207</v>
      </c>
      <c r="X21" s="13">
        <f t="shared" si="4"/>
        <v>145</v>
      </c>
      <c r="Y21" s="13">
        <f t="shared" si="4"/>
        <v>142</v>
      </c>
      <c r="Z21" s="13">
        <f t="shared" si="4"/>
        <v>165</v>
      </c>
      <c r="AA21" s="13">
        <f t="shared" si="4"/>
        <v>213</v>
      </c>
      <c r="AB21" s="13">
        <f t="shared" si="4"/>
        <v>196</v>
      </c>
      <c r="AC21" s="13">
        <f t="shared" si="4"/>
        <v>218</v>
      </c>
      <c r="AD21" s="13">
        <f t="shared" si="4"/>
        <v>212</v>
      </c>
      <c r="AE21" s="13">
        <f t="shared" si="4"/>
        <v>240</v>
      </c>
      <c r="AF21" s="13">
        <f t="shared" si="4"/>
        <v>185</v>
      </c>
      <c r="AG21" s="13">
        <f t="shared" si="4"/>
        <v>237</v>
      </c>
      <c r="AH21" s="13">
        <f t="shared" si="4"/>
        <v>195</v>
      </c>
      <c r="AI21" s="13">
        <f t="shared" si="4"/>
        <v>210</v>
      </c>
      <c r="AJ21" s="13">
        <f t="shared" si="4"/>
        <v>230</v>
      </c>
      <c r="AK21" s="13">
        <f t="shared" si="4"/>
        <v>239</v>
      </c>
      <c r="AL21" s="13">
        <f t="shared" si="3"/>
        <v>6357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1.0</v>
      </c>
      <c r="AI23" s="19">
        <v>0.0</v>
      </c>
      <c r="AJ23" s="19">
        <v>0.0</v>
      </c>
      <c r="AK23" s="19">
        <v>1.0</v>
      </c>
      <c r="AL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2.0</v>
      </c>
      <c r="K25" s="19">
        <v>1.0</v>
      </c>
      <c r="L25" s="19">
        <v>2.0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0.0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2.0</v>
      </c>
      <c r="AK25" s="19">
        <v>2.0</v>
      </c>
      <c r="AL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2.0</v>
      </c>
      <c r="J26" s="19">
        <v>2.0</v>
      </c>
      <c r="K26" s="19">
        <v>1.0</v>
      </c>
      <c r="L26" s="19">
        <v>2.0</v>
      </c>
      <c r="M26" s="19">
        <v>3.0</v>
      </c>
      <c r="N26" s="19">
        <v>4.0</v>
      </c>
      <c r="O26" s="19">
        <v>0.0</v>
      </c>
      <c r="P26" s="19">
        <v>2.0</v>
      </c>
      <c r="Q26" s="19">
        <v>1.0</v>
      </c>
      <c r="R26" s="19">
        <v>0.0</v>
      </c>
      <c r="S26" s="19">
        <v>1.0</v>
      </c>
      <c r="T26" s="19">
        <v>1.0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2.0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0.0</v>
      </c>
      <c r="AJ26" s="19">
        <v>2.0</v>
      </c>
      <c r="AK26" s="19">
        <v>3.0</v>
      </c>
      <c r="AL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3</v>
      </c>
      <c r="J27" s="13">
        <f t="shared" si="6"/>
        <v>4</v>
      </c>
      <c r="K27" s="13">
        <f t="shared" si="6"/>
        <v>2</v>
      </c>
      <c r="L27" s="13">
        <f t="shared" si="6"/>
        <v>4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4</v>
      </c>
      <c r="AK27" s="13">
        <f t="shared" si="6"/>
        <v>5</v>
      </c>
      <c r="AL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112</v>
      </c>
      <c r="F28" s="13">
        <f t="shared" si="7"/>
        <v>80</v>
      </c>
      <c r="G28" s="13">
        <f t="shared" si="7"/>
        <v>89</v>
      </c>
      <c r="H28" s="13">
        <f t="shared" si="7"/>
        <v>88</v>
      </c>
      <c r="I28" s="13">
        <f t="shared" si="7"/>
        <v>82</v>
      </c>
      <c r="J28" s="13">
        <f t="shared" si="7"/>
        <v>99</v>
      </c>
      <c r="K28" s="13">
        <f t="shared" si="7"/>
        <v>106</v>
      </c>
      <c r="L28" s="13">
        <f t="shared" si="7"/>
        <v>107</v>
      </c>
      <c r="M28" s="13">
        <f t="shared" si="7"/>
        <v>82</v>
      </c>
      <c r="N28" s="13">
        <f t="shared" si="7"/>
        <v>99</v>
      </c>
      <c r="O28" s="13">
        <f t="shared" si="7"/>
        <v>77</v>
      </c>
      <c r="P28" s="13">
        <f t="shared" si="7"/>
        <v>81</v>
      </c>
      <c r="Q28" s="13">
        <f t="shared" si="7"/>
        <v>84</v>
      </c>
      <c r="R28" s="13">
        <f t="shared" si="7"/>
        <v>86</v>
      </c>
      <c r="S28" s="13">
        <f t="shared" si="7"/>
        <v>104</v>
      </c>
      <c r="T28" s="13">
        <f t="shared" si="7"/>
        <v>71</v>
      </c>
      <c r="U28" s="13">
        <f t="shared" si="7"/>
        <v>93</v>
      </c>
      <c r="V28" s="13">
        <f t="shared" si="7"/>
        <v>100</v>
      </c>
      <c r="W28" s="13">
        <f t="shared" si="7"/>
        <v>97</v>
      </c>
      <c r="X28" s="13">
        <f t="shared" si="7"/>
        <v>68</v>
      </c>
      <c r="Y28" s="13">
        <f t="shared" si="7"/>
        <v>67</v>
      </c>
      <c r="Z28" s="13">
        <f t="shared" si="7"/>
        <v>81</v>
      </c>
      <c r="AA28" s="13">
        <f t="shared" si="7"/>
        <v>105</v>
      </c>
      <c r="AB28" s="13">
        <f t="shared" si="7"/>
        <v>90</v>
      </c>
      <c r="AC28" s="13">
        <f t="shared" si="7"/>
        <v>100</v>
      </c>
      <c r="AD28" s="13">
        <f t="shared" si="7"/>
        <v>146</v>
      </c>
      <c r="AE28" s="13">
        <f t="shared" si="7"/>
        <v>112</v>
      </c>
      <c r="AF28" s="13">
        <f t="shared" si="7"/>
        <v>90</v>
      </c>
      <c r="AG28" s="13">
        <f t="shared" si="7"/>
        <v>118</v>
      </c>
      <c r="AH28" s="13">
        <f t="shared" si="7"/>
        <v>100</v>
      </c>
      <c r="AI28" s="13">
        <f t="shared" si="7"/>
        <v>107</v>
      </c>
      <c r="AJ28" s="13">
        <f t="shared" si="7"/>
        <v>109</v>
      </c>
      <c r="AK28" s="13">
        <f t="shared" si="7"/>
        <v>119</v>
      </c>
      <c r="AL28" s="13">
        <f t="shared" si="3"/>
        <v>3149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98</v>
      </c>
      <c r="F29" s="13">
        <f t="shared" si="8"/>
        <v>87</v>
      </c>
      <c r="G29" s="13">
        <f t="shared" si="8"/>
        <v>93</v>
      </c>
      <c r="H29" s="13">
        <f t="shared" si="8"/>
        <v>98</v>
      </c>
      <c r="I29" s="13">
        <f t="shared" si="8"/>
        <v>83</v>
      </c>
      <c r="J29" s="13">
        <f t="shared" si="8"/>
        <v>94</v>
      </c>
      <c r="K29" s="13">
        <f t="shared" si="8"/>
        <v>111</v>
      </c>
      <c r="L29" s="13">
        <f t="shared" si="8"/>
        <v>100</v>
      </c>
      <c r="M29" s="13">
        <f t="shared" si="8"/>
        <v>107</v>
      </c>
      <c r="N29" s="13">
        <f t="shared" si="8"/>
        <v>115</v>
      </c>
      <c r="O29" s="13">
        <f t="shared" si="8"/>
        <v>99</v>
      </c>
      <c r="P29" s="13">
        <f t="shared" si="8"/>
        <v>93</v>
      </c>
      <c r="Q29" s="13">
        <f t="shared" si="8"/>
        <v>93</v>
      </c>
      <c r="R29" s="13">
        <f t="shared" si="8"/>
        <v>96</v>
      </c>
      <c r="S29" s="13">
        <f t="shared" si="8"/>
        <v>99</v>
      </c>
      <c r="T29" s="13">
        <f t="shared" si="8"/>
        <v>77</v>
      </c>
      <c r="U29" s="13">
        <f t="shared" si="8"/>
        <v>86</v>
      </c>
      <c r="V29" s="13">
        <f t="shared" si="8"/>
        <v>94</v>
      </c>
      <c r="W29" s="13">
        <f t="shared" si="8"/>
        <v>111</v>
      </c>
      <c r="X29" s="13">
        <f t="shared" si="8"/>
        <v>77</v>
      </c>
      <c r="Y29" s="13">
        <f t="shared" si="8"/>
        <v>75</v>
      </c>
      <c r="Z29" s="13">
        <f t="shared" si="8"/>
        <v>89</v>
      </c>
      <c r="AA29" s="13">
        <f t="shared" si="8"/>
        <v>108</v>
      </c>
      <c r="AB29" s="13">
        <f t="shared" si="8"/>
        <v>106</v>
      </c>
      <c r="AC29" s="13">
        <f t="shared" si="8"/>
        <v>119</v>
      </c>
      <c r="AD29" s="13">
        <f t="shared" si="8"/>
        <v>66</v>
      </c>
      <c r="AE29" s="13">
        <f t="shared" si="8"/>
        <v>128</v>
      </c>
      <c r="AF29" s="13">
        <f t="shared" si="8"/>
        <v>95</v>
      </c>
      <c r="AG29" s="13">
        <f t="shared" si="8"/>
        <v>120</v>
      </c>
      <c r="AH29" s="13">
        <f t="shared" si="8"/>
        <v>97</v>
      </c>
      <c r="AI29" s="13">
        <f t="shared" si="8"/>
        <v>104</v>
      </c>
      <c r="AJ29" s="13">
        <f t="shared" si="8"/>
        <v>125</v>
      </c>
      <c r="AK29" s="13">
        <f t="shared" si="8"/>
        <v>126</v>
      </c>
      <c r="AL29" s="13">
        <f t="shared" si="3"/>
        <v>3269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210</v>
      </c>
      <c r="F30" s="13">
        <f t="shared" si="9"/>
        <v>167</v>
      </c>
      <c r="G30" s="13">
        <f t="shared" si="9"/>
        <v>182</v>
      </c>
      <c r="H30" s="13">
        <f t="shared" si="9"/>
        <v>186</v>
      </c>
      <c r="I30" s="13">
        <f t="shared" si="9"/>
        <v>165</v>
      </c>
      <c r="J30" s="13">
        <f t="shared" si="9"/>
        <v>193</v>
      </c>
      <c r="K30" s="13">
        <f t="shared" si="9"/>
        <v>217</v>
      </c>
      <c r="L30" s="13">
        <f t="shared" si="9"/>
        <v>207</v>
      </c>
      <c r="M30" s="13">
        <f t="shared" si="9"/>
        <v>189</v>
      </c>
      <c r="N30" s="13">
        <f t="shared" si="9"/>
        <v>214</v>
      </c>
      <c r="O30" s="13">
        <f t="shared" si="9"/>
        <v>176</v>
      </c>
      <c r="P30" s="13">
        <f t="shared" si="9"/>
        <v>174</v>
      </c>
      <c r="Q30" s="13">
        <f t="shared" si="9"/>
        <v>177</v>
      </c>
      <c r="R30" s="13">
        <f t="shared" si="9"/>
        <v>182</v>
      </c>
      <c r="S30" s="13">
        <f t="shared" si="9"/>
        <v>203</v>
      </c>
      <c r="T30" s="13">
        <f t="shared" si="9"/>
        <v>148</v>
      </c>
      <c r="U30" s="13">
        <f t="shared" si="9"/>
        <v>179</v>
      </c>
      <c r="V30" s="13">
        <f t="shared" si="9"/>
        <v>194</v>
      </c>
      <c r="W30" s="13">
        <f t="shared" si="9"/>
        <v>208</v>
      </c>
      <c r="X30" s="13">
        <f t="shared" si="9"/>
        <v>145</v>
      </c>
      <c r="Y30" s="13">
        <f t="shared" si="9"/>
        <v>142</v>
      </c>
      <c r="Z30" s="13">
        <f t="shared" si="9"/>
        <v>170</v>
      </c>
      <c r="AA30" s="13">
        <f t="shared" si="9"/>
        <v>213</v>
      </c>
      <c r="AB30" s="13">
        <f t="shared" si="9"/>
        <v>196</v>
      </c>
      <c r="AC30" s="13">
        <f t="shared" si="9"/>
        <v>219</v>
      </c>
      <c r="AD30" s="13">
        <f t="shared" si="9"/>
        <v>212</v>
      </c>
      <c r="AE30" s="13">
        <f t="shared" si="9"/>
        <v>240</v>
      </c>
      <c r="AF30" s="13">
        <f t="shared" si="9"/>
        <v>185</v>
      </c>
      <c r="AG30" s="13">
        <f t="shared" si="9"/>
        <v>238</v>
      </c>
      <c r="AH30" s="13">
        <f t="shared" si="9"/>
        <v>197</v>
      </c>
      <c r="AI30" s="13">
        <f t="shared" si="9"/>
        <v>211</v>
      </c>
      <c r="AJ30" s="13">
        <f t="shared" si="9"/>
        <v>234</v>
      </c>
      <c r="AK30" s="13">
        <f t="shared" si="9"/>
        <v>245</v>
      </c>
      <c r="AL30" s="13">
        <f t="shared" si="3"/>
        <v>6418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19"/>
      <c r="S31" s="19"/>
      <c r="T31" s="19"/>
      <c r="U31" s="19"/>
      <c r="V31" s="19"/>
      <c r="W31" s="19"/>
      <c r="X31" s="19"/>
      <c r="Y31" s="19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13"/>
      <c r="S32" s="13"/>
      <c r="T32" s="13"/>
      <c r="U32" s="13"/>
      <c r="V32" s="13"/>
      <c r="W32" s="13"/>
      <c r="X32" s="13"/>
      <c r="Y32" s="13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6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236.0</v>
      </c>
      <c r="G33" s="19">
        <v>247.0</v>
      </c>
      <c r="H33" s="19">
        <v>270.0</v>
      </c>
      <c r="I33" s="19">
        <v>229.0</v>
      </c>
      <c r="J33" s="19">
        <v>276.0</v>
      </c>
      <c r="K33" s="19">
        <v>289.0</v>
      </c>
      <c r="L33" s="19">
        <v>294.0</v>
      </c>
      <c r="M33" s="19">
        <v>247.0</v>
      </c>
      <c r="N33" s="19">
        <v>298.0</v>
      </c>
      <c r="O33" s="19">
        <v>240.0</v>
      </c>
      <c r="P33" s="19">
        <v>251.0</v>
      </c>
      <c r="Q33" s="19">
        <v>246.0</v>
      </c>
      <c r="R33" s="19">
        <v>296.0</v>
      </c>
      <c r="S33" s="19">
        <v>253.0</v>
      </c>
      <c r="T33" s="19">
        <v>204.0</v>
      </c>
      <c r="U33" s="19">
        <v>272.0</v>
      </c>
      <c r="V33" s="19">
        <v>294.0</v>
      </c>
      <c r="W33" s="19">
        <v>291.0</v>
      </c>
      <c r="X33" s="19">
        <v>241.0</v>
      </c>
      <c r="Y33" s="19">
        <v>208.0</v>
      </c>
      <c r="Z33" s="19">
        <v>234.0</v>
      </c>
      <c r="AA33" s="19">
        <v>280.0</v>
      </c>
      <c r="AB33" s="19">
        <v>311.0</v>
      </c>
      <c r="AC33" s="19">
        <v>305.0</v>
      </c>
      <c r="AD33" s="19">
        <v>296.0</v>
      </c>
      <c r="AE33" s="19">
        <v>293.0</v>
      </c>
      <c r="AF33" s="19">
        <v>301.0</v>
      </c>
      <c r="AG33" s="19">
        <v>293.0</v>
      </c>
      <c r="AH33" s="19">
        <v>282.0</v>
      </c>
      <c r="AI33" s="19">
        <v>291.0</v>
      </c>
      <c r="AJ33" s="19">
        <v>280.0</v>
      </c>
      <c r="AK33" s="19">
        <v>301.0</v>
      </c>
      <c r="AL33" s="13">
        <f t="shared" ref="AL33:AL36" si="10">SUM(E33:AK33)</f>
        <v>8940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167.0</v>
      </c>
      <c r="G34" s="13">
        <v>182.0</v>
      </c>
      <c r="H34" s="13">
        <v>186.0</v>
      </c>
      <c r="I34" s="13">
        <v>165.0</v>
      </c>
      <c r="J34" s="13">
        <v>193.0</v>
      </c>
      <c r="K34" s="13">
        <v>217.0</v>
      </c>
      <c r="L34" s="13">
        <v>207.0</v>
      </c>
      <c r="M34" s="13">
        <v>189.0</v>
      </c>
      <c r="N34" s="13">
        <v>214.0</v>
      </c>
      <c r="O34" s="13">
        <v>176.0</v>
      </c>
      <c r="P34" s="13">
        <v>174.0</v>
      </c>
      <c r="Q34" s="13">
        <v>177.0</v>
      </c>
      <c r="R34" s="13">
        <v>182.0</v>
      </c>
      <c r="S34" s="13">
        <v>203.0</v>
      </c>
      <c r="T34" s="13">
        <v>148.0</v>
      </c>
      <c r="U34" s="13">
        <v>179.0</v>
      </c>
      <c r="V34" s="13">
        <v>194.0</v>
      </c>
      <c r="W34" s="13">
        <v>208.0</v>
      </c>
      <c r="X34" s="13">
        <v>145.0</v>
      </c>
      <c r="Y34" s="13">
        <v>142.0</v>
      </c>
      <c r="Z34" s="13">
        <v>170.0</v>
      </c>
      <c r="AA34" s="13">
        <v>213.0</v>
      </c>
      <c r="AB34" s="13">
        <v>196.0</v>
      </c>
      <c r="AC34" s="13">
        <v>219.0</v>
      </c>
      <c r="AD34" s="13">
        <v>212.0</v>
      </c>
      <c r="AE34" s="13">
        <v>240.0</v>
      </c>
      <c r="AF34" s="13">
        <v>185.0</v>
      </c>
      <c r="AG34" s="13">
        <v>238.0</v>
      </c>
      <c r="AH34" s="13">
        <v>197.0</v>
      </c>
      <c r="AI34" s="13">
        <v>211.0</v>
      </c>
      <c r="AJ34" s="13">
        <v>234.0</v>
      </c>
      <c r="AK34" s="13">
        <v>245.0</v>
      </c>
      <c r="AL34" s="13">
        <f t="shared" si="10"/>
        <v>6418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1.0</v>
      </c>
      <c r="L35" s="19">
        <v>1.0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1.0</v>
      </c>
      <c r="AG35" s="19">
        <v>0.0</v>
      </c>
      <c r="AH35" s="19">
        <v>0.0</v>
      </c>
      <c r="AI35" s="19">
        <v>2.0</v>
      </c>
      <c r="AJ35" s="19">
        <v>0.0</v>
      </c>
      <c r="AK35" s="19">
        <v>3.0</v>
      </c>
      <c r="AL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81</v>
      </c>
      <c r="F36" s="13">
        <f t="shared" si="11"/>
        <v>69</v>
      </c>
      <c r="G36" s="13">
        <f t="shared" si="11"/>
        <v>65</v>
      </c>
      <c r="H36" s="13">
        <f t="shared" si="11"/>
        <v>84</v>
      </c>
      <c r="I36" s="13">
        <f t="shared" si="11"/>
        <v>64</v>
      </c>
      <c r="J36" s="13">
        <f t="shared" si="11"/>
        <v>82</v>
      </c>
      <c r="K36" s="13">
        <f t="shared" si="11"/>
        <v>71</v>
      </c>
      <c r="L36" s="13">
        <f t="shared" si="11"/>
        <v>86</v>
      </c>
      <c r="M36" s="13">
        <f t="shared" si="11"/>
        <v>58</v>
      </c>
      <c r="N36" s="13">
        <f t="shared" si="11"/>
        <v>83</v>
      </c>
      <c r="O36" s="13">
        <f t="shared" si="11"/>
        <v>64</v>
      </c>
      <c r="P36" s="13">
        <f t="shared" si="11"/>
        <v>77</v>
      </c>
      <c r="Q36" s="13">
        <f t="shared" si="11"/>
        <v>69</v>
      </c>
      <c r="R36" s="13">
        <f t="shared" si="11"/>
        <v>113</v>
      </c>
      <c r="S36" s="13">
        <f t="shared" si="11"/>
        <v>50</v>
      </c>
      <c r="T36" s="13">
        <f t="shared" si="11"/>
        <v>56</v>
      </c>
      <c r="U36" s="13">
        <f t="shared" si="11"/>
        <v>93</v>
      </c>
      <c r="V36" s="13">
        <f t="shared" si="11"/>
        <v>100</v>
      </c>
      <c r="W36" s="13">
        <f t="shared" si="11"/>
        <v>83</v>
      </c>
      <c r="X36" s="13">
        <f t="shared" si="11"/>
        <v>96</v>
      </c>
      <c r="Y36" s="13">
        <f t="shared" si="11"/>
        <v>66</v>
      </c>
      <c r="Z36" s="13">
        <f t="shared" si="11"/>
        <v>63</v>
      </c>
      <c r="AA36" s="13">
        <f t="shared" si="11"/>
        <v>67</v>
      </c>
      <c r="AB36" s="13">
        <f t="shared" si="11"/>
        <v>115</v>
      </c>
      <c r="AC36" s="13">
        <f t="shared" si="11"/>
        <v>86</v>
      </c>
      <c r="AD36" s="13">
        <f t="shared" si="11"/>
        <v>84</v>
      </c>
      <c r="AE36" s="13">
        <f t="shared" si="11"/>
        <v>53</v>
      </c>
      <c r="AF36" s="13">
        <f t="shared" si="11"/>
        <v>115</v>
      </c>
      <c r="AG36" s="13">
        <f t="shared" si="11"/>
        <v>55</v>
      </c>
      <c r="AH36" s="13">
        <f t="shared" si="11"/>
        <v>85</v>
      </c>
      <c r="AI36" s="13">
        <f t="shared" si="11"/>
        <v>78</v>
      </c>
      <c r="AJ36" s="13">
        <f t="shared" si="11"/>
        <v>46</v>
      </c>
      <c r="AK36" s="13">
        <f t="shared" si="11"/>
        <v>53</v>
      </c>
      <c r="AL36" s="13">
        <f t="shared" si="10"/>
        <v>2510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75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13"/>
      <c r="S38" s="13"/>
      <c r="T38" s="13"/>
      <c r="U38" s="13"/>
      <c r="V38" s="13"/>
      <c r="W38" s="13"/>
      <c r="X38" s="13"/>
      <c r="Y38" s="13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3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75"/>
      <c r="AA42" s="19"/>
      <c r="AB42" s="75"/>
      <c r="AC42" s="19"/>
      <c r="AD42" s="75"/>
      <c r="AE42" s="19"/>
      <c r="AF42" s="19"/>
      <c r="AG42" s="75"/>
      <c r="AH42" s="19"/>
      <c r="AI42" s="75"/>
      <c r="AJ42" s="19"/>
      <c r="AK42" s="75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13"/>
      <c r="U43" s="13"/>
      <c r="V43" s="13"/>
      <c r="W43" s="13"/>
      <c r="X43" s="13"/>
      <c r="Y43" s="13"/>
      <c r="Z43" s="77"/>
      <c r="AA43" s="13"/>
      <c r="AB43" s="77"/>
      <c r="AC43" s="13"/>
      <c r="AD43" s="77"/>
      <c r="AE43" s="13"/>
      <c r="AF43" s="13"/>
      <c r="AG43" s="77"/>
      <c r="AH43" s="13"/>
      <c r="AI43" s="77"/>
      <c r="AJ43" s="13"/>
      <c r="AK43" s="77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19"/>
      <c r="U44" s="19"/>
      <c r="V44" s="19"/>
      <c r="W44" s="19"/>
      <c r="X44" s="19"/>
      <c r="Y44" s="19"/>
      <c r="Z44" s="75"/>
      <c r="AA44" s="19"/>
      <c r="AB44" s="75"/>
      <c r="AC44" s="19"/>
      <c r="AD44" s="75"/>
      <c r="AE44" s="19"/>
      <c r="AF44" s="19"/>
      <c r="AG44" s="75"/>
      <c r="AH44" s="19"/>
      <c r="AI44" s="75"/>
      <c r="AJ44" s="19"/>
      <c r="AK44" s="75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0.0</v>
      </c>
      <c r="G45" s="19">
        <v>6.0</v>
      </c>
      <c r="H45" s="19">
        <v>10.0</v>
      </c>
      <c r="I45" s="19">
        <v>5.0</v>
      </c>
      <c r="J45" s="19">
        <v>7.0</v>
      </c>
      <c r="K45" s="19">
        <v>2.0</v>
      </c>
      <c r="L45" s="19">
        <v>14.0</v>
      </c>
      <c r="M45" s="19">
        <v>9.0</v>
      </c>
      <c r="N45" s="19">
        <v>16.0</v>
      </c>
      <c r="O45" s="19">
        <v>14.0</v>
      </c>
      <c r="P45" s="19">
        <v>21.0</v>
      </c>
      <c r="Q45" s="19">
        <v>6.0</v>
      </c>
      <c r="R45" s="19">
        <v>10.0</v>
      </c>
      <c r="S45" s="19">
        <v>13.0</v>
      </c>
      <c r="T45" s="19">
        <v>7.0</v>
      </c>
      <c r="U45" s="19">
        <v>8.0</v>
      </c>
      <c r="V45" s="19">
        <v>7.0</v>
      </c>
      <c r="W45" s="19">
        <v>4.0</v>
      </c>
      <c r="X45" s="19">
        <v>8.0</v>
      </c>
      <c r="Y45" s="19">
        <v>5.0</v>
      </c>
      <c r="Z45" s="19">
        <v>13.0</v>
      </c>
      <c r="AA45" s="19">
        <v>6.0</v>
      </c>
      <c r="AB45" s="19">
        <v>5.0</v>
      </c>
      <c r="AC45" s="19">
        <v>6.0</v>
      </c>
      <c r="AD45" s="19">
        <v>6.0</v>
      </c>
      <c r="AE45" s="19">
        <v>12.0</v>
      </c>
      <c r="AF45" s="19">
        <v>11.0</v>
      </c>
      <c r="AG45" s="19">
        <v>2.0</v>
      </c>
      <c r="AH45" s="19">
        <v>3.0</v>
      </c>
      <c r="AI45" s="19">
        <v>4.0</v>
      </c>
      <c r="AJ45" s="19">
        <v>9.0</v>
      </c>
      <c r="AK45" s="19">
        <v>8.0</v>
      </c>
      <c r="AL45" s="13">
        <f t="shared" ref="AL45:AL54" si="14">SUM(E45:AK45)</f>
        <v>260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1.0</v>
      </c>
      <c r="F46" s="19">
        <v>3.0</v>
      </c>
      <c r="G46" s="19">
        <v>10.0</v>
      </c>
      <c r="H46" s="19">
        <v>15.0</v>
      </c>
      <c r="I46" s="19">
        <v>7.0</v>
      </c>
      <c r="J46" s="19">
        <v>21.0</v>
      </c>
      <c r="K46" s="19">
        <v>11.0</v>
      </c>
      <c r="L46" s="19">
        <v>24.0</v>
      </c>
      <c r="M46" s="19">
        <v>27.0</v>
      </c>
      <c r="N46" s="19">
        <v>22.0</v>
      </c>
      <c r="O46" s="19">
        <v>18.0</v>
      </c>
      <c r="P46" s="19">
        <v>21.0</v>
      </c>
      <c r="Q46" s="19">
        <v>38.0</v>
      </c>
      <c r="R46" s="19">
        <v>37.0</v>
      </c>
      <c r="S46" s="19">
        <v>26.0</v>
      </c>
      <c r="T46" s="19">
        <v>18.0</v>
      </c>
      <c r="U46" s="19">
        <v>17.0</v>
      </c>
      <c r="V46" s="19">
        <v>8.0</v>
      </c>
      <c r="W46" s="19">
        <v>24.0</v>
      </c>
      <c r="X46" s="19">
        <v>19.0</v>
      </c>
      <c r="Y46" s="19">
        <v>6.0</v>
      </c>
      <c r="Z46" s="19">
        <v>30.0</v>
      </c>
      <c r="AA46" s="19">
        <v>22.0</v>
      </c>
      <c r="AB46" s="19">
        <v>18.0</v>
      </c>
      <c r="AC46" s="19">
        <v>12.0</v>
      </c>
      <c r="AD46" s="19">
        <v>14.0</v>
      </c>
      <c r="AE46" s="19">
        <v>16.0</v>
      </c>
      <c r="AF46" s="19">
        <v>15.0</v>
      </c>
      <c r="AG46" s="19">
        <v>7.0</v>
      </c>
      <c r="AH46" s="19">
        <v>1.0</v>
      </c>
      <c r="AI46" s="19">
        <v>0.0</v>
      </c>
      <c r="AJ46" s="19">
        <v>6.0</v>
      </c>
      <c r="AK46" s="19">
        <v>12.0</v>
      </c>
      <c r="AL46" s="13">
        <f t="shared" si="14"/>
        <v>526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2.0</v>
      </c>
      <c r="G47" s="19">
        <v>4.0</v>
      </c>
      <c r="H47" s="19">
        <v>2.0</v>
      </c>
      <c r="I47" s="19">
        <v>6.0</v>
      </c>
      <c r="J47" s="19">
        <v>7.0</v>
      </c>
      <c r="K47" s="19">
        <v>3.0</v>
      </c>
      <c r="L47" s="19">
        <v>8.0</v>
      </c>
      <c r="M47" s="19">
        <v>9.0</v>
      </c>
      <c r="N47" s="19">
        <v>7.0</v>
      </c>
      <c r="O47" s="19">
        <v>1.0</v>
      </c>
      <c r="P47" s="19">
        <v>3.0</v>
      </c>
      <c r="Q47" s="19">
        <v>7.0</v>
      </c>
      <c r="R47" s="19">
        <v>3.0</v>
      </c>
      <c r="S47" s="19">
        <v>4.0</v>
      </c>
      <c r="T47" s="19">
        <v>2.0</v>
      </c>
      <c r="U47" s="19">
        <v>3.0</v>
      </c>
      <c r="V47" s="19">
        <v>3.0</v>
      </c>
      <c r="W47" s="19">
        <v>2.0</v>
      </c>
      <c r="X47" s="19">
        <v>3.0</v>
      </c>
      <c r="Y47" s="19">
        <v>0.0</v>
      </c>
      <c r="Z47" s="19">
        <v>6.0</v>
      </c>
      <c r="AA47" s="19">
        <v>0.0</v>
      </c>
      <c r="AB47" s="19">
        <v>2.0</v>
      </c>
      <c r="AC47" s="19">
        <v>0.0</v>
      </c>
      <c r="AD47" s="19">
        <v>2.0</v>
      </c>
      <c r="AE47" s="19">
        <v>1.0</v>
      </c>
      <c r="AF47" s="19">
        <v>5.0</v>
      </c>
      <c r="AG47" s="19">
        <v>1.0</v>
      </c>
      <c r="AH47" s="19">
        <v>1.0</v>
      </c>
      <c r="AI47" s="19">
        <v>1.0</v>
      </c>
      <c r="AJ47" s="19">
        <v>2.0</v>
      </c>
      <c r="AK47" s="19">
        <v>0.0</v>
      </c>
      <c r="AL47" s="13">
        <f t="shared" si="14"/>
        <v>102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2.0</v>
      </c>
      <c r="J48" s="19">
        <v>0.0</v>
      </c>
      <c r="K48" s="19">
        <v>1.0</v>
      </c>
      <c r="L48" s="19">
        <v>2.0</v>
      </c>
      <c r="M48" s="19">
        <v>3.0</v>
      </c>
      <c r="N48" s="19">
        <v>0.0</v>
      </c>
      <c r="O48" s="19">
        <v>1.0</v>
      </c>
      <c r="P48" s="19">
        <v>2.0</v>
      </c>
      <c r="Q48" s="19">
        <v>0.0</v>
      </c>
      <c r="R48" s="19">
        <v>2.0</v>
      </c>
      <c r="S48" s="19">
        <v>3.0</v>
      </c>
      <c r="T48" s="19">
        <v>0.0</v>
      </c>
      <c r="U48" s="19">
        <v>0.0</v>
      </c>
      <c r="V48" s="19">
        <v>1.0</v>
      </c>
      <c r="W48" s="19">
        <v>1.0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9">
        <v>1.0</v>
      </c>
      <c r="AK48" s="19">
        <v>1.0</v>
      </c>
      <c r="AL48" s="13">
        <f t="shared" si="14"/>
        <v>22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2.0</v>
      </c>
      <c r="N49" s="19">
        <v>2.0</v>
      </c>
      <c r="O49" s="19">
        <v>0.0</v>
      </c>
      <c r="P49" s="19">
        <v>0.0</v>
      </c>
      <c r="Q49" s="19">
        <v>2.0</v>
      </c>
      <c r="R49" s="19">
        <v>1.0</v>
      </c>
      <c r="S49" s="19">
        <v>2.0</v>
      </c>
      <c r="T49" s="19">
        <v>0.0</v>
      </c>
      <c r="U49" s="19">
        <v>0.0</v>
      </c>
      <c r="V49" s="19">
        <v>0.0</v>
      </c>
      <c r="W49" s="19">
        <v>1.0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2.0</v>
      </c>
      <c r="AF49" s="19">
        <v>0.0</v>
      </c>
      <c r="AG49" s="19">
        <v>0.0</v>
      </c>
      <c r="AH49" s="19">
        <v>0.0</v>
      </c>
      <c r="AI49" s="19">
        <v>0.0</v>
      </c>
      <c r="AJ49" s="19">
        <v>1.0</v>
      </c>
      <c r="AK49" s="19">
        <v>0.0</v>
      </c>
      <c r="AL49" s="13">
        <f t="shared" si="14"/>
        <v>15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1.0</v>
      </c>
      <c r="L50" s="19">
        <v>0.0</v>
      </c>
      <c r="M50" s="19">
        <v>0.0</v>
      </c>
      <c r="N50" s="19">
        <v>1.0</v>
      </c>
      <c r="O50" s="19">
        <v>0.0</v>
      </c>
      <c r="P50" s="19">
        <v>2.0</v>
      </c>
      <c r="Q50" s="19">
        <v>1.0</v>
      </c>
      <c r="R50" s="19">
        <v>2.0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9">
        <v>0.0</v>
      </c>
      <c r="AB50" s="19">
        <v>0.0</v>
      </c>
      <c r="AC50" s="19">
        <v>1.0</v>
      </c>
      <c r="AD50" s="19">
        <v>1.0</v>
      </c>
      <c r="AE50" s="19">
        <v>0.0</v>
      </c>
      <c r="AF50" s="19">
        <v>1.0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2.0</v>
      </c>
      <c r="M51" s="19">
        <v>1.0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1.0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3">
        <f t="shared" si="14"/>
        <v>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2.0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1.0</v>
      </c>
      <c r="AE52" s="19">
        <v>0.0</v>
      </c>
      <c r="AF52" s="19">
        <v>0.0</v>
      </c>
      <c r="AG52" s="19">
        <v>0.0</v>
      </c>
      <c r="AH52" s="19">
        <v>0.0</v>
      </c>
      <c r="AI52" s="19">
        <v>1.0</v>
      </c>
      <c r="AJ52" s="19">
        <v>0.0</v>
      </c>
      <c r="AK52" s="19">
        <v>0.0</v>
      </c>
      <c r="AL52" s="13">
        <f t="shared" si="14"/>
        <v>6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L55" si="15">SUM(E45:E54)</f>
        <v>7</v>
      </c>
      <c r="F55" s="13">
        <f t="shared" si="15"/>
        <v>6</v>
      </c>
      <c r="G55" s="13">
        <f t="shared" si="15"/>
        <v>24</v>
      </c>
      <c r="H55" s="13">
        <f t="shared" si="15"/>
        <v>27</v>
      </c>
      <c r="I55" s="13">
        <f t="shared" si="15"/>
        <v>20</v>
      </c>
      <c r="J55" s="13">
        <f t="shared" si="15"/>
        <v>36</v>
      </c>
      <c r="K55" s="13">
        <f t="shared" si="15"/>
        <v>18</v>
      </c>
      <c r="L55" s="13">
        <f t="shared" si="15"/>
        <v>51</v>
      </c>
      <c r="M55" s="13">
        <f t="shared" si="15"/>
        <v>51</v>
      </c>
      <c r="N55" s="13">
        <f t="shared" si="15"/>
        <v>48</v>
      </c>
      <c r="O55" s="13">
        <f t="shared" si="15"/>
        <v>36</v>
      </c>
      <c r="P55" s="13">
        <f t="shared" si="15"/>
        <v>49</v>
      </c>
      <c r="Q55" s="13">
        <f t="shared" si="15"/>
        <v>55</v>
      </c>
      <c r="R55" s="13">
        <f t="shared" si="15"/>
        <v>55</v>
      </c>
      <c r="S55" s="13">
        <f t="shared" si="15"/>
        <v>49</v>
      </c>
      <c r="T55" s="13">
        <f t="shared" si="15"/>
        <v>27</v>
      </c>
      <c r="U55" s="13">
        <f t="shared" si="15"/>
        <v>29</v>
      </c>
      <c r="V55" s="13">
        <f t="shared" si="15"/>
        <v>20</v>
      </c>
      <c r="W55" s="13">
        <f t="shared" si="15"/>
        <v>32</v>
      </c>
      <c r="X55" s="13">
        <f t="shared" si="15"/>
        <v>30</v>
      </c>
      <c r="Y55" s="13">
        <f t="shared" si="15"/>
        <v>11</v>
      </c>
      <c r="Z55" s="13">
        <f t="shared" si="15"/>
        <v>50</v>
      </c>
      <c r="AA55" s="13">
        <f t="shared" si="15"/>
        <v>29</v>
      </c>
      <c r="AB55" s="13">
        <f t="shared" si="15"/>
        <v>25</v>
      </c>
      <c r="AC55" s="13">
        <f t="shared" si="15"/>
        <v>19</v>
      </c>
      <c r="AD55" s="13">
        <f t="shared" si="15"/>
        <v>24</v>
      </c>
      <c r="AE55" s="13">
        <f t="shared" si="15"/>
        <v>31</v>
      </c>
      <c r="AF55" s="13">
        <f t="shared" si="15"/>
        <v>32</v>
      </c>
      <c r="AG55" s="13">
        <f t="shared" si="15"/>
        <v>10</v>
      </c>
      <c r="AH55" s="13">
        <f t="shared" si="15"/>
        <v>5</v>
      </c>
      <c r="AI55" s="13">
        <f t="shared" si="15"/>
        <v>6</v>
      </c>
      <c r="AJ55" s="13">
        <f t="shared" si="15"/>
        <v>19</v>
      </c>
      <c r="AK55" s="13">
        <f t="shared" si="15"/>
        <v>21</v>
      </c>
      <c r="AL55" s="13">
        <f t="shared" si="15"/>
        <v>952</v>
      </c>
    </row>
    <row r="56" ht="12.75" customHeight="1">
      <c r="A56" s="45"/>
      <c r="B56" s="44"/>
      <c r="C56" s="44"/>
      <c r="D56" s="44"/>
      <c r="E56" s="44"/>
      <c r="AL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7.0</v>
      </c>
      <c r="G57" s="19">
        <v>10.0</v>
      </c>
      <c r="H57" s="19">
        <v>8.0</v>
      </c>
      <c r="I57" s="19">
        <v>6.0</v>
      </c>
      <c r="J57" s="19">
        <v>3.0</v>
      </c>
      <c r="K57" s="19">
        <v>10.0</v>
      </c>
      <c r="L57" s="19">
        <v>16.0</v>
      </c>
      <c r="M57" s="19">
        <v>8.0</v>
      </c>
      <c r="N57" s="19">
        <v>13.0</v>
      </c>
      <c r="O57" s="19">
        <v>2.0</v>
      </c>
      <c r="P57" s="19">
        <v>6.0</v>
      </c>
      <c r="Q57" s="19">
        <v>10.0</v>
      </c>
      <c r="R57" s="19">
        <v>7.0</v>
      </c>
      <c r="S57" s="19">
        <v>9.0</v>
      </c>
      <c r="T57" s="19">
        <v>2.0</v>
      </c>
      <c r="U57" s="19">
        <v>12.0</v>
      </c>
      <c r="V57" s="19">
        <v>13.0</v>
      </c>
      <c r="W57" s="19">
        <v>1.0</v>
      </c>
      <c r="X57" s="19">
        <v>9.0</v>
      </c>
      <c r="Y57" s="19">
        <v>5.0</v>
      </c>
      <c r="Z57" s="19">
        <v>9.0</v>
      </c>
      <c r="AA57" s="19">
        <v>23.0</v>
      </c>
      <c r="AB57" s="19">
        <v>17.0</v>
      </c>
      <c r="AC57" s="19">
        <v>18.0</v>
      </c>
      <c r="AD57" s="19">
        <v>4.0</v>
      </c>
      <c r="AE57" s="19">
        <v>14.0</v>
      </c>
      <c r="AF57" s="19">
        <v>12.0</v>
      </c>
      <c r="AG57" s="19">
        <v>6.0</v>
      </c>
      <c r="AH57" s="19">
        <v>7.0</v>
      </c>
      <c r="AI57" s="19">
        <v>13.0</v>
      </c>
      <c r="AJ57" s="19">
        <v>18.0</v>
      </c>
      <c r="AK57" s="19">
        <v>8.0</v>
      </c>
      <c r="AL57" s="13">
        <f t="shared" ref="AL57:AL66" si="16">SUM(E57:AK57)</f>
        <v>311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1.0</v>
      </c>
      <c r="F58" s="19">
        <v>6.0</v>
      </c>
      <c r="G58" s="19">
        <v>7.0</v>
      </c>
      <c r="H58" s="19">
        <v>8.0</v>
      </c>
      <c r="I58" s="19">
        <v>13.0</v>
      </c>
      <c r="J58" s="19">
        <v>8.0</v>
      </c>
      <c r="K58" s="19">
        <v>5.0</v>
      </c>
      <c r="L58" s="19">
        <v>13.0</v>
      </c>
      <c r="M58" s="19">
        <v>16.0</v>
      </c>
      <c r="N58" s="19">
        <v>9.0</v>
      </c>
      <c r="O58" s="19">
        <v>9.0</v>
      </c>
      <c r="P58" s="19">
        <v>4.0</v>
      </c>
      <c r="Q58" s="19">
        <v>8.0</v>
      </c>
      <c r="R58" s="19">
        <v>4.0</v>
      </c>
      <c r="S58" s="19">
        <v>2.0</v>
      </c>
      <c r="T58" s="19">
        <v>4.0</v>
      </c>
      <c r="U58" s="19">
        <v>14.0</v>
      </c>
      <c r="V58" s="19">
        <v>5.0</v>
      </c>
      <c r="W58" s="19">
        <v>6.0</v>
      </c>
      <c r="X58" s="19">
        <v>4.0</v>
      </c>
      <c r="Y58" s="19">
        <v>1.0</v>
      </c>
      <c r="Z58" s="19">
        <v>4.0</v>
      </c>
      <c r="AA58" s="19">
        <v>8.0</v>
      </c>
      <c r="AB58" s="19">
        <v>11.0</v>
      </c>
      <c r="AC58" s="19">
        <v>13.0</v>
      </c>
      <c r="AD58" s="19">
        <v>3.0</v>
      </c>
      <c r="AE58" s="19">
        <v>10.0</v>
      </c>
      <c r="AF58" s="19">
        <v>6.0</v>
      </c>
      <c r="AG58" s="19">
        <v>2.0</v>
      </c>
      <c r="AH58" s="19">
        <v>11.0</v>
      </c>
      <c r="AI58" s="19">
        <v>17.0</v>
      </c>
      <c r="AJ58" s="19">
        <v>33.0</v>
      </c>
      <c r="AK58" s="19">
        <v>15.0</v>
      </c>
      <c r="AL58" s="13">
        <f t="shared" si="16"/>
        <v>280</v>
      </c>
    </row>
    <row r="59" ht="12.75" customHeight="1">
      <c r="A59" s="18"/>
      <c r="B59" s="55">
        <v>2.0</v>
      </c>
      <c r="C59" s="50" t="s">
        <v>50</v>
      </c>
      <c r="D59" s="61"/>
      <c r="E59" s="19">
        <v>0.0</v>
      </c>
      <c r="F59" s="19">
        <v>4.0</v>
      </c>
      <c r="G59" s="19">
        <v>2.0</v>
      </c>
      <c r="H59" s="19">
        <v>7.0</v>
      </c>
      <c r="I59" s="19">
        <v>6.0</v>
      </c>
      <c r="J59" s="19">
        <v>6.0</v>
      </c>
      <c r="K59" s="19">
        <v>3.0</v>
      </c>
      <c r="L59" s="19">
        <v>5.0</v>
      </c>
      <c r="M59" s="19">
        <v>0.0</v>
      </c>
      <c r="N59" s="19">
        <v>4.0</v>
      </c>
      <c r="O59" s="19">
        <v>0.0</v>
      </c>
      <c r="P59" s="19">
        <v>2.0</v>
      </c>
      <c r="Q59" s="19">
        <v>2.0</v>
      </c>
      <c r="R59" s="19">
        <v>1.0</v>
      </c>
      <c r="S59" s="19">
        <v>4.0</v>
      </c>
      <c r="T59" s="19">
        <v>1.0</v>
      </c>
      <c r="U59" s="19">
        <v>3.0</v>
      </c>
      <c r="V59" s="19">
        <v>3.0</v>
      </c>
      <c r="W59" s="19">
        <v>2.0</v>
      </c>
      <c r="X59" s="19">
        <v>2.0</v>
      </c>
      <c r="Y59" s="19">
        <v>1.0</v>
      </c>
      <c r="Z59" s="19">
        <v>1.0</v>
      </c>
      <c r="AA59" s="19">
        <v>4.0</v>
      </c>
      <c r="AB59" s="19">
        <v>2.0</v>
      </c>
      <c r="AC59" s="19">
        <v>4.0</v>
      </c>
      <c r="AD59" s="19">
        <v>4.0</v>
      </c>
      <c r="AE59" s="19">
        <v>3.0</v>
      </c>
      <c r="AF59" s="19">
        <v>3.0</v>
      </c>
      <c r="AG59" s="19">
        <v>2.0</v>
      </c>
      <c r="AH59" s="19">
        <v>2.0</v>
      </c>
      <c r="AI59" s="19">
        <v>3.0</v>
      </c>
      <c r="AJ59" s="19">
        <v>11.0</v>
      </c>
      <c r="AK59" s="19">
        <v>6.0</v>
      </c>
      <c r="AL59" s="13">
        <f t="shared" si="16"/>
        <v>103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1.0</v>
      </c>
      <c r="G60" s="19">
        <v>0.0</v>
      </c>
      <c r="H60" s="19">
        <v>1.0</v>
      </c>
      <c r="I60" s="19">
        <v>2.0</v>
      </c>
      <c r="J60" s="19">
        <v>0.0</v>
      </c>
      <c r="K60" s="19">
        <v>0.0</v>
      </c>
      <c r="L60" s="19">
        <v>2.0</v>
      </c>
      <c r="M60" s="19">
        <v>0.0</v>
      </c>
      <c r="N60" s="19">
        <v>0.0</v>
      </c>
      <c r="O60" s="19">
        <v>0.0</v>
      </c>
      <c r="P60" s="19">
        <v>1.0</v>
      </c>
      <c r="Q60" s="19">
        <v>1.0</v>
      </c>
      <c r="R60" s="19">
        <v>0.0</v>
      </c>
      <c r="S60" s="19">
        <v>1.0</v>
      </c>
      <c r="T60" s="19">
        <v>0.0</v>
      </c>
      <c r="U60" s="19">
        <v>2.0</v>
      </c>
      <c r="V60" s="19">
        <v>1.0</v>
      </c>
      <c r="W60" s="19">
        <v>0.0</v>
      </c>
      <c r="X60" s="19">
        <v>1.0</v>
      </c>
      <c r="Y60" s="19">
        <v>0.0</v>
      </c>
      <c r="Z60" s="19">
        <v>1.0</v>
      </c>
      <c r="AA60" s="19">
        <v>5.0</v>
      </c>
      <c r="AB60" s="19">
        <v>1.0</v>
      </c>
      <c r="AC60" s="19">
        <v>0.0</v>
      </c>
      <c r="AD60" s="19">
        <v>0.0</v>
      </c>
      <c r="AE60" s="19">
        <v>0.0</v>
      </c>
      <c r="AF60" s="19">
        <v>0.0</v>
      </c>
      <c r="AG60" s="19">
        <v>1.0</v>
      </c>
      <c r="AH60" s="19">
        <v>2.0</v>
      </c>
      <c r="AI60" s="19">
        <v>1.0</v>
      </c>
      <c r="AJ60" s="19">
        <v>1.0</v>
      </c>
      <c r="AK60" s="19">
        <v>0.0</v>
      </c>
      <c r="AL60" s="13">
        <f t="shared" si="16"/>
        <v>26</v>
      </c>
    </row>
    <row r="61" ht="12.75" customHeight="1">
      <c r="A61" s="18"/>
      <c r="B61" s="55">
        <v>4.0</v>
      </c>
      <c r="C61" s="50" t="s">
        <v>52</v>
      </c>
      <c r="D61" s="61"/>
      <c r="E61" s="19">
        <v>4.0</v>
      </c>
      <c r="F61" s="19">
        <v>1.0</v>
      </c>
      <c r="G61" s="19">
        <v>5.0</v>
      </c>
      <c r="H61" s="19">
        <v>1.0</v>
      </c>
      <c r="I61" s="19">
        <v>2.0</v>
      </c>
      <c r="J61" s="19">
        <v>2.0</v>
      </c>
      <c r="K61" s="19">
        <v>2.0</v>
      </c>
      <c r="L61" s="19">
        <v>0.0</v>
      </c>
      <c r="M61" s="19">
        <v>1.0</v>
      </c>
      <c r="N61" s="19">
        <v>0.0</v>
      </c>
      <c r="O61" s="19">
        <v>0.0</v>
      </c>
      <c r="P61" s="19">
        <v>4.0</v>
      </c>
      <c r="Q61" s="19">
        <v>1.0</v>
      </c>
      <c r="R61" s="19">
        <v>1.0</v>
      </c>
      <c r="S61" s="19">
        <v>3.0</v>
      </c>
      <c r="T61" s="19">
        <v>2.0</v>
      </c>
      <c r="U61" s="19">
        <v>4.0</v>
      </c>
      <c r="V61" s="19">
        <v>0.0</v>
      </c>
      <c r="W61" s="19">
        <v>2.0</v>
      </c>
      <c r="X61" s="19">
        <v>3.0</v>
      </c>
      <c r="Y61" s="19">
        <v>0.0</v>
      </c>
      <c r="Z61" s="19">
        <v>17.0</v>
      </c>
      <c r="AA61" s="19">
        <v>5.0</v>
      </c>
      <c r="AB61" s="19">
        <v>3.0</v>
      </c>
      <c r="AC61" s="19">
        <v>6.0</v>
      </c>
      <c r="AD61" s="19">
        <v>0.0</v>
      </c>
      <c r="AE61" s="19">
        <v>5.0</v>
      </c>
      <c r="AF61" s="19">
        <v>5.0</v>
      </c>
      <c r="AG61" s="19">
        <v>0.0</v>
      </c>
      <c r="AH61" s="19">
        <v>2.0</v>
      </c>
      <c r="AI61" s="19">
        <v>0.0</v>
      </c>
      <c r="AJ61" s="19">
        <v>2.0</v>
      </c>
      <c r="AK61" s="19">
        <v>1.0</v>
      </c>
      <c r="AL61" s="13">
        <f t="shared" si="16"/>
        <v>84</v>
      </c>
    </row>
    <row r="62" ht="12.75" customHeight="1">
      <c r="A62" s="18"/>
      <c r="B62" s="55">
        <v>5.0</v>
      </c>
      <c r="C62" s="50" t="s">
        <v>53</v>
      </c>
      <c r="D62" s="61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1.0</v>
      </c>
      <c r="R62" s="19">
        <v>1.0</v>
      </c>
      <c r="S62" s="19">
        <v>0.0</v>
      </c>
      <c r="T62" s="19">
        <v>1.0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9">
        <v>2.0</v>
      </c>
      <c r="AC62" s="19">
        <v>1.0</v>
      </c>
      <c r="AD62" s="19">
        <v>2.0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3">
        <f t="shared" si="16"/>
        <v>14</v>
      </c>
    </row>
    <row r="63" ht="12.75" customHeight="1">
      <c r="A63" s="18"/>
      <c r="B63" s="55">
        <v>6.0</v>
      </c>
      <c r="C63" s="50" t="s">
        <v>54</v>
      </c>
      <c r="D63" s="62"/>
      <c r="E63" s="19">
        <v>1.0</v>
      </c>
      <c r="F63" s="19">
        <v>0.0</v>
      </c>
      <c r="G63" s="19">
        <v>0.0</v>
      </c>
      <c r="H63" s="19">
        <v>1.0</v>
      </c>
      <c r="I63" s="19">
        <v>1.0</v>
      </c>
      <c r="J63" s="19">
        <v>2.0</v>
      </c>
      <c r="K63" s="19">
        <v>1.0</v>
      </c>
      <c r="L63" s="19">
        <v>0.0</v>
      </c>
      <c r="M63" s="19">
        <v>2.0</v>
      </c>
      <c r="N63" s="19">
        <v>2.0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0.0</v>
      </c>
      <c r="X63" s="19">
        <v>0.0</v>
      </c>
      <c r="Y63" s="19">
        <v>0.0</v>
      </c>
      <c r="Z63" s="19">
        <v>0.0</v>
      </c>
      <c r="AA63" s="19">
        <v>1.0</v>
      </c>
      <c r="AB63" s="19">
        <v>2.0</v>
      </c>
      <c r="AC63" s="19">
        <v>1.0</v>
      </c>
      <c r="AD63" s="19">
        <v>0.0</v>
      </c>
      <c r="AE63" s="19">
        <v>0.0</v>
      </c>
      <c r="AF63" s="19">
        <v>1.0</v>
      </c>
      <c r="AG63" s="19">
        <v>1.0</v>
      </c>
      <c r="AH63" s="19">
        <v>1.0</v>
      </c>
      <c r="AI63" s="19">
        <v>1.0</v>
      </c>
      <c r="AJ63" s="19">
        <v>1.0</v>
      </c>
      <c r="AK63" s="19">
        <v>0.0</v>
      </c>
      <c r="AL63" s="13">
        <f t="shared" si="16"/>
        <v>21</v>
      </c>
    </row>
    <row r="64" ht="12.75" customHeight="1">
      <c r="A64" s="18"/>
      <c r="B64" s="55">
        <v>7.0</v>
      </c>
      <c r="C64" s="50" t="s">
        <v>55</v>
      </c>
      <c r="D64" s="61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9">
        <v>0.0</v>
      </c>
      <c r="AE64" s="19">
        <v>1.0</v>
      </c>
      <c r="AF64" s="19">
        <v>1.0</v>
      </c>
      <c r="AG64" s="19">
        <v>1.0</v>
      </c>
      <c r="AH64" s="19">
        <v>0.0</v>
      </c>
      <c r="AI64" s="19">
        <v>0.0</v>
      </c>
      <c r="AJ64" s="19">
        <v>1.0</v>
      </c>
      <c r="AK64" s="19">
        <v>0.0</v>
      </c>
      <c r="AL64" s="13">
        <f t="shared" si="16"/>
        <v>8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L67" si="17">SUM(E57:E66)</f>
        <v>13</v>
      </c>
      <c r="F67" s="13">
        <f t="shared" si="17"/>
        <v>19</v>
      </c>
      <c r="G67" s="13">
        <f t="shared" si="17"/>
        <v>24</v>
      </c>
      <c r="H67" s="13">
        <f t="shared" si="17"/>
        <v>26</v>
      </c>
      <c r="I67" s="13">
        <f t="shared" si="17"/>
        <v>31</v>
      </c>
      <c r="J67" s="13">
        <f t="shared" si="17"/>
        <v>22</v>
      </c>
      <c r="K67" s="13">
        <f t="shared" si="17"/>
        <v>21</v>
      </c>
      <c r="L67" s="13">
        <f t="shared" si="17"/>
        <v>36</v>
      </c>
      <c r="M67" s="13">
        <f t="shared" si="17"/>
        <v>27</v>
      </c>
      <c r="N67" s="13">
        <f t="shared" si="17"/>
        <v>29</v>
      </c>
      <c r="O67" s="13">
        <f t="shared" si="17"/>
        <v>11</v>
      </c>
      <c r="P67" s="13">
        <f t="shared" si="17"/>
        <v>19</v>
      </c>
      <c r="Q67" s="13">
        <f t="shared" si="17"/>
        <v>23</v>
      </c>
      <c r="R67" s="13">
        <f t="shared" si="17"/>
        <v>15</v>
      </c>
      <c r="S67" s="13">
        <f t="shared" si="17"/>
        <v>19</v>
      </c>
      <c r="T67" s="13">
        <f t="shared" si="17"/>
        <v>10</v>
      </c>
      <c r="U67" s="13">
        <f t="shared" si="17"/>
        <v>37</v>
      </c>
      <c r="V67" s="13">
        <f t="shared" si="17"/>
        <v>23</v>
      </c>
      <c r="W67" s="13">
        <f t="shared" si="17"/>
        <v>11</v>
      </c>
      <c r="X67" s="13">
        <f t="shared" si="17"/>
        <v>19</v>
      </c>
      <c r="Y67" s="13">
        <f t="shared" si="17"/>
        <v>7</v>
      </c>
      <c r="Z67" s="13">
        <f t="shared" si="17"/>
        <v>33</v>
      </c>
      <c r="AA67" s="13">
        <f t="shared" si="17"/>
        <v>47</v>
      </c>
      <c r="AB67" s="13">
        <f t="shared" si="17"/>
        <v>38</v>
      </c>
      <c r="AC67" s="13">
        <f t="shared" si="17"/>
        <v>43</v>
      </c>
      <c r="AD67" s="13">
        <f t="shared" si="17"/>
        <v>13</v>
      </c>
      <c r="AE67" s="13">
        <f t="shared" si="17"/>
        <v>33</v>
      </c>
      <c r="AF67" s="13">
        <f t="shared" si="17"/>
        <v>28</v>
      </c>
      <c r="AG67" s="13">
        <f t="shared" si="17"/>
        <v>13</v>
      </c>
      <c r="AH67" s="13">
        <f t="shared" si="17"/>
        <v>25</v>
      </c>
      <c r="AI67" s="13">
        <f t="shared" si="17"/>
        <v>35</v>
      </c>
      <c r="AJ67" s="13">
        <f t="shared" si="17"/>
        <v>67</v>
      </c>
      <c r="AK67" s="13">
        <f t="shared" si="17"/>
        <v>30</v>
      </c>
      <c r="AL67" s="13">
        <f t="shared" si="17"/>
        <v>847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12.0</v>
      </c>
      <c r="G69" s="19">
        <v>11.0</v>
      </c>
      <c r="H69" s="19">
        <v>5.0</v>
      </c>
      <c r="I69" s="19">
        <v>2.0</v>
      </c>
      <c r="J69" s="19">
        <v>7.0</v>
      </c>
      <c r="K69" s="19">
        <v>15.0</v>
      </c>
      <c r="L69" s="19">
        <v>3.0</v>
      </c>
      <c r="M69" s="19">
        <v>3.0</v>
      </c>
      <c r="N69" s="19">
        <v>4.0</v>
      </c>
      <c r="O69" s="19">
        <v>1.0</v>
      </c>
      <c r="P69" s="19">
        <v>4.0</v>
      </c>
      <c r="Q69" s="19">
        <v>4.0</v>
      </c>
      <c r="R69" s="19">
        <v>3.0</v>
      </c>
      <c r="S69" s="19">
        <v>13.0</v>
      </c>
      <c r="T69" s="19">
        <v>3.0</v>
      </c>
      <c r="U69" s="19">
        <v>5.0</v>
      </c>
      <c r="V69" s="19">
        <v>3.0</v>
      </c>
      <c r="W69" s="19">
        <v>12.0</v>
      </c>
      <c r="X69" s="19">
        <v>10.0</v>
      </c>
      <c r="Y69" s="19">
        <v>7.0</v>
      </c>
      <c r="Z69" s="19">
        <v>8.0</v>
      </c>
      <c r="AA69" s="19">
        <v>13.0</v>
      </c>
      <c r="AB69" s="19">
        <v>16.0</v>
      </c>
      <c r="AC69" s="19">
        <v>16.0</v>
      </c>
      <c r="AD69" s="19">
        <v>9.0</v>
      </c>
      <c r="AE69" s="19">
        <v>14.0</v>
      </c>
      <c r="AF69" s="19">
        <v>13.0</v>
      </c>
      <c r="AG69" s="19">
        <v>17.0</v>
      </c>
      <c r="AH69" s="19">
        <v>10.0</v>
      </c>
      <c r="AI69" s="19">
        <v>5.0</v>
      </c>
      <c r="AJ69" s="19">
        <v>2.0</v>
      </c>
      <c r="AK69" s="19">
        <v>7.0</v>
      </c>
      <c r="AL69" s="13">
        <f t="shared" ref="AL69:AL78" si="18">SUM(E69:AK69)</f>
        <v>269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12.0</v>
      </c>
      <c r="F70" s="19">
        <v>12.0</v>
      </c>
      <c r="G70" s="19">
        <v>15.0</v>
      </c>
      <c r="H70" s="19">
        <v>15.0</v>
      </c>
      <c r="I70" s="19">
        <v>10.0</v>
      </c>
      <c r="J70" s="19">
        <v>20.0</v>
      </c>
      <c r="K70" s="19">
        <v>21.0</v>
      </c>
      <c r="L70" s="19">
        <v>14.0</v>
      </c>
      <c r="M70" s="19">
        <v>21.0</v>
      </c>
      <c r="N70" s="19">
        <v>8.0</v>
      </c>
      <c r="O70" s="19">
        <v>2.0</v>
      </c>
      <c r="P70" s="19">
        <v>8.0</v>
      </c>
      <c r="Q70" s="19">
        <v>5.0</v>
      </c>
      <c r="R70" s="19">
        <v>11.0</v>
      </c>
      <c r="S70" s="19">
        <v>5.0</v>
      </c>
      <c r="T70" s="19">
        <v>2.0</v>
      </c>
      <c r="U70" s="19">
        <v>13.0</v>
      </c>
      <c r="V70" s="19">
        <v>12.0</v>
      </c>
      <c r="W70" s="19">
        <v>39.0</v>
      </c>
      <c r="X70" s="19">
        <v>10.0</v>
      </c>
      <c r="Y70" s="19">
        <v>5.0</v>
      </c>
      <c r="Z70" s="19">
        <v>21.0</v>
      </c>
      <c r="AA70" s="19">
        <v>29.0</v>
      </c>
      <c r="AB70" s="19">
        <v>22.0</v>
      </c>
      <c r="AC70" s="19">
        <v>42.0</v>
      </c>
      <c r="AD70" s="19">
        <v>44.0</v>
      </c>
      <c r="AE70" s="19">
        <v>31.0</v>
      </c>
      <c r="AF70" s="19">
        <v>38.0</v>
      </c>
      <c r="AG70" s="19">
        <v>33.0</v>
      </c>
      <c r="AH70" s="19">
        <v>4.0</v>
      </c>
      <c r="AI70" s="19">
        <v>11.0</v>
      </c>
      <c r="AJ70" s="19">
        <v>13.0</v>
      </c>
      <c r="AK70" s="19">
        <v>10.0</v>
      </c>
      <c r="AL70" s="13">
        <f t="shared" si="18"/>
        <v>558</v>
      </c>
    </row>
    <row r="71" ht="12.75" customHeight="1">
      <c r="A71" s="18"/>
      <c r="B71" s="55">
        <v>2.0</v>
      </c>
      <c r="C71" s="50" t="s">
        <v>58</v>
      </c>
      <c r="D71" s="62"/>
      <c r="E71" s="19">
        <v>9.0</v>
      </c>
      <c r="F71" s="19">
        <v>5.0</v>
      </c>
      <c r="G71" s="19">
        <v>1.0</v>
      </c>
      <c r="H71" s="19">
        <v>0.0</v>
      </c>
      <c r="I71" s="19">
        <v>0.0</v>
      </c>
      <c r="J71" s="19">
        <v>1.0</v>
      </c>
      <c r="K71" s="19">
        <v>4.0</v>
      </c>
      <c r="L71" s="19">
        <v>0.0</v>
      </c>
      <c r="M71" s="19">
        <v>1.0</v>
      </c>
      <c r="N71" s="19">
        <v>2.0</v>
      </c>
      <c r="O71" s="19">
        <v>1.0</v>
      </c>
      <c r="P71" s="19">
        <v>1.0</v>
      </c>
      <c r="Q71" s="19">
        <v>1.0</v>
      </c>
      <c r="R71" s="19">
        <v>1.0</v>
      </c>
      <c r="S71" s="19">
        <v>2.0</v>
      </c>
      <c r="T71" s="19">
        <v>3.0</v>
      </c>
      <c r="U71" s="19">
        <v>0.0</v>
      </c>
      <c r="V71" s="19">
        <v>0.0</v>
      </c>
      <c r="W71" s="19">
        <v>0.0</v>
      </c>
      <c r="X71" s="19">
        <v>3.0</v>
      </c>
      <c r="Y71" s="19">
        <v>0.0</v>
      </c>
      <c r="Z71" s="19">
        <v>2.0</v>
      </c>
      <c r="AA71" s="19">
        <v>2.0</v>
      </c>
      <c r="AB71" s="19">
        <v>1.0</v>
      </c>
      <c r="AC71" s="19">
        <v>3.0</v>
      </c>
      <c r="AD71" s="19">
        <v>0.0</v>
      </c>
      <c r="AE71" s="19">
        <v>3.0</v>
      </c>
      <c r="AF71" s="19">
        <v>2.0</v>
      </c>
      <c r="AG71" s="19">
        <v>0.0</v>
      </c>
      <c r="AH71" s="19">
        <v>2.0</v>
      </c>
      <c r="AI71" s="19">
        <v>10.0</v>
      </c>
      <c r="AJ71" s="19">
        <v>4.0</v>
      </c>
      <c r="AK71" s="19">
        <v>9.0</v>
      </c>
      <c r="AL71" s="13">
        <f t="shared" si="18"/>
        <v>73</v>
      </c>
    </row>
    <row r="72" ht="12.75" customHeight="1">
      <c r="A72" s="18"/>
      <c r="B72" s="55">
        <v>3.0</v>
      </c>
      <c r="C72" s="50" t="s">
        <v>59</v>
      </c>
      <c r="D72" s="62"/>
      <c r="E72" s="19">
        <v>1.0</v>
      </c>
      <c r="F72" s="19">
        <v>2.0</v>
      </c>
      <c r="G72" s="19">
        <v>2.0</v>
      </c>
      <c r="H72" s="19">
        <v>1.0</v>
      </c>
      <c r="I72" s="19">
        <v>1.0</v>
      </c>
      <c r="J72" s="19">
        <v>0.0</v>
      </c>
      <c r="K72" s="19">
        <v>0.0</v>
      </c>
      <c r="L72" s="19">
        <v>1.0</v>
      </c>
      <c r="M72" s="19">
        <v>1.0</v>
      </c>
      <c r="N72" s="19">
        <v>0.0</v>
      </c>
      <c r="O72" s="19">
        <v>3.0</v>
      </c>
      <c r="P72" s="19">
        <v>2.0</v>
      </c>
      <c r="Q72" s="19">
        <v>0.0</v>
      </c>
      <c r="R72" s="19">
        <v>1.0</v>
      </c>
      <c r="S72" s="19">
        <v>4.0</v>
      </c>
      <c r="T72" s="19">
        <v>0.0</v>
      </c>
      <c r="U72" s="19">
        <v>2.0</v>
      </c>
      <c r="V72" s="19">
        <v>0.0</v>
      </c>
      <c r="W72" s="19">
        <v>2.0</v>
      </c>
      <c r="X72" s="19">
        <v>4.0</v>
      </c>
      <c r="Y72" s="19">
        <v>1.0</v>
      </c>
      <c r="Z72" s="19">
        <v>2.0</v>
      </c>
      <c r="AA72" s="19">
        <v>5.0</v>
      </c>
      <c r="AB72" s="19">
        <v>0.0</v>
      </c>
      <c r="AC72" s="19">
        <v>3.0</v>
      </c>
      <c r="AD72" s="19">
        <v>3.0</v>
      </c>
      <c r="AE72" s="19">
        <v>1.0</v>
      </c>
      <c r="AF72" s="19">
        <v>2.0</v>
      </c>
      <c r="AG72" s="19">
        <v>3.0</v>
      </c>
      <c r="AH72" s="19">
        <v>87.0</v>
      </c>
      <c r="AI72" s="19">
        <v>27.0</v>
      </c>
      <c r="AJ72" s="19">
        <v>1.0</v>
      </c>
      <c r="AK72" s="19">
        <v>2.0</v>
      </c>
      <c r="AL72" s="13">
        <f t="shared" si="18"/>
        <v>164</v>
      </c>
    </row>
    <row r="73" ht="12.75" customHeight="1">
      <c r="A73" s="18"/>
      <c r="B73" s="55">
        <v>4.0</v>
      </c>
      <c r="C73" s="50" t="s">
        <v>60</v>
      </c>
      <c r="D73" s="62"/>
      <c r="E73" s="19">
        <v>3.0</v>
      </c>
      <c r="F73" s="19">
        <v>0.0</v>
      </c>
      <c r="G73" s="19">
        <v>0.0</v>
      </c>
      <c r="H73" s="19">
        <v>0.0</v>
      </c>
      <c r="I73" s="19">
        <v>2.0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0.0</v>
      </c>
      <c r="Q73" s="19">
        <v>1.0</v>
      </c>
      <c r="R73" s="19">
        <v>1.0</v>
      </c>
      <c r="S73" s="19">
        <v>0.0</v>
      </c>
      <c r="T73" s="19">
        <v>0.0</v>
      </c>
      <c r="U73" s="19">
        <v>0.0</v>
      </c>
      <c r="V73" s="19">
        <v>3.0</v>
      </c>
      <c r="W73" s="19">
        <v>1.0</v>
      </c>
      <c r="X73" s="19">
        <v>4.0</v>
      </c>
      <c r="Y73" s="19">
        <v>0.0</v>
      </c>
      <c r="Z73" s="19">
        <v>1.0</v>
      </c>
      <c r="AA73" s="19">
        <v>3.0</v>
      </c>
      <c r="AB73" s="19">
        <v>0.0</v>
      </c>
      <c r="AC73" s="19">
        <v>2.0</v>
      </c>
      <c r="AD73" s="19">
        <v>6.0</v>
      </c>
      <c r="AE73" s="19">
        <v>6.0</v>
      </c>
      <c r="AF73" s="19">
        <v>5.0</v>
      </c>
      <c r="AG73" s="19">
        <v>2.0</v>
      </c>
      <c r="AH73" s="19">
        <v>0.0</v>
      </c>
      <c r="AI73" s="19">
        <v>2.0</v>
      </c>
      <c r="AJ73" s="19">
        <v>0.0</v>
      </c>
      <c r="AK73" s="19">
        <v>0.0</v>
      </c>
      <c r="AL73" s="13">
        <f t="shared" si="18"/>
        <v>43</v>
      </c>
    </row>
    <row r="74" ht="12.75" customHeight="1">
      <c r="A74" s="18"/>
      <c r="B74" s="55">
        <v>5.0</v>
      </c>
      <c r="C74" s="50" t="s">
        <v>61</v>
      </c>
      <c r="D74" s="62"/>
      <c r="E74" s="19">
        <v>4.0</v>
      </c>
      <c r="F74" s="19">
        <v>2.0</v>
      </c>
      <c r="G74" s="19">
        <v>1.0</v>
      </c>
      <c r="H74" s="19">
        <v>2.0</v>
      </c>
      <c r="I74" s="19">
        <v>5.0</v>
      </c>
      <c r="J74" s="19">
        <v>3.0</v>
      </c>
      <c r="K74" s="19">
        <v>4.0</v>
      </c>
      <c r="L74" s="19">
        <v>2.0</v>
      </c>
      <c r="M74" s="19">
        <v>1.0</v>
      </c>
      <c r="N74" s="19">
        <v>3.0</v>
      </c>
      <c r="O74" s="19">
        <v>2.0</v>
      </c>
      <c r="P74" s="19">
        <v>2.0</v>
      </c>
      <c r="Q74" s="19">
        <v>2.0</v>
      </c>
      <c r="R74" s="19">
        <v>0.0</v>
      </c>
      <c r="S74" s="19">
        <v>3.0</v>
      </c>
      <c r="T74" s="19">
        <v>0.0</v>
      </c>
      <c r="U74" s="19">
        <v>3.0</v>
      </c>
      <c r="V74" s="19">
        <v>2.0</v>
      </c>
      <c r="W74" s="19">
        <v>0.0</v>
      </c>
      <c r="X74" s="19">
        <v>7.0</v>
      </c>
      <c r="Y74" s="19">
        <v>0.0</v>
      </c>
      <c r="Z74" s="19">
        <v>4.0</v>
      </c>
      <c r="AA74" s="19">
        <v>8.0</v>
      </c>
      <c r="AB74" s="19">
        <v>2.0</v>
      </c>
      <c r="AC74" s="19">
        <v>4.0</v>
      </c>
      <c r="AD74" s="19">
        <v>4.0</v>
      </c>
      <c r="AE74" s="19">
        <v>11.0</v>
      </c>
      <c r="AF74" s="19">
        <v>2.0</v>
      </c>
      <c r="AG74" s="19">
        <v>3.0</v>
      </c>
      <c r="AH74" s="19">
        <v>0.0</v>
      </c>
      <c r="AI74" s="19">
        <v>1.0</v>
      </c>
      <c r="AJ74" s="19">
        <v>2.0</v>
      </c>
      <c r="AK74" s="19">
        <v>3.0</v>
      </c>
      <c r="AL74" s="13">
        <f t="shared" si="18"/>
        <v>92</v>
      </c>
    </row>
    <row r="75" ht="12.75" customHeight="1">
      <c r="A75" s="18"/>
      <c r="B75" s="55">
        <v>6.0</v>
      </c>
      <c r="C75" s="50" t="s">
        <v>62</v>
      </c>
      <c r="D75" s="62"/>
      <c r="E75" s="19">
        <v>0.0</v>
      </c>
      <c r="F75" s="19">
        <v>1.0</v>
      </c>
      <c r="G75" s="19">
        <v>0.0</v>
      </c>
      <c r="H75" s="19">
        <v>1.0</v>
      </c>
      <c r="I75" s="19">
        <v>0.0</v>
      </c>
      <c r="J75" s="19">
        <v>1.0</v>
      </c>
      <c r="K75" s="19">
        <v>2.0</v>
      </c>
      <c r="L75" s="19">
        <v>0.0</v>
      </c>
      <c r="M75" s="19">
        <v>0.0</v>
      </c>
      <c r="N75" s="19">
        <v>0.0</v>
      </c>
      <c r="O75" s="19">
        <v>0.0</v>
      </c>
      <c r="P75" s="19">
        <v>2.0</v>
      </c>
      <c r="Q75" s="19">
        <v>2.0</v>
      </c>
      <c r="R75" s="19">
        <v>1.0</v>
      </c>
      <c r="S75" s="19">
        <v>0.0</v>
      </c>
      <c r="T75" s="19">
        <v>0.0</v>
      </c>
      <c r="U75" s="19">
        <v>1.0</v>
      </c>
      <c r="V75" s="19">
        <v>0.0</v>
      </c>
      <c r="W75" s="19">
        <v>1.0</v>
      </c>
      <c r="X75" s="19">
        <v>2.0</v>
      </c>
      <c r="Y75" s="19">
        <v>0.0</v>
      </c>
      <c r="Z75" s="19">
        <v>0.0</v>
      </c>
      <c r="AA75" s="19">
        <v>1.0</v>
      </c>
      <c r="AB75" s="19">
        <v>1.0</v>
      </c>
      <c r="AC75" s="19">
        <v>0.0</v>
      </c>
      <c r="AD75" s="19">
        <v>0.0</v>
      </c>
      <c r="AE75" s="19">
        <v>0.0</v>
      </c>
      <c r="AF75" s="19">
        <v>1.0</v>
      </c>
      <c r="AG75" s="19">
        <v>0.0</v>
      </c>
      <c r="AH75" s="19">
        <v>0.0</v>
      </c>
      <c r="AI75" s="19">
        <v>1.0</v>
      </c>
      <c r="AJ75" s="19">
        <v>1.0</v>
      </c>
      <c r="AK75" s="19">
        <v>0.0</v>
      </c>
      <c r="AL75" s="13">
        <f t="shared" si="18"/>
        <v>19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1.0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2.0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1.0</v>
      </c>
      <c r="AF76" s="19">
        <v>1.0</v>
      </c>
      <c r="AG76" s="19">
        <v>0.0</v>
      </c>
      <c r="AH76" s="19">
        <v>0.0</v>
      </c>
      <c r="AI76" s="19">
        <v>1.0</v>
      </c>
      <c r="AJ76" s="19">
        <v>1.0</v>
      </c>
      <c r="AK76" s="19">
        <v>0.0</v>
      </c>
      <c r="AL76" s="13">
        <f t="shared" si="18"/>
        <v>8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L79" si="19">SUM(E69:E78)</f>
        <v>41</v>
      </c>
      <c r="F79" s="13">
        <f t="shared" si="19"/>
        <v>35</v>
      </c>
      <c r="G79" s="13">
        <f t="shared" si="19"/>
        <v>30</v>
      </c>
      <c r="H79" s="13">
        <f t="shared" si="19"/>
        <v>25</v>
      </c>
      <c r="I79" s="13">
        <f t="shared" si="19"/>
        <v>20</v>
      </c>
      <c r="J79" s="13">
        <f t="shared" si="19"/>
        <v>32</v>
      </c>
      <c r="K79" s="13">
        <f t="shared" si="19"/>
        <v>46</v>
      </c>
      <c r="L79" s="13">
        <f t="shared" si="19"/>
        <v>20</v>
      </c>
      <c r="M79" s="13">
        <f t="shared" si="19"/>
        <v>27</v>
      </c>
      <c r="N79" s="13">
        <f t="shared" si="19"/>
        <v>18</v>
      </c>
      <c r="O79" s="13">
        <f t="shared" si="19"/>
        <v>9</v>
      </c>
      <c r="P79" s="13">
        <f t="shared" si="19"/>
        <v>19</v>
      </c>
      <c r="Q79" s="13">
        <f t="shared" si="19"/>
        <v>15</v>
      </c>
      <c r="R79" s="13">
        <f t="shared" si="19"/>
        <v>20</v>
      </c>
      <c r="S79" s="13">
        <f t="shared" si="19"/>
        <v>27</v>
      </c>
      <c r="T79" s="13">
        <f t="shared" si="19"/>
        <v>8</v>
      </c>
      <c r="U79" s="13">
        <f t="shared" si="19"/>
        <v>24</v>
      </c>
      <c r="V79" s="13">
        <f t="shared" si="19"/>
        <v>20</v>
      </c>
      <c r="W79" s="13">
        <f t="shared" si="19"/>
        <v>55</v>
      </c>
      <c r="X79" s="13">
        <f t="shared" si="19"/>
        <v>40</v>
      </c>
      <c r="Y79" s="13">
        <f t="shared" si="19"/>
        <v>13</v>
      </c>
      <c r="Z79" s="13">
        <f t="shared" si="19"/>
        <v>38</v>
      </c>
      <c r="AA79" s="13">
        <f t="shared" si="19"/>
        <v>61</v>
      </c>
      <c r="AB79" s="13">
        <f t="shared" si="19"/>
        <v>42</v>
      </c>
      <c r="AC79" s="13">
        <f t="shared" si="19"/>
        <v>70</v>
      </c>
      <c r="AD79" s="13">
        <f t="shared" si="19"/>
        <v>66</v>
      </c>
      <c r="AE79" s="13">
        <f t="shared" si="19"/>
        <v>67</v>
      </c>
      <c r="AF79" s="13">
        <f t="shared" si="19"/>
        <v>64</v>
      </c>
      <c r="AG79" s="13">
        <f t="shared" si="19"/>
        <v>58</v>
      </c>
      <c r="AH79" s="13">
        <f t="shared" si="19"/>
        <v>103</v>
      </c>
      <c r="AI79" s="13">
        <f t="shared" si="19"/>
        <v>58</v>
      </c>
      <c r="AJ79" s="13">
        <f t="shared" si="19"/>
        <v>24</v>
      </c>
      <c r="AK79" s="13">
        <f t="shared" si="19"/>
        <v>31</v>
      </c>
      <c r="AL79" s="13">
        <f t="shared" si="19"/>
        <v>1226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13.0</v>
      </c>
      <c r="F81" s="19">
        <v>14.0</v>
      </c>
      <c r="G81" s="19">
        <v>1.0</v>
      </c>
      <c r="H81" s="19">
        <v>5.0</v>
      </c>
      <c r="I81" s="19">
        <v>1.0</v>
      </c>
      <c r="J81" s="19">
        <v>3.0</v>
      </c>
      <c r="K81" s="19">
        <v>3.0</v>
      </c>
      <c r="L81" s="19">
        <v>0.0</v>
      </c>
      <c r="M81" s="19">
        <v>1.0</v>
      </c>
      <c r="N81" s="19">
        <v>3.0</v>
      </c>
      <c r="O81" s="19">
        <v>3.0</v>
      </c>
      <c r="P81" s="19">
        <v>4.0</v>
      </c>
      <c r="Q81" s="19">
        <v>5.0</v>
      </c>
      <c r="R81" s="19">
        <v>7.0</v>
      </c>
      <c r="S81" s="19">
        <v>4.0</v>
      </c>
      <c r="T81" s="19">
        <v>7.0</v>
      </c>
      <c r="U81" s="19">
        <v>3.0</v>
      </c>
      <c r="V81" s="19">
        <v>3.0</v>
      </c>
      <c r="W81" s="19">
        <v>14.0</v>
      </c>
      <c r="X81" s="19">
        <v>7.0</v>
      </c>
      <c r="Y81" s="19">
        <v>14.0</v>
      </c>
      <c r="Z81" s="19">
        <v>3.0</v>
      </c>
      <c r="AA81" s="19">
        <v>7.0</v>
      </c>
      <c r="AB81" s="19">
        <v>15.0</v>
      </c>
      <c r="AC81" s="19">
        <v>6.0</v>
      </c>
      <c r="AD81" s="19">
        <v>20.0</v>
      </c>
      <c r="AE81" s="19">
        <v>16.0</v>
      </c>
      <c r="AF81" s="19">
        <v>9.0</v>
      </c>
      <c r="AG81" s="19">
        <v>38.0</v>
      </c>
      <c r="AH81" s="19">
        <v>5.0</v>
      </c>
      <c r="AI81" s="19">
        <v>7.0</v>
      </c>
      <c r="AJ81" s="19">
        <v>8.0</v>
      </c>
      <c r="AK81" s="19">
        <v>5.0</v>
      </c>
      <c r="AL81" s="13">
        <f t="shared" ref="AL81:AL90" si="20">SUM(E81:AK81)</f>
        <v>254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71.0</v>
      </c>
      <c r="F82" s="19">
        <v>29.0</v>
      </c>
      <c r="G82" s="19">
        <v>17.0</v>
      </c>
      <c r="H82" s="19">
        <v>12.0</v>
      </c>
      <c r="I82" s="19">
        <v>17.0</v>
      </c>
      <c r="J82" s="19">
        <v>14.0</v>
      </c>
      <c r="K82" s="19">
        <v>7.0</v>
      </c>
      <c r="L82" s="19">
        <v>14.0</v>
      </c>
      <c r="M82" s="19">
        <v>3.0</v>
      </c>
      <c r="N82" s="19">
        <v>15.0</v>
      </c>
      <c r="O82" s="19">
        <v>20.0</v>
      </c>
      <c r="P82" s="19">
        <v>8.0</v>
      </c>
      <c r="Q82" s="19">
        <v>6.0</v>
      </c>
      <c r="R82" s="19">
        <v>29.0</v>
      </c>
      <c r="S82" s="19">
        <v>9.0</v>
      </c>
      <c r="T82" s="19">
        <v>4.0</v>
      </c>
      <c r="U82" s="19">
        <v>3.0</v>
      </c>
      <c r="V82" s="19">
        <v>5.0</v>
      </c>
      <c r="W82" s="19">
        <v>24.0</v>
      </c>
      <c r="X82" s="19">
        <v>12.0</v>
      </c>
      <c r="Y82" s="19">
        <v>28.0</v>
      </c>
      <c r="Z82" s="19">
        <v>4.0</v>
      </c>
      <c r="AA82" s="19">
        <v>9.0</v>
      </c>
      <c r="AB82" s="19">
        <v>11.0</v>
      </c>
      <c r="AC82" s="19">
        <v>8.0</v>
      </c>
      <c r="AD82" s="19">
        <v>27.0</v>
      </c>
      <c r="AE82" s="19">
        <v>30.0</v>
      </c>
      <c r="AF82" s="19">
        <v>1.0</v>
      </c>
      <c r="AG82" s="19">
        <v>44.0</v>
      </c>
      <c r="AH82" s="19">
        <v>4.0</v>
      </c>
      <c r="AI82" s="19">
        <v>4.0</v>
      </c>
      <c r="AJ82" s="19">
        <v>1.0</v>
      </c>
      <c r="AK82" s="19">
        <v>2.0</v>
      </c>
      <c r="AL82" s="13">
        <f t="shared" si="20"/>
        <v>492</v>
      </c>
    </row>
    <row r="83" ht="12.75" customHeight="1">
      <c r="A83" s="18"/>
      <c r="B83" s="55">
        <v>2.0</v>
      </c>
      <c r="C83" s="50" t="s">
        <v>66</v>
      </c>
      <c r="D83" s="62"/>
      <c r="E83" s="19">
        <v>28.0</v>
      </c>
      <c r="F83" s="19">
        <v>18.0</v>
      </c>
      <c r="G83" s="19">
        <v>2.0</v>
      </c>
      <c r="H83" s="19">
        <v>1.0</v>
      </c>
      <c r="I83" s="19">
        <v>6.0</v>
      </c>
      <c r="J83" s="19">
        <v>6.0</v>
      </c>
      <c r="K83" s="19">
        <v>4.0</v>
      </c>
      <c r="L83" s="19">
        <v>2.0</v>
      </c>
      <c r="M83" s="19">
        <v>0.0</v>
      </c>
      <c r="N83" s="19">
        <v>1.0</v>
      </c>
      <c r="O83" s="19">
        <v>2.0</v>
      </c>
      <c r="P83" s="19">
        <v>3.0</v>
      </c>
      <c r="Q83" s="19">
        <v>3.0</v>
      </c>
      <c r="R83" s="19">
        <v>7.0</v>
      </c>
      <c r="S83" s="19">
        <v>2.0</v>
      </c>
      <c r="T83" s="19">
        <v>2.0</v>
      </c>
      <c r="U83" s="19">
        <v>5.0</v>
      </c>
      <c r="V83" s="19">
        <v>3.0</v>
      </c>
      <c r="W83" s="19">
        <v>19.0</v>
      </c>
      <c r="X83" s="19">
        <v>11.0</v>
      </c>
      <c r="Y83" s="19">
        <v>51.0</v>
      </c>
      <c r="Z83" s="19">
        <v>6.0</v>
      </c>
      <c r="AA83" s="19">
        <v>10.0</v>
      </c>
      <c r="AB83" s="19">
        <v>7.0</v>
      </c>
      <c r="AC83" s="19">
        <v>2.0</v>
      </c>
      <c r="AD83" s="19">
        <v>10.0</v>
      </c>
      <c r="AE83" s="19">
        <v>6.0</v>
      </c>
      <c r="AF83" s="19">
        <v>6.0</v>
      </c>
      <c r="AG83" s="19">
        <v>11.0</v>
      </c>
      <c r="AH83" s="19">
        <v>11.0</v>
      </c>
      <c r="AI83" s="19">
        <v>32.0</v>
      </c>
      <c r="AJ83" s="19">
        <v>28.0</v>
      </c>
      <c r="AK83" s="19">
        <v>44.0</v>
      </c>
      <c r="AL83" s="13">
        <f t="shared" si="20"/>
        <v>349</v>
      </c>
    </row>
    <row r="84" ht="12.75" customHeight="1">
      <c r="A84" s="18"/>
      <c r="B84" s="55">
        <v>3.0</v>
      </c>
      <c r="C84" s="50" t="s">
        <v>67</v>
      </c>
      <c r="D84" s="62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2.0</v>
      </c>
      <c r="S84" s="19">
        <v>1.0</v>
      </c>
      <c r="T84" s="19">
        <v>0.0</v>
      </c>
      <c r="U84" s="19">
        <v>0.0</v>
      </c>
      <c r="V84" s="19">
        <v>1.0</v>
      </c>
      <c r="W84" s="19">
        <v>3.0</v>
      </c>
      <c r="X84" s="19">
        <v>0.0</v>
      </c>
      <c r="Y84" s="19">
        <v>0.0</v>
      </c>
      <c r="Z84" s="19">
        <v>0.0</v>
      </c>
      <c r="AA84" s="19">
        <v>2.0</v>
      </c>
      <c r="AB84" s="19">
        <v>0.0</v>
      </c>
      <c r="AC84" s="19">
        <v>3.0</v>
      </c>
      <c r="AD84" s="19">
        <v>1.0</v>
      </c>
      <c r="AE84" s="19">
        <v>4.0</v>
      </c>
      <c r="AF84" s="19">
        <v>1.0</v>
      </c>
      <c r="AG84" s="19">
        <v>2.0</v>
      </c>
      <c r="AH84" s="19">
        <v>1.0</v>
      </c>
      <c r="AI84" s="19">
        <v>0.0</v>
      </c>
      <c r="AJ84" s="19">
        <v>2.0</v>
      </c>
      <c r="AK84" s="19">
        <v>0.0</v>
      </c>
      <c r="AL84" s="13">
        <f t="shared" si="20"/>
        <v>26</v>
      </c>
    </row>
    <row r="85" ht="12.75" customHeight="1">
      <c r="A85" s="18"/>
      <c r="B85" s="55">
        <v>4.0</v>
      </c>
      <c r="C85" s="50" t="s">
        <v>68</v>
      </c>
      <c r="D85" s="62"/>
      <c r="E85" s="19">
        <v>3.0</v>
      </c>
      <c r="F85" s="19">
        <v>0.0</v>
      </c>
      <c r="G85" s="19">
        <v>0.0</v>
      </c>
      <c r="H85" s="19">
        <v>1.0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1.0</v>
      </c>
      <c r="P85" s="19">
        <v>0.0</v>
      </c>
      <c r="Q85" s="19">
        <v>0.0</v>
      </c>
      <c r="R85" s="19">
        <v>1.0</v>
      </c>
      <c r="S85" s="19">
        <v>1.0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1.0</v>
      </c>
      <c r="AA85" s="19">
        <v>1.0</v>
      </c>
      <c r="AB85" s="19">
        <v>1.0</v>
      </c>
      <c r="AC85" s="19">
        <v>4.0</v>
      </c>
      <c r="AD85" s="19">
        <v>1.0</v>
      </c>
      <c r="AE85" s="19">
        <v>0.0</v>
      </c>
      <c r="AF85" s="19">
        <v>1.0</v>
      </c>
      <c r="AG85" s="19">
        <v>2.0</v>
      </c>
      <c r="AH85" s="19">
        <v>1.0</v>
      </c>
      <c r="AI85" s="19">
        <v>0.0</v>
      </c>
      <c r="AJ85" s="19">
        <v>2.0</v>
      </c>
      <c r="AK85" s="19">
        <v>0.0</v>
      </c>
      <c r="AL85" s="13">
        <f t="shared" si="20"/>
        <v>23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1.0</v>
      </c>
      <c r="N86" s="19">
        <v>0.0</v>
      </c>
      <c r="O86" s="19">
        <v>0.0</v>
      </c>
      <c r="P86" s="19">
        <v>0.0</v>
      </c>
      <c r="Q86" s="19">
        <v>3.0</v>
      </c>
      <c r="R86" s="19">
        <v>2.0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1.0</v>
      </c>
      <c r="AA86" s="19">
        <v>0.0</v>
      </c>
      <c r="AB86" s="19">
        <v>0.0</v>
      </c>
      <c r="AC86" s="19">
        <v>1.0</v>
      </c>
      <c r="AD86" s="19">
        <v>0.0</v>
      </c>
      <c r="AE86" s="19">
        <v>0.0</v>
      </c>
      <c r="AF86" s="19">
        <v>1.0</v>
      </c>
      <c r="AG86" s="19">
        <v>2.0</v>
      </c>
      <c r="AH86" s="19">
        <v>0.0</v>
      </c>
      <c r="AI86" s="19">
        <v>0.0</v>
      </c>
      <c r="AJ86" s="19">
        <v>0.0</v>
      </c>
      <c r="AK86" s="19">
        <v>1.0</v>
      </c>
      <c r="AL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2.0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1.0</v>
      </c>
      <c r="AD87" s="19">
        <v>1.0</v>
      </c>
      <c r="AE87" s="19">
        <v>0.0</v>
      </c>
      <c r="AF87" s="19">
        <v>0.0</v>
      </c>
      <c r="AG87" s="19">
        <v>2.0</v>
      </c>
      <c r="AH87" s="19">
        <v>0.0</v>
      </c>
      <c r="AI87" s="19">
        <v>0.0</v>
      </c>
      <c r="AJ87" s="19">
        <v>1.0</v>
      </c>
      <c r="AK87" s="19">
        <v>0.0</v>
      </c>
      <c r="AL87" s="13">
        <f t="shared" si="20"/>
        <v>9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3">
        <f t="shared" si="20"/>
        <v>2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L91" si="21">SUM(E81:E90)</f>
        <v>115</v>
      </c>
      <c r="F91" s="13">
        <f t="shared" si="21"/>
        <v>61</v>
      </c>
      <c r="G91" s="13">
        <f t="shared" si="21"/>
        <v>20</v>
      </c>
      <c r="H91" s="13">
        <f t="shared" si="21"/>
        <v>20</v>
      </c>
      <c r="I91" s="13">
        <f t="shared" si="21"/>
        <v>24</v>
      </c>
      <c r="J91" s="13">
        <f t="shared" si="21"/>
        <v>24</v>
      </c>
      <c r="K91" s="13">
        <f t="shared" si="21"/>
        <v>16</v>
      </c>
      <c r="L91" s="13">
        <f t="shared" si="21"/>
        <v>17</v>
      </c>
      <c r="M91" s="13">
        <f t="shared" si="21"/>
        <v>6</v>
      </c>
      <c r="N91" s="13">
        <f t="shared" si="21"/>
        <v>20</v>
      </c>
      <c r="O91" s="13">
        <f t="shared" si="21"/>
        <v>28</v>
      </c>
      <c r="P91" s="13">
        <f t="shared" si="21"/>
        <v>16</v>
      </c>
      <c r="Q91" s="13">
        <f t="shared" si="21"/>
        <v>17</v>
      </c>
      <c r="R91" s="13">
        <f t="shared" si="21"/>
        <v>48</v>
      </c>
      <c r="S91" s="13">
        <f t="shared" si="21"/>
        <v>18</v>
      </c>
      <c r="T91" s="13">
        <f t="shared" si="21"/>
        <v>13</v>
      </c>
      <c r="U91" s="13">
        <f t="shared" si="21"/>
        <v>11</v>
      </c>
      <c r="V91" s="13">
        <f t="shared" si="21"/>
        <v>12</v>
      </c>
      <c r="W91" s="13">
        <f t="shared" si="21"/>
        <v>60</v>
      </c>
      <c r="X91" s="13">
        <f t="shared" si="21"/>
        <v>31</v>
      </c>
      <c r="Y91" s="13">
        <f t="shared" si="21"/>
        <v>93</v>
      </c>
      <c r="Z91" s="13">
        <f t="shared" si="21"/>
        <v>15</v>
      </c>
      <c r="AA91" s="13">
        <f t="shared" si="21"/>
        <v>29</v>
      </c>
      <c r="AB91" s="13">
        <f t="shared" si="21"/>
        <v>34</v>
      </c>
      <c r="AC91" s="13">
        <f t="shared" si="21"/>
        <v>25</v>
      </c>
      <c r="AD91" s="13">
        <f t="shared" si="21"/>
        <v>60</v>
      </c>
      <c r="AE91" s="13">
        <f t="shared" si="21"/>
        <v>56</v>
      </c>
      <c r="AF91" s="13">
        <f t="shared" si="21"/>
        <v>19</v>
      </c>
      <c r="AG91" s="13">
        <f t="shared" si="21"/>
        <v>101</v>
      </c>
      <c r="AH91" s="13">
        <f t="shared" si="21"/>
        <v>22</v>
      </c>
      <c r="AI91" s="13">
        <f t="shared" si="21"/>
        <v>43</v>
      </c>
      <c r="AJ91" s="13">
        <f t="shared" si="21"/>
        <v>42</v>
      </c>
      <c r="AK91" s="13">
        <f t="shared" si="21"/>
        <v>52</v>
      </c>
      <c r="AL91" s="13">
        <f t="shared" si="21"/>
        <v>1168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1.0</v>
      </c>
      <c r="M93" s="19">
        <v>0.0</v>
      </c>
      <c r="N93" s="19">
        <v>2.0</v>
      </c>
      <c r="O93" s="19">
        <v>2.0</v>
      </c>
      <c r="P93" s="19">
        <v>3.0</v>
      </c>
      <c r="Q93" s="19">
        <v>0.0</v>
      </c>
      <c r="R93" s="19">
        <v>1.0</v>
      </c>
      <c r="S93" s="19">
        <v>6.0</v>
      </c>
      <c r="T93" s="19">
        <v>3.0</v>
      </c>
      <c r="U93" s="19">
        <v>4.0</v>
      </c>
      <c r="V93" s="19">
        <v>5.0</v>
      </c>
      <c r="W93" s="19">
        <v>1.0</v>
      </c>
      <c r="X93" s="19">
        <v>1.0</v>
      </c>
      <c r="Y93" s="19">
        <v>0.0</v>
      </c>
      <c r="Z93" s="19">
        <v>3.0</v>
      </c>
      <c r="AA93" s="19">
        <v>0.0</v>
      </c>
      <c r="AB93" s="19">
        <v>0.0</v>
      </c>
      <c r="AC93" s="19">
        <v>0.0</v>
      </c>
      <c r="AD93" s="19">
        <v>1.0</v>
      </c>
      <c r="AE93" s="19">
        <v>0.0</v>
      </c>
      <c r="AF93" s="19">
        <v>0.0</v>
      </c>
      <c r="AG93" s="19">
        <v>0.0</v>
      </c>
      <c r="AH93" s="19">
        <v>2.0</v>
      </c>
      <c r="AI93" s="19">
        <v>2.0</v>
      </c>
      <c r="AJ93" s="19">
        <v>13.0</v>
      </c>
      <c r="AK93" s="19">
        <v>12.0</v>
      </c>
      <c r="AL93" s="13">
        <f t="shared" ref="AL93:AL102" si="22">SUM(E93:AK93)</f>
        <v>62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2.0</v>
      </c>
      <c r="K94" s="19">
        <v>0.0</v>
      </c>
      <c r="L94" s="19">
        <v>0.0</v>
      </c>
      <c r="M94" s="19">
        <v>0.0</v>
      </c>
      <c r="N94" s="19">
        <v>0.0</v>
      </c>
      <c r="O94" s="19">
        <v>1.0</v>
      </c>
      <c r="P94" s="19">
        <v>1.0</v>
      </c>
      <c r="Q94" s="19">
        <v>0.0</v>
      </c>
      <c r="R94" s="19">
        <v>0.0</v>
      </c>
      <c r="S94" s="19">
        <v>4.0</v>
      </c>
      <c r="T94" s="19">
        <v>10.0</v>
      </c>
      <c r="U94" s="19">
        <v>1.0</v>
      </c>
      <c r="V94" s="19">
        <v>7.0</v>
      </c>
      <c r="W94" s="19">
        <v>2.0</v>
      </c>
      <c r="X94" s="19">
        <v>0.0</v>
      </c>
      <c r="Y94" s="19">
        <v>0.0</v>
      </c>
      <c r="Z94" s="19">
        <v>1.0</v>
      </c>
      <c r="AA94" s="19">
        <v>0.0</v>
      </c>
      <c r="AB94" s="19">
        <v>0.0</v>
      </c>
      <c r="AC94" s="19">
        <v>0.0</v>
      </c>
      <c r="AD94" s="19">
        <v>3.0</v>
      </c>
      <c r="AE94" s="19">
        <v>5.0</v>
      </c>
      <c r="AF94" s="19">
        <v>2.0</v>
      </c>
      <c r="AG94" s="19">
        <v>1.0</v>
      </c>
      <c r="AH94" s="19">
        <v>3.0</v>
      </c>
      <c r="AI94" s="19">
        <v>9.0</v>
      </c>
      <c r="AJ94" s="19">
        <v>15.0</v>
      </c>
      <c r="AK94" s="19">
        <v>22.0</v>
      </c>
      <c r="AL94" s="13">
        <f t="shared" si="22"/>
        <v>89</v>
      </c>
    </row>
    <row r="95" ht="12.75" customHeight="1">
      <c r="A95" s="18"/>
      <c r="B95" s="55">
        <v>2.0</v>
      </c>
      <c r="C95" s="50" t="s">
        <v>75</v>
      </c>
      <c r="D95" s="62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2.0</v>
      </c>
      <c r="O95" s="19">
        <v>2.0</v>
      </c>
      <c r="P95" s="19">
        <v>0.0</v>
      </c>
      <c r="Q95" s="19">
        <v>0.0</v>
      </c>
      <c r="R95" s="19">
        <v>7.0</v>
      </c>
      <c r="S95" s="19">
        <v>17.0</v>
      </c>
      <c r="T95" s="19">
        <v>40.0</v>
      </c>
      <c r="U95" s="19">
        <v>4.0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1.0</v>
      </c>
      <c r="AF95" s="19">
        <v>0.0</v>
      </c>
      <c r="AG95" s="19">
        <v>0.0</v>
      </c>
      <c r="AH95" s="19">
        <v>1.0</v>
      </c>
      <c r="AI95" s="19">
        <v>0.0</v>
      </c>
      <c r="AJ95" s="19">
        <v>2.0</v>
      </c>
      <c r="AK95" s="19">
        <v>0.0</v>
      </c>
      <c r="AL95" s="13">
        <f t="shared" si="22"/>
        <v>77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2.0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9">
        <v>0.0</v>
      </c>
      <c r="AD96" s="19">
        <v>2.0</v>
      </c>
      <c r="AE96" s="19">
        <v>0.0</v>
      </c>
      <c r="AF96" s="19">
        <v>0.0</v>
      </c>
      <c r="AG96" s="19">
        <v>0.0</v>
      </c>
      <c r="AH96" s="19">
        <v>3.0</v>
      </c>
      <c r="AI96" s="19">
        <v>2.0</v>
      </c>
      <c r="AJ96" s="19">
        <v>3.0</v>
      </c>
      <c r="AK96" s="19">
        <v>3.0</v>
      </c>
      <c r="AL96" s="13">
        <f t="shared" si="22"/>
        <v>18</v>
      </c>
    </row>
    <row r="97" ht="12.75" customHeight="1">
      <c r="A97" s="18"/>
      <c r="B97" s="55">
        <v>4.0</v>
      </c>
      <c r="C97" s="50" t="s">
        <v>77</v>
      </c>
      <c r="D97" s="62"/>
      <c r="E97" s="19">
        <v>0.0</v>
      </c>
      <c r="F97" s="19">
        <v>2.0</v>
      </c>
      <c r="G97" s="19">
        <v>2.0</v>
      </c>
      <c r="H97" s="19">
        <v>4.0</v>
      </c>
      <c r="I97" s="19">
        <v>6.0</v>
      </c>
      <c r="J97" s="19">
        <v>2.0</v>
      </c>
      <c r="K97" s="19">
        <v>0.0</v>
      </c>
      <c r="L97" s="19">
        <v>0.0</v>
      </c>
      <c r="M97" s="19">
        <v>2.0</v>
      </c>
      <c r="N97" s="19">
        <v>0.0</v>
      </c>
      <c r="O97" s="19">
        <v>0.0</v>
      </c>
      <c r="P97" s="19">
        <v>4.0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9">
        <v>2.0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1.0</v>
      </c>
      <c r="AC97" s="19">
        <v>1.0</v>
      </c>
      <c r="AD97" s="19">
        <v>1.0</v>
      </c>
      <c r="AE97" s="19">
        <v>1.0</v>
      </c>
      <c r="AF97" s="19">
        <v>3.0</v>
      </c>
      <c r="AG97" s="19">
        <v>0.0</v>
      </c>
      <c r="AH97" s="19">
        <v>0.0</v>
      </c>
      <c r="AI97" s="19">
        <v>0.0</v>
      </c>
      <c r="AJ97" s="19">
        <v>1.0</v>
      </c>
      <c r="AK97" s="19">
        <v>5.0</v>
      </c>
      <c r="AL97" s="13">
        <f t="shared" si="22"/>
        <v>38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1.0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1.0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3">
        <f t="shared" si="22"/>
        <v>2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L103" si="23">SUM(E93:E102)</f>
        <v>0</v>
      </c>
      <c r="F103" s="13">
        <f t="shared" si="23"/>
        <v>3</v>
      </c>
      <c r="G103" s="13">
        <f t="shared" si="23"/>
        <v>2</v>
      </c>
      <c r="H103" s="13">
        <f t="shared" si="23"/>
        <v>4</v>
      </c>
      <c r="I103" s="13">
        <f t="shared" si="23"/>
        <v>6</v>
      </c>
      <c r="J103" s="13">
        <f t="shared" si="23"/>
        <v>4</v>
      </c>
      <c r="K103" s="13">
        <f t="shared" si="23"/>
        <v>0</v>
      </c>
      <c r="L103" s="13">
        <f t="shared" si="23"/>
        <v>1</v>
      </c>
      <c r="M103" s="13">
        <f t="shared" si="23"/>
        <v>2</v>
      </c>
      <c r="N103" s="13">
        <f t="shared" si="23"/>
        <v>5</v>
      </c>
      <c r="O103" s="13">
        <f t="shared" si="23"/>
        <v>5</v>
      </c>
      <c r="P103" s="13">
        <f t="shared" si="23"/>
        <v>8</v>
      </c>
      <c r="Q103" s="13">
        <f t="shared" si="23"/>
        <v>0</v>
      </c>
      <c r="R103" s="13">
        <f t="shared" si="23"/>
        <v>8</v>
      </c>
      <c r="S103" s="13">
        <f t="shared" si="23"/>
        <v>27</v>
      </c>
      <c r="T103" s="13">
        <f t="shared" si="23"/>
        <v>53</v>
      </c>
      <c r="U103" s="13">
        <f t="shared" si="23"/>
        <v>11</v>
      </c>
      <c r="V103" s="13">
        <f t="shared" si="23"/>
        <v>17</v>
      </c>
      <c r="W103" s="13">
        <f t="shared" si="23"/>
        <v>4</v>
      </c>
      <c r="X103" s="13">
        <f t="shared" si="23"/>
        <v>1</v>
      </c>
      <c r="Y103" s="13">
        <f t="shared" si="23"/>
        <v>0</v>
      </c>
      <c r="Z103" s="13">
        <f t="shared" si="23"/>
        <v>5</v>
      </c>
      <c r="AA103" s="13">
        <f t="shared" si="23"/>
        <v>0</v>
      </c>
      <c r="AB103" s="13">
        <f t="shared" si="23"/>
        <v>2</v>
      </c>
      <c r="AC103" s="13">
        <f t="shared" si="23"/>
        <v>1</v>
      </c>
      <c r="AD103" s="13">
        <f t="shared" si="23"/>
        <v>7</v>
      </c>
      <c r="AE103" s="13">
        <f t="shared" si="23"/>
        <v>7</v>
      </c>
      <c r="AF103" s="13">
        <f t="shared" si="23"/>
        <v>5</v>
      </c>
      <c r="AG103" s="13">
        <f t="shared" si="23"/>
        <v>1</v>
      </c>
      <c r="AH103" s="13">
        <f t="shared" si="23"/>
        <v>9</v>
      </c>
      <c r="AI103" s="13">
        <f t="shared" si="23"/>
        <v>13</v>
      </c>
      <c r="AJ103" s="13">
        <f t="shared" si="23"/>
        <v>34</v>
      </c>
      <c r="AK103" s="13">
        <f t="shared" si="23"/>
        <v>42</v>
      </c>
      <c r="AL103" s="13">
        <f t="shared" si="23"/>
        <v>287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3.0</v>
      </c>
      <c r="L105" s="19">
        <v>2.0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5.0</v>
      </c>
      <c r="T105" s="19">
        <v>0.0</v>
      </c>
      <c r="U105" s="19">
        <v>3.0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1.0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3">
        <f t="shared" ref="AL105:AL114" si="24">SUM(E105:AK105)</f>
        <v>16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1.0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1.0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>
        <v>1.0</v>
      </c>
      <c r="AJ106" s="19">
        <v>0.0</v>
      </c>
      <c r="AK106" s="19">
        <v>0.0</v>
      </c>
      <c r="AL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1.0</v>
      </c>
      <c r="AI107" s="19">
        <v>0.0</v>
      </c>
      <c r="AJ107" s="19">
        <v>0.0</v>
      </c>
      <c r="AK107" s="19">
        <v>0.0</v>
      </c>
      <c r="AL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1.0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1.0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3">
        <f t="shared" si="24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L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3</v>
      </c>
      <c r="L115" s="13">
        <f t="shared" si="25"/>
        <v>4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5</v>
      </c>
      <c r="T115" s="13">
        <f t="shared" si="25"/>
        <v>1</v>
      </c>
      <c r="U115" s="13">
        <f t="shared" si="25"/>
        <v>4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2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29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1.0</v>
      </c>
      <c r="J117" s="19">
        <v>3.0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2.0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2.0</v>
      </c>
      <c r="AE117" s="19">
        <v>1.0</v>
      </c>
      <c r="AF117" s="19">
        <v>1.0</v>
      </c>
      <c r="AG117" s="19">
        <v>0.0</v>
      </c>
      <c r="AH117" s="19">
        <v>1.0</v>
      </c>
      <c r="AI117" s="19">
        <v>1.0</v>
      </c>
      <c r="AJ117" s="19">
        <v>0.0</v>
      </c>
      <c r="AK117" s="19">
        <v>1.0</v>
      </c>
      <c r="AL117" s="13">
        <f t="shared" ref="AL117:AL126" si="26">SUM(E117:AK117)</f>
        <v>14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2.0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3">
        <f t="shared" si="26"/>
        <v>6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3">
        <f t="shared" si="26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13">
        <f t="shared" si="26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13">
        <f t="shared" si="26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13">
        <f t="shared" si="26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L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3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2</v>
      </c>
      <c r="Q127" s="13">
        <f t="shared" si="27"/>
        <v>0</v>
      </c>
      <c r="R127" s="13">
        <f t="shared" si="27"/>
        <v>0</v>
      </c>
      <c r="S127" s="13">
        <f t="shared" si="27"/>
        <v>2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2</v>
      </c>
      <c r="AE127" s="13">
        <f t="shared" si="27"/>
        <v>4</v>
      </c>
      <c r="AF127" s="13">
        <f t="shared" si="27"/>
        <v>1</v>
      </c>
      <c r="AG127" s="13">
        <f t="shared" si="27"/>
        <v>0</v>
      </c>
      <c r="AH127" s="13">
        <f t="shared" si="27"/>
        <v>1</v>
      </c>
      <c r="AI127" s="13">
        <f t="shared" si="27"/>
        <v>1</v>
      </c>
      <c r="AJ127" s="13">
        <f t="shared" si="27"/>
        <v>0</v>
      </c>
      <c r="AK127" s="13">
        <f t="shared" si="27"/>
        <v>2</v>
      </c>
      <c r="AL127" s="13">
        <f t="shared" si="27"/>
        <v>23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3.0</v>
      </c>
      <c r="G129" s="19">
        <v>0.0</v>
      </c>
      <c r="H129" s="19">
        <v>1.0</v>
      </c>
      <c r="I129" s="19">
        <v>1.0</v>
      </c>
      <c r="J129" s="19">
        <v>1.0</v>
      </c>
      <c r="K129" s="19">
        <v>12.0</v>
      </c>
      <c r="L129" s="19">
        <v>9.0</v>
      </c>
      <c r="M129" s="19">
        <v>9.0</v>
      </c>
      <c r="N129" s="19">
        <v>3.0</v>
      </c>
      <c r="O129" s="19">
        <v>1.0</v>
      </c>
      <c r="P129" s="19">
        <v>2.0</v>
      </c>
      <c r="Q129" s="19">
        <v>0.0</v>
      </c>
      <c r="R129" s="19">
        <v>0.0</v>
      </c>
      <c r="S129" s="19">
        <v>5.0</v>
      </c>
      <c r="T129" s="19">
        <v>0.0</v>
      </c>
      <c r="U129" s="19">
        <v>2.0</v>
      </c>
      <c r="V129" s="19">
        <v>2.0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1.0</v>
      </c>
      <c r="AB129" s="19">
        <v>1.0</v>
      </c>
      <c r="AC129" s="19">
        <v>1.0</v>
      </c>
      <c r="AD129" s="19">
        <v>0.0</v>
      </c>
      <c r="AE129" s="19">
        <v>1.0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9">
        <v>0.0</v>
      </c>
      <c r="AL129" s="13">
        <f t="shared" ref="AL129:AL138" si="28">SUM(E129:AK129)</f>
        <v>56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0.0</v>
      </c>
      <c r="F130" s="19">
        <v>1.0</v>
      </c>
      <c r="G130" s="19">
        <v>6.0</v>
      </c>
      <c r="H130" s="19">
        <v>11.0</v>
      </c>
      <c r="I130" s="19">
        <v>0.0</v>
      </c>
      <c r="J130" s="19">
        <v>2.0</v>
      </c>
      <c r="K130" s="19">
        <v>17.0</v>
      </c>
      <c r="L130" s="19">
        <v>9.0</v>
      </c>
      <c r="M130" s="19">
        <v>10.0</v>
      </c>
      <c r="N130" s="19">
        <v>6.0</v>
      </c>
      <c r="O130" s="19">
        <v>3.0</v>
      </c>
      <c r="P130" s="19">
        <v>4.0</v>
      </c>
      <c r="Q130" s="19">
        <v>0.0</v>
      </c>
      <c r="R130" s="19">
        <v>0.0</v>
      </c>
      <c r="S130" s="19">
        <v>1.0</v>
      </c>
      <c r="T130" s="19">
        <v>1.0</v>
      </c>
      <c r="U130" s="19">
        <v>0.0</v>
      </c>
      <c r="V130" s="19">
        <v>0.0</v>
      </c>
      <c r="W130" s="19">
        <v>2.0</v>
      </c>
      <c r="X130" s="19">
        <v>0.0</v>
      </c>
      <c r="Y130" s="19">
        <v>0.0</v>
      </c>
      <c r="Z130" s="19">
        <v>1.0</v>
      </c>
      <c r="AA130" s="19">
        <v>0.0</v>
      </c>
      <c r="AB130" s="19">
        <v>1.0</v>
      </c>
      <c r="AC130" s="19">
        <v>1.0</v>
      </c>
      <c r="AD130" s="19">
        <v>3.0</v>
      </c>
      <c r="AE130" s="19">
        <v>3.0</v>
      </c>
      <c r="AF130" s="19">
        <v>2.0</v>
      </c>
      <c r="AG130" s="19">
        <v>0.0</v>
      </c>
      <c r="AH130" s="19">
        <v>2.0</v>
      </c>
      <c r="AI130" s="19">
        <v>0.0</v>
      </c>
      <c r="AJ130" s="19">
        <v>0.0</v>
      </c>
      <c r="AK130" s="19">
        <v>0.0</v>
      </c>
      <c r="AL130" s="13">
        <f t="shared" si="28"/>
        <v>86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0.0</v>
      </c>
      <c r="F131" s="19">
        <v>0.0</v>
      </c>
      <c r="G131" s="19">
        <v>2.0</v>
      </c>
      <c r="H131" s="19">
        <v>1.0</v>
      </c>
      <c r="I131" s="19">
        <v>0.0</v>
      </c>
      <c r="J131" s="19">
        <v>0.0</v>
      </c>
      <c r="K131" s="19">
        <v>2.0</v>
      </c>
      <c r="L131" s="19">
        <v>1.0</v>
      </c>
      <c r="M131" s="19">
        <v>2.0</v>
      </c>
      <c r="N131" s="19">
        <v>2.0</v>
      </c>
      <c r="O131" s="19">
        <v>3.0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1.0</v>
      </c>
      <c r="AJ131" s="19">
        <v>0.0</v>
      </c>
      <c r="AK131" s="19">
        <v>0.0</v>
      </c>
      <c r="AL131" s="13">
        <f t="shared" si="28"/>
        <v>15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1.0</v>
      </c>
      <c r="H132" s="19">
        <v>1.0</v>
      </c>
      <c r="I132" s="19">
        <v>1.0</v>
      </c>
      <c r="J132" s="19">
        <v>1.0</v>
      </c>
      <c r="K132" s="19">
        <v>2.0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2.0</v>
      </c>
      <c r="X132" s="19">
        <v>0.0</v>
      </c>
      <c r="Y132" s="19">
        <v>0.0</v>
      </c>
      <c r="Z132" s="19">
        <v>0.0</v>
      </c>
      <c r="AA132" s="19">
        <v>1.0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3">
        <f t="shared" si="28"/>
        <v>11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2.0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1.0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3">
        <f t="shared" si="28"/>
        <v>5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3">
        <f t="shared" si="28"/>
        <v>0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3">
        <f t="shared" si="28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L139" si="29">SUM(E129:E138)</f>
        <v>0</v>
      </c>
      <c r="F139" s="13">
        <f t="shared" si="29"/>
        <v>6</v>
      </c>
      <c r="G139" s="13">
        <f t="shared" si="29"/>
        <v>9</v>
      </c>
      <c r="H139" s="13">
        <f t="shared" si="29"/>
        <v>15</v>
      </c>
      <c r="I139" s="13">
        <f t="shared" si="29"/>
        <v>2</v>
      </c>
      <c r="J139" s="13">
        <f t="shared" si="29"/>
        <v>5</v>
      </c>
      <c r="K139" s="13">
        <f t="shared" si="29"/>
        <v>33</v>
      </c>
      <c r="L139" s="13">
        <f t="shared" si="29"/>
        <v>21</v>
      </c>
      <c r="M139" s="13">
        <f t="shared" si="29"/>
        <v>22</v>
      </c>
      <c r="N139" s="13">
        <f t="shared" si="29"/>
        <v>12</v>
      </c>
      <c r="O139" s="13">
        <f t="shared" si="29"/>
        <v>7</v>
      </c>
      <c r="P139" s="13">
        <f t="shared" si="29"/>
        <v>6</v>
      </c>
      <c r="Q139" s="13">
        <f t="shared" si="29"/>
        <v>0</v>
      </c>
      <c r="R139" s="13">
        <f t="shared" si="29"/>
        <v>0</v>
      </c>
      <c r="S139" s="13">
        <f t="shared" si="29"/>
        <v>6</v>
      </c>
      <c r="T139" s="13">
        <f t="shared" si="29"/>
        <v>1</v>
      </c>
      <c r="U139" s="13">
        <f t="shared" si="29"/>
        <v>2</v>
      </c>
      <c r="V139" s="13">
        <f t="shared" si="29"/>
        <v>2</v>
      </c>
      <c r="W139" s="13">
        <f t="shared" si="29"/>
        <v>5</v>
      </c>
      <c r="X139" s="13">
        <f t="shared" si="29"/>
        <v>0</v>
      </c>
      <c r="Y139" s="13">
        <f t="shared" si="29"/>
        <v>0</v>
      </c>
      <c r="Z139" s="13">
        <f t="shared" si="29"/>
        <v>1</v>
      </c>
      <c r="AA139" s="13">
        <f t="shared" si="29"/>
        <v>2</v>
      </c>
      <c r="AB139" s="13">
        <f t="shared" si="29"/>
        <v>3</v>
      </c>
      <c r="AC139" s="13">
        <f t="shared" si="29"/>
        <v>2</v>
      </c>
      <c r="AD139" s="13">
        <f t="shared" si="29"/>
        <v>3</v>
      </c>
      <c r="AE139" s="13">
        <f t="shared" si="29"/>
        <v>4</v>
      </c>
      <c r="AF139" s="13">
        <f t="shared" si="29"/>
        <v>3</v>
      </c>
      <c r="AG139" s="13">
        <f t="shared" si="29"/>
        <v>0</v>
      </c>
      <c r="AH139" s="13">
        <f t="shared" si="29"/>
        <v>2</v>
      </c>
      <c r="AI139" s="13">
        <f t="shared" si="29"/>
        <v>1</v>
      </c>
      <c r="AJ139" s="13">
        <f t="shared" si="29"/>
        <v>0</v>
      </c>
      <c r="AK139" s="13">
        <f t="shared" si="29"/>
        <v>0</v>
      </c>
      <c r="AL139" s="13">
        <f t="shared" si="29"/>
        <v>175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3">
        <f t="shared" ref="AL141:AL150" si="30">SUM(E141:AK141)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1.0</v>
      </c>
      <c r="AI153" s="19">
        <v>1.0</v>
      </c>
      <c r="AJ153" s="19">
        <v>0.0</v>
      </c>
      <c r="AK153" s="19">
        <v>0.0</v>
      </c>
      <c r="AL153" s="13">
        <f t="shared" ref="AL153:AL163" si="32">SUM(E153:AK153)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1.0</v>
      </c>
      <c r="AG154" s="19">
        <v>0.0</v>
      </c>
      <c r="AH154" s="19">
        <v>1.0</v>
      </c>
      <c r="AI154" s="19">
        <v>1.0</v>
      </c>
      <c r="AJ154" s="19">
        <v>1.0</v>
      </c>
      <c r="AK154" s="19">
        <v>0.0</v>
      </c>
      <c r="AL154" s="13">
        <f t="shared" si="32"/>
        <v>5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2.0</v>
      </c>
      <c r="AJ155" s="19">
        <v>0.0</v>
      </c>
      <c r="AK155" s="19">
        <v>0.0</v>
      </c>
      <c r="AL155" s="13">
        <f t="shared" si="32"/>
        <v>3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3">
        <f t="shared" si="32"/>
        <v>0</v>
      </c>
    </row>
    <row r="158" ht="12.75" customHeight="1">
      <c r="A158" s="18"/>
      <c r="B158" s="56"/>
      <c r="C158" s="57"/>
      <c r="D158" s="58"/>
      <c r="E158" s="6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3">
        <f t="shared" si="32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3">
        <f t="shared" si="32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3">
        <f t="shared" si="32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3">
        <f t="shared" si="32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K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2</v>
      </c>
      <c r="AI163" s="13">
        <f t="shared" si="33"/>
        <v>4</v>
      </c>
      <c r="AJ163" s="13">
        <f t="shared" si="33"/>
        <v>1</v>
      </c>
      <c r="AK163" s="13">
        <f t="shared" si="33"/>
        <v>0</v>
      </c>
      <c r="AL163" s="13">
        <f t="shared" si="32"/>
        <v>12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3">
        <f t="shared" ref="AL165:AL174" si="34">SUM(E165:AK165)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3">
        <f t="shared" si="34"/>
        <v>3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1.0</v>
      </c>
      <c r="AL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1.0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1.0</v>
      </c>
      <c r="AI169" s="19">
        <v>0.0</v>
      </c>
      <c r="AJ169" s="19">
        <v>0.0</v>
      </c>
      <c r="AK169" s="19">
        <v>0.0</v>
      </c>
      <c r="AL169" s="13">
        <f t="shared" si="34"/>
        <v>2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L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2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1</v>
      </c>
      <c r="AL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1.0</v>
      </c>
      <c r="J177" s="19">
        <v>0.0</v>
      </c>
      <c r="K177" s="19">
        <v>0.0</v>
      </c>
      <c r="L177" s="19">
        <v>2.0</v>
      </c>
      <c r="M177" s="19">
        <v>1.0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1.0</v>
      </c>
      <c r="T177" s="19">
        <v>0.0</v>
      </c>
      <c r="U177" s="19">
        <v>4.0</v>
      </c>
      <c r="V177" s="19">
        <v>2.0</v>
      </c>
      <c r="W177" s="19">
        <v>1.0</v>
      </c>
      <c r="X177" s="19">
        <v>1.0</v>
      </c>
      <c r="Y177" s="19">
        <v>0.0</v>
      </c>
      <c r="Z177" s="19">
        <v>1.0</v>
      </c>
      <c r="AA177" s="19">
        <v>1.0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1.0</v>
      </c>
      <c r="AG177" s="19">
        <v>0.0</v>
      </c>
      <c r="AH177" s="19">
        <v>0.0</v>
      </c>
      <c r="AI177" s="19">
        <v>0.0</v>
      </c>
      <c r="AJ177" s="19">
        <v>3.0</v>
      </c>
      <c r="AK177" s="19">
        <v>2.0</v>
      </c>
      <c r="AL177" s="13">
        <f t="shared" ref="AL177:AL186" si="36">SUM(E177:AK177)</f>
        <v>23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1.0</v>
      </c>
      <c r="K178" s="19">
        <v>1.0</v>
      </c>
      <c r="L178" s="19">
        <v>3.0</v>
      </c>
      <c r="M178" s="19">
        <v>0.0</v>
      </c>
      <c r="N178" s="19">
        <v>3.0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2.0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1.0</v>
      </c>
      <c r="AH178" s="19">
        <v>0.0</v>
      </c>
      <c r="AI178" s="19">
        <v>1.0</v>
      </c>
      <c r="AJ178" s="19">
        <v>0.0</v>
      </c>
      <c r="AK178" s="19">
        <v>1.0</v>
      </c>
      <c r="AL178" s="13">
        <f t="shared" si="36"/>
        <v>15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9">
        <v>1.0</v>
      </c>
      <c r="AB179" s="19">
        <v>1.0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1.0</v>
      </c>
      <c r="AL179" s="13">
        <f t="shared" si="36"/>
        <v>6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1.0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3">
        <f t="shared" si="36"/>
        <v>4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1.0</v>
      </c>
      <c r="AI181" s="19">
        <v>0.0</v>
      </c>
      <c r="AJ181" s="19">
        <v>0.0</v>
      </c>
      <c r="AK181" s="19">
        <v>0.0</v>
      </c>
      <c r="AL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2.0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3">
        <f t="shared" si="36"/>
        <v>3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L187" si="37">SUM(E177:E186)</f>
        <v>0</v>
      </c>
      <c r="F187" s="13">
        <f t="shared" si="37"/>
        <v>0</v>
      </c>
      <c r="G187" s="13">
        <f t="shared" si="37"/>
        <v>2</v>
      </c>
      <c r="H187" s="13">
        <f t="shared" si="37"/>
        <v>1</v>
      </c>
      <c r="I187" s="13">
        <f t="shared" si="37"/>
        <v>2</v>
      </c>
      <c r="J187" s="13">
        <f t="shared" si="37"/>
        <v>2</v>
      </c>
      <c r="K187" s="13">
        <f t="shared" si="37"/>
        <v>1</v>
      </c>
      <c r="L187" s="13">
        <f t="shared" si="37"/>
        <v>6</v>
      </c>
      <c r="M187" s="13">
        <f t="shared" si="37"/>
        <v>1</v>
      </c>
      <c r="N187" s="13">
        <f t="shared" si="37"/>
        <v>5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6</v>
      </c>
      <c r="V187" s="13">
        <f t="shared" si="37"/>
        <v>2</v>
      </c>
      <c r="W187" s="13">
        <f t="shared" si="37"/>
        <v>1</v>
      </c>
      <c r="X187" s="13">
        <f t="shared" si="37"/>
        <v>4</v>
      </c>
      <c r="Y187" s="13">
        <f t="shared" si="37"/>
        <v>0</v>
      </c>
      <c r="Z187" s="13">
        <f t="shared" si="37"/>
        <v>2</v>
      </c>
      <c r="AA187" s="13">
        <f t="shared" si="37"/>
        <v>4</v>
      </c>
      <c r="AB187" s="13">
        <f t="shared" si="37"/>
        <v>1</v>
      </c>
      <c r="AC187" s="13">
        <f t="shared" si="37"/>
        <v>1</v>
      </c>
      <c r="AD187" s="13">
        <f t="shared" si="37"/>
        <v>0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1</v>
      </c>
      <c r="AI187" s="13">
        <f t="shared" si="37"/>
        <v>1</v>
      </c>
      <c r="AJ187" s="13">
        <f t="shared" si="37"/>
        <v>3</v>
      </c>
      <c r="AK187" s="13">
        <f t="shared" si="37"/>
        <v>4</v>
      </c>
      <c r="AL187" s="13">
        <f t="shared" si="37"/>
        <v>54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R188" s="79"/>
      <c r="S188" s="79"/>
      <c r="T188" s="79"/>
      <c r="U188" s="79"/>
      <c r="V188" s="79"/>
      <c r="W188" s="79"/>
      <c r="X188" s="79"/>
      <c r="Y188" s="79"/>
      <c r="Z188" s="79"/>
      <c r="AL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3">
        <f t="shared" ref="AL189:AL198" si="38">SUM(E189:AK189)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2.0</v>
      </c>
      <c r="M190" s="19">
        <v>0.0</v>
      </c>
      <c r="N190" s="19">
        <v>1.0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1.0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3">
        <f t="shared" si="38"/>
        <v>6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1.0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1.0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3">
        <f t="shared" si="38"/>
        <v>2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1.0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L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2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3.0</v>
      </c>
      <c r="G201" s="19">
        <v>4.0</v>
      </c>
      <c r="H201" s="19">
        <v>5.0</v>
      </c>
      <c r="I201" s="19">
        <v>3.0</v>
      </c>
      <c r="J201" s="19">
        <v>5.0</v>
      </c>
      <c r="K201" s="19">
        <v>4.0</v>
      </c>
      <c r="L201" s="19">
        <v>5.0</v>
      </c>
      <c r="M201" s="19">
        <v>5.0</v>
      </c>
      <c r="N201" s="19">
        <v>7.0</v>
      </c>
      <c r="O201" s="19">
        <v>6.0</v>
      </c>
      <c r="P201" s="19">
        <v>9.0</v>
      </c>
      <c r="Q201" s="19">
        <v>5.0</v>
      </c>
      <c r="R201" s="19">
        <v>3.0</v>
      </c>
      <c r="S201" s="19">
        <v>3.0</v>
      </c>
      <c r="T201" s="19">
        <v>4.0</v>
      </c>
      <c r="U201" s="19">
        <v>2.0</v>
      </c>
      <c r="V201" s="19">
        <v>0.0</v>
      </c>
      <c r="W201" s="19">
        <v>4.0</v>
      </c>
      <c r="X201" s="19">
        <v>0.0</v>
      </c>
      <c r="Y201" s="19">
        <v>0.0</v>
      </c>
      <c r="Z201" s="19">
        <v>1.0</v>
      </c>
      <c r="AA201" s="19">
        <v>5.0</v>
      </c>
      <c r="AB201" s="19">
        <v>4.0</v>
      </c>
      <c r="AC201" s="19">
        <v>7.0</v>
      </c>
      <c r="AD201" s="19">
        <v>4.0</v>
      </c>
      <c r="AE201" s="19">
        <v>2.0</v>
      </c>
      <c r="AF201" s="19">
        <v>1.0</v>
      </c>
      <c r="AG201" s="19">
        <v>6.0</v>
      </c>
      <c r="AH201" s="19">
        <v>0.0</v>
      </c>
      <c r="AI201" s="19">
        <v>3.0</v>
      </c>
      <c r="AJ201" s="19">
        <v>3.0</v>
      </c>
      <c r="AK201" s="19">
        <v>3.0</v>
      </c>
      <c r="AL201" s="13">
        <f t="shared" ref="AL201:AL210" si="40">SUM(E201:AK201)</f>
        <v>118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1.0</v>
      </c>
      <c r="F202" s="19">
        <v>0.0</v>
      </c>
      <c r="G202" s="19">
        <v>15.0</v>
      </c>
      <c r="H202" s="19">
        <v>8.0</v>
      </c>
      <c r="I202" s="19">
        <v>6.0</v>
      </c>
      <c r="J202" s="19">
        <v>5.0</v>
      </c>
      <c r="K202" s="19">
        <v>6.0</v>
      </c>
      <c r="L202" s="19">
        <v>11.0</v>
      </c>
      <c r="M202" s="19">
        <v>11.0</v>
      </c>
      <c r="N202" s="19">
        <v>14.0</v>
      </c>
      <c r="O202" s="19">
        <v>4.0</v>
      </c>
      <c r="P202" s="19">
        <v>11.0</v>
      </c>
      <c r="Q202" s="19">
        <v>11.0</v>
      </c>
      <c r="R202" s="19">
        <v>9.0</v>
      </c>
      <c r="S202" s="19">
        <v>5.0</v>
      </c>
      <c r="T202" s="19">
        <v>6.0</v>
      </c>
      <c r="U202" s="19">
        <v>3.0</v>
      </c>
      <c r="V202" s="19">
        <v>3.0</v>
      </c>
      <c r="W202" s="19">
        <v>3.0</v>
      </c>
      <c r="X202" s="19">
        <v>2.0</v>
      </c>
      <c r="Y202" s="19">
        <v>2.0</v>
      </c>
      <c r="Z202" s="19">
        <v>3.0</v>
      </c>
      <c r="AA202" s="19">
        <v>3.0</v>
      </c>
      <c r="AB202" s="19">
        <v>3.0</v>
      </c>
      <c r="AC202" s="19">
        <v>10.0</v>
      </c>
      <c r="AD202" s="19">
        <v>8.0</v>
      </c>
      <c r="AE202" s="19">
        <v>4.0</v>
      </c>
      <c r="AF202" s="19">
        <v>1.0</v>
      </c>
      <c r="AG202" s="19">
        <v>1.0</v>
      </c>
      <c r="AH202" s="19">
        <v>0.0</v>
      </c>
      <c r="AI202" s="19">
        <v>2.0</v>
      </c>
      <c r="AJ202" s="19">
        <v>0.0</v>
      </c>
      <c r="AK202" s="19">
        <v>3.0</v>
      </c>
      <c r="AL202" s="13">
        <f t="shared" si="40"/>
        <v>174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2.0</v>
      </c>
      <c r="F203" s="19">
        <v>1.0</v>
      </c>
      <c r="G203" s="19">
        <v>3.0</v>
      </c>
      <c r="H203" s="19">
        <v>0.0</v>
      </c>
      <c r="I203" s="19">
        <v>1.0</v>
      </c>
      <c r="J203" s="19">
        <v>1.0</v>
      </c>
      <c r="K203" s="19">
        <v>2.0</v>
      </c>
      <c r="L203" s="19">
        <v>0.0</v>
      </c>
      <c r="M203" s="19">
        <v>2.0</v>
      </c>
      <c r="N203" s="19">
        <v>0.0</v>
      </c>
      <c r="O203" s="19">
        <v>0.0</v>
      </c>
      <c r="P203" s="19">
        <v>1.0</v>
      </c>
      <c r="Q203" s="19">
        <v>1.0</v>
      </c>
      <c r="R203" s="19">
        <v>3.0</v>
      </c>
      <c r="S203" s="19">
        <v>2.0</v>
      </c>
      <c r="T203" s="19">
        <v>1.0</v>
      </c>
      <c r="U203" s="19">
        <v>0.0</v>
      </c>
      <c r="V203" s="19">
        <v>0.0</v>
      </c>
      <c r="W203" s="19">
        <v>1.0</v>
      </c>
      <c r="X203" s="19">
        <v>2.0</v>
      </c>
      <c r="Y203" s="19">
        <v>0.0</v>
      </c>
      <c r="Z203" s="19">
        <v>1.0</v>
      </c>
      <c r="AA203" s="19">
        <v>0.0</v>
      </c>
      <c r="AB203" s="19">
        <v>3.0</v>
      </c>
      <c r="AC203" s="19">
        <v>1.0</v>
      </c>
      <c r="AD203" s="19">
        <v>3.0</v>
      </c>
      <c r="AE203" s="19">
        <v>0.0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1.0</v>
      </c>
      <c r="AL203" s="13">
        <f t="shared" si="40"/>
        <v>32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1.0</v>
      </c>
      <c r="F204" s="19">
        <v>0.0</v>
      </c>
      <c r="G204" s="19">
        <v>0.0</v>
      </c>
      <c r="H204" s="19">
        <v>2.0</v>
      </c>
      <c r="I204" s="19">
        <v>0.0</v>
      </c>
      <c r="J204" s="19">
        <v>1.0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1.0</v>
      </c>
      <c r="Q204" s="19">
        <v>2.0</v>
      </c>
      <c r="R204" s="19">
        <v>0.0</v>
      </c>
      <c r="S204" s="19">
        <v>3.0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1.0</v>
      </c>
      <c r="AL204" s="13">
        <f t="shared" si="40"/>
        <v>13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0.0</v>
      </c>
      <c r="N205" s="19">
        <v>2.0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1.0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7.0</v>
      </c>
      <c r="AI205" s="19">
        <v>0.0</v>
      </c>
      <c r="AJ205" s="19">
        <v>0.0</v>
      </c>
      <c r="AK205" s="19">
        <v>0.0</v>
      </c>
      <c r="AL205" s="13">
        <f t="shared" si="40"/>
        <v>14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4.0</v>
      </c>
      <c r="F206" s="19">
        <v>1.0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1.0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1.0</v>
      </c>
      <c r="AK206" s="19">
        <v>0.0</v>
      </c>
      <c r="AL206" s="13">
        <f t="shared" si="40"/>
        <v>10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0.0</v>
      </c>
      <c r="F208" s="19">
        <v>0.0</v>
      </c>
      <c r="G208" s="19">
        <v>0.0</v>
      </c>
      <c r="H208" s="19">
        <v>1.0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1.0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3">
        <f t="shared" si="40"/>
        <v>4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L211" si="41">SUM(E201:E210)</f>
        <v>11</v>
      </c>
      <c r="F211" s="13">
        <f t="shared" si="41"/>
        <v>5</v>
      </c>
      <c r="G211" s="13">
        <f t="shared" si="41"/>
        <v>23</v>
      </c>
      <c r="H211" s="13">
        <f t="shared" si="41"/>
        <v>16</v>
      </c>
      <c r="I211" s="13">
        <f t="shared" si="41"/>
        <v>11</v>
      </c>
      <c r="J211" s="13">
        <f t="shared" si="41"/>
        <v>13</v>
      </c>
      <c r="K211" s="13">
        <f t="shared" si="41"/>
        <v>13</v>
      </c>
      <c r="L211" s="13">
        <f t="shared" si="41"/>
        <v>17</v>
      </c>
      <c r="M211" s="13">
        <f t="shared" si="41"/>
        <v>19</v>
      </c>
      <c r="N211" s="13">
        <f t="shared" si="41"/>
        <v>23</v>
      </c>
      <c r="O211" s="13">
        <f t="shared" si="41"/>
        <v>10</v>
      </c>
      <c r="P211" s="13">
        <f t="shared" si="41"/>
        <v>23</v>
      </c>
      <c r="Q211" s="13">
        <f t="shared" si="41"/>
        <v>19</v>
      </c>
      <c r="R211" s="13">
        <f t="shared" si="41"/>
        <v>16</v>
      </c>
      <c r="S211" s="13">
        <f t="shared" si="41"/>
        <v>13</v>
      </c>
      <c r="T211" s="13">
        <f t="shared" si="41"/>
        <v>11</v>
      </c>
      <c r="U211" s="13">
        <f t="shared" si="41"/>
        <v>6</v>
      </c>
      <c r="V211" s="13">
        <f t="shared" si="41"/>
        <v>4</v>
      </c>
      <c r="W211" s="13">
        <f t="shared" si="41"/>
        <v>8</v>
      </c>
      <c r="X211" s="13">
        <f t="shared" si="41"/>
        <v>4</v>
      </c>
      <c r="Y211" s="13">
        <f t="shared" si="41"/>
        <v>2</v>
      </c>
      <c r="Z211" s="13">
        <f t="shared" si="41"/>
        <v>5</v>
      </c>
      <c r="AA211" s="13">
        <f t="shared" si="41"/>
        <v>8</v>
      </c>
      <c r="AB211" s="13">
        <f t="shared" si="41"/>
        <v>12</v>
      </c>
      <c r="AC211" s="13">
        <f t="shared" si="41"/>
        <v>18</v>
      </c>
      <c r="AD211" s="13">
        <f t="shared" si="41"/>
        <v>15</v>
      </c>
      <c r="AE211" s="13">
        <f t="shared" si="41"/>
        <v>8</v>
      </c>
      <c r="AF211" s="13">
        <f t="shared" si="41"/>
        <v>2</v>
      </c>
      <c r="AG211" s="13">
        <f t="shared" si="41"/>
        <v>7</v>
      </c>
      <c r="AH211" s="13">
        <f t="shared" si="41"/>
        <v>7</v>
      </c>
      <c r="AI211" s="13">
        <f t="shared" si="41"/>
        <v>5</v>
      </c>
      <c r="AJ211" s="13">
        <f t="shared" si="41"/>
        <v>4</v>
      </c>
      <c r="AK211" s="13">
        <f t="shared" si="41"/>
        <v>8</v>
      </c>
      <c r="AL211" s="13">
        <f t="shared" si="41"/>
        <v>366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4.0</v>
      </c>
      <c r="H213" s="19">
        <v>1.0</v>
      </c>
      <c r="I213" s="19">
        <v>4.0</v>
      </c>
      <c r="J213" s="19">
        <v>1.0</v>
      </c>
      <c r="K213" s="19">
        <v>1.0</v>
      </c>
      <c r="L213" s="19">
        <v>2.0</v>
      </c>
      <c r="M213" s="19">
        <v>6.0</v>
      </c>
      <c r="N213" s="19">
        <v>4.0</v>
      </c>
      <c r="O213" s="19">
        <v>0.0</v>
      </c>
      <c r="P213" s="19">
        <v>1.0</v>
      </c>
      <c r="Q213" s="19">
        <v>0.0</v>
      </c>
      <c r="R213" s="19">
        <v>0.0</v>
      </c>
      <c r="S213" s="19">
        <v>1.0</v>
      </c>
      <c r="T213" s="19">
        <v>1.0</v>
      </c>
      <c r="U213" s="19">
        <v>0.0</v>
      </c>
      <c r="V213" s="19">
        <v>1.0</v>
      </c>
      <c r="W213" s="19">
        <v>1.0</v>
      </c>
      <c r="X213" s="19">
        <v>1.0</v>
      </c>
      <c r="Y213" s="19">
        <v>0.0</v>
      </c>
      <c r="Z213" s="19">
        <v>0.0</v>
      </c>
      <c r="AA213" s="19">
        <v>2.0</v>
      </c>
      <c r="AB213" s="19">
        <v>2.0</v>
      </c>
      <c r="AC213" s="19">
        <v>2.0</v>
      </c>
      <c r="AD213" s="19">
        <v>0.0</v>
      </c>
      <c r="AE213" s="19">
        <v>0.0</v>
      </c>
      <c r="AF213" s="19">
        <v>2.0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2.0</v>
      </c>
      <c r="AL213" s="13">
        <f t="shared" ref="AL213:AL222" si="42">SUM(E213:AK213)</f>
        <v>41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0.0</v>
      </c>
      <c r="F214" s="19">
        <v>2.0</v>
      </c>
      <c r="G214" s="19">
        <v>0.0</v>
      </c>
      <c r="H214" s="19">
        <v>1.0</v>
      </c>
      <c r="I214" s="19">
        <v>1.0</v>
      </c>
      <c r="J214" s="19">
        <v>1.0</v>
      </c>
      <c r="K214" s="19">
        <v>1.0</v>
      </c>
      <c r="L214" s="19">
        <v>1.0</v>
      </c>
      <c r="M214" s="19">
        <v>2.0</v>
      </c>
      <c r="N214" s="19">
        <v>1.0</v>
      </c>
      <c r="O214" s="19">
        <v>1.0</v>
      </c>
      <c r="P214" s="19">
        <v>1.0</v>
      </c>
      <c r="Q214" s="19">
        <v>1.0</v>
      </c>
      <c r="R214" s="19">
        <v>4.0</v>
      </c>
      <c r="S214" s="19">
        <v>0.0</v>
      </c>
      <c r="T214" s="19">
        <v>0.0</v>
      </c>
      <c r="U214" s="19">
        <v>2.0</v>
      </c>
      <c r="V214" s="19">
        <v>2.0</v>
      </c>
      <c r="W214" s="19">
        <v>0.0</v>
      </c>
      <c r="X214" s="19">
        <v>1.0</v>
      </c>
      <c r="Y214" s="19">
        <v>0.0</v>
      </c>
      <c r="Z214" s="19">
        <v>0.0</v>
      </c>
      <c r="AA214" s="19">
        <v>3.0</v>
      </c>
      <c r="AB214" s="19">
        <v>1.0</v>
      </c>
      <c r="AC214" s="19">
        <v>0.0</v>
      </c>
      <c r="AD214" s="19">
        <v>0.0</v>
      </c>
      <c r="AE214" s="19">
        <v>2.0</v>
      </c>
      <c r="AF214" s="19">
        <v>2.0</v>
      </c>
      <c r="AG214" s="19">
        <v>2.0</v>
      </c>
      <c r="AH214" s="19">
        <v>0.0</v>
      </c>
      <c r="AI214" s="19">
        <v>0.0</v>
      </c>
      <c r="AJ214" s="19">
        <v>0.0</v>
      </c>
      <c r="AK214" s="19">
        <v>1.0</v>
      </c>
      <c r="AL214" s="13">
        <f t="shared" si="42"/>
        <v>33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0.0</v>
      </c>
      <c r="K215" s="19">
        <v>1.0</v>
      </c>
      <c r="L215" s="19">
        <v>0.0</v>
      </c>
      <c r="M215" s="19">
        <v>1.0</v>
      </c>
      <c r="N215" s="19">
        <v>0.0</v>
      </c>
      <c r="O215" s="19">
        <v>0.0</v>
      </c>
      <c r="P215" s="19">
        <v>0.0</v>
      </c>
      <c r="Q215" s="19">
        <v>1.0</v>
      </c>
      <c r="R215" s="19">
        <v>1.0</v>
      </c>
      <c r="S215" s="19">
        <v>1.0</v>
      </c>
      <c r="T215" s="19">
        <v>0.0</v>
      </c>
      <c r="U215" s="19">
        <v>0.0</v>
      </c>
      <c r="V215" s="19">
        <v>8.0</v>
      </c>
      <c r="W215" s="19">
        <v>1.0</v>
      </c>
      <c r="X215" s="19">
        <v>1.0</v>
      </c>
      <c r="Y215" s="19">
        <v>0.0</v>
      </c>
      <c r="Z215" s="19">
        <v>0.0</v>
      </c>
      <c r="AA215" s="19">
        <v>1.0</v>
      </c>
      <c r="AB215" s="19">
        <v>0.0</v>
      </c>
      <c r="AC215" s="19">
        <v>1.0</v>
      </c>
      <c r="AD215" s="19">
        <v>0.0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2.0</v>
      </c>
      <c r="AJ215" s="19">
        <v>1.0</v>
      </c>
      <c r="AK215" s="19">
        <v>0.0</v>
      </c>
      <c r="AL215" s="13">
        <f t="shared" si="42"/>
        <v>20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1.0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1.0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1.0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1.0</v>
      </c>
      <c r="AI219" s="19">
        <v>0.0</v>
      </c>
      <c r="AJ219" s="19">
        <v>0.0</v>
      </c>
      <c r="AK219" s="19">
        <v>0.0</v>
      </c>
      <c r="AL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1.0</v>
      </c>
      <c r="AH220" s="19">
        <v>0.0</v>
      </c>
      <c r="AI220" s="19">
        <v>0.0</v>
      </c>
      <c r="AJ220" s="19">
        <v>0.0</v>
      </c>
      <c r="AK220" s="19">
        <v>0.0</v>
      </c>
      <c r="AL220" s="13">
        <f t="shared" si="42"/>
        <v>2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L223" si="43">SUM(E213:E222)</f>
        <v>0</v>
      </c>
      <c r="F223" s="13">
        <f t="shared" si="43"/>
        <v>4</v>
      </c>
      <c r="G223" s="13">
        <f t="shared" si="43"/>
        <v>4</v>
      </c>
      <c r="H223" s="13">
        <f t="shared" si="43"/>
        <v>2</v>
      </c>
      <c r="I223" s="13">
        <f t="shared" si="43"/>
        <v>5</v>
      </c>
      <c r="J223" s="13">
        <f t="shared" si="43"/>
        <v>3</v>
      </c>
      <c r="K223" s="13">
        <f t="shared" si="43"/>
        <v>3</v>
      </c>
      <c r="L223" s="13">
        <f t="shared" si="43"/>
        <v>4</v>
      </c>
      <c r="M223" s="13">
        <f t="shared" si="43"/>
        <v>9</v>
      </c>
      <c r="N223" s="13">
        <f t="shared" si="43"/>
        <v>6</v>
      </c>
      <c r="O223" s="13">
        <f t="shared" si="43"/>
        <v>1</v>
      </c>
      <c r="P223" s="13">
        <f t="shared" si="43"/>
        <v>4</v>
      </c>
      <c r="Q223" s="13">
        <f t="shared" si="43"/>
        <v>2</v>
      </c>
      <c r="R223" s="13">
        <f t="shared" si="43"/>
        <v>6</v>
      </c>
      <c r="S223" s="13">
        <f t="shared" si="43"/>
        <v>2</v>
      </c>
      <c r="T223" s="13">
        <f t="shared" si="43"/>
        <v>1</v>
      </c>
      <c r="U223" s="13">
        <f t="shared" si="43"/>
        <v>2</v>
      </c>
      <c r="V223" s="13">
        <f t="shared" si="43"/>
        <v>11</v>
      </c>
      <c r="W223" s="13">
        <f t="shared" si="43"/>
        <v>2</v>
      </c>
      <c r="X223" s="13">
        <f t="shared" si="43"/>
        <v>4</v>
      </c>
      <c r="Y223" s="13">
        <f t="shared" si="43"/>
        <v>0</v>
      </c>
      <c r="Z223" s="13">
        <f t="shared" si="43"/>
        <v>0</v>
      </c>
      <c r="AA223" s="13">
        <f t="shared" si="43"/>
        <v>6</v>
      </c>
      <c r="AB223" s="13">
        <f t="shared" si="43"/>
        <v>3</v>
      </c>
      <c r="AC223" s="13">
        <f t="shared" si="43"/>
        <v>3</v>
      </c>
      <c r="AD223" s="13">
        <f t="shared" si="43"/>
        <v>0</v>
      </c>
      <c r="AE223" s="13">
        <f t="shared" si="43"/>
        <v>3</v>
      </c>
      <c r="AF223" s="13">
        <f t="shared" si="43"/>
        <v>5</v>
      </c>
      <c r="AG223" s="13">
        <f t="shared" si="43"/>
        <v>3</v>
      </c>
      <c r="AH223" s="13">
        <f t="shared" si="43"/>
        <v>1</v>
      </c>
      <c r="AI223" s="13">
        <f t="shared" si="43"/>
        <v>2</v>
      </c>
      <c r="AJ223" s="13">
        <f t="shared" si="43"/>
        <v>1</v>
      </c>
      <c r="AK223" s="13">
        <f t="shared" si="43"/>
        <v>3</v>
      </c>
      <c r="AL223" s="13">
        <f t="shared" si="43"/>
        <v>105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2.0</v>
      </c>
      <c r="J225" s="19">
        <v>1.0</v>
      </c>
      <c r="K225" s="19">
        <v>1.0</v>
      </c>
      <c r="L225" s="19">
        <v>0.0</v>
      </c>
      <c r="M225" s="19">
        <v>1.0</v>
      </c>
      <c r="N225" s="19">
        <v>0.0</v>
      </c>
      <c r="O225" s="19">
        <v>2.0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3">
        <f t="shared" ref="AL225:AL234" si="44">SUM(E225:AK225)</f>
        <v>8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4.0</v>
      </c>
      <c r="G226" s="19">
        <v>0.0</v>
      </c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>
        <v>1.0</v>
      </c>
      <c r="N226" s="19">
        <v>2.0</v>
      </c>
      <c r="O226" s="19">
        <v>12.0</v>
      </c>
      <c r="P226" s="19">
        <v>0.0</v>
      </c>
      <c r="Q226" s="19">
        <v>4.0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3.0</v>
      </c>
      <c r="AG226" s="19">
        <v>0.0</v>
      </c>
      <c r="AH226" s="19">
        <v>1.0</v>
      </c>
      <c r="AI226" s="19">
        <v>0.0</v>
      </c>
      <c r="AJ226" s="19">
        <v>1.0</v>
      </c>
      <c r="AK226" s="19">
        <v>0.0</v>
      </c>
      <c r="AL226" s="13">
        <f t="shared" si="44"/>
        <v>30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1.0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3">
        <f t="shared" si="44"/>
        <v>3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L235" si="45">SUM(E225:E234)</f>
        <v>0</v>
      </c>
      <c r="F235" s="13">
        <f t="shared" si="45"/>
        <v>4</v>
      </c>
      <c r="G235" s="13">
        <f t="shared" si="45"/>
        <v>0</v>
      </c>
      <c r="H235" s="13">
        <f t="shared" si="45"/>
        <v>0</v>
      </c>
      <c r="I235" s="13">
        <f t="shared" si="45"/>
        <v>3</v>
      </c>
      <c r="J235" s="13">
        <f t="shared" si="45"/>
        <v>4</v>
      </c>
      <c r="K235" s="13">
        <f t="shared" si="45"/>
        <v>1</v>
      </c>
      <c r="L235" s="13">
        <f t="shared" si="45"/>
        <v>0</v>
      </c>
      <c r="M235" s="13">
        <f t="shared" si="45"/>
        <v>2</v>
      </c>
      <c r="N235" s="13">
        <f t="shared" si="45"/>
        <v>2</v>
      </c>
      <c r="O235" s="13">
        <f t="shared" si="45"/>
        <v>14</v>
      </c>
      <c r="P235" s="13">
        <f t="shared" si="45"/>
        <v>0</v>
      </c>
      <c r="Q235" s="13">
        <f t="shared" si="45"/>
        <v>5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3</v>
      </c>
      <c r="AG235" s="13">
        <f t="shared" si="45"/>
        <v>0</v>
      </c>
      <c r="AH235" s="13">
        <f t="shared" si="45"/>
        <v>1</v>
      </c>
      <c r="AI235" s="13">
        <f t="shared" si="45"/>
        <v>0</v>
      </c>
      <c r="AJ235" s="13">
        <f t="shared" si="45"/>
        <v>1</v>
      </c>
      <c r="AK235" s="13">
        <f t="shared" si="45"/>
        <v>0</v>
      </c>
      <c r="AL235" s="13">
        <f t="shared" si="45"/>
        <v>43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1.0</v>
      </c>
      <c r="I237" s="19">
        <v>1.0</v>
      </c>
      <c r="J237" s="19">
        <v>0.0</v>
      </c>
      <c r="K237" s="19">
        <v>3.0</v>
      </c>
      <c r="L237" s="19">
        <v>1.0</v>
      </c>
      <c r="M237" s="19">
        <v>0.0</v>
      </c>
      <c r="N237" s="19">
        <v>1.0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1.0</v>
      </c>
      <c r="U237" s="19">
        <v>1.0</v>
      </c>
      <c r="V237" s="19">
        <v>1.0</v>
      </c>
      <c r="W237" s="19">
        <v>1.0</v>
      </c>
      <c r="X237" s="19">
        <v>1.0</v>
      </c>
      <c r="Y237" s="19">
        <v>0.0</v>
      </c>
      <c r="Z237" s="19">
        <v>0.0</v>
      </c>
      <c r="AA237" s="19">
        <v>1.0</v>
      </c>
      <c r="AB237" s="19">
        <v>3.0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3">
        <f t="shared" ref="AL237:AL246" si="46">SUM(E237:AK237)</f>
        <v>18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2.0</v>
      </c>
      <c r="K238" s="19">
        <v>1.0</v>
      </c>
      <c r="L238" s="19">
        <v>1.0</v>
      </c>
      <c r="M238" s="19">
        <v>0.0</v>
      </c>
      <c r="N238" s="19">
        <v>3.0</v>
      </c>
      <c r="O238" s="19">
        <v>1.0</v>
      </c>
      <c r="P238" s="19">
        <v>0.0</v>
      </c>
      <c r="Q238" s="19">
        <v>1.0</v>
      </c>
      <c r="R238" s="19">
        <v>1.0</v>
      </c>
      <c r="S238" s="19">
        <v>1.0</v>
      </c>
      <c r="T238" s="19">
        <v>0.0</v>
      </c>
      <c r="U238" s="19">
        <v>1.0</v>
      </c>
      <c r="V238" s="19">
        <v>1.0</v>
      </c>
      <c r="W238" s="19">
        <v>1.0</v>
      </c>
      <c r="X238" s="19">
        <v>0.0</v>
      </c>
      <c r="Y238" s="19">
        <v>0.0</v>
      </c>
      <c r="Z238" s="19">
        <v>0.0</v>
      </c>
      <c r="AA238" s="19">
        <v>2.0</v>
      </c>
      <c r="AB238" s="19">
        <v>3.0</v>
      </c>
      <c r="AC238" s="19">
        <v>0.0</v>
      </c>
      <c r="AD238" s="19">
        <v>0.0</v>
      </c>
      <c r="AE238" s="19">
        <v>0.0</v>
      </c>
      <c r="AF238" s="19">
        <v>1.0</v>
      </c>
      <c r="AG238" s="19">
        <v>1.0</v>
      </c>
      <c r="AH238" s="19">
        <v>1.0</v>
      </c>
      <c r="AI238" s="19">
        <v>0.0</v>
      </c>
      <c r="AJ238" s="19">
        <v>1.0</v>
      </c>
      <c r="AK238" s="19">
        <v>0.0</v>
      </c>
      <c r="AL238" s="13">
        <f t="shared" si="46"/>
        <v>23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3.0</v>
      </c>
      <c r="O239" s="19">
        <v>1.0</v>
      </c>
      <c r="P239" s="19">
        <v>0.0</v>
      </c>
      <c r="Q239" s="19">
        <v>0.0</v>
      </c>
      <c r="R239" s="19">
        <v>2.0</v>
      </c>
      <c r="S239" s="19">
        <v>0.0</v>
      </c>
      <c r="T239" s="19">
        <v>0.0</v>
      </c>
      <c r="U239" s="19">
        <v>1.0</v>
      </c>
      <c r="V239" s="19">
        <v>4.0</v>
      </c>
      <c r="W239" s="19">
        <v>4.0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2.0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3">
        <f t="shared" si="46"/>
        <v>17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3.0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1.0</v>
      </c>
      <c r="AL240" s="13">
        <f t="shared" si="46"/>
        <v>6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2.0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3">
        <f t="shared" si="46"/>
        <v>1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L247" si="47">SUM(E237:E246)</f>
        <v>0</v>
      </c>
      <c r="F247" s="13">
        <f t="shared" si="47"/>
        <v>2</v>
      </c>
      <c r="G247" s="13">
        <f t="shared" si="47"/>
        <v>0</v>
      </c>
      <c r="H247" s="13">
        <f t="shared" si="47"/>
        <v>1</v>
      </c>
      <c r="I247" s="13">
        <f t="shared" si="47"/>
        <v>1</v>
      </c>
      <c r="J247" s="13">
        <f t="shared" si="47"/>
        <v>2</v>
      </c>
      <c r="K247" s="13">
        <f t="shared" si="47"/>
        <v>5</v>
      </c>
      <c r="L247" s="13">
        <f t="shared" si="47"/>
        <v>2</v>
      </c>
      <c r="M247" s="13">
        <f t="shared" si="47"/>
        <v>0</v>
      </c>
      <c r="N247" s="13">
        <f t="shared" si="47"/>
        <v>8</v>
      </c>
      <c r="O247" s="13">
        <f t="shared" si="47"/>
        <v>2</v>
      </c>
      <c r="P247" s="13">
        <f t="shared" si="47"/>
        <v>0</v>
      </c>
      <c r="Q247" s="13">
        <f t="shared" si="47"/>
        <v>1</v>
      </c>
      <c r="R247" s="13">
        <f t="shared" si="47"/>
        <v>4</v>
      </c>
      <c r="S247" s="13">
        <f t="shared" si="47"/>
        <v>3</v>
      </c>
      <c r="T247" s="13">
        <f t="shared" si="47"/>
        <v>2</v>
      </c>
      <c r="U247" s="13">
        <f t="shared" si="47"/>
        <v>3</v>
      </c>
      <c r="V247" s="13">
        <f t="shared" si="47"/>
        <v>6</v>
      </c>
      <c r="W247" s="13">
        <f t="shared" si="47"/>
        <v>6</v>
      </c>
      <c r="X247" s="13">
        <f t="shared" si="47"/>
        <v>1</v>
      </c>
      <c r="Y247" s="13">
        <f t="shared" si="47"/>
        <v>0</v>
      </c>
      <c r="Z247" s="13">
        <f t="shared" si="47"/>
        <v>0</v>
      </c>
      <c r="AA247" s="13">
        <f t="shared" si="47"/>
        <v>3</v>
      </c>
      <c r="AB247" s="13">
        <f t="shared" si="47"/>
        <v>12</v>
      </c>
      <c r="AC247" s="13">
        <f t="shared" si="47"/>
        <v>2</v>
      </c>
      <c r="AD247" s="13">
        <f t="shared" si="47"/>
        <v>0</v>
      </c>
      <c r="AE247" s="13">
        <f t="shared" si="47"/>
        <v>0</v>
      </c>
      <c r="AF247" s="13">
        <f t="shared" si="47"/>
        <v>1</v>
      </c>
      <c r="AG247" s="13">
        <f t="shared" si="47"/>
        <v>1</v>
      </c>
      <c r="AH247" s="13">
        <f t="shared" si="47"/>
        <v>1</v>
      </c>
      <c r="AI247" s="13">
        <f t="shared" si="47"/>
        <v>0</v>
      </c>
      <c r="AJ247" s="13">
        <f t="shared" si="47"/>
        <v>1</v>
      </c>
      <c r="AK247" s="13">
        <f t="shared" si="47"/>
        <v>1</v>
      </c>
      <c r="AL247" s="13">
        <f t="shared" si="47"/>
        <v>71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2.0</v>
      </c>
      <c r="I249" s="19">
        <v>1.0</v>
      </c>
      <c r="J249" s="19">
        <v>1.0</v>
      </c>
      <c r="K249" s="19">
        <v>0.0</v>
      </c>
      <c r="L249" s="19">
        <v>0.0</v>
      </c>
      <c r="M249" s="19">
        <v>3.0</v>
      </c>
      <c r="N249" s="19">
        <v>0.0</v>
      </c>
      <c r="O249" s="19">
        <v>1.0</v>
      </c>
      <c r="P249" s="19">
        <v>1.0</v>
      </c>
      <c r="Q249" s="19">
        <v>0.0</v>
      </c>
      <c r="R249" s="19">
        <v>0.0</v>
      </c>
      <c r="S249" s="19">
        <v>0.0</v>
      </c>
      <c r="T249" s="19">
        <v>2.0</v>
      </c>
      <c r="U249" s="19">
        <v>0.0</v>
      </c>
      <c r="V249" s="19">
        <v>0.0</v>
      </c>
      <c r="W249" s="19">
        <v>2.0</v>
      </c>
      <c r="X249" s="19">
        <v>0.0</v>
      </c>
      <c r="Y249" s="19">
        <v>0.0</v>
      </c>
      <c r="Z249" s="19">
        <v>0.0</v>
      </c>
      <c r="AA249" s="19">
        <v>2.0</v>
      </c>
      <c r="AB249" s="19">
        <v>1.0</v>
      </c>
      <c r="AC249" s="19">
        <v>2.0</v>
      </c>
      <c r="AD249" s="19">
        <v>0.0</v>
      </c>
      <c r="AE249" s="19">
        <v>1.0</v>
      </c>
      <c r="AF249" s="19">
        <v>0.0</v>
      </c>
      <c r="AG249" s="19">
        <v>2.0</v>
      </c>
      <c r="AH249" s="19">
        <v>1.0</v>
      </c>
      <c r="AI249" s="19">
        <v>0.0</v>
      </c>
      <c r="AJ249" s="19">
        <v>0.0</v>
      </c>
      <c r="AK249" s="19">
        <v>1.0</v>
      </c>
      <c r="AL249" s="13">
        <f t="shared" ref="AL249:AL258" si="48">SUM(E249:AK249)</f>
        <v>24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1.0</v>
      </c>
      <c r="L250" s="19">
        <v>0.0</v>
      </c>
      <c r="M250" s="19">
        <v>1.0</v>
      </c>
      <c r="N250" s="19">
        <v>0.0</v>
      </c>
      <c r="O250" s="19">
        <v>2.0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0.0</v>
      </c>
      <c r="X250" s="19">
        <v>1.0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1.0</v>
      </c>
      <c r="AF250" s="19">
        <v>1.0</v>
      </c>
      <c r="AG250" s="19">
        <v>1.0</v>
      </c>
      <c r="AH250" s="19">
        <v>0.0</v>
      </c>
      <c r="AI250" s="19">
        <v>0.0</v>
      </c>
      <c r="AJ250" s="19">
        <v>0.0</v>
      </c>
      <c r="AK250" s="19">
        <v>0.0</v>
      </c>
      <c r="AL250" s="13">
        <f t="shared" si="48"/>
        <v>10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3.0</v>
      </c>
      <c r="F251" s="19">
        <v>2.0</v>
      </c>
      <c r="G251" s="19">
        <v>24.0</v>
      </c>
      <c r="H251" s="19">
        <v>24.0</v>
      </c>
      <c r="I251" s="19">
        <v>13.0</v>
      </c>
      <c r="J251" s="19">
        <v>13.0</v>
      </c>
      <c r="K251" s="19">
        <v>22.0</v>
      </c>
      <c r="L251" s="19">
        <v>12.0</v>
      </c>
      <c r="M251" s="19">
        <v>3.0</v>
      </c>
      <c r="N251" s="19">
        <v>12.0</v>
      </c>
      <c r="O251" s="19">
        <v>26.0</v>
      </c>
      <c r="P251" s="19">
        <v>9.0</v>
      </c>
      <c r="Q251" s="19">
        <v>0.0</v>
      </c>
      <c r="R251" s="19">
        <v>3.0</v>
      </c>
      <c r="S251" s="19">
        <v>1.0</v>
      </c>
      <c r="T251" s="19">
        <v>0.0</v>
      </c>
      <c r="U251" s="19">
        <v>11.0</v>
      </c>
      <c r="V251" s="19">
        <v>5.0</v>
      </c>
      <c r="W251" s="19">
        <v>0.0</v>
      </c>
      <c r="X251" s="19">
        <v>3.0</v>
      </c>
      <c r="Y251" s="19">
        <v>1.0</v>
      </c>
      <c r="Z251" s="19">
        <v>0.0</v>
      </c>
      <c r="AA251" s="19">
        <v>1.0</v>
      </c>
      <c r="AB251" s="19">
        <v>1.0</v>
      </c>
      <c r="AC251" s="19">
        <v>2.0</v>
      </c>
      <c r="AD251" s="19">
        <v>1.0</v>
      </c>
      <c r="AE251" s="19">
        <v>13.0</v>
      </c>
      <c r="AF251" s="19">
        <v>0.0</v>
      </c>
      <c r="AG251" s="19">
        <v>6.0</v>
      </c>
      <c r="AH251" s="19">
        <v>0.0</v>
      </c>
      <c r="AI251" s="19">
        <v>0.0</v>
      </c>
      <c r="AJ251" s="19">
        <v>0.0</v>
      </c>
      <c r="AK251" s="19">
        <v>0.0</v>
      </c>
      <c r="AL251" s="13">
        <f t="shared" si="48"/>
        <v>211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1.0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3">
        <f t="shared" si="48"/>
        <v>1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3">
        <f t="shared" si="48"/>
        <v>0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1.0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3">
        <f t="shared" si="48"/>
        <v>1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L259" si="49">SUM(E249:E258)</f>
        <v>4</v>
      </c>
      <c r="F259" s="13">
        <f t="shared" si="49"/>
        <v>2</v>
      </c>
      <c r="G259" s="13">
        <f t="shared" si="49"/>
        <v>25</v>
      </c>
      <c r="H259" s="13">
        <f t="shared" si="49"/>
        <v>26</v>
      </c>
      <c r="I259" s="13">
        <f t="shared" si="49"/>
        <v>14</v>
      </c>
      <c r="J259" s="13">
        <f t="shared" si="49"/>
        <v>14</v>
      </c>
      <c r="K259" s="13">
        <f t="shared" si="49"/>
        <v>23</v>
      </c>
      <c r="L259" s="13">
        <f t="shared" si="49"/>
        <v>12</v>
      </c>
      <c r="M259" s="13">
        <f t="shared" si="49"/>
        <v>7</v>
      </c>
      <c r="N259" s="13">
        <f t="shared" si="49"/>
        <v>12</v>
      </c>
      <c r="O259" s="13">
        <f t="shared" si="49"/>
        <v>29</v>
      </c>
      <c r="P259" s="13">
        <f t="shared" si="49"/>
        <v>10</v>
      </c>
      <c r="Q259" s="13">
        <f t="shared" si="49"/>
        <v>0</v>
      </c>
      <c r="R259" s="13">
        <f t="shared" si="49"/>
        <v>3</v>
      </c>
      <c r="S259" s="13">
        <f t="shared" si="49"/>
        <v>1</v>
      </c>
      <c r="T259" s="13">
        <f t="shared" si="49"/>
        <v>3</v>
      </c>
      <c r="U259" s="13">
        <f t="shared" si="49"/>
        <v>12</v>
      </c>
      <c r="V259" s="13">
        <f t="shared" si="49"/>
        <v>5</v>
      </c>
      <c r="W259" s="13">
        <f t="shared" si="49"/>
        <v>2</v>
      </c>
      <c r="X259" s="13">
        <f t="shared" si="49"/>
        <v>4</v>
      </c>
      <c r="Y259" s="13">
        <f t="shared" si="49"/>
        <v>1</v>
      </c>
      <c r="Z259" s="13">
        <f t="shared" si="49"/>
        <v>0</v>
      </c>
      <c r="AA259" s="13">
        <f t="shared" si="49"/>
        <v>3</v>
      </c>
      <c r="AB259" s="13">
        <f t="shared" si="49"/>
        <v>2</v>
      </c>
      <c r="AC259" s="13">
        <f t="shared" si="49"/>
        <v>4</v>
      </c>
      <c r="AD259" s="13">
        <f t="shared" si="49"/>
        <v>1</v>
      </c>
      <c r="AE259" s="13">
        <f t="shared" si="49"/>
        <v>16</v>
      </c>
      <c r="AF259" s="13">
        <f t="shared" si="49"/>
        <v>1</v>
      </c>
      <c r="AG259" s="13">
        <f t="shared" si="49"/>
        <v>9</v>
      </c>
      <c r="AH259" s="13">
        <f t="shared" si="49"/>
        <v>1</v>
      </c>
      <c r="AI259" s="13">
        <f t="shared" si="49"/>
        <v>0</v>
      </c>
      <c r="AJ259" s="13">
        <f t="shared" si="49"/>
        <v>0</v>
      </c>
      <c r="AK259" s="13">
        <f t="shared" si="49"/>
        <v>1</v>
      </c>
      <c r="AL259" s="13">
        <f t="shared" si="49"/>
        <v>247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  <c r="S261" s="13"/>
      <c r="T261" s="13"/>
      <c r="U261" s="13"/>
      <c r="V261" s="13"/>
      <c r="W261" s="13"/>
      <c r="X261" s="13"/>
      <c r="Y261" s="13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K262" si="50">E55+E67+E79+E91+E103+E115+E127+E139+E151+E163+E175+E187+E199+E211+E223+E235+E247+E259</f>
        <v>192</v>
      </c>
      <c r="F262" s="19">
        <f t="shared" si="50"/>
        <v>148</v>
      </c>
      <c r="G262" s="19">
        <f t="shared" si="50"/>
        <v>165</v>
      </c>
      <c r="H262" s="19">
        <f t="shared" si="50"/>
        <v>164</v>
      </c>
      <c r="I262" s="19">
        <f t="shared" si="50"/>
        <v>141</v>
      </c>
      <c r="J262" s="19">
        <f t="shared" si="50"/>
        <v>167</v>
      </c>
      <c r="K262" s="19">
        <f t="shared" si="50"/>
        <v>184</v>
      </c>
      <c r="L262" s="19">
        <f t="shared" si="50"/>
        <v>194</v>
      </c>
      <c r="M262" s="19">
        <f t="shared" si="50"/>
        <v>173</v>
      </c>
      <c r="N262" s="19">
        <f t="shared" si="50"/>
        <v>189</v>
      </c>
      <c r="O262" s="19">
        <f t="shared" si="50"/>
        <v>153</v>
      </c>
      <c r="P262" s="19">
        <f t="shared" si="50"/>
        <v>158</v>
      </c>
      <c r="Q262" s="19">
        <f t="shared" si="50"/>
        <v>138</v>
      </c>
      <c r="R262" s="19">
        <f t="shared" si="50"/>
        <v>175</v>
      </c>
      <c r="S262" s="19">
        <f t="shared" si="50"/>
        <v>177</v>
      </c>
      <c r="T262" s="19">
        <f t="shared" si="50"/>
        <v>131</v>
      </c>
      <c r="U262" s="19">
        <f t="shared" si="50"/>
        <v>148</v>
      </c>
      <c r="V262" s="19">
        <f t="shared" si="50"/>
        <v>124</v>
      </c>
      <c r="W262" s="19">
        <f t="shared" si="50"/>
        <v>186</v>
      </c>
      <c r="X262" s="19">
        <f t="shared" si="50"/>
        <v>138</v>
      </c>
      <c r="Y262" s="19">
        <f t="shared" si="50"/>
        <v>127</v>
      </c>
      <c r="Z262" s="19">
        <f t="shared" si="50"/>
        <v>152</v>
      </c>
      <c r="AA262" s="19">
        <f t="shared" si="50"/>
        <v>195</v>
      </c>
      <c r="AB262" s="19">
        <f t="shared" si="50"/>
        <v>180</v>
      </c>
      <c r="AC262" s="19">
        <f t="shared" si="50"/>
        <v>188</v>
      </c>
      <c r="AD262" s="19">
        <f t="shared" si="50"/>
        <v>192</v>
      </c>
      <c r="AE262" s="19">
        <f t="shared" si="50"/>
        <v>229</v>
      </c>
      <c r="AF262" s="19">
        <f t="shared" si="50"/>
        <v>166</v>
      </c>
      <c r="AG262" s="19">
        <f t="shared" si="50"/>
        <v>205</v>
      </c>
      <c r="AH262" s="19">
        <f t="shared" si="50"/>
        <v>183</v>
      </c>
      <c r="AI262" s="19">
        <f t="shared" si="50"/>
        <v>170</v>
      </c>
      <c r="AJ262" s="19">
        <f t="shared" si="50"/>
        <v>197</v>
      </c>
      <c r="AK262" s="19">
        <f t="shared" si="50"/>
        <v>196</v>
      </c>
      <c r="AL262" s="13">
        <f t="shared" ref="AL262:AL264" si="51">SUM(E262:AK262)</f>
        <v>5625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18.0</v>
      </c>
      <c r="F263" s="19">
        <v>19.0</v>
      </c>
      <c r="G263" s="19">
        <v>17.0</v>
      </c>
      <c r="H263" s="19">
        <v>22.0</v>
      </c>
      <c r="I263" s="19">
        <v>24.0</v>
      </c>
      <c r="J263" s="19">
        <v>26.0</v>
      </c>
      <c r="K263" s="19">
        <v>33.0</v>
      </c>
      <c r="L263" s="19">
        <v>13.0</v>
      </c>
      <c r="M263" s="19">
        <v>16.0</v>
      </c>
      <c r="N263" s="19">
        <v>25.0</v>
      </c>
      <c r="O263" s="19">
        <v>23.0</v>
      </c>
      <c r="P263" s="19">
        <v>16.0</v>
      </c>
      <c r="Q263" s="19">
        <v>39.0</v>
      </c>
      <c r="R263" s="19">
        <v>7.0</v>
      </c>
      <c r="S263" s="19">
        <v>26.0</v>
      </c>
      <c r="T263" s="19">
        <v>17.0</v>
      </c>
      <c r="U263" s="19">
        <v>31.0</v>
      </c>
      <c r="V263" s="19">
        <v>70.0</v>
      </c>
      <c r="W263" s="19">
        <v>22.0</v>
      </c>
      <c r="X263" s="19">
        <v>7.0</v>
      </c>
      <c r="Y263" s="19">
        <v>15.0</v>
      </c>
      <c r="Z263" s="19">
        <v>18.0</v>
      </c>
      <c r="AA263" s="19">
        <v>18.0</v>
      </c>
      <c r="AB263" s="19">
        <v>16.0</v>
      </c>
      <c r="AC263" s="19">
        <v>31.0</v>
      </c>
      <c r="AD263" s="19">
        <v>20.0</v>
      </c>
      <c r="AE263" s="19">
        <v>11.0</v>
      </c>
      <c r="AF263" s="19">
        <v>19.0</v>
      </c>
      <c r="AG263" s="19">
        <v>33.0</v>
      </c>
      <c r="AH263" s="19">
        <v>14.0</v>
      </c>
      <c r="AI263" s="19">
        <v>41.0</v>
      </c>
      <c r="AJ263" s="19">
        <v>37.0</v>
      </c>
      <c r="AK263" s="19">
        <v>49.0</v>
      </c>
      <c r="AL263" s="13">
        <f t="shared" si="51"/>
        <v>793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K264" si="52">SUM(E262:E263)</f>
        <v>210</v>
      </c>
      <c r="F264" s="13">
        <f t="shared" si="52"/>
        <v>167</v>
      </c>
      <c r="G264" s="13">
        <f t="shared" si="52"/>
        <v>182</v>
      </c>
      <c r="H264" s="13">
        <f t="shared" si="52"/>
        <v>186</v>
      </c>
      <c r="I264" s="13">
        <f t="shared" si="52"/>
        <v>165</v>
      </c>
      <c r="J264" s="13">
        <f t="shared" si="52"/>
        <v>193</v>
      </c>
      <c r="K264" s="13">
        <f t="shared" si="52"/>
        <v>217</v>
      </c>
      <c r="L264" s="13">
        <f t="shared" si="52"/>
        <v>207</v>
      </c>
      <c r="M264" s="13">
        <f t="shared" si="52"/>
        <v>189</v>
      </c>
      <c r="N264" s="13">
        <f t="shared" si="52"/>
        <v>214</v>
      </c>
      <c r="O264" s="13">
        <f t="shared" si="52"/>
        <v>176</v>
      </c>
      <c r="P264" s="13">
        <f t="shared" si="52"/>
        <v>174</v>
      </c>
      <c r="Q264" s="13">
        <f t="shared" si="52"/>
        <v>177</v>
      </c>
      <c r="R264" s="13">
        <f t="shared" si="52"/>
        <v>182</v>
      </c>
      <c r="S264" s="13">
        <f t="shared" si="52"/>
        <v>203</v>
      </c>
      <c r="T264" s="13">
        <f t="shared" si="52"/>
        <v>148</v>
      </c>
      <c r="U264" s="13">
        <f t="shared" si="52"/>
        <v>179</v>
      </c>
      <c r="V264" s="13">
        <f t="shared" si="52"/>
        <v>194</v>
      </c>
      <c r="W264" s="13">
        <f t="shared" si="52"/>
        <v>208</v>
      </c>
      <c r="X264" s="13">
        <f t="shared" si="52"/>
        <v>145</v>
      </c>
      <c r="Y264" s="13">
        <f t="shared" si="52"/>
        <v>142</v>
      </c>
      <c r="Z264" s="13">
        <f t="shared" si="52"/>
        <v>170</v>
      </c>
      <c r="AA264" s="13">
        <f t="shared" si="52"/>
        <v>213</v>
      </c>
      <c r="AB264" s="13">
        <f t="shared" si="52"/>
        <v>196</v>
      </c>
      <c r="AC264" s="13">
        <f t="shared" si="52"/>
        <v>219</v>
      </c>
      <c r="AD264" s="13">
        <f t="shared" si="52"/>
        <v>212</v>
      </c>
      <c r="AE264" s="13">
        <f t="shared" si="52"/>
        <v>240</v>
      </c>
      <c r="AF264" s="13">
        <f t="shared" si="52"/>
        <v>185</v>
      </c>
      <c r="AG264" s="13">
        <f t="shared" si="52"/>
        <v>238</v>
      </c>
      <c r="AH264" s="13">
        <f t="shared" si="52"/>
        <v>197</v>
      </c>
      <c r="AI264" s="13">
        <f t="shared" si="52"/>
        <v>211</v>
      </c>
      <c r="AJ264" s="13">
        <f t="shared" si="52"/>
        <v>234</v>
      </c>
      <c r="AK264" s="13">
        <f t="shared" si="52"/>
        <v>245</v>
      </c>
      <c r="AL264" s="13">
        <f t="shared" si="51"/>
        <v>6418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E34&lt;&gt;E64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8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136.0</v>
      </c>
      <c r="G14" s="19">
        <v>137.0</v>
      </c>
      <c r="H14" s="19">
        <v>141.0</v>
      </c>
      <c r="I14" s="19">
        <v>144.0</v>
      </c>
      <c r="J14" s="19">
        <v>147.0</v>
      </c>
      <c r="K14" s="19">
        <v>140.0</v>
      </c>
      <c r="L14" s="19">
        <v>128.0</v>
      </c>
      <c r="M14" s="19">
        <v>150.0</v>
      </c>
      <c r="N14" s="19">
        <v>138.0</v>
      </c>
      <c r="O14" s="19">
        <v>139.0</v>
      </c>
      <c r="P14" s="19">
        <v>136.0</v>
      </c>
      <c r="Q14" s="19">
        <v>140.0</v>
      </c>
      <c r="R14" s="19">
        <v>118.0</v>
      </c>
      <c r="S14" s="19">
        <v>129.0</v>
      </c>
      <c r="T14" s="19">
        <v>151.0</v>
      </c>
      <c r="U14" s="19">
        <v>105.0</v>
      </c>
      <c r="V14" s="19">
        <v>135.0</v>
      </c>
      <c r="W14" s="19">
        <v>147.0</v>
      </c>
      <c r="X14" s="19">
        <v>146.0</v>
      </c>
      <c r="Y14" s="19">
        <v>112.0</v>
      </c>
      <c r="Z14" s="19">
        <v>111.0</v>
      </c>
      <c r="AA14" s="19">
        <v>96.0</v>
      </c>
      <c r="AB14" s="19">
        <v>129.0</v>
      </c>
      <c r="AC14" s="19">
        <v>139.0</v>
      </c>
      <c r="AD14" s="19">
        <v>126.0</v>
      </c>
      <c r="AE14" s="19">
        <v>107.0</v>
      </c>
      <c r="AF14" s="19">
        <v>133.0</v>
      </c>
      <c r="AG14" s="13">
        <f t="shared" ref="AG14:AG16" si="1">SUM(E14:AF14)</f>
        <v>3702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155.0</v>
      </c>
      <c r="G15" s="19">
        <v>148.0</v>
      </c>
      <c r="H15" s="19">
        <v>139.0</v>
      </c>
      <c r="I15" s="19">
        <v>144.0</v>
      </c>
      <c r="J15" s="19">
        <v>137.0</v>
      </c>
      <c r="K15" s="19">
        <v>137.0</v>
      </c>
      <c r="L15" s="19">
        <v>148.0</v>
      </c>
      <c r="M15" s="19">
        <v>143.0</v>
      </c>
      <c r="N15" s="19">
        <v>146.0</v>
      </c>
      <c r="O15" s="19">
        <v>133.0</v>
      </c>
      <c r="P15" s="19">
        <v>153.0</v>
      </c>
      <c r="Q15" s="19">
        <v>148.0</v>
      </c>
      <c r="R15" s="19">
        <v>121.0</v>
      </c>
      <c r="S15" s="19">
        <v>150.0</v>
      </c>
      <c r="T15" s="19">
        <v>142.0</v>
      </c>
      <c r="U15" s="19">
        <v>132.0</v>
      </c>
      <c r="V15" s="19">
        <v>137.0</v>
      </c>
      <c r="W15" s="19">
        <v>141.0</v>
      </c>
      <c r="X15" s="19">
        <v>130.0</v>
      </c>
      <c r="Y15" s="19">
        <v>132.0</v>
      </c>
      <c r="Z15" s="19">
        <v>113.0</v>
      </c>
      <c r="AA15" s="19">
        <v>96.0</v>
      </c>
      <c r="AB15" s="19">
        <v>149.0</v>
      </c>
      <c r="AC15" s="19">
        <v>144.0</v>
      </c>
      <c r="AD15" s="19">
        <v>135.0</v>
      </c>
      <c r="AE15" s="19">
        <v>96.0</v>
      </c>
      <c r="AF15" s="19">
        <v>121.0</v>
      </c>
      <c r="AG15" s="13">
        <f t="shared" si="1"/>
        <v>3823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295</v>
      </c>
      <c r="F16" s="13">
        <f t="shared" si="2"/>
        <v>291</v>
      </c>
      <c r="G16" s="13">
        <f t="shared" si="2"/>
        <v>285</v>
      </c>
      <c r="H16" s="13">
        <f t="shared" si="2"/>
        <v>280</v>
      </c>
      <c r="I16" s="13">
        <f t="shared" si="2"/>
        <v>288</v>
      </c>
      <c r="J16" s="13">
        <f t="shared" si="2"/>
        <v>284</v>
      </c>
      <c r="K16" s="13">
        <f t="shared" si="2"/>
        <v>277</v>
      </c>
      <c r="L16" s="13">
        <f t="shared" si="2"/>
        <v>276</v>
      </c>
      <c r="M16" s="13">
        <f t="shared" si="2"/>
        <v>293</v>
      </c>
      <c r="N16" s="13">
        <f t="shared" si="2"/>
        <v>284</v>
      </c>
      <c r="O16" s="13">
        <f t="shared" si="2"/>
        <v>272</v>
      </c>
      <c r="P16" s="13">
        <f t="shared" si="2"/>
        <v>289</v>
      </c>
      <c r="Q16" s="13">
        <f t="shared" si="2"/>
        <v>288</v>
      </c>
      <c r="R16" s="13">
        <f t="shared" si="2"/>
        <v>239</v>
      </c>
      <c r="S16" s="13">
        <f t="shared" si="2"/>
        <v>279</v>
      </c>
      <c r="T16" s="13">
        <f t="shared" si="2"/>
        <v>293</v>
      </c>
      <c r="U16" s="13">
        <f t="shared" si="2"/>
        <v>237</v>
      </c>
      <c r="V16" s="13">
        <f t="shared" si="2"/>
        <v>272</v>
      </c>
      <c r="W16" s="13">
        <f t="shared" si="2"/>
        <v>288</v>
      </c>
      <c r="X16" s="13">
        <f t="shared" si="2"/>
        <v>276</v>
      </c>
      <c r="Y16" s="13">
        <f t="shared" si="2"/>
        <v>244</v>
      </c>
      <c r="Z16" s="13">
        <f t="shared" si="2"/>
        <v>224</v>
      </c>
      <c r="AA16" s="13">
        <f t="shared" si="2"/>
        <v>192</v>
      </c>
      <c r="AB16" s="13">
        <f t="shared" si="2"/>
        <v>278</v>
      </c>
      <c r="AC16" s="13">
        <f t="shared" si="2"/>
        <v>283</v>
      </c>
      <c r="AD16" s="13">
        <f t="shared" si="2"/>
        <v>261</v>
      </c>
      <c r="AE16" s="13">
        <f t="shared" si="2"/>
        <v>203</v>
      </c>
      <c r="AF16" s="13">
        <f t="shared" si="2"/>
        <v>254</v>
      </c>
      <c r="AG16" s="13">
        <f t="shared" si="1"/>
        <v>7525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19"/>
      <c r="T17" s="19"/>
      <c r="U17" s="19"/>
      <c r="V17" s="19"/>
      <c r="W17" s="75"/>
      <c r="X17" s="19"/>
      <c r="Y17" s="19"/>
      <c r="Z17" s="19"/>
      <c r="AA17" s="19"/>
      <c r="AB17" s="19"/>
      <c r="AC17" s="19"/>
      <c r="AD17" s="19"/>
      <c r="AE17" s="19"/>
      <c r="AF17" s="19"/>
      <c r="AG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19"/>
      <c r="T18" s="19"/>
      <c r="U18" s="19"/>
      <c r="V18" s="19"/>
      <c r="W18" s="75"/>
      <c r="X18" s="19"/>
      <c r="Y18" s="19"/>
      <c r="Z18" s="19"/>
      <c r="AA18" s="19"/>
      <c r="AB18" s="19"/>
      <c r="AC18" s="19"/>
      <c r="AD18" s="19"/>
      <c r="AE18" s="19"/>
      <c r="AF18" s="19"/>
      <c r="AG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104.0</v>
      </c>
      <c r="G19" s="19">
        <v>96.0</v>
      </c>
      <c r="H19" s="19">
        <v>81.0</v>
      </c>
      <c r="I19" s="19">
        <v>88.0</v>
      </c>
      <c r="J19" s="19">
        <v>102.0</v>
      </c>
      <c r="K19" s="19">
        <v>87.0</v>
      </c>
      <c r="L19" s="19">
        <v>84.0</v>
      </c>
      <c r="M19" s="19">
        <v>102.0</v>
      </c>
      <c r="N19" s="19">
        <v>106.0</v>
      </c>
      <c r="O19" s="19">
        <v>98.0</v>
      </c>
      <c r="P19" s="19">
        <v>79.0</v>
      </c>
      <c r="Q19" s="19">
        <v>99.0</v>
      </c>
      <c r="R19" s="19">
        <v>80.0</v>
      </c>
      <c r="S19" s="19">
        <v>87.0</v>
      </c>
      <c r="T19" s="19">
        <v>101.0</v>
      </c>
      <c r="U19" s="19">
        <v>72.0</v>
      </c>
      <c r="V19" s="19">
        <v>83.0</v>
      </c>
      <c r="W19" s="19">
        <v>104.0</v>
      </c>
      <c r="X19" s="19">
        <v>105.0</v>
      </c>
      <c r="Y19" s="19">
        <v>82.0</v>
      </c>
      <c r="Z19" s="19">
        <v>68.0</v>
      </c>
      <c r="AA19" s="19">
        <v>69.0</v>
      </c>
      <c r="AB19" s="19">
        <v>78.0</v>
      </c>
      <c r="AC19" s="19">
        <v>93.0</v>
      </c>
      <c r="AD19" s="19">
        <v>94.0</v>
      </c>
      <c r="AE19" s="19">
        <v>73.0</v>
      </c>
      <c r="AF19" s="19">
        <v>101.0</v>
      </c>
      <c r="AG19" s="13">
        <f t="shared" ref="AG19:AG30" si="3">SUM(E19:AF19)</f>
        <v>2516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126.0</v>
      </c>
      <c r="G20" s="19">
        <v>117.0</v>
      </c>
      <c r="H20" s="19">
        <v>109.0</v>
      </c>
      <c r="I20" s="19">
        <v>101.0</v>
      </c>
      <c r="J20" s="19">
        <v>98.0</v>
      </c>
      <c r="K20" s="19">
        <v>100.0</v>
      </c>
      <c r="L20" s="19">
        <v>97.0</v>
      </c>
      <c r="M20" s="19">
        <v>113.0</v>
      </c>
      <c r="N20" s="19">
        <v>120.0</v>
      </c>
      <c r="O20" s="19">
        <v>96.0</v>
      </c>
      <c r="P20" s="19">
        <v>102.0</v>
      </c>
      <c r="Q20" s="19">
        <v>106.0</v>
      </c>
      <c r="R20" s="19">
        <v>95.0</v>
      </c>
      <c r="S20" s="19">
        <v>116.0</v>
      </c>
      <c r="T20" s="19">
        <v>101.0</v>
      </c>
      <c r="U20" s="19">
        <v>90.0</v>
      </c>
      <c r="V20" s="19">
        <v>102.0</v>
      </c>
      <c r="W20" s="19">
        <v>104.0</v>
      </c>
      <c r="X20" s="19">
        <v>103.0</v>
      </c>
      <c r="Y20" s="19">
        <v>99.0</v>
      </c>
      <c r="Z20" s="19">
        <v>78.0</v>
      </c>
      <c r="AA20" s="19">
        <v>74.0</v>
      </c>
      <c r="AB20" s="19">
        <v>94.0</v>
      </c>
      <c r="AC20" s="19">
        <v>105.0</v>
      </c>
      <c r="AD20" s="19">
        <v>104.0</v>
      </c>
      <c r="AE20" s="19">
        <v>77.0</v>
      </c>
      <c r="AF20" s="19">
        <v>95.0</v>
      </c>
      <c r="AG20" s="13">
        <f t="shared" si="3"/>
        <v>2829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207</v>
      </c>
      <c r="F21" s="13">
        <f t="shared" si="4"/>
        <v>230</v>
      </c>
      <c r="G21" s="13">
        <f t="shared" si="4"/>
        <v>213</v>
      </c>
      <c r="H21" s="13">
        <f t="shared" si="4"/>
        <v>190</v>
      </c>
      <c r="I21" s="13">
        <f t="shared" si="4"/>
        <v>189</v>
      </c>
      <c r="J21" s="13">
        <f t="shared" si="4"/>
        <v>200</v>
      </c>
      <c r="K21" s="13">
        <f t="shared" si="4"/>
        <v>187</v>
      </c>
      <c r="L21" s="13">
        <f t="shared" si="4"/>
        <v>181</v>
      </c>
      <c r="M21" s="13">
        <f t="shared" si="4"/>
        <v>215</v>
      </c>
      <c r="N21" s="13">
        <f t="shared" si="4"/>
        <v>226</v>
      </c>
      <c r="O21" s="13">
        <f t="shared" si="4"/>
        <v>194</v>
      </c>
      <c r="P21" s="13">
        <f t="shared" si="4"/>
        <v>181</v>
      </c>
      <c r="Q21" s="13">
        <f t="shared" si="4"/>
        <v>205</v>
      </c>
      <c r="R21" s="13">
        <f t="shared" si="4"/>
        <v>175</v>
      </c>
      <c r="S21" s="13">
        <f t="shared" si="4"/>
        <v>203</v>
      </c>
      <c r="T21" s="13">
        <f t="shared" si="4"/>
        <v>202</v>
      </c>
      <c r="U21" s="13">
        <f t="shared" si="4"/>
        <v>162</v>
      </c>
      <c r="V21" s="13">
        <f t="shared" si="4"/>
        <v>185</v>
      </c>
      <c r="W21" s="13">
        <f t="shared" si="4"/>
        <v>208</v>
      </c>
      <c r="X21" s="13">
        <f t="shared" si="4"/>
        <v>208</v>
      </c>
      <c r="Y21" s="13">
        <f t="shared" si="4"/>
        <v>181</v>
      </c>
      <c r="Z21" s="13">
        <f t="shared" si="4"/>
        <v>146</v>
      </c>
      <c r="AA21" s="13">
        <f t="shared" si="4"/>
        <v>143</v>
      </c>
      <c r="AB21" s="13">
        <f t="shared" si="4"/>
        <v>172</v>
      </c>
      <c r="AC21" s="13">
        <f t="shared" si="4"/>
        <v>198</v>
      </c>
      <c r="AD21" s="13">
        <f t="shared" si="4"/>
        <v>198</v>
      </c>
      <c r="AE21" s="13">
        <f t="shared" si="4"/>
        <v>150</v>
      </c>
      <c r="AF21" s="13">
        <f t="shared" si="4"/>
        <v>196</v>
      </c>
      <c r="AG21" s="13">
        <f t="shared" si="3"/>
        <v>5345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1.0</v>
      </c>
      <c r="V22" s="19">
        <v>1.0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1.0</v>
      </c>
      <c r="AG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1</v>
      </c>
      <c r="AG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1.0</v>
      </c>
      <c r="O25" s="19">
        <v>4.0</v>
      </c>
      <c r="P25" s="19">
        <v>0.0</v>
      </c>
      <c r="Q25" s="19">
        <v>1.0</v>
      </c>
      <c r="R25" s="19">
        <v>1.0</v>
      </c>
      <c r="S25" s="19">
        <v>2.0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5.0</v>
      </c>
      <c r="P26" s="19">
        <v>0.0</v>
      </c>
      <c r="Q26" s="19">
        <v>2.0</v>
      </c>
      <c r="R26" s="19">
        <v>0.0</v>
      </c>
      <c r="S26" s="19">
        <v>0.0</v>
      </c>
      <c r="T26" s="19">
        <v>2.0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3.0</v>
      </c>
      <c r="AF26" s="19">
        <v>0.0</v>
      </c>
      <c r="AG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3</v>
      </c>
      <c r="N27" s="13">
        <f t="shared" si="6"/>
        <v>2</v>
      </c>
      <c r="O27" s="13">
        <f t="shared" si="6"/>
        <v>9</v>
      </c>
      <c r="P27" s="13">
        <f t="shared" si="6"/>
        <v>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4</v>
      </c>
      <c r="AF27" s="13">
        <f t="shared" si="6"/>
        <v>0</v>
      </c>
      <c r="AG27" s="13">
        <f t="shared" si="3"/>
        <v>39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101</v>
      </c>
      <c r="F28" s="13">
        <f t="shared" si="7"/>
        <v>105</v>
      </c>
      <c r="G28" s="13">
        <f t="shared" si="7"/>
        <v>97</v>
      </c>
      <c r="H28" s="13">
        <f t="shared" si="7"/>
        <v>81</v>
      </c>
      <c r="I28" s="13">
        <f t="shared" si="7"/>
        <v>89</v>
      </c>
      <c r="J28" s="13">
        <f t="shared" si="7"/>
        <v>102</v>
      </c>
      <c r="K28" s="13">
        <f t="shared" si="7"/>
        <v>87</v>
      </c>
      <c r="L28" s="13">
        <f t="shared" si="7"/>
        <v>85</v>
      </c>
      <c r="M28" s="13">
        <f t="shared" si="7"/>
        <v>104</v>
      </c>
      <c r="N28" s="13">
        <f t="shared" si="7"/>
        <v>107</v>
      </c>
      <c r="O28" s="13">
        <f t="shared" si="7"/>
        <v>103</v>
      </c>
      <c r="P28" s="13">
        <f t="shared" si="7"/>
        <v>79</v>
      </c>
      <c r="Q28" s="13">
        <f t="shared" si="7"/>
        <v>100</v>
      </c>
      <c r="R28" s="13">
        <f t="shared" si="7"/>
        <v>81</v>
      </c>
      <c r="S28" s="13">
        <f t="shared" si="7"/>
        <v>89</v>
      </c>
      <c r="T28" s="13">
        <f t="shared" si="7"/>
        <v>102</v>
      </c>
      <c r="U28" s="13">
        <f t="shared" si="7"/>
        <v>74</v>
      </c>
      <c r="V28" s="13">
        <f t="shared" si="7"/>
        <v>84</v>
      </c>
      <c r="W28" s="13">
        <f t="shared" si="7"/>
        <v>105</v>
      </c>
      <c r="X28" s="13">
        <f t="shared" si="7"/>
        <v>105</v>
      </c>
      <c r="Y28" s="13">
        <f t="shared" si="7"/>
        <v>82</v>
      </c>
      <c r="Z28" s="13">
        <f t="shared" si="7"/>
        <v>68</v>
      </c>
      <c r="AA28" s="13">
        <f t="shared" si="7"/>
        <v>69</v>
      </c>
      <c r="AB28" s="13">
        <f t="shared" si="7"/>
        <v>79</v>
      </c>
      <c r="AC28" s="13">
        <f t="shared" si="7"/>
        <v>93</v>
      </c>
      <c r="AD28" s="13">
        <f t="shared" si="7"/>
        <v>94</v>
      </c>
      <c r="AE28" s="13">
        <f t="shared" si="7"/>
        <v>75</v>
      </c>
      <c r="AF28" s="13">
        <f t="shared" si="7"/>
        <v>102</v>
      </c>
      <c r="AG28" s="13">
        <f t="shared" si="3"/>
        <v>2542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111</v>
      </c>
      <c r="F29" s="13">
        <f t="shared" si="8"/>
        <v>126</v>
      </c>
      <c r="G29" s="13">
        <f t="shared" si="8"/>
        <v>118</v>
      </c>
      <c r="H29" s="13">
        <f t="shared" si="8"/>
        <v>111</v>
      </c>
      <c r="I29" s="13">
        <f t="shared" si="8"/>
        <v>101</v>
      </c>
      <c r="J29" s="13">
        <f t="shared" si="8"/>
        <v>99</v>
      </c>
      <c r="K29" s="13">
        <f t="shared" si="8"/>
        <v>102</v>
      </c>
      <c r="L29" s="13">
        <f t="shared" si="8"/>
        <v>99</v>
      </c>
      <c r="M29" s="13">
        <f t="shared" si="8"/>
        <v>114</v>
      </c>
      <c r="N29" s="13">
        <f t="shared" si="8"/>
        <v>121</v>
      </c>
      <c r="O29" s="13">
        <f t="shared" si="8"/>
        <v>101</v>
      </c>
      <c r="P29" s="13">
        <f t="shared" si="8"/>
        <v>102</v>
      </c>
      <c r="Q29" s="13">
        <f t="shared" si="8"/>
        <v>108</v>
      </c>
      <c r="R29" s="13">
        <f t="shared" si="8"/>
        <v>95</v>
      </c>
      <c r="S29" s="13">
        <f t="shared" si="8"/>
        <v>116</v>
      </c>
      <c r="T29" s="13">
        <f t="shared" si="8"/>
        <v>104</v>
      </c>
      <c r="U29" s="13">
        <f t="shared" si="8"/>
        <v>91</v>
      </c>
      <c r="V29" s="13">
        <f t="shared" si="8"/>
        <v>102</v>
      </c>
      <c r="W29" s="13">
        <f t="shared" si="8"/>
        <v>104</v>
      </c>
      <c r="X29" s="13">
        <f t="shared" si="8"/>
        <v>103</v>
      </c>
      <c r="Y29" s="13">
        <f t="shared" si="8"/>
        <v>99</v>
      </c>
      <c r="Z29" s="13">
        <f t="shared" si="8"/>
        <v>78</v>
      </c>
      <c r="AA29" s="13">
        <f t="shared" si="8"/>
        <v>74</v>
      </c>
      <c r="AB29" s="13">
        <f t="shared" si="8"/>
        <v>94</v>
      </c>
      <c r="AC29" s="13">
        <f t="shared" si="8"/>
        <v>107</v>
      </c>
      <c r="AD29" s="13">
        <f t="shared" si="8"/>
        <v>104</v>
      </c>
      <c r="AE29" s="13">
        <f t="shared" si="8"/>
        <v>80</v>
      </c>
      <c r="AF29" s="13">
        <f t="shared" si="8"/>
        <v>95</v>
      </c>
      <c r="AG29" s="13">
        <f t="shared" si="3"/>
        <v>2859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212</v>
      </c>
      <c r="F30" s="13">
        <f t="shared" si="9"/>
        <v>231</v>
      </c>
      <c r="G30" s="13">
        <f t="shared" si="9"/>
        <v>215</v>
      </c>
      <c r="H30" s="13">
        <f t="shared" si="9"/>
        <v>192</v>
      </c>
      <c r="I30" s="13">
        <f t="shared" si="9"/>
        <v>190</v>
      </c>
      <c r="J30" s="13">
        <f t="shared" si="9"/>
        <v>201</v>
      </c>
      <c r="K30" s="13">
        <f t="shared" si="9"/>
        <v>189</v>
      </c>
      <c r="L30" s="13">
        <f t="shared" si="9"/>
        <v>184</v>
      </c>
      <c r="M30" s="13">
        <f t="shared" si="9"/>
        <v>218</v>
      </c>
      <c r="N30" s="13">
        <f t="shared" si="9"/>
        <v>228</v>
      </c>
      <c r="O30" s="13">
        <f t="shared" si="9"/>
        <v>204</v>
      </c>
      <c r="P30" s="13">
        <f t="shared" si="9"/>
        <v>181</v>
      </c>
      <c r="Q30" s="13">
        <f t="shared" si="9"/>
        <v>208</v>
      </c>
      <c r="R30" s="13">
        <f t="shared" si="9"/>
        <v>176</v>
      </c>
      <c r="S30" s="13">
        <f t="shared" si="9"/>
        <v>205</v>
      </c>
      <c r="T30" s="13">
        <f t="shared" si="9"/>
        <v>206</v>
      </c>
      <c r="U30" s="13">
        <f t="shared" si="9"/>
        <v>165</v>
      </c>
      <c r="V30" s="13">
        <f t="shared" si="9"/>
        <v>186</v>
      </c>
      <c r="W30" s="13">
        <f t="shared" si="9"/>
        <v>209</v>
      </c>
      <c r="X30" s="13">
        <f t="shared" si="9"/>
        <v>208</v>
      </c>
      <c r="Y30" s="13">
        <f t="shared" si="9"/>
        <v>181</v>
      </c>
      <c r="Z30" s="13">
        <f t="shared" si="9"/>
        <v>146</v>
      </c>
      <c r="AA30" s="13">
        <f t="shared" si="9"/>
        <v>143</v>
      </c>
      <c r="AB30" s="13">
        <f t="shared" si="9"/>
        <v>173</v>
      </c>
      <c r="AC30" s="13">
        <f t="shared" si="9"/>
        <v>200</v>
      </c>
      <c r="AD30" s="13">
        <f t="shared" si="9"/>
        <v>198</v>
      </c>
      <c r="AE30" s="13">
        <f t="shared" si="9"/>
        <v>155</v>
      </c>
      <c r="AF30" s="13">
        <f t="shared" si="9"/>
        <v>197</v>
      </c>
      <c r="AG30" s="13">
        <f t="shared" si="3"/>
        <v>5401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19"/>
      <c r="T31" s="19"/>
      <c r="U31" s="19"/>
      <c r="V31" s="19"/>
      <c r="W31" s="75"/>
      <c r="X31" s="19"/>
      <c r="Y31" s="19"/>
      <c r="Z31" s="19"/>
      <c r="AA31" s="19"/>
      <c r="AB31" s="19"/>
      <c r="AC31" s="19"/>
      <c r="AD31" s="19"/>
      <c r="AE31" s="19"/>
      <c r="AF31" s="19"/>
      <c r="AG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13"/>
      <c r="T32" s="13"/>
      <c r="U32" s="13"/>
      <c r="V32" s="13"/>
      <c r="W32" s="77"/>
      <c r="X32" s="13"/>
      <c r="Y32" s="13"/>
      <c r="Z32" s="13"/>
      <c r="AA32" s="13"/>
      <c r="AB32" s="13"/>
      <c r="AC32" s="13"/>
      <c r="AD32" s="13"/>
      <c r="AE32" s="13"/>
      <c r="AF32" s="13"/>
      <c r="AG32" s="76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298.0</v>
      </c>
      <c r="G33" s="19">
        <v>290.0</v>
      </c>
      <c r="H33" s="19">
        <v>287.0</v>
      </c>
      <c r="I33" s="19">
        <v>294.0</v>
      </c>
      <c r="J33" s="19">
        <v>290.0</v>
      </c>
      <c r="K33" s="19">
        <v>284.0</v>
      </c>
      <c r="L33" s="19">
        <v>282.0</v>
      </c>
      <c r="M33" s="19">
        <v>289.0</v>
      </c>
      <c r="N33" s="19">
        <v>310.0</v>
      </c>
      <c r="O33" s="19">
        <v>278.0</v>
      </c>
      <c r="P33" s="19">
        <v>295.0</v>
      </c>
      <c r="Q33" s="19">
        <v>291.0</v>
      </c>
      <c r="R33" s="19">
        <v>244.0</v>
      </c>
      <c r="S33" s="19">
        <v>284.0</v>
      </c>
      <c r="T33" s="19">
        <v>299.0</v>
      </c>
      <c r="U33" s="19">
        <v>242.0</v>
      </c>
      <c r="V33" s="19">
        <v>278.0</v>
      </c>
      <c r="W33" s="19">
        <v>294.0</v>
      </c>
      <c r="X33" s="19">
        <v>282.0</v>
      </c>
      <c r="Y33" s="19">
        <v>249.0</v>
      </c>
      <c r="Z33" s="19">
        <v>229.0</v>
      </c>
      <c r="AA33" s="19">
        <v>296.0</v>
      </c>
      <c r="AB33" s="19">
        <v>284.0</v>
      </c>
      <c r="AC33" s="19">
        <v>289.0</v>
      </c>
      <c r="AD33" s="19">
        <v>267.0</v>
      </c>
      <c r="AE33" s="19">
        <v>208.0</v>
      </c>
      <c r="AF33" s="19">
        <v>260.0</v>
      </c>
      <c r="AG33" s="13">
        <f t="shared" ref="AG33:AG36" si="10">SUM(E33:AF33)</f>
        <v>7794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231.0</v>
      </c>
      <c r="G34" s="13">
        <v>215.0</v>
      </c>
      <c r="H34" s="13">
        <v>192.0</v>
      </c>
      <c r="I34" s="13">
        <v>190.0</v>
      </c>
      <c r="J34" s="13">
        <v>201.0</v>
      </c>
      <c r="K34" s="13">
        <v>189.0</v>
      </c>
      <c r="L34" s="13">
        <v>184.0</v>
      </c>
      <c r="M34" s="13">
        <v>218.0</v>
      </c>
      <c r="N34" s="13">
        <v>228.0</v>
      </c>
      <c r="O34" s="13">
        <v>204.0</v>
      </c>
      <c r="P34" s="13">
        <v>181.0</v>
      </c>
      <c r="Q34" s="13">
        <v>208.0</v>
      </c>
      <c r="R34" s="13">
        <v>176.0</v>
      </c>
      <c r="S34" s="13">
        <v>205.0</v>
      </c>
      <c r="T34" s="13">
        <v>206.0</v>
      </c>
      <c r="U34" s="13">
        <v>165.0</v>
      </c>
      <c r="V34" s="13">
        <v>186.0</v>
      </c>
      <c r="W34" s="13">
        <v>209.0</v>
      </c>
      <c r="X34" s="13">
        <v>208.0</v>
      </c>
      <c r="Y34" s="13">
        <v>181.0</v>
      </c>
      <c r="Z34" s="13">
        <v>146.0</v>
      </c>
      <c r="AA34" s="13">
        <v>143.0</v>
      </c>
      <c r="AB34" s="13">
        <v>173.0</v>
      </c>
      <c r="AC34" s="13">
        <v>200.0</v>
      </c>
      <c r="AD34" s="13">
        <v>198.0</v>
      </c>
      <c r="AE34" s="13">
        <v>155.0</v>
      </c>
      <c r="AF34" s="13">
        <v>197.0</v>
      </c>
      <c r="AG34" s="13">
        <f t="shared" si="10"/>
        <v>5401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3.0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87</v>
      </c>
      <c r="F36" s="13">
        <f t="shared" si="11"/>
        <v>67</v>
      </c>
      <c r="G36" s="13">
        <f t="shared" si="11"/>
        <v>75</v>
      </c>
      <c r="H36" s="13">
        <f t="shared" si="11"/>
        <v>95</v>
      </c>
      <c r="I36" s="13">
        <f t="shared" si="11"/>
        <v>103</v>
      </c>
      <c r="J36" s="13">
        <f t="shared" si="11"/>
        <v>89</v>
      </c>
      <c r="K36" s="13">
        <f t="shared" si="11"/>
        <v>95</v>
      </c>
      <c r="L36" s="13">
        <f t="shared" si="11"/>
        <v>96</v>
      </c>
      <c r="M36" s="13">
        <f t="shared" si="11"/>
        <v>71</v>
      </c>
      <c r="N36" s="13">
        <f t="shared" si="11"/>
        <v>82</v>
      </c>
      <c r="O36" s="13">
        <f t="shared" si="11"/>
        <v>74</v>
      </c>
      <c r="P36" s="13">
        <f t="shared" si="11"/>
        <v>114</v>
      </c>
      <c r="Q36" s="13">
        <f t="shared" si="11"/>
        <v>83</v>
      </c>
      <c r="R36" s="13">
        <f t="shared" si="11"/>
        <v>68</v>
      </c>
      <c r="S36" s="13">
        <f t="shared" si="11"/>
        <v>78</v>
      </c>
      <c r="T36" s="13">
        <f t="shared" si="11"/>
        <v>93</v>
      </c>
      <c r="U36" s="13">
        <f t="shared" si="11"/>
        <v>76</v>
      </c>
      <c r="V36" s="13">
        <f t="shared" si="11"/>
        <v>92</v>
      </c>
      <c r="W36" s="13">
        <f t="shared" si="11"/>
        <v>85</v>
      </c>
      <c r="X36" s="13">
        <f t="shared" si="11"/>
        <v>74</v>
      </c>
      <c r="Y36" s="13">
        <f t="shared" si="11"/>
        <v>68</v>
      </c>
      <c r="Z36" s="13">
        <f t="shared" si="11"/>
        <v>82</v>
      </c>
      <c r="AA36" s="13">
        <f t="shared" si="11"/>
        <v>153</v>
      </c>
      <c r="AB36" s="13">
        <f t="shared" si="11"/>
        <v>108</v>
      </c>
      <c r="AC36" s="13">
        <f t="shared" si="11"/>
        <v>89</v>
      </c>
      <c r="AD36" s="13">
        <f t="shared" si="11"/>
        <v>69</v>
      </c>
      <c r="AE36" s="13">
        <f t="shared" si="11"/>
        <v>53</v>
      </c>
      <c r="AF36" s="13">
        <f t="shared" si="11"/>
        <v>63</v>
      </c>
      <c r="AG36" s="13">
        <f t="shared" si="10"/>
        <v>2382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13"/>
      <c r="T38" s="13"/>
      <c r="U38" s="13"/>
      <c r="V38" s="13"/>
      <c r="W38" s="77"/>
      <c r="X38" s="13"/>
      <c r="Y38" s="13"/>
      <c r="Z38" s="13"/>
      <c r="AA38" s="13"/>
      <c r="AB38" s="13"/>
      <c r="AC38" s="13"/>
      <c r="AD38" s="13"/>
      <c r="AE38" s="13"/>
      <c r="AF38" s="13"/>
      <c r="AG38" s="76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3.0</v>
      </c>
      <c r="J39" s="19">
        <v>1.0</v>
      </c>
      <c r="K39" s="19">
        <v>0.0</v>
      </c>
      <c r="L39" s="19">
        <v>0.0</v>
      </c>
      <c r="M39" s="19">
        <v>0.0</v>
      </c>
      <c r="N39" s="19">
        <v>1.0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11</v>
      </c>
    </row>
    <row r="40" ht="12.75" customHeight="1">
      <c r="A40" s="33"/>
      <c r="C40" s="27"/>
      <c r="D40" s="19" t="s">
        <v>13</v>
      </c>
      <c r="E40" s="19">
        <v>4.0</v>
      </c>
      <c r="F40" s="19">
        <v>10.0</v>
      </c>
      <c r="G40" s="19">
        <v>7.0</v>
      </c>
      <c r="H40" s="19">
        <v>0.0</v>
      </c>
      <c r="I40" s="19">
        <v>6.0</v>
      </c>
      <c r="J40" s="19">
        <v>7.0</v>
      </c>
      <c r="K40" s="19">
        <v>1.0</v>
      </c>
      <c r="L40" s="19">
        <v>0.0</v>
      </c>
      <c r="M40" s="19">
        <v>2.0</v>
      </c>
      <c r="N40" s="19">
        <v>1.0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4.0</v>
      </c>
      <c r="U40" s="19">
        <v>3.0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3">
        <f t="shared" si="12"/>
        <v>50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5</v>
      </c>
      <c r="F41" s="13">
        <f t="shared" si="13"/>
        <v>11</v>
      </c>
      <c r="G41" s="13">
        <f t="shared" si="13"/>
        <v>7</v>
      </c>
      <c r="H41" s="13">
        <f t="shared" si="13"/>
        <v>0</v>
      </c>
      <c r="I41" s="13">
        <f t="shared" si="13"/>
        <v>9</v>
      </c>
      <c r="J41" s="13">
        <f t="shared" si="13"/>
        <v>8</v>
      </c>
      <c r="K41" s="13">
        <f t="shared" si="13"/>
        <v>1</v>
      </c>
      <c r="L41" s="13">
        <f t="shared" si="13"/>
        <v>0</v>
      </c>
      <c r="M41" s="13">
        <f t="shared" si="13"/>
        <v>2</v>
      </c>
      <c r="N41" s="13">
        <f t="shared" si="13"/>
        <v>2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5</v>
      </c>
      <c r="U41" s="13">
        <f t="shared" si="13"/>
        <v>4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61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13"/>
      <c r="T43" s="13"/>
      <c r="U43" s="13"/>
      <c r="V43" s="13"/>
      <c r="W43" s="77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19"/>
      <c r="T44" s="19"/>
      <c r="U44" s="19"/>
      <c r="V44" s="19"/>
      <c r="W44" s="75"/>
      <c r="X44" s="19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9.0</v>
      </c>
      <c r="G45" s="19">
        <v>7.0</v>
      </c>
      <c r="H45" s="19">
        <v>18.0</v>
      </c>
      <c r="I45" s="19">
        <v>6.0</v>
      </c>
      <c r="J45" s="19">
        <v>15.0</v>
      </c>
      <c r="K45" s="19">
        <v>17.0</v>
      </c>
      <c r="L45" s="19">
        <v>11.0</v>
      </c>
      <c r="M45" s="19">
        <v>1.0</v>
      </c>
      <c r="N45" s="19">
        <v>3.0</v>
      </c>
      <c r="O45" s="19">
        <v>9.0</v>
      </c>
      <c r="P45" s="19">
        <v>4.0</v>
      </c>
      <c r="Q45" s="19">
        <v>3.0</v>
      </c>
      <c r="R45" s="19">
        <v>7.0</v>
      </c>
      <c r="S45" s="19">
        <v>2.0</v>
      </c>
      <c r="T45" s="19">
        <v>4.0</v>
      </c>
      <c r="U45" s="19">
        <v>5.0</v>
      </c>
      <c r="V45" s="19">
        <v>15.0</v>
      </c>
      <c r="W45" s="19">
        <v>20.0</v>
      </c>
      <c r="X45" s="19">
        <v>16.0</v>
      </c>
      <c r="Y45" s="19">
        <v>16.0</v>
      </c>
      <c r="Z45" s="19">
        <v>9.0</v>
      </c>
      <c r="AA45" s="19">
        <v>5.0</v>
      </c>
      <c r="AB45" s="19">
        <v>7.0</v>
      </c>
      <c r="AC45" s="19">
        <v>13.0</v>
      </c>
      <c r="AD45" s="19">
        <v>5.0</v>
      </c>
      <c r="AE45" s="19">
        <v>5.0</v>
      </c>
      <c r="AF45" s="19">
        <v>2.0</v>
      </c>
      <c r="AG45" s="13">
        <f t="shared" ref="AG45:AG54" si="14">SUM(E45:AF45)</f>
        <v>239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28.0</v>
      </c>
      <c r="G46" s="19">
        <v>17.0</v>
      </c>
      <c r="H46" s="19">
        <v>19.0</v>
      </c>
      <c r="I46" s="19">
        <v>21.0</v>
      </c>
      <c r="J46" s="19">
        <v>26.0</v>
      </c>
      <c r="K46" s="19">
        <v>45.0</v>
      </c>
      <c r="L46" s="19">
        <v>7.0</v>
      </c>
      <c r="M46" s="19">
        <v>3.0</v>
      </c>
      <c r="N46" s="19">
        <v>13.0</v>
      </c>
      <c r="O46" s="19">
        <v>2.0</v>
      </c>
      <c r="P46" s="19">
        <v>5.0</v>
      </c>
      <c r="Q46" s="19">
        <v>3.0</v>
      </c>
      <c r="R46" s="19">
        <v>5.0</v>
      </c>
      <c r="S46" s="19">
        <v>3.0</v>
      </c>
      <c r="T46" s="19">
        <v>4.0</v>
      </c>
      <c r="U46" s="19">
        <v>4.0</v>
      </c>
      <c r="V46" s="19">
        <v>8.0</v>
      </c>
      <c r="W46" s="19">
        <v>18.0</v>
      </c>
      <c r="X46" s="19">
        <v>43.0</v>
      </c>
      <c r="Y46" s="19">
        <v>27.0</v>
      </c>
      <c r="Z46" s="19">
        <v>11.0</v>
      </c>
      <c r="AA46" s="19">
        <v>5.0</v>
      </c>
      <c r="AB46" s="19">
        <v>21.0</v>
      </c>
      <c r="AC46" s="19">
        <v>16.0</v>
      </c>
      <c r="AD46" s="19">
        <v>26.0</v>
      </c>
      <c r="AE46" s="19">
        <v>7.0</v>
      </c>
      <c r="AF46" s="19">
        <v>4.0</v>
      </c>
      <c r="AG46" s="13">
        <f t="shared" si="14"/>
        <v>408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9.0</v>
      </c>
      <c r="H47" s="19">
        <v>2.0</v>
      </c>
      <c r="I47" s="19">
        <v>1.0</v>
      </c>
      <c r="J47" s="19">
        <v>5.0</v>
      </c>
      <c r="K47" s="19">
        <v>3.0</v>
      </c>
      <c r="L47" s="19">
        <v>0.0</v>
      </c>
      <c r="M47" s="19">
        <v>0.0</v>
      </c>
      <c r="N47" s="19">
        <v>3.0</v>
      </c>
      <c r="O47" s="19">
        <v>0.0</v>
      </c>
      <c r="P47" s="19">
        <v>0.0</v>
      </c>
      <c r="Q47" s="19">
        <v>2.0</v>
      </c>
      <c r="R47" s="19">
        <v>1.0</v>
      </c>
      <c r="S47" s="19">
        <v>2.0</v>
      </c>
      <c r="T47" s="19">
        <v>0.0</v>
      </c>
      <c r="U47" s="19">
        <v>1.0</v>
      </c>
      <c r="V47" s="19">
        <v>0.0</v>
      </c>
      <c r="W47" s="19">
        <v>2.0</v>
      </c>
      <c r="X47" s="19">
        <v>4.0</v>
      </c>
      <c r="Y47" s="19">
        <v>5.0</v>
      </c>
      <c r="Z47" s="19">
        <v>3.0</v>
      </c>
      <c r="AA47" s="19">
        <v>4.0</v>
      </c>
      <c r="AB47" s="19">
        <v>4.0</v>
      </c>
      <c r="AC47" s="19">
        <v>32.0</v>
      </c>
      <c r="AD47" s="19">
        <v>16.0</v>
      </c>
      <c r="AE47" s="19">
        <v>0.0</v>
      </c>
      <c r="AF47" s="19">
        <v>1.0</v>
      </c>
      <c r="AG47" s="13">
        <f t="shared" si="14"/>
        <v>102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0.0</v>
      </c>
      <c r="K48" s="19">
        <v>1.0</v>
      </c>
      <c r="L48" s="19">
        <v>1.0</v>
      </c>
      <c r="M48" s="19">
        <v>1.0</v>
      </c>
      <c r="N48" s="19">
        <v>1.0</v>
      </c>
      <c r="O48" s="19">
        <v>0.0</v>
      </c>
      <c r="P48" s="19">
        <v>3.0</v>
      </c>
      <c r="Q48" s="19">
        <v>1.0</v>
      </c>
      <c r="R48" s="19">
        <v>0.0</v>
      </c>
      <c r="S48" s="19">
        <v>0.0</v>
      </c>
      <c r="T48" s="19">
        <v>0.0</v>
      </c>
      <c r="U48" s="19">
        <v>2.0</v>
      </c>
      <c r="V48" s="19">
        <v>0.0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9">
        <v>1.0</v>
      </c>
      <c r="AC48" s="19">
        <v>1.0</v>
      </c>
      <c r="AD48" s="19">
        <v>1.0</v>
      </c>
      <c r="AE48" s="19">
        <v>0.0</v>
      </c>
      <c r="AF48" s="19">
        <v>0.0</v>
      </c>
      <c r="AG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1.0</v>
      </c>
      <c r="J49" s="19">
        <v>2.0</v>
      </c>
      <c r="K49" s="19">
        <v>0.0</v>
      </c>
      <c r="L49" s="19">
        <v>0.0</v>
      </c>
      <c r="M49" s="19">
        <v>1.0</v>
      </c>
      <c r="N49" s="19">
        <v>0.0</v>
      </c>
      <c r="O49" s="19">
        <v>1.0</v>
      </c>
      <c r="P49" s="19">
        <v>1.0</v>
      </c>
      <c r="Q49" s="19">
        <v>1.0</v>
      </c>
      <c r="R49" s="19">
        <v>0.0</v>
      </c>
      <c r="S49" s="19">
        <v>0.0</v>
      </c>
      <c r="T49" s="19">
        <v>1.0</v>
      </c>
      <c r="U49" s="19">
        <v>2.0</v>
      </c>
      <c r="V49" s="19">
        <v>0.0</v>
      </c>
      <c r="W49" s="19">
        <v>0.0</v>
      </c>
      <c r="X49" s="19">
        <v>2.0</v>
      </c>
      <c r="Y49" s="19">
        <v>0.0</v>
      </c>
      <c r="Z49" s="19">
        <v>0.0</v>
      </c>
      <c r="AA49" s="19">
        <v>0.0</v>
      </c>
      <c r="AB49" s="19">
        <v>1.0</v>
      </c>
      <c r="AC49" s="19">
        <v>3.0</v>
      </c>
      <c r="AD49" s="19">
        <v>0.0</v>
      </c>
      <c r="AE49" s="19">
        <v>0.0</v>
      </c>
      <c r="AF49" s="19">
        <v>0.0</v>
      </c>
      <c r="AG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3.0</v>
      </c>
      <c r="I50" s="19">
        <v>0.0</v>
      </c>
      <c r="J50" s="19">
        <v>0.0</v>
      </c>
      <c r="K50" s="19">
        <v>0.0</v>
      </c>
      <c r="L50" s="19">
        <v>3.0</v>
      </c>
      <c r="M50" s="19">
        <v>2.0</v>
      </c>
      <c r="N50" s="19">
        <v>0.0</v>
      </c>
      <c r="O50" s="19">
        <v>1.0</v>
      </c>
      <c r="P50" s="19">
        <v>0.0</v>
      </c>
      <c r="Q50" s="19">
        <v>1.0</v>
      </c>
      <c r="R50" s="19">
        <v>1.0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2.0</v>
      </c>
      <c r="AA50" s="19">
        <v>0.0</v>
      </c>
      <c r="AB50" s="19">
        <v>2.0</v>
      </c>
      <c r="AC50" s="19">
        <v>0.0</v>
      </c>
      <c r="AD50" s="19">
        <v>0.0</v>
      </c>
      <c r="AE50" s="19">
        <v>0.0</v>
      </c>
      <c r="AF50" s="19">
        <v>0.0</v>
      </c>
      <c r="AG50" s="13">
        <f t="shared" si="14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2.0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1.0</v>
      </c>
      <c r="N51" s="19">
        <v>0.0</v>
      </c>
      <c r="O51" s="19">
        <v>2.0</v>
      </c>
      <c r="P51" s="19">
        <v>2.0</v>
      </c>
      <c r="Q51" s="19">
        <v>0.0</v>
      </c>
      <c r="R51" s="19">
        <v>0.0</v>
      </c>
      <c r="S51" s="19">
        <v>3.0</v>
      </c>
      <c r="T51" s="19">
        <v>0.0</v>
      </c>
      <c r="U51" s="19">
        <v>0.0</v>
      </c>
      <c r="V51" s="19">
        <v>4.0</v>
      </c>
      <c r="W51" s="19">
        <v>2.0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3">
        <f t="shared" si="14"/>
        <v>18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1.0</v>
      </c>
      <c r="AC52" s="19">
        <v>0.0</v>
      </c>
      <c r="AD52" s="19">
        <v>0.0</v>
      </c>
      <c r="AE52" s="19">
        <v>0.0</v>
      </c>
      <c r="AF52" s="19">
        <v>0.0</v>
      </c>
      <c r="AG52" s="13">
        <f t="shared" si="14"/>
        <v>3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G55" si="15">SUM(E45:E54)</f>
        <v>23</v>
      </c>
      <c r="F55" s="13">
        <f t="shared" si="15"/>
        <v>38</v>
      </c>
      <c r="G55" s="13">
        <f t="shared" si="15"/>
        <v>36</v>
      </c>
      <c r="H55" s="13">
        <f t="shared" si="15"/>
        <v>42</v>
      </c>
      <c r="I55" s="13">
        <f t="shared" si="15"/>
        <v>30</v>
      </c>
      <c r="J55" s="13">
        <f t="shared" si="15"/>
        <v>49</v>
      </c>
      <c r="K55" s="13">
        <f t="shared" si="15"/>
        <v>66</v>
      </c>
      <c r="L55" s="13">
        <f t="shared" si="15"/>
        <v>23</v>
      </c>
      <c r="M55" s="13">
        <f t="shared" si="15"/>
        <v>9</v>
      </c>
      <c r="N55" s="13">
        <f t="shared" si="15"/>
        <v>20</v>
      </c>
      <c r="O55" s="13">
        <f t="shared" si="15"/>
        <v>15</v>
      </c>
      <c r="P55" s="13">
        <f t="shared" si="15"/>
        <v>15</v>
      </c>
      <c r="Q55" s="13">
        <f t="shared" si="15"/>
        <v>11</v>
      </c>
      <c r="R55" s="13">
        <f t="shared" si="15"/>
        <v>14</v>
      </c>
      <c r="S55" s="13">
        <f t="shared" si="15"/>
        <v>11</v>
      </c>
      <c r="T55" s="13">
        <f t="shared" si="15"/>
        <v>9</v>
      </c>
      <c r="U55" s="13">
        <f t="shared" si="15"/>
        <v>14</v>
      </c>
      <c r="V55" s="13">
        <f t="shared" si="15"/>
        <v>28</v>
      </c>
      <c r="W55" s="13">
        <f t="shared" si="15"/>
        <v>42</v>
      </c>
      <c r="X55" s="13">
        <f t="shared" si="15"/>
        <v>67</v>
      </c>
      <c r="Y55" s="13">
        <f t="shared" si="15"/>
        <v>49</v>
      </c>
      <c r="Z55" s="13">
        <f t="shared" si="15"/>
        <v>25</v>
      </c>
      <c r="AA55" s="13">
        <f t="shared" si="15"/>
        <v>14</v>
      </c>
      <c r="AB55" s="13">
        <f t="shared" si="15"/>
        <v>37</v>
      </c>
      <c r="AC55" s="13">
        <f t="shared" si="15"/>
        <v>65</v>
      </c>
      <c r="AD55" s="13">
        <f t="shared" si="15"/>
        <v>48</v>
      </c>
      <c r="AE55" s="13">
        <f t="shared" si="15"/>
        <v>12</v>
      </c>
      <c r="AF55" s="13">
        <f t="shared" si="15"/>
        <v>7</v>
      </c>
      <c r="AG55" s="13">
        <f t="shared" si="15"/>
        <v>819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15.0</v>
      </c>
      <c r="G57" s="19">
        <v>17.0</v>
      </c>
      <c r="H57" s="19">
        <v>15.0</v>
      </c>
      <c r="I57" s="19">
        <v>20.0</v>
      </c>
      <c r="J57" s="19">
        <v>20.0</v>
      </c>
      <c r="K57" s="19">
        <v>11.0</v>
      </c>
      <c r="L57" s="19">
        <v>14.0</v>
      </c>
      <c r="M57" s="19">
        <v>14.0</v>
      </c>
      <c r="N57" s="19">
        <v>10.0</v>
      </c>
      <c r="O57" s="19">
        <v>10.0</v>
      </c>
      <c r="P57" s="19">
        <v>13.0</v>
      </c>
      <c r="Q57" s="19">
        <v>9.0</v>
      </c>
      <c r="R57" s="19">
        <v>12.0</v>
      </c>
      <c r="S57" s="19">
        <v>13.0</v>
      </c>
      <c r="T57" s="19">
        <v>17.0</v>
      </c>
      <c r="U57" s="19">
        <v>4.0</v>
      </c>
      <c r="V57" s="19">
        <v>12.0</v>
      </c>
      <c r="W57" s="19">
        <v>13.0</v>
      </c>
      <c r="X57" s="19">
        <v>19.0</v>
      </c>
      <c r="Y57" s="19">
        <v>21.0</v>
      </c>
      <c r="Z57" s="19">
        <v>9.0</v>
      </c>
      <c r="AA57" s="19">
        <v>18.0</v>
      </c>
      <c r="AB57" s="19">
        <v>7.0</v>
      </c>
      <c r="AC57" s="19">
        <v>16.0</v>
      </c>
      <c r="AD57" s="19">
        <v>8.0</v>
      </c>
      <c r="AE57" s="19">
        <v>6.0</v>
      </c>
      <c r="AF57" s="19">
        <v>23.0</v>
      </c>
      <c r="AG57" s="13">
        <f t="shared" ref="AG57:AG66" si="16">SUM(E57:AF57)</f>
        <v>371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10.0</v>
      </c>
      <c r="F58" s="19">
        <v>14.0</v>
      </c>
      <c r="G58" s="19">
        <v>16.0</v>
      </c>
      <c r="H58" s="19">
        <v>7.0</v>
      </c>
      <c r="I58" s="19">
        <v>16.0</v>
      </c>
      <c r="J58" s="19">
        <v>15.0</v>
      </c>
      <c r="K58" s="19">
        <v>7.0</v>
      </c>
      <c r="L58" s="19">
        <v>9.0</v>
      </c>
      <c r="M58" s="19">
        <v>9.0</v>
      </c>
      <c r="N58" s="19">
        <v>12.0</v>
      </c>
      <c r="O58" s="19">
        <v>5.0</v>
      </c>
      <c r="P58" s="19">
        <v>6.0</v>
      </c>
      <c r="Q58" s="19">
        <v>3.0</v>
      </c>
      <c r="R58" s="19">
        <v>11.0</v>
      </c>
      <c r="S58" s="19">
        <v>12.0</v>
      </c>
      <c r="T58" s="19">
        <v>81.0</v>
      </c>
      <c r="U58" s="19">
        <v>3.0</v>
      </c>
      <c r="V58" s="19">
        <v>19.0</v>
      </c>
      <c r="W58" s="19">
        <v>12.0</v>
      </c>
      <c r="X58" s="19">
        <v>17.0</v>
      </c>
      <c r="Y58" s="19">
        <v>10.0</v>
      </c>
      <c r="Z58" s="19">
        <v>7.0</v>
      </c>
      <c r="AA58" s="19">
        <v>10.0</v>
      </c>
      <c r="AB58" s="19">
        <v>24.0</v>
      </c>
      <c r="AC58" s="19">
        <v>16.0</v>
      </c>
      <c r="AD58" s="19">
        <v>10.0</v>
      </c>
      <c r="AE58" s="19">
        <v>5.0</v>
      </c>
      <c r="AF58" s="19">
        <v>18.0</v>
      </c>
      <c r="AG58" s="13">
        <f t="shared" si="16"/>
        <v>384</v>
      </c>
    </row>
    <row r="59" ht="12.75" customHeight="1">
      <c r="A59" s="18"/>
      <c r="B59" s="55">
        <v>2.0</v>
      </c>
      <c r="C59" s="50" t="s">
        <v>50</v>
      </c>
      <c r="D59" s="61"/>
      <c r="E59" s="19">
        <v>6.0</v>
      </c>
      <c r="F59" s="19">
        <v>4.0</v>
      </c>
      <c r="G59" s="19">
        <v>20.0</v>
      </c>
      <c r="H59" s="19">
        <v>19.0</v>
      </c>
      <c r="I59" s="19">
        <v>8.0</v>
      </c>
      <c r="J59" s="19">
        <v>9.0</v>
      </c>
      <c r="K59" s="19">
        <v>7.0</v>
      </c>
      <c r="L59" s="19">
        <v>13.0</v>
      </c>
      <c r="M59" s="19">
        <v>2.0</v>
      </c>
      <c r="N59" s="19">
        <v>10.0</v>
      </c>
      <c r="O59" s="19">
        <v>13.0</v>
      </c>
      <c r="P59" s="19">
        <v>23.0</v>
      </c>
      <c r="Q59" s="19">
        <v>14.0</v>
      </c>
      <c r="R59" s="19">
        <v>11.0</v>
      </c>
      <c r="S59" s="19">
        <v>8.0</v>
      </c>
      <c r="T59" s="19">
        <v>9.0</v>
      </c>
      <c r="U59" s="19">
        <v>3.0</v>
      </c>
      <c r="V59" s="19">
        <v>9.0</v>
      </c>
      <c r="W59" s="19">
        <v>44.0</v>
      </c>
      <c r="X59" s="19">
        <v>19.0</v>
      </c>
      <c r="Y59" s="19">
        <v>17.0</v>
      </c>
      <c r="Z59" s="19">
        <v>23.0</v>
      </c>
      <c r="AA59" s="19">
        <v>18.0</v>
      </c>
      <c r="AB59" s="19">
        <v>18.0</v>
      </c>
      <c r="AC59" s="19">
        <v>28.0</v>
      </c>
      <c r="AD59" s="19">
        <v>10.0</v>
      </c>
      <c r="AE59" s="19">
        <v>5.0</v>
      </c>
      <c r="AF59" s="19">
        <v>16.0</v>
      </c>
      <c r="AG59" s="13">
        <f t="shared" si="16"/>
        <v>386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3.0</v>
      </c>
      <c r="G60" s="19">
        <v>4.0</v>
      </c>
      <c r="H60" s="19">
        <v>0.0</v>
      </c>
      <c r="I60" s="19">
        <v>1.0</v>
      </c>
      <c r="J60" s="19">
        <v>1.0</v>
      </c>
      <c r="K60" s="19">
        <v>1.0</v>
      </c>
      <c r="L60" s="19">
        <v>1.0</v>
      </c>
      <c r="M60" s="19">
        <v>1.0</v>
      </c>
      <c r="N60" s="19">
        <v>3.0</v>
      </c>
      <c r="O60" s="19">
        <v>0.0</v>
      </c>
      <c r="P60" s="19">
        <v>1.0</v>
      </c>
      <c r="Q60" s="19">
        <v>0.0</v>
      </c>
      <c r="R60" s="19">
        <v>2.0</v>
      </c>
      <c r="S60" s="19">
        <v>1.0</v>
      </c>
      <c r="T60" s="19">
        <v>0.0</v>
      </c>
      <c r="U60" s="19">
        <v>0.0</v>
      </c>
      <c r="V60" s="19">
        <v>2.0</v>
      </c>
      <c r="W60" s="19">
        <v>1.0</v>
      </c>
      <c r="X60" s="19">
        <v>0.0</v>
      </c>
      <c r="Y60" s="19">
        <v>3.0</v>
      </c>
      <c r="Z60" s="19">
        <v>0.0</v>
      </c>
      <c r="AA60" s="19">
        <v>1.0</v>
      </c>
      <c r="AB60" s="19">
        <v>0.0</v>
      </c>
      <c r="AC60" s="19">
        <v>2.0</v>
      </c>
      <c r="AD60" s="19">
        <v>1.0</v>
      </c>
      <c r="AE60" s="19">
        <v>0.0</v>
      </c>
      <c r="AF60" s="19">
        <v>5.0</v>
      </c>
      <c r="AG60" s="13">
        <f t="shared" si="16"/>
        <v>35</v>
      </c>
    </row>
    <row r="61" ht="12.75" customHeight="1">
      <c r="A61" s="18"/>
      <c r="B61" s="55">
        <v>4.0</v>
      </c>
      <c r="C61" s="50" t="s">
        <v>52</v>
      </c>
      <c r="D61" s="61"/>
      <c r="E61" s="19">
        <v>0.0</v>
      </c>
      <c r="F61" s="19">
        <v>4.0</v>
      </c>
      <c r="G61" s="19">
        <v>4.0</v>
      </c>
      <c r="H61" s="19">
        <v>8.0</v>
      </c>
      <c r="I61" s="19">
        <v>5.0</v>
      </c>
      <c r="J61" s="19">
        <v>1.0</v>
      </c>
      <c r="K61" s="19">
        <v>3.0</v>
      </c>
      <c r="L61" s="19">
        <v>1.0</v>
      </c>
      <c r="M61" s="19">
        <v>3.0</v>
      </c>
      <c r="N61" s="19">
        <v>1.0</v>
      </c>
      <c r="O61" s="19">
        <v>2.0</v>
      </c>
      <c r="P61" s="19">
        <v>1.0</v>
      </c>
      <c r="Q61" s="19">
        <v>1.0</v>
      </c>
      <c r="R61" s="19">
        <v>5.0</v>
      </c>
      <c r="S61" s="19">
        <v>2.0</v>
      </c>
      <c r="T61" s="19">
        <v>3.0</v>
      </c>
      <c r="U61" s="19">
        <v>2.0</v>
      </c>
      <c r="V61" s="19">
        <v>3.0</v>
      </c>
      <c r="W61" s="19">
        <v>1.0</v>
      </c>
      <c r="X61" s="19">
        <v>1.0</v>
      </c>
      <c r="Y61" s="19">
        <v>0.0</v>
      </c>
      <c r="Z61" s="19">
        <v>0.0</v>
      </c>
      <c r="AA61" s="19">
        <v>1.0</v>
      </c>
      <c r="AB61" s="19">
        <v>0.0</v>
      </c>
      <c r="AC61" s="19">
        <v>3.0</v>
      </c>
      <c r="AD61" s="19">
        <v>2.0</v>
      </c>
      <c r="AE61" s="19">
        <v>4.0</v>
      </c>
      <c r="AF61" s="19">
        <v>1.0</v>
      </c>
      <c r="AG61" s="13">
        <f t="shared" si="16"/>
        <v>62</v>
      </c>
    </row>
    <row r="62" ht="12.75" customHeight="1">
      <c r="A62" s="18"/>
      <c r="B62" s="55">
        <v>5.0</v>
      </c>
      <c r="C62" s="50" t="s">
        <v>53</v>
      </c>
      <c r="D62" s="61"/>
      <c r="E62" s="19">
        <v>0.0</v>
      </c>
      <c r="F62" s="19">
        <v>1.0</v>
      </c>
      <c r="G62" s="19">
        <v>0.0</v>
      </c>
      <c r="H62" s="19">
        <v>0.0</v>
      </c>
      <c r="I62" s="19">
        <v>2.0</v>
      </c>
      <c r="J62" s="19">
        <v>1.0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9">
        <v>3.0</v>
      </c>
      <c r="W62" s="19">
        <v>0.0</v>
      </c>
      <c r="X62" s="19">
        <v>0.0</v>
      </c>
      <c r="Y62" s="19">
        <v>1.0</v>
      </c>
      <c r="Z62" s="19">
        <v>0.0</v>
      </c>
      <c r="AA62" s="19">
        <v>1.0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62"/>
      <c r="E63" s="19">
        <v>0.0</v>
      </c>
      <c r="F63" s="19">
        <v>1.0</v>
      </c>
      <c r="G63" s="19">
        <v>2.0</v>
      </c>
      <c r="H63" s="19">
        <v>1.0</v>
      </c>
      <c r="I63" s="19">
        <v>1.0</v>
      </c>
      <c r="J63" s="19">
        <v>0.0</v>
      </c>
      <c r="K63" s="19">
        <v>0.0</v>
      </c>
      <c r="L63" s="19">
        <v>0.0</v>
      </c>
      <c r="M63" s="19">
        <v>1.0</v>
      </c>
      <c r="N63" s="19">
        <v>2.0</v>
      </c>
      <c r="O63" s="19">
        <v>2.0</v>
      </c>
      <c r="P63" s="19">
        <v>0.0</v>
      </c>
      <c r="Q63" s="19">
        <v>1.0</v>
      </c>
      <c r="R63" s="19">
        <v>0.0</v>
      </c>
      <c r="S63" s="19">
        <v>1.0</v>
      </c>
      <c r="T63" s="19">
        <v>3.0</v>
      </c>
      <c r="U63" s="19">
        <v>1.0</v>
      </c>
      <c r="V63" s="19">
        <v>1.0</v>
      </c>
      <c r="W63" s="19">
        <v>1.0</v>
      </c>
      <c r="X63" s="19">
        <v>1.0</v>
      </c>
      <c r="Y63" s="19">
        <v>1.0</v>
      </c>
      <c r="Z63" s="19">
        <v>0.0</v>
      </c>
      <c r="AA63" s="19">
        <v>1.0</v>
      </c>
      <c r="AB63" s="19">
        <v>0.0</v>
      </c>
      <c r="AC63" s="19">
        <v>1.0</v>
      </c>
      <c r="AD63" s="19">
        <v>1.0</v>
      </c>
      <c r="AE63" s="19">
        <v>0.0</v>
      </c>
      <c r="AF63" s="19">
        <v>0.0</v>
      </c>
      <c r="AG63" s="13">
        <f t="shared" si="16"/>
        <v>23</v>
      </c>
    </row>
    <row r="64" ht="12.75" customHeight="1">
      <c r="A64" s="18"/>
      <c r="B64" s="55">
        <v>7.0</v>
      </c>
      <c r="C64" s="50" t="s">
        <v>55</v>
      </c>
      <c r="D64" s="61"/>
      <c r="E64" s="19">
        <v>0.0</v>
      </c>
      <c r="F64" s="19">
        <v>2.0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2.0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2.0</v>
      </c>
      <c r="AC64" s="19">
        <v>0.0</v>
      </c>
      <c r="AD64" s="19">
        <v>1.0</v>
      </c>
      <c r="AE64" s="19">
        <v>0.0</v>
      </c>
      <c r="AF64" s="19">
        <v>0.0</v>
      </c>
      <c r="AG64" s="13">
        <f t="shared" si="16"/>
        <v>9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G67" si="17">SUM(E57:E66)</f>
        <v>22</v>
      </c>
      <c r="F67" s="13">
        <f t="shared" si="17"/>
        <v>44</v>
      </c>
      <c r="G67" s="13">
        <f t="shared" si="17"/>
        <v>63</v>
      </c>
      <c r="H67" s="13">
        <f t="shared" si="17"/>
        <v>50</v>
      </c>
      <c r="I67" s="13">
        <f t="shared" si="17"/>
        <v>53</v>
      </c>
      <c r="J67" s="13">
        <f t="shared" si="17"/>
        <v>47</v>
      </c>
      <c r="K67" s="13">
        <f t="shared" si="17"/>
        <v>29</v>
      </c>
      <c r="L67" s="13">
        <f t="shared" si="17"/>
        <v>39</v>
      </c>
      <c r="M67" s="13">
        <f t="shared" si="17"/>
        <v>30</v>
      </c>
      <c r="N67" s="13">
        <f t="shared" si="17"/>
        <v>39</v>
      </c>
      <c r="O67" s="13">
        <f t="shared" si="17"/>
        <v>34</v>
      </c>
      <c r="P67" s="13">
        <f t="shared" si="17"/>
        <v>45</v>
      </c>
      <c r="Q67" s="13">
        <f t="shared" si="17"/>
        <v>28</v>
      </c>
      <c r="R67" s="13">
        <f t="shared" si="17"/>
        <v>41</v>
      </c>
      <c r="S67" s="13">
        <f t="shared" si="17"/>
        <v>38</v>
      </c>
      <c r="T67" s="13">
        <f t="shared" si="17"/>
        <v>113</v>
      </c>
      <c r="U67" s="13">
        <f t="shared" si="17"/>
        <v>13</v>
      </c>
      <c r="V67" s="13">
        <f t="shared" si="17"/>
        <v>50</v>
      </c>
      <c r="W67" s="13">
        <f t="shared" si="17"/>
        <v>72</v>
      </c>
      <c r="X67" s="13">
        <f t="shared" si="17"/>
        <v>57</v>
      </c>
      <c r="Y67" s="13">
        <f t="shared" si="17"/>
        <v>53</v>
      </c>
      <c r="Z67" s="13">
        <f t="shared" si="17"/>
        <v>39</v>
      </c>
      <c r="AA67" s="13">
        <f t="shared" si="17"/>
        <v>50</v>
      </c>
      <c r="AB67" s="13">
        <f t="shared" si="17"/>
        <v>51</v>
      </c>
      <c r="AC67" s="13">
        <f t="shared" si="17"/>
        <v>66</v>
      </c>
      <c r="AD67" s="13">
        <f t="shared" si="17"/>
        <v>33</v>
      </c>
      <c r="AE67" s="13">
        <f t="shared" si="17"/>
        <v>20</v>
      </c>
      <c r="AF67" s="13">
        <f t="shared" si="17"/>
        <v>63</v>
      </c>
      <c r="AG67" s="13">
        <f t="shared" si="17"/>
        <v>1282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5.0</v>
      </c>
      <c r="G69" s="19">
        <v>8.0</v>
      </c>
      <c r="H69" s="19">
        <v>5.0</v>
      </c>
      <c r="I69" s="19">
        <v>7.0</v>
      </c>
      <c r="J69" s="19">
        <v>7.0</v>
      </c>
      <c r="K69" s="19">
        <v>1.0</v>
      </c>
      <c r="L69" s="19">
        <v>8.0</v>
      </c>
      <c r="M69" s="19">
        <v>11.0</v>
      </c>
      <c r="N69" s="19">
        <v>17.0</v>
      </c>
      <c r="O69" s="19">
        <v>13.0</v>
      </c>
      <c r="P69" s="19">
        <v>13.0</v>
      </c>
      <c r="Q69" s="19">
        <v>15.0</v>
      </c>
      <c r="R69" s="19">
        <v>8.0</v>
      </c>
      <c r="S69" s="19">
        <v>5.0</v>
      </c>
      <c r="T69" s="19">
        <v>2.0</v>
      </c>
      <c r="U69" s="19">
        <v>1.0</v>
      </c>
      <c r="V69" s="19">
        <v>3.0</v>
      </c>
      <c r="W69" s="19">
        <v>2.0</v>
      </c>
      <c r="X69" s="19">
        <v>6.0</v>
      </c>
      <c r="Y69" s="19">
        <v>7.0</v>
      </c>
      <c r="Z69" s="19">
        <v>3.0</v>
      </c>
      <c r="AA69" s="19">
        <v>3.0</v>
      </c>
      <c r="AB69" s="19">
        <v>1.0</v>
      </c>
      <c r="AC69" s="19">
        <v>4.0</v>
      </c>
      <c r="AD69" s="19">
        <v>8.0</v>
      </c>
      <c r="AE69" s="19">
        <v>2.0</v>
      </c>
      <c r="AF69" s="19">
        <v>5.0</v>
      </c>
      <c r="AG69" s="13">
        <f t="shared" ref="AG69:AG78" si="18">SUM(E69:AF69)</f>
        <v>178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28.0</v>
      </c>
      <c r="F70" s="19">
        <v>10.0</v>
      </c>
      <c r="G70" s="19">
        <v>12.0</v>
      </c>
      <c r="H70" s="19">
        <v>9.0</v>
      </c>
      <c r="I70" s="19">
        <v>6.0</v>
      </c>
      <c r="J70" s="19">
        <v>6.0</v>
      </c>
      <c r="K70" s="19">
        <v>5.0</v>
      </c>
      <c r="L70" s="19">
        <v>5.0</v>
      </c>
      <c r="M70" s="19">
        <v>13.0</v>
      </c>
      <c r="N70" s="19">
        <v>14.0</v>
      </c>
      <c r="O70" s="19">
        <v>19.0</v>
      </c>
      <c r="P70" s="19">
        <v>21.0</v>
      </c>
      <c r="Q70" s="19">
        <v>57.0</v>
      </c>
      <c r="R70" s="19">
        <v>4.0</v>
      </c>
      <c r="S70" s="19">
        <v>2.0</v>
      </c>
      <c r="T70" s="19">
        <v>7.0</v>
      </c>
      <c r="U70" s="19">
        <v>6.0</v>
      </c>
      <c r="V70" s="19">
        <v>4.0</v>
      </c>
      <c r="W70" s="19">
        <v>0.0</v>
      </c>
      <c r="X70" s="19">
        <v>9.0</v>
      </c>
      <c r="Y70" s="19">
        <v>2.0</v>
      </c>
      <c r="Z70" s="19">
        <v>5.0</v>
      </c>
      <c r="AA70" s="19">
        <v>6.0</v>
      </c>
      <c r="AB70" s="19">
        <v>8.0</v>
      </c>
      <c r="AC70" s="19">
        <v>7.0</v>
      </c>
      <c r="AD70" s="19">
        <v>7.0</v>
      </c>
      <c r="AE70" s="19">
        <v>1.0</v>
      </c>
      <c r="AF70" s="19">
        <v>8.0</v>
      </c>
      <c r="AG70" s="13">
        <f t="shared" si="18"/>
        <v>281</v>
      </c>
    </row>
    <row r="71" ht="12.75" customHeight="1">
      <c r="A71" s="18"/>
      <c r="B71" s="55">
        <v>2.0</v>
      </c>
      <c r="C71" s="50" t="s">
        <v>58</v>
      </c>
      <c r="D71" s="62"/>
      <c r="E71" s="19">
        <v>0.0</v>
      </c>
      <c r="F71" s="19">
        <v>0.0</v>
      </c>
      <c r="G71" s="19">
        <v>1.0</v>
      </c>
      <c r="H71" s="19">
        <v>0.0</v>
      </c>
      <c r="I71" s="19">
        <v>0.0</v>
      </c>
      <c r="J71" s="19">
        <v>1.0</v>
      </c>
      <c r="K71" s="19">
        <v>0.0</v>
      </c>
      <c r="L71" s="19">
        <v>3.0</v>
      </c>
      <c r="M71" s="19">
        <v>7.0</v>
      </c>
      <c r="N71" s="19">
        <v>3.0</v>
      </c>
      <c r="O71" s="19">
        <v>3.0</v>
      </c>
      <c r="P71" s="19">
        <v>1.0</v>
      </c>
      <c r="Q71" s="19">
        <v>0.0</v>
      </c>
      <c r="R71" s="19">
        <v>0.0</v>
      </c>
      <c r="S71" s="19">
        <v>0.0</v>
      </c>
      <c r="T71" s="19">
        <v>0.0</v>
      </c>
      <c r="U71" s="19">
        <v>1.0</v>
      </c>
      <c r="V71" s="19">
        <v>0.0</v>
      </c>
      <c r="W71" s="19">
        <v>0.0</v>
      </c>
      <c r="X71" s="19">
        <v>1.0</v>
      </c>
      <c r="Y71" s="19">
        <v>1.0</v>
      </c>
      <c r="Z71" s="19">
        <v>0.0</v>
      </c>
      <c r="AA71" s="19">
        <v>1.0</v>
      </c>
      <c r="AB71" s="19">
        <v>0.0</v>
      </c>
      <c r="AC71" s="19">
        <v>4.0</v>
      </c>
      <c r="AD71" s="19">
        <v>2.0</v>
      </c>
      <c r="AE71" s="19">
        <v>1.0</v>
      </c>
      <c r="AF71" s="19">
        <v>7.0</v>
      </c>
      <c r="AG71" s="13">
        <f t="shared" si="18"/>
        <v>37</v>
      </c>
    </row>
    <row r="72" ht="12.75" customHeight="1">
      <c r="A72" s="18"/>
      <c r="B72" s="55">
        <v>3.0</v>
      </c>
      <c r="C72" s="50" t="s">
        <v>59</v>
      </c>
      <c r="D72" s="62"/>
      <c r="E72" s="19">
        <v>2.0</v>
      </c>
      <c r="F72" s="19">
        <v>4.0</v>
      </c>
      <c r="G72" s="19">
        <v>0.0</v>
      </c>
      <c r="H72" s="19">
        <v>0.0</v>
      </c>
      <c r="I72" s="19">
        <v>0.0</v>
      </c>
      <c r="J72" s="19">
        <v>1.0</v>
      </c>
      <c r="K72" s="19">
        <v>0.0</v>
      </c>
      <c r="L72" s="19">
        <v>2.0</v>
      </c>
      <c r="M72" s="19">
        <v>37.0</v>
      </c>
      <c r="N72" s="19">
        <v>2.0</v>
      </c>
      <c r="O72" s="19">
        <v>1.0</v>
      </c>
      <c r="P72" s="19">
        <v>6.0</v>
      </c>
      <c r="Q72" s="19">
        <v>33.0</v>
      </c>
      <c r="R72" s="19">
        <v>19.0</v>
      </c>
      <c r="S72" s="19">
        <v>1.0</v>
      </c>
      <c r="T72" s="19">
        <v>4.0</v>
      </c>
      <c r="U72" s="19">
        <v>0.0</v>
      </c>
      <c r="V72" s="19">
        <v>1.0</v>
      </c>
      <c r="W72" s="19">
        <v>0.0</v>
      </c>
      <c r="X72" s="19">
        <v>3.0</v>
      </c>
      <c r="Y72" s="19">
        <v>0.0</v>
      </c>
      <c r="Z72" s="19">
        <v>4.0</v>
      </c>
      <c r="AA72" s="19">
        <v>2.0</v>
      </c>
      <c r="AB72" s="19">
        <v>1.0</v>
      </c>
      <c r="AC72" s="19">
        <v>0.0</v>
      </c>
      <c r="AD72" s="19">
        <v>2.0</v>
      </c>
      <c r="AE72" s="19">
        <v>0.0</v>
      </c>
      <c r="AF72" s="19">
        <v>2.0</v>
      </c>
      <c r="AG72" s="13">
        <f t="shared" si="18"/>
        <v>127</v>
      </c>
    </row>
    <row r="73" ht="12.75" customHeight="1">
      <c r="A73" s="18"/>
      <c r="B73" s="55">
        <v>4.0</v>
      </c>
      <c r="C73" s="50" t="s">
        <v>60</v>
      </c>
      <c r="D73" s="62"/>
      <c r="E73" s="19">
        <v>1.0</v>
      </c>
      <c r="F73" s="19">
        <v>0.0</v>
      </c>
      <c r="G73" s="19">
        <v>2.0</v>
      </c>
      <c r="H73" s="19">
        <v>1.0</v>
      </c>
      <c r="I73" s="19">
        <v>2.0</v>
      </c>
      <c r="J73" s="19">
        <v>4.0</v>
      </c>
      <c r="K73" s="19">
        <v>0.0</v>
      </c>
      <c r="L73" s="19">
        <v>2.0</v>
      </c>
      <c r="M73" s="19">
        <v>1.0</v>
      </c>
      <c r="N73" s="19">
        <v>6.0</v>
      </c>
      <c r="O73" s="19">
        <v>6.0</v>
      </c>
      <c r="P73" s="19">
        <v>1.0</v>
      </c>
      <c r="Q73" s="19">
        <v>1.0</v>
      </c>
      <c r="R73" s="19">
        <v>1.0</v>
      </c>
      <c r="S73" s="19">
        <v>3.0</v>
      </c>
      <c r="T73" s="19">
        <v>1.0</v>
      </c>
      <c r="U73" s="19">
        <v>0.0</v>
      </c>
      <c r="V73" s="19">
        <v>0.0</v>
      </c>
      <c r="W73" s="19">
        <v>3.0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19">
        <v>2.0</v>
      </c>
      <c r="AG73" s="13">
        <f t="shared" si="18"/>
        <v>37</v>
      </c>
    </row>
    <row r="74" ht="12.75" customHeight="1">
      <c r="A74" s="18"/>
      <c r="B74" s="55">
        <v>5.0</v>
      </c>
      <c r="C74" s="50" t="s">
        <v>61</v>
      </c>
      <c r="D74" s="62"/>
      <c r="E74" s="19">
        <v>12.0</v>
      </c>
      <c r="F74" s="19">
        <v>8.0</v>
      </c>
      <c r="G74" s="19">
        <v>2.0</v>
      </c>
      <c r="H74" s="19">
        <v>1.0</v>
      </c>
      <c r="I74" s="19">
        <v>4.0</v>
      </c>
      <c r="J74" s="19">
        <v>6.0</v>
      </c>
      <c r="K74" s="19">
        <v>2.0</v>
      </c>
      <c r="L74" s="19">
        <v>5.0</v>
      </c>
      <c r="M74" s="19">
        <v>11.0</v>
      </c>
      <c r="N74" s="19">
        <v>5.0</v>
      </c>
      <c r="O74" s="19">
        <v>13.0</v>
      </c>
      <c r="P74" s="19">
        <v>5.0</v>
      </c>
      <c r="Q74" s="19">
        <v>7.0</v>
      </c>
      <c r="R74" s="19">
        <v>1.0</v>
      </c>
      <c r="S74" s="19">
        <v>1.0</v>
      </c>
      <c r="T74" s="19">
        <v>2.0</v>
      </c>
      <c r="U74" s="19">
        <v>5.0</v>
      </c>
      <c r="V74" s="19">
        <v>1.0</v>
      </c>
      <c r="W74" s="19">
        <v>3.0</v>
      </c>
      <c r="X74" s="19">
        <v>4.0</v>
      </c>
      <c r="Y74" s="19">
        <v>0.0</v>
      </c>
      <c r="Z74" s="19">
        <v>3.0</v>
      </c>
      <c r="AA74" s="19">
        <v>5.0</v>
      </c>
      <c r="AB74" s="19">
        <v>2.0</v>
      </c>
      <c r="AC74" s="19">
        <v>3.0</v>
      </c>
      <c r="AD74" s="19">
        <v>2.0</v>
      </c>
      <c r="AE74" s="19">
        <v>3.0</v>
      </c>
      <c r="AF74" s="19">
        <v>4.0</v>
      </c>
      <c r="AG74" s="13">
        <f t="shared" si="18"/>
        <v>120</v>
      </c>
    </row>
    <row r="75" ht="12.75" customHeight="1">
      <c r="A75" s="18"/>
      <c r="B75" s="55">
        <v>6.0</v>
      </c>
      <c r="C75" s="50" t="s">
        <v>62</v>
      </c>
      <c r="D75" s="62"/>
      <c r="E75" s="19">
        <v>1.0</v>
      </c>
      <c r="F75" s="19">
        <v>2.0</v>
      </c>
      <c r="G75" s="19">
        <v>0.0</v>
      </c>
      <c r="H75" s="19">
        <v>0.0</v>
      </c>
      <c r="I75" s="19">
        <v>2.0</v>
      </c>
      <c r="J75" s="19">
        <v>0.0</v>
      </c>
      <c r="K75" s="19">
        <v>0.0</v>
      </c>
      <c r="L75" s="19">
        <v>0.0</v>
      </c>
      <c r="M75" s="19">
        <v>2.0</v>
      </c>
      <c r="N75" s="19">
        <v>1.0</v>
      </c>
      <c r="O75" s="19">
        <v>0.0</v>
      </c>
      <c r="P75" s="19">
        <v>1.0</v>
      </c>
      <c r="Q75" s="19">
        <v>0.0</v>
      </c>
      <c r="R75" s="19">
        <v>3.0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1.0</v>
      </c>
      <c r="AC75" s="19">
        <v>1.0</v>
      </c>
      <c r="AD75" s="19">
        <v>0.0</v>
      </c>
      <c r="AE75" s="19">
        <v>0.0</v>
      </c>
      <c r="AF75" s="19">
        <v>0.0</v>
      </c>
      <c r="AG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1.0</v>
      </c>
      <c r="G76" s="19">
        <v>0.0</v>
      </c>
      <c r="H76" s="19">
        <v>0.0</v>
      </c>
      <c r="I76" s="19">
        <v>1.0</v>
      </c>
      <c r="J76" s="19">
        <v>2.0</v>
      </c>
      <c r="K76" s="19">
        <v>1.0</v>
      </c>
      <c r="L76" s="19">
        <v>0.0</v>
      </c>
      <c r="M76" s="19">
        <v>6.0</v>
      </c>
      <c r="N76" s="19">
        <v>1.0</v>
      </c>
      <c r="O76" s="19">
        <v>3.0</v>
      </c>
      <c r="P76" s="19">
        <v>7.0</v>
      </c>
      <c r="Q76" s="19">
        <v>1.0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1.0</v>
      </c>
      <c r="AA76" s="19">
        <v>0.0</v>
      </c>
      <c r="AB76" s="19">
        <v>0.0</v>
      </c>
      <c r="AC76" s="19">
        <v>1.0</v>
      </c>
      <c r="AD76" s="19">
        <v>0.0</v>
      </c>
      <c r="AE76" s="19">
        <v>0.0</v>
      </c>
      <c r="AF76" s="19">
        <v>0.0</v>
      </c>
      <c r="AG76" s="13">
        <f t="shared" si="18"/>
        <v>25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G79" si="19">SUM(E69:E78)</f>
        <v>52</v>
      </c>
      <c r="F79" s="13">
        <f t="shared" si="19"/>
        <v>30</v>
      </c>
      <c r="G79" s="13">
        <f t="shared" si="19"/>
        <v>25</v>
      </c>
      <c r="H79" s="13">
        <f t="shared" si="19"/>
        <v>16</v>
      </c>
      <c r="I79" s="13">
        <f t="shared" si="19"/>
        <v>22</v>
      </c>
      <c r="J79" s="13">
        <f t="shared" si="19"/>
        <v>27</v>
      </c>
      <c r="K79" s="13">
        <f t="shared" si="19"/>
        <v>9</v>
      </c>
      <c r="L79" s="13">
        <f t="shared" si="19"/>
        <v>25</v>
      </c>
      <c r="M79" s="13">
        <f t="shared" si="19"/>
        <v>88</v>
      </c>
      <c r="N79" s="13">
        <f t="shared" si="19"/>
        <v>49</v>
      </c>
      <c r="O79" s="13">
        <f t="shared" si="19"/>
        <v>58</v>
      </c>
      <c r="P79" s="13">
        <f t="shared" si="19"/>
        <v>55</v>
      </c>
      <c r="Q79" s="13">
        <f t="shared" si="19"/>
        <v>114</v>
      </c>
      <c r="R79" s="13">
        <f t="shared" si="19"/>
        <v>36</v>
      </c>
      <c r="S79" s="13">
        <f t="shared" si="19"/>
        <v>13</v>
      </c>
      <c r="T79" s="13">
        <f t="shared" si="19"/>
        <v>16</v>
      </c>
      <c r="U79" s="13">
        <f t="shared" si="19"/>
        <v>13</v>
      </c>
      <c r="V79" s="13">
        <f t="shared" si="19"/>
        <v>9</v>
      </c>
      <c r="W79" s="13">
        <f t="shared" si="19"/>
        <v>8</v>
      </c>
      <c r="X79" s="13">
        <f t="shared" si="19"/>
        <v>23</v>
      </c>
      <c r="Y79" s="13">
        <f t="shared" si="19"/>
        <v>10</v>
      </c>
      <c r="Z79" s="13">
        <f t="shared" si="19"/>
        <v>16</v>
      </c>
      <c r="AA79" s="13">
        <f t="shared" si="19"/>
        <v>17</v>
      </c>
      <c r="AB79" s="13">
        <f t="shared" si="19"/>
        <v>13</v>
      </c>
      <c r="AC79" s="13">
        <f t="shared" si="19"/>
        <v>20</v>
      </c>
      <c r="AD79" s="13">
        <f t="shared" si="19"/>
        <v>21</v>
      </c>
      <c r="AE79" s="13">
        <f t="shared" si="19"/>
        <v>7</v>
      </c>
      <c r="AF79" s="13">
        <f t="shared" si="19"/>
        <v>28</v>
      </c>
      <c r="AG79" s="13">
        <f t="shared" si="19"/>
        <v>820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18.0</v>
      </c>
      <c r="F81" s="19">
        <v>22.0</v>
      </c>
      <c r="G81" s="19">
        <v>18.0</v>
      </c>
      <c r="H81" s="19">
        <v>3.0</v>
      </c>
      <c r="I81" s="19">
        <v>4.0</v>
      </c>
      <c r="J81" s="19">
        <v>7.0</v>
      </c>
      <c r="K81" s="19">
        <v>2.0</v>
      </c>
      <c r="L81" s="19">
        <v>1.0</v>
      </c>
      <c r="M81" s="19">
        <v>3.0</v>
      </c>
      <c r="N81" s="19">
        <v>1.0</v>
      </c>
      <c r="O81" s="19">
        <v>5.0</v>
      </c>
      <c r="P81" s="19">
        <v>7.0</v>
      </c>
      <c r="Q81" s="19">
        <v>2.0</v>
      </c>
      <c r="R81" s="19">
        <v>2.0</v>
      </c>
      <c r="S81" s="19">
        <v>6.0</v>
      </c>
      <c r="T81" s="19">
        <v>4.0</v>
      </c>
      <c r="U81" s="19">
        <v>10.0</v>
      </c>
      <c r="V81" s="19">
        <v>6.0</v>
      </c>
      <c r="W81" s="19">
        <v>3.0</v>
      </c>
      <c r="X81" s="19">
        <v>5.0</v>
      </c>
      <c r="Y81" s="19">
        <v>3.0</v>
      </c>
      <c r="Z81" s="19">
        <v>7.0</v>
      </c>
      <c r="AA81" s="19">
        <v>8.0</v>
      </c>
      <c r="AB81" s="19">
        <v>2.0</v>
      </c>
      <c r="AC81" s="19">
        <v>1.0</v>
      </c>
      <c r="AD81" s="19">
        <v>6.0</v>
      </c>
      <c r="AE81" s="19">
        <v>25.0</v>
      </c>
      <c r="AF81" s="19">
        <v>9.0</v>
      </c>
      <c r="AG81" s="13">
        <f t="shared" ref="AG81:AG90" si="20">SUM(E81:AF81)</f>
        <v>190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22.0</v>
      </c>
      <c r="F82" s="19">
        <v>11.0</v>
      </c>
      <c r="G82" s="19">
        <v>11.0</v>
      </c>
      <c r="H82" s="19">
        <v>5.0</v>
      </c>
      <c r="I82" s="19">
        <v>5.0</v>
      </c>
      <c r="J82" s="19">
        <v>14.0</v>
      </c>
      <c r="K82" s="19">
        <v>18.0</v>
      </c>
      <c r="L82" s="19">
        <v>13.0</v>
      </c>
      <c r="M82" s="19">
        <v>1.0</v>
      </c>
      <c r="N82" s="19">
        <v>2.0</v>
      </c>
      <c r="O82" s="19">
        <v>3.0</v>
      </c>
      <c r="P82" s="19">
        <v>5.0</v>
      </c>
      <c r="Q82" s="19">
        <v>1.0</v>
      </c>
      <c r="R82" s="19">
        <v>2.0</v>
      </c>
      <c r="S82" s="19">
        <v>5.0</v>
      </c>
      <c r="T82" s="19">
        <v>4.0</v>
      </c>
      <c r="U82" s="19">
        <v>39.0</v>
      </c>
      <c r="V82" s="19">
        <v>21.0</v>
      </c>
      <c r="W82" s="19">
        <v>20.0</v>
      </c>
      <c r="X82" s="19">
        <v>3.0</v>
      </c>
      <c r="Y82" s="19">
        <v>2.0</v>
      </c>
      <c r="Z82" s="19">
        <v>3.0</v>
      </c>
      <c r="AA82" s="19">
        <v>5.0</v>
      </c>
      <c r="AB82" s="19">
        <v>1.0</v>
      </c>
      <c r="AC82" s="19">
        <v>1.0</v>
      </c>
      <c r="AD82" s="19">
        <v>27.0</v>
      </c>
      <c r="AE82" s="19">
        <v>51.0</v>
      </c>
      <c r="AF82" s="19">
        <v>24.0</v>
      </c>
      <c r="AG82" s="13">
        <f t="shared" si="20"/>
        <v>319</v>
      </c>
    </row>
    <row r="83" ht="12.75" customHeight="1">
      <c r="A83" s="18"/>
      <c r="B83" s="55">
        <v>2.0</v>
      </c>
      <c r="C83" s="50" t="s">
        <v>66</v>
      </c>
      <c r="D83" s="62"/>
      <c r="E83" s="19">
        <v>34.0</v>
      </c>
      <c r="F83" s="19">
        <v>35.0</v>
      </c>
      <c r="G83" s="19">
        <v>11.0</v>
      </c>
      <c r="H83" s="19">
        <v>3.0</v>
      </c>
      <c r="I83" s="19">
        <v>6.0</v>
      </c>
      <c r="J83" s="19">
        <v>3.0</v>
      </c>
      <c r="K83" s="19">
        <v>6.0</v>
      </c>
      <c r="L83" s="19">
        <v>4.0</v>
      </c>
      <c r="M83" s="19">
        <v>17.0</v>
      </c>
      <c r="N83" s="19">
        <v>6.0</v>
      </c>
      <c r="O83" s="19">
        <v>5.0</v>
      </c>
      <c r="P83" s="19">
        <v>3.0</v>
      </c>
      <c r="Q83" s="19">
        <v>5.0</v>
      </c>
      <c r="R83" s="19">
        <v>12.0</v>
      </c>
      <c r="S83" s="19">
        <v>14.0</v>
      </c>
      <c r="T83" s="19">
        <v>4.0</v>
      </c>
      <c r="U83" s="19">
        <v>4.0</v>
      </c>
      <c r="V83" s="19">
        <v>4.0</v>
      </c>
      <c r="W83" s="19">
        <v>2.0</v>
      </c>
      <c r="X83" s="19">
        <v>3.0</v>
      </c>
      <c r="Y83" s="19">
        <v>1.0</v>
      </c>
      <c r="Z83" s="19">
        <v>0.0</v>
      </c>
      <c r="AA83" s="19">
        <v>6.0</v>
      </c>
      <c r="AB83" s="19">
        <v>3.0</v>
      </c>
      <c r="AC83" s="19">
        <v>1.0</v>
      </c>
      <c r="AD83" s="19">
        <v>7.0</v>
      </c>
      <c r="AE83" s="19">
        <v>3.0</v>
      </c>
      <c r="AF83" s="19">
        <v>4.0</v>
      </c>
      <c r="AG83" s="13">
        <f t="shared" si="20"/>
        <v>206</v>
      </c>
    </row>
    <row r="84" ht="12.75" customHeight="1">
      <c r="A84" s="18"/>
      <c r="B84" s="55">
        <v>3.0</v>
      </c>
      <c r="C84" s="50" t="s">
        <v>67</v>
      </c>
      <c r="D84" s="62"/>
      <c r="E84" s="19">
        <v>3.0</v>
      </c>
      <c r="F84" s="19">
        <v>1.0</v>
      </c>
      <c r="G84" s="19">
        <v>1.0</v>
      </c>
      <c r="H84" s="19">
        <v>0.0</v>
      </c>
      <c r="I84" s="19">
        <v>0.0</v>
      </c>
      <c r="J84" s="19">
        <v>1.0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1.0</v>
      </c>
      <c r="R84" s="19">
        <v>2.0</v>
      </c>
      <c r="S84" s="19">
        <v>1.0</v>
      </c>
      <c r="T84" s="19">
        <v>2.0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1.0</v>
      </c>
      <c r="AG84" s="13">
        <f t="shared" si="20"/>
        <v>16</v>
      </c>
    </row>
    <row r="85" ht="12.75" customHeight="1">
      <c r="A85" s="18"/>
      <c r="B85" s="55">
        <v>4.0</v>
      </c>
      <c r="C85" s="50" t="s">
        <v>68</v>
      </c>
      <c r="D85" s="62"/>
      <c r="E85" s="19">
        <v>3.0</v>
      </c>
      <c r="F85" s="19">
        <v>0.0</v>
      </c>
      <c r="G85" s="19">
        <v>1.0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2.0</v>
      </c>
      <c r="O85" s="19">
        <v>0.0</v>
      </c>
      <c r="P85" s="19">
        <v>0.0</v>
      </c>
      <c r="Q85" s="19">
        <v>0.0</v>
      </c>
      <c r="R85" s="19">
        <v>4.0</v>
      </c>
      <c r="S85" s="19">
        <v>0.0</v>
      </c>
      <c r="T85" s="19">
        <v>1.0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0.0</v>
      </c>
      <c r="AA85" s="19">
        <v>0.0</v>
      </c>
      <c r="AB85" s="19">
        <v>2.0</v>
      </c>
      <c r="AC85" s="19">
        <v>0.0</v>
      </c>
      <c r="AD85" s="19">
        <v>1.0</v>
      </c>
      <c r="AE85" s="19">
        <v>4.0</v>
      </c>
      <c r="AF85" s="19">
        <v>2.0</v>
      </c>
      <c r="AG85" s="13">
        <f t="shared" si="20"/>
        <v>22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0.0</v>
      </c>
      <c r="G86" s="19">
        <v>2.0</v>
      </c>
      <c r="H86" s="19">
        <v>0.0</v>
      </c>
      <c r="I86" s="19">
        <v>2.0</v>
      </c>
      <c r="J86" s="19">
        <v>1.0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1.0</v>
      </c>
      <c r="Y86" s="19">
        <v>0.0</v>
      </c>
      <c r="Z86" s="19">
        <v>0.0</v>
      </c>
      <c r="AA86" s="19">
        <v>0.0</v>
      </c>
      <c r="AB86" s="19">
        <v>0.0</v>
      </c>
      <c r="AC86" s="19">
        <v>1.0</v>
      </c>
      <c r="AD86" s="19">
        <v>0.0</v>
      </c>
      <c r="AE86" s="19">
        <v>1.0</v>
      </c>
      <c r="AF86" s="19">
        <v>0.0</v>
      </c>
      <c r="AG86" s="13">
        <f t="shared" si="20"/>
        <v>9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0.0</v>
      </c>
      <c r="G87" s="19">
        <v>0.0</v>
      </c>
      <c r="H87" s="19">
        <v>2.0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2.0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0.0</v>
      </c>
      <c r="AG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G91" si="21">SUM(E81:E90)</f>
        <v>80</v>
      </c>
      <c r="F91" s="13">
        <f t="shared" si="21"/>
        <v>69</v>
      </c>
      <c r="G91" s="13">
        <f t="shared" si="21"/>
        <v>44</v>
      </c>
      <c r="H91" s="13">
        <f t="shared" si="21"/>
        <v>13</v>
      </c>
      <c r="I91" s="13">
        <f t="shared" si="21"/>
        <v>18</v>
      </c>
      <c r="J91" s="13">
        <f t="shared" si="21"/>
        <v>26</v>
      </c>
      <c r="K91" s="13">
        <f t="shared" si="21"/>
        <v>27</v>
      </c>
      <c r="L91" s="13">
        <f t="shared" si="21"/>
        <v>18</v>
      </c>
      <c r="M91" s="13">
        <f t="shared" si="21"/>
        <v>22</v>
      </c>
      <c r="N91" s="13">
        <f t="shared" si="21"/>
        <v>11</v>
      </c>
      <c r="O91" s="13">
        <f t="shared" si="21"/>
        <v>13</v>
      </c>
      <c r="P91" s="13">
        <f t="shared" si="21"/>
        <v>17</v>
      </c>
      <c r="Q91" s="13">
        <f t="shared" si="21"/>
        <v>9</v>
      </c>
      <c r="R91" s="13">
        <f t="shared" si="21"/>
        <v>22</v>
      </c>
      <c r="S91" s="13">
        <f t="shared" si="21"/>
        <v>26</v>
      </c>
      <c r="T91" s="13">
        <f t="shared" si="21"/>
        <v>15</v>
      </c>
      <c r="U91" s="13">
        <f t="shared" si="21"/>
        <v>55</v>
      </c>
      <c r="V91" s="13">
        <f t="shared" si="21"/>
        <v>31</v>
      </c>
      <c r="W91" s="13">
        <f t="shared" si="21"/>
        <v>25</v>
      </c>
      <c r="X91" s="13">
        <f t="shared" si="21"/>
        <v>14</v>
      </c>
      <c r="Y91" s="13">
        <f t="shared" si="21"/>
        <v>6</v>
      </c>
      <c r="Z91" s="13">
        <f t="shared" si="21"/>
        <v>10</v>
      </c>
      <c r="AA91" s="13">
        <f t="shared" si="21"/>
        <v>19</v>
      </c>
      <c r="AB91" s="13">
        <f t="shared" si="21"/>
        <v>8</v>
      </c>
      <c r="AC91" s="13">
        <f t="shared" si="21"/>
        <v>4</v>
      </c>
      <c r="AD91" s="13">
        <f t="shared" si="21"/>
        <v>41</v>
      </c>
      <c r="AE91" s="13">
        <f t="shared" si="21"/>
        <v>85</v>
      </c>
      <c r="AF91" s="13">
        <f t="shared" si="21"/>
        <v>40</v>
      </c>
      <c r="AG91" s="13">
        <f t="shared" si="21"/>
        <v>768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1.0</v>
      </c>
      <c r="J93" s="19">
        <v>2.0</v>
      </c>
      <c r="K93" s="19">
        <v>0.0</v>
      </c>
      <c r="L93" s="19">
        <v>0.0</v>
      </c>
      <c r="M93" s="19">
        <v>0.0</v>
      </c>
      <c r="N93" s="19">
        <v>0.0</v>
      </c>
      <c r="O93" s="19">
        <v>1.0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1.0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5.0</v>
      </c>
      <c r="AB93" s="19">
        <v>0.0</v>
      </c>
      <c r="AC93" s="19">
        <v>2.0</v>
      </c>
      <c r="AD93" s="19">
        <v>0.0</v>
      </c>
      <c r="AE93" s="19">
        <v>0.0</v>
      </c>
      <c r="AF93" s="19">
        <v>1.0</v>
      </c>
      <c r="AG93" s="13">
        <f t="shared" ref="AG93:AG102" si="22">SUM(E93:AF93)</f>
        <v>14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0.0</v>
      </c>
      <c r="F94" s="19">
        <v>0.0</v>
      </c>
      <c r="G94" s="19">
        <v>3.0</v>
      </c>
      <c r="H94" s="19">
        <v>1.0</v>
      </c>
      <c r="I94" s="19">
        <v>1.0</v>
      </c>
      <c r="J94" s="19">
        <v>2.0</v>
      </c>
      <c r="K94" s="19">
        <v>0.0</v>
      </c>
      <c r="L94" s="19">
        <v>0.0</v>
      </c>
      <c r="M94" s="19">
        <v>1.0</v>
      </c>
      <c r="N94" s="19">
        <v>2.0</v>
      </c>
      <c r="O94" s="19">
        <v>3.0</v>
      </c>
      <c r="P94" s="19">
        <v>1.0</v>
      </c>
      <c r="Q94" s="19">
        <v>1.0</v>
      </c>
      <c r="R94" s="19">
        <v>1.0</v>
      </c>
      <c r="S94" s="19">
        <v>0.0</v>
      </c>
      <c r="T94" s="19">
        <v>0.0</v>
      </c>
      <c r="U94" s="19">
        <v>1.0</v>
      </c>
      <c r="V94" s="19">
        <v>0.0</v>
      </c>
      <c r="W94" s="19">
        <v>0.0</v>
      </c>
      <c r="X94" s="19">
        <v>0.0</v>
      </c>
      <c r="Y94" s="19">
        <v>1.0</v>
      </c>
      <c r="Z94" s="19">
        <v>1.0</v>
      </c>
      <c r="AA94" s="19">
        <v>1.0</v>
      </c>
      <c r="AB94" s="19">
        <v>0.0</v>
      </c>
      <c r="AC94" s="19">
        <v>1.0</v>
      </c>
      <c r="AD94" s="19">
        <v>0.0</v>
      </c>
      <c r="AE94" s="19">
        <v>0.0</v>
      </c>
      <c r="AF94" s="19">
        <v>0.0</v>
      </c>
      <c r="AG94" s="13">
        <f t="shared" si="22"/>
        <v>21</v>
      </c>
    </row>
    <row r="95" ht="12.75" customHeight="1">
      <c r="A95" s="18"/>
      <c r="B95" s="55">
        <v>2.0</v>
      </c>
      <c r="C95" s="50" t="s">
        <v>75</v>
      </c>
      <c r="D95" s="62"/>
      <c r="E95" s="19">
        <v>2.0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2.0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1.0</v>
      </c>
      <c r="AA95" s="19">
        <v>0.0</v>
      </c>
      <c r="AB95" s="19">
        <v>0.0</v>
      </c>
      <c r="AC95" s="19">
        <v>0.0</v>
      </c>
      <c r="AD95" s="19">
        <v>1.0</v>
      </c>
      <c r="AE95" s="19">
        <v>0.0</v>
      </c>
      <c r="AF95" s="19">
        <v>0.0</v>
      </c>
      <c r="AG95" s="13">
        <f t="shared" si="22"/>
        <v>7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2"/>
      <c r="E97" s="19">
        <v>0.0</v>
      </c>
      <c r="F97" s="19">
        <v>1.0</v>
      </c>
      <c r="G97" s="19">
        <v>1.0</v>
      </c>
      <c r="H97" s="19">
        <v>0.0</v>
      </c>
      <c r="I97" s="19">
        <v>0.0</v>
      </c>
      <c r="J97" s="19">
        <v>0.0</v>
      </c>
      <c r="K97" s="19">
        <v>1.0</v>
      </c>
      <c r="L97" s="19">
        <v>1.0</v>
      </c>
      <c r="M97" s="19">
        <v>6.0</v>
      </c>
      <c r="N97" s="19">
        <v>4.0</v>
      </c>
      <c r="O97" s="19">
        <v>1.0</v>
      </c>
      <c r="P97" s="19">
        <v>1.0</v>
      </c>
      <c r="Q97" s="19">
        <v>0.0</v>
      </c>
      <c r="R97" s="19">
        <v>0.0</v>
      </c>
      <c r="S97" s="19">
        <v>0.0</v>
      </c>
      <c r="T97" s="19">
        <v>2.0</v>
      </c>
      <c r="U97" s="19">
        <v>0.0</v>
      </c>
      <c r="V97" s="19">
        <v>0.0</v>
      </c>
      <c r="W97" s="19">
        <v>1.0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3">
        <f t="shared" si="22"/>
        <v>20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0.0</v>
      </c>
      <c r="Z98" s="19">
        <v>0.0</v>
      </c>
      <c r="AA98" s="19">
        <v>0.0</v>
      </c>
      <c r="AB98" s="19">
        <v>0.0</v>
      </c>
      <c r="AC98" s="19">
        <v>1.0</v>
      </c>
      <c r="AD98" s="19">
        <v>0.0</v>
      </c>
      <c r="AE98" s="19">
        <v>0.0</v>
      </c>
      <c r="AF98" s="19">
        <v>0.0</v>
      </c>
      <c r="AG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3">
        <f t="shared" si="22"/>
        <v>0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G103" si="23">SUM(E93:E102)</f>
        <v>2</v>
      </c>
      <c r="F103" s="13">
        <f t="shared" si="23"/>
        <v>2</v>
      </c>
      <c r="G103" s="13">
        <f t="shared" si="23"/>
        <v>5</v>
      </c>
      <c r="H103" s="13">
        <f t="shared" si="23"/>
        <v>1</v>
      </c>
      <c r="I103" s="13">
        <f t="shared" si="23"/>
        <v>2</v>
      </c>
      <c r="J103" s="13">
        <f t="shared" si="23"/>
        <v>5</v>
      </c>
      <c r="K103" s="13">
        <f t="shared" si="23"/>
        <v>1</v>
      </c>
      <c r="L103" s="13">
        <f t="shared" si="23"/>
        <v>1</v>
      </c>
      <c r="M103" s="13">
        <f t="shared" si="23"/>
        <v>8</v>
      </c>
      <c r="N103" s="13">
        <f t="shared" si="23"/>
        <v>6</v>
      </c>
      <c r="O103" s="13">
        <f t="shared" si="23"/>
        <v>5</v>
      </c>
      <c r="P103" s="13">
        <f t="shared" si="23"/>
        <v>4</v>
      </c>
      <c r="Q103" s="13">
        <f t="shared" si="23"/>
        <v>1</v>
      </c>
      <c r="R103" s="13">
        <f t="shared" si="23"/>
        <v>1</v>
      </c>
      <c r="S103" s="13">
        <f t="shared" si="23"/>
        <v>0</v>
      </c>
      <c r="T103" s="13">
        <f t="shared" si="23"/>
        <v>2</v>
      </c>
      <c r="U103" s="13">
        <f t="shared" si="23"/>
        <v>2</v>
      </c>
      <c r="V103" s="13">
        <f t="shared" si="23"/>
        <v>0</v>
      </c>
      <c r="W103" s="13">
        <f t="shared" si="23"/>
        <v>1</v>
      </c>
      <c r="X103" s="13">
        <f t="shared" si="23"/>
        <v>1</v>
      </c>
      <c r="Y103" s="13">
        <f t="shared" si="23"/>
        <v>2</v>
      </c>
      <c r="Z103" s="13">
        <f t="shared" si="23"/>
        <v>2</v>
      </c>
      <c r="AA103" s="13">
        <f t="shared" si="23"/>
        <v>6</v>
      </c>
      <c r="AB103" s="13">
        <f t="shared" si="23"/>
        <v>0</v>
      </c>
      <c r="AC103" s="13">
        <f t="shared" si="23"/>
        <v>4</v>
      </c>
      <c r="AD103" s="13">
        <f t="shared" si="23"/>
        <v>1</v>
      </c>
      <c r="AE103" s="13">
        <f t="shared" si="23"/>
        <v>0</v>
      </c>
      <c r="AF103" s="13">
        <f t="shared" si="23"/>
        <v>1</v>
      </c>
      <c r="AG103" s="13">
        <f t="shared" si="23"/>
        <v>66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2.0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2.0</v>
      </c>
      <c r="S105" s="19">
        <v>0.0</v>
      </c>
      <c r="T105" s="19">
        <v>4.0</v>
      </c>
      <c r="U105" s="19">
        <v>3.0</v>
      </c>
      <c r="V105" s="19">
        <v>2.0</v>
      </c>
      <c r="W105" s="19">
        <v>0.0</v>
      </c>
      <c r="X105" s="19">
        <v>1.0</v>
      </c>
      <c r="Y105" s="19">
        <v>2.0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3">
        <f t="shared" ref="AG105:AG114" si="24">SUM(E105:AF105)</f>
        <v>18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1.0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2.0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0.0</v>
      </c>
      <c r="AD106" s="19">
        <v>0.0</v>
      </c>
      <c r="AE106" s="19">
        <v>0.0</v>
      </c>
      <c r="AF106" s="19">
        <v>0.0</v>
      </c>
      <c r="AG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2.0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0.0</v>
      </c>
      <c r="H111" s="19">
        <v>1.0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3">
        <f t="shared" si="24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G115" si="25">SUM(E105:E114)</f>
        <v>1</v>
      </c>
      <c r="F115" s="13">
        <f t="shared" si="25"/>
        <v>2</v>
      </c>
      <c r="G115" s="13">
        <f t="shared" si="25"/>
        <v>1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3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4</v>
      </c>
      <c r="S115" s="13">
        <f t="shared" si="25"/>
        <v>0</v>
      </c>
      <c r="T115" s="13">
        <f t="shared" si="25"/>
        <v>4</v>
      </c>
      <c r="U115" s="13">
        <f t="shared" si="25"/>
        <v>3</v>
      </c>
      <c r="V115" s="13">
        <f t="shared" si="25"/>
        <v>2</v>
      </c>
      <c r="W115" s="13">
        <f t="shared" si="25"/>
        <v>1</v>
      </c>
      <c r="X115" s="13">
        <f t="shared" si="25"/>
        <v>1</v>
      </c>
      <c r="Y115" s="13">
        <f t="shared" si="25"/>
        <v>3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32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1.0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1.0</v>
      </c>
      <c r="Y117" s="19">
        <v>0.0</v>
      </c>
      <c r="Z117" s="19">
        <v>1.0</v>
      </c>
      <c r="AA117" s="19">
        <v>1.0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1.0</v>
      </c>
      <c r="AG117" s="13">
        <f t="shared" ref="AG117:AG126" si="26">SUM(E117:AF117)</f>
        <v>8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1.0</v>
      </c>
      <c r="AD118" s="19">
        <v>0.0</v>
      </c>
      <c r="AE118" s="19">
        <v>0.0</v>
      </c>
      <c r="AF118" s="19">
        <v>0.0</v>
      </c>
      <c r="AG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3">
        <f t="shared" si="26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13">
        <f t="shared" si="26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13">
        <f t="shared" si="26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13">
        <f t="shared" si="26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G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0</v>
      </c>
      <c r="X127" s="13">
        <f t="shared" si="27"/>
        <v>1</v>
      </c>
      <c r="Y127" s="13">
        <f t="shared" si="27"/>
        <v>0</v>
      </c>
      <c r="Z127" s="13">
        <f t="shared" si="27"/>
        <v>1</v>
      </c>
      <c r="AA127" s="13">
        <f t="shared" si="27"/>
        <v>1</v>
      </c>
      <c r="AB127" s="13">
        <f t="shared" si="27"/>
        <v>0</v>
      </c>
      <c r="AC127" s="13">
        <f t="shared" si="27"/>
        <v>1</v>
      </c>
      <c r="AD127" s="13">
        <f t="shared" si="27"/>
        <v>0</v>
      </c>
      <c r="AE127" s="13">
        <f t="shared" si="27"/>
        <v>0</v>
      </c>
      <c r="AF127" s="13">
        <f t="shared" si="27"/>
        <v>1</v>
      </c>
      <c r="AG127" s="13">
        <f t="shared" si="27"/>
        <v>13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2.0</v>
      </c>
      <c r="H129" s="19">
        <v>1.0</v>
      </c>
      <c r="I129" s="19">
        <v>3.0</v>
      </c>
      <c r="J129" s="19">
        <v>3.0</v>
      </c>
      <c r="K129" s="19">
        <v>1.0</v>
      </c>
      <c r="L129" s="19">
        <v>0.0</v>
      </c>
      <c r="M129" s="19">
        <v>1.0</v>
      </c>
      <c r="N129" s="19">
        <v>1.0</v>
      </c>
      <c r="O129" s="19">
        <v>2.0</v>
      </c>
      <c r="P129" s="19">
        <v>0.0</v>
      </c>
      <c r="Q129" s="19">
        <v>0.0</v>
      </c>
      <c r="R129" s="19">
        <v>0.0</v>
      </c>
      <c r="S129" s="19">
        <v>1.0</v>
      </c>
      <c r="T129" s="19">
        <v>1.0</v>
      </c>
      <c r="U129" s="19">
        <v>1.0</v>
      </c>
      <c r="V129" s="19">
        <v>3.0</v>
      </c>
      <c r="W129" s="19">
        <v>2.0</v>
      </c>
      <c r="X129" s="19">
        <v>3.0</v>
      </c>
      <c r="Y129" s="19">
        <v>1.0</v>
      </c>
      <c r="Z129" s="19">
        <v>3.0</v>
      </c>
      <c r="AA129" s="19">
        <v>1.0</v>
      </c>
      <c r="AB129" s="19">
        <v>0.0</v>
      </c>
      <c r="AC129" s="19">
        <v>1.0</v>
      </c>
      <c r="AD129" s="19">
        <v>1.0</v>
      </c>
      <c r="AE129" s="19">
        <v>0.0</v>
      </c>
      <c r="AF129" s="19">
        <v>0.0</v>
      </c>
      <c r="AG129" s="13">
        <f t="shared" ref="AG129:AG138" si="28">SUM(E129:AF129)</f>
        <v>32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1.0</v>
      </c>
      <c r="F130" s="19">
        <v>1.0</v>
      </c>
      <c r="G130" s="19">
        <v>2.0</v>
      </c>
      <c r="H130" s="19">
        <v>7.0</v>
      </c>
      <c r="I130" s="19">
        <v>6.0</v>
      </c>
      <c r="J130" s="19">
        <v>0.0</v>
      </c>
      <c r="K130" s="19">
        <v>2.0</v>
      </c>
      <c r="L130" s="19">
        <v>2.0</v>
      </c>
      <c r="M130" s="19">
        <v>3.0</v>
      </c>
      <c r="N130" s="19">
        <v>1.0</v>
      </c>
      <c r="O130" s="19">
        <v>5.0</v>
      </c>
      <c r="P130" s="19">
        <v>0.0</v>
      </c>
      <c r="Q130" s="19">
        <v>2.0</v>
      </c>
      <c r="R130" s="19">
        <v>0.0</v>
      </c>
      <c r="S130" s="19">
        <v>2.0</v>
      </c>
      <c r="T130" s="19">
        <v>2.0</v>
      </c>
      <c r="U130" s="19">
        <v>3.0</v>
      </c>
      <c r="V130" s="19">
        <v>1.0</v>
      </c>
      <c r="W130" s="19">
        <v>3.0</v>
      </c>
      <c r="X130" s="19">
        <v>3.0</v>
      </c>
      <c r="Y130" s="19">
        <v>3.0</v>
      </c>
      <c r="Z130" s="19">
        <v>5.0</v>
      </c>
      <c r="AA130" s="19">
        <v>0.0</v>
      </c>
      <c r="AB130" s="19">
        <v>0.0</v>
      </c>
      <c r="AC130" s="19">
        <v>0.0</v>
      </c>
      <c r="AD130" s="19">
        <v>4.0</v>
      </c>
      <c r="AE130" s="19">
        <v>0.0</v>
      </c>
      <c r="AF130" s="19">
        <v>3.0</v>
      </c>
      <c r="AG130" s="13">
        <f t="shared" si="28"/>
        <v>61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0.0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2.0</v>
      </c>
      <c r="L131" s="19">
        <v>0.0</v>
      </c>
      <c r="M131" s="19">
        <v>0.0</v>
      </c>
      <c r="N131" s="19">
        <v>2.0</v>
      </c>
      <c r="O131" s="19">
        <v>0.0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1.0</v>
      </c>
      <c r="AG131" s="13">
        <f t="shared" si="28"/>
        <v>10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1.0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3">
        <f t="shared" si="28"/>
        <v>2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2.0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1.0</v>
      </c>
      <c r="Z136" s="19">
        <v>1.0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3">
        <f t="shared" si="28"/>
        <v>2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3">
        <f t="shared" si="28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G139" si="29">SUM(E129:E138)</f>
        <v>1</v>
      </c>
      <c r="F139" s="13">
        <f t="shared" si="29"/>
        <v>2</v>
      </c>
      <c r="G139" s="13">
        <f t="shared" si="29"/>
        <v>4</v>
      </c>
      <c r="H139" s="13">
        <f t="shared" si="29"/>
        <v>12</v>
      </c>
      <c r="I139" s="13">
        <f t="shared" si="29"/>
        <v>9</v>
      </c>
      <c r="J139" s="13">
        <f t="shared" si="29"/>
        <v>5</v>
      </c>
      <c r="K139" s="13">
        <f t="shared" si="29"/>
        <v>5</v>
      </c>
      <c r="L139" s="13">
        <f t="shared" si="29"/>
        <v>2</v>
      </c>
      <c r="M139" s="13">
        <f t="shared" si="29"/>
        <v>5</v>
      </c>
      <c r="N139" s="13">
        <f t="shared" si="29"/>
        <v>4</v>
      </c>
      <c r="O139" s="13">
        <f t="shared" si="29"/>
        <v>7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3</v>
      </c>
      <c r="T139" s="13">
        <f t="shared" si="29"/>
        <v>3</v>
      </c>
      <c r="U139" s="13">
        <f t="shared" si="29"/>
        <v>4</v>
      </c>
      <c r="V139" s="13">
        <f t="shared" si="29"/>
        <v>4</v>
      </c>
      <c r="W139" s="13">
        <f t="shared" si="29"/>
        <v>8</v>
      </c>
      <c r="X139" s="13">
        <f t="shared" si="29"/>
        <v>6</v>
      </c>
      <c r="Y139" s="13">
        <f t="shared" si="29"/>
        <v>5</v>
      </c>
      <c r="Z139" s="13">
        <f t="shared" si="29"/>
        <v>9</v>
      </c>
      <c r="AA139" s="13">
        <f t="shared" si="29"/>
        <v>2</v>
      </c>
      <c r="AB139" s="13">
        <f t="shared" si="29"/>
        <v>1</v>
      </c>
      <c r="AC139" s="13">
        <f t="shared" si="29"/>
        <v>1</v>
      </c>
      <c r="AD139" s="13">
        <f t="shared" si="29"/>
        <v>5</v>
      </c>
      <c r="AE139" s="13">
        <f t="shared" si="29"/>
        <v>0</v>
      </c>
      <c r="AF139" s="13">
        <f t="shared" si="29"/>
        <v>4</v>
      </c>
      <c r="AG139" s="13">
        <f t="shared" si="29"/>
        <v>114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1.0</v>
      </c>
      <c r="AE141" s="19">
        <v>0.0</v>
      </c>
      <c r="AF141" s="19">
        <v>0.0</v>
      </c>
      <c r="AG141" s="13">
        <f t="shared" ref="AG141:AG150" si="30">SUM(E141:AF141)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1.0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G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1"/>
        <v>0</v>
      </c>
      <c r="AG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3">
        <f t="shared" ref="AG153:AG162" si="32">SUM(E153:AF153)</f>
        <v>3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1.0</v>
      </c>
      <c r="G154" s="19">
        <v>1.0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4.0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1.0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3">
        <f t="shared" si="32"/>
        <v>9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3">
        <f t="shared" si="32"/>
        <v>1</v>
      </c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3">
        <f t="shared" si="32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3">
        <f t="shared" si="32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3">
        <f t="shared" si="32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3">
        <f t="shared" si="32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G163" si="33">SUM(E153:E162)</f>
        <v>1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4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14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3">
        <f t="shared" ref="AG165:AG174" si="34">SUM(E165:AF165)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3">
        <f t="shared" si="34"/>
        <v>2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G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2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9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3.0</v>
      </c>
      <c r="H177" s="19">
        <v>3.0</v>
      </c>
      <c r="I177" s="19">
        <v>3.0</v>
      </c>
      <c r="J177" s="19">
        <v>0.0</v>
      </c>
      <c r="K177" s="19">
        <v>1.0</v>
      </c>
      <c r="L177" s="19">
        <v>3.0</v>
      </c>
      <c r="M177" s="19">
        <v>0.0</v>
      </c>
      <c r="N177" s="19">
        <v>1.0</v>
      </c>
      <c r="O177" s="19">
        <v>1.0</v>
      </c>
      <c r="P177" s="19">
        <v>0.0</v>
      </c>
      <c r="Q177" s="19">
        <v>0.0</v>
      </c>
      <c r="R177" s="19">
        <v>0.0</v>
      </c>
      <c r="S177" s="19">
        <v>2.0</v>
      </c>
      <c r="T177" s="19">
        <v>1.0</v>
      </c>
      <c r="U177" s="19">
        <v>0.0</v>
      </c>
      <c r="V177" s="19">
        <v>0.0</v>
      </c>
      <c r="W177" s="19">
        <v>0.0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0.0</v>
      </c>
      <c r="AD177" s="19">
        <v>1.0</v>
      </c>
      <c r="AE177" s="19">
        <v>0.0</v>
      </c>
      <c r="AF177" s="19">
        <v>0.0</v>
      </c>
      <c r="AG177" s="13">
        <f t="shared" ref="AG177:AG186" si="36">SUM(E177:AF177)</f>
        <v>23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2.0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4.0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3">
        <f t="shared" si="36"/>
        <v>9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1.0</v>
      </c>
      <c r="G179" s="19">
        <v>1.0</v>
      </c>
      <c r="H179" s="19">
        <v>1.0</v>
      </c>
      <c r="I179" s="19">
        <v>0.0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3">
        <f t="shared" si="36"/>
        <v>8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4.0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3.0</v>
      </c>
      <c r="M180" s="19">
        <v>0.0</v>
      </c>
      <c r="N180" s="19">
        <v>2.0</v>
      </c>
      <c r="O180" s="19">
        <v>6.0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3">
        <f t="shared" si="36"/>
        <v>17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1.0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3.0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3">
        <f t="shared" si="36"/>
        <v>7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3">
        <f t="shared" si="36"/>
        <v>3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3">
        <f t="shared" si="36"/>
        <v>1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G187" si="37">SUM(E177:E186)</f>
        <v>8</v>
      </c>
      <c r="F187" s="13">
        <f t="shared" si="37"/>
        <v>2</v>
      </c>
      <c r="G187" s="13">
        <f t="shared" si="37"/>
        <v>4</v>
      </c>
      <c r="H187" s="13">
        <f t="shared" si="37"/>
        <v>5</v>
      </c>
      <c r="I187" s="13">
        <f t="shared" si="37"/>
        <v>5</v>
      </c>
      <c r="J187" s="13">
        <f t="shared" si="37"/>
        <v>4</v>
      </c>
      <c r="K187" s="13">
        <f t="shared" si="37"/>
        <v>2</v>
      </c>
      <c r="L187" s="13">
        <f t="shared" si="37"/>
        <v>11</v>
      </c>
      <c r="M187" s="13">
        <f t="shared" si="37"/>
        <v>0</v>
      </c>
      <c r="N187" s="13">
        <f t="shared" si="37"/>
        <v>4</v>
      </c>
      <c r="O187" s="13">
        <f t="shared" si="37"/>
        <v>10</v>
      </c>
      <c r="P187" s="13">
        <f t="shared" si="37"/>
        <v>1</v>
      </c>
      <c r="Q187" s="13">
        <f t="shared" si="37"/>
        <v>1</v>
      </c>
      <c r="R187" s="13">
        <f t="shared" si="37"/>
        <v>2</v>
      </c>
      <c r="S187" s="13">
        <f t="shared" si="37"/>
        <v>2</v>
      </c>
      <c r="T187" s="13">
        <f t="shared" si="37"/>
        <v>2</v>
      </c>
      <c r="U187" s="13">
        <f t="shared" si="37"/>
        <v>0</v>
      </c>
      <c r="V187" s="13">
        <f t="shared" si="37"/>
        <v>1</v>
      </c>
      <c r="W187" s="13">
        <f t="shared" si="37"/>
        <v>1</v>
      </c>
      <c r="X187" s="13">
        <f t="shared" si="37"/>
        <v>1</v>
      </c>
      <c r="Y187" s="13">
        <f t="shared" si="37"/>
        <v>1</v>
      </c>
      <c r="Z187" s="13">
        <f t="shared" si="37"/>
        <v>0</v>
      </c>
      <c r="AA187" s="13">
        <f t="shared" si="37"/>
        <v>0</v>
      </c>
      <c r="AB187" s="13">
        <f t="shared" si="37"/>
        <v>1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0</v>
      </c>
      <c r="AG187" s="13">
        <f t="shared" si="37"/>
        <v>69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1.0</v>
      </c>
      <c r="J189" s="19">
        <v>2.0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3">
        <f t="shared" ref="AG189:AG198" si="38">SUM(E189:AF189)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1.0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3">
        <f t="shared" si="38"/>
        <v>3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1.0</v>
      </c>
      <c r="AC193" s="19">
        <v>0.0</v>
      </c>
      <c r="AD193" s="19">
        <v>0.0</v>
      </c>
      <c r="AE193" s="19">
        <v>0.0</v>
      </c>
      <c r="AF193" s="19">
        <v>0.0</v>
      </c>
      <c r="AG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G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1.0</v>
      </c>
      <c r="H201" s="19">
        <v>1.0</v>
      </c>
      <c r="I201" s="19">
        <v>3.0</v>
      </c>
      <c r="J201" s="19">
        <v>4.0</v>
      </c>
      <c r="K201" s="19">
        <v>2.0</v>
      </c>
      <c r="L201" s="19">
        <v>1.0</v>
      </c>
      <c r="M201" s="19">
        <v>1.0</v>
      </c>
      <c r="N201" s="19">
        <v>3.0</v>
      </c>
      <c r="O201" s="19">
        <v>3.0</v>
      </c>
      <c r="P201" s="19">
        <v>6.0</v>
      </c>
      <c r="Q201" s="19">
        <v>2.0</v>
      </c>
      <c r="R201" s="19">
        <v>1.0</v>
      </c>
      <c r="S201" s="19">
        <v>6.0</v>
      </c>
      <c r="T201" s="19">
        <v>3.0</v>
      </c>
      <c r="U201" s="19">
        <v>7.0</v>
      </c>
      <c r="V201" s="19">
        <v>4.0</v>
      </c>
      <c r="W201" s="19">
        <v>4.0</v>
      </c>
      <c r="X201" s="19">
        <v>2.0</v>
      </c>
      <c r="Y201" s="19">
        <v>3.0</v>
      </c>
      <c r="Z201" s="19">
        <v>2.0</v>
      </c>
      <c r="AA201" s="19">
        <v>1.0</v>
      </c>
      <c r="AB201" s="19">
        <v>0.0</v>
      </c>
      <c r="AC201" s="19">
        <v>0.0</v>
      </c>
      <c r="AD201" s="19">
        <v>3.0</v>
      </c>
      <c r="AE201" s="19">
        <v>0.0</v>
      </c>
      <c r="AF201" s="19">
        <v>2.0</v>
      </c>
      <c r="AG201" s="13">
        <f t="shared" ref="AG201:AG210" si="40">SUM(E201:AF201)</f>
        <v>67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1.0</v>
      </c>
      <c r="F202" s="19">
        <v>1.0</v>
      </c>
      <c r="G202" s="19">
        <v>3.0</v>
      </c>
      <c r="H202" s="19">
        <v>6.0</v>
      </c>
      <c r="I202" s="19">
        <v>4.0</v>
      </c>
      <c r="J202" s="19">
        <v>7.0</v>
      </c>
      <c r="K202" s="19">
        <v>4.0</v>
      </c>
      <c r="L202" s="19">
        <v>5.0</v>
      </c>
      <c r="M202" s="19">
        <v>3.0</v>
      </c>
      <c r="N202" s="19">
        <v>36.0</v>
      </c>
      <c r="O202" s="19">
        <v>16.0</v>
      </c>
      <c r="P202" s="19">
        <v>4.0</v>
      </c>
      <c r="Q202" s="19">
        <v>7.0</v>
      </c>
      <c r="R202" s="19">
        <v>6.0</v>
      </c>
      <c r="S202" s="19">
        <v>5.0</v>
      </c>
      <c r="T202" s="19">
        <v>3.0</v>
      </c>
      <c r="U202" s="19">
        <v>2.0</v>
      </c>
      <c r="V202" s="19">
        <v>1.0</v>
      </c>
      <c r="W202" s="19">
        <v>1.0</v>
      </c>
      <c r="X202" s="19">
        <v>0.0</v>
      </c>
      <c r="Y202" s="19">
        <v>1.0</v>
      </c>
      <c r="Z202" s="19">
        <v>0.0</v>
      </c>
      <c r="AA202" s="19">
        <v>0.0</v>
      </c>
      <c r="AB202" s="19">
        <v>3.0</v>
      </c>
      <c r="AC202" s="19">
        <v>0.0</v>
      </c>
      <c r="AD202" s="19">
        <v>5.0</v>
      </c>
      <c r="AE202" s="19">
        <v>0.0</v>
      </c>
      <c r="AF202" s="19">
        <v>0.0</v>
      </c>
      <c r="AG202" s="13">
        <f t="shared" si="40"/>
        <v>124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2.0</v>
      </c>
      <c r="F203" s="19">
        <v>0.0</v>
      </c>
      <c r="G203" s="19">
        <v>1.0</v>
      </c>
      <c r="H203" s="19">
        <v>2.0</v>
      </c>
      <c r="I203" s="19">
        <v>0.0</v>
      </c>
      <c r="J203" s="19">
        <v>0.0</v>
      </c>
      <c r="K203" s="19">
        <v>2.0</v>
      </c>
      <c r="L203" s="19">
        <v>4.0</v>
      </c>
      <c r="M203" s="19">
        <v>2.0</v>
      </c>
      <c r="N203" s="19">
        <v>0.0</v>
      </c>
      <c r="O203" s="19">
        <v>2.0</v>
      </c>
      <c r="P203" s="19">
        <v>3.0</v>
      </c>
      <c r="Q203" s="19">
        <v>3.0</v>
      </c>
      <c r="R203" s="19">
        <v>0.0</v>
      </c>
      <c r="S203" s="19">
        <v>2.0</v>
      </c>
      <c r="T203" s="19">
        <v>1.0</v>
      </c>
      <c r="U203" s="19">
        <v>0.0</v>
      </c>
      <c r="V203" s="19">
        <v>2.0</v>
      </c>
      <c r="W203" s="19">
        <v>0.0</v>
      </c>
      <c r="X203" s="19">
        <v>3.0</v>
      </c>
      <c r="Y203" s="19">
        <v>0.0</v>
      </c>
      <c r="Z203" s="19">
        <v>1.0</v>
      </c>
      <c r="AA203" s="19">
        <v>1.0</v>
      </c>
      <c r="AB203" s="19">
        <v>0.0</v>
      </c>
      <c r="AC203" s="19">
        <v>1.0</v>
      </c>
      <c r="AD203" s="19">
        <v>1.0</v>
      </c>
      <c r="AE203" s="19">
        <v>1.0</v>
      </c>
      <c r="AF203" s="19">
        <v>0.0</v>
      </c>
      <c r="AG203" s="13">
        <f t="shared" si="40"/>
        <v>34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0.0</v>
      </c>
      <c r="F204" s="19">
        <v>0.0</v>
      </c>
      <c r="G204" s="19">
        <v>0.0</v>
      </c>
      <c r="H204" s="19">
        <v>0.0</v>
      </c>
      <c r="I204" s="19">
        <v>2.0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2.0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9.0</v>
      </c>
      <c r="AC204" s="19">
        <v>6.0</v>
      </c>
      <c r="AD204" s="19">
        <v>0.0</v>
      </c>
      <c r="AE204" s="19">
        <v>4.0</v>
      </c>
      <c r="AF204" s="19">
        <v>0.0</v>
      </c>
      <c r="AG204" s="13">
        <f t="shared" si="40"/>
        <v>24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1.0</v>
      </c>
      <c r="AD205" s="19">
        <v>0.0</v>
      </c>
      <c r="AE205" s="19">
        <v>1.0</v>
      </c>
      <c r="AF205" s="19">
        <v>0.0</v>
      </c>
      <c r="AG205" s="13">
        <f t="shared" si="40"/>
        <v>6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0.0</v>
      </c>
      <c r="AG206" s="13">
        <f t="shared" si="40"/>
        <v>5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1.0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1.0</v>
      </c>
      <c r="AG208" s="13">
        <f t="shared" si="40"/>
        <v>4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G211" si="41">SUM(E201:E210)</f>
        <v>4</v>
      </c>
      <c r="F211" s="13">
        <f t="shared" si="41"/>
        <v>4</v>
      </c>
      <c r="G211" s="13">
        <f t="shared" si="41"/>
        <v>5</v>
      </c>
      <c r="H211" s="13">
        <f t="shared" si="41"/>
        <v>9</v>
      </c>
      <c r="I211" s="13">
        <f t="shared" si="41"/>
        <v>10</v>
      </c>
      <c r="J211" s="13">
        <f t="shared" si="41"/>
        <v>11</v>
      </c>
      <c r="K211" s="13">
        <f t="shared" si="41"/>
        <v>8</v>
      </c>
      <c r="L211" s="13">
        <f t="shared" si="41"/>
        <v>10</v>
      </c>
      <c r="M211" s="13">
        <f t="shared" si="41"/>
        <v>6</v>
      </c>
      <c r="N211" s="13">
        <f t="shared" si="41"/>
        <v>39</v>
      </c>
      <c r="O211" s="13">
        <f t="shared" si="41"/>
        <v>22</v>
      </c>
      <c r="P211" s="13">
        <f t="shared" si="41"/>
        <v>15</v>
      </c>
      <c r="Q211" s="13">
        <f t="shared" si="41"/>
        <v>12</v>
      </c>
      <c r="R211" s="13">
        <f t="shared" si="41"/>
        <v>8</v>
      </c>
      <c r="S211" s="13">
        <f t="shared" si="41"/>
        <v>13</v>
      </c>
      <c r="T211" s="13">
        <f t="shared" si="41"/>
        <v>7</v>
      </c>
      <c r="U211" s="13">
        <f t="shared" si="41"/>
        <v>10</v>
      </c>
      <c r="V211" s="13">
        <f t="shared" si="41"/>
        <v>10</v>
      </c>
      <c r="W211" s="13">
        <f t="shared" si="41"/>
        <v>6</v>
      </c>
      <c r="X211" s="13">
        <f t="shared" si="41"/>
        <v>6</v>
      </c>
      <c r="Y211" s="13">
        <f t="shared" si="41"/>
        <v>4</v>
      </c>
      <c r="Z211" s="13">
        <f t="shared" si="41"/>
        <v>4</v>
      </c>
      <c r="AA211" s="13">
        <f t="shared" si="41"/>
        <v>2</v>
      </c>
      <c r="AB211" s="13">
        <f t="shared" si="41"/>
        <v>12</v>
      </c>
      <c r="AC211" s="13">
        <f t="shared" si="41"/>
        <v>9</v>
      </c>
      <c r="AD211" s="13">
        <f t="shared" si="41"/>
        <v>9</v>
      </c>
      <c r="AE211" s="13">
        <f t="shared" si="41"/>
        <v>6</v>
      </c>
      <c r="AF211" s="13">
        <f t="shared" si="41"/>
        <v>3</v>
      </c>
      <c r="AG211" s="13">
        <f t="shared" si="41"/>
        <v>264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4.0</v>
      </c>
      <c r="G213" s="19">
        <v>0.0</v>
      </c>
      <c r="H213" s="19">
        <v>0.0</v>
      </c>
      <c r="I213" s="19">
        <v>1.0</v>
      </c>
      <c r="J213" s="19">
        <v>1.0</v>
      </c>
      <c r="K213" s="19">
        <v>0.0</v>
      </c>
      <c r="L213" s="19">
        <v>0.0</v>
      </c>
      <c r="M213" s="19">
        <v>1.0</v>
      </c>
      <c r="N213" s="19">
        <v>3.0</v>
      </c>
      <c r="O213" s="19">
        <v>1.0</v>
      </c>
      <c r="P213" s="19">
        <v>2.0</v>
      </c>
      <c r="Q213" s="19">
        <v>0.0</v>
      </c>
      <c r="R213" s="19">
        <v>2.0</v>
      </c>
      <c r="S213" s="19">
        <v>5.0</v>
      </c>
      <c r="T213" s="19">
        <v>0.0</v>
      </c>
      <c r="U213" s="19">
        <v>1.0</v>
      </c>
      <c r="V213" s="19">
        <v>0.0</v>
      </c>
      <c r="W213" s="19">
        <v>0.0</v>
      </c>
      <c r="X213" s="19">
        <v>1.0</v>
      </c>
      <c r="Y213" s="19">
        <v>1.0</v>
      </c>
      <c r="Z213" s="19">
        <v>2.0</v>
      </c>
      <c r="AA213" s="19">
        <v>1.0</v>
      </c>
      <c r="AB213" s="19">
        <v>1.0</v>
      </c>
      <c r="AC213" s="19">
        <v>1.0</v>
      </c>
      <c r="AD213" s="19">
        <v>0.0</v>
      </c>
      <c r="AE213" s="19">
        <v>0.0</v>
      </c>
      <c r="AF213" s="19">
        <v>1.0</v>
      </c>
      <c r="AG213" s="13">
        <f t="shared" ref="AG213:AG222" si="42">SUM(E213:AF213)</f>
        <v>30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1.0</v>
      </c>
      <c r="F214" s="19">
        <v>0.0</v>
      </c>
      <c r="G214" s="19">
        <v>1.0</v>
      </c>
      <c r="H214" s="19">
        <v>4.0</v>
      </c>
      <c r="I214" s="19">
        <v>1.0</v>
      </c>
      <c r="J214" s="19">
        <v>1.0</v>
      </c>
      <c r="K214" s="19">
        <v>1.0</v>
      </c>
      <c r="L214" s="19">
        <v>0.0</v>
      </c>
      <c r="M214" s="19">
        <v>0.0</v>
      </c>
      <c r="N214" s="19">
        <v>2.0</v>
      </c>
      <c r="O214" s="19">
        <v>1.0</v>
      </c>
      <c r="P214" s="19">
        <v>2.0</v>
      </c>
      <c r="Q214" s="19">
        <v>1.0</v>
      </c>
      <c r="R214" s="19">
        <v>2.0</v>
      </c>
      <c r="S214" s="19">
        <v>0.0</v>
      </c>
      <c r="T214" s="19">
        <v>2.0</v>
      </c>
      <c r="U214" s="19">
        <v>2.0</v>
      </c>
      <c r="V214" s="19">
        <v>0.0</v>
      </c>
      <c r="W214" s="19">
        <v>0.0</v>
      </c>
      <c r="X214" s="19">
        <v>0.0</v>
      </c>
      <c r="Y214" s="19">
        <v>2.0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2.0</v>
      </c>
      <c r="AE214" s="19">
        <v>1.0</v>
      </c>
      <c r="AF214" s="19">
        <v>0.0</v>
      </c>
      <c r="AG214" s="13">
        <f t="shared" si="42"/>
        <v>26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6.0</v>
      </c>
      <c r="F215" s="19">
        <v>2.0</v>
      </c>
      <c r="G215" s="19">
        <v>6.0</v>
      </c>
      <c r="H215" s="19">
        <v>1.0</v>
      </c>
      <c r="I215" s="19">
        <v>13.0</v>
      </c>
      <c r="J215" s="19">
        <v>4.0</v>
      </c>
      <c r="K215" s="19">
        <v>3.0</v>
      </c>
      <c r="L215" s="19">
        <v>3.0</v>
      </c>
      <c r="M215" s="19">
        <v>21.0</v>
      </c>
      <c r="N215" s="19">
        <v>0.0</v>
      </c>
      <c r="O215" s="19">
        <v>3.0</v>
      </c>
      <c r="P215" s="19">
        <v>0.0</v>
      </c>
      <c r="Q215" s="19">
        <v>0.0</v>
      </c>
      <c r="R215" s="19">
        <v>3.0</v>
      </c>
      <c r="S215" s="19">
        <v>8.0</v>
      </c>
      <c r="T215" s="19">
        <v>11.0</v>
      </c>
      <c r="U215" s="19">
        <v>6.0</v>
      </c>
      <c r="V215" s="19">
        <v>0.0</v>
      </c>
      <c r="W215" s="19">
        <v>0.0</v>
      </c>
      <c r="X215" s="19">
        <v>1.0</v>
      </c>
      <c r="Y215" s="19">
        <v>0.0</v>
      </c>
      <c r="Z215" s="19">
        <v>8.0</v>
      </c>
      <c r="AA215" s="19">
        <v>0.0</v>
      </c>
      <c r="AB215" s="19">
        <v>1.0</v>
      </c>
      <c r="AC215" s="19">
        <v>1.0</v>
      </c>
      <c r="AD215" s="19">
        <v>0.0</v>
      </c>
      <c r="AE215" s="19">
        <v>0.0</v>
      </c>
      <c r="AF215" s="19">
        <v>2.0</v>
      </c>
      <c r="AG215" s="13">
        <f t="shared" si="42"/>
        <v>103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1.0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2.0</v>
      </c>
      <c r="AD216" s="19">
        <v>0.0</v>
      </c>
      <c r="AE216" s="19">
        <v>0.0</v>
      </c>
      <c r="AF216" s="19">
        <v>1.0</v>
      </c>
      <c r="AG216" s="13">
        <f t="shared" si="42"/>
        <v>8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1.0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3">
        <f t="shared" si="42"/>
        <v>2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1.0</v>
      </c>
      <c r="G220" s="19">
        <v>0.0</v>
      </c>
      <c r="H220" s="19">
        <v>1.0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3">
        <f t="shared" si="42"/>
        <v>3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G223" si="43">SUM(E213:E222)</f>
        <v>8</v>
      </c>
      <c r="F223" s="13">
        <f t="shared" si="43"/>
        <v>8</v>
      </c>
      <c r="G223" s="13">
        <f t="shared" si="43"/>
        <v>7</v>
      </c>
      <c r="H223" s="13">
        <f t="shared" si="43"/>
        <v>6</v>
      </c>
      <c r="I223" s="13">
        <f t="shared" si="43"/>
        <v>15</v>
      </c>
      <c r="J223" s="13">
        <f t="shared" si="43"/>
        <v>6</v>
      </c>
      <c r="K223" s="13">
        <f t="shared" si="43"/>
        <v>6</v>
      </c>
      <c r="L223" s="13">
        <f t="shared" si="43"/>
        <v>4</v>
      </c>
      <c r="M223" s="13">
        <f t="shared" si="43"/>
        <v>23</v>
      </c>
      <c r="N223" s="13">
        <f t="shared" si="43"/>
        <v>6</v>
      </c>
      <c r="O223" s="13">
        <f t="shared" si="43"/>
        <v>5</v>
      </c>
      <c r="P223" s="13">
        <f t="shared" si="43"/>
        <v>5</v>
      </c>
      <c r="Q223" s="13">
        <f t="shared" si="43"/>
        <v>1</v>
      </c>
      <c r="R223" s="13">
        <f t="shared" si="43"/>
        <v>7</v>
      </c>
      <c r="S223" s="13">
        <f t="shared" si="43"/>
        <v>14</v>
      </c>
      <c r="T223" s="13">
        <f t="shared" si="43"/>
        <v>13</v>
      </c>
      <c r="U223" s="13">
        <f t="shared" si="43"/>
        <v>9</v>
      </c>
      <c r="V223" s="13">
        <f t="shared" si="43"/>
        <v>0</v>
      </c>
      <c r="W223" s="13">
        <f t="shared" si="43"/>
        <v>0</v>
      </c>
      <c r="X223" s="13">
        <f t="shared" si="43"/>
        <v>3</v>
      </c>
      <c r="Y223" s="13">
        <f t="shared" si="43"/>
        <v>3</v>
      </c>
      <c r="Z223" s="13">
        <f t="shared" si="43"/>
        <v>10</v>
      </c>
      <c r="AA223" s="13">
        <f t="shared" si="43"/>
        <v>2</v>
      </c>
      <c r="AB223" s="13">
        <f t="shared" si="43"/>
        <v>2</v>
      </c>
      <c r="AC223" s="13">
        <f t="shared" si="43"/>
        <v>4</v>
      </c>
      <c r="AD223" s="13">
        <f t="shared" si="43"/>
        <v>2</v>
      </c>
      <c r="AE223" s="13">
        <f t="shared" si="43"/>
        <v>1</v>
      </c>
      <c r="AF223" s="13">
        <f t="shared" si="43"/>
        <v>5</v>
      </c>
      <c r="AG223" s="13">
        <f t="shared" si="43"/>
        <v>175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1.0</v>
      </c>
      <c r="T225" s="19">
        <v>0.0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3">
        <f t="shared" ref="AG225:AG234" si="44">SUM(E225:AF225)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1.0</v>
      </c>
      <c r="G226" s="19">
        <v>0.0</v>
      </c>
      <c r="H226" s="19">
        <v>5.0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4.0</v>
      </c>
      <c r="O226" s="19">
        <v>0.0</v>
      </c>
      <c r="P226" s="19">
        <v>1.0</v>
      </c>
      <c r="Q226" s="19">
        <v>2.0</v>
      </c>
      <c r="R226" s="19">
        <v>1.0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1.0</v>
      </c>
      <c r="AG226" s="13">
        <f t="shared" si="44"/>
        <v>15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1.0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1.0</v>
      </c>
      <c r="H232" s="19">
        <v>0.0</v>
      </c>
      <c r="I232" s="19">
        <v>0.0</v>
      </c>
      <c r="J232" s="19">
        <v>2.0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3">
        <f t="shared" si="44"/>
        <v>4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G235" si="45">SUM(E225:E234)</f>
        <v>0</v>
      </c>
      <c r="F235" s="13">
        <f t="shared" si="45"/>
        <v>2</v>
      </c>
      <c r="G235" s="13">
        <f t="shared" si="45"/>
        <v>1</v>
      </c>
      <c r="H235" s="13">
        <f t="shared" si="45"/>
        <v>6</v>
      </c>
      <c r="I235" s="13">
        <f t="shared" si="45"/>
        <v>1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4</v>
      </c>
      <c r="O235" s="13">
        <f t="shared" si="45"/>
        <v>0</v>
      </c>
      <c r="P235" s="13">
        <f t="shared" si="45"/>
        <v>2</v>
      </c>
      <c r="Q235" s="13">
        <f t="shared" si="45"/>
        <v>2</v>
      </c>
      <c r="R235" s="13">
        <f t="shared" si="45"/>
        <v>2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26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3.0</v>
      </c>
      <c r="G237" s="19">
        <v>2.0</v>
      </c>
      <c r="H237" s="19">
        <v>2.0</v>
      </c>
      <c r="I237" s="19">
        <v>2.0</v>
      </c>
      <c r="J237" s="19">
        <v>1.0</v>
      </c>
      <c r="K237" s="19">
        <v>1.0</v>
      </c>
      <c r="L237" s="19">
        <v>1.0</v>
      </c>
      <c r="M237" s="19">
        <v>0.0</v>
      </c>
      <c r="N237" s="19">
        <v>3.0</v>
      </c>
      <c r="O237" s="19">
        <v>1.0</v>
      </c>
      <c r="P237" s="19">
        <v>2.0</v>
      </c>
      <c r="Q237" s="19">
        <v>1.0</v>
      </c>
      <c r="R237" s="19">
        <v>2.0</v>
      </c>
      <c r="S237" s="19">
        <v>20.0</v>
      </c>
      <c r="T237" s="19">
        <v>2.0</v>
      </c>
      <c r="U237" s="19">
        <v>3.0</v>
      </c>
      <c r="V237" s="19">
        <v>4.0</v>
      </c>
      <c r="W237" s="19">
        <v>4.0</v>
      </c>
      <c r="X237" s="19">
        <v>6.0</v>
      </c>
      <c r="Y237" s="19">
        <v>6.0</v>
      </c>
      <c r="Z237" s="19">
        <v>4.0</v>
      </c>
      <c r="AA237" s="19">
        <v>3.0</v>
      </c>
      <c r="AB237" s="19">
        <v>0.0</v>
      </c>
      <c r="AC237" s="19">
        <v>1.0</v>
      </c>
      <c r="AD237" s="19">
        <v>0.0</v>
      </c>
      <c r="AE237" s="19">
        <v>0.0</v>
      </c>
      <c r="AF237" s="19">
        <v>0.0</v>
      </c>
      <c r="AG237" s="13">
        <f t="shared" ref="AG237:AG246" si="46">SUM(E237:AF237)</f>
        <v>74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1.0</v>
      </c>
      <c r="G238" s="19">
        <v>0.0</v>
      </c>
      <c r="H238" s="19">
        <v>2.0</v>
      </c>
      <c r="I238" s="19">
        <v>2.0</v>
      </c>
      <c r="J238" s="19">
        <v>1.0</v>
      </c>
      <c r="K238" s="19">
        <v>5.0</v>
      </c>
      <c r="L238" s="19">
        <v>14.0</v>
      </c>
      <c r="M238" s="19">
        <v>0.0</v>
      </c>
      <c r="N238" s="19">
        <v>0.0</v>
      </c>
      <c r="O238" s="19">
        <v>3.0</v>
      </c>
      <c r="P238" s="19">
        <v>2.0</v>
      </c>
      <c r="Q238" s="19">
        <v>3.0</v>
      </c>
      <c r="R238" s="19">
        <v>1.0</v>
      </c>
      <c r="S238" s="19">
        <v>10.0</v>
      </c>
      <c r="T238" s="19">
        <v>0.0</v>
      </c>
      <c r="U238" s="19">
        <v>4.0</v>
      </c>
      <c r="V238" s="19">
        <v>2.0</v>
      </c>
      <c r="W238" s="19">
        <v>4.0</v>
      </c>
      <c r="X238" s="19">
        <v>7.0</v>
      </c>
      <c r="Y238" s="19">
        <v>1.0</v>
      </c>
      <c r="Z238" s="19">
        <v>0.0</v>
      </c>
      <c r="AA238" s="19">
        <v>3.0</v>
      </c>
      <c r="AB238" s="19">
        <v>2.0</v>
      </c>
      <c r="AC238" s="19">
        <v>0.0</v>
      </c>
      <c r="AD238" s="19">
        <v>1.0</v>
      </c>
      <c r="AE238" s="19">
        <v>1.0</v>
      </c>
      <c r="AF238" s="19">
        <v>0.0</v>
      </c>
      <c r="AG238" s="13">
        <f t="shared" si="46"/>
        <v>69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0.0</v>
      </c>
      <c r="F239" s="19">
        <v>0.0</v>
      </c>
      <c r="G239" s="19">
        <v>1.0</v>
      </c>
      <c r="H239" s="19">
        <v>1.0</v>
      </c>
      <c r="I239" s="19">
        <v>0.0</v>
      </c>
      <c r="J239" s="19">
        <v>0.0</v>
      </c>
      <c r="K239" s="19">
        <v>2.0</v>
      </c>
      <c r="L239" s="19">
        <v>1.0</v>
      </c>
      <c r="M239" s="19">
        <v>0.0</v>
      </c>
      <c r="N239" s="19">
        <v>5.0</v>
      </c>
      <c r="O239" s="19">
        <v>4.0</v>
      </c>
      <c r="P239" s="19">
        <v>1.0</v>
      </c>
      <c r="Q239" s="19">
        <v>1.0</v>
      </c>
      <c r="R239" s="19">
        <v>10.0</v>
      </c>
      <c r="S239" s="19">
        <v>25.0</v>
      </c>
      <c r="T239" s="19">
        <v>6.0</v>
      </c>
      <c r="U239" s="19">
        <v>20.0</v>
      </c>
      <c r="V239" s="19">
        <v>5.0</v>
      </c>
      <c r="W239" s="19">
        <v>1.0</v>
      </c>
      <c r="X239" s="19">
        <v>3.0</v>
      </c>
      <c r="Y239" s="19">
        <v>8.0</v>
      </c>
      <c r="Z239" s="19">
        <v>3.0</v>
      </c>
      <c r="AA239" s="19">
        <v>11.0</v>
      </c>
      <c r="AB239" s="19">
        <v>2.0</v>
      </c>
      <c r="AC239" s="19">
        <v>1.0</v>
      </c>
      <c r="AD239" s="19">
        <v>1.0</v>
      </c>
      <c r="AE239" s="19">
        <v>0.0</v>
      </c>
      <c r="AF239" s="19">
        <v>14.0</v>
      </c>
      <c r="AG239" s="13">
        <f t="shared" si="46"/>
        <v>126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3">
        <f t="shared" si="46"/>
        <v>3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1.0</v>
      </c>
      <c r="AG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2.0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3.0</v>
      </c>
      <c r="AG244" s="13">
        <f t="shared" si="46"/>
        <v>4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G247" si="47">SUM(E237:E246)</f>
        <v>0</v>
      </c>
      <c r="F247" s="13">
        <f t="shared" si="47"/>
        <v>4</v>
      </c>
      <c r="G247" s="13">
        <f t="shared" si="47"/>
        <v>3</v>
      </c>
      <c r="H247" s="13">
        <f t="shared" si="47"/>
        <v>6</v>
      </c>
      <c r="I247" s="13">
        <f t="shared" si="47"/>
        <v>4</v>
      </c>
      <c r="J247" s="13">
        <f t="shared" si="47"/>
        <v>2</v>
      </c>
      <c r="K247" s="13">
        <f t="shared" si="47"/>
        <v>8</v>
      </c>
      <c r="L247" s="13">
        <f t="shared" si="47"/>
        <v>17</v>
      </c>
      <c r="M247" s="13">
        <f t="shared" si="47"/>
        <v>1</v>
      </c>
      <c r="N247" s="13">
        <f t="shared" si="47"/>
        <v>11</v>
      </c>
      <c r="O247" s="13">
        <f t="shared" si="47"/>
        <v>9</v>
      </c>
      <c r="P247" s="13">
        <f t="shared" si="47"/>
        <v>5</v>
      </c>
      <c r="Q247" s="13">
        <f t="shared" si="47"/>
        <v>5</v>
      </c>
      <c r="R247" s="13">
        <f t="shared" si="47"/>
        <v>13</v>
      </c>
      <c r="S247" s="13">
        <f t="shared" si="47"/>
        <v>55</v>
      </c>
      <c r="T247" s="13">
        <f t="shared" si="47"/>
        <v>8</v>
      </c>
      <c r="U247" s="13">
        <f t="shared" si="47"/>
        <v>27</v>
      </c>
      <c r="V247" s="13">
        <f t="shared" si="47"/>
        <v>11</v>
      </c>
      <c r="W247" s="13">
        <f t="shared" si="47"/>
        <v>10</v>
      </c>
      <c r="X247" s="13">
        <f t="shared" si="47"/>
        <v>16</v>
      </c>
      <c r="Y247" s="13">
        <f t="shared" si="47"/>
        <v>16</v>
      </c>
      <c r="Z247" s="13">
        <f t="shared" si="47"/>
        <v>7</v>
      </c>
      <c r="AA247" s="13">
        <f t="shared" si="47"/>
        <v>17</v>
      </c>
      <c r="AB247" s="13">
        <f t="shared" si="47"/>
        <v>4</v>
      </c>
      <c r="AC247" s="13">
        <f t="shared" si="47"/>
        <v>2</v>
      </c>
      <c r="AD247" s="13">
        <f t="shared" si="47"/>
        <v>2</v>
      </c>
      <c r="AE247" s="13">
        <f t="shared" si="47"/>
        <v>1</v>
      </c>
      <c r="AF247" s="13">
        <f t="shared" si="47"/>
        <v>18</v>
      </c>
      <c r="AG247" s="13">
        <f t="shared" si="47"/>
        <v>282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1.0</v>
      </c>
      <c r="K249" s="19">
        <v>1.0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3">
        <f t="shared" ref="AG249:AG258" si="48">SUM(E249:AF249)</f>
        <v>4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2.0</v>
      </c>
      <c r="H250" s="19">
        <v>2.0</v>
      </c>
      <c r="I250" s="19">
        <v>1.0</v>
      </c>
      <c r="J250" s="19">
        <v>1.0</v>
      </c>
      <c r="K250" s="19">
        <v>0.0</v>
      </c>
      <c r="L250" s="19">
        <v>2.0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3">
        <f t="shared" si="48"/>
        <v>9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3.0</v>
      </c>
      <c r="G251" s="19">
        <v>0.0</v>
      </c>
      <c r="H251" s="19">
        <v>0.0</v>
      </c>
      <c r="I251" s="19">
        <v>2.0</v>
      </c>
      <c r="J251" s="19">
        <v>0.0</v>
      </c>
      <c r="K251" s="19">
        <v>1.0</v>
      </c>
      <c r="L251" s="19">
        <v>8.0</v>
      </c>
      <c r="M251" s="19">
        <v>0.0</v>
      </c>
      <c r="N251" s="19">
        <v>0.0</v>
      </c>
      <c r="O251" s="19">
        <v>0.0</v>
      </c>
      <c r="P251" s="19">
        <v>1.0</v>
      </c>
      <c r="Q251" s="19">
        <v>2.0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3.0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3.0</v>
      </c>
      <c r="AG251" s="13">
        <f t="shared" si="48"/>
        <v>24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1.0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3">
        <f t="shared" si="48"/>
        <v>1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1.0</v>
      </c>
      <c r="AC255" s="19">
        <v>0.0</v>
      </c>
      <c r="AD255" s="19">
        <v>0.0</v>
      </c>
      <c r="AE255" s="19">
        <v>0.0</v>
      </c>
      <c r="AF255" s="19">
        <v>0.0</v>
      </c>
      <c r="AG255" s="13">
        <f t="shared" si="48"/>
        <v>1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G259" si="49">SUM(E249:E258)</f>
        <v>0</v>
      </c>
      <c r="F259" s="13">
        <f t="shared" si="49"/>
        <v>3</v>
      </c>
      <c r="G259" s="13">
        <f t="shared" si="49"/>
        <v>3</v>
      </c>
      <c r="H259" s="13">
        <f t="shared" si="49"/>
        <v>2</v>
      </c>
      <c r="I259" s="13">
        <f t="shared" si="49"/>
        <v>4</v>
      </c>
      <c r="J259" s="13">
        <f t="shared" si="49"/>
        <v>2</v>
      </c>
      <c r="K259" s="13">
        <f t="shared" si="49"/>
        <v>2</v>
      </c>
      <c r="L259" s="13">
        <f t="shared" si="49"/>
        <v>11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3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3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3</v>
      </c>
      <c r="AG259" s="13">
        <f t="shared" si="49"/>
        <v>39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13"/>
      <c r="T261" s="13"/>
      <c r="U261" s="13"/>
      <c r="V261" s="13"/>
      <c r="W261" s="77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F262" si="50">E55+E67+E79+E91+E103+E115+E127+E139+E151+E163+E175+E187+E199+E211+E223+E235+E247+E259</f>
        <v>202</v>
      </c>
      <c r="F262" s="19">
        <f t="shared" si="50"/>
        <v>212</v>
      </c>
      <c r="G262" s="19">
        <f t="shared" si="50"/>
        <v>203</v>
      </c>
      <c r="H262" s="19">
        <f t="shared" si="50"/>
        <v>171</v>
      </c>
      <c r="I262" s="19">
        <f t="shared" si="50"/>
        <v>177</v>
      </c>
      <c r="J262" s="19">
        <f t="shared" si="50"/>
        <v>189</v>
      </c>
      <c r="K262" s="19">
        <f t="shared" si="50"/>
        <v>165</v>
      </c>
      <c r="L262" s="19">
        <f t="shared" si="50"/>
        <v>162</v>
      </c>
      <c r="M262" s="19">
        <f t="shared" si="50"/>
        <v>196</v>
      </c>
      <c r="N262" s="19">
        <f t="shared" si="50"/>
        <v>200</v>
      </c>
      <c r="O262" s="19">
        <f t="shared" si="50"/>
        <v>179</v>
      </c>
      <c r="P262" s="19">
        <f t="shared" si="50"/>
        <v>168</v>
      </c>
      <c r="Q262" s="19">
        <f t="shared" si="50"/>
        <v>192</v>
      </c>
      <c r="R262" s="19">
        <f t="shared" si="50"/>
        <v>150</v>
      </c>
      <c r="S262" s="19">
        <f t="shared" si="50"/>
        <v>181</v>
      </c>
      <c r="T262" s="19">
        <f t="shared" si="50"/>
        <v>193</v>
      </c>
      <c r="U262" s="19">
        <f t="shared" si="50"/>
        <v>151</v>
      </c>
      <c r="V262" s="19">
        <f t="shared" si="50"/>
        <v>152</v>
      </c>
      <c r="W262" s="19">
        <f t="shared" si="50"/>
        <v>176</v>
      </c>
      <c r="X262" s="19">
        <f t="shared" si="50"/>
        <v>196</v>
      </c>
      <c r="Y262" s="19">
        <f t="shared" si="50"/>
        <v>154</v>
      </c>
      <c r="Z262" s="19">
        <f t="shared" si="50"/>
        <v>127</v>
      </c>
      <c r="AA262" s="19">
        <f t="shared" si="50"/>
        <v>130</v>
      </c>
      <c r="AB262" s="19">
        <f t="shared" si="50"/>
        <v>132</v>
      </c>
      <c r="AC262" s="19">
        <f t="shared" si="50"/>
        <v>176</v>
      </c>
      <c r="AD262" s="19">
        <f t="shared" si="50"/>
        <v>164</v>
      </c>
      <c r="AE262" s="19">
        <f t="shared" si="50"/>
        <v>132</v>
      </c>
      <c r="AF262" s="19">
        <f t="shared" si="50"/>
        <v>174</v>
      </c>
      <c r="AG262" s="13">
        <f t="shared" ref="AG262:AG264" si="51">SUM(E262:AF262)</f>
        <v>4804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10.0</v>
      </c>
      <c r="F263" s="19">
        <v>19.0</v>
      </c>
      <c r="G263" s="19">
        <v>12.0</v>
      </c>
      <c r="H263" s="19">
        <v>21.0</v>
      </c>
      <c r="I263" s="19">
        <v>13.0</v>
      </c>
      <c r="J263" s="19">
        <v>12.0</v>
      </c>
      <c r="K263" s="19">
        <v>24.0</v>
      </c>
      <c r="L263" s="19">
        <v>22.0</v>
      </c>
      <c r="M263" s="19">
        <v>22.0</v>
      </c>
      <c r="N263" s="19">
        <v>28.0</v>
      </c>
      <c r="O263" s="19">
        <v>25.0</v>
      </c>
      <c r="P263" s="19">
        <v>13.0</v>
      </c>
      <c r="Q263" s="19">
        <v>16.0</v>
      </c>
      <c r="R263" s="19">
        <v>26.0</v>
      </c>
      <c r="S263" s="19">
        <v>24.0</v>
      </c>
      <c r="T263" s="19">
        <v>13.0</v>
      </c>
      <c r="U263" s="19">
        <v>14.0</v>
      </c>
      <c r="V263" s="19">
        <v>34.0</v>
      </c>
      <c r="W263" s="19">
        <v>33.0</v>
      </c>
      <c r="X263" s="19">
        <v>12.0</v>
      </c>
      <c r="Y263" s="19">
        <v>27.0</v>
      </c>
      <c r="Z263" s="19">
        <v>19.0</v>
      </c>
      <c r="AA263" s="19">
        <v>13.0</v>
      </c>
      <c r="AB263" s="19">
        <v>41.0</v>
      </c>
      <c r="AC263" s="19">
        <v>24.0</v>
      </c>
      <c r="AD263" s="19">
        <v>34.0</v>
      </c>
      <c r="AE263" s="19">
        <v>23.0</v>
      </c>
      <c r="AF263" s="19">
        <v>23.0</v>
      </c>
      <c r="AG263" s="13">
        <f t="shared" si="51"/>
        <v>597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F264" si="52">SUM(E262:E263)</f>
        <v>212</v>
      </c>
      <c r="F264" s="13">
        <f t="shared" si="52"/>
        <v>231</v>
      </c>
      <c r="G264" s="13">
        <f t="shared" si="52"/>
        <v>215</v>
      </c>
      <c r="H264" s="13">
        <f t="shared" si="52"/>
        <v>192</v>
      </c>
      <c r="I264" s="13">
        <f t="shared" si="52"/>
        <v>190</v>
      </c>
      <c r="J264" s="13">
        <f t="shared" si="52"/>
        <v>201</v>
      </c>
      <c r="K264" s="13">
        <f t="shared" si="52"/>
        <v>189</v>
      </c>
      <c r="L264" s="13">
        <f t="shared" si="52"/>
        <v>184</v>
      </c>
      <c r="M264" s="13">
        <f t="shared" si="52"/>
        <v>218</v>
      </c>
      <c r="N264" s="13">
        <f t="shared" si="52"/>
        <v>228</v>
      </c>
      <c r="O264" s="13">
        <f t="shared" si="52"/>
        <v>204</v>
      </c>
      <c r="P264" s="13">
        <f t="shared" si="52"/>
        <v>181</v>
      </c>
      <c r="Q264" s="13">
        <f t="shared" si="52"/>
        <v>208</v>
      </c>
      <c r="R264" s="13">
        <f t="shared" si="52"/>
        <v>176</v>
      </c>
      <c r="S264" s="13">
        <f t="shared" si="52"/>
        <v>205</v>
      </c>
      <c r="T264" s="13">
        <f t="shared" si="52"/>
        <v>206</v>
      </c>
      <c r="U264" s="13">
        <f t="shared" si="52"/>
        <v>165</v>
      </c>
      <c r="V264" s="13">
        <f t="shared" si="52"/>
        <v>186</v>
      </c>
      <c r="W264" s="13">
        <f t="shared" si="52"/>
        <v>209</v>
      </c>
      <c r="X264" s="13">
        <f t="shared" si="52"/>
        <v>208</v>
      </c>
      <c r="Y264" s="13">
        <f t="shared" si="52"/>
        <v>181</v>
      </c>
      <c r="Z264" s="13">
        <f t="shared" si="52"/>
        <v>146</v>
      </c>
      <c r="AA264" s="13">
        <f t="shared" si="52"/>
        <v>143</v>
      </c>
      <c r="AB264" s="13">
        <f t="shared" si="52"/>
        <v>173</v>
      </c>
      <c r="AC264" s="13">
        <f t="shared" si="52"/>
        <v>200</v>
      </c>
      <c r="AD264" s="13">
        <f t="shared" si="52"/>
        <v>198</v>
      </c>
      <c r="AE264" s="13">
        <f t="shared" si="52"/>
        <v>155</v>
      </c>
      <c r="AF264" s="13">
        <f t="shared" si="52"/>
        <v>197</v>
      </c>
      <c r="AG264" s="13">
        <f t="shared" si="51"/>
        <v>5401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1" priority="1">
      <formula>LEN(TRIM(E14))=0</formula>
    </cfRule>
  </conditionalFormatting>
  <conditionalFormatting sqref="E30:AF30">
    <cfRule type="expression" dxfId="0" priority="2">
      <formula>E30&lt;&gt;E47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D11" s="1"/>
      <c r="AH11" s="1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82.0</v>
      </c>
      <c r="F14" s="19">
        <v>145.0</v>
      </c>
      <c r="G14" s="19">
        <v>137.0</v>
      </c>
      <c r="H14" s="19">
        <v>143.0</v>
      </c>
      <c r="I14" s="19">
        <v>118.0</v>
      </c>
      <c r="J14" s="19">
        <v>149.0</v>
      </c>
      <c r="K14" s="19">
        <v>148.0</v>
      </c>
      <c r="L14" s="19">
        <v>104.0</v>
      </c>
      <c r="M14" s="19">
        <v>96.0</v>
      </c>
      <c r="N14" s="19">
        <v>142.0</v>
      </c>
      <c r="O14" s="19">
        <v>144.0</v>
      </c>
      <c r="P14" s="19">
        <v>127.0</v>
      </c>
      <c r="Q14" s="19">
        <v>94.0</v>
      </c>
      <c r="R14" s="19">
        <v>135.0</v>
      </c>
      <c r="S14" s="19">
        <v>138.0</v>
      </c>
      <c r="T14" s="19">
        <v>145.0</v>
      </c>
      <c r="U14" s="19">
        <v>122.0</v>
      </c>
      <c r="V14" s="19">
        <v>144.0</v>
      </c>
      <c r="W14" s="19">
        <v>149.0</v>
      </c>
      <c r="X14" s="19">
        <v>146.0</v>
      </c>
      <c r="Y14" s="19">
        <v>147.0</v>
      </c>
      <c r="Z14" s="19">
        <v>141.0</v>
      </c>
      <c r="AA14" s="19">
        <v>138.0</v>
      </c>
      <c r="AB14" s="19">
        <v>141.0</v>
      </c>
      <c r="AC14" s="19">
        <v>141.0</v>
      </c>
      <c r="AD14" s="19">
        <v>130.0</v>
      </c>
      <c r="AE14" s="19">
        <v>139.0</v>
      </c>
      <c r="AF14" s="19">
        <v>134.0</v>
      </c>
      <c r="AG14" s="19">
        <v>137.0</v>
      </c>
      <c r="AH14" s="19">
        <v>128.0</v>
      </c>
      <c r="AI14" s="19">
        <v>126.0</v>
      </c>
      <c r="AJ14" s="13">
        <f t="shared" ref="AJ14:AJ16" si="1">SUM(E14:AI14)</f>
        <v>4110</v>
      </c>
    </row>
    <row r="15" ht="12.75" customHeight="1">
      <c r="A15" s="18"/>
      <c r="B15" s="26"/>
      <c r="C15" s="27"/>
      <c r="D15" s="19" t="s">
        <v>13</v>
      </c>
      <c r="E15" s="19">
        <v>88.0</v>
      </c>
      <c r="F15" s="19">
        <v>145.0</v>
      </c>
      <c r="G15" s="19">
        <v>131.0</v>
      </c>
      <c r="H15" s="19">
        <v>125.0</v>
      </c>
      <c r="I15" s="19">
        <v>152.0</v>
      </c>
      <c r="J15" s="19">
        <v>147.0</v>
      </c>
      <c r="K15" s="19">
        <v>144.0</v>
      </c>
      <c r="L15" s="19">
        <v>109.0</v>
      </c>
      <c r="M15" s="19">
        <v>103.0</v>
      </c>
      <c r="N15" s="19">
        <v>145.0</v>
      </c>
      <c r="O15" s="19">
        <v>134.0</v>
      </c>
      <c r="P15" s="19">
        <v>117.0</v>
      </c>
      <c r="Q15" s="19">
        <v>103.0</v>
      </c>
      <c r="R15" s="19">
        <v>128.0</v>
      </c>
      <c r="S15" s="19">
        <v>144.0</v>
      </c>
      <c r="T15" s="19">
        <v>149.0</v>
      </c>
      <c r="U15" s="19">
        <v>123.0</v>
      </c>
      <c r="V15" s="19">
        <v>144.0</v>
      </c>
      <c r="W15" s="19">
        <v>137.0</v>
      </c>
      <c r="X15" s="19">
        <v>140.0</v>
      </c>
      <c r="Y15" s="19">
        <v>145.0</v>
      </c>
      <c r="Z15" s="19">
        <v>130.0</v>
      </c>
      <c r="AA15" s="19">
        <v>130.0</v>
      </c>
      <c r="AB15" s="19">
        <v>144.0</v>
      </c>
      <c r="AC15" s="19">
        <v>146.0</v>
      </c>
      <c r="AD15" s="19">
        <v>149.0</v>
      </c>
      <c r="AE15" s="19">
        <v>138.0</v>
      </c>
      <c r="AF15" s="19">
        <v>152.0</v>
      </c>
      <c r="AG15" s="19">
        <v>133.0</v>
      </c>
      <c r="AH15" s="19">
        <v>124.0</v>
      </c>
      <c r="AI15" s="19">
        <v>147.0</v>
      </c>
      <c r="AJ15" s="13">
        <f t="shared" si="1"/>
        <v>4146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170</v>
      </c>
      <c r="F16" s="13">
        <f t="shared" si="2"/>
        <v>290</v>
      </c>
      <c r="G16" s="13">
        <f t="shared" si="2"/>
        <v>268</v>
      </c>
      <c r="H16" s="13">
        <f t="shared" si="2"/>
        <v>268</v>
      </c>
      <c r="I16" s="13">
        <f t="shared" si="2"/>
        <v>270</v>
      </c>
      <c r="J16" s="13">
        <f t="shared" si="2"/>
        <v>296</v>
      </c>
      <c r="K16" s="13">
        <f t="shared" si="2"/>
        <v>292</v>
      </c>
      <c r="L16" s="13">
        <f t="shared" si="2"/>
        <v>213</v>
      </c>
      <c r="M16" s="13">
        <f t="shared" si="2"/>
        <v>199</v>
      </c>
      <c r="N16" s="13">
        <f t="shared" si="2"/>
        <v>287</v>
      </c>
      <c r="O16" s="13">
        <f t="shared" si="2"/>
        <v>278</v>
      </c>
      <c r="P16" s="13">
        <f t="shared" si="2"/>
        <v>244</v>
      </c>
      <c r="Q16" s="13">
        <f t="shared" si="2"/>
        <v>197</v>
      </c>
      <c r="R16" s="13">
        <f t="shared" si="2"/>
        <v>263</v>
      </c>
      <c r="S16" s="13">
        <f t="shared" si="2"/>
        <v>282</v>
      </c>
      <c r="T16" s="13">
        <f t="shared" si="2"/>
        <v>294</v>
      </c>
      <c r="U16" s="13">
        <f t="shared" si="2"/>
        <v>245</v>
      </c>
      <c r="V16" s="13">
        <f t="shared" si="2"/>
        <v>288</v>
      </c>
      <c r="W16" s="13">
        <f t="shared" si="2"/>
        <v>286</v>
      </c>
      <c r="X16" s="13">
        <f t="shared" si="2"/>
        <v>286</v>
      </c>
      <c r="Y16" s="13">
        <f t="shared" si="2"/>
        <v>292</v>
      </c>
      <c r="Z16" s="13">
        <f t="shared" si="2"/>
        <v>271</v>
      </c>
      <c r="AA16" s="13">
        <f t="shared" si="2"/>
        <v>268</v>
      </c>
      <c r="AB16" s="13">
        <f t="shared" si="2"/>
        <v>285</v>
      </c>
      <c r="AC16" s="13">
        <f t="shared" si="2"/>
        <v>287</v>
      </c>
      <c r="AD16" s="13">
        <f t="shared" si="2"/>
        <v>279</v>
      </c>
      <c r="AE16" s="13">
        <f t="shared" si="2"/>
        <v>277</v>
      </c>
      <c r="AF16" s="13">
        <f t="shared" si="2"/>
        <v>286</v>
      </c>
      <c r="AG16" s="13">
        <f t="shared" si="2"/>
        <v>270</v>
      </c>
      <c r="AH16" s="13">
        <f t="shared" si="2"/>
        <v>252</v>
      </c>
      <c r="AI16" s="13">
        <f t="shared" si="2"/>
        <v>273</v>
      </c>
      <c r="AJ16" s="13">
        <f t="shared" si="1"/>
        <v>8256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19"/>
      <c r="R17" s="19"/>
      <c r="S17" s="19"/>
      <c r="T17" s="19"/>
      <c r="U17" s="19"/>
      <c r="V17" s="19"/>
      <c r="W17" s="19"/>
      <c r="X17" s="19"/>
      <c r="Y17" s="19"/>
      <c r="Z17" s="75"/>
      <c r="AA17" s="75"/>
      <c r="AB17" s="75"/>
      <c r="AC17" s="75"/>
      <c r="AD17" s="19"/>
      <c r="AE17" s="75"/>
      <c r="AF17" s="75"/>
      <c r="AG17" s="75"/>
      <c r="AH17" s="19"/>
      <c r="AI17" s="19"/>
      <c r="AJ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19"/>
      <c r="R18" s="19"/>
      <c r="S18" s="19"/>
      <c r="T18" s="19"/>
      <c r="U18" s="19"/>
      <c r="V18" s="19"/>
      <c r="W18" s="19"/>
      <c r="X18" s="19"/>
      <c r="Y18" s="19"/>
      <c r="Z18" s="75"/>
      <c r="AA18" s="75"/>
      <c r="AB18" s="75"/>
      <c r="AC18" s="75"/>
      <c r="AD18" s="19"/>
      <c r="AE18" s="75"/>
      <c r="AF18" s="75"/>
      <c r="AG18" s="75"/>
      <c r="AH18" s="19"/>
      <c r="AI18" s="19"/>
      <c r="AJ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63.0</v>
      </c>
      <c r="F19" s="19">
        <v>91.0</v>
      </c>
      <c r="G19" s="19">
        <v>95.0</v>
      </c>
      <c r="H19" s="19">
        <v>105.0</v>
      </c>
      <c r="I19" s="19">
        <v>82.0</v>
      </c>
      <c r="J19" s="19">
        <v>103.0</v>
      </c>
      <c r="K19" s="19">
        <v>105.0</v>
      </c>
      <c r="L19" s="19">
        <v>80.0</v>
      </c>
      <c r="M19" s="19">
        <v>75.0</v>
      </c>
      <c r="N19" s="19">
        <v>112.0</v>
      </c>
      <c r="O19" s="19">
        <v>107.0</v>
      </c>
      <c r="P19" s="19">
        <v>96.0</v>
      </c>
      <c r="Q19" s="19">
        <v>76.0</v>
      </c>
      <c r="R19" s="19">
        <v>101.0</v>
      </c>
      <c r="S19" s="19">
        <v>91.0</v>
      </c>
      <c r="T19" s="19">
        <v>107.0</v>
      </c>
      <c r="U19" s="19">
        <v>91.0</v>
      </c>
      <c r="V19" s="19">
        <v>95.0</v>
      </c>
      <c r="W19" s="19">
        <v>118.0</v>
      </c>
      <c r="X19" s="19">
        <v>111.0</v>
      </c>
      <c r="Y19" s="19">
        <v>108.0</v>
      </c>
      <c r="Z19" s="19">
        <v>94.0</v>
      </c>
      <c r="AA19" s="19">
        <v>97.0</v>
      </c>
      <c r="AB19" s="19">
        <v>100.0</v>
      </c>
      <c r="AC19" s="19">
        <v>109.0</v>
      </c>
      <c r="AD19" s="19">
        <v>88.0</v>
      </c>
      <c r="AE19" s="19">
        <v>103.0</v>
      </c>
      <c r="AF19" s="19">
        <v>98.0</v>
      </c>
      <c r="AG19" s="19">
        <v>102.0</v>
      </c>
      <c r="AH19" s="19">
        <v>83.0</v>
      </c>
      <c r="AI19" s="19">
        <v>99.0</v>
      </c>
      <c r="AJ19" s="13">
        <f t="shared" ref="AJ19:AJ30" si="3">SUM(E19:AI19)</f>
        <v>2985</v>
      </c>
    </row>
    <row r="20" ht="12.75" customHeight="1">
      <c r="A20" s="33"/>
      <c r="B20" s="27"/>
      <c r="C20" s="34"/>
      <c r="D20" s="19" t="s">
        <v>13</v>
      </c>
      <c r="E20" s="19">
        <v>67.0</v>
      </c>
      <c r="F20" s="19">
        <v>99.0</v>
      </c>
      <c r="G20" s="19">
        <v>93.0</v>
      </c>
      <c r="H20" s="19">
        <v>91.0</v>
      </c>
      <c r="I20" s="19">
        <v>107.0</v>
      </c>
      <c r="J20" s="19">
        <v>112.0</v>
      </c>
      <c r="K20" s="19">
        <v>110.0</v>
      </c>
      <c r="L20" s="19">
        <v>91.0</v>
      </c>
      <c r="M20" s="19">
        <v>73.0</v>
      </c>
      <c r="N20" s="19">
        <v>117.0</v>
      </c>
      <c r="O20" s="19">
        <v>106.0</v>
      </c>
      <c r="P20" s="19">
        <v>94.0</v>
      </c>
      <c r="Q20" s="19">
        <v>71.0</v>
      </c>
      <c r="R20" s="19">
        <v>100.0</v>
      </c>
      <c r="S20" s="19">
        <v>101.0</v>
      </c>
      <c r="T20" s="19">
        <v>108.0</v>
      </c>
      <c r="U20" s="19">
        <v>77.0</v>
      </c>
      <c r="V20" s="19">
        <v>109.0</v>
      </c>
      <c r="W20" s="19">
        <v>111.0</v>
      </c>
      <c r="X20" s="19">
        <v>99.0</v>
      </c>
      <c r="Y20" s="19">
        <v>124.0</v>
      </c>
      <c r="Z20" s="19">
        <v>94.0</v>
      </c>
      <c r="AA20" s="19">
        <v>99.0</v>
      </c>
      <c r="AB20" s="19">
        <v>111.0</v>
      </c>
      <c r="AC20" s="19">
        <v>119.0</v>
      </c>
      <c r="AD20" s="19">
        <v>109.0</v>
      </c>
      <c r="AE20" s="19">
        <v>119.0</v>
      </c>
      <c r="AF20" s="19">
        <v>120.0</v>
      </c>
      <c r="AG20" s="19">
        <v>102.0</v>
      </c>
      <c r="AH20" s="19">
        <v>94.0</v>
      </c>
      <c r="AI20" s="19">
        <v>120.0</v>
      </c>
      <c r="AJ20" s="13">
        <f t="shared" si="3"/>
        <v>3147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130</v>
      </c>
      <c r="F21" s="13">
        <f t="shared" si="4"/>
        <v>190</v>
      </c>
      <c r="G21" s="13">
        <f t="shared" si="4"/>
        <v>188</v>
      </c>
      <c r="H21" s="13">
        <f t="shared" si="4"/>
        <v>196</v>
      </c>
      <c r="I21" s="13">
        <f t="shared" si="4"/>
        <v>189</v>
      </c>
      <c r="J21" s="13">
        <f t="shared" si="4"/>
        <v>215</v>
      </c>
      <c r="K21" s="13">
        <f t="shared" si="4"/>
        <v>215</v>
      </c>
      <c r="L21" s="13">
        <f t="shared" si="4"/>
        <v>171</v>
      </c>
      <c r="M21" s="13">
        <f t="shared" si="4"/>
        <v>148</v>
      </c>
      <c r="N21" s="13">
        <f t="shared" si="4"/>
        <v>229</v>
      </c>
      <c r="O21" s="13">
        <f t="shared" si="4"/>
        <v>213</v>
      </c>
      <c r="P21" s="13">
        <f t="shared" si="4"/>
        <v>190</v>
      </c>
      <c r="Q21" s="13">
        <f t="shared" si="4"/>
        <v>147</v>
      </c>
      <c r="R21" s="13">
        <f t="shared" si="4"/>
        <v>201</v>
      </c>
      <c r="S21" s="13">
        <f t="shared" si="4"/>
        <v>192</v>
      </c>
      <c r="T21" s="13">
        <f t="shared" si="4"/>
        <v>215</v>
      </c>
      <c r="U21" s="13">
        <f t="shared" si="4"/>
        <v>168</v>
      </c>
      <c r="V21" s="13">
        <f t="shared" si="4"/>
        <v>204</v>
      </c>
      <c r="W21" s="13">
        <f t="shared" si="4"/>
        <v>229</v>
      </c>
      <c r="X21" s="13">
        <f t="shared" si="4"/>
        <v>210</v>
      </c>
      <c r="Y21" s="13">
        <f t="shared" si="4"/>
        <v>232</v>
      </c>
      <c r="Z21" s="13">
        <f t="shared" si="4"/>
        <v>188</v>
      </c>
      <c r="AA21" s="13">
        <f t="shared" si="4"/>
        <v>196</v>
      </c>
      <c r="AB21" s="13">
        <f t="shared" si="4"/>
        <v>211</v>
      </c>
      <c r="AC21" s="13">
        <f t="shared" si="4"/>
        <v>228</v>
      </c>
      <c r="AD21" s="13">
        <f t="shared" si="4"/>
        <v>197</v>
      </c>
      <c r="AE21" s="13">
        <f t="shared" si="4"/>
        <v>222</v>
      </c>
      <c r="AF21" s="13">
        <f t="shared" si="4"/>
        <v>218</v>
      </c>
      <c r="AG21" s="13">
        <f t="shared" si="4"/>
        <v>204</v>
      </c>
      <c r="AH21" s="13">
        <f t="shared" si="4"/>
        <v>177</v>
      </c>
      <c r="AI21" s="13">
        <f t="shared" si="4"/>
        <v>219</v>
      </c>
      <c r="AJ21" s="13">
        <f t="shared" si="3"/>
        <v>6132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1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1.0</v>
      </c>
      <c r="M25" s="19">
        <v>2.0</v>
      </c>
      <c r="N25" s="19">
        <v>0.0</v>
      </c>
      <c r="O25" s="19">
        <v>1.0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2.0</v>
      </c>
      <c r="AC25" s="19">
        <v>0.0</v>
      </c>
      <c r="AD25" s="19">
        <v>1.0</v>
      </c>
      <c r="AE25" s="19">
        <v>0.0</v>
      </c>
      <c r="AF25" s="19">
        <v>0.0</v>
      </c>
      <c r="AG25" s="19">
        <v>1.0</v>
      </c>
      <c r="AH25" s="19">
        <v>1.0</v>
      </c>
      <c r="AI25" s="19">
        <v>0.0</v>
      </c>
      <c r="AJ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5.0</v>
      </c>
      <c r="G26" s="19">
        <v>0.0</v>
      </c>
      <c r="H26" s="19">
        <v>2.0</v>
      </c>
      <c r="I26" s="19">
        <v>2.0</v>
      </c>
      <c r="J26" s="19">
        <v>0.0</v>
      </c>
      <c r="K26" s="19">
        <v>1.0</v>
      </c>
      <c r="L26" s="19">
        <v>3.0</v>
      </c>
      <c r="M26" s="19">
        <v>0.0</v>
      </c>
      <c r="N26" s="19">
        <v>0.0</v>
      </c>
      <c r="O26" s="19">
        <v>2.0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2.0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0.0</v>
      </c>
      <c r="AB26" s="19">
        <v>5.0</v>
      </c>
      <c r="AC26" s="19">
        <v>1.0</v>
      </c>
      <c r="AD26" s="19">
        <v>1.0</v>
      </c>
      <c r="AE26" s="19">
        <v>0.0</v>
      </c>
      <c r="AF26" s="19">
        <v>3.0</v>
      </c>
      <c r="AG26" s="19">
        <v>1.0</v>
      </c>
      <c r="AH26" s="19">
        <v>6.0</v>
      </c>
      <c r="AI26" s="19">
        <v>0.0</v>
      </c>
      <c r="AJ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4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3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0</v>
      </c>
      <c r="AB27" s="13">
        <f t="shared" si="6"/>
        <v>7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3"/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63</v>
      </c>
      <c r="F28" s="13">
        <f t="shared" si="7"/>
        <v>92</v>
      </c>
      <c r="G28" s="13">
        <f t="shared" si="7"/>
        <v>95</v>
      </c>
      <c r="H28" s="13">
        <f t="shared" si="7"/>
        <v>108</v>
      </c>
      <c r="I28" s="13">
        <f t="shared" si="7"/>
        <v>82</v>
      </c>
      <c r="J28" s="13">
        <f t="shared" si="7"/>
        <v>103</v>
      </c>
      <c r="K28" s="13">
        <f t="shared" si="7"/>
        <v>105</v>
      </c>
      <c r="L28" s="13">
        <f t="shared" si="7"/>
        <v>81</v>
      </c>
      <c r="M28" s="13">
        <f t="shared" si="7"/>
        <v>77</v>
      </c>
      <c r="N28" s="13">
        <f t="shared" si="7"/>
        <v>112</v>
      </c>
      <c r="O28" s="13">
        <f t="shared" si="7"/>
        <v>108</v>
      </c>
      <c r="P28" s="13">
        <f t="shared" si="7"/>
        <v>96</v>
      </c>
      <c r="Q28" s="13">
        <f t="shared" si="7"/>
        <v>76</v>
      </c>
      <c r="R28" s="13">
        <f t="shared" si="7"/>
        <v>102</v>
      </c>
      <c r="S28" s="13">
        <f t="shared" si="7"/>
        <v>92</v>
      </c>
      <c r="T28" s="13">
        <f t="shared" si="7"/>
        <v>107</v>
      </c>
      <c r="U28" s="13">
        <f t="shared" si="7"/>
        <v>94</v>
      </c>
      <c r="V28" s="13">
        <f t="shared" si="7"/>
        <v>95</v>
      </c>
      <c r="W28" s="13">
        <f t="shared" si="7"/>
        <v>118</v>
      </c>
      <c r="X28" s="13">
        <f t="shared" si="7"/>
        <v>111</v>
      </c>
      <c r="Y28" s="13">
        <f t="shared" si="7"/>
        <v>108</v>
      </c>
      <c r="Z28" s="13">
        <f t="shared" si="7"/>
        <v>94</v>
      </c>
      <c r="AA28" s="13">
        <f t="shared" si="7"/>
        <v>97</v>
      </c>
      <c r="AB28" s="13">
        <f t="shared" si="7"/>
        <v>102</v>
      </c>
      <c r="AC28" s="13">
        <f t="shared" si="7"/>
        <v>109</v>
      </c>
      <c r="AD28" s="13">
        <f t="shared" si="7"/>
        <v>89</v>
      </c>
      <c r="AE28" s="13">
        <f t="shared" si="7"/>
        <v>103</v>
      </c>
      <c r="AF28" s="13">
        <f t="shared" si="7"/>
        <v>98</v>
      </c>
      <c r="AG28" s="13">
        <f t="shared" si="7"/>
        <v>103</v>
      </c>
      <c r="AH28" s="13">
        <f t="shared" si="7"/>
        <v>84</v>
      </c>
      <c r="AI28" s="13">
        <f t="shared" si="7"/>
        <v>99</v>
      </c>
      <c r="AJ28" s="13">
        <f t="shared" si="3"/>
        <v>3003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68</v>
      </c>
      <c r="F29" s="13">
        <f t="shared" si="8"/>
        <v>105</v>
      </c>
      <c r="G29" s="13">
        <f t="shared" si="8"/>
        <v>93</v>
      </c>
      <c r="H29" s="13">
        <f t="shared" si="8"/>
        <v>93</v>
      </c>
      <c r="I29" s="13">
        <f t="shared" si="8"/>
        <v>109</v>
      </c>
      <c r="J29" s="13">
        <f t="shared" si="8"/>
        <v>112</v>
      </c>
      <c r="K29" s="13">
        <f t="shared" si="8"/>
        <v>111</v>
      </c>
      <c r="L29" s="13">
        <f t="shared" si="8"/>
        <v>94</v>
      </c>
      <c r="M29" s="13">
        <f t="shared" si="8"/>
        <v>73</v>
      </c>
      <c r="N29" s="13">
        <f t="shared" si="8"/>
        <v>117</v>
      </c>
      <c r="O29" s="13">
        <f t="shared" si="8"/>
        <v>108</v>
      </c>
      <c r="P29" s="13">
        <f t="shared" si="8"/>
        <v>94</v>
      </c>
      <c r="Q29" s="13">
        <f t="shared" si="8"/>
        <v>71</v>
      </c>
      <c r="R29" s="13">
        <f t="shared" si="8"/>
        <v>100</v>
      </c>
      <c r="S29" s="13">
        <f t="shared" si="8"/>
        <v>101</v>
      </c>
      <c r="T29" s="13">
        <f t="shared" si="8"/>
        <v>109</v>
      </c>
      <c r="U29" s="13">
        <f t="shared" si="8"/>
        <v>80</v>
      </c>
      <c r="V29" s="13">
        <f t="shared" si="8"/>
        <v>109</v>
      </c>
      <c r="W29" s="13">
        <f t="shared" si="8"/>
        <v>111</v>
      </c>
      <c r="X29" s="13">
        <f t="shared" si="8"/>
        <v>99</v>
      </c>
      <c r="Y29" s="13">
        <f t="shared" si="8"/>
        <v>127</v>
      </c>
      <c r="Z29" s="13">
        <f t="shared" si="8"/>
        <v>94</v>
      </c>
      <c r="AA29" s="13">
        <f t="shared" si="8"/>
        <v>99</v>
      </c>
      <c r="AB29" s="13">
        <f t="shared" si="8"/>
        <v>116</v>
      </c>
      <c r="AC29" s="13">
        <f t="shared" si="8"/>
        <v>120</v>
      </c>
      <c r="AD29" s="13">
        <f t="shared" si="8"/>
        <v>110</v>
      </c>
      <c r="AE29" s="13">
        <f t="shared" si="8"/>
        <v>119</v>
      </c>
      <c r="AF29" s="13">
        <f t="shared" si="8"/>
        <v>123</v>
      </c>
      <c r="AG29" s="13">
        <f t="shared" si="8"/>
        <v>103</v>
      </c>
      <c r="AH29" s="13">
        <f t="shared" si="8"/>
        <v>100</v>
      </c>
      <c r="AI29" s="13">
        <f t="shared" si="8"/>
        <v>120</v>
      </c>
      <c r="AJ29" s="13">
        <f t="shared" si="3"/>
        <v>3188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131</v>
      </c>
      <c r="F30" s="13">
        <f t="shared" si="9"/>
        <v>197</v>
      </c>
      <c r="G30" s="13">
        <f t="shared" si="9"/>
        <v>188</v>
      </c>
      <c r="H30" s="13">
        <f t="shared" si="9"/>
        <v>201</v>
      </c>
      <c r="I30" s="13">
        <f t="shared" si="9"/>
        <v>191</v>
      </c>
      <c r="J30" s="13">
        <f t="shared" si="9"/>
        <v>215</v>
      </c>
      <c r="K30" s="13">
        <f t="shared" si="9"/>
        <v>216</v>
      </c>
      <c r="L30" s="13">
        <f t="shared" si="9"/>
        <v>175</v>
      </c>
      <c r="M30" s="13">
        <f t="shared" si="9"/>
        <v>150</v>
      </c>
      <c r="N30" s="13">
        <f t="shared" si="9"/>
        <v>229</v>
      </c>
      <c r="O30" s="13">
        <f t="shared" si="9"/>
        <v>216</v>
      </c>
      <c r="P30" s="13">
        <f t="shared" si="9"/>
        <v>190</v>
      </c>
      <c r="Q30" s="13">
        <f t="shared" si="9"/>
        <v>147</v>
      </c>
      <c r="R30" s="13">
        <f t="shared" si="9"/>
        <v>202</v>
      </c>
      <c r="S30" s="13">
        <f t="shared" si="9"/>
        <v>193</v>
      </c>
      <c r="T30" s="13">
        <f t="shared" si="9"/>
        <v>216</v>
      </c>
      <c r="U30" s="13">
        <f t="shared" si="9"/>
        <v>174</v>
      </c>
      <c r="V30" s="13">
        <f t="shared" si="9"/>
        <v>204</v>
      </c>
      <c r="W30" s="13">
        <f t="shared" si="9"/>
        <v>229</v>
      </c>
      <c r="X30" s="13">
        <f t="shared" si="9"/>
        <v>210</v>
      </c>
      <c r="Y30" s="13">
        <f t="shared" si="9"/>
        <v>235</v>
      </c>
      <c r="Z30" s="13">
        <f t="shared" si="9"/>
        <v>188</v>
      </c>
      <c r="AA30" s="13">
        <f t="shared" si="9"/>
        <v>196</v>
      </c>
      <c r="AB30" s="13">
        <f t="shared" si="9"/>
        <v>218</v>
      </c>
      <c r="AC30" s="13">
        <f t="shared" si="9"/>
        <v>229</v>
      </c>
      <c r="AD30" s="13">
        <f t="shared" si="9"/>
        <v>199</v>
      </c>
      <c r="AE30" s="13">
        <f t="shared" si="9"/>
        <v>222</v>
      </c>
      <c r="AF30" s="13">
        <f t="shared" si="9"/>
        <v>221</v>
      </c>
      <c r="AG30" s="13">
        <f t="shared" si="9"/>
        <v>206</v>
      </c>
      <c r="AH30" s="13">
        <f t="shared" si="9"/>
        <v>184</v>
      </c>
      <c r="AI30" s="13">
        <f t="shared" si="9"/>
        <v>219</v>
      </c>
      <c r="AJ30" s="13">
        <f t="shared" si="3"/>
        <v>6191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19"/>
      <c r="R31" s="19"/>
      <c r="S31" s="19"/>
      <c r="T31" s="19"/>
      <c r="U31" s="19"/>
      <c r="V31" s="19"/>
      <c r="W31" s="19"/>
      <c r="X31" s="19"/>
      <c r="Y31" s="19"/>
      <c r="Z31" s="75"/>
      <c r="AA31" s="75"/>
      <c r="AB31" s="75"/>
      <c r="AC31" s="75"/>
      <c r="AD31" s="19"/>
      <c r="AE31" s="75"/>
      <c r="AF31" s="75"/>
      <c r="AG31" s="75"/>
      <c r="AH31" s="19"/>
      <c r="AI31" s="19"/>
      <c r="AJ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13"/>
      <c r="R32" s="13"/>
      <c r="S32" s="13"/>
      <c r="T32" s="13"/>
      <c r="U32" s="13"/>
      <c r="V32" s="13"/>
      <c r="W32" s="13"/>
      <c r="X32" s="13"/>
      <c r="Y32" s="13"/>
      <c r="Z32" s="77"/>
      <c r="AA32" s="77"/>
      <c r="AB32" s="77"/>
      <c r="AC32" s="77"/>
      <c r="AD32" s="13"/>
      <c r="AE32" s="77"/>
      <c r="AF32" s="77"/>
      <c r="AG32" s="77"/>
      <c r="AH32" s="13"/>
      <c r="AI32" s="13"/>
      <c r="AJ32" s="76"/>
    </row>
    <row r="33" ht="12.75" customHeight="1">
      <c r="A33" s="19">
        <v>1.0</v>
      </c>
      <c r="B33" s="20" t="s">
        <v>27</v>
      </c>
      <c r="C33" s="15"/>
      <c r="D33" s="16"/>
      <c r="E33" s="19">
        <v>174.0</v>
      </c>
      <c r="F33" s="19">
        <v>286.0</v>
      </c>
      <c r="G33" s="19">
        <v>274.0</v>
      </c>
      <c r="H33" s="19">
        <v>274.0</v>
      </c>
      <c r="I33" s="19">
        <v>276.0</v>
      </c>
      <c r="J33" s="19">
        <v>302.0</v>
      </c>
      <c r="K33" s="19">
        <v>297.0</v>
      </c>
      <c r="L33" s="19">
        <v>218.0</v>
      </c>
      <c r="M33" s="19">
        <v>203.0</v>
      </c>
      <c r="N33" s="19">
        <v>293.0</v>
      </c>
      <c r="O33" s="19">
        <v>284.0</v>
      </c>
      <c r="P33" s="19">
        <v>258.0</v>
      </c>
      <c r="Q33" s="19">
        <v>201.0</v>
      </c>
      <c r="R33" s="19">
        <v>269.0</v>
      </c>
      <c r="S33" s="19">
        <v>299.0</v>
      </c>
      <c r="T33" s="19">
        <v>299.0</v>
      </c>
      <c r="U33" s="19">
        <v>250.0</v>
      </c>
      <c r="V33" s="19">
        <v>295.0</v>
      </c>
      <c r="W33" s="19">
        <v>292.0</v>
      </c>
      <c r="X33" s="19">
        <v>292.0</v>
      </c>
      <c r="Y33" s="19">
        <v>298.0</v>
      </c>
      <c r="Z33" s="19">
        <v>277.0</v>
      </c>
      <c r="AA33" s="19">
        <v>274.0</v>
      </c>
      <c r="AB33" s="19">
        <v>291.0</v>
      </c>
      <c r="AC33" s="19">
        <v>283.0</v>
      </c>
      <c r="AD33" s="19">
        <v>285.0</v>
      </c>
      <c r="AE33" s="19">
        <v>283.0</v>
      </c>
      <c r="AF33" s="19">
        <v>282.0</v>
      </c>
      <c r="AG33" s="19">
        <v>276.0</v>
      </c>
      <c r="AH33" s="19">
        <v>255.0</v>
      </c>
      <c r="AI33" s="19">
        <v>270.0</v>
      </c>
      <c r="AJ33" s="13">
        <f t="shared" ref="AJ33:AJ36" si="10">SUM(E33:AI33)</f>
        <v>8410</v>
      </c>
    </row>
    <row r="34" ht="12.75" customHeight="1">
      <c r="A34" s="19">
        <v>2.0</v>
      </c>
      <c r="B34" s="20" t="s">
        <v>28</v>
      </c>
      <c r="C34" s="15"/>
      <c r="D34" s="16"/>
      <c r="E34" s="13">
        <v>131.0</v>
      </c>
      <c r="F34" s="13">
        <v>197.0</v>
      </c>
      <c r="G34" s="13">
        <v>188.0</v>
      </c>
      <c r="H34" s="13">
        <v>201.0</v>
      </c>
      <c r="I34" s="13">
        <v>191.0</v>
      </c>
      <c r="J34" s="13">
        <v>215.0</v>
      </c>
      <c r="K34" s="13">
        <v>216.0</v>
      </c>
      <c r="L34" s="13">
        <v>175.0</v>
      </c>
      <c r="M34" s="13">
        <v>150.0</v>
      </c>
      <c r="N34" s="13">
        <v>229.0</v>
      </c>
      <c r="O34" s="13">
        <v>216.0</v>
      </c>
      <c r="P34" s="13">
        <v>190.0</v>
      </c>
      <c r="Q34" s="13">
        <v>147.0</v>
      </c>
      <c r="R34" s="13">
        <v>202.0</v>
      </c>
      <c r="S34" s="13">
        <v>193.0</v>
      </c>
      <c r="T34" s="13">
        <v>216.0</v>
      </c>
      <c r="U34" s="13">
        <v>174.0</v>
      </c>
      <c r="V34" s="13">
        <v>204.0</v>
      </c>
      <c r="W34" s="13">
        <v>229.0</v>
      </c>
      <c r="X34" s="13">
        <v>210.0</v>
      </c>
      <c r="Y34" s="13">
        <v>235.0</v>
      </c>
      <c r="Z34" s="13">
        <v>188.0</v>
      </c>
      <c r="AA34" s="13">
        <v>196.0</v>
      </c>
      <c r="AB34" s="13">
        <v>218.0</v>
      </c>
      <c r="AC34" s="13">
        <v>229.0</v>
      </c>
      <c r="AD34" s="13">
        <v>199.0</v>
      </c>
      <c r="AE34" s="13">
        <v>222.0</v>
      </c>
      <c r="AF34" s="13">
        <v>221.0</v>
      </c>
      <c r="AG34" s="13">
        <v>206.0</v>
      </c>
      <c r="AH34" s="13">
        <v>184.0</v>
      </c>
      <c r="AI34" s="13">
        <v>219.0</v>
      </c>
      <c r="AJ34" s="13">
        <f t="shared" si="10"/>
        <v>6191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43</v>
      </c>
      <c r="F36" s="13">
        <f t="shared" si="11"/>
        <v>89</v>
      </c>
      <c r="G36" s="13">
        <f t="shared" si="11"/>
        <v>86</v>
      </c>
      <c r="H36" s="13">
        <f t="shared" si="11"/>
        <v>73</v>
      </c>
      <c r="I36" s="13">
        <f t="shared" si="11"/>
        <v>85</v>
      </c>
      <c r="J36" s="13">
        <f t="shared" si="11"/>
        <v>87</v>
      </c>
      <c r="K36" s="13">
        <f t="shared" si="11"/>
        <v>81</v>
      </c>
      <c r="L36" s="13">
        <f t="shared" si="11"/>
        <v>43</v>
      </c>
      <c r="M36" s="13">
        <f t="shared" si="11"/>
        <v>53</v>
      </c>
      <c r="N36" s="13">
        <f t="shared" si="11"/>
        <v>64</v>
      </c>
      <c r="O36" s="13">
        <f t="shared" si="11"/>
        <v>68</v>
      </c>
      <c r="P36" s="13">
        <f t="shared" si="11"/>
        <v>68</v>
      </c>
      <c r="Q36" s="13">
        <f t="shared" si="11"/>
        <v>52</v>
      </c>
      <c r="R36" s="13">
        <f t="shared" si="11"/>
        <v>67</v>
      </c>
      <c r="S36" s="13">
        <f t="shared" si="11"/>
        <v>106</v>
      </c>
      <c r="T36" s="13">
        <f t="shared" si="11"/>
        <v>83</v>
      </c>
      <c r="U36" s="13">
        <f t="shared" si="11"/>
        <v>76</v>
      </c>
      <c r="V36" s="13">
        <f t="shared" si="11"/>
        <v>91</v>
      </c>
      <c r="W36" s="13">
        <f t="shared" si="11"/>
        <v>63</v>
      </c>
      <c r="X36" s="13">
        <f t="shared" si="11"/>
        <v>82</v>
      </c>
      <c r="Y36" s="13">
        <f t="shared" si="11"/>
        <v>63</v>
      </c>
      <c r="Z36" s="13">
        <f t="shared" si="11"/>
        <v>89</v>
      </c>
      <c r="AA36" s="13">
        <f t="shared" si="11"/>
        <v>78</v>
      </c>
      <c r="AB36" s="13">
        <f t="shared" si="11"/>
        <v>73</v>
      </c>
      <c r="AC36" s="13">
        <f t="shared" si="11"/>
        <v>54</v>
      </c>
      <c r="AD36" s="13">
        <f t="shared" si="11"/>
        <v>86</v>
      </c>
      <c r="AE36" s="13">
        <f t="shared" si="11"/>
        <v>61</v>
      </c>
      <c r="AF36" s="13">
        <f t="shared" si="11"/>
        <v>61</v>
      </c>
      <c r="AG36" s="13">
        <f t="shared" si="11"/>
        <v>70</v>
      </c>
      <c r="AH36" s="13">
        <f t="shared" si="11"/>
        <v>71</v>
      </c>
      <c r="AI36" s="13">
        <f t="shared" si="11"/>
        <v>51</v>
      </c>
      <c r="AJ36" s="13">
        <f t="shared" si="10"/>
        <v>2217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13"/>
      <c r="R38" s="13"/>
      <c r="S38" s="13"/>
      <c r="T38" s="13"/>
      <c r="U38" s="13"/>
      <c r="V38" s="13"/>
      <c r="W38" s="13"/>
      <c r="X38" s="13"/>
      <c r="Y38" s="13"/>
      <c r="Z38" s="77"/>
      <c r="AA38" s="77"/>
      <c r="AB38" s="77"/>
      <c r="AC38" s="77"/>
      <c r="AD38" s="13"/>
      <c r="AE38" s="77"/>
      <c r="AF38" s="77"/>
      <c r="AG38" s="77"/>
      <c r="AH38" s="13"/>
      <c r="AI38" s="13"/>
      <c r="AJ38" s="76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1.0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3">
        <f t="shared" ref="AJ39:AJ41" si="12">SUM(E39:AI39)</f>
        <v>5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13"/>
      <c r="U43" s="13"/>
      <c r="V43" s="13"/>
      <c r="W43" s="13"/>
      <c r="X43" s="13"/>
      <c r="Y43" s="13"/>
      <c r="Z43" s="77"/>
      <c r="AA43" s="13"/>
      <c r="AB43" s="77"/>
      <c r="AC43" s="77"/>
      <c r="AD43" s="13"/>
      <c r="AE43" s="13"/>
      <c r="AF43" s="77"/>
      <c r="AG43" s="77"/>
      <c r="AH43" s="13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19"/>
      <c r="U44" s="19"/>
      <c r="V44" s="19"/>
      <c r="W44" s="19"/>
      <c r="X44" s="19"/>
      <c r="Y44" s="19"/>
      <c r="Z44" s="75"/>
      <c r="AA44" s="19"/>
      <c r="AB44" s="75"/>
      <c r="AC44" s="75"/>
      <c r="AD44" s="19"/>
      <c r="AE44" s="19"/>
      <c r="AF44" s="75"/>
      <c r="AG44" s="75"/>
      <c r="AH44" s="19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5.0</v>
      </c>
      <c r="G45" s="19">
        <v>4.0</v>
      </c>
      <c r="H45" s="19">
        <v>2.0</v>
      </c>
      <c r="I45" s="19">
        <v>12.0</v>
      </c>
      <c r="J45" s="19">
        <v>7.0</v>
      </c>
      <c r="K45" s="19">
        <v>10.0</v>
      </c>
      <c r="L45" s="19">
        <v>2.0</v>
      </c>
      <c r="M45" s="19">
        <v>2.0</v>
      </c>
      <c r="N45" s="19">
        <v>8.0</v>
      </c>
      <c r="O45" s="19">
        <v>6.0</v>
      </c>
      <c r="P45" s="19">
        <v>4.0</v>
      </c>
      <c r="Q45" s="19">
        <v>1.0</v>
      </c>
      <c r="R45" s="19">
        <v>5.0</v>
      </c>
      <c r="S45" s="19">
        <v>8.0</v>
      </c>
      <c r="T45" s="19">
        <v>16.0</v>
      </c>
      <c r="U45" s="19">
        <v>4.0</v>
      </c>
      <c r="V45" s="19">
        <v>2.0</v>
      </c>
      <c r="W45" s="19">
        <v>7.0</v>
      </c>
      <c r="X45" s="19">
        <v>7.0</v>
      </c>
      <c r="Y45" s="19">
        <v>11.0</v>
      </c>
      <c r="Z45" s="19">
        <v>8.0</v>
      </c>
      <c r="AA45" s="19">
        <v>9.0</v>
      </c>
      <c r="AB45" s="19">
        <v>8.0</v>
      </c>
      <c r="AC45" s="19">
        <v>8.0</v>
      </c>
      <c r="AD45" s="19">
        <v>11.0</v>
      </c>
      <c r="AE45" s="19">
        <v>2.0</v>
      </c>
      <c r="AF45" s="19">
        <v>3.0</v>
      </c>
      <c r="AG45" s="19">
        <v>16.0</v>
      </c>
      <c r="AH45" s="19">
        <v>9.0</v>
      </c>
      <c r="AI45" s="19">
        <v>8.0</v>
      </c>
      <c r="AJ45" s="13">
        <f t="shared" ref="AJ45:AJ54" si="14">SUM(E45:AI45)</f>
        <v>211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2.0</v>
      </c>
      <c r="F46" s="19">
        <v>8.0</v>
      </c>
      <c r="G46" s="19">
        <v>5.0</v>
      </c>
      <c r="H46" s="19">
        <v>17.0</v>
      </c>
      <c r="I46" s="19">
        <v>7.0</v>
      </c>
      <c r="J46" s="19">
        <v>9.0</v>
      </c>
      <c r="K46" s="19">
        <v>27.0</v>
      </c>
      <c r="L46" s="19">
        <v>5.0</v>
      </c>
      <c r="M46" s="19">
        <v>7.0</v>
      </c>
      <c r="N46" s="19">
        <v>12.0</v>
      </c>
      <c r="O46" s="19">
        <v>17.0</v>
      </c>
      <c r="P46" s="19">
        <v>6.0</v>
      </c>
      <c r="Q46" s="19">
        <v>4.0</v>
      </c>
      <c r="R46" s="19">
        <v>9.0</v>
      </c>
      <c r="S46" s="19">
        <v>11.0</v>
      </c>
      <c r="T46" s="19">
        <v>51.0</v>
      </c>
      <c r="U46" s="19">
        <v>21.0</v>
      </c>
      <c r="V46" s="19">
        <v>8.0</v>
      </c>
      <c r="W46" s="19">
        <v>15.0</v>
      </c>
      <c r="X46" s="19">
        <v>5.0</v>
      </c>
      <c r="Y46" s="19">
        <v>26.0</v>
      </c>
      <c r="Z46" s="19">
        <v>35.0</v>
      </c>
      <c r="AA46" s="19">
        <v>7.0</v>
      </c>
      <c r="AB46" s="19">
        <v>20.0</v>
      </c>
      <c r="AC46" s="19">
        <v>22.0</v>
      </c>
      <c r="AD46" s="19">
        <v>27.0</v>
      </c>
      <c r="AE46" s="19">
        <v>12.0</v>
      </c>
      <c r="AF46" s="19">
        <v>17.0</v>
      </c>
      <c r="AG46" s="19">
        <v>22.0</v>
      </c>
      <c r="AH46" s="19">
        <v>11.0</v>
      </c>
      <c r="AI46" s="19">
        <v>31.0</v>
      </c>
      <c r="AJ46" s="13">
        <f t="shared" si="14"/>
        <v>476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2.0</v>
      </c>
      <c r="H47" s="19">
        <v>1.0</v>
      </c>
      <c r="I47" s="19">
        <v>0.0</v>
      </c>
      <c r="J47" s="19">
        <v>1.0</v>
      </c>
      <c r="K47" s="19">
        <v>1.0</v>
      </c>
      <c r="L47" s="19">
        <v>0.0</v>
      </c>
      <c r="M47" s="19">
        <v>0.0</v>
      </c>
      <c r="N47" s="19">
        <v>0.0</v>
      </c>
      <c r="O47" s="19">
        <v>1.0</v>
      </c>
      <c r="P47" s="19">
        <v>1.0</v>
      </c>
      <c r="Q47" s="19">
        <v>0.0</v>
      </c>
      <c r="R47" s="19">
        <v>3.0</v>
      </c>
      <c r="S47" s="19">
        <v>1.0</v>
      </c>
      <c r="T47" s="19">
        <v>0.0</v>
      </c>
      <c r="U47" s="19">
        <v>2.0</v>
      </c>
      <c r="V47" s="19">
        <v>0.0</v>
      </c>
      <c r="W47" s="19">
        <v>1.0</v>
      </c>
      <c r="X47" s="19">
        <v>1.0</v>
      </c>
      <c r="Y47" s="19">
        <v>1.0</v>
      </c>
      <c r="Z47" s="19">
        <v>1.0</v>
      </c>
      <c r="AA47" s="19">
        <v>1.0</v>
      </c>
      <c r="AB47" s="19">
        <v>3.0</v>
      </c>
      <c r="AC47" s="19">
        <v>4.0</v>
      </c>
      <c r="AD47" s="19">
        <v>0.0</v>
      </c>
      <c r="AE47" s="19">
        <v>3.0</v>
      </c>
      <c r="AF47" s="19">
        <v>3.0</v>
      </c>
      <c r="AG47" s="19">
        <v>23.0</v>
      </c>
      <c r="AH47" s="19">
        <v>2.0</v>
      </c>
      <c r="AI47" s="19">
        <v>1.0</v>
      </c>
      <c r="AJ47" s="13">
        <f t="shared" si="14"/>
        <v>58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3.0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1.0</v>
      </c>
      <c r="AB48" s="19">
        <v>2.0</v>
      </c>
      <c r="AC48" s="19">
        <v>2.0</v>
      </c>
      <c r="AD48" s="19">
        <v>0.0</v>
      </c>
      <c r="AE48" s="19">
        <v>0.0</v>
      </c>
      <c r="AF48" s="19">
        <v>1.0</v>
      </c>
      <c r="AG48" s="19">
        <v>2.0</v>
      </c>
      <c r="AH48" s="19">
        <v>1.0</v>
      </c>
      <c r="AI48" s="19">
        <v>1.0</v>
      </c>
      <c r="AJ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0.0</v>
      </c>
      <c r="Y49" s="19">
        <v>2.0</v>
      </c>
      <c r="Z49" s="19">
        <v>2.0</v>
      </c>
      <c r="AA49" s="19">
        <v>0.0</v>
      </c>
      <c r="AB49" s="19">
        <v>0.0</v>
      </c>
      <c r="AC49" s="19">
        <v>6.0</v>
      </c>
      <c r="AD49" s="19">
        <v>1.0</v>
      </c>
      <c r="AE49" s="19">
        <v>1.0</v>
      </c>
      <c r="AF49" s="19">
        <v>1.0</v>
      </c>
      <c r="AG49" s="19">
        <v>0.0</v>
      </c>
      <c r="AH49" s="19">
        <v>2.0</v>
      </c>
      <c r="AI49" s="19">
        <v>0.0</v>
      </c>
      <c r="AJ49" s="13">
        <f t="shared" si="14"/>
        <v>19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2.0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1.0</v>
      </c>
      <c r="AB50" s="19">
        <v>0.0</v>
      </c>
      <c r="AC50" s="19">
        <v>3.0</v>
      </c>
      <c r="AD50" s="19">
        <v>1.0</v>
      </c>
      <c r="AE50" s="19">
        <v>0.0</v>
      </c>
      <c r="AF50" s="19">
        <v>0.0</v>
      </c>
      <c r="AG50" s="19">
        <v>2.0</v>
      </c>
      <c r="AH50" s="19">
        <v>1.0</v>
      </c>
      <c r="AI50" s="19">
        <v>1.0</v>
      </c>
      <c r="AJ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2.0</v>
      </c>
      <c r="W51" s="19">
        <v>0.0</v>
      </c>
      <c r="X51" s="19">
        <v>0.0</v>
      </c>
      <c r="Y51" s="19">
        <v>2.0</v>
      </c>
      <c r="Z51" s="19">
        <v>0.0</v>
      </c>
      <c r="AA51" s="19">
        <v>0.0</v>
      </c>
      <c r="AB51" s="19">
        <v>1.0</v>
      </c>
      <c r="AC51" s="19">
        <v>0.0</v>
      </c>
      <c r="AD51" s="19">
        <v>3.0</v>
      </c>
      <c r="AE51" s="19">
        <v>2.0</v>
      </c>
      <c r="AF51" s="19">
        <v>0.0</v>
      </c>
      <c r="AG51" s="19">
        <v>1.0</v>
      </c>
      <c r="AH51" s="19">
        <v>2.0</v>
      </c>
      <c r="AI51" s="19">
        <v>0.0</v>
      </c>
      <c r="AJ51" s="13">
        <f t="shared" si="14"/>
        <v>16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1.0</v>
      </c>
      <c r="AF52" s="19">
        <v>0.0</v>
      </c>
      <c r="AG52" s="19">
        <v>0.0</v>
      </c>
      <c r="AH52" s="19">
        <v>0.0</v>
      </c>
      <c r="AI52" s="19">
        <v>1.0</v>
      </c>
      <c r="AJ52" s="13">
        <f t="shared" si="14"/>
        <v>3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J55" si="15">SUM(E45:E54)</f>
        <v>9</v>
      </c>
      <c r="F55" s="13">
        <f t="shared" si="15"/>
        <v>15</v>
      </c>
      <c r="G55" s="13">
        <f t="shared" si="15"/>
        <v>11</v>
      </c>
      <c r="H55" s="13">
        <f t="shared" si="15"/>
        <v>20</v>
      </c>
      <c r="I55" s="13">
        <f t="shared" si="15"/>
        <v>19</v>
      </c>
      <c r="J55" s="13">
        <f t="shared" si="15"/>
        <v>17</v>
      </c>
      <c r="K55" s="13">
        <f t="shared" si="15"/>
        <v>40</v>
      </c>
      <c r="L55" s="13">
        <f t="shared" si="15"/>
        <v>7</v>
      </c>
      <c r="M55" s="13">
        <f t="shared" si="15"/>
        <v>9</v>
      </c>
      <c r="N55" s="13">
        <f t="shared" si="15"/>
        <v>22</v>
      </c>
      <c r="O55" s="13">
        <f t="shared" si="15"/>
        <v>27</v>
      </c>
      <c r="P55" s="13">
        <f t="shared" si="15"/>
        <v>11</v>
      </c>
      <c r="Q55" s="13">
        <f t="shared" si="15"/>
        <v>5</v>
      </c>
      <c r="R55" s="13">
        <f t="shared" si="15"/>
        <v>18</v>
      </c>
      <c r="S55" s="13">
        <f t="shared" si="15"/>
        <v>21</v>
      </c>
      <c r="T55" s="13">
        <f t="shared" si="15"/>
        <v>72</v>
      </c>
      <c r="U55" s="13">
        <f t="shared" si="15"/>
        <v>29</v>
      </c>
      <c r="V55" s="13">
        <f t="shared" si="15"/>
        <v>12</v>
      </c>
      <c r="W55" s="13">
        <f t="shared" si="15"/>
        <v>23</v>
      </c>
      <c r="X55" s="13">
        <f t="shared" si="15"/>
        <v>13</v>
      </c>
      <c r="Y55" s="13">
        <f t="shared" si="15"/>
        <v>42</v>
      </c>
      <c r="Z55" s="13">
        <f t="shared" si="15"/>
        <v>46</v>
      </c>
      <c r="AA55" s="13">
        <f t="shared" si="15"/>
        <v>19</v>
      </c>
      <c r="AB55" s="13">
        <f t="shared" si="15"/>
        <v>34</v>
      </c>
      <c r="AC55" s="13">
        <f t="shared" si="15"/>
        <v>45</v>
      </c>
      <c r="AD55" s="13">
        <f t="shared" si="15"/>
        <v>43</v>
      </c>
      <c r="AE55" s="13">
        <f t="shared" si="15"/>
        <v>21</v>
      </c>
      <c r="AF55" s="13">
        <f t="shared" si="15"/>
        <v>25</v>
      </c>
      <c r="AG55" s="13">
        <f t="shared" si="15"/>
        <v>66</v>
      </c>
      <c r="AH55" s="13">
        <f t="shared" si="15"/>
        <v>28</v>
      </c>
      <c r="AI55" s="13">
        <f t="shared" si="15"/>
        <v>43</v>
      </c>
      <c r="AJ55" s="13">
        <f t="shared" si="15"/>
        <v>812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13.0</v>
      </c>
      <c r="G57" s="19">
        <v>7.0</v>
      </c>
      <c r="H57" s="19">
        <v>15.0</v>
      </c>
      <c r="I57" s="19">
        <v>16.0</v>
      </c>
      <c r="J57" s="19">
        <v>26.0</v>
      </c>
      <c r="K57" s="19">
        <v>17.0</v>
      </c>
      <c r="L57" s="19">
        <v>14.0</v>
      </c>
      <c r="M57" s="19">
        <v>10.0</v>
      </c>
      <c r="N57" s="19">
        <v>8.0</v>
      </c>
      <c r="O57" s="19">
        <v>10.0</v>
      </c>
      <c r="P57" s="19">
        <v>8.0</v>
      </c>
      <c r="Q57" s="19">
        <v>4.0</v>
      </c>
      <c r="R57" s="19">
        <v>13.0</v>
      </c>
      <c r="S57" s="19">
        <v>4.0</v>
      </c>
      <c r="T57" s="19">
        <v>7.0</v>
      </c>
      <c r="U57" s="19">
        <v>11.0</v>
      </c>
      <c r="V57" s="19">
        <v>4.0</v>
      </c>
      <c r="W57" s="19">
        <v>10.0</v>
      </c>
      <c r="X57" s="19">
        <v>6.0</v>
      </c>
      <c r="Y57" s="19">
        <v>6.0</v>
      </c>
      <c r="Z57" s="19">
        <v>4.0</v>
      </c>
      <c r="AA57" s="19">
        <v>7.0</v>
      </c>
      <c r="AB57" s="19">
        <v>4.0</v>
      </c>
      <c r="AC57" s="19">
        <v>11.0</v>
      </c>
      <c r="AD57" s="19">
        <v>8.0</v>
      </c>
      <c r="AE57" s="19">
        <v>12.0</v>
      </c>
      <c r="AF57" s="19">
        <v>10.0</v>
      </c>
      <c r="AG57" s="19">
        <v>9.0</v>
      </c>
      <c r="AH57" s="19">
        <v>8.0</v>
      </c>
      <c r="AI57" s="19">
        <v>18.0</v>
      </c>
      <c r="AJ57" s="13">
        <f t="shared" ref="AJ57:AJ66" si="16">SUM(E57:AI57)</f>
        <v>307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11.0</v>
      </c>
      <c r="F58" s="19">
        <v>13.0</v>
      </c>
      <c r="G58" s="19">
        <v>6.0</v>
      </c>
      <c r="H58" s="19">
        <v>12.0</v>
      </c>
      <c r="I58" s="19">
        <v>5.0</v>
      </c>
      <c r="J58" s="19">
        <v>11.0</v>
      </c>
      <c r="K58" s="19">
        <v>3.0</v>
      </c>
      <c r="L58" s="19">
        <v>9.0</v>
      </c>
      <c r="M58" s="19">
        <v>3.0</v>
      </c>
      <c r="N58" s="19">
        <v>14.0</v>
      </c>
      <c r="O58" s="19">
        <v>5.0</v>
      </c>
      <c r="P58" s="19">
        <v>2.0</v>
      </c>
      <c r="Q58" s="19">
        <v>2.0</v>
      </c>
      <c r="R58" s="19">
        <v>8.0</v>
      </c>
      <c r="S58" s="19">
        <v>6.0</v>
      </c>
      <c r="T58" s="19">
        <v>2.0</v>
      </c>
      <c r="U58" s="19">
        <v>20.0</v>
      </c>
      <c r="V58" s="19">
        <v>11.0</v>
      </c>
      <c r="W58" s="19">
        <v>6.0</v>
      </c>
      <c r="X58" s="19">
        <v>13.0</v>
      </c>
      <c r="Y58" s="19">
        <v>12.0</v>
      </c>
      <c r="Z58" s="19">
        <v>4.0</v>
      </c>
      <c r="AA58" s="19">
        <v>8.0</v>
      </c>
      <c r="AB58" s="19">
        <v>10.0</v>
      </c>
      <c r="AC58" s="19">
        <v>11.0</v>
      </c>
      <c r="AD58" s="19">
        <v>11.0</v>
      </c>
      <c r="AE58" s="19">
        <v>18.0</v>
      </c>
      <c r="AF58" s="19">
        <v>20.0</v>
      </c>
      <c r="AG58" s="19">
        <v>0.0</v>
      </c>
      <c r="AH58" s="19">
        <v>4.0</v>
      </c>
      <c r="AI58" s="19">
        <v>8.0</v>
      </c>
      <c r="AJ58" s="13">
        <f t="shared" si="16"/>
        <v>268</v>
      </c>
    </row>
    <row r="59" ht="12.75" customHeight="1">
      <c r="A59" s="18"/>
      <c r="B59" s="55">
        <v>2.0</v>
      </c>
      <c r="C59" s="50" t="s">
        <v>50</v>
      </c>
      <c r="D59" s="61"/>
      <c r="E59" s="19">
        <v>0.0</v>
      </c>
      <c r="F59" s="19">
        <v>5.0</v>
      </c>
      <c r="G59" s="19">
        <v>6.0</v>
      </c>
      <c r="H59" s="19">
        <v>8.0</v>
      </c>
      <c r="I59" s="19">
        <v>12.0</v>
      </c>
      <c r="J59" s="19">
        <v>10.0</v>
      </c>
      <c r="K59" s="19">
        <v>21.0</v>
      </c>
      <c r="L59" s="19">
        <v>35.0</v>
      </c>
      <c r="M59" s="19">
        <v>10.0</v>
      </c>
      <c r="N59" s="19">
        <v>1.0</v>
      </c>
      <c r="O59" s="19">
        <v>5.0</v>
      </c>
      <c r="P59" s="19">
        <v>4.0</v>
      </c>
      <c r="Q59" s="19">
        <v>2.0</v>
      </c>
      <c r="R59" s="19">
        <v>15.0</v>
      </c>
      <c r="S59" s="19">
        <v>35.0</v>
      </c>
      <c r="T59" s="19">
        <v>8.0</v>
      </c>
      <c r="U59" s="19">
        <v>6.0</v>
      </c>
      <c r="V59" s="19">
        <v>10.0</v>
      </c>
      <c r="W59" s="19">
        <v>20.0</v>
      </c>
      <c r="X59" s="19">
        <v>22.0</v>
      </c>
      <c r="Y59" s="19">
        <v>18.0</v>
      </c>
      <c r="Z59" s="19">
        <v>12.0</v>
      </c>
      <c r="AA59" s="19">
        <v>3.0</v>
      </c>
      <c r="AB59" s="19">
        <v>0.0</v>
      </c>
      <c r="AC59" s="19">
        <v>0.0</v>
      </c>
      <c r="AD59" s="19">
        <v>4.0</v>
      </c>
      <c r="AE59" s="19">
        <v>11.0</v>
      </c>
      <c r="AF59" s="19">
        <v>1.0</v>
      </c>
      <c r="AG59" s="19">
        <v>2.0</v>
      </c>
      <c r="AH59" s="19">
        <v>3.0</v>
      </c>
      <c r="AI59" s="19">
        <v>4.0</v>
      </c>
      <c r="AJ59" s="13">
        <f t="shared" si="16"/>
        <v>293</v>
      </c>
    </row>
    <row r="60" ht="12.75" customHeight="1">
      <c r="A60" s="18"/>
      <c r="B60" s="55">
        <v>3.0</v>
      </c>
      <c r="C60" s="50" t="s">
        <v>51</v>
      </c>
      <c r="D60" s="61"/>
      <c r="E60" s="19">
        <v>0.0</v>
      </c>
      <c r="F60" s="19">
        <v>1.0</v>
      </c>
      <c r="G60" s="19">
        <v>0.0</v>
      </c>
      <c r="H60" s="19">
        <v>0.0</v>
      </c>
      <c r="I60" s="19">
        <v>1.0</v>
      </c>
      <c r="J60" s="19">
        <v>0.0</v>
      </c>
      <c r="K60" s="19">
        <v>3.0</v>
      </c>
      <c r="L60" s="19">
        <v>1.0</v>
      </c>
      <c r="M60" s="19">
        <v>2.0</v>
      </c>
      <c r="N60" s="19">
        <v>0.0</v>
      </c>
      <c r="O60" s="19">
        <v>1.0</v>
      </c>
      <c r="P60" s="19">
        <v>0.0</v>
      </c>
      <c r="Q60" s="19">
        <v>0.0</v>
      </c>
      <c r="R60" s="19">
        <v>2.0</v>
      </c>
      <c r="S60" s="19">
        <v>1.0</v>
      </c>
      <c r="T60" s="19">
        <v>0.0</v>
      </c>
      <c r="U60" s="19">
        <v>2.0</v>
      </c>
      <c r="V60" s="19">
        <v>0.0</v>
      </c>
      <c r="W60" s="19">
        <v>0.0</v>
      </c>
      <c r="X60" s="19">
        <v>2.0</v>
      </c>
      <c r="Y60" s="19">
        <v>0.0</v>
      </c>
      <c r="Z60" s="19">
        <v>0.0</v>
      </c>
      <c r="AA60" s="19">
        <v>0.0</v>
      </c>
      <c r="AB60" s="19">
        <v>1.0</v>
      </c>
      <c r="AC60" s="19">
        <v>0.0</v>
      </c>
      <c r="AD60" s="19">
        <v>0.0</v>
      </c>
      <c r="AE60" s="19">
        <v>1.0</v>
      </c>
      <c r="AF60" s="19">
        <v>1.0</v>
      </c>
      <c r="AG60" s="19">
        <v>0.0</v>
      </c>
      <c r="AH60" s="19">
        <v>2.0</v>
      </c>
      <c r="AI60" s="19">
        <v>1.0</v>
      </c>
      <c r="AJ60" s="13">
        <f t="shared" si="16"/>
        <v>22</v>
      </c>
    </row>
    <row r="61" ht="12.75" customHeight="1">
      <c r="A61" s="18"/>
      <c r="B61" s="55">
        <v>4.0</v>
      </c>
      <c r="C61" s="50" t="s">
        <v>52</v>
      </c>
      <c r="D61" s="61"/>
      <c r="E61" s="19">
        <v>1.0</v>
      </c>
      <c r="F61" s="19">
        <v>2.0</v>
      </c>
      <c r="G61" s="19">
        <v>4.0</v>
      </c>
      <c r="H61" s="19">
        <v>11.0</v>
      </c>
      <c r="I61" s="19">
        <v>2.0</v>
      </c>
      <c r="J61" s="19">
        <v>2.0</v>
      </c>
      <c r="K61" s="19">
        <v>7.0</v>
      </c>
      <c r="L61" s="19">
        <v>3.0</v>
      </c>
      <c r="M61" s="19">
        <v>2.0</v>
      </c>
      <c r="N61" s="19">
        <v>1.0</v>
      </c>
      <c r="O61" s="19">
        <v>1.0</v>
      </c>
      <c r="P61" s="19">
        <v>3.0</v>
      </c>
      <c r="Q61" s="19">
        <v>3.0</v>
      </c>
      <c r="R61" s="19">
        <v>4.0</v>
      </c>
      <c r="S61" s="19">
        <v>4.0</v>
      </c>
      <c r="T61" s="19">
        <v>1.0</v>
      </c>
      <c r="U61" s="19">
        <v>1.0</v>
      </c>
      <c r="V61" s="19">
        <v>9.0</v>
      </c>
      <c r="W61" s="19">
        <v>1.0</v>
      </c>
      <c r="X61" s="19">
        <v>1.0</v>
      </c>
      <c r="Y61" s="19">
        <v>2.0</v>
      </c>
      <c r="Z61" s="19">
        <v>2.0</v>
      </c>
      <c r="AA61" s="19">
        <v>3.0</v>
      </c>
      <c r="AB61" s="19">
        <v>2.0</v>
      </c>
      <c r="AC61" s="19">
        <v>5.0</v>
      </c>
      <c r="AD61" s="19">
        <v>1.0</v>
      </c>
      <c r="AE61" s="19">
        <v>2.0</v>
      </c>
      <c r="AF61" s="19">
        <v>2.0</v>
      </c>
      <c r="AG61" s="19">
        <v>1.0</v>
      </c>
      <c r="AH61" s="19">
        <v>0.0</v>
      </c>
      <c r="AI61" s="19">
        <v>0.0</v>
      </c>
      <c r="AJ61" s="13">
        <f t="shared" si="16"/>
        <v>83</v>
      </c>
    </row>
    <row r="62" ht="12.75" customHeight="1">
      <c r="A62" s="18"/>
      <c r="B62" s="55">
        <v>5.0</v>
      </c>
      <c r="C62" s="50" t="s">
        <v>53</v>
      </c>
      <c r="D62" s="61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1.0</v>
      </c>
      <c r="U62" s="19">
        <v>1.0</v>
      </c>
      <c r="V62" s="19">
        <v>0.0</v>
      </c>
      <c r="W62" s="19">
        <v>0.0</v>
      </c>
      <c r="X62" s="19">
        <v>0.0</v>
      </c>
      <c r="Y62" s="19">
        <v>1.0</v>
      </c>
      <c r="Z62" s="19">
        <v>1.0</v>
      </c>
      <c r="AA62" s="19">
        <v>0.0</v>
      </c>
      <c r="AB62" s="19">
        <v>0.0</v>
      </c>
      <c r="AC62" s="19">
        <v>0.0</v>
      </c>
      <c r="AD62" s="19">
        <v>2.0</v>
      </c>
      <c r="AE62" s="19">
        <v>1.0</v>
      </c>
      <c r="AF62" s="19">
        <v>0.0</v>
      </c>
      <c r="AG62" s="19">
        <v>0.0</v>
      </c>
      <c r="AH62" s="19">
        <v>0.0</v>
      </c>
      <c r="AI62" s="19">
        <v>0.0</v>
      </c>
      <c r="AJ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62"/>
      <c r="E63" s="19">
        <v>0.0</v>
      </c>
      <c r="F63" s="19">
        <v>3.0</v>
      </c>
      <c r="G63" s="19">
        <v>1.0</v>
      </c>
      <c r="H63" s="19">
        <v>4.0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2.0</v>
      </c>
      <c r="O63" s="19">
        <v>1.0</v>
      </c>
      <c r="P63" s="19">
        <v>3.0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1.0</v>
      </c>
      <c r="W63" s="19">
        <v>0.0</v>
      </c>
      <c r="X63" s="19">
        <v>1.0</v>
      </c>
      <c r="Y63" s="19">
        <v>1.0</v>
      </c>
      <c r="Z63" s="19">
        <v>1.0</v>
      </c>
      <c r="AA63" s="19">
        <v>0.0</v>
      </c>
      <c r="AB63" s="19">
        <v>2.0</v>
      </c>
      <c r="AC63" s="19">
        <v>0.0</v>
      </c>
      <c r="AD63" s="19">
        <v>1.0</v>
      </c>
      <c r="AE63" s="19">
        <v>0.0</v>
      </c>
      <c r="AF63" s="19">
        <v>1.0</v>
      </c>
      <c r="AG63" s="19">
        <v>1.0</v>
      </c>
      <c r="AH63" s="19">
        <v>0.0</v>
      </c>
      <c r="AI63" s="19">
        <v>0.0</v>
      </c>
      <c r="AJ63" s="13">
        <f t="shared" si="16"/>
        <v>26</v>
      </c>
    </row>
    <row r="64" ht="12.75" customHeight="1">
      <c r="A64" s="18"/>
      <c r="B64" s="55">
        <v>7.0</v>
      </c>
      <c r="C64" s="50" t="s">
        <v>55</v>
      </c>
      <c r="D64" s="61"/>
      <c r="E64" s="19">
        <v>1.0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1.0</v>
      </c>
      <c r="L64" s="19">
        <v>1.0</v>
      </c>
      <c r="M64" s="19">
        <v>0.0</v>
      </c>
      <c r="N64" s="19">
        <v>0.0</v>
      </c>
      <c r="O64" s="19">
        <v>1.0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1.0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3">
        <f t="shared" si="16"/>
        <v>8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J67" si="17">SUM(E57:E66)</f>
        <v>21</v>
      </c>
      <c r="F67" s="13">
        <f t="shared" si="17"/>
        <v>37</v>
      </c>
      <c r="G67" s="13">
        <f t="shared" si="17"/>
        <v>24</v>
      </c>
      <c r="H67" s="13">
        <f t="shared" si="17"/>
        <v>50</v>
      </c>
      <c r="I67" s="13">
        <f t="shared" si="17"/>
        <v>37</v>
      </c>
      <c r="J67" s="13">
        <f t="shared" si="17"/>
        <v>50</v>
      </c>
      <c r="K67" s="13">
        <f t="shared" si="17"/>
        <v>53</v>
      </c>
      <c r="L67" s="13">
        <f t="shared" si="17"/>
        <v>63</v>
      </c>
      <c r="M67" s="13">
        <f t="shared" si="17"/>
        <v>27</v>
      </c>
      <c r="N67" s="13">
        <f t="shared" si="17"/>
        <v>26</v>
      </c>
      <c r="O67" s="13">
        <f t="shared" si="17"/>
        <v>24</v>
      </c>
      <c r="P67" s="13">
        <f t="shared" si="17"/>
        <v>20</v>
      </c>
      <c r="Q67" s="13">
        <f t="shared" si="17"/>
        <v>12</v>
      </c>
      <c r="R67" s="13">
        <f t="shared" si="17"/>
        <v>43</v>
      </c>
      <c r="S67" s="13">
        <f t="shared" si="17"/>
        <v>51</v>
      </c>
      <c r="T67" s="13">
        <f t="shared" si="17"/>
        <v>19</v>
      </c>
      <c r="U67" s="13">
        <f t="shared" si="17"/>
        <v>42</v>
      </c>
      <c r="V67" s="13">
        <f t="shared" si="17"/>
        <v>35</v>
      </c>
      <c r="W67" s="13">
        <f t="shared" si="17"/>
        <v>37</v>
      </c>
      <c r="X67" s="13">
        <f t="shared" si="17"/>
        <v>45</v>
      </c>
      <c r="Y67" s="13">
        <f t="shared" si="17"/>
        <v>41</v>
      </c>
      <c r="Z67" s="13">
        <f t="shared" si="17"/>
        <v>24</v>
      </c>
      <c r="AA67" s="13">
        <f t="shared" si="17"/>
        <v>21</v>
      </c>
      <c r="AB67" s="13">
        <f t="shared" si="17"/>
        <v>19</v>
      </c>
      <c r="AC67" s="13">
        <f t="shared" si="17"/>
        <v>27</v>
      </c>
      <c r="AD67" s="13">
        <f t="shared" si="17"/>
        <v>27</v>
      </c>
      <c r="AE67" s="13">
        <f t="shared" si="17"/>
        <v>45</v>
      </c>
      <c r="AF67" s="13">
        <f t="shared" si="17"/>
        <v>35</v>
      </c>
      <c r="AG67" s="13">
        <f t="shared" si="17"/>
        <v>13</v>
      </c>
      <c r="AH67" s="13">
        <f t="shared" si="17"/>
        <v>17</v>
      </c>
      <c r="AI67" s="13">
        <f t="shared" si="17"/>
        <v>31</v>
      </c>
      <c r="AJ67" s="13">
        <f t="shared" si="17"/>
        <v>1016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19.0</v>
      </c>
      <c r="G69" s="19">
        <v>12.0</v>
      </c>
      <c r="H69" s="19">
        <v>11.0</v>
      </c>
      <c r="I69" s="19">
        <v>18.0</v>
      </c>
      <c r="J69" s="19">
        <v>18.0</v>
      </c>
      <c r="K69" s="19">
        <v>20.0</v>
      </c>
      <c r="L69" s="19">
        <v>3.0</v>
      </c>
      <c r="M69" s="19">
        <v>14.0</v>
      </c>
      <c r="N69" s="19">
        <v>16.0</v>
      </c>
      <c r="O69" s="19">
        <v>29.0</v>
      </c>
      <c r="P69" s="19">
        <v>39.0</v>
      </c>
      <c r="Q69" s="19">
        <v>22.0</v>
      </c>
      <c r="R69" s="19">
        <v>11.0</v>
      </c>
      <c r="S69" s="19">
        <v>6.0</v>
      </c>
      <c r="T69" s="19">
        <v>6.0</v>
      </c>
      <c r="U69" s="19">
        <v>10.0</v>
      </c>
      <c r="V69" s="19">
        <v>5.0</v>
      </c>
      <c r="W69" s="19">
        <v>12.0</v>
      </c>
      <c r="X69" s="19">
        <v>11.0</v>
      </c>
      <c r="Y69" s="19">
        <v>11.0</v>
      </c>
      <c r="Z69" s="19">
        <v>9.0</v>
      </c>
      <c r="AA69" s="19">
        <v>6.0</v>
      </c>
      <c r="AB69" s="19">
        <v>10.0</v>
      </c>
      <c r="AC69" s="19">
        <v>6.0</v>
      </c>
      <c r="AD69" s="19">
        <v>10.0</v>
      </c>
      <c r="AE69" s="19">
        <v>12.0</v>
      </c>
      <c r="AF69" s="19">
        <v>11.0</v>
      </c>
      <c r="AG69" s="19">
        <v>7.0</v>
      </c>
      <c r="AH69" s="19">
        <v>8.0</v>
      </c>
      <c r="AI69" s="19">
        <v>10.0</v>
      </c>
      <c r="AJ69" s="13">
        <f t="shared" ref="AJ69:AJ78" si="18">SUM(E69:AI69)</f>
        <v>385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17.0</v>
      </c>
      <c r="F70" s="19">
        <v>20.0</v>
      </c>
      <c r="G70" s="19">
        <v>15.0</v>
      </c>
      <c r="H70" s="19">
        <v>18.0</v>
      </c>
      <c r="I70" s="19">
        <v>14.0</v>
      </c>
      <c r="J70" s="19">
        <v>15.0</v>
      </c>
      <c r="K70" s="19">
        <v>15.0</v>
      </c>
      <c r="L70" s="19">
        <v>12.0</v>
      </c>
      <c r="M70" s="19">
        <v>10.0</v>
      </c>
      <c r="N70" s="19">
        <v>29.0</v>
      </c>
      <c r="O70" s="19">
        <v>38.0</v>
      </c>
      <c r="P70" s="19">
        <v>20.0</v>
      </c>
      <c r="Q70" s="19">
        <v>21.0</v>
      </c>
      <c r="R70" s="19">
        <v>16.0</v>
      </c>
      <c r="S70" s="19">
        <v>12.0</v>
      </c>
      <c r="T70" s="19">
        <v>16.0</v>
      </c>
      <c r="U70" s="19">
        <v>22.0</v>
      </c>
      <c r="V70" s="19">
        <v>46.0</v>
      </c>
      <c r="W70" s="19">
        <v>63.0</v>
      </c>
      <c r="X70" s="19">
        <v>35.0</v>
      </c>
      <c r="Y70" s="19">
        <v>15.0</v>
      </c>
      <c r="Z70" s="19">
        <v>27.0</v>
      </c>
      <c r="AA70" s="19">
        <v>12.0</v>
      </c>
      <c r="AB70" s="19">
        <v>31.0</v>
      </c>
      <c r="AC70" s="19">
        <v>29.0</v>
      </c>
      <c r="AD70" s="19">
        <v>17.0</v>
      </c>
      <c r="AE70" s="19">
        <v>17.0</v>
      </c>
      <c r="AF70" s="19">
        <v>21.0</v>
      </c>
      <c r="AG70" s="19">
        <v>12.0</v>
      </c>
      <c r="AH70" s="19">
        <v>10.0</v>
      </c>
      <c r="AI70" s="19">
        <v>14.0</v>
      </c>
      <c r="AJ70" s="13">
        <f t="shared" si="18"/>
        <v>659</v>
      </c>
    </row>
    <row r="71" ht="12.75" customHeight="1">
      <c r="A71" s="18"/>
      <c r="B71" s="55">
        <v>2.0</v>
      </c>
      <c r="C71" s="50" t="s">
        <v>58</v>
      </c>
      <c r="D71" s="62"/>
      <c r="E71" s="19">
        <v>1.0</v>
      </c>
      <c r="F71" s="19">
        <v>6.0</v>
      </c>
      <c r="G71" s="19">
        <v>3.0</v>
      </c>
      <c r="H71" s="19">
        <v>2.0</v>
      </c>
      <c r="I71" s="19">
        <v>2.0</v>
      </c>
      <c r="J71" s="19">
        <v>4.0</v>
      </c>
      <c r="K71" s="19">
        <v>4.0</v>
      </c>
      <c r="L71" s="19">
        <v>1.0</v>
      </c>
      <c r="M71" s="19">
        <v>0.0</v>
      </c>
      <c r="N71" s="19">
        <v>4.0</v>
      </c>
      <c r="O71" s="19">
        <v>5.0</v>
      </c>
      <c r="P71" s="19">
        <v>3.0</v>
      </c>
      <c r="Q71" s="19">
        <v>16.0</v>
      </c>
      <c r="R71" s="19">
        <v>2.0</v>
      </c>
      <c r="S71" s="19">
        <v>3.0</v>
      </c>
      <c r="T71" s="19">
        <v>2.0</v>
      </c>
      <c r="U71" s="19">
        <v>0.0</v>
      </c>
      <c r="V71" s="19">
        <v>1.0</v>
      </c>
      <c r="W71" s="19">
        <v>1.0</v>
      </c>
      <c r="X71" s="19">
        <v>3.0</v>
      </c>
      <c r="Y71" s="19">
        <v>3.0</v>
      </c>
      <c r="Z71" s="19">
        <v>1.0</v>
      </c>
      <c r="AA71" s="19">
        <v>2.0</v>
      </c>
      <c r="AB71" s="19">
        <v>2.0</v>
      </c>
      <c r="AC71" s="19">
        <v>0.0</v>
      </c>
      <c r="AD71" s="19">
        <v>1.0</v>
      </c>
      <c r="AE71" s="19">
        <v>3.0</v>
      </c>
      <c r="AF71" s="19">
        <v>3.0</v>
      </c>
      <c r="AG71" s="19">
        <v>1.0</v>
      </c>
      <c r="AH71" s="19">
        <v>0.0</v>
      </c>
      <c r="AI71" s="19">
        <v>0.0</v>
      </c>
      <c r="AJ71" s="13">
        <f t="shared" si="18"/>
        <v>79</v>
      </c>
    </row>
    <row r="72" ht="12.75" customHeight="1">
      <c r="A72" s="18"/>
      <c r="B72" s="55">
        <v>3.0</v>
      </c>
      <c r="C72" s="50" t="s">
        <v>59</v>
      </c>
      <c r="D72" s="62"/>
      <c r="E72" s="19">
        <v>8.0</v>
      </c>
      <c r="F72" s="19">
        <v>2.0</v>
      </c>
      <c r="G72" s="19">
        <v>2.0</v>
      </c>
      <c r="H72" s="19">
        <v>1.0</v>
      </c>
      <c r="I72" s="19">
        <v>2.0</v>
      </c>
      <c r="J72" s="19">
        <v>3.0</v>
      </c>
      <c r="K72" s="19">
        <v>1.0</v>
      </c>
      <c r="L72" s="19">
        <v>0.0</v>
      </c>
      <c r="M72" s="19">
        <v>0.0</v>
      </c>
      <c r="N72" s="19">
        <v>15.0</v>
      </c>
      <c r="O72" s="19">
        <v>19.0</v>
      </c>
      <c r="P72" s="19">
        <v>13.0</v>
      </c>
      <c r="Q72" s="19">
        <v>11.0</v>
      </c>
      <c r="R72" s="19">
        <v>1.0</v>
      </c>
      <c r="S72" s="19">
        <v>0.0</v>
      </c>
      <c r="T72" s="19">
        <v>0.0</v>
      </c>
      <c r="U72" s="19">
        <v>1.0</v>
      </c>
      <c r="V72" s="19">
        <v>1.0</v>
      </c>
      <c r="W72" s="19">
        <v>1.0</v>
      </c>
      <c r="X72" s="19">
        <v>1.0</v>
      </c>
      <c r="Y72" s="19">
        <v>3.0</v>
      </c>
      <c r="Z72" s="19">
        <v>1.0</v>
      </c>
      <c r="AA72" s="19">
        <v>0.0</v>
      </c>
      <c r="AB72" s="19">
        <v>1.0</v>
      </c>
      <c r="AC72" s="19">
        <v>2.0</v>
      </c>
      <c r="AD72" s="19">
        <v>3.0</v>
      </c>
      <c r="AE72" s="19">
        <v>0.0</v>
      </c>
      <c r="AF72" s="19">
        <v>5.0</v>
      </c>
      <c r="AG72" s="19">
        <v>0.0</v>
      </c>
      <c r="AH72" s="19">
        <v>3.0</v>
      </c>
      <c r="AI72" s="19">
        <v>1.0</v>
      </c>
      <c r="AJ72" s="13">
        <f t="shared" si="18"/>
        <v>101</v>
      </c>
    </row>
    <row r="73" ht="12.75" customHeight="1">
      <c r="A73" s="18"/>
      <c r="B73" s="55">
        <v>4.0</v>
      </c>
      <c r="C73" s="50" t="s">
        <v>60</v>
      </c>
      <c r="D73" s="62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0.0</v>
      </c>
      <c r="M73" s="19">
        <v>0.0</v>
      </c>
      <c r="N73" s="19">
        <v>2.0</v>
      </c>
      <c r="O73" s="19">
        <v>3.0</v>
      </c>
      <c r="P73" s="19">
        <v>4.0</v>
      </c>
      <c r="Q73" s="19">
        <v>4.0</v>
      </c>
      <c r="R73" s="19">
        <v>1.0</v>
      </c>
      <c r="S73" s="19">
        <v>0.0</v>
      </c>
      <c r="T73" s="19">
        <v>0.0</v>
      </c>
      <c r="U73" s="19">
        <v>0.0</v>
      </c>
      <c r="V73" s="19">
        <v>4.0</v>
      </c>
      <c r="W73" s="19">
        <v>2.0</v>
      </c>
      <c r="X73" s="19">
        <v>2.0</v>
      </c>
      <c r="Y73" s="19">
        <v>0.0</v>
      </c>
      <c r="Z73" s="19">
        <v>1.0</v>
      </c>
      <c r="AA73" s="19">
        <v>0.0</v>
      </c>
      <c r="AB73" s="19">
        <v>2.0</v>
      </c>
      <c r="AC73" s="19">
        <v>0.0</v>
      </c>
      <c r="AD73" s="19">
        <v>1.0</v>
      </c>
      <c r="AE73" s="19">
        <v>0.0</v>
      </c>
      <c r="AF73" s="19">
        <v>1.0</v>
      </c>
      <c r="AG73" s="19">
        <v>2.0</v>
      </c>
      <c r="AH73" s="19">
        <v>0.0</v>
      </c>
      <c r="AI73" s="19">
        <v>0.0</v>
      </c>
      <c r="AJ73" s="13">
        <f t="shared" si="18"/>
        <v>30</v>
      </c>
    </row>
    <row r="74" ht="12.75" customHeight="1">
      <c r="A74" s="18"/>
      <c r="B74" s="55">
        <v>5.0</v>
      </c>
      <c r="C74" s="50" t="s">
        <v>61</v>
      </c>
      <c r="D74" s="62"/>
      <c r="E74" s="19">
        <v>14.0</v>
      </c>
      <c r="F74" s="19">
        <v>2.0</v>
      </c>
      <c r="G74" s="19">
        <v>1.0</v>
      </c>
      <c r="H74" s="19">
        <v>5.0</v>
      </c>
      <c r="I74" s="19">
        <v>1.0</v>
      </c>
      <c r="J74" s="19">
        <v>4.0</v>
      </c>
      <c r="K74" s="19">
        <v>1.0</v>
      </c>
      <c r="L74" s="19">
        <v>1.0</v>
      </c>
      <c r="M74" s="19">
        <v>3.0</v>
      </c>
      <c r="N74" s="19">
        <v>33.0</v>
      </c>
      <c r="O74" s="19">
        <v>9.0</v>
      </c>
      <c r="P74" s="19">
        <v>5.0</v>
      </c>
      <c r="Q74" s="19">
        <v>0.0</v>
      </c>
      <c r="R74" s="19">
        <v>9.0</v>
      </c>
      <c r="S74" s="19">
        <v>0.0</v>
      </c>
      <c r="T74" s="19">
        <v>5.0</v>
      </c>
      <c r="U74" s="19">
        <v>1.0</v>
      </c>
      <c r="V74" s="19">
        <v>3.0</v>
      </c>
      <c r="W74" s="19">
        <v>4.0</v>
      </c>
      <c r="X74" s="19">
        <v>1.0</v>
      </c>
      <c r="Y74" s="19">
        <v>10.0</v>
      </c>
      <c r="Z74" s="19">
        <v>1.0</v>
      </c>
      <c r="AA74" s="19">
        <v>0.0</v>
      </c>
      <c r="AB74" s="19">
        <v>1.0</v>
      </c>
      <c r="AC74" s="19">
        <v>3.0</v>
      </c>
      <c r="AD74" s="19">
        <v>10.0</v>
      </c>
      <c r="AE74" s="19">
        <v>5.0</v>
      </c>
      <c r="AF74" s="19">
        <v>6.0</v>
      </c>
      <c r="AG74" s="19">
        <v>0.0</v>
      </c>
      <c r="AH74" s="19">
        <v>1.0</v>
      </c>
      <c r="AI74" s="19">
        <v>1.0</v>
      </c>
      <c r="AJ74" s="13">
        <f t="shared" si="18"/>
        <v>140</v>
      </c>
    </row>
    <row r="75" ht="12.75" customHeight="1">
      <c r="A75" s="18"/>
      <c r="B75" s="55">
        <v>6.0</v>
      </c>
      <c r="C75" s="50" t="s">
        <v>62</v>
      </c>
      <c r="D75" s="62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1.0</v>
      </c>
      <c r="K75" s="19">
        <v>0.0</v>
      </c>
      <c r="L75" s="19">
        <v>2.0</v>
      </c>
      <c r="M75" s="19">
        <v>0.0</v>
      </c>
      <c r="N75" s="19">
        <v>0.0</v>
      </c>
      <c r="O75" s="19">
        <v>1.0</v>
      </c>
      <c r="P75" s="19">
        <v>3.0</v>
      </c>
      <c r="Q75" s="19">
        <v>2.0</v>
      </c>
      <c r="R75" s="19">
        <v>0.0</v>
      </c>
      <c r="S75" s="19">
        <v>0.0</v>
      </c>
      <c r="T75" s="19">
        <v>0.0</v>
      </c>
      <c r="U75" s="19">
        <v>0.0</v>
      </c>
      <c r="V75" s="19">
        <v>2.0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0.0</v>
      </c>
      <c r="AH75" s="19">
        <v>0.0</v>
      </c>
      <c r="AI75" s="19">
        <v>1.0</v>
      </c>
      <c r="AJ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1.0</v>
      </c>
      <c r="O76" s="19">
        <v>2.0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2.0</v>
      </c>
      <c r="AA76" s="19">
        <v>0.0</v>
      </c>
      <c r="AB76" s="19">
        <v>1.0</v>
      </c>
      <c r="AC76" s="19">
        <v>5.0</v>
      </c>
      <c r="AD76" s="19">
        <v>2.0</v>
      </c>
      <c r="AE76" s="19">
        <v>3.0</v>
      </c>
      <c r="AF76" s="19">
        <v>11.0</v>
      </c>
      <c r="AG76" s="19">
        <v>32.0</v>
      </c>
      <c r="AH76" s="19">
        <v>1.0</v>
      </c>
      <c r="AI76" s="19">
        <v>0.0</v>
      </c>
      <c r="AJ76" s="13">
        <f t="shared" si="18"/>
        <v>61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J79" si="19">SUM(E69:E78)</f>
        <v>43</v>
      </c>
      <c r="F79" s="13">
        <f t="shared" si="19"/>
        <v>50</v>
      </c>
      <c r="G79" s="13">
        <f t="shared" si="19"/>
        <v>33</v>
      </c>
      <c r="H79" s="13">
        <f t="shared" si="19"/>
        <v>37</v>
      </c>
      <c r="I79" s="13">
        <f t="shared" si="19"/>
        <v>39</v>
      </c>
      <c r="J79" s="13">
        <f t="shared" si="19"/>
        <v>46</v>
      </c>
      <c r="K79" s="13">
        <f t="shared" si="19"/>
        <v>41</v>
      </c>
      <c r="L79" s="13">
        <f t="shared" si="19"/>
        <v>19</v>
      </c>
      <c r="M79" s="13">
        <f t="shared" si="19"/>
        <v>27</v>
      </c>
      <c r="N79" s="13">
        <f t="shared" si="19"/>
        <v>100</v>
      </c>
      <c r="O79" s="13">
        <f t="shared" si="19"/>
        <v>106</v>
      </c>
      <c r="P79" s="13">
        <f t="shared" si="19"/>
        <v>87</v>
      </c>
      <c r="Q79" s="13">
        <f t="shared" si="19"/>
        <v>76</v>
      </c>
      <c r="R79" s="13">
        <f t="shared" si="19"/>
        <v>40</v>
      </c>
      <c r="S79" s="13">
        <f t="shared" si="19"/>
        <v>21</v>
      </c>
      <c r="T79" s="13">
        <f t="shared" si="19"/>
        <v>29</v>
      </c>
      <c r="U79" s="13">
        <f t="shared" si="19"/>
        <v>34</v>
      </c>
      <c r="V79" s="13">
        <f t="shared" si="19"/>
        <v>62</v>
      </c>
      <c r="W79" s="13">
        <f t="shared" si="19"/>
        <v>83</v>
      </c>
      <c r="X79" s="13">
        <f t="shared" si="19"/>
        <v>53</v>
      </c>
      <c r="Y79" s="13">
        <f t="shared" si="19"/>
        <v>42</v>
      </c>
      <c r="Z79" s="13">
        <f t="shared" si="19"/>
        <v>42</v>
      </c>
      <c r="AA79" s="13">
        <f t="shared" si="19"/>
        <v>20</v>
      </c>
      <c r="AB79" s="13">
        <f t="shared" si="19"/>
        <v>48</v>
      </c>
      <c r="AC79" s="13">
        <f t="shared" si="19"/>
        <v>45</v>
      </c>
      <c r="AD79" s="13">
        <f t="shared" si="19"/>
        <v>44</v>
      </c>
      <c r="AE79" s="13">
        <f t="shared" si="19"/>
        <v>40</v>
      </c>
      <c r="AF79" s="13">
        <f t="shared" si="19"/>
        <v>58</v>
      </c>
      <c r="AG79" s="13">
        <f t="shared" si="19"/>
        <v>54</v>
      </c>
      <c r="AH79" s="13">
        <f t="shared" si="19"/>
        <v>23</v>
      </c>
      <c r="AI79" s="13">
        <f t="shared" si="19"/>
        <v>27</v>
      </c>
      <c r="AJ79" s="13">
        <f t="shared" si="19"/>
        <v>1469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2.0</v>
      </c>
      <c r="G81" s="19">
        <v>1.0</v>
      </c>
      <c r="H81" s="19">
        <v>5.0</v>
      </c>
      <c r="I81" s="19">
        <v>9.0</v>
      </c>
      <c r="J81" s="19">
        <v>5.0</v>
      </c>
      <c r="K81" s="19">
        <v>0.0</v>
      </c>
      <c r="L81" s="19">
        <v>7.0</v>
      </c>
      <c r="M81" s="19">
        <v>3.0</v>
      </c>
      <c r="N81" s="19">
        <v>2.0</v>
      </c>
      <c r="O81" s="19">
        <v>4.0</v>
      </c>
      <c r="P81" s="19">
        <v>7.0</v>
      </c>
      <c r="Q81" s="19">
        <v>5.0</v>
      </c>
      <c r="R81" s="19">
        <v>4.0</v>
      </c>
      <c r="S81" s="19">
        <v>3.0</v>
      </c>
      <c r="T81" s="19">
        <v>3.0</v>
      </c>
      <c r="U81" s="19">
        <v>3.0</v>
      </c>
      <c r="V81" s="19">
        <v>12.0</v>
      </c>
      <c r="W81" s="19">
        <v>13.0</v>
      </c>
      <c r="X81" s="19">
        <v>18.0</v>
      </c>
      <c r="Y81" s="19">
        <v>3.0</v>
      </c>
      <c r="Z81" s="19">
        <v>9.0</v>
      </c>
      <c r="AA81" s="19">
        <v>19.0</v>
      </c>
      <c r="AB81" s="19">
        <v>0.0</v>
      </c>
      <c r="AC81" s="19">
        <v>1.0</v>
      </c>
      <c r="AD81" s="19">
        <v>6.0</v>
      </c>
      <c r="AE81" s="19">
        <v>2.0</v>
      </c>
      <c r="AF81" s="19">
        <v>2.0</v>
      </c>
      <c r="AG81" s="19">
        <v>1.0</v>
      </c>
      <c r="AH81" s="19">
        <v>2.0</v>
      </c>
      <c r="AI81" s="19">
        <v>10.0</v>
      </c>
      <c r="AJ81" s="13">
        <f t="shared" ref="AJ81:AJ90" si="20">SUM(E81:AI81)</f>
        <v>162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2.0</v>
      </c>
      <c r="F82" s="19">
        <v>1.0</v>
      </c>
      <c r="G82" s="19">
        <v>4.0</v>
      </c>
      <c r="H82" s="19">
        <v>8.0</v>
      </c>
      <c r="I82" s="19">
        <v>35.0</v>
      </c>
      <c r="J82" s="19">
        <v>10.0</v>
      </c>
      <c r="K82" s="19">
        <v>10.0</v>
      </c>
      <c r="L82" s="19">
        <v>14.0</v>
      </c>
      <c r="M82" s="19">
        <v>15.0</v>
      </c>
      <c r="N82" s="19">
        <v>2.0</v>
      </c>
      <c r="O82" s="19">
        <v>0.0</v>
      </c>
      <c r="P82" s="19">
        <v>4.0</v>
      </c>
      <c r="Q82" s="19">
        <v>4.0</v>
      </c>
      <c r="R82" s="19">
        <v>11.0</v>
      </c>
      <c r="S82" s="19">
        <v>6.0</v>
      </c>
      <c r="T82" s="19">
        <v>8.0</v>
      </c>
      <c r="U82" s="19">
        <v>2.0</v>
      </c>
      <c r="V82" s="19">
        <v>15.0</v>
      </c>
      <c r="W82" s="19">
        <v>7.0</v>
      </c>
      <c r="X82" s="19">
        <v>15.0</v>
      </c>
      <c r="Y82" s="19">
        <v>9.0</v>
      </c>
      <c r="Z82" s="19">
        <v>5.0</v>
      </c>
      <c r="AA82" s="19">
        <v>25.0</v>
      </c>
      <c r="AB82" s="19">
        <v>2.0</v>
      </c>
      <c r="AC82" s="19">
        <v>8.0</v>
      </c>
      <c r="AD82" s="19">
        <v>6.0</v>
      </c>
      <c r="AE82" s="19">
        <v>16.0</v>
      </c>
      <c r="AF82" s="19">
        <v>23.0</v>
      </c>
      <c r="AG82" s="19">
        <v>5.0</v>
      </c>
      <c r="AH82" s="19">
        <v>36.0</v>
      </c>
      <c r="AI82" s="19">
        <v>38.0</v>
      </c>
      <c r="AJ82" s="13">
        <f t="shared" si="20"/>
        <v>346</v>
      </c>
    </row>
    <row r="83" ht="12.75" customHeight="1">
      <c r="A83" s="18"/>
      <c r="B83" s="55">
        <v>2.0</v>
      </c>
      <c r="C83" s="50" t="s">
        <v>66</v>
      </c>
      <c r="D83" s="62"/>
      <c r="E83" s="19">
        <v>1.0</v>
      </c>
      <c r="F83" s="19">
        <v>4.0</v>
      </c>
      <c r="G83" s="19">
        <v>3.0</v>
      </c>
      <c r="H83" s="19">
        <v>7.0</v>
      </c>
      <c r="I83" s="19">
        <v>2.0</v>
      </c>
      <c r="J83" s="19">
        <v>5.0</v>
      </c>
      <c r="K83" s="19">
        <v>2.0</v>
      </c>
      <c r="L83" s="19">
        <v>10.0</v>
      </c>
      <c r="M83" s="19">
        <v>3.0</v>
      </c>
      <c r="N83" s="19">
        <v>11.0</v>
      </c>
      <c r="O83" s="19">
        <v>6.0</v>
      </c>
      <c r="P83" s="19">
        <v>8.0</v>
      </c>
      <c r="Q83" s="19">
        <v>4.0</v>
      </c>
      <c r="R83" s="19">
        <v>9.0</v>
      </c>
      <c r="S83" s="19">
        <v>4.0</v>
      </c>
      <c r="T83" s="19">
        <v>2.0</v>
      </c>
      <c r="U83" s="19">
        <v>5.0</v>
      </c>
      <c r="V83" s="19">
        <v>9.0</v>
      </c>
      <c r="W83" s="19">
        <v>8.0</v>
      </c>
      <c r="X83" s="19">
        <v>9.0</v>
      </c>
      <c r="Y83" s="19">
        <v>2.0</v>
      </c>
      <c r="Z83" s="19">
        <v>9.0</v>
      </c>
      <c r="AA83" s="19">
        <v>7.0</v>
      </c>
      <c r="AB83" s="19">
        <v>2.0</v>
      </c>
      <c r="AC83" s="19">
        <v>5.0</v>
      </c>
      <c r="AD83" s="19">
        <v>8.0</v>
      </c>
      <c r="AE83" s="19">
        <v>4.0</v>
      </c>
      <c r="AF83" s="19">
        <v>6.0</v>
      </c>
      <c r="AG83" s="19">
        <v>4.0</v>
      </c>
      <c r="AH83" s="19">
        <v>1.0</v>
      </c>
      <c r="AI83" s="19">
        <v>9.0</v>
      </c>
      <c r="AJ83" s="13">
        <f t="shared" si="20"/>
        <v>169</v>
      </c>
    </row>
    <row r="84" ht="12.75" customHeight="1">
      <c r="A84" s="18"/>
      <c r="B84" s="55">
        <v>3.0</v>
      </c>
      <c r="C84" s="50" t="s">
        <v>67</v>
      </c>
      <c r="D84" s="62"/>
      <c r="E84" s="19">
        <v>0.0</v>
      </c>
      <c r="F84" s="19">
        <v>0.0</v>
      </c>
      <c r="G84" s="19">
        <v>0.0</v>
      </c>
      <c r="H84" s="19">
        <v>0.0</v>
      </c>
      <c r="I84" s="19">
        <v>2.0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2.0</v>
      </c>
      <c r="V84" s="19">
        <v>0.0</v>
      </c>
      <c r="W84" s="19">
        <v>3.0</v>
      </c>
      <c r="X84" s="19">
        <v>1.0</v>
      </c>
      <c r="Y84" s="19">
        <v>0.0</v>
      </c>
      <c r="Z84" s="19">
        <v>1.0</v>
      </c>
      <c r="AA84" s="19">
        <v>3.0</v>
      </c>
      <c r="AB84" s="19">
        <v>0.0</v>
      </c>
      <c r="AC84" s="19">
        <v>0.0</v>
      </c>
      <c r="AD84" s="19">
        <v>1.0</v>
      </c>
      <c r="AE84" s="19">
        <v>0.0</v>
      </c>
      <c r="AF84" s="19">
        <v>1.0</v>
      </c>
      <c r="AG84" s="19">
        <v>1.0</v>
      </c>
      <c r="AH84" s="19">
        <v>3.0</v>
      </c>
      <c r="AI84" s="19">
        <v>3.0</v>
      </c>
      <c r="AJ84" s="13">
        <f t="shared" si="20"/>
        <v>23</v>
      </c>
    </row>
    <row r="85" ht="12.75" customHeight="1">
      <c r="A85" s="18"/>
      <c r="B85" s="55">
        <v>4.0</v>
      </c>
      <c r="C85" s="50" t="s">
        <v>68</v>
      </c>
      <c r="D85" s="62"/>
      <c r="E85" s="19">
        <v>0.0</v>
      </c>
      <c r="F85" s="19">
        <v>1.0</v>
      </c>
      <c r="G85" s="19">
        <v>0.0</v>
      </c>
      <c r="H85" s="19">
        <v>0.0</v>
      </c>
      <c r="I85" s="19">
        <v>0.0</v>
      </c>
      <c r="J85" s="19">
        <v>4.0</v>
      </c>
      <c r="K85" s="19">
        <v>0.0</v>
      </c>
      <c r="L85" s="19">
        <v>0.0</v>
      </c>
      <c r="M85" s="19">
        <v>1.0</v>
      </c>
      <c r="N85" s="19">
        <v>0.0</v>
      </c>
      <c r="O85" s="19">
        <v>1.0</v>
      </c>
      <c r="P85" s="19">
        <v>0.0</v>
      </c>
      <c r="Q85" s="19">
        <v>0.0</v>
      </c>
      <c r="R85" s="19">
        <v>1.0</v>
      </c>
      <c r="S85" s="19">
        <v>0.0</v>
      </c>
      <c r="T85" s="19">
        <v>0.0</v>
      </c>
      <c r="U85" s="19">
        <v>1.0</v>
      </c>
      <c r="V85" s="19">
        <v>2.0</v>
      </c>
      <c r="W85" s="19">
        <v>1.0</v>
      </c>
      <c r="X85" s="19">
        <v>3.0</v>
      </c>
      <c r="Y85" s="19">
        <v>2.0</v>
      </c>
      <c r="Z85" s="19">
        <v>2.0</v>
      </c>
      <c r="AA85" s="19">
        <v>2.0</v>
      </c>
      <c r="AB85" s="19">
        <v>1.0</v>
      </c>
      <c r="AC85" s="19">
        <v>0.0</v>
      </c>
      <c r="AD85" s="19">
        <v>0.0</v>
      </c>
      <c r="AE85" s="19">
        <v>1.0</v>
      </c>
      <c r="AF85" s="19">
        <v>0.0</v>
      </c>
      <c r="AG85" s="19">
        <v>0.0</v>
      </c>
      <c r="AH85" s="19">
        <v>5.0</v>
      </c>
      <c r="AI85" s="19">
        <v>0.0</v>
      </c>
      <c r="AJ85" s="13">
        <f t="shared" si="20"/>
        <v>28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0.0</v>
      </c>
      <c r="G86" s="19">
        <v>2.0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2.0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1.0</v>
      </c>
      <c r="AA86" s="19">
        <v>0.0</v>
      </c>
      <c r="AB86" s="19">
        <v>2.0</v>
      </c>
      <c r="AC86" s="19">
        <v>2.0</v>
      </c>
      <c r="AD86" s="19">
        <v>0.0</v>
      </c>
      <c r="AE86" s="19">
        <v>1.0</v>
      </c>
      <c r="AF86" s="19">
        <v>1.0</v>
      </c>
      <c r="AG86" s="19">
        <v>0.0</v>
      </c>
      <c r="AH86" s="19">
        <v>1.0</v>
      </c>
      <c r="AI86" s="19">
        <v>0.0</v>
      </c>
      <c r="AJ86" s="13">
        <f t="shared" si="20"/>
        <v>14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2.0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2.0</v>
      </c>
      <c r="AI87" s="19">
        <v>0.0</v>
      </c>
      <c r="AJ87" s="13">
        <f t="shared" si="20"/>
        <v>8</v>
      </c>
    </row>
    <row r="88" ht="12.75" customHeight="1">
      <c r="A88" s="18"/>
      <c r="B88" s="55">
        <v>7.0</v>
      </c>
      <c r="C88" s="50" t="s">
        <v>71</v>
      </c>
      <c r="D88" s="62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3">
        <f t="shared" si="20"/>
        <v>1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J91" si="21">SUM(E81:E90)</f>
        <v>5</v>
      </c>
      <c r="F91" s="13">
        <f t="shared" si="21"/>
        <v>9</v>
      </c>
      <c r="G91" s="13">
        <f t="shared" si="21"/>
        <v>10</v>
      </c>
      <c r="H91" s="13">
        <f t="shared" si="21"/>
        <v>21</v>
      </c>
      <c r="I91" s="13">
        <f t="shared" si="21"/>
        <v>48</v>
      </c>
      <c r="J91" s="13">
        <f t="shared" si="21"/>
        <v>25</v>
      </c>
      <c r="K91" s="13">
        <f t="shared" si="21"/>
        <v>12</v>
      </c>
      <c r="L91" s="13">
        <f t="shared" si="21"/>
        <v>31</v>
      </c>
      <c r="M91" s="13">
        <f t="shared" si="21"/>
        <v>22</v>
      </c>
      <c r="N91" s="13">
        <f t="shared" si="21"/>
        <v>15</v>
      </c>
      <c r="O91" s="13">
        <f t="shared" si="21"/>
        <v>14</v>
      </c>
      <c r="P91" s="13">
        <f t="shared" si="21"/>
        <v>19</v>
      </c>
      <c r="Q91" s="13">
        <f t="shared" si="21"/>
        <v>13</v>
      </c>
      <c r="R91" s="13">
        <f t="shared" si="21"/>
        <v>26</v>
      </c>
      <c r="S91" s="13">
        <f t="shared" si="21"/>
        <v>16</v>
      </c>
      <c r="T91" s="13">
        <f t="shared" si="21"/>
        <v>13</v>
      </c>
      <c r="U91" s="13">
        <f t="shared" si="21"/>
        <v>13</v>
      </c>
      <c r="V91" s="13">
        <f t="shared" si="21"/>
        <v>39</v>
      </c>
      <c r="W91" s="13">
        <f t="shared" si="21"/>
        <v>32</v>
      </c>
      <c r="X91" s="13">
        <f t="shared" si="21"/>
        <v>46</v>
      </c>
      <c r="Y91" s="13">
        <f t="shared" si="21"/>
        <v>16</v>
      </c>
      <c r="Z91" s="13">
        <f t="shared" si="21"/>
        <v>28</v>
      </c>
      <c r="AA91" s="13">
        <f t="shared" si="21"/>
        <v>56</v>
      </c>
      <c r="AB91" s="13">
        <f t="shared" si="21"/>
        <v>7</v>
      </c>
      <c r="AC91" s="13">
        <f t="shared" si="21"/>
        <v>16</v>
      </c>
      <c r="AD91" s="13">
        <f t="shared" si="21"/>
        <v>21</v>
      </c>
      <c r="AE91" s="13">
        <f t="shared" si="21"/>
        <v>24</v>
      </c>
      <c r="AF91" s="13">
        <f t="shared" si="21"/>
        <v>33</v>
      </c>
      <c r="AG91" s="13">
        <f t="shared" si="21"/>
        <v>11</v>
      </c>
      <c r="AH91" s="13">
        <f t="shared" si="21"/>
        <v>50</v>
      </c>
      <c r="AI91" s="13">
        <f t="shared" si="21"/>
        <v>60</v>
      </c>
      <c r="AJ91" s="13">
        <f t="shared" si="21"/>
        <v>751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10.0</v>
      </c>
      <c r="G93" s="19">
        <v>7.0</v>
      </c>
      <c r="H93" s="19">
        <v>4.0</v>
      </c>
      <c r="I93" s="19">
        <v>3.0</v>
      </c>
      <c r="J93" s="19">
        <v>1.0</v>
      </c>
      <c r="K93" s="19">
        <v>5.0</v>
      </c>
      <c r="L93" s="19">
        <v>4.0</v>
      </c>
      <c r="M93" s="19">
        <v>1.0</v>
      </c>
      <c r="N93" s="19">
        <v>2.0</v>
      </c>
      <c r="O93" s="19">
        <v>1.0</v>
      </c>
      <c r="P93" s="19">
        <v>0.0</v>
      </c>
      <c r="Q93" s="19">
        <v>1.0</v>
      </c>
      <c r="R93" s="19">
        <v>2.0</v>
      </c>
      <c r="S93" s="19">
        <v>2.0</v>
      </c>
      <c r="T93" s="19">
        <v>3.0</v>
      </c>
      <c r="U93" s="19">
        <v>0.0</v>
      </c>
      <c r="V93" s="19">
        <v>0.0</v>
      </c>
      <c r="W93" s="19">
        <v>0.0</v>
      </c>
      <c r="X93" s="19">
        <v>0.0</v>
      </c>
      <c r="Y93" s="19">
        <v>3.0</v>
      </c>
      <c r="Z93" s="19">
        <v>1.0</v>
      </c>
      <c r="AA93" s="19">
        <v>1.0</v>
      </c>
      <c r="AB93" s="19">
        <v>0.0</v>
      </c>
      <c r="AC93" s="19">
        <v>0.0</v>
      </c>
      <c r="AD93" s="19">
        <v>3.0</v>
      </c>
      <c r="AE93" s="19">
        <v>0.0</v>
      </c>
      <c r="AF93" s="19">
        <v>1.0</v>
      </c>
      <c r="AG93" s="19">
        <v>1.0</v>
      </c>
      <c r="AH93" s="19">
        <v>3.0</v>
      </c>
      <c r="AI93" s="19">
        <v>1.0</v>
      </c>
      <c r="AJ93" s="13">
        <f t="shared" ref="AJ93:AJ102" si="22">SUM(E93:AI93)</f>
        <v>63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2.0</v>
      </c>
      <c r="F94" s="19">
        <v>11.0</v>
      </c>
      <c r="G94" s="19">
        <v>10.0</v>
      </c>
      <c r="H94" s="19">
        <v>10.0</v>
      </c>
      <c r="I94" s="19">
        <v>3.0</v>
      </c>
      <c r="J94" s="19">
        <v>6.0</v>
      </c>
      <c r="K94" s="19">
        <v>2.0</v>
      </c>
      <c r="L94" s="19">
        <v>0.0</v>
      </c>
      <c r="M94" s="19">
        <v>1.0</v>
      </c>
      <c r="N94" s="19">
        <v>3.0</v>
      </c>
      <c r="O94" s="19">
        <v>0.0</v>
      </c>
      <c r="P94" s="19">
        <v>1.0</v>
      </c>
      <c r="Q94" s="19">
        <v>2.0</v>
      </c>
      <c r="R94" s="19">
        <v>4.0</v>
      </c>
      <c r="S94" s="19">
        <v>4.0</v>
      </c>
      <c r="T94" s="19">
        <v>4.0</v>
      </c>
      <c r="U94" s="19">
        <v>5.0</v>
      </c>
      <c r="V94" s="19">
        <v>0.0</v>
      </c>
      <c r="W94" s="19">
        <v>0.0</v>
      </c>
      <c r="X94" s="19">
        <v>1.0</v>
      </c>
      <c r="Y94" s="19">
        <v>2.0</v>
      </c>
      <c r="Z94" s="19">
        <v>0.0</v>
      </c>
      <c r="AA94" s="19">
        <v>0.0</v>
      </c>
      <c r="AB94" s="19">
        <v>0.0</v>
      </c>
      <c r="AC94" s="19">
        <v>2.0</v>
      </c>
      <c r="AD94" s="19">
        <v>1.0</v>
      </c>
      <c r="AE94" s="19">
        <v>0.0</v>
      </c>
      <c r="AF94" s="19">
        <v>9.0</v>
      </c>
      <c r="AG94" s="19">
        <v>4.0</v>
      </c>
      <c r="AH94" s="19">
        <v>2.0</v>
      </c>
      <c r="AI94" s="19">
        <v>3.0</v>
      </c>
      <c r="AJ94" s="13">
        <f t="shared" si="22"/>
        <v>92</v>
      </c>
    </row>
    <row r="95" ht="12.75" customHeight="1">
      <c r="A95" s="18"/>
      <c r="B95" s="55">
        <v>2.0</v>
      </c>
      <c r="C95" s="50" t="s">
        <v>75</v>
      </c>
      <c r="D95" s="62"/>
      <c r="E95" s="19">
        <v>0.0</v>
      </c>
      <c r="F95" s="19">
        <v>2.0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1.0</v>
      </c>
      <c r="AC95" s="19">
        <v>2.0</v>
      </c>
      <c r="AD95" s="19">
        <v>1.0</v>
      </c>
      <c r="AE95" s="19">
        <v>0.0</v>
      </c>
      <c r="AF95" s="19">
        <v>0.0</v>
      </c>
      <c r="AG95" s="19">
        <v>0.0</v>
      </c>
      <c r="AH95" s="19">
        <v>2.0</v>
      </c>
      <c r="AI95" s="19">
        <v>0.0</v>
      </c>
      <c r="AJ95" s="13">
        <f t="shared" si="22"/>
        <v>10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2.0</v>
      </c>
      <c r="G96" s="19">
        <v>0.0</v>
      </c>
      <c r="H96" s="19">
        <v>0.0</v>
      </c>
      <c r="I96" s="19">
        <v>2.0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2.0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3">
        <f t="shared" si="22"/>
        <v>7</v>
      </c>
    </row>
    <row r="97" ht="12.75" customHeight="1">
      <c r="A97" s="18"/>
      <c r="B97" s="55">
        <v>4.0</v>
      </c>
      <c r="C97" s="50" t="s">
        <v>77</v>
      </c>
      <c r="D97" s="62"/>
      <c r="E97" s="19">
        <v>0.0</v>
      </c>
      <c r="F97" s="19">
        <v>1.0</v>
      </c>
      <c r="G97" s="19">
        <v>22.0</v>
      </c>
      <c r="H97" s="19">
        <v>1.0</v>
      </c>
      <c r="I97" s="19">
        <v>1.0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1.0</v>
      </c>
      <c r="U97" s="19">
        <v>1.0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1.0</v>
      </c>
      <c r="AC97" s="19">
        <v>0.0</v>
      </c>
      <c r="AD97" s="19">
        <v>1.0</v>
      </c>
      <c r="AE97" s="19">
        <v>0.0</v>
      </c>
      <c r="AF97" s="19">
        <v>0.0</v>
      </c>
      <c r="AG97" s="19">
        <v>1.0</v>
      </c>
      <c r="AH97" s="19">
        <v>0.0</v>
      </c>
      <c r="AI97" s="19">
        <v>2.0</v>
      </c>
      <c r="AJ97" s="13">
        <f t="shared" si="22"/>
        <v>35</v>
      </c>
    </row>
    <row r="98" ht="12.75" customHeight="1">
      <c r="A98" s="18"/>
      <c r="B98" s="55">
        <v>5.0</v>
      </c>
      <c r="C98" s="50" t="s">
        <v>78</v>
      </c>
      <c r="D98" s="62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1.0</v>
      </c>
      <c r="AI98" s="19">
        <v>0.0</v>
      </c>
      <c r="AJ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1.0</v>
      </c>
      <c r="AB99" s="19">
        <v>0.0</v>
      </c>
      <c r="AC99" s="19">
        <v>0.0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>
        <v>0.0</v>
      </c>
      <c r="AJ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1.0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1.0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3">
        <f t="shared" si="22"/>
        <v>4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SUM(E93:E102)</f>
        <v>6</v>
      </c>
      <c r="F103" s="13">
        <f t="shared" si="23"/>
        <v>28</v>
      </c>
      <c r="G103" s="13">
        <f t="shared" si="23"/>
        <v>39</v>
      </c>
      <c r="H103" s="13">
        <f t="shared" si="23"/>
        <v>16</v>
      </c>
      <c r="I103" s="13">
        <f t="shared" si="23"/>
        <v>9</v>
      </c>
      <c r="J103" s="13">
        <f t="shared" si="23"/>
        <v>9</v>
      </c>
      <c r="K103" s="13">
        <f t="shared" si="23"/>
        <v>8</v>
      </c>
      <c r="L103" s="13">
        <f t="shared" si="23"/>
        <v>4</v>
      </c>
      <c r="M103" s="13">
        <f t="shared" si="23"/>
        <v>5</v>
      </c>
      <c r="N103" s="13">
        <f t="shared" si="23"/>
        <v>6</v>
      </c>
      <c r="O103" s="13">
        <f t="shared" si="23"/>
        <v>1</v>
      </c>
      <c r="P103" s="13">
        <f t="shared" si="23"/>
        <v>3</v>
      </c>
      <c r="Q103" s="13">
        <f t="shared" si="23"/>
        <v>3</v>
      </c>
      <c r="R103" s="13">
        <f t="shared" si="23"/>
        <v>6</v>
      </c>
      <c r="S103" s="13">
        <f t="shared" si="23"/>
        <v>8</v>
      </c>
      <c r="T103" s="13">
        <f t="shared" si="23"/>
        <v>9</v>
      </c>
      <c r="U103" s="13">
        <f t="shared" si="23"/>
        <v>6</v>
      </c>
      <c r="V103" s="13">
        <f t="shared" si="23"/>
        <v>1</v>
      </c>
      <c r="W103" s="13">
        <f t="shared" si="23"/>
        <v>0</v>
      </c>
      <c r="X103" s="13">
        <f t="shared" si="23"/>
        <v>1</v>
      </c>
      <c r="Y103" s="13">
        <f t="shared" si="23"/>
        <v>5</v>
      </c>
      <c r="Z103" s="13">
        <f t="shared" si="23"/>
        <v>1</v>
      </c>
      <c r="AA103" s="13">
        <f t="shared" si="23"/>
        <v>2</v>
      </c>
      <c r="AB103" s="13">
        <f t="shared" si="23"/>
        <v>2</v>
      </c>
      <c r="AC103" s="13">
        <f t="shared" si="23"/>
        <v>4</v>
      </c>
      <c r="AD103" s="13">
        <f t="shared" si="23"/>
        <v>7</v>
      </c>
      <c r="AE103" s="13">
        <f t="shared" si="23"/>
        <v>0</v>
      </c>
      <c r="AF103" s="13">
        <f t="shared" si="23"/>
        <v>11</v>
      </c>
      <c r="AG103" s="13">
        <f t="shared" si="23"/>
        <v>6</v>
      </c>
      <c r="AH103" s="13">
        <f t="shared" si="23"/>
        <v>8</v>
      </c>
      <c r="AI103" s="13">
        <f t="shared" si="23"/>
        <v>6</v>
      </c>
      <c r="AJ103" s="13">
        <f t="shared" si="23"/>
        <v>220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2.0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1.0</v>
      </c>
      <c r="AD105" s="19">
        <v>1.0</v>
      </c>
      <c r="AE105" s="19">
        <v>0.0</v>
      </c>
      <c r="AF105" s="19">
        <v>2.0</v>
      </c>
      <c r="AG105" s="19">
        <v>0.0</v>
      </c>
      <c r="AH105" s="19">
        <v>1.0</v>
      </c>
      <c r="AI105" s="19">
        <v>1.0</v>
      </c>
      <c r="AJ105" s="13">
        <f t="shared" ref="AJ105:AJ114" si="24">SUM(E105:AI105)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1.0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1.0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2.0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1.0</v>
      </c>
      <c r="AC107" s="19">
        <v>1.0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1.0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1.0</v>
      </c>
      <c r="AF108" s="19">
        <v>0.0</v>
      </c>
      <c r="AG108" s="19">
        <v>0.0</v>
      </c>
      <c r="AH108" s="19">
        <v>0.0</v>
      </c>
      <c r="AI108" s="19">
        <v>0.0</v>
      </c>
      <c r="AJ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1.0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3">
        <f t="shared" si="24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SUM(E105:E114)</f>
        <v>1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2</v>
      </c>
      <c r="AA115" s="13">
        <f t="shared" si="25"/>
        <v>0</v>
      </c>
      <c r="AB115" s="13">
        <f t="shared" si="25"/>
        <v>3</v>
      </c>
      <c r="AC115" s="13">
        <f t="shared" si="25"/>
        <v>2</v>
      </c>
      <c r="AD115" s="13">
        <f t="shared" si="25"/>
        <v>1</v>
      </c>
      <c r="AE115" s="13">
        <f t="shared" si="25"/>
        <v>1</v>
      </c>
      <c r="AF115" s="13">
        <f t="shared" si="25"/>
        <v>2</v>
      </c>
      <c r="AG115" s="13">
        <f t="shared" si="25"/>
        <v>0</v>
      </c>
      <c r="AH115" s="13">
        <f t="shared" si="25"/>
        <v>1</v>
      </c>
      <c r="AI115" s="13">
        <f t="shared" si="25"/>
        <v>1</v>
      </c>
      <c r="AJ115" s="13">
        <f t="shared" si="25"/>
        <v>27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1.0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1.0</v>
      </c>
      <c r="V117" s="19">
        <v>0.0</v>
      </c>
      <c r="W117" s="19">
        <v>0.0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2.0</v>
      </c>
      <c r="AC117" s="19">
        <v>0.0</v>
      </c>
      <c r="AD117" s="19">
        <v>0.0</v>
      </c>
      <c r="AE117" s="19">
        <v>1.0</v>
      </c>
      <c r="AF117" s="19">
        <v>0.0</v>
      </c>
      <c r="AG117" s="19">
        <v>0.0</v>
      </c>
      <c r="AH117" s="19">
        <v>0.0</v>
      </c>
      <c r="AI117" s="19">
        <v>0.0</v>
      </c>
      <c r="AJ117" s="13">
        <f t="shared" ref="AJ117:AJ126" si="26">SUM(E117:AI117)</f>
        <v>10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1.0</v>
      </c>
      <c r="AB119" s="19">
        <v>1.0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0.0</v>
      </c>
      <c r="AH119" s="19">
        <v>0.0</v>
      </c>
      <c r="AI119" s="19">
        <v>0.0</v>
      </c>
      <c r="AJ119" s="13">
        <f t="shared" si="26"/>
        <v>3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3">
        <f t="shared" si="26"/>
        <v>1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3">
        <f t="shared" si="26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6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6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6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J127" si="27">SUM(E117:E126)</f>
        <v>3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2</v>
      </c>
      <c r="AB127" s="13">
        <f t="shared" si="27"/>
        <v>3</v>
      </c>
      <c r="AC127" s="13">
        <f t="shared" si="27"/>
        <v>0</v>
      </c>
      <c r="AD127" s="13">
        <f t="shared" si="27"/>
        <v>0</v>
      </c>
      <c r="AE127" s="13">
        <f t="shared" si="27"/>
        <v>2</v>
      </c>
      <c r="AF127" s="13">
        <f t="shared" si="27"/>
        <v>0</v>
      </c>
      <c r="AG127" s="13">
        <f t="shared" si="27"/>
        <v>0</v>
      </c>
      <c r="AH127" s="13">
        <f t="shared" si="27"/>
        <v>0</v>
      </c>
      <c r="AI127" s="13">
        <f t="shared" si="27"/>
        <v>0</v>
      </c>
      <c r="AJ127" s="13">
        <f t="shared" si="27"/>
        <v>18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6.0</v>
      </c>
      <c r="O129" s="19">
        <v>2.0</v>
      </c>
      <c r="P129" s="19">
        <v>0.0</v>
      </c>
      <c r="Q129" s="19">
        <v>0.0</v>
      </c>
      <c r="R129" s="19">
        <v>0.0</v>
      </c>
      <c r="S129" s="19">
        <v>1.0</v>
      </c>
      <c r="T129" s="19">
        <v>2.0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1.0</v>
      </c>
      <c r="AE129" s="19">
        <v>3.0</v>
      </c>
      <c r="AF129" s="19">
        <v>1.0</v>
      </c>
      <c r="AG129" s="19">
        <v>1.0</v>
      </c>
      <c r="AH129" s="19">
        <v>1.0</v>
      </c>
      <c r="AI129" s="19">
        <v>1.0</v>
      </c>
      <c r="AJ129" s="13">
        <f t="shared" ref="AJ129:AJ138" si="28">SUM(E129:AI129)</f>
        <v>20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1.0</v>
      </c>
      <c r="K130" s="19">
        <v>0.0</v>
      </c>
      <c r="L130" s="19">
        <v>0.0</v>
      </c>
      <c r="M130" s="19">
        <v>0.0</v>
      </c>
      <c r="N130" s="19">
        <v>7.0</v>
      </c>
      <c r="O130" s="19">
        <v>4.0</v>
      </c>
      <c r="P130" s="19">
        <v>0.0</v>
      </c>
      <c r="Q130" s="19">
        <v>1.0</v>
      </c>
      <c r="R130" s="19">
        <v>1.0</v>
      </c>
      <c r="S130" s="19">
        <v>5.0</v>
      </c>
      <c r="T130" s="19">
        <v>1.0</v>
      </c>
      <c r="U130" s="19">
        <v>0.0</v>
      </c>
      <c r="V130" s="19">
        <v>5.0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3.0</v>
      </c>
      <c r="AB130" s="19">
        <v>1.0</v>
      </c>
      <c r="AC130" s="19">
        <v>0.0</v>
      </c>
      <c r="AD130" s="19">
        <v>7.0</v>
      </c>
      <c r="AE130" s="19">
        <v>16.0</v>
      </c>
      <c r="AF130" s="19">
        <v>4.0</v>
      </c>
      <c r="AG130" s="19">
        <v>3.0</v>
      </c>
      <c r="AH130" s="19">
        <v>0.0</v>
      </c>
      <c r="AI130" s="19">
        <v>0.0</v>
      </c>
      <c r="AJ130" s="13">
        <f t="shared" si="28"/>
        <v>60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2.0</v>
      </c>
      <c r="O131" s="19">
        <v>0.0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2.0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1.0</v>
      </c>
      <c r="AD131" s="19">
        <v>0.0</v>
      </c>
      <c r="AE131" s="19">
        <v>1.0</v>
      </c>
      <c r="AF131" s="19">
        <v>0.0</v>
      </c>
      <c r="AG131" s="19">
        <v>0.0</v>
      </c>
      <c r="AH131" s="19">
        <v>0.0</v>
      </c>
      <c r="AI131" s="19">
        <v>1.0</v>
      </c>
      <c r="AJ131" s="13">
        <f t="shared" si="28"/>
        <v>9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3">
        <f t="shared" si="28"/>
        <v>0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3">
        <f t="shared" si="28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15</v>
      </c>
      <c r="O139" s="13">
        <f t="shared" si="29"/>
        <v>7</v>
      </c>
      <c r="P139" s="13">
        <f t="shared" si="29"/>
        <v>0</v>
      </c>
      <c r="Q139" s="13">
        <f t="shared" si="29"/>
        <v>1</v>
      </c>
      <c r="R139" s="13">
        <f t="shared" si="29"/>
        <v>1</v>
      </c>
      <c r="S139" s="13">
        <f t="shared" si="29"/>
        <v>7</v>
      </c>
      <c r="T139" s="13">
        <f t="shared" si="29"/>
        <v>3</v>
      </c>
      <c r="U139" s="13">
        <f t="shared" si="29"/>
        <v>0</v>
      </c>
      <c r="V139" s="13">
        <f t="shared" si="29"/>
        <v>5</v>
      </c>
      <c r="W139" s="13">
        <f t="shared" si="29"/>
        <v>2</v>
      </c>
      <c r="X139" s="13">
        <f t="shared" si="29"/>
        <v>0</v>
      </c>
      <c r="Y139" s="13">
        <f t="shared" si="29"/>
        <v>0</v>
      </c>
      <c r="Z139" s="13">
        <f t="shared" si="29"/>
        <v>1</v>
      </c>
      <c r="AA139" s="13">
        <f t="shared" si="29"/>
        <v>3</v>
      </c>
      <c r="AB139" s="13">
        <f t="shared" si="29"/>
        <v>2</v>
      </c>
      <c r="AC139" s="13">
        <f t="shared" si="29"/>
        <v>2</v>
      </c>
      <c r="AD139" s="13">
        <f t="shared" si="29"/>
        <v>8</v>
      </c>
      <c r="AE139" s="13">
        <f t="shared" si="29"/>
        <v>20</v>
      </c>
      <c r="AF139" s="13">
        <f t="shared" si="29"/>
        <v>5</v>
      </c>
      <c r="AG139" s="13">
        <f t="shared" si="29"/>
        <v>4</v>
      </c>
      <c r="AH139" s="13">
        <f t="shared" si="29"/>
        <v>1</v>
      </c>
      <c r="AI139" s="13">
        <f t="shared" si="29"/>
        <v>2</v>
      </c>
      <c r="AJ139" s="13">
        <f t="shared" si="29"/>
        <v>91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3">
        <f t="shared" ref="AJ141:AJ150" si="30">SUM(E141:AI141)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1.0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1.0</v>
      </c>
      <c r="AF147" s="19">
        <v>0.0</v>
      </c>
      <c r="AG147" s="19">
        <v>0.0</v>
      </c>
      <c r="AH147" s="19">
        <v>0.0</v>
      </c>
      <c r="AI147" s="19">
        <v>0.0</v>
      </c>
      <c r="AJ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J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1.0</v>
      </c>
      <c r="K153" s="19">
        <v>1.0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5.0</v>
      </c>
      <c r="T153" s="19">
        <v>2.0</v>
      </c>
      <c r="U153" s="19">
        <v>0.0</v>
      </c>
      <c r="V153" s="19">
        <v>0.0</v>
      </c>
      <c r="W153" s="19">
        <v>2.0</v>
      </c>
      <c r="X153" s="19">
        <v>1.0</v>
      </c>
      <c r="Y153" s="19">
        <v>2.0</v>
      </c>
      <c r="Z153" s="19">
        <v>0.0</v>
      </c>
      <c r="AA153" s="19">
        <v>1.0</v>
      </c>
      <c r="AB153" s="19">
        <v>3.0</v>
      </c>
      <c r="AC153" s="19">
        <v>4.0</v>
      </c>
      <c r="AD153" s="19">
        <v>6.0</v>
      </c>
      <c r="AE153" s="19">
        <v>1.0</v>
      </c>
      <c r="AF153" s="19">
        <v>0.0</v>
      </c>
      <c r="AG153" s="19">
        <v>1.0</v>
      </c>
      <c r="AH153" s="19">
        <v>0.0</v>
      </c>
      <c r="AI153" s="19">
        <v>1.0</v>
      </c>
      <c r="AJ153" s="13">
        <f t="shared" ref="AJ153:AJ163" si="32">SUM(E153:AI153)</f>
        <v>34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6.0</v>
      </c>
      <c r="G154" s="19">
        <v>6.0</v>
      </c>
      <c r="H154" s="19">
        <v>1.0</v>
      </c>
      <c r="I154" s="19">
        <v>1.0</v>
      </c>
      <c r="J154" s="19">
        <v>0.0</v>
      </c>
      <c r="K154" s="19">
        <v>1.0</v>
      </c>
      <c r="L154" s="19">
        <v>2.0</v>
      </c>
      <c r="M154" s="19">
        <v>2.0</v>
      </c>
      <c r="N154" s="19">
        <v>1.0</v>
      </c>
      <c r="O154" s="19">
        <v>0.0</v>
      </c>
      <c r="P154" s="19">
        <v>0.0</v>
      </c>
      <c r="Q154" s="19">
        <v>4.0</v>
      </c>
      <c r="R154" s="19">
        <v>1.0</v>
      </c>
      <c r="S154" s="19">
        <v>2.0</v>
      </c>
      <c r="T154" s="19">
        <v>1.0</v>
      </c>
      <c r="U154" s="19">
        <v>0.0</v>
      </c>
      <c r="V154" s="19">
        <v>1.0</v>
      </c>
      <c r="W154" s="19">
        <v>1.0</v>
      </c>
      <c r="X154" s="19">
        <v>0.0</v>
      </c>
      <c r="Y154" s="19">
        <v>4.0</v>
      </c>
      <c r="Z154" s="19">
        <v>1.0</v>
      </c>
      <c r="AA154" s="19">
        <v>1.0</v>
      </c>
      <c r="AB154" s="19">
        <v>1.0</v>
      </c>
      <c r="AC154" s="19">
        <v>6.0</v>
      </c>
      <c r="AD154" s="19">
        <v>5.0</v>
      </c>
      <c r="AE154" s="19">
        <v>1.0</v>
      </c>
      <c r="AF154" s="19">
        <v>0.0</v>
      </c>
      <c r="AG154" s="19">
        <v>2.0</v>
      </c>
      <c r="AH154" s="19">
        <v>0.0</v>
      </c>
      <c r="AI154" s="19">
        <v>0.0</v>
      </c>
      <c r="AJ154" s="13">
        <f t="shared" si="32"/>
        <v>51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2.0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1.0</v>
      </c>
      <c r="R155" s="19">
        <v>1.0</v>
      </c>
      <c r="S155" s="19">
        <v>0.0</v>
      </c>
      <c r="T155" s="19">
        <v>2.0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2.0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3">
        <f t="shared" si="32"/>
        <v>10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2.0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3">
        <f t="shared" si="32"/>
        <v>3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1.0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3">
        <f t="shared" si="32"/>
        <v>1</v>
      </c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3">
        <f t="shared" si="32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3">
        <f t="shared" si="32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3">
        <f t="shared" si="32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2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I163" si="33">SUM(E153:E162)</f>
        <v>0</v>
      </c>
      <c r="F163" s="13">
        <f t="shared" si="33"/>
        <v>7</v>
      </c>
      <c r="G163" s="13">
        <f t="shared" si="33"/>
        <v>7</v>
      </c>
      <c r="H163" s="13">
        <f t="shared" si="33"/>
        <v>1</v>
      </c>
      <c r="I163" s="13">
        <f t="shared" si="33"/>
        <v>1</v>
      </c>
      <c r="J163" s="13">
        <f t="shared" si="33"/>
        <v>1</v>
      </c>
      <c r="K163" s="13">
        <f t="shared" si="33"/>
        <v>4</v>
      </c>
      <c r="L163" s="13">
        <f t="shared" si="33"/>
        <v>3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6</v>
      </c>
      <c r="R163" s="13">
        <f t="shared" si="33"/>
        <v>2</v>
      </c>
      <c r="S163" s="13">
        <f t="shared" si="33"/>
        <v>7</v>
      </c>
      <c r="T163" s="13">
        <f t="shared" si="33"/>
        <v>6</v>
      </c>
      <c r="U163" s="13">
        <f t="shared" si="33"/>
        <v>0</v>
      </c>
      <c r="V163" s="13">
        <f t="shared" si="33"/>
        <v>1</v>
      </c>
      <c r="W163" s="13">
        <f t="shared" si="33"/>
        <v>3</v>
      </c>
      <c r="X163" s="13">
        <f t="shared" si="33"/>
        <v>1</v>
      </c>
      <c r="Y163" s="13">
        <f t="shared" si="33"/>
        <v>6</v>
      </c>
      <c r="Z163" s="13">
        <f t="shared" si="33"/>
        <v>1</v>
      </c>
      <c r="AA163" s="13">
        <f t="shared" si="33"/>
        <v>2</v>
      </c>
      <c r="AB163" s="13">
        <f t="shared" si="33"/>
        <v>4</v>
      </c>
      <c r="AC163" s="13">
        <f t="shared" si="33"/>
        <v>11</v>
      </c>
      <c r="AD163" s="13">
        <f t="shared" si="33"/>
        <v>15</v>
      </c>
      <c r="AE163" s="13">
        <f t="shared" si="33"/>
        <v>2</v>
      </c>
      <c r="AF163" s="13">
        <f t="shared" si="33"/>
        <v>0</v>
      </c>
      <c r="AG163" s="13">
        <f t="shared" si="33"/>
        <v>3</v>
      </c>
      <c r="AH163" s="13">
        <f t="shared" si="33"/>
        <v>0</v>
      </c>
      <c r="AI163" s="13">
        <f t="shared" si="33"/>
        <v>1</v>
      </c>
      <c r="AJ163" s="13">
        <f t="shared" si="32"/>
        <v>99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3">
        <f t="shared" ref="AJ165:AJ174" si="34">SUM(E165:AI165)</f>
        <v>8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1.0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1.0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1.0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1.0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3">
        <f t="shared" si="34"/>
        <v>2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1.0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1.0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1.0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3">
        <f t="shared" si="34"/>
        <v>2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J175" si="35">SUM(E165:E174)</f>
        <v>1</v>
      </c>
      <c r="F175" s="13">
        <f t="shared" si="35"/>
        <v>2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2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2</v>
      </c>
      <c r="AD175" s="13">
        <f t="shared" si="35"/>
        <v>2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20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2.0</v>
      </c>
      <c r="L177" s="19">
        <v>0.0</v>
      </c>
      <c r="M177" s="19">
        <v>1.0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2.0</v>
      </c>
      <c r="X177" s="19">
        <v>1.0</v>
      </c>
      <c r="Y177" s="19">
        <v>0.0</v>
      </c>
      <c r="Z177" s="19">
        <v>0.0</v>
      </c>
      <c r="AA177" s="19">
        <v>2.0</v>
      </c>
      <c r="AB177" s="19">
        <v>0.0</v>
      </c>
      <c r="AC177" s="19">
        <v>1.0</v>
      </c>
      <c r="AD177" s="19">
        <v>0.0</v>
      </c>
      <c r="AE177" s="19">
        <v>2.0</v>
      </c>
      <c r="AF177" s="19">
        <v>0.0</v>
      </c>
      <c r="AG177" s="19">
        <v>0.0</v>
      </c>
      <c r="AH177" s="19">
        <v>2.0</v>
      </c>
      <c r="AI177" s="19">
        <v>0.0</v>
      </c>
      <c r="AJ177" s="13">
        <f t="shared" ref="AJ177:AJ186" si="36">SUM(E177:AI177)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0.0</v>
      </c>
      <c r="F178" s="19">
        <v>1.0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2.0</v>
      </c>
      <c r="AF178" s="19">
        <v>0.0</v>
      </c>
      <c r="AG178" s="19">
        <v>0.0</v>
      </c>
      <c r="AH178" s="19">
        <v>0.0</v>
      </c>
      <c r="AI178" s="19">
        <v>0.0</v>
      </c>
      <c r="AJ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1.0</v>
      </c>
      <c r="L179" s="19">
        <v>0.0</v>
      </c>
      <c r="M179" s="19">
        <v>2.0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2.0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1.0</v>
      </c>
      <c r="AC179" s="19">
        <v>1.0</v>
      </c>
      <c r="AD179" s="19">
        <v>0.0</v>
      </c>
      <c r="AE179" s="19">
        <v>0.0</v>
      </c>
      <c r="AF179" s="19">
        <v>1.0</v>
      </c>
      <c r="AG179" s="19">
        <v>0.0</v>
      </c>
      <c r="AH179" s="19">
        <v>0.0</v>
      </c>
      <c r="AI179" s="19">
        <v>0.0</v>
      </c>
      <c r="AJ179" s="13">
        <f t="shared" si="36"/>
        <v>11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1.0</v>
      </c>
      <c r="AB180" s="19">
        <v>0.0</v>
      </c>
      <c r="AC180" s="19">
        <v>1.0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3">
        <f t="shared" si="36"/>
        <v>6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1.0</v>
      </c>
      <c r="AF181" s="19">
        <v>1.0</v>
      </c>
      <c r="AG181" s="19">
        <v>0.0</v>
      </c>
      <c r="AH181" s="19">
        <v>1.0</v>
      </c>
      <c r="AI181" s="19">
        <v>0.0</v>
      </c>
      <c r="AJ181" s="13">
        <f t="shared" si="36"/>
        <v>5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7">SUM(E177:E186)</f>
        <v>0</v>
      </c>
      <c r="F187" s="13">
        <f t="shared" si="37"/>
        <v>3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3</v>
      </c>
      <c r="L187" s="13">
        <f t="shared" si="37"/>
        <v>0</v>
      </c>
      <c r="M187" s="13">
        <f t="shared" si="37"/>
        <v>6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2</v>
      </c>
      <c r="U187" s="13">
        <f t="shared" si="37"/>
        <v>1</v>
      </c>
      <c r="V187" s="13">
        <f t="shared" si="37"/>
        <v>0</v>
      </c>
      <c r="W187" s="13">
        <f t="shared" si="37"/>
        <v>2</v>
      </c>
      <c r="X187" s="13">
        <f t="shared" si="37"/>
        <v>1</v>
      </c>
      <c r="Y187" s="13">
        <f t="shared" si="37"/>
        <v>2</v>
      </c>
      <c r="Z187" s="13">
        <f t="shared" si="37"/>
        <v>0</v>
      </c>
      <c r="AA187" s="13">
        <f t="shared" si="37"/>
        <v>3</v>
      </c>
      <c r="AB187" s="13">
        <f t="shared" si="37"/>
        <v>1</v>
      </c>
      <c r="AC187" s="13">
        <f t="shared" si="37"/>
        <v>3</v>
      </c>
      <c r="AD187" s="13">
        <f t="shared" si="37"/>
        <v>1</v>
      </c>
      <c r="AE187" s="13">
        <f t="shared" si="37"/>
        <v>5</v>
      </c>
      <c r="AF187" s="13">
        <f t="shared" si="37"/>
        <v>2</v>
      </c>
      <c r="AG187" s="13">
        <f t="shared" si="37"/>
        <v>0</v>
      </c>
      <c r="AH187" s="13">
        <f t="shared" si="37"/>
        <v>3</v>
      </c>
      <c r="AI187" s="13">
        <f t="shared" si="37"/>
        <v>0</v>
      </c>
      <c r="AJ187" s="13">
        <f t="shared" si="37"/>
        <v>43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D188" s="79"/>
      <c r="AH188" s="79"/>
      <c r="AI188" s="79"/>
      <c r="AJ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3">
        <f t="shared" ref="AJ189:AJ198" si="38">SUM(E189:AI189)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1.0</v>
      </c>
      <c r="G190" s="19">
        <v>1.0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0.0</v>
      </c>
      <c r="V190" s="19">
        <v>0.0</v>
      </c>
      <c r="W190" s="19">
        <v>0.0</v>
      </c>
      <c r="X190" s="19">
        <v>1.0</v>
      </c>
      <c r="Y190" s="19">
        <v>1.0</v>
      </c>
      <c r="Z190" s="19">
        <v>0.0</v>
      </c>
      <c r="AA190" s="19">
        <v>2.0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1.0</v>
      </c>
      <c r="AI190" s="19">
        <v>0.0</v>
      </c>
      <c r="AJ190" s="13">
        <f t="shared" si="38"/>
        <v>9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1.0</v>
      </c>
      <c r="AI191" s="19">
        <v>0.0</v>
      </c>
      <c r="AJ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1.0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1.0</v>
      </c>
      <c r="AC194" s="19">
        <v>0.0</v>
      </c>
      <c r="AD194" s="19">
        <v>1.0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3">
        <f t="shared" si="38"/>
        <v>2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J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2</v>
      </c>
      <c r="AB199" s="13">
        <f t="shared" si="39"/>
        <v>2</v>
      </c>
      <c r="AC199" s="13">
        <f t="shared" si="39"/>
        <v>0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2</v>
      </c>
      <c r="AI199" s="13">
        <f t="shared" si="39"/>
        <v>0</v>
      </c>
      <c r="AJ199" s="13">
        <f t="shared" si="39"/>
        <v>15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1.0</v>
      </c>
      <c r="G201" s="19">
        <v>1.0</v>
      </c>
      <c r="H201" s="19">
        <v>2.0</v>
      </c>
      <c r="I201" s="19">
        <v>2.0</v>
      </c>
      <c r="J201" s="19">
        <v>4.0</v>
      </c>
      <c r="K201" s="19">
        <v>0.0</v>
      </c>
      <c r="L201" s="19">
        <v>4.0</v>
      </c>
      <c r="M201" s="19">
        <v>5.0</v>
      </c>
      <c r="N201" s="19">
        <v>1.0</v>
      </c>
      <c r="O201" s="19">
        <v>3.0</v>
      </c>
      <c r="P201" s="19">
        <v>1.0</v>
      </c>
      <c r="Q201" s="19">
        <v>0.0</v>
      </c>
      <c r="R201" s="19">
        <v>1.0</v>
      </c>
      <c r="S201" s="19">
        <v>0.0</v>
      </c>
      <c r="T201" s="19">
        <v>2.0</v>
      </c>
      <c r="U201" s="19">
        <v>2.0</v>
      </c>
      <c r="V201" s="19">
        <v>1.0</v>
      </c>
      <c r="W201" s="19">
        <v>6.0</v>
      </c>
      <c r="X201" s="19">
        <v>3.0</v>
      </c>
      <c r="Y201" s="19">
        <v>1.0</v>
      </c>
      <c r="Z201" s="19">
        <v>2.0</v>
      </c>
      <c r="AA201" s="19">
        <v>1.0</v>
      </c>
      <c r="AB201" s="19">
        <v>1.0</v>
      </c>
      <c r="AC201" s="19">
        <v>2.0</v>
      </c>
      <c r="AD201" s="19">
        <v>2.0</v>
      </c>
      <c r="AE201" s="19">
        <v>4.0</v>
      </c>
      <c r="AF201" s="19">
        <v>1.0</v>
      </c>
      <c r="AG201" s="19">
        <v>3.0</v>
      </c>
      <c r="AH201" s="19">
        <v>1.0</v>
      </c>
      <c r="AI201" s="19">
        <v>3.0</v>
      </c>
      <c r="AJ201" s="13">
        <f t="shared" ref="AJ201:AJ210" si="40">SUM(E201:AI201)</f>
        <v>63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2.0</v>
      </c>
      <c r="F202" s="19">
        <v>2.0</v>
      </c>
      <c r="G202" s="19">
        <v>4.0</v>
      </c>
      <c r="H202" s="19">
        <v>3.0</v>
      </c>
      <c r="I202" s="19">
        <v>2.0</v>
      </c>
      <c r="J202" s="19">
        <v>3.0</v>
      </c>
      <c r="K202" s="19">
        <v>3.0</v>
      </c>
      <c r="L202" s="19">
        <v>5.0</v>
      </c>
      <c r="M202" s="19">
        <v>3.0</v>
      </c>
      <c r="N202" s="19">
        <v>2.0</v>
      </c>
      <c r="O202" s="19">
        <v>1.0</v>
      </c>
      <c r="P202" s="19">
        <v>3.0</v>
      </c>
      <c r="Q202" s="19">
        <v>2.0</v>
      </c>
      <c r="R202" s="19">
        <v>4.0</v>
      </c>
      <c r="S202" s="19">
        <v>4.0</v>
      </c>
      <c r="T202" s="19">
        <v>0.0</v>
      </c>
      <c r="U202" s="19">
        <v>6.0</v>
      </c>
      <c r="V202" s="19">
        <v>5.0</v>
      </c>
      <c r="W202" s="19">
        <v>10.0</v>
      </c>
      <c r="X202" s="19">
        <v>4.0</v>
      </c>
      <c r="Y202" s="19">
        <v>3.0</v>
      </c>
      <c r="Z202" s="19">
        <v>3.0</v>
      </c>
      <c r="AA202" s="19">
        <v>2.0</v>
      </c>
      <c r="AB202" s="19">
        <v>10.0</v>
      </c>
      <c r="AC202" s="19">
        <v>8.0</v>
      </c>
      <c r="AD202" s="19">
        <v>5.0</v>
      </c>
      <c r="AE202" s="19">
        <v>15.0</v>
      </c>
      <c r="AF202" s="19">
        <v>6.0</v>
      </c>
      <c r="AG202" s="19">
        <v>7.0</v>
      </c>
      <c r="AH202" s="19">
        <v>4.0</v>
      </c>
      <c r="AI202" s="19">
        <v>5.0</v>
      </c>
      <c r="AJ202" s="13">
        <f t="shared" si="40"/>
        <v>136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1.0</v>
      </c>
      <c r="F203" s="19">
        <v>3.0</v>
      </c>
      <c r="G203" s="19">
        <v>2.0</v>
      </c>
      <c r="H203" s="19">
        <v>4.0</v>
      </c>
      <c r="I203" s="19">
        <v>1.0</v>
      </c>
      <c r="J203" s="19">
        <v>3.0</v>
      </c>
      <c r="K203" s="19">
        <v>4.0</v>
      </c>
      <c r="L203" s="19">
        <v>8.0</v>
      </c>
      <c r="M203" s="19">
        <v>0.0</v>
      </c>
      <c r="N203" s="19">
        <v>3.0</v>
      </c>
      <c r="O203" s="19">
        <v>4.0</v>
      </c>
      <c r="P203" s="19">
        <v>0.0</v>
      </c>
      <c r="Q203" s="19">
        <v>3.0</v>
      </c>
      <c r="R203" s="19">
        <v>3.0</v>
      </c>
      <c r="S203" s="19">
        <v>0.0</v>
      </c>
      <c r="T203" s="19">
        <v>0.0</v>
      </c>
      <c r="U203" s="19">
        <v>1.0</v>
      </c>
      <c r="V203" s="19">
        <v>1.0</v>
      </c>
      <c r="W203" s="19">
        <v>0.0</v>
      </c>
      <c r="X203" s="19">
        <v>1.0</v>
      </c>
      <c r="Y203" s="19">
        <v>1.0</v>
      </c>
      <c r="Z203" s="19">
        <v>3.0</v>
      </c>
      <c r="AA203" s="19">
        <v>5.0</v>
      </c>
      <c r="AB203" s="19">
        <v>1.0</v>
      </c>
      <c r="AC203" s="19">
        <v>0.0</v>
      </c>
      <c r="AD203" s="19">
        <v>2.0</v>
      </c>
      <c r="AE203" s="19">
        <v>2.0</v>
      </c>
      <c r="AF203" s="19">
        <v>0.0</v>
      </c>
      <c r="AG203" s="19">
        <v>3.0</v>
      </c>
      <c r="AH203" s="19">
        <v>2.0</v>
      </c>
      <c r="AI203" s="19">
        <v>0.0</v>
      </c>
      <c r="AJ203" s="13">
        <f t="shared" si="40"/>
        <v>61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0.0</v>
      </c>
      <c r="F204" s="19">
        <v>0.0</v>
      </c>
      <c r="G204" s="19">
        <v>1.0</v>
      </c>
      <c r="H204" s="19">
        <v>1.0</v>
      </c>
      <c r="I204" s="19">
        <v>0.0</v>
      </c>
      <c r="J204" s="19">
        <v>2.0</v>
      </c>
      <c r="K204" s="19">
        <v>1.0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1.0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1.0</v>
      </c>
      <c r="AI204" s="19">
        <v>0.0</v>
      </c>
      <c r="AJ204" s="13">
        <f t="shared" si="40"/>
        <v>11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2.0</v>
      </c>
      <c r="AI205" s="19">
        <v>0.0</v>
      </c>
      <c r="AJ205" s="13">
        <f t="shared" si="40"/>
        <v>7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0.0</v>
      </c>
      <c r="AI206" s="19">
        <v>0.0</v>
      </c>
      <c r="AJ206" s="13">
        <f t="shared" si="40"/>
        <v>4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1.0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1.0</v>
      </c>
      <c r="L208" s="19">
        <v>3.0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1.0</v>
      </c>
      <c r="AC208" s="19">
        <v>3.0</v>
      </c>
      <c r="AD208" s="19">
        <v>0.0</v>
      </c>
      <c r="AE208" s="19">
        <v>1.0</v>
      </c>
      <c r="AF208" s="19">
        <v>0.0</v>
      </c>
      <c r="AG208" s="19">
        <v>0.0</v>
      </c>
      <c r="AH208" s="19">
        <v>0.0</v>
      </c>
      <c r="AI208" s="19">
        <v>1.0</v>
      </c>
      <c r="AJ208" s="13">
        <f t="shared" si="40"/>
        <v>12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J211" si="41">SUM(E201:E210)</f>
        <v>7</v>
      </c>
      <c r="F211" s="13">
        <f t="shared" si="41"/>
        <v>6</v>
      </c>
      <c r="G211" s="13">
        <f t="shared" si="41"/>
        <v>9</v>
      </c>
      <c r="H211" s="13">
        <f t="shared" si="41"/>
        <v>11</v>
      </c>
      <c r="I211" s="13">
        <f t="shared" si="41"/>
        <v>5</v>
      </c>
      <c r="J211" s="13">
        <f t="shared" si="41"/>
        <v>13</v>
      </c>
      <c r="K211" s="13">
        <f t="shared" si="41"/>
        <v>11</v>
      </c>
      <c r="L211" s="13">
        <f t="shared" si="41"/>
        <v>21</v>
      </c>
      <c r="M211" s="13">
        <f t="shared" si="41"/>
        <v>8</v>
      </c>
      <c r="N211" s="13">
        <f t="shared" si="41"/>
        <v>6</v>
      </c>
      <c r="O211" s="13">
        <f t="shared" si="41"/>
        <v>8</v>
      </c>
      <c r="P211" s="13">
        <f t="shared" si="41"/>
        <v>5</v>
      </c>
      <c r="Q211" s="13">
        <f t="shared" si="41"/>
        <v>5</v>
      </c>
      <c r="R211" s="13">
        <f t="shared" si="41"/>
        <v>8</v>
      </c>
      <c r="S211" s="13">
        <f t="shared" si="41"/>
        <v>4</v>
      </c>
      <c r="T211" s="13">
        <f t="shared" si="41"/>
        <v>2</v>
      </c>
      <c r="U211" s="13">
        <f t="shared" si="41"/>
        <v>11</v>
      </c>
      <c r="V211" s="13">
        <f t="shared" si="41"/>
        <v>7</v>
      </c>
      <c r="W211" s="13">
        <f t="shared" si="41"/>
        <v>17</v>
      </c>
      <c r="X211" s="13">
        <f t="shared" si="41"/>
        <v>8</v>
      </c>
      <c r="Y211" s="13">
        <f t="shared" si="41"/>
        <v>7</v>
      </c>
      <c r="Z211" s="13">
        <f t="shared" si="41"/>
        <v>8</v>
      </c>
      <c r="AA211" s="13">
        <f t="shared" si="41"/>
        <v>8</v>
      </c>
      <c r="AB211" s="13">
        <f t="shared" si="41"/>
        <v>15</v>
      </c>
      <c r="AC211" s="13">
        <f t="shared" si="41"/>
        <v>13</v>
      </c>
      <c r="AD211" s="13">
        <f t="shared" si="41"/>
        <v>9</v>
      </c>
      <c r="AE211" s="13">
        <f t="shared" si="41"/>
        <v>23</v>
      </c>
      <c r="AF211" s="13">
        <f t="shared" si="41"/>
        <v>7</v>
      </c>
      <c r="AG211" s="13">
        <f t="shared" si="41"/>
        <v>13</v>
      </c>
      <c r="AH211" s="13">
        <f t="shared" si="41"/>
        <v>10</v>
      </c>
      <c r="AI211" s="13">
        <f t="shared" si="41"/>
        <v>9</v>
      </c>
      <c r="AJ211" s="13">
        <f t="shared" si="41"/>
        <v>294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3.0</v>
      </c>
      <c r="H213" s="19">
        <v>4.0</v>
      </c>
      <c r="I213" s="19">
        <v>0.0</v>
      </c>
      <c r="J213" s="19">
        <v>0.0</v>
      </c>
      <c r="K213" s="19">
        <v>1.0</v>
      </c>
      <c r="L213" s="19">
        <v>3.0</v>
      </c>
      <c r="M213" s="19">
        <v>0.0</v>
      </c>
      <c r="N213" s="19">
        <v>1.0</v>
      </c>
      <c r="O213" s="19">
        <v>4.0</v>
      </c>
      <c r="P213" s="19">
        <v>3.0</v>
      </c>
      <c r="Q213" s="19">
        <v>2.0</v>
      </c>
      <c r="R213" s="19">
        <v>1.0</v>
      </c>
      <c r="S213" s="19">
        <v>2.0</v>
      </c>
      <c r="T213" s="19">
        <v>1.0</v>
      </c>
      <c r="U213" s="19">
        <v>0.0</v>
      </c>
      <c r="V213" s="19">
        <v>1.0</v>
      </c>
      <c r="W213" s="19">
        <v>1.0</v>
      </c>
      <c r="X213" s="19">
        <v>1.0</v>
      </c>
      <c r="Y213" s="19">
        <v>2.0</v>
      </c>
      <c r="Z213" s="19">
        <v>0.0</v>
      </c>
      <c r="AA213" s="19">
        <v>5.0</v>
      </c>
      <c r="AB213" s="19">
        <v>2.0</v>
      </c>
      <c r="AC213" s="19">
        <v>0.0</v>
      </c>
      <c r="AD213" s="19">
        <v>0.0</v>
      </c>
      <c r="AE213" s="19">
        <v>0.0</v>
      </c>
      <c r="AF213" s="19">
        <v>2.0</v>
      </c>
      <c r="AG213" s="19">
        <v>1.0</v>
      </c>
      <c r="AH213" s="19">
        <v>0.0</v>
      </c>
      <c r="AI213" s="19">
        <v>3.0</v>
      </c>
      <c r="AJ213" s="13">
        <f t="shared" ref="AJ213:AJ222" si="42">SUM(E213:AI213)</f>
        <v>44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0.0</v>
      </c>
      <c r="F214" s="19">
        <v>1.0</v>
      </c>
      <c r="G214" s="19">
        <v>3.0</v>
      </c>
      <c r="H214" s="19">
        <v>4.0</v>
      </c>
      <c r="I214" s="19">
        <v>1.0</v>
      </c>
      <c r="J214" s="19">
        <v>0.0</v>
      </c>
      <c r="K214" s="19">
        <v>1.0</v>
      </c>
      <c r="L214" s="19">
        <v>0.0</v>
      </c>
      <c r="M214" s="19">
        <v>1.0</v>
      </c>
      <c r="N214" s="19">
        <v>0.0</v>
      </c>
      <c r="O214" s="19">
        <v>0.0</v>
      </c>
      <c r="P214" s="19">
        <v>1.0</v>
      </c>
      <c r="Q214" s="19">
        <v>0.0</v>
      </c>
      <c r="R214" s="19">
        <v>0.0</v>
      </c>
      <c r="S214" s="19">
        <v>2.0</v>
      </c>
      <c r="T214" s="19">
        <v>1.0</v>
      </c>
      <c r="U214" s="19">
        <v>2.0</v>
      </c>
      <c r="V214" s="19">
        <v>1.0</v>
      </c>
      <c r="W214" s="19">
        <v>0.0</v>
      </c>
      <c r="X214" s="19">
        <v>0.0</v>
      </c>
      <c r="Y214" s="19">
        <v>0.0</v>
      </c>
      <c r="Z214" s="19">
        <v>1.0</v>
      </c>
      <c r="AA214" s="19">
        <v>1.0</v>
      </c>
      <c r="AB214" s="19">
        <v>0.0</v>
      </c>
      <c r="AC214" s="19">
        <v>4.0</v>
      </c>
      <c r="AD214" s="19">
        <v>1.0</v>
      </c>
      <c r="AE214" s="19">
        <v>0.0</v>
      </c>
      <c r="AF214" s="19">
        <v>0.0</v>
      </c>
      <c r="AG214" s="19">
        <v>1.0</v>
      </c>
      <c r="AH214" s="19">
        <v>1.0</v>
      </c>
      <c r="AI214" s="19">
        <v>1.0</v>
      </c>
      <c r="AJ214" s="13">
        <f t="shared" si="42"/>
        <v>28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6.0</v>
      </c>
      <c r="F215" s="19">
        <v>0.0</v>
      </c>
      <c r="G215" s="19">
        <v>5.0</v>
      </c>
      <c r="H215" s="19">
        <v>2.0</v>
      </c>
      <c r="I215" s="19">
        <v>3.0</v>
      </c>
      <c r="J215" s="19">
        <v>3.0</v>
      </c>
      <c r="K215" s="19">
        <v>9.0</v>
      </c>
      <c r="L215" s="19">
        <v>1.0</v>
      </c>
      <c r="M215" s="19">
        <v>0.0</v>
      </c>
      <c r="N215" s="19">
        <v>0.0</v>
      </c>
      <c r="O215" s="19">
        <v>5.0</v>
      </c>
      <c r="P215" s="19">
        <v>0.0</v>
      </c>
      <c r="Q215" s="19">
        <v>0.0</v>
      </c>
      <c r="R215" s="19">
        <v>2.0</v>
      </c>
      <c r="S215" s="19">
        <v>1.0</v>
      </c>
      <c r="T215" s="19">
        <v>0.0</v>
      </c>
      <c r="U215" s="19">
        <v>0.0</v>
      </c>
      <c r="V215" s="19">
        <v>1.0</v>
      </c>
      <c r="W215" s="19">
        <v>0.0</v>
      </c>
      <c r="X215" s="19">
        <v>1.0</v>
      </c>
      <c r="Y215" s="19">
        <v>5.0</v>
      </c>
      <c r="Z215" s="19">
        <v>0.0</v>
      </c>
      <c r="AA215" s="19">
        <v>1.0</v>
      </c>
      <c r="AB215" s="19">
        <v>36.0</v>
      </c>
      <c r="AC215" s="19">
        <v>4.0</v>
      </c>
      <c r="AD215" s="19">
        <v>0.0</v>
      </c>
      <c r="AE215" s="19">
        <v>1.0</v>
      </c>
      <c r="AF215" s="19">
        <v>0.0</v>
      </c>
      <c r="AG215" s="19">
        <v>1.0</v>
      </c>
      <c r="AH215" s="19">
        <v>1.0</v>
      </c>
      <c r="AI215" s="19">
        <v>8.0</v>
      </c>
      <c r="AJ215" s="13">
        <f t="shared" si="42"/>
        <v>96</v>
      </c>
    </row>
    <row r="216" ht="12.75" customHeight="1">
      <c r="A216" s="18"/>
      <c r="B216" s="55">
        <v>3.0</v>
      </c>
      <c r="C216" s="69" t="s">
        <v>159</v>
      </c>
      <c r="E216" s="19">
        <v>1.0</v>
      </c>
      <c r="F216" s="19">
        <v>0.0</v>
      </c>
      <c r="G216" s="19">
        <v>0.0</v>
      </c>
      <c r="H216" s="19">
        <v>1.0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1.0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1.0</v>
      </c>
      <c r="AG216" s="19">
        <v>1.0</v>
      </c>
      <c r="AH216" s="19">
        <v>0.0</v>
      </c>
      <c r="AI216" s="19">
        <v>0.0</v>
      </c>
      <c r="AJ216" s="13">
        <f t="shared" si="42"/>
        <v>8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4.0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0.0</v>
      </c>
      <c r="Y217" s="19">
        <v>0.0</v>
      </c>
      <c r="Z217" s="19">
        <v>0.0</v>
      </c>
      <c r="AA217" s="19">
        <v>2.0</v>
      </c>
      <c r="AB217" s="19">
        <v>1.0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3">
        <f t="shared" si="42"/>
        <v>8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2.0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1.0</v>
      </c>
      <c r="AH218" s="19">
        <v>0.0</v>
      </c>
      <c r="AI218" s="19">
        <v>0.0</v>
      </c>
      <c r="AJ218" s="13">
        <f t="shared" si="42"/>
        <v>4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1.0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1.0</v>
      </c>
      <c r="AD219" s="19">
        <v>0.0</v>
      </c>
      <c r="AE219" s="19">
        <v>0.0</v>
      </c>
      <c r="AF219" s="19">
        <v>1.0</v>
      </c>
      <c r="AG219" s="19">
        <v>1.0</v>
      </c>
      <c r="AH219" s="19">
        <v>0.0</v>
      </c>
      <c r="AI219" s="19">
        <v>0.0</v>
      </c>
      <c r="AJ219" s="13">
        <f t="shared" si="42"/>
        <v>6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1.0</v>
      </c>
      <c r="Z220" s="19">
        <v>0.0</v>
      </c>
      <c r="AA220" s="19">
        <v>1.0</v>
      </c>
      <c r="AB220" s="19">
        <v>1.0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3">
        <f t="shared" si="42"/>
        <v>7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J223" si="43">SUM(E213:E222)</f>
        <v>8</v>
      </c>
      <c r="F223" s="13">
        <f t="shared" si="43"/>
        <v>1</v>
      </c>
      <c r="G223" s="13">
        <f t="shared" si="43"/>
        <v>11</v>
      </c>
      <c r="H223" s="13">
        <f t="shared" si="43"/>
        <v>12</v>
      </c>
      <c r="I223" s="13">
        <f t="shared" si="43"/>
        <v>5</v>
      </c>
      <c r="J223" s="13">
        <f t="shared" si="43"/>
        <v>9</v>
      </c>
      <c r="K223" s="13">
        <f t="shared" si="43"/>
        <v>11</v>
      </c>
      <c r="L223" s="13">
        <f t="shared" si="43"/>
        <v>6</v>
      </c>
      <c r="M223" s="13">
        <f t="shared" si="43"/>
        <v>1</v>
      </c>
      <c r="N223" s="13">
        <f t="shared" si="43"/>
        <v>3</v>
      </c>
      <c r="O223" s="13">
        <f t="shared" si="43"/>
        <v>9</v>
      </c>
      <c r="P223" s="13">
        <f t="shared" si="43"/>
        <v>5</v>
      </c>
      <c r="Q223" s="13">
        <f t="shared" si="43"/>
        <v>2</v>
      </c>
      <c r="R223" s="13">
        <f t="shared" si="43"/>
        <v>3</v>
      </c>
      <c r="S223" s="13">
        <f t="shared" si="43"/>
        <v>6</v>
      </c>
      <c r="T223" s="13">
        <f t="shared" si="43"/>
        <v>2</v>
      </c>
      <c r="U223" s="13">
        <f t="shared" si="43"/>
        <v>2</v>
      </c>
      <c r="V223" s="13">
        <f t="shared" si="43"/>
        <v>4</v>
      </c>
      <c r="W223" s="13">
        <f t="shared" si="43"/>
        <v>3</v>
      </c>
      <c r="X223" s="13">
        <f t="shared" si="43"/>
        <v>2</v>
      </c>
      <c r="Y223" s="13">
        <f t="shared" si="43"/>
        <v>8</v>
      </c>
      <c r="Z223" s="13">
        <f t="shared" si="43"/>
        <v>1</v>
      </c>
      <c r="AA223" s="13">
        <f t="shared" si="43"/>
        <v>11</v>
      </c>
      <c r="AB223" s="13">
        <f t="shared" si="43"/>
        <v>40</v>
      </c>
      <c r="AC223" s="13">
        <f t="shared" si="43"/>
        <v>9</v>
      </c>
      <c r="AD223" s="13">
        <f t="shared" si="43"/>
        <v>1</v>
      </c>
      <c r="AE223" s="13">
        <f t="shared" si="43"/>
        <v>2</v>
      </c>
      <c r="AF223" s="13">
        <f t="shared" si="43"/>
        <v>4</v>
      </c>
      <c r="AG223" s="13">
        <f t="shared" si="43"/>
        <v>6</v>
      </c>
      <c r="AH223" s="13">
        <f t="shared" si="43"/>
        <v>2</v>
      </c>
      <c r="AI223" s="13">
        <f t="shared" si="43"/>
        <v>12</v>
      </c>
      <c r="AJ223" s="13">
        <f t="shared" si="43"/>
        <v>201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3">
        <f t="shared" ref="AJ225:AJ234" si="44">SUM(E225:AI225)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1.0</v>
      </c>
      <c r="AE226" s="19">
        <v>3.0</v>
      </c>
      <c r="AF226" s="19">
        <v>2.0</v>
      </c>
      <c r="AG226" s="19">
        <v>0.0</v>
      </c>
      <c r="AH226" s="19">
        <v>0.0</v>
      </c>
      <c r="AI226" s="19">
        <v>0.0</v>
      </c>
      <c r="AJ226" s="13">
        <f t="shared" si="44"/>
        <v>7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1.0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3.0</v>
      </c>
      <c r="F232" s="19">
        <v>0.0</v>
      </c>
      <c r="G232" s="19">
        <v>0.0</v>
      </c>
      <c r="H232" s="19">
        <v>2.0</v>
      </c>
      <c r="I232" s="19">
        <v>0.0</v>
      </c>
      <c r="J232" s="19">
        <v>0.0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2.0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0.0</v>
      </c>
      <c r="AB232" s="19">
        <v>0.0</v>
      </c>
      <c r="AC232" s="19">
        <v>1.0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2.0</v>
      </c>
      <c r="AJ232" s="13">
        <f t="shared" si="44"/>
        <v>14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J235" si="45">SUM(E225:E234)</f>
        <v>3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2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2</v>
      </c>
      <c r="AD235" s="13">
        <f t="shared" si="45"/>
        <v>1</v>
      </c>
      <c r="AE235" s="13">
        <f t="shared" si="45"/>
        <v>3</v>
      </c>
      <c r="AF235" s="13">
        <f t="shared" si="45"/>
        <v>2</v>
      </c>
      <c r="AG235" s="13">
        <f t="shared" si="45"/>
        <v>0</v>
      </c>
      <c r="AH235" s="13">
        <f t="shared" si="45"/>
        <v>0</v>
      </c>
      <c r="AI235" s="13">
        <f t="shared" si="45"/>
        <v>2</v>
      </c>
      <c r="AJ235" s="13">
        <f t="shared" si="45"/>
        <v>24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3.0</v>
      </c>
      <c r="U237" s="19">
        <v>2.0</v>
      </c>
      <c r="V237" s="19">
        <v>2.0</v>
      </c>
      <c r="W237" s="19">
        <v>5.0</v>
      </c>
      <c r="X237" s="19">
        <v>1.0</v>
      </c>
      <c r="Y237" s="19">
        <v>11.0</v>
      </c>
      <c r="Z237" s="19">
        <v>3.0</v>
      </c>
      <c r="AA237" s="19">
        <v>0.0</v>
      </c>
      <c r="AB237" s="19">
        <v>4.0</v>
      </c>
      <c r="AC237" s="19">
        <v>4.0</v>
      </c>
      <c r="AD237" s="19">
        <v>2.0</v>
      </c>
      <c r="AE237" s="19">
        <v>2.0</v>
      </c>
      <c r="AF237" s="19">
        <v>1.0</v>
      </c>
      <c r="AG237" s="19">
        <v>2.0</v>
      </c>
      <c r="AH237" s="19">
        <v>2.0</v>
      </c>
      <c r="AI237" s="19">
        <v>2.0</v>
      </c>
      <c r="AJ237" s="13">
        <f t="shared" ref="AJ237:AJ246" si="46">SUM(E237:AI237)</f>
        <v>46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9">
        <v>1.0</v>
      </c>
      <c r="V238" s="19">
        <v>1.0</v>
      </c>
      <c r="W238" s="19">
        <v>3.0</v>
      </c>
      <c r="X238" s="19">
        <v>2.0</v>
      </c>
      <c r="Y238" s="19">
        <v>10.0</v>
      </c>
      <c r="Z238" s="19">
        <v>1.0</v>
      </c>
      <c r="AA238" s="19">
        <v>1.0</v>
      </c>
      <c r="AB238" s="19">
        <v>2.0</v>
      </c>
      <c r="AC238" s="19">
        <v>2.0</v>
      </c>
      <c r="AD238" s="19">
        <v>1.0</v>
      </c>
      <c r="AE238" s="19">
        <v>0.0</v>
      </c>
      <c r="AF238" s="19">
        <v>0.0</v>
      </c>
      <c r="AG238" s="19">
        <v>0.0</v>
      </c>
      <c r="AH238" s="19">
        <v>3.0</v>
      </c>
      <c r="AI238" s="19">
        <v>3.0</v>
      </c>
      <c r="AJ238" s="13">
        <f t="shared" si="46"/>
        <v>33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1.0</v>
      </c>
      <c r="P239" s="19">
        <v>0.0</v>
      </c>
      <c r="Q239" s="19">
        <v>0.0</v>
      </c>
      <c r="R239" s="19">
        <v>0.0</v>
      </c>
      <c r="S239" s="19">
        <v>1.0</v>
      </c>
      <c r="T239" s="19">
        <v>1.0</v>
      </c>
      <c r="U239" s="19">
        <v>1.0</v>
      </c>
      <c r="V239" s="19">
        <v>0.0</v>
      </c>
      <c r="W239" s="19">
        <v>1.0</v>
      </c>
      <c r="X239" s="19">
        <v>0.0</v>
      </c>
      <c r="Y239" s="19">
        <v>8.0</v>
      </c>
      <c r="Z239" s="19">
        <v>3.0</v>
      </c>
      <c r="AA239" s="19">
        <v>1.0</v>
      </c>
      <c r="AB239" s="19">
        <v>3.0</v>
      </c>
      <c r="AC239" s="19">
        <v>7.0</v>
      </c>
      <c r="AD239" s="19">
        <v>2.0</v>
      </c>
      <c r="AE239" s="19">
        <v>1.0</v>
      </c>
      <c r="AF239" s="19">
        <v>1.0</v>
      </c>
      <c r="AG239" s="19">
        <v>0.0</v>
      </c>
      <c r="AH239" s="19">
        <v>3.0</v>
      </c>
      <c r="AI239" s="19">
        <v>5.0</v>
      </c>
      <c r="AJ239" s="13">
        <f t="shared" si="46"/>
        <v>41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0.0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1.0</v>
      </c>
      <c r="AC240" s="19">
        <v>1.0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3">
        <f t="shared" si="46"/>
        <v>5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1.0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1.0</v>
      </c>
      <c r="AH241" s="19">
        <v>0.0</v>
      </c>
      <c r="AI241" s="19">
        <v>0.0</v>
      </c>
      <c r="AJ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1.0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1.0</v>
      </c>
      <c r="AI243" s="19">
        <v>0.0</v>
      </c>
      <c r="AJ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0.0</v>
      </c>
      <c r="F244" s="19">
        <v>0.0</v>
      </c>
      <c r="G244" s="19">
        <v>1.0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1.0</v>
      </c>
      <c r="AA244" s="19">
        <v>2.0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1.0</v>
      </c>
      <c r="AH244" s="19">
        <v>0.0</v>
      </c>
      <c r="AI244" s="19">
        <v>0.0</v>
      </c>
      <c r="AJ244" s="13">
        <f t="shared" si="46"/>
        <v>5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7">SUM(E237:E246)</f>
        <v>0</v>
      </c>
      <c r="F247" s="13">
        <f t="shared" si="47"/>
        <v>1</v>
      </c>
      <c r="G247" s="13">
        <f t="shared" si="47"/>
        <v>2</v>
      </c>
      <c r="H247" s="13">
        <f t="shared" si="47"/>
        <v>1</v>
      </c>
      <c r="I247" s="13">
        <f t="shared" si="47"/>
        <v>1</v>
      </c>
      <c r="J247" s="13">
        <f t="shared" si="47"/>
        <v>0</v>
      </c>
      <c r="K247" s="13">
        <f t="shared" si="47"/>
        <v>2</v>
      </c>
      <c r="L247" s="13">
        <f t="shared" si="47"/>
        <v>0</v>
      </c>
      <c r="M247" s="13">
        <f t="shared" si="47"/>
        <v>0</v>
      </c>
      <c r="N247" s="13">
        <f t="shared" si="47"/>
        <v>2</v>
      </c>
      <c r="O247" s="13">
        <f t="shared" si="47"/>
        <v>2</v>
      </c>
      <c r="P247" s="13">
        <f t="shared" si="47"/>
        <v>0</v>
      </c>
      <c r="Q247" s="13">
        <f t="shared" si="47"/>
        <v>0</v>
      </c>
      <c r="R247" s="13">
        <f t="shared" si="47"/>
        <v>1</v>
      </c>
      <c r="S247" s="13">
        <f t="shared" si="47"/>
        <v>1</v>
      </c>
      <c r="T247" s="13">
        <f t="shared" si="47"/>
        <v>5</v>
      </c>
      <c r="U247" s="13">
        <f t="shared" si="47"/>
        <v>4</v>
      </c>
      <c r="V247" s="13">
        <f t="shared" si="47"/>
        <v>3</v>
      </c>
      <c r="W247" s="13">
        <f t="shared" si="47"/>
        <v>9</v>
      </c>
      <c r="X247" s="13">
        <f t="shared" si="47"/>
        <v>3</v>
      </c>
      <c r="Y247" s="13">
        <f t="shared" si="47"/>
        <v>29</v>
      </c>
      <c r="Z247" s="13">
        <f t="shared" si="47"/>
        <v>8</v>
      </c>
      <c r="AA247" s="13">
        <f t="shared" si="47"/>
        <v>5</v>
      </c>
      <c r="AB247" s="13">
        <f t="shared" si="47"/>
        <v>10</v>
      </c>
      <c r="AC247" s="13">
        <f t="shared" si="47"/>
        <v>14</v>
      </c>
      <c r="AD247" s="13">
        <f t="shared" si="47"/>
        <v>5</v>
      </c>
      <c r="AE247" s="13">
        <f t="shared" si="47"/>
        <v>4</v>
      </c>
      <c r="AF247" s="13">
        <f t="shared" si="47"/>
        <v>2</v>
      </c>
      <c r="AG247" s="13">
        <f t="shared" si="47"/>
        <v>4</v>
      </c>
      <c r="AH247" s="13">
        <f t="shared" si="47"/>
        <v>9</v>
      </c>
      <c r="AI247" s="13">
        <f t="shared" si="47"/>
        <v>10</v>
      </c>
      <c r="AJ247" s="13">
        <f t="shared" si="47"/>
        <v>137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9">
        <v>2.0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1.0</v>
      </c>
      <c r="AD249" s="19">
        <v>0.0</v>
      </c>
      <c r="AE249" s="19">
        <v>1.0</v>
      </c>
      <c r="AF249" s="19">
        <v>0.0</v>
      </c>
      <c r="AG249" s="19">
        <v>0.0</v>
      </c>
      <c r="AH249" s="19">
        <v>0.0</v>
      </c>
      <c r="AI249" s="19">
        <v>0.0</v>
      </c>
      <c r="AJ249" s="13">
        <f t="shared" ref="AJ249:AJ258" si="48">SUM(E249:AI249)</f>
        <v>7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1.0</v>
      </c>
      <c r="AF250" s="19">
        <v>0.0</v>
      </c>
      <c r="AG250" s="19">
        <v>0.0</v>
      </c>
      <c r="AH250" s="19">
        <v>0.0</v>
      </c>
      <c r="AI250" s="19">
        <v>0.0</v>
      </c>
      <c r="AJ250" s="13">
        <f t="shared" si="48"/>
        <v>2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1.0</v>
      </c>
      <c r="G251" s="19">
        <v>3.0</v>
      </c>
      <c r="H251" s="19">
        <v>0.0</v>
      </c>
      <c r="I251" s="19">
        <v>1.0</v>
      </c>
      <c r="J251" s="19">
        <v>1.0</v>
      </c>
      <c r="K251" s="19">
        <v>1.0</v>
      </c>
      <c r="L251" s="19">
        <v>3.0</v>
      </c>
      <c r="M251" s="19">
        <v>3.0</v>
      </c>
      <c r="N251" s="19">
        <v>0.0</v>
      </c>
      <c r="O251" s="19">
        <v>0.0</v>
      </c>
      <c r="P251" s="19">
        <v>0.0</v>
      </c>
      <c r="Q251" s="19">
        <v>0.0</v>
      </c>
      <c r="R251" s="19">
        <v>3.0</v>
      </c>
      <c r="S251" s="19">
        <v>0.0</v>
      </c>
      <c r="T251" s="19">
        <v>4.0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9">
        <v>0.0</v>
      </c>
      <c r="AD251" s="19">
        <v>0.0</v>
      </c>
      <c r="AE251" s="19">
        <v>3.0</v>
      </c>
      <c r="AF251" s="19">
        <v>0.0</v>
      </c>
      <c r="AG251" s="19">
        <v>1.0</v>
      </c>
      <c r="AH251" s="19">
        <v>0.0</v>
      </c>
      <c r="AI251" s="19">
        <v>0.0</v>
      </c>
      <c r="AJ251" s="13">
        <f t="shared" si="48"/>
        <v>25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1.0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3">
        <f t="shared" si="48"/>
        <v>2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1.0</v>
      </c>
      <c r="Z254" s="19">
        <v>0.0</v>
      </c>
      <c r="AA254" s="19">
        <v>1.0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3">
        <f t="shared" si="48"/>
        <v>3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1.0</v>
      </c>
      <c r="AG255" s="19">
        <v>0.0</v>
      </c>
      <c r="AH255" s="19">
        <v>0.0</v>
      </c>
      <c r="AI255" s="19">
        <v>0.0</v>
      </c>
      <c r="AJ255" s="13">
        <f t="shared" si="48"/>
        <v>1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J259" si="49">SUM(E249:E258)</f>
        <v>0</v>
      </c>
      <c r="F259" s="13">
        <f t="shared" si="49"/>
        <v>1</v>
      </c>
      <c r="G259" s="13">
        <f t="shared" si="49"/>
        <v>3</v>
      </c>
      <c r="H259" s="13">
        <f t="shared" si="49"/>
        <v>1</v>
      </c>
      <c r="I259" s="13">
        <f t="shared" si="49"/>
        <v>1</v>
      </c>
      <c r="J259" s="13">
        <f t="shared" si="49"/>
        <v>2</v>
      </c>
      <c r="K259" s="13">
        <f t="shared" si="49"/>
        <v>1</v>
      </c>
      <c r="L259" s="13">
        <f t="shared" si="49"/>
        <v>4</v>
      </c>
      <c r="M259" s="13">
        <f t="shared" si="49"/>
        <v>5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4</v>
      </c>
      <c r="S259" s="13">
        <f t="shared" si="49"/>
        <v>0</v>
      </c>
      <c r="T259" s="13">
        <f t="shared" si="49"/>
        <v>4</v>
      </c>
      <c r="U259" s="13">
        <f t="shared" si="49"/>
        <v>2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2</v>
      </c>
      <c r="AB259" s="13">
        <f t="shared" si="49"/>
        <v>0</v>
      </c>
      <c r="AC259" s="13">
        <f t="shared" si="49"/>
        <v>2</v>
      </c>
      <c r="AD259" s="13">
        <f t="shared" si="49"/>
        <v>0</v>
      </c>
      <c r="AE259" s="13">
        <f t="shared" si="49"/>
        <v>5</v>
      </c>
      <c r="AF259" s="13">
        <f t="shared" si="49"/>
        <v>1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40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13"/>
      <c r="R261" s="13"/>
      <c r="S261" s="13"/>
      <c r="T261" s="13"/>
      <c r="U261" s="13"/>
      <c r="V261" s="13"/>
      <c r="W261" s="13"/>
      <c r="X261" s="13"/>
      <c r="Y261" s="13"/>
      <c r="Z261" s="77"/>
      <c r="AA261" s="77"/>
      <c r="AB261" s="77"/>
      <c r="AC261" s="77"/>
      <c r="AD261" s="13"/>
      <c r="AE261" s="77"/>
      <c r="AF261" s="77"/>
      <c r="AG261" s="77"/>
      <c r="AH261" s="13"/>
      <c r="AI261" s="13"/>
      <c r="AJ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I262" si="50">E55+E67+E79+E91+E103+E115+E127+E139+E151+E163+E175+E187+E199+E211+E223+E235+E247+E259</f>
        <v>107</v>
      </c>
      <c r="F262" s="19">
        <f t="shared" si="50"/>
        <v>164</v>
      </c>
      <c r="G262" s="19">
        <f t="shared" si="50"/>
        <v>152</v>
      </c>
      <c r="H262" s="19">
        <f t="shared" si="50"/>
        <v>174</v>
      </c>
      <c r="I262" s="19">
        <f t="shared" si="50"/>
        <v>167</v>
      </c>
      <c r="J262" s="19">
        <f t="shared" si="50"/>
        <v>177</v>
      </c>
      <c r="K262" s="19">
        <f t="shared" si="50"/>
        <v>190</v>
      </c>
      <c r="L262" s="19">
        <f t="shared" si="50"/>
        <v>160</v>
      </c>
      <c r="M262" s="19">
        <f t="shared" si="50"/>
        <v>115</v>
      </c>
      <c r="N262" s="19">
        <f t="shared" si="50"/>
        <v>197</v>
      </c>
      <c r="O262" s="19">
        <f t="shared" si="50"/>
        <v>201</v>
      </c>
      <c r="P262" s="19">
        <f t="shared" si="50"/>
        <v>157</v>
      </c>
      <c r="Q262" s="19">
        <f t="shared" si="50"/>
        <v>129</v>
      </c>
      <c r="R262" s="19">
        <f t="shared" si="50"/>
        <v>153</v>
      </c>
      <c r="S262" s="19">
        <f t="shared" si="50"/>
        <v>144</v>
      </c>
      <c r="T262" s="19">
        <f t="shared" si="50"/>
        <v>169</v>
      </c>
      <c r="U262" s="19">
        <f t="shared" si="50"/>
        <v>145</v>
      </c>
      <c r="V262" s="19">
        <f t="shared" si="50"/>
        <v>171</v>
      </c>
      <c r="W262" s="19">
        <f t="shared" si="50"/>
        <v>211</v>
      </c>
      <c r="X262" s="19">
        <f t="shared" si="50"/>
        <v>175</v>
      </c>
      <c r="Y262" s="19">
        <f t="shared" si="50"/>
        <v>202</v>
      </c>
      <c r="Z262" s="19">
        <f t="shared" si="50"/>
        <v>164</v>
      </c>
      <c r="AA262" s="19">
        <f t="shared" si="50"/>
        <v>156</v>
      </c>
      <c r="AB262" s="19">
        <f t="shared" si="50"/>
        <v>191</v>
      </c>
      <c r="AC262" s="19">
        <f t="shared" si="50"/>
        <v>197</v>
      </c>
      <c r="AD262" s="19">
        <f t="shared" si="50"/>
        <v>187</v>
      </c>
      <c r="AE262" s="19">
        <f t="shared" si="50"/>
        <v>198</v>
      </c>
      <c r="AF262" s="19">
        <f t="shared" si="50"/>
        <v>187</v>
      </c>
      <c r="AG262" s="19">
        <f t="shared" si="50"/>
        <v>181</v>
      </c>
      <c r="AH262" s="19">
        <f t="shared" si="50"/>
        <v>154</v>
      </c>
      <c r="AI262" s="19">
        <f t="shared" si="50"/>
        <v>204</v>
      </c>
      <c r="AJ262" s="13">
        <f t="shared" ref="AJ262:AJ264" si="51">SUM(E262:AI262)</f>
        <v>5279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24.0</v>
      </c>
      <c r="F263" s="19">
        <v>33.0</v>
      </c>
      <c r="G263" s="19">
        <v>36.0</v>
      </c>
      <c r="H263" s="19">
        <v>27.0</v>
      </c>
      <c r="I263" s="19">
        <v>24.0</v>
      </c>
      <c r="J263" s="19">
        <v>38.0</v>
      </c>
      <c r="K263" s="19">
        <v>26.0</v>
      </c>
      <c r="L263" s="19">
        <v>15.0</v>
      </c>
      <c r="M263" s="19">
        <v>35.0</v>
      </c>
      <c r="N263" s="19">
        <v>32.0</v>
      </c>
      <c r="O263" s="19">
        <v>15.0</v>
      </c>
      <c r="P263" s="19">
        <v>33.0</v>
      </c>
      <c r="Q263" s="19">
        <v>18.0</v>
      </c>
      <c r="R263" s="19">
        <v>49.0</v>
      </c>
      <c r="S263" s="19">
        <v>49.0</v>
      </c>
      <c r="T263" s="19">
        <v>47.0</v>
      </c>
      <c r="U263" s="19">
        <v>29.0</v>
      </c>
      <c r="V263" s="19">
        <v>33.0</v>
      </c>
      <c r="W263" s="19">
        <v>18.0</v>
      </c>
      <c r="X263" s="19">
        <v>35.0</v>
      </c>
      <c r="Y263" s="19">
        <v>33.0</v>
      </c>
      <c r="Z263" s="19">
        <v>24.0</v>
      </c>
      <c r="AA263" s="19">
        <v>40.0</v>
      </c>
      <c r="AB263" s="19">
        <v>27.0</v>
      </c>
      <c r="AC263" s="19">
        <v>32.0</v>
      </c>
      <c r="AD263" s="19">
        <v>12.0</v>
      </c>
      <c r="AE263" s="19">
        <v>24.0</v>
      </c>
      <c r="AF263" s="19">
        <v>34.0</v>
      </c>
      <c r="AG263" s="19">
        <v>25.0</v>
      </c>
      <c r="AH263" s="19">
        <v>30.0</v>
      </c>
      <c r="AI263" s="19">
        <v>15.0</v>
      </c>
      <c r="AJ263" s="13">
        <f t="shared" si="51"/>
        <v>912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I264" si="52">SUM(E262:E263)</f>
        <v>131</v>
      </c>
      <c r="F264" s="13">
        <f t="shared" si="52"/>
        <v>197</v>
      </c>
      <c r="G264" s="13">
        <f t="shared" si="52"/>
        <v>188</v>
      </c>
      <c r="H264" s="13">
        <f t="shared" si="52"/>
        <v>201</v>
      </c>
      <c r="I264" s="13">
        <f t="shared" si="52"/>
        <v>191</v>
      </c>
      <c r="J264" s="13">
        <f t="shared" si="52"/>
        <v>215</v>
      </c>
      <c r="K264" s="13">
        <f t="shared" si="52"/>
        <v>216</v>
      </c>
      <c r="L264" s="13">
        <f t="shared" si="52"/>
        <v>175</v>
      </c>
      <c r="M264" s="13">
        <f t="shared" si="52"/>
        <v>150</v>
      </c>
      <c r="N264" s="13">
        <f t="shared" si="52"/>
        <v>229</v>
      </c>
      <c r="O264" s="13">
        <f t="shared" si="52"/>
        <v>216</v>
      </c>
      <c r="P264" s="13">
        <f t="shared" si="52"/>
        <v>190</v>
      </c>
      <c r="Q264" s="13">
        <f t="shared" si="52"/>
        <v>147</v>
      </c>
      <c r="R264" s="13">
        <f t="shared" si="52"/>
        <v>202</v>
      </c>
      <c r="S264" s="13">
        <f t="shared" si="52"/>
        <v>193</v>
      </c>
      <c r="T264" s="13">
        <f t="shared" si="52"/>
        <v>216</v>
      </c>
      <c r="U264" s="13">
        <f t="shared" si="52"/>
        <v>174</v>
      </c>
      <c r="V264" s="13">
        <f t="shared" si="52"/>
        <v>204</v>
      </c>
      <c r="W264" s="13">
        <f t="shared" si="52"/>
        <v>229</v>
      </c>
      <c r="X264" s="13">
        <f t="shared" si="52"/>
        <v>210</v>
      </c>
      <c r="Y264" s="13">
        <f t="shared" si="52"/>
        <v>235</v>
      </c>
      <c r="Z264" s="13">
        <f t="shared" si="52"/>
        <v>188</v>
      </c>
      <c r="AA264" s="13">
        <f t="shared" si="52"/>
        <v>196</v>
      </c>
      <c r="AB264" s="13">
        <f t="shared" si="52"/>
        <v>218</v>
      </c>
      <c r="AC264" s="13">
        <f t="shared" si="52"/>
        <v>229</v>
      </c>
      <c r="AD264" s="13">
        <f t="shared" si="52"/>
        <v>199</v>
      </c>
      <c r="AE264" s="13">
        <f t="shared" si="52"/>
        <v>222</v>
      </c>
      <c r="AF264" s="13">
        <f t="shared" si="52"/>
        <v>221</v>
      </c>
      <c r="AG264" s="13">
        <f t="shared" si="52"/>
        <v>206</v>
      </c>
      <c r="AH264" s="13">
        <f t="shared" si="52"/>
        <v>184</v>
      </c>
      <c r="AI264" s="13">
        <f t="shared" si="52"/>
        <v>219</v>
      </c>
      <c r="AJ264" s="13">
        <f t="shared" si="51"/>
        <v>6191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I37"/>
    <mergeCell ref="B38:D38"/>
    <mergeCell ref="B39:C41"/>
    <mergeCell ref="A42:D42"/>
    <mergeCell ref="E42:AI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E34&lt;&gt;E64</formula>
    </cfRule>
  </conditionalFormatting>
  <conditionalFormatting sqref="E45:AI54">
    <cfRule type="containsBlanks" dxfId="1" priority="10">
      <formula>LEN(TRIM(E45))=0</formula>
    </cfRule>
  </conditionalFormatting>
  <conditionalFormatting sqref="E57:AI66">
    <cfRule type="containsBlanks" dxfId="1" priority="11">
      <formula>LEN(TRIM(E57))=0</formula>
    </cfRule>
  </conditionalFormatting>
  <conditionalFormatting sqref="E69:AI78">
    <cfRule type="containsBlanks" dxfId="1" priority="12">
      <formula>LEN(TRIM(E69))=0</formula>
    </cfRule>
  </conditionalFormatting>
  <conditionalFormatting sqref="E81:AI90">
    <cfRule type="containsBlanks" dxfId="1" priority="13">
      <formula>LEN(TRIM(E81))=0</formula>
    </cfRule>
  </conditionalFormatting>
  <conditionalFormatting sqref="E93:AI102">
    <cfRule type="containsBlanks" dxfId="1" priority="14">
      <formula>LEN(TRIM(E93))=0</formula>
    </cfRule>
  </conditionalFormatting>
  <conditionalFormatting sqref="E105:AI114">
    <cfRule type="containsBlanks" dxfId="1" priority="15">
      <formula>LEN(TRIM(E105))=0</formula>
    </cfRule>
  </conditionalFormatting>
  <conditionalFormatting sqref="E117:AI126">
    <cfRule type="containsBlanks" dxfId="1" priority="16">
      <formula>LEN(TRIM(E117))=0</formula>
    </cfRule>
  </conditionalFormatting>
  <conditionalFormatting sqref="E129:AI138">
    <cfRule type="containsBlanks" dxfId="1" priority="17">
      <formula>LEN(TRIM(E129))=0</formula>
    </cfRule>
  </conditionalFormatting>
  <conditionalFormatting sqref="E141:AI150">
    <cfRule type="containsBlanks" dxfId="1" priority="18">
      <formula>LEN(TRIM(E141))=0</formula>
    </cfRule>
  </conditionalFormatting>
  <conditionalFormatting sqref="E153:AI162">
    <cfRule type="containsBlanks" dxfId="1" priority="19">
      <formula>LEN(TRIM(E153))=0</formula>
    </cfRule>
  </conditionalFormatting>
  <conditionalFormatting sqref="E165:AI174">
    <cfRule type="containsBlanks" dxfId="1" priority="20">
      <formula>LEN(TRIM(E165))=0</formula>
    </cfRule>
  </conditionalFormatting>
  <conditionalFormatting sqref="E177:AI186">
    <cfRule type="containsBlanks" dxfId="1" priority="21">
      <formula>LEN(TRIM(E177))=0</formula>
    </cfRule>
  </conditionalFormatting>
  <conditionalFormatting sqref="E189:AI198">
    <cfRule type="containsBlanks" dxfId="1" priority="22">
      <formula>LEN(TRIM(E189))=0</formula>
    </cfRule>
  </conditionalFormatting>
  <conditionalFormatting sqref="E201:AI210">
    <cfRule type="containsBlanks" dxfId="1" priority="23">
      <formula>LEN(TRIM(E201))=0</formula>
    </cfRule>
  </conditionalFormatting>
  <conditionalFormatting sqref="E213:AI222">
    <cfRule type="containsBlanks" dxfId="1" priority="24">
      <formula>LEN(TRIM(E213))=0</formula>
    </cfRule>
  </conditionalFormatting>
  <conditionalFormatting sqref="E225:AI234">
    <cfRule type="containsBlanks" dxfId="1" priority="25">
      <formula>LEN(TRIM(E225))=0</formula>
    </cfRule>
  </conditionalFormatting>
  <conditionalFormatting sqref="E237:AI246">
    <cfRule type="containsBlanks" dxfId="1" priority="26">
      <formula>LEN(TRIM(E237))=0</formula>
    </cfRule>
  </conditionalFormatting>
  <conditionalFormatting sqref="E249:AI258">
    <cfRule type="containsBlanks" dxfId="1" priority="27">
      <formula>LEN(TRIM(E249))=0</formula>
    </cfRule>
  </conditionalFormatting>
  <conditionalFormatting sqref="E262:AI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126.0</v>
      </c>
      <c r="G14" s="19">
        <v>145.0</v>
      </c>
      <c r="H14" s="19">
        <v>150.0</v>
      </c>
      <c r="I14" s="19">
        <v>110.0</v>
      </c>
      <c r="J14" s="19">
        <v>125.0</v>
      </c>
      <c r="K14" s="19">
        <v>148.0</v>
      </c>
      <c r="L14" s="19">
        <v>119.0</v>
      </c>
      <c r="M14" s="19">
        <v>144.0</v>
      </c>
      <c r="N14" s="19">
        <v>146.0</v>
      </c>
      <c r="O14" s="19">
        <v>125.0</v>
      </c>
      <c r="P14" s="19">
        <v>150.0</v>
      </c>
      <c r="Q14" s="19">
        <v>148.0</v>
      </c>
      <c r="R14" s="19">
        <v>139.0</v>
      </c>
      <c r="S14" s="19">
        <v>112.0</v>
      </c>
      <c r="T14" s="19">
        <v>144.0</v>
      </c>
      <c r="U14" s="19">
        <v>142.0</v>
      </c>
      <c r="V14" s="19">
        <v>127.0</v>
      </c>
      <c r="W14" s="19">
        <v>150.0</v>
      </c>
      <c r="X14" s="19">
        <v>139.0</v>
      </c>
      <c r="Y14" s="19">
        <v>127.0</v>
      </c>
      <c r="Z14" s="19">
        <v>130.0</v>
      </c>
      <c r="AA14" s="13">
        <f t="shared" ref="AA14:AA16" si="1">SUM(E14:Z14)</f>
        <v>2992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126.0</v>
      </c>
      <c r="G15" s="19">
        <v>96.0</v>
      </c>
      <c r="H15" s="19">
        <v>142.0</v>
      </c>
      <c r="I15" s="19">
        <v>118.0</v>
      </c>
      <c r="J15" s="19">
        <v>141.0</v>
      </c>
      <c r="K15" s="19">
        <v>143.0</v>
      </c>
      <c r="L15" s="19">
        <v>119.0</v>
      </c>
      <c r="M15" s="19">
        <v>149.0</v>
      </c>
      <c r="N15" s="19">
        <v>143.0</v>
      </c>
      <c r="O15" s="19">
        <v>140.0</v>
      </c>
      <c r="P15" s="19">
        <v>147.0</v>
      </c>
      <c r="Q15" s="19">
        <v>147.0</v>
      </c>
      <c r="R15" s="19">
        <v>147.0</v>
      </c>
      <c r="S15" s="19">
        <v>134.0</v>
      </c>
      <c r="T15" s="19">
        <v>149.0</v>
      </c>
      <c r="U15" s="19">
        <v>147.0</v>
      </c>
      <c r="V15" s="19">
        <v>148.0</v>
      </c>
      <c r="W15" s="19">
        <v>139.0</v>
      </c>
      <c r="X15" s="19">
        <v>149.0</v>
      </c>
      <c r="Y15" s="19">
        <v>132.0</v>
      </c>
      <c r="Z15" s="19">
        <v>138.0</v>
      </c>
      <c r="AA15" s="13">
        <f t="shared" si="1"/>
        <v>3030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282</v>
      </c>
      <c r="F16" s="13">
        <f t="shared" si="2"/>
        <v>252</v>
      </c>
      <c r="G16" s="13">
        <f t="shared" si="2"/>
        <v>241</v>
      </c>
      <c r="H16" s="13">
        <f t="shared" si="2"/>
        <v>292</v>
      </c>
      <c r="I16" s="13">
        <f t="shared" si="2"/>
        <v>228</v>
      </c>
      <c r="J16" s="13">
        <f t="shared" si="2"/>
        <v>266</v>
      </c>
      <c r="K16" s="13">
        <f t="shared" si="2"/>
        <v>291</v>
      </c>
      <c r="L16" s="13">
        <f t="shared" si="2"/>
        <v>238</v>
      </c>
      <c r="M16" s="13">
        <f t="shared" si="2"/>
        <v>293</v>
      </c>
      <c r="N16" s="13">
        <f t="shared" si="2"/>
        <v>289</v>
      </c>
      <c r="O16" s="13">
        <f t="shared" si="2"/>
        <v>265</v>
      </c>
      <c r="P16" s="13">
        <f t="shared" si="2"/>
        <v>297</v>
      </c>
      <c r="Q16" s="13">
        <f t="shared" si="2"/>
        <v>295</v>
      </c>
      <c r="R16" s="13">
        <f t="shared" si="2"/>
        <v>286</v>
      </c>
      <c r="S16" s="13">
        <f t="shared" si="2"/>
        <v>246</v>
      </c>
      <c r="T16" s="13">
        <f t="shared" si="2"/>
        <v>293</v>
      </c>
      <c r="U16" s="13">
        <f t="shared" si="2"/>
        <v>289</v>
      </c>
      <c r="V16" s="13">
        <f t="shared" si="2"/>
        <v>275</v>
      </c>
      <c r="W16" s="13">
        <f t="shared" si="2"/>
        <v>289</v>
      </c>
      <c r="X16" s="13">
        <f t="shared" si="2"/>
        <v>288</v>
      </c>
      <c r="Y16" s="13">
        <f t="shared" si="2"/>
        <v>259</v>
      </c>
      <c r="Z16" s="13">
        <f t="shared" si="2"/>
        <v>268</v>
      </c>
      <c r="AA16" s="13">
        <f t="shared" si="1"/>
        <v>6022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75"/>
      <c r="W17" s="75"/>
      <c r="X17" s="75"/>
      <c r="Y17" s="75"/>
      <c r="Z17" s="19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75"/>
      <c r="W18" s="75"/>
      <c r="X18" s="75"/>
      <c r="Y18" s="75"/>
      <c r="Z18" s="19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119.0</v>
      </c>
      <c r="F19" s="19">
        <v>82.0</v>
      </c>
      <c r="G19" s="19">
        <v>91.0</v>
      </c>
      <c r="H19" s="19">
        <v>121.0</v>
      </c>
      <c r="I19" s="19">
        <v>66.0</v>
      </c>
      <c r="J19" s="19">
        <v>100.0</v>
      </c>
      <c r="K19" s="19">
        <v>106.0</v>
      </c>
      <c r="L19" s="19">
        <v>84.0</v>
      </c>
      <c r="M19" s="19">
        <v>108.0</v>
      </c>
      <c r="N19" s="19">
        <v>116.0</v>
      </c>
      <c r="O19" s="19">
        <v>91.0</v>
      </c>
      <c r="P19" s="19">
        <v>110.0</v>
      </c>
      <c r="Q19" s="19">
        <v>87.0</v>
      </c>
      <c r="R19" s="19">
        <v>99.0</v>
      </c>
      <c r="S19" s="19">
        <v>83.0</v>
      </c>
      <c r="T19" s="19">
        <v>108.0</v>
      </c>
      <c r="U19" s="19">
        <v>108.0</v>
      </c>
      <c r="V19" s="19">
        <v>92.0</v>
      </c>
      <c r="W19" s="19">
        <v>106.0</v>
      </c>
      <c r="X19" s="19">
        <v>91.0</v>
      </c>
      <c r="Y19" s="19">
        <v>81.0</v>
      </c>
      <c r="Z19" s="19">
        <v>100.0</v>
      </c>
      <c r="AA19" s="13">
        <f t="shared" ref="AA19:AA30" si="3">SUM(E19:Z19)</f>
        <v>2149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96.0</v>
      </c>
      <c r="G20" s="19">
        <v>90.0</v>
      </c>
      <c r="H20" s="19">
        <v>118.0</v>
      </c>
      <c r="I20" s="19">
        <v>82.0</v>
      </c>
      <c r="J20" s="19">
        <v>117.0</v>
      </c>
      <c r="K20" s="19">
        <v>105.0</v>
      </c>
      <c r="L20" s="19">
        <v>89.0</v>
      </c>
      <c r="M20" s="19">
        <v>115.0</v>
      </c>
      <c r="N20" s="19">
        <v>108.0</v>
      </c>
      <c r="O20" s="19">
        <v>107.0</v>
      </c>
      <c r="P20" s="19">
        <v>120.0</v>
      </c>
      <c r="Q20" s="19">
        <v>111.0</v>
      </c>
      <c r="R20" s="19">
        <v>111.0</v>
      </c>
      <c r="S20" s="19">
        <v>108.0</v>
      </c>
      <c r="T20" s="19">
        <v>120.0</v>
      </c>
      <c r="U20" s="19">
        <v>118.0</v>
      </c>
      <c r="V20" s="19">
        <v>111.0</v>
      </c>
      <c r="W20" s="19">
        <v>110.0</v>
      </c>
      <c r="X20" s="19">
        <v>108.0</v>
      </c>
      <c r="Y20" s="19">
        <v>103.0</v>
      </c>
      <c r="Z20" s="19">
        <v>117.0</v>
      </c>
      <c r="AA20" s="13">
        <f t="shared" si="3"/>
        <v>2380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235</v>
      </c>
      <c r="F21" s="13">
        <f t="shared" si="4"/>
        <v>178</v>
      </c>
      <c r="G21" s="13">
        <f t="shared" si="4"/>
        <v>181</v>
      </c>
      <c r="H21" s="13">
        <f t="shared" si="4"/>
        <v>239</v>
      </c>
      <c r="I21" s="13">
        <f t="shared" si="4"/>
        <v>148</v>
      </c>
      <c r="J21" s="13">
        <f t="shared" si="4"/>
        <v>217</v>
      </c>
      <c r="K21" s="13">
        <f t="shared" si="4"/>
        <v>211</v>
      </c>
      <c r="L21" s="13">
        <f t="shared" si="4"/>
        <v>173</v>
      </c>
      <c r="M21" s="13">
        <f t="shared" si="4"/>
        <v>223</v>
      </c>
      <c r="N21" s="13">
        <f t="shared" si="4"/>
        <v>224</v>
      </c>
      <c r="O21" s="13">
        <f t="shared" si="4"/>
        <v>198</v>
      </c>
      <c r="P21" s="13">
        <f t="shared" si="4"/>
        <v>230</v>
      </c>
      <c r="Q21" s="13">
        <f t="shared" si="4"/>
        <v>198</v>
      </c>
      <c r="R21" s="13">
        <f t="shared" si="4"/>
        <v>210</v>
      </c>
      <c r="S21" s="13">
        <f t="shared" si="4"/>
        <v>191</v>
      </c>
      <c r="T21" s="13">
        <f t="shared" si="4"/>
        <v>228</v>
      </c>
      <c r="U21" s="13">
        <f t="shared" si="4"/>
        <v>226</v>
      </c>
      <c r="V21" s="13">
        <f t="shared" si="4"/>
        <v>203</v>
      </c>
      <c r="W21" s="13">
        <f t="shared" si="4"/>
        <v>216</v>
      </c>
      <c r="X21" s="13">
        <f t="shared" si="4"/>
        <v>199</v>
      </c>
      <c r="Y21" s="13">
        <f t="shared" si="4"/>
        <v>184</v>
      </c>
      <c r="Z21" s="13">
        <f t="shared" si="4"/>
        <v>217</v>
      </c>
      <c r="AA21" s="13">
        <f t="shared" si="3"/>
        <v>4529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2.0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2.0</v>
      </c>
      <c r="M22" s="19">
        <v>0.0</v>
      </c>
      <c r="N22" s="19">
        <v>1.0</v>
      </c>
      <c r="O22" s="19">
        <v>0.0</v>
      </c>
      <c r="P22" s="19">
        <v>1.0</v>
      </c>
      <c r="Q22" s="19">
        <v>1.0</v>
      </c>
      <c r="R22" s="19">
        <v>0.0</v>
      </c>
      <c r="S22" s="19">
        <v>1.0</v>
      </c>
      <c r="T22" s="19">
        <v>5.0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1.0</v>
      </c>
      <c r="G23" s="19">
        <v>1.0</v>
      </c>
      <c r="H23" s="19">
        <v>0.0</v>
      </c>
      <c r="I23" s="19">
        <v>0.0</v>
      </c>
      <c r="J23" s="19">
        <v>2.0</v>
      </c>
      <c r="K23" s="19">
        <v>0.0</v>
      </c>
      <c r="L23" s="19">
        <v>1.0</v>
      </c>
      <c r="M23" s="19">
        <v>0.0</v>
      </c>
      <c r="N23" s="19">
        <v>2.0</v>
      </c>
      <c r="O23" s="19">
        <v>0.0</v>
      </c>
      <c r="P23" s="19">
        <v>1.0</v>
      </c>
      <c r="Q23" s="19">
        <v>1.0</v>
      </c>
      <c r="R23" s="19">
        <v>1.0</v>
      </c>
      <c r="S23" s="19">
        <v>1.0</v>
      </c>
      <c r="T23" s="19">
        <v>6.0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2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5"/>
        <v>11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8.0</v>
      </c>
      <c r="F25" s="19">
        <v>3.0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4.0</v>
      </c>
      <c r="M25" s="19">
        <v>1.0</v>
      </c>
      <c r="N25" s="19">
        <v>2.0</v>
      </c>
      <c r="O25" s="19">
        <v>1.0</v>
      </c>
      <c r="P25" s="19">
        <v>2.0</v>
      </c>
      <c r="Q25" s="19">
        <v>2.0</v>
      </c>
      <c r="R25" s="19">
        <v>1.0</v>
      </c>
      <c r="S25" s="19">
        <v>1.0</v>
      </c>
      <c r="T25" s="19">
        <v>0.0</v>
      </c>
      <c r="U25" s="19">
        <v>0.0</v>
      </c>
      <c r="V25" s="19">
        <v>2.0</v>
      </c>
      <c r="W25" s="19">
        <v>0.0</v>
      </c>
      <c r="X25" s="19">
        <v>0.0</v>
      </c>
      <c r="Y25" s="19">
        <v>2.0</v>
      </c>
      <c r="Z25" s="19">
        <v>3.0</v>
      </c>
      <c r="AA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8.0</v>
      </c>
      <c r="F26" s="19">
        <v>3.0</v>
      </c>
      <c r="G26" s="19">
        <v>5.0</v>
      </c>
      <c r="H26" s="19">
        <v>0.0</v>
      </c>
      <c r="I26" s="19">
        <v>1.0</v>
      </c>
      <c r="J26" s="19">
        <v>2.0</v>
      </c>
      <c r="K26" s="19">
        <v>1.0</v>
      </c>
      <c r="L26" s="19">
        <v>1.0</v>
      </c>
      <c r="M26" s="19">
        <v>0.0</v>
      </c>
      <c r="N26" s="19">
        <v>2.0</v>
      </c>
      <c r="O26" s="19">
        <v>3.0</v>
      </c>
      <c r="P26" s="19">
        <v>1.0</v>
      </c>
      <c r="Q26" s="19">
        <v>2.0</v>
      </c>
      <c r="R26" s="19">
        <v>0.0</v>
      </c>
      <c r="S26" s="19">
        <v>6.0</v>
      </c>
      <c r="T26" s="19">
        <v>0.0</v>
      </c>
      <c r="U26" s="19">
        <v>0.0</v>
      </c>
      <c r="V26" s="19">
        <v>2.0</v>
      </c>
      <c r="W26" s="19">
        <v>3.0</v>
      </c>
      <c r="X26" s="19">
        <v>1.0</v>
      </c>
      <c r="Y26" s="19">
        <v>0.0</v>
      </c>
      <c r="Z26" s="19">
        <v>4.0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16</v>
      </c>
      <c r="F27" s="13">
        <f t="shared" si="6"/>
        <v>6</v>
      </c>
      <c r="G27" s="13">
        <f t="shared" si="6"/>
        <v>7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5</v>
      </c>
      <c r="M27" s="13">
        <f t="shared" si="6"/>
        <v>1</v>
      </c>
      <c r="N27" s="13">
        <f t="shared" si="6"/>
        <v>4</v>
      </c>
      <c r="O27" s="13">
        <f t="shared" si="6"/>
        <v>4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3</v>
      </c>
      <c r="X27" s="13">
        <f t="shared" si="6"/>
        <v>1</v>
      </c>
      <c r="Y27" s="13">
        <f t="shared" si="6"/>
        <v>2</v>
      </c>
      <c r="Z27" s="13">
        <f t="shared" si="6"/>
        <v>7</v>
      </c>
      <c r="AA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130</v>
      </c>
      <c r="F28" s="13">
        <f t="shared" si="7"/>
        <v>87</v>
      </c>
      <c r="G28" s="13">
        <f t="shared" si="7"/>
        <v>93</v>
      </c>
      <c r="H28" s="13">
        <f t="shared" si="7"/>
        <v>121</v>
      </c>
      <c r="I28" s="13">
        <f t="shared" si="7"/>
        <v>67</v>
      </c>
      <c r="J28" s="13">
        <f t="shared" si="7"/>
        <v>101</v>
      </c>
      <c r="K28" s="13">
        <f t="shared" si="7"/>
        <v>107</v>
      </c>
      <c r="L28" s="13">
        <f t="shared" si="7"/>
        <v>90</v>
      </c>
      <c r="M28" s="13">
        <f t="shared" si="7"/>
        <v>109</v>
      </c>
      <c r="N28" s="13">
        <f t="shared" si="7"/>
        <v>119</v>
      </c>
      <c r="O28" s="13">
        <f t="shared" si="7"/>
        <v>92</v>
      </c>
      <c r="P28" s="13">
        <f t="shared" si="7"/>
        <v>113</v>
      </c>
      <c r="Q28" s="13">
        <f t="shared" si="7"/>
        <v>90</v>
      </c>
      <c r="R28" s="13">
        <f t="shared" si="7"/>
        <v>100</v>
      </c>
      <c r="S28" s="13">
        <f t="shared" si="7"/>
        <v>85</v>
      </c>
      <c r="T28" s="13">
        <f t="shared" si="7"/>
        <v>113</v>
      </c>
      <c r="U28" s="13">
        <f t="shared" si="7"/>
        <v>108</v>
      </c>
      <c r="V28" s="13">
        <f t="shared" si="7"/>
        <v>94</v>
      </c>
      <c r="W28" s="13">
        <f t="shared" si="7"/>
        <v>106</v>
      </c>
      <c r="X28" s="13">
        <f t="shared" si="7"/>
        <v>91</v>
      </c>
      <c r="Y28" s="13">
        <f t="shared" si="7"/>
        <v>83</v>
      </c>
      <c r="Z28" s="13">
        <f t="shared" si="7"/>
        <v>103</v>
      </c>
      <c r="AA28" s="13">
        <f t="shared" si="3"/>
        <v>2202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127</v>
      </c>
      <c r="F29" s="13">
        <f t="shared" si="8"/>
        <v>100</v>
      </c>
      <c r="G29" s="13">
        <f t="shared" si="8"/>
        <v>96</v>
      </c>
      <c r="H29" s="13">
        <f t="shared" si="8"/>
        <v>118</v>
      </c>
      <c r="I29" s="13">
        <f t="shared" si="8"/>
        <v>83</v>
      </c>
      <c r="J29" s="13">
        <f t="shared" si="8"/>
        <v>121</v>
      </c>
      <c r="K29" s="13">
        <f t="shared" si="8"/>
        <v>106</v>
      </c>
      <c r="L29" s="13">
        <f t="shared" si="8"/>
        <v>91</v>
      </c>
      <c r="M29" s="13">
        <f t="shared" si="8"/>
        <v>115</v>
      </c>
      <c r="N29" s="13">
        <f t="shared" si="8"/>
        <v>112</v>
      </c>
      <c r="O29" s="13">
        <f t="shared" si="8"/>
        <v>110</v>
      </c>
      <c r="P29" s="13">
        <f t="shared" si="8"/>
        <v>122</v>
      </c>
      <c r="Q29" s="13">
        <f t="shared" si="8"/>
        <v>114</v>
      </c>
      <c r="R29" s="13">
        <f t="shared" si="8"/>
        <v>112</v>
      </c>
      <c r="S29" s="13">
        <f t="shared" si="8"/>
        <v>115</v>
      </c>
      <c r="T29" s="13">
        <f t="shared" si="8"/>
        <v>126</v>
      </c>
      <c r="U29" s="13">
        <f t="shared" si="8"/>
        <v>118</v>
      </c>
      <c r="V29" s="13">
        <f t="shared" si="8"/>
        <v>114</v>
      </c>
      <c r="W29" s="13">
        <f t="shared" si="8"/>
        <v>113</v>
      </c>
      <c r="X29" s="13">
        <f t="shared" si="8"/>
        <v>109</v>
      </c>
      <c r="Y29" s="13">
        <f t="shared" si="8"/>
        <v>103</v>
      </c>
      <c r="Z29" s="13">
        <f t="shared" si="8"/>
        <v>121</v>
      </c>
      <c r="AA29" s="13">
        <f t="shared" si="3"/>
        <v>2446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257</v>
      </c>
      <c r="F30" s="13">
        <f t="shared" si="9"/>
        <v>187</v>
      </c>
      <c r="G30" s="13">
        <f t="shared" si="9"/>
        <v>189</v>
      </c>
      <c r="H30" s="13">
        <f t="shared" si="9"/>
        <v>239</v>
      </c>
      <c r="I30" s="13">
        <f t="shared" si="9"/>
        <v>150</v>
      </c>
      <c r="J30" s="13">
        <f t="shared" si="9"/>
        <v>222</v>
      </c>
      <c r="K30" s="13">
        <f t="shared" si="9"/>
        <v>213</v>
      </c>
      <c r="L30" s="13">
        <f t="shared" si="9"/>
        <v>181</v>
      </c>
      <c r="M30" s="13">
        <f t="shared" si="9"/>
        <v>224</v>
      </c>
      <c r="N30" s="13">
        <f t="shared" si="9"/>
        <v>231</v>
      </c>
      <c r="O30" s="13">
        <f t="shared" si="9"/>
        <v>202</v>
      </c>
      <c r="P30" s="13">
        <f t="shared" si="9"/>
        <v>235</v>
      </c>
      <c r="Q30" s="13">
        <f t="shared" si="9"/>
        <v>204</v>
      </c>
      <c r="R30" s="13">
        <f t="shared" si="9"/>
        <v>212</v>
      </c>
      <c r="S30" s="13">
        <f t="shared" si="9"/>
        <v>200</v>
      </c>
      <c r="T30" s="13">
        <f t="shared" si="9"/>
        <v>239</v>
      </c>
      <c r="U30" s="13">
        <f t="shared" si="9"/>
        <v>226</v>
      </c>
      <c r="V30" s="13">
        <f t="shared" si="9"/>
        <v>208</v>
      </c>
      <c r="W30" s="13">
        <f t="shared" si="9"/>
        <v>219</v>
      </c>
      <c r="X30" s="13">
        <f t="shared" si="9"/>
        <v>200</v>
      </c>
      <c r="Y30" s="13">
        <f t="shared" si="9"/>
        <v>186</v>
      </c>
      <c r="Z30" s="13">
        <f t="shared" si="9"/>
        <v>224</v>
      </c>
      <c r="AA30" s="13">
        <f t="shared" si="3"/>
        <v>4648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75"/>
      <c r="W31" s="75"/>
      <c r="X31" s="75"/>
      <c r="Y31" s="75"/>
      <c r="Z31" s="19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77"/>
      <c r="W32" s="77"/>
      <c r="X32" s="77"/>
      <c r="Y32" s="77"/>
      <c r="Z32" s="13"/>
      <c r="AA32" s="76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260.0</v>
      </c>
      <c r="G33" s="19">
        <v>271.0</v>
      </c>
      <c r="H33" s="19">
        <v>298.0</v>
      </c>
      <c r="I33" s="19">
        <v>233.0</v>
      </c>
      <c r="J33" s="19">
        <v>272.0</v>
      </c>
      <c r="K33" s="19">
        <v>295.0</v>
      </c>
      <c r="L33" s="19">
        <v>243.0</v>
      </c>
      <c r="M33" s="19">
        <v>299.0</v>
      </c>
      <c r="N33" s="19">
        <v>295.0</v>
      </c>
      <c r="O33" s="19">
        <v>272.0</v>
      </c>
      <c r="P33" s="19">
        <v>303.0</v>
      </c>
      <c r="Q33" s="19">
        <v>301.0</v>
      </c>
      <c r="R33" s="19">
        <v>291.0</v>
      </c>
      <c r="S33" s="19">
        <v>259.0</v>
      </c>
      <c r="T33" s="19">
        <v>289.0</v>
      </c>
      <c r="U33" s="19">
        <v>296.0</v>
      </c>
      <c r="V33" s="19">
        <v>281.0</v>
      </c>
      <c r="W33" s="19">
        <v>295.0</v>
      </c>
      <c r="X33" s="19">
        <v>293.0</v>
      </c>
      <c r="Y33" s="19">
        <v>265.0</v>
      </c>
      <c r="Z33" s="19">
        <v>274.0</v>
      </c>
      <c r="AA33" s="13">
        <f t="shared" ref="AA33:AA36" si="10">SUM(E33:Z33)</f>
        <v>6173</v>
      </c>
    </row>
    <row r="34" ht="12.75" customHeight="1">
      <c r="A34" s="19">
        <v>2.0</v>
      </c>
      <c r="B34" s="20" t="s">
        <v>28</v>
      </c>
      <c r="C34" s="15"/>
      <c r="D34" s="16"/>
      <c r="E34" s="13">
        <v>257.0</v>
      </c>
      <c r="F34" s="13">
        <v>187.0</v>
      </c>
      <c r="G34" s="13">
        <v>189.0</v>
      </c>
      <c r="H34" s="13">
        <v>239.0</v>
      </c>
      <c r="I34" s="13">
        <v>150.0</v>
      </c>
      <c r="J34" s="13">
        <v>222.0</v>
      </c>
      <c r="K34" s="13">
        <v>213.0</v>
      </c>
      <c r="L34" s="13">
        <v>181.0</v>
      </c>
      <c r="M34" s="13">
        <v>224.0</v>
      </c>
      <c r="N34" s="13">
        <v>231.0</v>
      </c>
      <c r="O34" s="13">
        <v>202.0</v>
      </c>
      <c r="P34" s="13">
        <v>235.0</v>
      </c>
      <c r="Q34" s="13">
        <v>204.0</v>
      </c>
      <c r="R34" s="13">
        <v>212.0</v>
      </c>
      <c r="S34" s="13">
        <v>200.0</v>
      </c>
      <c r="T34" s="13">
        <v>239.0</v>
      </c>
      <c r="U34" s="13">
        <v>226.0</v>
      </c>
      <c r="V34" s="13">
        <v>208.0</v>
      </c>
      <c r="W34" s="13">
        <v>219.0</v>
      </c>
      <c r="X34" s="13">
        <v>200.0</v>
      </c>
      <c r="Y34" s="13">
        <v>186.0</v>
      </c>
      <c r="Z34" s="13">
        <v>224.0</v>
      </c>
      <c r="AA34" s="13">
        <f t="shared" si="10"/>
        <v>4648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31</v>
      </c>
      <c r="F36" s="13">
        <f t="shared" si="11"/>
        <v>73</v>
      </c>
      <c r="G36" s="13">
        <f t="shared" si="11"/>
        <v>79</v>
      </c>
      <c r="H36" s="13">
        <f t="shared" si="11"/>
        <v>59</v>
      </c>
      <c r="I36" s="13">
        <f t="shared" si="11"/>
        <v>83</v>
      </c>
      <c r="J36" s="13">
        <f t="shared" si="11"/>
        <v>50</v>
      </c>
      <c r="K36" s="13">
        <f t="shared" si="11"/>
        <v>81</v>
      </c>
      <c r="L36" s="13">
        <f t="shared" si="11"/>
        <v>62</v>
      </c>
      <c r="M36" s="13">
        <f t="shared" si="11"/>
        <v>75</v>
      </c>
      <c r="N36" s="13">
        <f t="shared" si="11"/>
        <v>64</v>
      </c>
      <c r="O36" s="13">
        <f t="shared" si="11"/>
        <v>70</v>
      </c>
      <c r="P36" s="13">
        <f t="shared" si="11"/>
        <v>68</v>
      </c>
      <c r="Q36" s="13">
        <f t="shared" si="11"/>
        <v>97</v>
      </c>
      <c r="R36" s="13">
        <f t="shared" si="11"/>
        <v>79</v>
      </c>
      <c r="S36" s="13">
        <f t="shared" si="11"/>
        <v>59</v>
      </c>
      <c r="T36" s="13">
        <f t="shared" si="11"/>
        <v>50</v>
      </c>
      <c r="U36" s="13">
        <f t="shared" si="11"/>
        <v>69</v>
      </c>
      <c r="V36" s="13">
        <f t="shared" si="11"/>
        <v>73</v>
      </c>
      <c r="W36" s="13">
        <f t="shared" si="11"/>
        <v>76</v>
      </c>
      <c r="X36" s="13">
        <f t="shared" si="11"/>
        <v>93</v>
      </c>
      <c r="Y36" s="13">
        <f t="shared" si="11"/>
        <v>79</v>
      </c>
      <c r="Z36" s="13">
        <f t="shared" si="11"/>
        <v>50</v>
      </c>
      <c r="AA36" s="13">
        <f t="shared" si="10"/>
        <v>1520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75"/>
      <c r="W37" s="78"/>
      <c r="X37" s="78"/>
      <c r="Y37" s="78"/>
      <c r="Z37" s="19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77"/>
      <c r="W38" s="77"/>
      <c r="X38" s="77"/>
      <c r="Y38" s="77"/>
      <c r="Z38" s="13"/>
      <c r="AA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75"/>
      <c r="W42" s="19"/>
      <c r="X42" s="75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77"/>
      <c r="W43" s="13"/>
      <c r="X43" s="77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75"/>
      <c r="W44" s="19"/>
      <c r="X44" s="75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12.0</v>
      </c>
      <c r="G45" s="19">
        <v>5.0</v>
      </c>
      <c r="H45" s="19">
        <v>4.0</v>
      </c>
      <c r="I45" s="19">
        <v>7.0</v>
      </c>
      <c r="J45" s="19">
        <v>6.0</v>
      </c>
      <c r="K45" s="19">
        <v>8.0</v>
      </c>
      <c r="L45" s="19">
        <v>10.0</v>
      </c>
      <c r="M45" s="19">
        <v>3.0</v>
      </c>
      <c r="N45" s="19">
        <v>6.0</v>
      </c>
      <c r="O45" s="19">
        <v>3.0</v>
      </c>
      <c r="P45" s="19">
        <v>11.0</v>
      </c>
      <c r="Q45" s="19">
        <v>6.0</v>
      </c>
      <c r="R45" s="19">
        <v>7.0</v>
      </c>
      <c r="S45" s="19">
        <v>7.0</v>
      </c>
      <c r="T45" s="19">
        <v>10.0</v>
      </c>
      <c r="U45" s="19">
        <v>10.0</v>
      </c>
      <c r="V45" s="19">
        <v>4.0</v>
      </c>
      <c r="W45" s="19">
        <v>7.0</v>
      </c>
      <c r="X45" s="19">
        <v>3.0</v>
      </c>
      <c r="Y45" s="19">
        <v>4.0</v>
      </c>
      <c r="Z45" s="19">
        <v>2.0</v>
      </c>
      <c r="AA45" s="13">
        <f t="shared" ref="AA45:AA54" si="14">SUM(E45:Z45)</f>
        <v>140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14.0</v>
      </c>
      <c r="G46" s="19">
        <v>5.0</v>
      </c>
      <c r="H46" s="19">
        <v>16.0</v>
      </c>
      <c r="I46" s="19">
        <v>10.0</v>
      </c>
      <c r="J46" s="19">
        <v>17.0</v>
      </c>
      <c r="K46" s="19">
        <v>23.0</v>
      </c>
      <c r="L46" s="19">
        <v>20.0</v>
      </c>
      <c r="M46" s="19">
        <v>26.0</v>
      </c>
      <c r="N46" s="19">
        <v>19.0</v>
      </c>
      <c r="O46" s="19">
        <v>8.0</v>
      </c>
      <c r="P46" s="19">
        <v>25.0</v>
      </c>
      <c r="Q46" s="19">
        <v>14.0</v>
      </c>
      <c r="R46" s="19">
        <v>16.0</v>
      </c>
      <c r="S46" s="19">
        <v>13.0</v>
      </c>
      <c r="T46" s="19">
        <v>20.0</v>
      </c>
      <c r="U46" s="19">
        <v>39.0</v>
      </c>
      <c r="V46" s="19">
        <v>6.0</v>
      </c>
      <c r="W46" s="19">
        <v>13.0</v>
      </c>
      <c r="X46" s="19">
        <v>6.0</v>
      </c>
      <c r="Y46" s="19">
        <v>10.0</v>
      </c>
      <c r="Z46" s="19">
        <v>7.0</v>
      </c>
      <c r="AA46" s="13">
        <f t="shared" si="14"/>
        <v>336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0.0</v>
      </c>
      <c r="G47" s="19">
        <v>0.0</v>
      </c>
      <c r="H47" s="19">
        <v>1.0</v>
      </c>
      <c r="I47" s="19">
        <v>1.0</v>
      </c>
      <c r="J47" s="19">
        <v>1.0</v>
      </c>
      <c r="K47" s="19">
        <v>1.0</v>
      </c>
      <c r="L47" s="19">
        <v>0.0</v>
      </c>
      <c r="M47" s="19">
        <v>2.0</v>
      </c>
      <c r="N47" s="19">
        <v>0.0</v>
      </c>
      <c r="O47" s="19">
        <v>0.0</v>
      </c>
      <c r="P47" s="19">
        <v>0.0</v>
      </c>
      <c r="Q47" s="19">
        <v>0.0</v>
      </c>
      <c r="R47" s="19">
        <v>2.0</v>
      </c>
      <c r="S47" s="19">
        <v>0.0</v>
      </c>
      <c r="T47" s="19">
        <v>6.0</v>
      </c>
      <c r="U47" s="19">
        <v>2.0</v>
      </c>
      <c r="V47" s="19">
        <v>3.0</v>
      </c>
      <c r="W47" s="19">
        <v>1.0</v>
      </c>
      <c r="X47" s="19">
        <v>0.0</v>
      </c>
      <c r="Y47" s="19">
        <v>0.0</v>
      </c>
      <c r="Z47" s="19">
        <v>0.0</v>
      </c>
      <c r="AA47" s="13">
        <f t="shared" si="14"/>
        <v>24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1.0</v>
      </c>
      <c r="J48" s="19">
        <v>1.0</v>
      </c>
      <c r="K48" s="19">
        <v>0.0</v>
      </c>
      <c r="L48" s="19">
        <v>1.0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1.0</v>
      </c>
      <c r="V48" s="19">
        <v>2.0</v>
      </c>
      <c r="W48" s="19">
        <v>0.0</v>
      </c>
      <c r="X48" s="19">
        <v>0.0</v>
      </c>
      <c r="Y48" s="19">
        <v>1.0</v>
      </c>
      <c r="Z48" s="19">
        <v>0.0</v>
      </c>
      <c r="AA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2.0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2.0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1.0</v>
      </c>
      <c r="S51" s="19">
        <v>3.0</v>
      </c>
      <c r="T51" s="19">
        <v>1.0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3">
        <f t="shared" si="14"/>
        <v>2</v>
      </c>
    </row>
    <row r="53" ht="12.75" customHeight="1">
      <c r="A53" s="18"/>
      <c r="B53" s="56"/>
      <c r="C53" s="57"/>
      <c r="D53" s="5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6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SUM(E45:E54)</f>
        <v>21</v>
      </c>
      <c r="F55" s="13">
        <f t="shared" si="15"/>
        <v>27</v>
      </c>
      <c r="G55" s="13">
        <f t="shared" si="15"/>
        <v>11</v>
      </c>
      <c r="H55" s="13">
        <f t="shared" si="15"/>
        <v>25</v>
      </c>
      <c r="I55" s="13">
        <f t="shared" si="15"/>
        <v>20</v>
      </c>
      <c r="J55" s="13">
        <f t="shared" si="15"/>
        <v>25</v>
      </c>
      <c r="K55" s="13">
        <f t="shared" si="15"/>
        <v>32</v>
      </c>
      <c r="L55" s="13">
        <f t="shared" si="15"/>
        <v>31</v>
      </c>
      <c r="M55" s="13">
        <f t="shared" si="15"/>
        <v>31</v>
      </c>
      <c r="N55" s="13">
        <f t="shared" si="15"/>
        <v>25</v>
      </c>
      <c r="O55" s="13">
        <f t="shared" si="15"/>
        <v>12</v>
      </c>
      <c r="P55" s="13">
        <f t="shared" si="15"/>
        <v>36</v>
      </c>
      <c r="Q55" s="13">
        <f t="shared" si="15"/>
        <v>21</v>
      </c>
      <c r="R55" s="13">
        <f t="shared" si="15"/>
        <v>28</v>
      </c>
      <c r="S55" s="13">
        <f t="shared" si="15"/>
        <v>24</v>
      </c>
      <c r="T55" s="13">
        <f t="shared" si="15"/>
        <v>37</v>
      </c>
      <c r="U55" s="13">
        <f t="shared" si="15"/>
        <v>56</v>
      </c>
      <c r="V55" s="13">
        <f t="shared" si="15"/>
        <v>15</v>
      </c>
      <c r="W55" s="13">
        <f t="shared" si="15"/>
        <v>21</v>
      </c>
      <c r="X55" s="13">
        <f t="shared" si="15"/>
        <v>9</v>
      </c>
      <c r="Y55" s="13">
        <f t="shared" si="15"/>
        <v>15</v>
      </c>
      <c r="Z55" s="13">
        <f t="shared" si="15"/>
        <v>10</v>
      </c>
      <c r="AA55" s="13">
        <f t="shared" si="15"/>
        <v>532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6.0</v>
      </c>
      <c r="G57" s="19">
        <v>14.0</v>
      </c>
      <c r="H57" s="19">
        <v>13.0</v>
      </c>
      <c r="I57" s="19">
        <v>8.0</v>
      </c>
      <c r="J57" s="19">
        <v>13.0</v>
      </c>
      <c r="K57" s="19">
        <v>13.0</v>
      </c>
      <c r="L57" s="19">
        <v>11.0</v>
      </c>
      <c r="M57" s="19">
        <v>2.0</v>
      </c>
      <c r="N57" s="19">
        <v>6.0</v>
      </c>
      <c r="O57" s="19">
        <v>11.0</v>
      </c>
      <c r="P57" s="19">
        <v>17.0</v>
      </c>
      <c r="Q57" s="19">
        <v>6.0</v>
      </c>
      <c r="R57" s="19">
        <v>15.0</v>
      </c>
      <c r="S57" s="19">
        <v>9.0</v>
      </c>
      <c r="T57" s="19">
        <v>7.0</v>
      </c>
      <c r="U57" s="19">
        <v>8.0</v>
      </c>
      <c r="V57" s="19">
        <v>5.0</v>
      </c>
      <c r="W57" s="19">
        <v>7.0</v>
      </c>
      <c r="X57" s="19">
        <v>13.0</v>
      </c>
      <c r="Y57" s="19">
        <v>6.0</v>
      </c>
      <c r="Z57" s="19">
        <v>8.0</v>
      </c>
      <c r="AA57" s="13">
        <f t="shared" ref="AA57:AA66" si="16">SUM(E57:Z57)</f>
        <v>204</v>
      </c>
    </row>
    <row r="58" ht="12.75" customHeight="1">
      <c r="A58" s="30" t="s">
        <v>39</v>
      </c>
      <c r="B58" s="55">
        <v>1.0</v>
      </c>
      <c r="C58" s="50" t="s">
        <v>49</v>
      </c>
      <c r="D58" s="61"/>
      <c r="E58" s="19">
        <v>16.0</v>
      </c>
      <c r="F58" s="19">
        <v>11.0</v>
      </c>
      <c r="G58" s="19">
        <v>18.0</v>
      </c>
      <c r="H58" s="19">
        <v>28.0</v>
      </c>
      <c r="I58" s="19">
        <v>4.0</v>
      </c>
      <c r="J58" s="19">
        <v>18.0</v>
      </c>
      <c r="K58" s="19">
        <v>8.0</v>
      </c>
      <c r="L58" s="19">
        <v>12.0</v>
      </c>
      <c r="M58" s="19">
        <v>8.0</v>
      </c>
      <c r="N58" s="19">
        <v>4.0</v>
      </c>
      <c r="O58" s="19">
        <v>9.0</v>
      </c>
      <c r="P58" s="19">
        <v>13.0</v>
      </c>
      <c r="Q58" s="19">
        <v>1.0</v>
      </c>
      <c r="R58" s="19">
        <v>6.0</v>
      </c>
      <c r="S58" s="19">
        <v>3.0</v>
      </c>
      <c r="T58" s="19">
        <v>4.0</v>
      </c>
      <c r="U58" s="19">
        <v>5.0</v>
      </c>
      <c r="V58" s="19">
        <v>8.0</v>
      </c>
      <c r="W58" s="19">
        <v>5.0</v>
      </c>
      <c r="X58" s="19">
        <v>10.0</v>
      </c>
      <c r="Y58" s="19">
        <v>11.0</v>
      </c>
      <c r="Z58" s="19">
        <v>14.0</v>
      </c>
      <c r="AA58" s="13">
        <f t="shared" si="16"/>
        <v>216</v>
      </c>
    </row>
    <row r="59" ht="12.75" customHeight="1">
      <c r="A59" s="18"/>
      <c r="B59" s="55">
        <v>2.0</v>
      </c>
      <c r="C59" s="50" t="s">
        <v>50</v>
      </c>
      <c r="D59" s="61"/>
      <c r="E59" s="19">
        <v>10.0</v>
      </c>
      <c r="F59" s="19">
        <v>4.0</v>
      </c>
      <c r="G59" s="19">
        <v>3.0</v>
      </c>
      <c r="H59" s="19">
        <v>12.0</v>
      </c>
      <c r="I59" s="19">
        <v>20.0</v>
      </c>
      <c r="J59" s="19">
        <v>8.0</v>
      </c>
      <c r="K59" s="19">
        <v>33.0</v>
      </c>
      <c r="L59" s="19">
        <v>5.0</v>
      </c>
      <c r="M59" s="19">
        <v>4.0</v>
      </c>
      <c r="N59" s="19">
        <v>6.0</v>
      </c>
      <c r="O59" s="19">
        <v>4.0</v>
      </c>
      <c r="P59" s="19">
        <v>50.0</v>
      </c>
      <c r="Q59" s="19">
        <v>4.0</v>
      </c>
      <c r="R59" s="19">
        <v>10.0</v>
      </c>
      <c r="S59" s="19">
        <v>16.0</v>
      </c>
      <c r="T59" s="19">
        <v>5.0</v>
      </c>
      <c r="U59" s="19">
        <v>6.0</v>
      </c>
      <c r="V59" s="19">
        <v>11.0</v>
      </c>
      <c r="W59" s="19">
        <v>10.0</v>
      </c>
      <c r="X59" s="19">
        <v>54.0</v>
      </c>
      <c r="Y59" s="19">
        <v>39.0</v>
      </c>
      <c r="Z59" s="19">
        <v>6.0</v>
      </c>
      <c r="AA59" s="13">
        <f t="shared" si="16"/>
        <v>320</v>
      </c>
    </row>
    <row r="60" ht="12.75" customHeight="1">
      <c r="A60" s="18"/>
      <c r="B60" s="55">
        <v>3.0</v>
      </c>
      <c r="C60" s="50" t="s">
        <v>51</v>
      </c>
      <c r="D60" s="61"/>
      <c r="E60" s="19">
        <v>1.0</v>
      </c>
      <c r="F60" s="19">
        <v>0.0</v>
      </c>
      <c r="G60" s="19">
        <v>0.0</v>
      </c>
      <c r="H60" s="19">
        <v>2.0</v>
      </c>
      <c r="I60" s="19">
        <v>1.0</v>
      </c>
      <c r="J60" s="19">
        <v>2.0</v>
      </c>
      <c r="K60" s="19">
        <v>0.0</v>
      </c>
      <c r="L60" s="19">
        <v>1.0</v>
      </c>
      <c r="M60" s="19">
        <v>0.0</v>
      </c>
      <c r="N60" s="19">
        <v>1.0</v>
      </c>
      <c r="O60" s="19">
        <v>1.0</v>
      </c>
      <c r="P60" s="19">
        <v>0.0</v>
      </c>
      <c r="Q60" s="19">
        <v>0.0</v>
      </c>
      <c r="R60" s="19">
        <v>1.0</v>
      </c>
      <c r="S60" s="19">
        <v>2.0</v>
      </c>
      <c r="T60" s="19">
        <v>0.0</v>
      </c>
      <c r="U60" s="19">
        <v>1.0</v>
      </c>
      <c r="V60" s="19">
        <v>2.0</v>
      </c>
      <c r="W60" s="19">
        <v>0.0</v>
      </c>
      <c r="X60" s="19">
        <v>2.0</v>
      </c>
      <c r="Y60" s="19">
        <v>0.0</v>
      </c>
      <c r="Z60" s="19">
        <v>0.0</v>
      </c>
      <c r="AA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61"/>
      <c r="E61" s="19">
        <v>1.0</v>
      </c>
      <c r="F61" s="19">
        <v>4.0</v>
      </c>
      <c r="G61" s="19">
        <v>3.0</v>
      </c>
      <c r="H61" s="19">
        <v>2.0</v>
      </c>
      <c r="I61" s="19">
        <v>1.0</v>
      </c>
      <c r="J61" s="19">
        <v>2.0</v>
      </c>
      <c r="K61" s="19">
        <v>3.0</v>
      </c>
      <c r="L61" s="19">
        <v>4.0</v>
      </c>
      <c r="M61" s="19">
        <v>0.0</v>
      </c>
      <c r="N61" s="19">
        <v>2.0</v>
      </c>
      <c r="O61" s="19">
        <v>2.0</v>
      </c>
      <c r="P61" s="19">
        <v>4.0</v>
      </c>
      <c r="Q61" s="19">
        <v>3.0</v>
      </c>
      <c r="R61" s="19">
        <v>0.0</v>
      </c>
      <c r="S61" s="19">
        <v>1.0</v>
      </c>
      <c r="T61" s="19">
        <v>2.0</v>
      </c>
      <c r="U61" s="19">
        <v>1.0</v>
      </c>
      <c r="V61" s="19">
        <v>4.0</v>
      </c>
      <c r="W61" s="19">
        <v>1.0</v>
      </c>
      <c r="X61" s="19">
        <v>1.0</v>
      </c>
      <c r="Y61" s="19">
        <v>2.0</v>
      </c>
      <c r="Z61" s="19">
        <v>5.0</v>
      </c>
      <c r="AA61" s="13">
        <f t="shared" si="16"/>
        <v>48</v>
      </c>
    </row>
    <row r="62" ht="12.75" customHeight="1">
      <c r="A62" s="18"/>
      <c r="B62" s="55">
        <v>5.0</v>
      </c>
      <c r="C62" s="50" t="s">
        <v>53</v>
      </c>
      <c r="D62" s="61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3.0</v>
      </c>
      <c r="X62" s="19">
        <v>0.0</v>
      </c>
      <c r="Y62" s="19">
        <v>2.0</v>
      </c>
      <c r="Z62" s="19">
        <v>0.0</v>
      </c>
      <c r="AA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62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1.0</v>
      </c>
      <c r="N63" s="19">
        <v>2.0</v>
      </c>
      <c r="O63" s="19">
        <v>0.0</v>
      </c>
      <c r="P63" s="19">
        <v>2.0</v>
      </c>
      <c r="Q63" s="19">
        <v>1.0</v>
      </c>
      <c r="R63" s="19">
        <v>0.0</v>
      </c>
      <c r="S63" s="19">
        <v>0.0</v>
      </c>
      <c r="T63" s="19">
        <v>0.0</v>
      </c>
      <c r="U63" s="19">
        <v>1.0</v>
      </c>
      <c r="V63" s="19">
        <v>2.0</v>
      </c>
      <c r="W63" s="19">
        <v>1.0</v>
      </c>
      <c r="X63" s="19">
        <v>0.0</v>
      </c>
      <c r="Y63" s="19">
        <v>0.0</v>
      </c>
      <c r="Z63" s="19">
        <v>1.0</v>
      </c>
      <c r="AA63" s="13">
        <f t="shared" si="16"/>
        <v>13</v>
      </c>
    </row>
    <row r="64" ht="12.75" customHeight="1">
      <c r="A64" s="18"/>
      <c r="B64" s="55">
        <v>7.0</v>
      </c>
      <c r="C64" s="50" t="s">
        <v>55</v>
      </c>
      <c r="D64" s="61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1.0</v>
      </c>
      <c r="M64" s="19">
        <v>1.0</v>
      </c>
      <c r="N64" s="19">
        <v>0.0</v>
      </c>
      <c r="O64" s="19">
        <v>0.0</v>
      </c>
      <c r="P64" s="19">
        <v>1.0</v>
      </c>
      <c r="Q64" s="19">
        <v>1.0</v>
      </c>
      <c r="R64" s="19">
        <v>0.0</v>
      </c>
      <c r="S64" s="19">
        <v>5.0</v>
      </c>
      <c r="T64" s="19">
        <v>0.0</v>
      </c>
      <c r="U64" s="19">
        <v>1.0</v>
      </c>
      <c r="V64" s="19">
        <v>0.0</v>
      </c>
      <c r="W64" s="19">
        <v>1.0</v>
      </c>
      <c r="X64" s="19">
        <v>0.0</v>
      </c>
      <c r="Y64" s="19">
        <v>1.0</v>
      </c>
      <c r="Z64" s="19">
        <v>0.0</v>
      </c>
      <c r="AA64" s="13">
        <f t="shared" si="16"/>
        <v>13</v>
      </c>
    </row>
    <row r="65" ht="12.75" customHeight="1">
      <c r="A65" s="18"/>
      <c r="B65" s="56"/>
      <c r="C65" s="57"/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SUM(E57:E66)</f>
        <v>35</v>
      </c>
      <c r="F67" s="13">
        <f t="shared" si="17"/>
        <v>25</v>
      </c>
      <c r="G67" s="13">
        <f t="shared" si="17"/>
        <v>38</v>
      </c>
      <c r="H67" s="13">
        <f t="shared" si="17"/>
        <v>57</v>
      </c>
      <c r="I67" s="13">
        <f t="shared" si="17"/>
        <v>36</v>
      </c>
      <c r="J67" s="13">
        <f t="shared" si="17"/>
        <v>43</v>
      </c>
      <c r="K67" s="13">
        <f t="shared" si="17"/>
        <v>58</v>
      </c>
      <c r="L67" s="13">
        <f t="shared" si="17"/>
        <v>34</v>
      </c>
      <c r="M67" s="13">
        <f t="shared" si="17"/>
        <v>16</v>
      </c>
      <c r="N67" s="13">
        <f t="shared" si="17"/>
        <v>21</v>
      </c>
      <c r="O67" s="13">
        <f t="shared" si="17"/>
        <v>27</v>
      </c>
      <c r="P67" s="13">
        <f t="shared" si="17"/>
        <v>88</v>
      </c>
      <c r="Q67" s="13">
        <f t="shared" si="17"/>
        <v>16</v>
      </c>
      <c r="R67" s="13">
        <f t="shared" si="17"/>
        <v>32</v>
      </c>
      <c r="S67" s="13">
        <f t="shared" si="17"/>
        <v>36</v>
      </c>
      <c r="T67" s="13">
        <f t="shared" si="17"/>
        <v>18</v>
      </c>
      <c r="U67" s="13">
        <f t="shared" si="17"/>
        <v>23</v>
      </c>
      <c r="V67" s="13">
        <f t="shared" si="17"/>
        <v>32</v>
      </c>
      <c r="W67" s="13">
        <f t="shared" si="17"/>
        <v>28</v>
      </c>
      <c r="X67" s="13">
        <f t="shared" si="17"/>
        <v>80</v>
      </c>
      <c r="Y67" s="13">
        <f t="shared" si="17"/>
        <v>61</v>
      </c>
      <c r="Z67" s="13">
        <f t="shared" si="17"/>
        <v>34</v>
      </c>
      <c r="AA67" s="13">
        <f t="shared" si="17"/>
        <v>838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19.0</v>
      </c>
      <c r="G69" s="19">
        <v>19.0</v>
      </c>
      <c r="H69" s="19">
        <v>7.0</v>
      </c>
      <c r="I69" s="19">
        <v>6.0</v>
      </c>
      <c r="J69" s="19">
        <v>12.0</v>
      </c>
      <c r="K69" s="19">
        <v>4.0</v>
      </c>
      <c r="L69" s="19">
        <v>7.0</v>
      </c>
      <c r="M69" s="19">
        <v>17.0</v>
      </c>
      <c r="N69" s="19">
        <v>14.0</v>
      </c>
      <c r="O69" s="19">
        <v>15.0</v>
      </c>
      <c r="P69" s="19">
        <v>7.0</v>
      </c>
      <c r="Q69" s="19">
        <v>25.0</v>
      </c>
      <c r="R69" s="19">
        <v>20.0</v>
      </c>
      <c r="S69" s="19">
        <v>12.0</v>
      </c>
      <c r="T69" s="19">
        <v>21.0</v>
      </c>
      <c r="U69" s="19">
        <v>27.0</v>
      </c>
      <c r="V69" s="19">
        <v>21.0</v>
      </c>
      <c r="W69" s="19">
        <v>13.0</v>
      </c>
      <c r="X69" s="19">
        <v>6.0</v>
      </c>
      <c r="Y69" s="19">
        <v>19.0</v>
      </c>
      <c r="Z69" s="19">
        <v>15.0</v>
      </c>
      <c r="AA69" s="13">
        <f t="shared" ref="AA69:AA78" si="18">SUM(E69:Z69)</f>
        <v>315</v>
      </c>
    </row>
    <row r="70" ht="12.75" customHeight="1">
      <c r="A70" s="30" t="s">
        <v>39</v>
      </c>
      <c r="B70" s="55">
        <v>1.0</v>
      </c>
      <c r="C70" s="50" t="s">
        <v>57</v>
      </c>
      <c r="D70" s="62"/>
      <c r="E70" s="19">
        <v>67.0</v>
      </c>
      <c r="F70" s="19">
        <v>23.0</v>
      </c>
      <c r="G70" s="19">
        <v>15.0</v>
      </c>
      <c r="H70" s="19">
        <v>13.0</v>
      </c>
      <c r="I70" s="19">
        <v>13.0</v>
      </c>
      <c r="J70" s="19">
        <v>14.0</v>
      </c>
      <c r="K70" s="19">
        <v>25.0</v>
      </c>
      <c r="L70" s="19">
        <v>25.0</v>
      </c>
      <c r="M70" s="19">
        <v>15.0</v>
      </c>
      <c r="N70" s="19">
        <v>7.0</v>
      </c>
      <c r="O70" s="19">
        <v>10.0</v>
      </c>
      <c r="P70" s="19">
        <v>15.0</v>
      </c>
      <c r="Q70" s="19">
        <v>42.0</v>
      </c>
      <c r="R70" s="19">
        <v>13.0</v>
      </c>
      <c r="S70" s="19">
        <v>37.0</v>
      </c>
      <c r="T70" s="19">
        <v>74.0</v>
      </c>
      <c r="U70" s="19">
        <v>38.0</v>
      </c>
      <c r="V70" s="19">
        <v>24.0</v>
      </c>
      <c r="W70" s="19">
        <v>36.0</v>
      </c>
      <c r="X70" s="19">
        <v>28.0</v>
      </c>
      <c r="Y70" s="19">
        <v>16.0</v>
      </c>
      <c r="Z70" s="19">
        <v>69.0</v>
      </c>
      <c r="AA70" s="13">
        <f t="shared" si="18"/>
        <v>619</v>
      </c>
    </row>
    <row r="71" ht="12.75" customHeight="1">
      <c r="A71" s="18"/>
      <c r="B71" s="55">
        <v>2.0</v>
      </c>
      <c r="C71" s="50" t="s">
        <v>58</v>
      </c>
      <c r="D71" s="62"/>
      <c r="E71" s="19">
        <v>4.0</v>
      </c>
      <c r="F71" s="19">
        <v>1.0</v>
      </c>
      <c r="G71" s="19">
        <v>5.0</v>
      </c>
      <c r="H71" s="19">
        <v>4.0</v>
      </c>
      <c r="I71" s="19">
        <v>0.0</v>
      </c>
      <c r="J71" s="19">
        <v>2.0</v>
      </c>
      <c r="K71" s="19">
        <v>1.0</v>
      </c>
      <c r="L71" s="19">
        <v>2.0</v>
      </c>
      <c r="M71" s="19">
        <v>1.0</v>
      </c>
      <c r="N71" s="19">
        <v>1.0</v>
      </c>
      <c r="O71" s="19">
        <v>43.0</v>
      </c>
      <c r="P71" s="19">
        <v>1.0</v>
      </c>
      <c r="Q71" s="19">
        <v>1.0</v>
      </c>
      <c r="R71" s="19">
        <v>1.0</v>
      </c>
      <c r="S71" s="19">
        <v>0.0</v>
      </c>
      <c r="T71" s="19">
        <v>2.0</v>
      </c>
      <c r="U71" s="19">
        <v>4.0</v>
      </c>
      <c r="V71" s="19">
        <v>2.0</v>
      </c>
      <c r="W71" s="19">
        <v>2.0</v>
      </c>
      <c r="X71" s="19">
        <v>2.0</v>
      </c>
      <c r="Y71" s="19">
        <v>1.0</v>
      </c>
      <c r="Z71" s="19">
        <v>1.0</v>
      </c>
      <c r="AA71" s="13">
        <f t="shared" si="18"/>
        <v>81</v>
      </c>
    </row>
    <row r="72" ht="12.75" customHeight="1">
      <c r="A72" s="18"/>
      <c r="B72" s="55">
        <v>3.0</v>
      </c>
      <c r="C72" s="50" t="s">
        <v>59</v>
      </c>
      <c r="D72" s="62"/>
      <c r="E72" s="19">
        <v>16.0</v>
      </c>
      <c r="F72" s="19">
        <v>15.0</v>
      </c>
      <c r="G72" s="19">
        <v>24.0</v>
      </c>
      <c r="H72" s="19">
        <v>5.0</v>
      </c>
      <c r="I72" s="19">
        <v>7.0</v>
      </c>
      <c r="J72" s="19">
        <v>7.0</v>
      </c>
      <c r="K72" s="19">
        <v>5.0</v>
      </c>
      <c r="L72" s="19">
        <v>6.0</v>
      </c>
      <c r="M72" s="19">
        <v>41.0</v>
      </c>
      <c r="N72" s="19">
        <v>31.0</v>
      </c>
      <c r="O72" s="19">
        <v>1.0</v>
      </c>
      <c r="P72" s="19">
        <v>9.0</v>
      </c>
      <c r="Q72" s="19">
        <v>6.0</v>
      </c>
      <c r="R72" s="19">
        <v>4.0</v>
      </c>
      <c r="S72" s="19">
        <v>11.0</v>
      </c>
      <c r="T72" s="19">
        <v>12.0</v>
      </c>
      <c r="U72" s="19">
        <v>11.0</v>
      </c>
      <c r="V72" s="19">
        <v>12.0</v>
      </c>
      <c r="W72" s="19">
        <v>6.0</v>
      </c>
      <c r="X72" s="19">
        <v>6.0</v>
      </c>
      <c r="Y72" s="19">
        <v>8.0</v>
      </c>
      <c r="Z72" s="19">
        <v>11.0</v>
      </c>
      <c r="AA72" s="13">
        <f t="shared" si="18"/>
        <v>254</v>
      </c>
    </row>
    <row r="73" ht="12.75" customHeight="1">
      <c r="A73" s="18"/>
      <c r="B73" s="55">
        <v>4.0</v>
      </c>
      <c r="C73" s="50" t="s">
        <v>60</v>
      </c>
      <c r="D73" s="62"/>
      <c r="E73" s="19">
        <v>0.0</v>
      </c>
      <c r="F73" s="19">
        <v>0.0</v>
      </c>
      <c r="G73" s="19">
        <v>3.0</v>
      </c>
      <c r="H73" s="19">
        <v>2.0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4.0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2.0</v>
      </c>
      <c r="V73" s="19">
        <v>0.0</v>
      </c>
      <c r="W73" s="19">
        <v>1.0</v>
      </c>
      <c r="X73" s="19">
        <v>0.0</v>
      </c>
      <c r="Y73" s="19">
        <v>1.0</v>
      </c>
      <c r="Z73" s="19">
        <v>1.0</v>
      </c>
      <c r="AA73" s="13">
        <f t="shared" si="18"/>
        <v>15</v>
      </c>
    </row>
    <row r="74" ht="12.75" customHeight="1">
      <c r="A74" s="18"/>
      <c r="B74" s="55">
        <v>5.0</v>
      </c>
      <c r="C74" s="50" t="s">
        <v>61</v>
      </c>
      <c r="D74" s="62"/>
      <c r="E74" s="19">
        <v>2.0</v>
      </c>
      <c r="F74" s="19">
        <v>3.0</v>
      </c>
      <c r="G74" s="19">
        <v>21.0</v>
      </c>
      <c r="H74" s="19">
        <v>2.0</v>
      </c>
      <c r="I74" s="19">
        <v>3.0</v>
      </c>
      <c r="J74" s="19">
        <v>1.0</v>
      </c>
      <c r="K74" s="19">
        <v>1.0</v>
      </c>
      <c r="L74" s="19">
        <v>0.0</v>
      </c>
      <c r="M74" s="19">
        <v>2.0</v>
      </c>
      <c r="N74" s="19">
        <v>0.0</v>
      </c>
      <c r="O74" s="19">
        <v>0.0</v>
      </c>
      <c r="P74" s="19">
        <v>0.0</v>
      </c>
      <c r="Q74" s="19">
        <v>5.0</v>
      </c>
      <c r="R74" s="19">
        <v>21.0</v>
      </c>
      <c r="S74" s="19">
        <v>3.0</v>
      </c>
      <c r="T74" s="19">
        <v>4.0</v>
      </c>
      <c r="U74" s="19">
        <v>4.0</v>
      </c>
      <c r="V74" s="19">
        <v>7.0</v>
      </c>
      <c r="W74" s="19">
        <v>0.0</v>
      </c>
      <c r="X74" s="19">
        <v>0.0</v>
      </c>
      <c r="Y74" s="19">
        <v>2.0</v>
      </c>
      <c r="Z74" s="19">
        <v>10.0</v>
      </c>
      <c r="AA74" s="13">
        <f t="shared" si="18"/>
        <v>91</v>
      </c>
    </row>
    <row r="75" ht="12.75" customHeight="1">
      <c r="A75" s="18"/>
      <c r="B75" s="55">
        <v>6.0</v>
      </c>
      <c r="C75" s="50" t="s">
        <v>62</v>
      </c>
      <c r="D75" s="62"/>
      <c r="E75" s="19">
        <v>0.0</v>
      </c>
      <c r="F75" s="19">
        <v>0.0</v>
      </c>
      <c r="G75" s="19">
        <v>2.0</v>
      </c>
      <c r="H75" s="19">
        <v>1.0</v>
      </c>
      <c r="I75" s="19">
        <v>0.0</v>
      </c>
      <c r="J75" s="19">
        <v>1.0</v>
      </c>
      <c r="K75" s="19">
        <v>0.0</v>
      </c>
      <c r="L75" s="19">
        <v>0.0</v>
      </c>
      <c r="M75" s="19">
        <v>1.0</v>
      </c>
      <c r="N75" s="19">
        <v>1.0</v>
      </c>
      <c r="O75" s="19">
        <v>0.0</v>
      </c>
      <c r="P75" s="19">
        <v>1.0</v>
      </c>
      <c r="Q75" s="19">
        <v>2.0</v>
      </c>
      <c r="R75" s="19">
        <v>1.0</v>
      </c>
      <c r="S75" s="19">
        <v>0.0</v>
      </c>
      <c r="T75" s="19">
        <v>1.0</v>
      </c>
      <c r="U75" s="19">
        <v>2.0</v>
      </c>
      <c r="V75" s="19">
        <v>0.0</v>
      </c>
      <c r="W75" s="19">
        <v>0.0</v>
      </c>
      <c r="X75" s="19">
        <v>0.0</v>
      </c>
      <c r="Y75" s="19">
        <v>1.0</v>
      </c>
      <c r="Z75" s="19">
        <v>1.0</v>
      </c>
      <c r="AA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62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0.0</v>
      </c>
      <c r="M76" s="19">
        <v>0.0</v>
      </c>
      <c r="N76" s="19">
        <v>3.0</v>
      </c>
      <c r="O76" s="19">
        <v>0.0</v>
      </c>
      <c r="P76" s="19">
        <v>1.0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1.0</v>
      </c>
      <c r="Y76" s="19">
        <v>0.0</v>
      </c>
      <c r="Z76" s="19">
        <v>0.0</v>
      </c>
      <c r="AA76" s="13">
        <f t="shared" si="18"/>
        <v>6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SUM(E69:E78)</f>
        <v>98</v>
      </c>
      <c r="F79" s="13">
        <f t="shared" si="19"/>
        <v>61</v>
      </c>
      <c r="G79" s="13">
        <f t="shared" si="19"/>
        <v>89</v>
      </c>
      <c r="H79" s="13">
        <f t="shared" si="19"/>
        <v>34</v>
      </c>
      <c r="I79" s="13">
        <f t="shared" si="19"/>
        <v>30</v>
      </c>
      <c r="J79" s="13">
        <f t="shared" si="19"/>
        <v>37</v>
      </c>
      <c r="K79" s="13">
        <f t="shared" si="19"/>
        <v>37</v>
      </c>
      <c r="L79" s="13">
        <f t="shared" si="19"/>
        <v>40</v>
      </c>
      <c r="M79" s="13">
        <f t="shared" si="19"/>
        <v>77</v>
      </c>
      <c r="N79" s="13">
        <f t="shared" si="19"/>
        <v>57</v>
      </c>
      <c r="O79" s="13">
        <f t="shared" si="19"/>
        <v>73</v>
      </c>
      <c r="P79" s="13">
        <f t="shared" si="19"/>
        <v>34</v>
      </c>
      <c r="Q79" s="13">
        <f t="shared" si="19"/>
        <v>81</v>
      </c>
      <c r="R79" s="13">
        <f t="shared" si="19"/>
        <v>60</v>
      </c>
      <c r="S79" s="13">
        <f t="shared" si="19"/>
        <v>63</v>
      </c>
      <c r="T79" s="13">
        <f t="shared" si="19"/>
        <v>114</v>
      </c>
      <c r="U79" s="13">
        <f t="shared" si="19"/>
        <v>88</v>
      </c>
      <c r="V79" s="13">
        <f t="shared" si="19"/>
        <v>66</v>
      </c>
      <c r="W79" s="13">
        <f t="shared" si="19"/>
        <v>58</v>
      </c>
      <c r="X79" s="13">
        <f t="shared" si="19"/>
        <v>43</v>
      </c>
      <c r="Y79" s="13">
        <f t="shared" si="19"/>
        <v>48</v>
      </c>
      <c r="Z79" s="13">
        <f t="shared" si="19"/>
        <v>108</v>
      </c>
      <c r="AA79" s="13">
        <f t="shared" si="19"/>
        <v>1396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12.0</v>
      </c>
      <c r="G81" s="19">
        <v>5.0</v>
      </c>
      <c r="H81" s="19">
        <v>12.0</v>
      </c>
      <c r="I81" s="19">
        <v>6.0</v>
      </c>
      <c r="J81" s="19">
        <v>8.0</v>
      </c>
      <c r="K81" s="19">
        <v>3.0</v>
      </c>
      <c r="L81" s="19">
        <v>1.0</v>
      </c>
      <c r="M81" s="19">
        <v>4.0</v>
      </c>
      <c r="N81" s="19">
        <v>5.0</v>
      </c>
      <c r="O81" s="19">
        <v>4.0</v>
      </c>
      <c r="P81" s="19">
        <v>2.0</v>
      </c>
      <c r="Q81" s="19">
        <v>11.0</v>
      </c>
      <c r="R81" s="19">
        <v>9.0</v>
      </c>
      <c r="S81" s="19">
        <v>3.0</v>
      </c>
      <c r="T81" s="19">
        <v>0.0</v>
      </c>
      <c r="U81" s="19">
        <v>0.0</v>
      </c>
      <c r="V81" s="19">
        <v>2.0</v>
      </c>
      <c r="W81" s="19">
        <v>2.0</v>
      </c>
      <c r="X81" s="19">
        <v>1.0</v>
      </c>
      <c r="Y81" s="19">
        <v>2.0</v>
      </c>
      <c r="Z81" s="19">
        <v>2.0</v>
      </c>
      <c r="AA81" s="13">
        <f t="shared" ref="AA81:AA90" si="20">SUM(E81:Z81)</f>
        <v>101</v>
      </c>
    </row>
    <row r="82" ht="12.75" customHeight="1">
      <c r="A82" s="30" t="s">
        <v>39</v>
      </c>
      <c r="B82" s="55">
        <v>1.0</v>
      </c>
      <c r="C82" s="50" t="s">
        <v>65</v>
      </c>
      <c r="D82" s="62"/>
      <c r="E82" s="19">
        <v>36.0</v>
      </c>
      <c r="F82" s="19">
        <v>10.0</v>
      </c>
      <c r="G82" s="19">
        <v>2.0</v>
      </c>
      <c r="H82" s="19">
        <v>10.0</v>
      </c>
      <c r="I82" s="19">
        <v>4.0</v>
      </c>
      <c r="J82" s="19">
        <v>2.0</v>
      </c>
      <c r="K82" s="19">
        <v>14.0</v>
      </c>
      <c r="L82" s="19">
        <v>7.0</v>
      </c>
      <c r="M82" s="19">
        <v>22.0</v>
      </c>
      <c r="N82" s="19">
        <v>60.0</v>
      </c>
      <c r="O82" s="19">
        <v>12.0</v>
      </c>
      <c r="P82" s="19">
        <v>12.0</v>
      </c>
      <c r="Q82" s="19">
        <v>13.0</v>
      </c>
      <c r="R82" s="19">
        <v>8.0</v>
      </c>
      <c r="S82" s="19">
        <v>7.0</v>
      </c>
      <c r="T82" s="19">
        <v>6.0</v>
      </c>
      <c r="U82" s="19">
        <v>4.0</v>
      </c>
      <c r="V82" s="19">
        <v>23.0</v>
      </c>
      <c r="W82" s="19">
        <v>37.0</v>
      </c>
      <c r="X82" s="19">
        <v>6.0</v>
      </c>
      <c r="Y82" s="19">
        <v>4.0</v>
      </c>
      <c r="Z82" s="19">
        <v>8.0</v>
      </c>
      <c r="AA82" s="13">
        <f t="shared" si="20"/>
        <v>307</v>
      </c>
    </row>
    <row r="83" ht="12.75" customHeight="1">
      <c r="A83" s="18"/>
      <c r="B83" s="55">
        <v>2.0</v>
      </c>
      <c r="C83" s="50" t="s">
        <v>66</v>
      </c>
      <c r="D83" s="62"/>
      <c r="E83" s="19">
        <v>5.0</v>
      </c>
      <c r="F83" s="19">
        <v>13.0</v>
      </c>
      <c r="G83" s="19">
        <v>13.0</v>
      </c>
      <c r="H83" s="19">
        <v>25.0</v>
      </c>
      <c r="I83" s="19">
        <v>14.0</v>
      </c>
      <c r="J83" s="19">
        <v>26.0</v>
      </c>
      <c r="K83" s="19">
        <v>11.0</v>
      </c>
      <c r="L83" s="19">
        <v>9.0</v>
      </c>
      <c r="M83" s="19">
        <v>6.0</v>
      </c>
      <c r="N83" s="19">
        <v>5.0</v>
      </c>
      <c r="O83" s="19">
        <v>5.0</v>
      </c>
      <c r="P83" s="19">
        <v>6.0</v>
      </c>
      <c r="Q83" s="19">
        <v>21.0</v>
      </c>
      <c r="R83" s="19">
        <v>23.0</v>
      </c>
      <c r="S83" s="19">
        <v>13.0</v>
      </c>
      <c r="T83" s="19">
        <v>11.0</v>
      </c>
      <c r="U83" s="19">
        <v>2.0</v>
      </c>
      <c r="V83" s="19">
        <v>13.0</v>
      </c>
      <c r="W83" s="19">
        <v>12.0</v>
      </c>
      <c r="X83" s="19">
        <v>4.0</v>
      </c>
      <c r="Y83" s="19">
        <v>16.0</v>
      </c>
      <c r="Z83" s="19">
        <v>15.0</v>
      </c>
      <c r="AA83" s="13">
        <f t="shared" si="20"/>
        <v>268</v>
      </c>
    </row>
    <row r="84" ht="12.75" customHeight="1">
      <c r="A84" s="18"/>
      <c r="B84" s="55">
        <v>3.0</v>
      </c>
      <c r="C84" s="50" t="s">
        <v>67</v>
      </c>
      <c r="D84" s="62"/>
      <c r="E84" s="19">
        <v>0.0</v>
      </c>
      <c r="F84" s="19">
        <v>2.0</v>
      </c>
      <c r="G84" s="19">
        <v>1.0</v>
      </c>
      <c r="H84" s="19">
        <v>2.0</v>
      </c>
      <c r="I84" s="19">
        <v>0.0</v>
      </c>
      <c r="J84" s="19">
        <v>0.0</v>
      </c>
      <c r="K84" s="19">
        <v>0.0</v>
      </c>
      <c r="L84" s="19">
        <v>0.0</v>
      </c>
      <c r="M84" s="19">
        <v>2.0</v>
      </c>
      <c r="N84" s="19">
        <v>0.0</v>
      </c>
      <c r="O84" s="19">
        <v>1.0</v>
      </c>
      <c r="P84" s="19">
        <v>1.0</v>
      </c>
      <c r="Q84" s="19">
        <v>2.0</v>
      </c>
      <c r="R84" s="19">
        <v>0.0</v>
      </c>
      <c r="S84" s="19">
        <v>2.0</v>
      </c>
      <c r="T84" s="19">
        <v>0.0</v>
      </c>
      <c r="U84" s="19">
        <v>0.0</v>
      </c>
      <c r="V84" s="19">
        <v>0.0</v>
      </c>
      <c r="W84" s="19">
        <v>2.0</v>
      </c>
      <c r="X84" s="19">
        <v>0.0</v>
      </c>
      <c r="Y84" s="19">
        <v>0.0</v>
      </c>
      <c r="Z84" s="19">
        <v>0.0</v>
      </c>
      <c r="AA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62"/>
      <c r="E85" s="19">
        <v>0.0</v>
      </c>
      <c r="F85" s="19">
        <v>1.0</v>
      </c>
      <c r="G85" s="19">
        <v>0.0</v>
      </c>
      <c r="H85" s="19">
        <v>1.0</v>
      </c>
      <c r="I85" s="19">
        <v>1.0</v>
      </c>
      <c r="J85" s="19">
        <v>0.0</v>
      </c>
      <c r="K85" s="19">
        <v>1.0</v>
      </c>
      <c r="L85" s="19">
        <v>0.0</v>
      </c>
      <c r="M85" s="19">
        <v>0.0</v>
      </c>
      <c r="N85" s="19">
        <v>2.0</v>
      </c>
      <c r="O85" s="19">
        <v>2.0</v>
      </c>
      <c r="P85" s="19">
        <v>0.0</v>
      </c>
      <c r="Q85" s="19">
        <v>2.0</v>
      </c>
      <c r="R85" s="19">
        <v>0.0</v>
      </c>
      <c r="S85" s="19">
        <v>1.0</v>
      </c>
      <c r="T85" s="19">
        <v>0.0</v>
      </c>
      <c r="U85" s="19">
        <v>0.0</v>
      </c>
      <c r="V85" s="19">
        <v>0.0</v>
      </c>
      <c r="W85" s="19">
        <v>0.0</v>
      </c>
      <c r="X85" s="19">
        <v>2.0</v>
      </c>
      <c r="Y85" s="19">
        <v>0.0</v>
      </c>
      <c r="Z85" s="19">
        <v>0.0</v>
      </c>
      <c r="AA85" s="13">
        <f t="shared" si="20"/>
        <v>13</v>
      </c>
    </row>
    <row r="86" ht="12.75" customHeight="1">
      <c r="A86" s="18"/>
      <c r="B86" s="55">
        <v>5.0</v>
      </c>
      <c r="C86" s="50" t="s">
        <v>69</v>
      </c>
      <c r="D86" s="62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2.0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2.0</v>
      </c>
      <c r="X86" s="19">
        <v>0.0</v>
      </c>
      <c r="Y86" s="19">
        <v>0.0</v>
      </c>
      <c r="Z86" s="19">
        <v>0.0</v>
      </c>
      <c r="AA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2"/>
      <c r="E87" s="19">
        <v>0.0</v>
      </c>
      <c r="F87" s="19">
        <v>0.0</v>
      </c>
      <c r="G87" s="19">
        <v>1.0</v>
      </c>
      <c r="H87" s="19">
        <v>1.0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4.0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62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2.0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3">
        <f t="shared" si="20"/>
        <v>2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SUM(E81:E90)</f>
        <v>48</v>
      </c>
      <c r="F91" s="13">
        <f t="shared" si="21"/>
        <v>39</v>
      </c>
      <c r="G91" s="13">
        <f t="shared" si="21"/>
        <v>22</v>
      </c>
      <c r="H91" s="13">
        <f t="shared" si="21"/>
        <v>51</v>
      </c>
      <c r="I91" s="13">
        <f t="shared" si="21"/>
        <v>25</v>
      </c>
      <c r="J91" s="13">
        <f t="shared" si="21"/>
        <v>37</v>
      </c>
      <c r="K91" s="13">
        <f t="shared" si="21"/>
        <v>29</v>
      </c>
      <c r="L91" s="13">
        <f t="shared" si="21"/>
        <v>17</v>
      </c>
      <c r="M91" s="13">
        <f t="shared" si="21"/>
        <v>36</v>
      </c>
      <c r="N91" s="13">
        <f t="shared" si="21"/>
        <v>72</v>
      </c>
      <c r="O91" s="13">
        <f t="shared" si="21"/>
        <v>24</v>
      </c>
      <c r="P91" s="13">
        <f t="shared" si="21"/>
        <v>22</v>
      </c>
      <c r="Q91" s="13">
        <f t="shared" si="21"/>
        <v>49</v>
      </c>
      <c r="R91" s="13">
        <f t="shared" si="21"/>
        <v>44</v>
      </c>
      <c r="S91" s="13">
        <f t="shared" si="21"/>
        <v>28</v>
      </c>
      <c r="T91" s="13">
        <f t="shared" si="21"/>
        <v>17</v>
      </c>
      <c r="U91" s="13">
        <f t="shared" si="21"/>
        <v>6</v>
      </c>
      <c r="V91" s="13">
        <f t="shared" si="21"/>
        <v>38</v>
      </c>
      <c r="W91" s="13">
        <f t="shared" si="21"/>
        <v>55</v>
      </c>
      <c r="X91" s="13">
        <f t="shared" si="21"/>
        <v>13</v>
      </c>
      <c r="Y91" s="13">
        <f t="shared" si="21"/>
        <v>22</v>
      </c>
      <c r="Z91" s="13">
        <f t="shared" si="21"/>
        <v>25</v>
      </c>
      <c r="AA91" s="13">
        <f t="shared" si="21"/>
        <v>719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0.0</v>
      </c>
      <c r="G93" s="19">
        <v>0.0</v>
      </c>
      <c r="H93" s="19">
        <v>0.0</v>
      </c>
      <c r="I93" s="19">
        <v>1.0</v>
      </c>
      <c r="J93" s="19">
        <v>2.0</v>
      </c>
      <c r="K93" s="19">
        <v>2.0</v>
      </c>
      <c r="L93" s="19">
        <v>1.0</v>
      </c>
      <c r="M93" s="19">
        <v>3.0</v>
      </c>
      <c r="N93" s="19">
        <v>2.0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1.0</v>
      </c>
      <c r="V93" s="19">
        <v>2.0</v>
      </c>
      <c r="W93" s="19">
        <v>1.0</v>
      </c>
      <c r="X93" s="19">
        <v>1.0</v>
      </c>
      <c r="Y93" s="19">
        <v>0.0</v>
      </c>
      <c r="Z93" s="19">
        <v>1.0</v>
      </c>
      <c r="AA93" s="13">
        <f t="shared" ref="AA93:AA102" si="22">SUM(E93:Z93)</f>
        <v>21</v>
      </c>
    </row>
    <row r="94" ht="12.75" customHeight="1">
      <c r="A94" s="30" t="s">
        <v>39</v>
      </c>
      <c r="B94" s="55">
        <v>1.0</v>
      </c>
      <c r="C94" s="50" t="s">
        <v>74</v>
      </c>
      <c r="D94" s="62"/>
      <c r="E94" s="19">
        <v>10.0</v>
      </c>
      <c r="F94" s="19">
        <v>1.0</v>
      </c>
      <c r="G94" s="19">
        <v>0.0</v>
      </c>
      <c r="H94" s="19">
        <v>1.0</v>
      </c>
      <c r="I94" s="19">
        <v>2.0</v>
      </c>
      <c r="J94" s="19">
        <v>1.0</v>
      </c>
      <c r="K94" s="19">
        <v>0.0</v>
      </c>
      <c r="L94" s="19">
        <v>1.0</v>
      </c>
      <c r="M94" s="19">
        <v>4.0</v>
      </c>
      <c r="N94" s="19">
        <v>3.0</v>
      </c>
      <c r="O94" s="19">
        <v>0.0</v>
      </c>
      <c r="P94" s="19">
        <v>0.0</v>
      </c>
      <c r="Q94" s="19">
        <v>1.0</v>
      </c>
      <c r="R94" s="19">
        <v>1.0</v>
      </c>
      <c r="S94" s="19">
        <v>0.0</v>
      </c>
      <c r="T94" s="19">
        <v>1.0</v>
      </c>
      <c r="U94" s="19">
        <v>0.0</v>
      </c>
      <c r="V94" s="19">
        <v>0.0</v>
      </c>
      <c r="W94" s="19">
        <v>4.0</v>
      </c>
      <c r="X94" s="19">
        <v>4.0</v>
      </c>
      <c r="Y94" s="19">
        <v>0.0</v>
      </c>
      <c r="Z94" s="19">
        <v>4.0</v>
      </c>
      <c r="AA94" s="13">
        <f t="shared" si="22"/>
        <v>38</v>
      </c>
    </row>
    <row r="95" ht="12.75" customHeight="1">
      <c r="A95" s="18"/>
      <c r="B95" s="55">
        <v>2.0</v>
      </c>
      <c r="C95" s="50" t="s">
        <v>75</v>
      </c>
      <c r="D95" s="62"/>
      <c r="E95" s="19">
        <v>2.0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3">
        <f t="shared" si="22"/>
        <v>3</v>
      </c>
    </row>
    <row r="96" ht="12.75" customHeight="1">
      <c r="A96" s="18"/>
      <c r="B96" s="55">
        <v>3.0</v>
      </c>
      <c r="C96" s="50" t="s">
        <v>76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2"/>
      <c r="E97" s="19">
        <v>2.0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2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2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2"/>
      <c r="E100" s="19">
        <v>0.0</v>
      </c>
      <c r="F100" s="19">
        <v>1.0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1.0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3">
        <f t="shared" si="22"/>
        <v>4</v>
      </c>
    </row>
    <row r="101" ht="12.75" customHeight="1">
      <c r="A101" s="18"/>
      <c r="B101" s="56"/>
      <c r="C101" s="57"/>
      <c r="D101" s="5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5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SUM(E93:E102)</f>
        <v>18</v>
      </c>
      <c r="F103" s="13">
        <f t="shared" si="23"/>
        <v>2</v>
      </c>
      <c r="G103" s="13">
        <f t="shared" si="23"/>
        <v>0</v>
      </c>
      <c r="H103" s="13">
        <f t="shared" si="23"/>
        <v>1</v>
      </c>
      <c r="I103" s="13">
        <f t="shared" si="23"/>
        <v>4</v>
      </c>
      <c r="J103" s="13">
        <f t="shared" si="23"/>
        <v>3</v>
      </c>
      <c r="K103" s="13">
        <f t="shared" si="23"/>
        <v>2</v>
      </c>
      <c r="L103" s="13">
        <f t="shared" si="23"/>
        <v>2</v>
      </c>
      <c r="M103" s="13">
        <f t="shared" si="23"/>
        <v>8</v>
      </c>
      <c r="N103" s="13">
        <f t="shared" si="23"/>
        <v>6</v>
      </c>
      <c r="O103" s="13">
        <f t="shared" si="23"/>
        <v>0</v>
      </c>
      <c r="P103" s="13">
        <f t="shared" si="23"/>
        <v>0</v>
      </c>
      <c r="Q103" s="13">
        <f t="shared" si="23"/>
        <v>1</v>
      </c>
      <c r="R103" s="13">
        <f t="shared" si="23"/>
        <v>1</v>
      </c>
      <c r="S103" s="13">
        <f t="shared" si="23"/>
        <v>0</v>
      </c>
      <c r="T103" s="13">
        <f t="shared" si="23"/>
        <v>2</v>
      </c>
      <c r="U103" s="13">
        <f t="shared" si="23"/>
        <v>2</v>
      </c>
      <c r="V103" s="13">
        <f t="shared" si="23"/>
        <v>2</v>
      </c>
      <c r="W103" s="13">
        <f t="shared" si="23"/>
        <v>6</v>
      </c>
      <c r="X103" s="13">
        <f t="shared" si="23"/>
        <v>6</v>
      </c>
      <c r="Y103" s="13">
        <f t="shared" si="23"/>
        <v>1</v>
      </c>
      <c r="Z103" s="13">
        <f t="shared" si="23"/>
        <v>5</v>
      </c>
      <c r="AA103" s="13">
        <f t="shared" si="23"/>
        <v>72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2.0</v>
      </c>
      <c r="Z105" s="19">
        <v>0.0</v>
      </c>
      <c r="AA105" s="13">
        <f t="shared" ref="AA105:AA114" si="24">SUM(E105:Z105)</f>
        <v>7</v>
      </c>
    </row>
    <row r="106" ht="12.75" customHeight="1">
      <c r="A106" s="30" t="s">
        <v>39</v>
      </c>
      <c r="B106" s="55">
        <v>1.0</v>
      </c>
      <c r="C106" s="50" t="s">
        <v>83</v>
      </c>
      <c r="D106" s="62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1.0</v>
      </c>
      <c r="K106" s="19">
        <v>0.0</v>
      </c>
      <c r="L106" s="19">
        <v>0.0</v>
      </c>
      <c r="M106" s="19">
        <v>1.0</v>
      </c>
      <c r="N106" s="19">
        <v>1.0</v>
      </c>
      <c r="O106" s="19">
        <v>0.0</v>
      </c>
      <c r="P106" s="19">
        <v>0.0</v>
      </c>
      <c r="Q106" s="19">
        <v>2.0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2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2"/>
      <c r="E108" s="80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2"/>
      <c r="E109" s="80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2"/>
      <c r="E110" s="80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2"/>
      <c r="E111" s="80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2"/>
      <c r="E112" s="80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0</v>
      </c>
    </row>
    <row r="113" ht="12.75" customHeight="1">
      <c r="A113" s="18"/>
      <c r="B113" s="56"/>
      <c r="C113" s="57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5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2</v>
      </c>
      <c r="Z115" s="13">
        <f t="shared" si="25"/>
        <v>0</v>
      </c>
      <c r="AA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1.0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1.0</v>
      </c>
      <c r="AA117" s="13">
        <f t="shared" ref="AA117:AA126" si="26">SUM(E117:Z117)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2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2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2.0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2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1.0</v>
      </c>
      <c r="X120" s="19">
        <v>0.0</v>
      </c>
      <c r="Y120" s="19">
        <v>0.0</v>
      </c>
      <c r="Z120" s="19">
        <v>0.0</v>
      </c>
      <c r="AA120" s="13">
        <f t="shared" si="26"/>
        <v>1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60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60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60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60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A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3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2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10</v>
      </c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0.0</v>
      </c>
      <c r="J129" s="19">
        <v>0.0</v>
      </c>
      <c r="K129" s="19">
        <v>1.0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4.0</v>
      </c>
      <c r="U129" s="19">
        <v>1.0</v>
      </c>
      <c r="V129" s="19">
        <v>0.0</v>
      </c>
      <c r="W129" s="19">
        <v>2.0</v>
      </c>
      <c r="X129" s="19">
        <v>0.0</v>
      </c>
      <c r="Y129" s="19">
        <v>0.0</v>
      </c>
      <c r="Z129" s="19">
        <v>2.0</v>
      </c>
      <c r="AA129" s="13">
        <f t="shared" ref="AA129:AA138" si="28">SUM(E129:Z129)</f>
        <v>12</v>
      </c>
    </row>
    <row r="130" ht="12.75" customHeight="1">
      <c r="A130" s="30" t="s">
        <v>39</v>
      </c>
      <c r="B130" s="55">
        <v>1.0</v>
      </c>
      <c r="C130" s="50" t="s">
        <v>97</v>
      </c>
      <c r="D130" s="61"/>
      <c r="E130" s="19">
        <v>0.0</v>
      </c>
      <c r="F130" s="19">
        <v>0.0</v>
      </c>
      <c r="G130" s="19">
        <v>0.0</v>
      </c>
      <c r="H130" s="19">
        <v>1.0</v>
      </c>
      <c r="I130" s="19">
        <v>2.0</v>
      </c>
      <c r="J130" s="19">
        <v>1.0</v>
      </c>
      <c r="K130" s="19">
        <v>4.0</v>
      </c>
      <c r="L130" s="19">
        <v>2.0</v>
      </c>
      <c r="M130" s="19">
        <v>1.0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4.0</v>
      </c>
      <c r="U130" s="19">
        <v>1.0</v>
      </c>
      <c r="V130" s="19">
        <v>3.0</v>
      </c>
      <c r="W130" s="19">
        <v>1.0</v>
      </c>
      <c r="X130" s="19">
        <v>2.0</v>
      </c>
      <c r="Y130" s="19">
        <v>1.0</v>
      </c>
      <c r="Z130" s="19">
        <v>2.0</v>
      </c>
      <c r="AA130" s="13">
        <f t="shared" si="28"/>
        <v>25</v>
      </c>
    </row>
    <row r="131" ht="12.75" customHeight="1">
      <c r="A131" s="18"/>
      <c r="B131" s="55">
        <v>2.0</v>
      </c>
      <c r="C131" s="50" t="s">
        <v>98</v>
      </c>
      <c r="D131" s="61"/>
      <c r="E131" s="19">
        <v>0.0</v>
      </c>
      <c r="F131" s="19">
        <v>0.0</v>
      </c>
      <c r="G131" s="19">
        <v>0.0</v>
      </c>
      <c r="H131" s="19">
        <v>1.0</v>
      </c>
      <c r="I131" s="19">
        <v>1.0</v>
      </c>
      <c r="J131" s="19">
        <v>2.0</v>
      </c>
      <c r="K131" s="19">
        <v>1.0</v>
      </c>
      <c r="L131" s="19">
        <v>0.0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4.0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0.0</v>
      </c>
      <c r="Z131" s="19">
        <v>1.0</v>
      </c>
      <c r="AA131" s="13">
        <f t="shared" si="28"/>
        <v>13</v>
      </c>
    </row>
    <row r="132" ht="12.75" customHeight="1">
      <c r="A132" s="18"/>
      <c r="B132" s="55">
        <v>3.0</v>
      </c>
      <c r="C132" s="50" t="s">
        <v>99</v>
      </c>
      <c r="D132" s="6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6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6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2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1.0</v>
      </c>
      <c r="AA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61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1.0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1.0</v>
      </c>
      <c r="Y136" s="19">
        <v>0.0</v>
      </c>
      <c r="Z136" s="19">
        <v>0.0</v>
      </c>
      <c r="AA136" s="13">
        <f t="shared" si="28"/>
        <v>2</v>
      </c>
    </row>
    <row r="137" ht="12.75" customHeight="1">
      <c r="A137" s="18"/>
      <c r="B137" s="56"/>
      <c r="C137" s="57"/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3</v>
      </c>
      <c r="I139" s="13">
        <f t="shared" si="29"/>
        <v>3</v>
      </c>
      <c r="J139" s="13">
        <f t="shared" si="29"/>
        <v>4</v>
      </c>
      <c r="K139" s="13">
        <f t="shared" si="29"/>
        <v>6</v>
      </c>
      <c r="L139" s="13">
        <f t="shared" si="29"/>
        <v>4</v>
      </c>
      <c r="M139" s="13">
        <f t="shared" si="29"/>
        <v>2</v>
      </c>
      <c r="N139" s="13">
        <f t="shared" si="29"/>
        <v>1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4</v>
      </c>
      <c r="S139" s="13">
        <f t="shared" si="29"/>
        <v>0</v>
      </c>
      <c r="T139" s="13">
        <f t="shared" si="29"/>
        <v>8</v>
      </c>
      <c r="U139" s="13">
        <f t="shared" si="29"/>
        <v>2</v>
      </c>
      <c r="V139" s="13">
        <f t="shared" si="29"/>
        <v>4</v>
      </c>
      <c r="W139" s="13">
        <f t="shared" si="29"/>
        <v>3</v>
      </c>
      <c r="X139" s="13">
        <f t="shared" si="29"/>
        <v>3</v>
      </c>
      <c r="Y139" s="13">
        <f t="shared" si="29"/>
        <v>2</v>
      </c>
      <c r="Z139" s="13">
        <f t="shared" si="29"/>
        <v>6</v>
      </c>
      <c r="AA139" s="13">
        <f t="shared" si="29"/>
        <v>55</v>
      </c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50" si="30">SUM(E141:Z141)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2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2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1.0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2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2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2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2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1.0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1.0</v>
      </c>
      <c r="X147" s="19">
        <v>0.0</v>
      </c>
      <c r="Y147" s="19">
        <v>0.0</v>
      </c>
      <c r="Z147" s="19">
        <v>0.0</v>
      </c>
      <c r="AA147" s="13">
        <f t="shared" si="30"/>
        <v>2</v>
      </c>
    </row>
    <row r="148" ht="12.75" customHeight="1">
      <c r="A148" s="18"/>
      <c r="B148" s="55">
        <v>7.0</v>
      </c>
      <c r="C148" s="50" t="s">
        <v>112</v>
      </c>
      <c r="D148" s="62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SUM(E141:E150)</f>
        <v>0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2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6</v>
      </c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1.0</v>
      </c>
      <c r="T153" s="19">
        <v>0.0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1.0</v>
      </c>
      <c r="AA153" s="13">
        <f t="shared" ref="AA153:AA163" si="32">SUM(E153:Z153)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2"/>
      <c r="E154" s="81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2.0</v>
      </c>
      <c r="P154" s="19">
        <v>0.0</v>
      </c>
      <c r="Q154" s="19">
        <v>0.0</v>
      </c>
      <c r="R154" s="19">
        <v>1.0</v>
      </c>
      <c r="S154" s="19">
        <v>2.0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3">
        <f t="shared" si="32"/>
        <v>5</v>
      </c>
    </row>
    <row r="155" ht="12.75" customHeight="1">
      <c r="A155" s="18"/>
      <c r="B155" s="55">
        <v>2.0</v>
      </c>
      <c r="C155" s="66" t="s">
        <v>116</v>
      </c>
      <c r="D155" s="62"/>
      <c r="E155" s="81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3">
        <f t="shared" si="32"/>
        <v>2</v>
      </c>
    </row>
    <row r="156" ht="12.75" customHeight="1">
      <c r="A156" s="18"/>
      <c r="B156" s="55">
        <v>3.0</v>
      </c>
      <c r="C156" s="66" t="s">
        <v>117</v>
      </c>
      <c r="D156" s="62"/>
      <c r="E156" s="81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2"/>
      <c r="E157" s="81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1.0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1</v>
      </c>
    </row>
    <row r="158" ht="12.75" customHeight="1">
      <c r="A158" s="18"/>
      <c r="B158" s="56"/>
      <c r="C158" s="57"/>
      <c r="D158" s="58"/>
      <c r="E158" s="8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</row>
    <row r="159" ht="12.75" customHeight="1">
      <c r="A159" s="18"/>
      <c r="B159" s="56"/>
      <c r="C159" s="57"/>
      <c r="D159" s="58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</row>
    <row r="160" ht="12.75" customHeight="1">
      <c r="A160" s="18"/>
      <c r="B160" s="56"/>
      <c r="C160" s="57"/>
      <c r="D160" s="60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</row>
    <row r="161" ht="12.75" customHeight="1">
      <c r="A161" s="18"/>
      <c r="B161" s="56"/>
      <c r="C161" s="67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6"/>
      <c r="C162" s="67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Z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3</v>
      </c>
      <c r="P163" s="13">
        <f t="shared" si="33"/>
        <v>0</v>
      </c>
      <c r="Q163" s="13">
        <f t="shared" si="33"/>
        <v>0</v>
      </c>
      <c r="R163" s="13">
        <f t="shared" si="33"/>
        <v>2</v>
      </c>
      <c r="S163" s="13">
        <f t="shared" si="33"/>
        <v>3</v>
      </c>
      <c r="T163" s="13">
        <f t="shared" si="33"/>
        <v>0</v>
      </c>
      <c r="U163" s="13">
        <f t="shared" si="33"/>
        <v>1</v>
      </c>
      <c r="V163" s="13">
        <f t="shared" si="33"/>
        <v>1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2"/>
        <v>13</v>
      </c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2.0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1.0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4" si="34">SUM(E165:Z165)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2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2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2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2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2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2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2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34"/>
        <v>1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SUM(E165:E174)</f>
        <v>2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8</v>
      </c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1.0</v>
      </c>
      <c r="J177" s="19">
        <v>2.0</v>
      </c>
      <c r="K177" s="19">
        <v>1.0</v>
      </c>
      <c r="L177" s="19">
        <v>1.0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1.0</v>
      </c>
      <c r="S177" s="19">
        <v>0.0</v>
      </c>
      <c r="T177" s="19">
        <v>1.0</v>
      </c>
      <c r="U177" s="19">
        <v>0.0</v>
      </c>
      <c r="V177" s="19">
        <v>0.0</v>
      </c>
      <c r="W177" s="19">
        <v>1.0</v>
      </c>
      <c r="X177" s="19">
        <v>1.0</v>
      </c>
      <c r="Y177" s="19">
        <v>0.0</v>
      </c>
      <c r="Z177" s="19">
        <v>1.0</v>
      </c>
      <c r="AA177" s="13">
        <f t="shared" ref="AA177:AA186" si="36">SUM(E177:Z177)</f>
        <v>11</v>
      </c>
    </row>
    <row r="178" ht="12.75" customHeight="1">
      <c r="A178" s="30" t="s">
        <v>39</v>
      </c>
      <c r="B178" s="55">
        <v>1.0</v>
      </c>
      <c r="C178" s="50" t="s">
        <v>130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1.0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9">
        <v>1.0</v>
      </c>
      <c r="AA178" s="13">
        <f t="shared" si="36"/>
        <v>8</v>
      </c>
    </row>
    <row r="179" ht="12.75" customHeight="1">
      <c r="A179" s="18"/>
      <c r="B179" s="55">
        <v>2.0</v>
      </c>
      <c r="C179" s="50" t="s">
        <v>131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2.0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2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3.0</v>
      </c>
      <c r="M180" s="19">
        <v>2.0</v>
      </c>
      <c r="N180" s="19">
        <v>0.0</v>
      </c>
      <c r="O180" s="19">
        <v>0.0</v>
      </c>
      <c r="P180" s="19">
        <v>0.0</v>
      </c>
      <c r="Q180" s="19">
        <v>1.0</v>
      </c>
      <c r="R180" s="19">
        <v>2.0</v>
      </c>
      <c r="S180" s="19">
        <v>0.0</v>
      </c>
      <c r="T180" s="19">
        <v>0.0</v>
      </c>
      <c r="U180" s="19">
        <v>1.0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3">
        <f t="shared" si="36"/>
        <v>11</v>
      </c>
    </row>
    <row r="181" ht="12.75" customHeight="1">
      <c r="A181" s="18"/>
      <c r="B181" s="55">
        <v>4.0</v>
      </c>
      <c r="C181" s="50" t="s">
        <v>133</v>
      </c>
      <c r="D181" s="62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2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1.0</v>
      </c>
      <c r="AA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2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1.0</v>
      </c>
      <c r="X183" s="19">
        <v>0.0</v>
      </c>
      <c r="Y183" s="19">
        <v>0.0</v>
      </c>
      <c r="Z183" s="19">
        <v>0.0</v>
      </c>
      <c r="AA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2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3">
        <f t="shared" si="36"/>
        <v>1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SUM(E177:E186)</f>
        <v>0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3</v>
      </c>
      <c r="J187" s="13">
        <f t="shared" si="37"/>
        <v>5</v>
      </c>
      <c r="K187" s="13">
        <f t="shared" si="37"/>
        <v>1</v>
      </c>
      <c r="L187" s="13">
        <f t="shared" si="37"/>
        <v>4</v>
      </c>
      <c r="M187" s="13">
        <f t="shared" si="37"/>
        <v>3</v>
      </c>
      <c r="N187" s="13">
        <f t="shared" si="37"/>
        <v>1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4</v>
      </c>
      <c r="S187" s="13">
        <f t="shared" si="37"/>
        <v>1</v>
      </c>
      <c r="T187" s="13">
        <f t="shared" si="37"/>
        <v>4</v>
      </c>
      <c r="U187" s="13">
        <f t="shared" si="37"/>
        <v>1</v>
      </c>
      <c r="V187" s="13">
        <f t="shared" si="37"/>
        <v>1</v>
      </c>
      <c r="W187" s="13">
        <f t="shared" si="37"/>
        <v>3</v>
      </c>
      <c r="X187" s="13">
        <f t="shared" si="37"/>
        <v>2</v>
      </c>
      <c r="Y187" s="13">
        <f t="shared" si="37"/>
        <v>0</v>
      </c>
      <c r="Z187" s="13">
        <f t="shared" si="37"/>
        <v>3</v>
      </c>
      <c r="AA187" s="13">
        <f t="shared" si="37"/>
        <v>38</v>
      </c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Z188" s="79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2.0</v>
      </c>
      <c r="X189" s="19">
        <v>0.0</v>
      </c>
      <c r="Y189" s="19">
        <v>0.0</v>
      </c>
      <c r="Z189" s="19">
        <v>0.0</v>
      </c>
      <c r="AA189" s="13">
        <f t="shared" ref="AA189:AA198" si="38">SUM(E189:Z189)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2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2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2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2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2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2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2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1.0</v>
      </c>
      <c r="X196" s="19">
        <v>0.0</v>
      </c>
      <c r="Y196" s="19">
        <v>0.0</v>
      </c>
      <c r="Z196" s="19">
        <v>0.0</v>
      </c>
      <c r="AA196" s="13">
        <f t="shared" si="38"/>
        <v>1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3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0.0</v>
      </c>
      <c r="H201" s="19">
        <v>2.0</v>
      </c>
      <c r="I201" s="19">
        <v>1.0</v>
      </c>
      <c r="J201" s="19">
        <v>6.0</v>
      </c>
      <c r="K201" s="19">
        <v>6.0</v>
      </c>
      <c r="L201" s="19">
        <v>6.0</v>
      </c>
      <c r="M201" s="19">
        <v>0.0</v>
      </c>
      <c r="N201" s="19">
        <v>3.0</v>
      </c>
      <c r="O201" s="19">
        <v>2.0</v>
      </c>
      <c r="P201" s="19">
        <v>6.0</v>
      </c>
      <c r="Q201" s="19">
        <v>3.0</v>
      </c>
      <c r="R201" s="19">
        <v>2.0</v>
      </c>
      <c r="S201" s="19">
        <v>1.0</v>
      </c>
      <c r="T201" s="19">
        <v>2.0</v>
      </c>
      <c r="U201" s="19">
        <v>1.0</v>
      </c>
      <c r="V201" s="19">
        <v>3.0</v>
      </c>
      <c r="W201" s="19">
        <v>5.0</v>
      </c>
      <c r="X201" s="19">
        <v>0.0</v>
      </c>
      <c r="Y201" s="19">
        <v>2.0</v>
      </c>
      <c r="Z201" s="19">
        <v>4.0</v>
      </c>
      <c r="AA201" s="13">
        <f t="shared" ref="AA201:AA210" si="40">SUM(E201:Z201)</f>
        <v>57</v>
      </c>
    </row>
    <row r="202" ht="12.75" customHeight="1">
      <c r="A202" s="30" t="s">
        <v>39</v>
      </c>
      <c r="B202" s="55">
        <v>1.0</v>
      </c>
      <c r="C202" s="50" t="s">
        <v>148</v>
      </c>
      <c r="D202" s="62"/>
      <c r="E202" s="19">
        <v>0.0</v>
      </c>
      <c r="F202" s="19">
        <v>4.0</v>
      </c>
      <c r="G202" s="19">
        <v>1.0</v>
      </c>
      <c r="H202" s="19">
        <v>2.0</v>
      </c>
      <c r="I202" s="19">
        <v>1.0</v>
      </c>
      <c r="J202" s="19">
        <v>3.0</v>
      </c>
      <c r="K202" s="19">
        <v>8.0</v>
      </c>
      <c r="L202" s="19">
        <v>5.0</v>
      </c>
      <c r="M202" s="19">
        <v>1.0</v>
      </c>
      <c r="N202" s="19">
        <v>1.0</v>
      </c>
      <c r="O202" s="19">
        <v>11.0</v>
      </c>
      <c r="P202" s="19">
        <v>2.0</v>
      </c>
      <c r="Q202" s="19">
        <v>2.0</v>
      </c>
      <c r="R202" s="19">
        <v>1.0</v>
      </c>
      <c r="S202" s="19">
        <v>3.0</v>
      </c>
      <c r="T202" s="19">
        <v>3.0</v>
      </c>
      <c r="U202" s="19">
        <v>1.0</v>
      </c>
      <c r="V202" s="19">
        <v>2.0</v>
      </c>
      <c r="W202" s="19">
        <v>5.0</v>
      </c>
      <c r="X202" s="19">
        <v>1.0</v>
      </c>
      <c r="Y202" s="19">
        <v>3.0</v>
      </c>
      <c r="Z202" s="19">
        <v>0.0</v>
      </c>
      <c r="AA202" s="13">
        <f t="shared" si="40"/>
        <v>60</v>
      </c>
    </row>
    <row r="203" ht="12.75" customHeight="1">
      <c r="A203" s="18"/>
      <c r="B203" s="55">
        <v>2.0</v>
      </c>
      <c r="C203" s="50" t="s">
        <v>149</v>
      </c>
      <c r="D203" s="62"/>
      <c r="E203" s="19">
        <v>0.0</v>
      </c>
      <c r="F203" s="19">
        <v>0.0</v>
      </c>
      <c r="G203" s="19">
        <v>3.0</v>
      </c>
      <c r="H203" s="19">
        <v>4.0</v>
      </c>
      <c r="I203" s="19">
        <v>2.0</v>
      </c>
      <c r="J203" s="19">
        <v>2.0</v>
      </c>
      <c r="K203" s="19">
        <v>1.0</v>
      </c>
      <c r="L203" s="19">
        <v>1.0</v>
      </c>
      <c r="M203" s="19">
        <v>3.0</v>
      </c>
      <c r="N203" s="19">
        <v>3.0</v>
      </c>
      <c r="O203" s="19">
        <v>2.0</v>
      </c>
      <c r="P203" s="19">
        <v>3.0</v>
      </c>
      <c r="Q203" s="19">
        <v>0.0</v>
      </c>
      <c r="R203" s="19">
        <v>2.0</v>
      </c>
      <c r="S203" s="19">
        <v>1.0</v>
      </c>
      <c r="T203" s="19">
        <v>1.0</v>
      </c>
      <c r="U203" s="19">
        <v>2.0</v>
      </c>
      <c r="V203" s="19">
        <v>3.0</v>
      </c>
      <c r="W203" s="19">
        <v>0.0</v>
      </c>
      <c r="X203" s="19">
        <v>0.0</v>
      </c>
      <c r="Y203" s="19">
        <v>1.0</v>
      </c>
      <c r="Z203" s="19">
        <v>0.0</v>
      </c>
      <c r="AA203" s="13">
        <f t="shared" si="40"/>
        <v>34</v>
      </c>
    </row>
    <row r="204" ht="12.75" customHeight="1">
      <c r="A204" s="18"/>
      <c r="B204" s="55">
        <v>3.0</v>
      </c>
      <c r="C204" s="50" t="s">
        <v>150</v>
      </c>
      <c r="D204" s="62"/>
      <c r="E204" s="19">
        <v>0.0</v>
      </c>
      <c r="F204" s="19">
        <v>1.0</v>
      </c>
      <c r="G204" s="19">
        <v>2.0</v>
      </c>
      <c r="H204" s="19">
        <v>8.0</v>
      </c>
      <c r="I204" s="19">
        <v>1.0</v>
      </c>
      <c r="J204" s="19">
        <v>1.0</v>
      </c>
      <c r="K204" s="19">
        <v>1.0</v>
      </c>
      <c r="L204" s="19">
        <v>2.0</v>
      </c>
      <c r="M204" s="19">
        <v>3.0</v>
      </c>
      <c r="N204" s="19">
        <v>1.0</v>
      </c>
      <c r="O204" s="19">
        <v>3.0</v>
      </c>
      <c r="P204" s="19">
        <v>5.0</v>
      </c>
      <c r="Q204" s="19">
        <v>0.0</v>
      </c>
      <c r="R204" s="19">
        <v>0.0</v>
      </c>
      <c r="S204" s="19">
        <v>2.0</v>
      </c>
      <c r="T204" s="19">
        <v>0.0</v>
      </c>
      <c r="U204" s="19">
        <v>14.0</v>
      </c>
      <c r="V204" s="19">
        <v>2.0</v>
      </c>
      <c r="W204" s="19">
        <v>4.0</v>
      </c>
      <c r="X204" s="19">
        <v>1.0</v>
      </c>
      <c r="Y204" s="19">
        <v>2.0</v>
      </c>
      <c r="Z204" s="19">
        <v>2.0</v>
      </c>
      <c r="AA204" s="13">
        <f t="shared" si="40"/>
        <v>55</v>
      </c>
    </row>
    <row r="205" ht="12.75" customHeight="1">
      <c r="A205" s="18"/>
      <c r="B205" s="55">
        <v>4.0</v>
      </c>
      <c r="C205" s="50" t="s">
        <v>151</v>
      </c>
      <c r="D205" s="62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3.0</v>
      </c>
      <c r="K205" s="19">
        <v>0.0</v>
      </c>
      <c r="L205" s="19">
        <v>3.0</v>
      </c>
      <c r="M205" s="19">
        <v>2.0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3">
        <f t="shared" si="40"/>
        <v>12</v>
      </c>
    </row>
    <row r="206" ht="12.75" customHeight="1">
      <c r="A206" s="18"/>
      <c r="B206" s="55">
        <v>5.0</v>
      </c>
      <c r="C206" s="50" t="s">
        <v>152</v>
      </c>
      <c r="D206" s="62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2.0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3">
        <f t="shared" si="40"/>
        <v>5</v>
      </c>
    </row>
    <row r="207" ht="12.75" customHeight="1">
      <c r="A207" s="18"/>
      <c r="B207" s="55">
        <v>6.0</v>
      </c>
      <c r="C207" s="50" t="s">
        <v>153</v>
      </c>
      <c r="D207" s="62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2"/>
      <c r="E208" s="19">
        <v>0.0</v>
      </c>
      <c r="F208" s="19">
        <v>1.0</v>
      </c>
      <c r="G208" s="19">
        <v>1.0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1.0</v>
      </c>
      <c r="AA208" s="13">
        <f t="shared" si="40"/>
        <v>7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SUM(E201:E210)</f>
        <v>0</v>
      </c>
      <c r="F211" s="13">
        <f t="shared" si="41"/>
        <v>8</v>
      </c>
      <c r="G211" s="13">
        <f t="shared" si="41"/>
        <v>7</v>
      </c>
      <c r="H211" s="13">
        <f t="shared" si="41"/>
        <v>18</v>
      </c>
      <c r="I211" s="13">
        <f t="shared" si="41"/>
        <v>5</v>
      </c>
      <c r="J211" s="13">
        <f t="shared" si="41"/>
        <v>15</v>
      </c>
      <c r="K211" s="13">
        <f t="shared" si="41"/>
        <v>18</v>
      </c>
      <c r="L211" s="13">
        <f t="shared" si="41"/>
        <v>17</v>
      </c>
      <c r="M211" s="13">
        <f t="shared" si="41"/>
        <v>9</v>
      </c>
      <c r="N211" s="13">
        <f t="shared" si="41"/>
        <v>9</v>
      </c>
      <c r="O211" s="13">
        <f t="shared" si="41"/>
        <v>20</v>
      </c>
      <c r="P211" s="13">
        <f t="shared" si="41"/>
        <v>18</v>
      </c>
      <c r="Q211" s="13">
        <f t="shared" si="41"/>
        <v>5</v>
      </c>
      <c r="R211" s="13">
        <f t="shared" si="41"/>
        <v>6</v>
      </c>
      <c r="S211" s="13">
        <f t="shared" si="41"/>
        <v>7</v>
      </c>
      <c r="T211" s="13">
        <f t="shared" si="41"/>
        <v>7</v>
      </c>
      <c r="U211" s="13">
        <f t="shared" si="41"/>
        <v>19</v>
      </c>
      <c r="V211" s="13">
        <f t="shared" si="41"/>
        <v>10</v>
      </c>
      <c r="W211" s="13">
        <f t="shared" si="41"/>
        <v>14</v>
      </c>
      <c r="X211" s="13">
        <f t="shared" si="41"/>
        <v>2</v>
      </c>
      <c r="Y211" s="13">
        <f t="shared" si="41"/>
        <v>10</v>
      </c>
      <c r="Z211" s="13">
        <f t="shared" si="41"/>
        <v>7</v>
      </c>
      <c r="AA211" s="13">
        <f t="shared" si="41"/>
        <v>231</v>
      </c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0.0</v>
      </c>
      <c r="H213" s="19">
        <v>3.0</v>
      </c>
      <c r="I213" s="19">
        <v>1.0</v>
      </c>
      <c r="J213" s="19">
        <v>3.0</v>
      </c>
      <c r="K213" s="19">
        <v>2.0</v>
      </c>
      <c r="L213" s="19">
        <v>3.0</v>
      </c>
      <c r="M213" s="19">
        <v>1.0</v>
      </c>
      <c r="N213" s="19">
        <v>2.0</v>
      </c>
      <c r="O213" s="19">
        <v>3.0</v>
      </c>
      <c r="P213" s="19">
        <v>1.0</v>
      </c>
      <c r="Q213" s="19">
        <v>1.0</v>
      </c>
      <c r="R213" s="19">
        <v>0.0</v>
      </c>
      <c r="S213" s="19">
        <v>2.0</v>
      </c>
      <c r="T213" s="19">
        <v>0.0</v>
      </c>
      <c r="U213" s="19">
        <v>3.0</v>
      </c>
      <c r="V213" s="19">
        <v>0.0</v>
      </c>
      <c r="W213" s="19">
        <v>1.0</v>
      </c>
      <c r="X213" s="19">
        <v>2.0</v>
      </c>
      <c r="Y213" s="19">
        <v>2.0</v>
      </c>
      <c r="Z213" s="19">
        <v>1.0</v>
      </c>
      <c r="AA213" s="13">
        <f t="shared" ref="AA213:AA222" si="42">SUM(E213:Z213)</f>
        <v>34</v>
      </c>
    </row>
    <row r="214" ht="12.75" customHeight="1">
      <c r="A214" s="30" t="s">
        <v>39</v>
      </c>
      <c r="B214" s="55">
        <v>1.0</v>
      </c>
      <c r="C214" s="50" t="s">
        <v>157</v>
      </c>
      <c r="D214" s="61"/>
      <c r="E214" s="19">
        <v>0.0</v>
      </c>
      <c r="F214" s="19">
        <v>1.0</v>
      </c>
      <c r="G214" s="19">
        <v>0.0</v>
      </c>
      <c r="H214" s="19">
        <v>1.0</v>
      </c>
      <c r="I214" s="19">
        <v>0.0</v>
      </c>
      <c r="J214" s="19">
        <v>1.0</v>
      </c>
      <c r="K214" s="19">
        <v>1.0</v>
      </c>
      <c r="L214" s="19">
        <v>1.0</v>
      </c>
      <c r="M214" s="19">
        <v>2.0</v>
      </c>
      <c r="N214" s="19">
        <v>1.0</v>
      </c>
      <c r="O214" s="19">
        <v>1.0</v>
      </c>
      <c r="P214" s="19">
        <v>2.0</v>
      </c>
      <c r="Q214" s="19">
        <v>1.0</v>
      </c>
      <c r="R214" s="19">
        <v>3.0</v>
      </c>
      <c r="S214" s="19">
        <v>1.0</v>
      </c>
      <c r="T214" s="19">
        <v>1.0</v>
      </c>
      <c r="U214" s="19">
        <v>2.0</v>
      </c>
      <c r="V214" s="19">
        <v>1.0</v>
      </c>
      <c r="W214" s="19">
        <v>1.0</v>
      </c>
      <c r="X214" s="19">
        <v>0.0</v>
      </c>
      <c r="Y214" s="19">
        <v>0.0</v>
      </c>
      <c r="Z214" s="19">
        <v>0.0</v>
      </c>
      <c r="AA214" s="13">
        <f t="shared" si="42"/>
        <v>21</v>
      </c>
    </row>
    <row r="215" ht="12.75" customHeight="1">
      <c r="A215" s="18"/>
      <c r="B215" s="55">
        <v>2.0</v>
      </c>
      <c r="C215" s="50" t="s">
        <v>158</v>
      </c>
      <c r="D215" s="61"/>
      <c r="E215" s="19">
        <v>3.0</v>
      </c>
      <c r="F215" s="19">
        <v>6.0</v>
      </c>
      <c r="G215" s="19">
        <v>0.0</v>
      </c>
      <c r="H215" s="19">
        <v>22.0</v>
      </c>
      <c r="I215" s="19">
        <v>2.0</v>
      </c>
      <c r="J215" s="19">
        <v>27.0</v>
      </c>
      <c r="K215" s="19">
        <v>4.0</v>
      </c>
      <c r="L215" s="19">
        <v>3.0</v>
      </c>
      <c r="M215" s="19">
        <v>10.0</v>
      </c>
      <c r="N215" s="19">
        <v>4.0</v>
      </c>
      <c r="O215" s="19">
        <v>2.0</v>
      </c>
      <c r="P215" s="19">
        <v>1.0</v>
      </c>
      <c r="Q215" s="19">
        <v>0.0</v>
      </c>
      <c r="R215" s="19">
        <v>0.0</v>
      </c>
      <c r="S215" s="19">
        <v>1.0</v>
      </c>
      <c r="T215" s="19">
        <v>2.0</v>
      </c>
      <c r="U215" s="19">
        <v>2.0</v>
      </c>
      <c r="V215" s="19">
        <v>2.0</v>
      </c>
      <c r="W215" s="19">
        <v>2.0</v>
      </c>
      <c r="X215" s="19">
        <v>1.0</v>
      </c>
      <c r="Y215" s="19">
        <v>1.0</v>
      </c>
      <c r="Z215" s="19">
        <v>2.0</v>
      </c>
      <c r="AA215" s="13">
        <f t="shared" si="42"/>
        <v>97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1.0</v>
      </c>
      <c r="AA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61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61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61"/>
      <c r="E219" s="19">
        <v>1.0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1.0</v>
      </c>
      <c r="AA219" s="13">
        <f t="shared" si="42"/>
        <v>6</v>
      </c>
    </row>
    <row r="220" ht="12.75" customHeight="1">
      <c r="A220" s="18"/>
      <c r="B220" s="55">
        <v>7.0</v>
      </c>
      <c r="C220" s="50" t="s">
        <v>163</v>
      </c>
      <c r="D220" s="61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3">
        <f t="shared" si="42"/>
        <v>0</v>
      </c>
    </row>
    <row r="221" ht="12.75" customHeight="1">
      <c r="A221" s="18"/>
      <c r="B221" s="56"/>
      <c r="C221" s="57"/>
      <c r="D221" s="5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6"/>
      <c r="C222" s="57"/>
      <c r="D222" s="5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SUM(E213:E222)</f>
        <v>6</v>
      </c>
      <c r="F223" s="13">
        <f t="shared" si="43"/>
        <v>8</v>
      </c>
      <c r="G223" s="13">
        <f t="shared" si="43"/>
        <v>1</v>
      </c>
      <c r="H223" s="13">
        <f t="shared" si="43"/>
        <v>27</v>
      </c>
      <c r="I223" s="13">
        <f t="shared" si="43"/>
        <v>3</v>
      </c>
      <c r="J223" s="13">
        <f t="shared" si="43"/>
        <v>31</v>
      </c>
      <c r="K223" s="13">
        <f t="shared" si="43"/>
        <v>7</v>
      </c>
      <c r="L223" s="13">
        <f t="shared" si="43"/>
        <v>7</v>
      </c>
      <c r="M223" s="13">
        <f t="shared" si="43"/>
        <v>13</v>
      </c>
      <c r="N223" s="13">
        <f t="shared" si="43"/>
        <v>7</v>
      </c>
      <c r="O223" s="13">
        <f t="shared" si="43"/>
        <v>8</v>
      </c>
      <c r="P223" s="13">
        <f t="shared" si="43"/>
        <v>4</v>
      </c>
      <c r="Q223" s="13">
        <f t="shared" si="43"/>
        <v>3</v>
      </c>
      <c r="R223" s="13">
        <f t="shared" si="43"/>
        <v>4</v>
      </c>
      <c r="S223" s="13">
        <f t="shared" si="43"/>
        <v>4</v>
      </c>
      <c r="T223" s="13">
        <f t="shared" si="43"/>
        <v>3</v>
      </c>
      <c r="U223" s="13">
        <f t="shared" si="43"/>
        <v>7</v>
      </c>
      <c r="V223" s="13">
        <f t="shared" si="43"/>
        <v>6</v>
      </c>
      <c r="W223" s="13">
        <f t="shared" si="43"/>
        <v>4</v>
      </c>
      <c r="X223" s="13">
        <f t="shared" si="43"/>
        <v>3</v>
      </c>
      <c r="Y223" s="13">
        <f t="shared" si="43"/>
        <v>3</v>
      </c>
      <c r="Z223" s="13">
        <f t="shared" si="43"/>
        <v>5</v>
      </c>
      <c r="AA223" s="13">
        <f t="shared" si="43"/>
        <v>164</v>
      </c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2.0</v>
      </c>
      <c r="Y225" s="19">
        <v>0.0</v>
      </c>
      <c r="Z225" s="19">
        <v>0.0</v>
      </c>
      <c r="AA225" s="13">
        <f t="shared" ref="AA225:AA234" si="44">SUM(E225:Z225)</f>
        <v>6</v>
      </c>
    </row>
    <row r="226" ht="12.75" customHeight="1">
      <c r="A226" s="30" t="s">
        <v>39</v>
      </c>
      <c r="B226" s="55">
        <v>1.0</v>
      </c>
      <c r="C226" s="50" t="s">
        <v>166</v>
      </c>
      <c r="D226" s="62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4.0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1.0</v>
      </c>
      <c r="S226" s="19">
        <v>2.0</v>
      </c>
      <c r="T226" s="19">
        <v>0.0</v>
      </c>
      <c r="U226" s="19">
        <v>1.0</v>
      </c>
      <c r="V226" s="19">
        <v>0.0</v>
      </c>
      <c r="W226" s="19">
        <v>0.0</v>
      </c>
      <c r="X226" s="19">
        <v>5.0</v>
      </c>
      <c r="Y226" s="19">
        <v>5.0</v>
      </c>
      <c r="Z226" s="19">
        <v>0.0</v>
      </c>
      <c r="AA226" s="13">
        <f t="shared" si="44"/>
        <v>19</v>
      </c>
    </row>
    <row r="227" ht="12.75" customHeight="1">
      <c r="A227" s="18"/>
      <c r="B227" s="55">
        <v>2.0</v>
      </c>
      <c r="C227" s="50" t="s">
        <v>167</v>
      </c>
      <c r="D227" s="62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2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1.0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1.0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2</v>
      </c>
    </row>
    <row r="229" ht="12.75" customHeight="1">
      <c r="A229" s="18"/>
      <c r="B229" s="55">
        <v>4.0</v>
      </c>
      <c r="C229" s="50" t="s">
        <v>169</v>
      </c>
      <c r="D229" s="62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2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1.0</v>
      </c>
      <c r="X230" s="19">
        <v>0.0</v>
      </c>
      <c r="Y230" s="19">
        <v>0.0</v>
      </c>
      <c r="Z230" s="19">
        <v>0.0</v>
      </c>
      <c r="AA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2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2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1.0</v>
      </c>
      <c r="W232" s="19">
        <v>0.0</v>
      </c>
      <c r="X232" s="19">
        <v>0.0</v>
      </c>
      <c r="Y232" s="19">
        <v>0.0</v>
      </c>
      <c r="Z232" s="19">
        <v>0.0</v>
      </c>
      <c r="AA232" s="13">
        <f t="shared" si="44"/>
        <v>3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5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2</v>
      </c>
      <c r="S235" s="13">
        <f t="shared" si="45"/>
        <v>2</v>
      </c>
      <c r="T235" s="13">
        <f t="shared" si="45"/>
        <v>1</v>
      </c>
      <c r="U235" s="13">
        <f t="shared" si="45"/>
        <v>2</v>
      </c>
      <c r="V235" s="13">
        <f t="shared" si="45"/>
        <v>1</v>
      </c>
      <c r="W235" s="13">
        <f t="shared" si="45"/>
        <v>1</v>
      </c>
      <c r="X235" s="13">
        <f t="shared" si="45"/>
        <v>7</v>
      </c>
      <c r="Y235" s="13">
        <f t="shared" si="45"/>
        <v>5</v>
      </c>
      <c r="Z235" s="13">
        <f t="shared" si="45"/>
        <v>0</v>
      </c>
      <c r="AA235" s="13">
        <f t="shared" si="45"/>
        <v>31</v>
      </c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0.0</v>
      </c>
      <c r="J237" s="19">
        <v>1.0</v>
      </c>
      <c r="K237" s="19">
        <v>1.0</v>
      </c>
      <c r="L237" s="19">
        <v>1.0</v>
      </c>
      <c r="M237" s="19">
        <v>0.0</v>
      </c>
      <c r="N237" s="19">
        <v>2.0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2.0</v>
      </c>
      <c r="V237" s="19">
        <v>0.0</v>
      </c>
      <c r="W237" s="19">
        <v>0.0</v>
      </c>
      <c r="X237" s="19">
        <v>1.0</v>
      </c>
      <c r="Y237" s="19">
        <v>0.0</v>
      </c>
      <c r="Z237" s="19">
        <v>0.0</v>
      </c>
      <c r="AA237" s="13">
        <f t="shared" ref="AA237:AA246" si="46">SUM(E237:Z237)</f>
        <v>10</v>
      </c>
    </row>
    <row r="238" ht="12.75" customHeight="1">
      <c r="A238" s="30" t="s">
        <v>39</v>
      </c>
      <c r="B238" s="55">
        <v>1.0</v>
      </c>
      <c r="C238" s="50" t="s">
        <v>175</v>
      </c>
      <c r="D238" s="62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3.0</v>
      </c>
      <c r="N238" s="19">
        <v>2.0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3">
        <f t="shared" si="46"/>
        <v>8</v>
      </c>
    </row>
    <row r="239" ht="12.75" customHeight="1">
      <c r="A239" s="18"/>
      <c r="B239" s="55">
        <v>2.0</v>
      </c>
      <c r="C239" s="50" t="s">
        <v>176</v>
      </c>
      <c r="D239" s="62"/>
      <c r="E239" s="19">
        <v>1.0</v>
      </c>
      <c r="F239" s="19">
        <v>0.0</v>
      </c>
      <c r="G239" s="19">
        <v>1.0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3">
        <f t="shared" si="46"/>
        <v>3</v>
      </c>
    </row>
    <row r="240" ht="12.75" customHeight="1">
      <c r="A240" s="18"/>
      <c r="B240" s="55">
        <v>3.0</v>
      </c>
      <c r="C240" s="50" t="s">
        <v>177</v>
      </c>
      <c r="D240" s="62"/>
      <c r="E240" s="19">
        <v>1.0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2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2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1.0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2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2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2.0</v>
      </c>
      <c r="P244" s="19">
        <v>2.0</v>
      </c>
      <c r="Q244" s="19">
        <v>0.0</v>
      </c>
      <c r="R244" s="19">
        <v>1.0</v>
      </c>
      <c r="S244" s="19">
        <v>1.0</v>
      </c>
      <c r="T244" s="19">
        <v>0.0</v>
      </c>
      <c r="U244" s="19">
        <v>2.0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3">
        <f t="shared" si="46"/>
        <v>8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SUM(E237:E246)</f>
        <v>3</v>
      </c>
      <c r="F247" s="13">
        <f t="shared" si="47"/>
        <v>0</v>
      </c>
      <c r="G247" s="13">
        <f t="shared" si="47"/>
        <v>2</v>
      </c>
      <c r="H247" s="13">
        <f t="shared" si="47"/>
        <v>0</v>
      </c>
      <c r="I247" s="13">
        <f t="shared" si="47"/>
        <v>0</v>
      </c>
      <c r="J247" s="13">
        <f t="shared" si="47"/>
        <v>1</v>
      </c>
      <c r="K247" s="13">
        <f t="shared" si="47"/>
        <v>1</v>
      </c>
      <c r="L247" s="13">
        <f t="shared" si="47"/>
        <v>1</v>
      </c>
      <c r="M247" s="13">
        <f t="shared" si="47"/>
        <v>4</v>
      </c>
      <c r="N247" s="13">
        <f t="shared" si="47"/>
        <v>7</v>
      </c>
      <c r="O247" s="13">
        <f t="shared" si="47"/>
        <v>3</v>
      </c>
      <c r="P247" s="13">
        <f t="shared" si="47"/>
        <v>2</v>
      </c>
      <c r="Q247" s="13">
        <f t="shared" si="47"/>
        <v>0</v>
      </c>
      <c r="R247" s="13">
        <f t="shared" si="47"/>
        <v>2</v>
      </c>
      <c r="S247" s="13">
        <f t="shared" si="47"/>
        <v>2</v>
      </c>
      <c r="T247" s="13">
        <f t="shared" si="47"/>
        <v>0</v>
      </c>
      <c r="U247" s="13">
        <f t="shared" si="47"/>
        <v>4</v>
      </c>
      <c r="V247" s="13">
        <f t="shared" si="47"/>
        <v>0</v>
      </c>
      <c r="W247" s="13">
        <f t="shared" si="47"/>
        <v>0</v>
      </c>
      <c r="X247" s="13">
        <f t="shared" si="47"/>
        <v>1</v>
      </c>
      <c r="Y247" s="13">
        <f t="shared" si="47"/>
        <v>1</v>
      </c>
      <c r="Z247" s="13">
        <f t="shared" si="47"/>
        <v>0</v>
      </c>
      <c r="AA247" s="13">
        <f t="shared" si="47"/>
        <v>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2.0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2.0</v>
      </c>
      <c r="W249" s="19">
        <v>1.0</v>
      </c>
      <c r="X249" s="19">
        <v>0.0</v>
      </c>
      <c r="Y249" s="19">
        <v>0.0</v>
      </c>
      <c r="Z249" s="19">
        <v>0.0</v>
      </c>
      <c r="AA249" s="13">
        <f t="shared" ref="AA249:AA258" si="48">SUM(E249:Z249)</f>
        <v>7</v>
      </c>
    </row>
    <row r="250" ht="12.75" customHeight="1">
      <c r="A250" s="30" t="s">
        <v>39</v>
      </c>
      <c r="B250" s="55">
        <v>1.0</v>
      </c>
      <c r="C250" s="66" t="s">
        <v>184</v>
      </c>
      <c r="D250" s="62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1.0</v>
      </c>
      <c r="L250" s="19">
        <v>0.0</v>
      </c>
      <c r="M250" s="19">
        <v>4.0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1.0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8"/>
        <v>9</v>
      </c>
    </row>
    <row r="251" ht="12.75" customHeight="1">
      <c r="A251" s="18"/>
      <c r="B251" s="55">
        <v>2.0</v>
      </c>
      <c r="C251" s="66" t="s">
        <v>185</v>
      </c>
      <c r="D251" s="62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1.0</v>
      </c>
      <c r="K251" s="19">
        <v>0.0</v>
      </c>
      <c r="L251" s="19">
        <v>2.0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6.0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8"/>
        <v>11</v>
      </c>
    </row>
    <row r="252" ht="12.75" customHeight="1">
      <c r="A252" s="18"/>
      <c r="B252" s="55">
        <v>3.0</v>
      </c>
      <c r="C252" s="66" t="s">
        <v>186</v>
      </c>
      <c r="D252" s="62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1.0</v>
      </c>
      <c r="Z252" s="19">
        <v>0.0</v>
      </c>
      <c r="AA252" s="13">
        <f t="shared" si="48"/>
        <v>1</v>
      </c>
    </row>
    <row r="253" ht="12.75" customHeight="1">
      <c r="A253" s="18"/>
      <c r="B253" s="55">
        <v>4.0</v>
      </c>
      <c r="C253" s="66" t="s">
        <v>187</v>
      </c>
      <c r="D253" s="62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2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1.0</v>
      </c>
      <c r="T254" s="19">
        <v>0.0</v>
      </c>
      <c r="U254" s="19">
        <v>2.0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8"/>
        <v>3</v>
      </c>
    </row>
    <row r="255" ht="12.75" customHeight="1">
      <c r="A255" s="18"/>
      <c r="B255" s="55">
        <v>6.0</v>
      </c>
      <c r="C255" s="66" t="s">
        <v>189</v>
      </c>
      <c r="D255" s="62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3">
        <f t="shared" si="48"/>
        <v>0</v>
      </c>
    </row>
    <row r="256" ht="12.75" customHeight="1">
      <c r="A256" s="18"/>
      <c r="B256" s="56"/>
      <c r="C256" s="67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6"/>
      <c r="C257" s="67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6"/>
      <c r="C258" s="67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2</v>
      </c>
      <c r="J259" s="13">
        <f t="shared" si="49"/>
        <v>2</v>
      </c>
      <c r="K259" s="13">
        <f t="shared" si="49"/>
        <v>2</v>
      </c>
      <c r="L259" s="13">
        <f t="shared" si="49"/>
        <v>2</v>
      </c>
      <c r="M259" s="13">
        <f t="shared" si="49"/>
        <v>4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1</v>
      </c>
      <c r="S259" s="13">
        <f t="shared" si="49"/>
        <v>3</v>
      </c>
      <c r="T259" s="13">
        <f t="shared" si="49"/>
        <v>0</v>
      </c>
      <c r="U259" s="13">
        <f t="shared" si="49"/>
        <v>2</v>
      </c>
      <c r="V259" s="13">
        <f t="shared" si="49"/>
        <v>9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31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77"/>
      <c r="W261" s="77"/>
      <c r="X261" s="77"/>
      <c r="Y261" s="77"/>
      <c r="Z261" s="13"/>
      <c r="AA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Z262" si="50">E55+E67+E79+E91+E103+E115+E127+E139+E151+E163+E175+E187+E199+E211+E223+E235+E247+E259</f>
        <v>232</v>
      </c>
      <c r="F262" s="19">
        <f t="shared" si="50"/>
        <v>175</v>
      </c>
      <c r="G262" s="19">
        <f t="shared" si="50"/>
        <v>171</v>
      </c>
      <c r="H262" s="19">
        <f t="shared" si="50"/>
        <v>217</v>
      </c>
      <c r="I262" s="19">
        <f t="shared" si="50"/>
        <v>132</v>
      </c>
      <c r="J262" s="19">
        <f t="shared" si="50"/>
        <v>209</v>
      </c>
      <c r="K262" s="19">
        <f t="shared" si="50"/>
        <v>196</v>
      </c>
      <c r="L262" s="19">
        <f t="shared" si="50"/>
        <v>167</v>
      </c>
      <c r="M262" s="19">
        <f t="shared" si="50"/>
        <v>205</v>
      </c>
      <c r="N262" s="19">
        <f t="shared" si="50"/>
        <v>208</v>
      </c>
      <c r="O262" s="19">
        <f t="shared" si="50"/>
        <v>174</v>
      </c>
      <c r="P262" s="19">
        <f t="shared" si="50"/>
        <v>206</v>
      </c>
      <c r="Q262" s="19">
        <f t="shared" si="50"/>
        <v>186</v>
      </c>
      <c r="R262" s="19">
        <f t="shared" si="50"/>
        <v>195</v>
      </c>
      <c r="S262" s="19">
        <f t="shared" si="50"/>
        <v>173</v>
      </c>
      <c r="T262" s="19">
        <f t="shared" si="50"/>
        <v>213</v>
      </c>
      <c r="U262" s="19">
        <f t="shared" si="50"/>
        <v>213</v>
      </c>
      <c r="V262" s="19">
        <f t="shared" si="50"/>
        <v>186</v>
      </c>
      <c r="W262" s="19">
        <f t="shared" si="50"/>
        <v>201</v>
      </c>
      <c r="X262" s="19">
        <f t="shared" si="50"/>
        <v>170</v>
      </c>
      <c r="Y262" s="19">
        <f t="shared" si="50"/>
        <v>171</v>
      </c>
      <c r="Z262" s="19">
        <f t="shared" si="50"/>
        <v>205</v>
      </c>
      <c r="AA262" s="13">
        <f t="shared" ref="AA262:AA264" si="51">SUM(E262:Z262)</f>
        <v>4205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25.0</v>
      </c>
      <c r="F263" s="19">
        <v>12.0</v>
      </c>
      <c r="G263" s="19">
        <v>18.0</v>
      </c>
      <c r="H263" s="19">
        <v>22.0</v>
      </c>
      <c r="I263" s="19">
        <v>18.0</v>
      </c>
      <c r="J263" s="19">
        <v>13.0</v>
      </c>
      <c r="K263" s="19">
        <v>17.0</v>
      </c>
      <c r="L263" s="19">
        <v>14.0</v>
      </c>
      <c r="M263" s="19">
        <v>19.0</v>
      </c>
      <c r="N263" s="19">
        <v>23.0</v>
      </c>
      <c r="O263" s="19">
        <v>28.0</v>
      </c>
      <c r="P263" s="19">
        <v>29.0</v>
      </c>
      <c r="Q263" s="19">
        <v>18.0</v>
      </c>
      <c r="R263" s="19">
        <v>17.0</v>
      </c>
      <c r="S263" s="19">
        <v>27.0</v>
      </c>
      <c r="T263" s="19">
        <v>26.0</v>
      </c>
      <c r="U263" s="19">
        <v>13.0</v>
      </c>
      <c r="V263" s="19">
        <v>22.0</v>
      </c>
      <c r="W263" s="19">
        <v>18.0</v>
      </c>
      <c r="X263" s="19">
        <v>30.0</v>
      </c>
      <c r="Y263" s="19">
        <v>15.0</v>
      </c>
      <c r="Z263" s="19">
        <v>19.0</v>
      </c>
      <c r="AA263" s="13">
        <f t="shared" si="51"/>
        <v>443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Z264" si="52">SUM(E262:E263)</f>
        <v>257</v>
      </c>
      <c r="F264" s="13">
        <f t="shared" si="52"/>
        <v>187</v>
      </c>
      <c r="G264" s="13">
        <f t="shared" si="52"/>
        <v>189</v>
      </c>
      <c r="H264" s="13">
        <f t="shared" si="52"/>
        <v>239</v>
      </c>
      <c r="I264" s="13">
        <f t="shared" si="52"/>
        <v>150</v>
      </c>
      <c r="J264" s="13">
        <f t="shared" si="52"/>
        <v>222</v>
      </c>
      <c r="K264" s="13">
        <f t="shared" si="52"/>
        <v>213</v>
      </c>
      <c r="L264" s="13">
        <f t="shared" si="52"/>
        <v>181</v>
      </c>
      <c r="M264" s="13">
        <f t="shared" si="52"/>
        <v>224</v>
      </c>
      <c r="N264" s="13">
        <f t="shared" si="52"/>
        <v>231</v>
      </c>
      <c r="O264" s="13">
        <f t="shared" si="52"/>
        <v>202</v>
      </c>
      <c r="P264" s="13">
        <f t="shared" si="52"/>
        <v>235</v>
      </c>
      <c r="Q264" s="13">
        <f t="shared" si="52"/>
        <v>204</v>
      </c>
      <c r="R264" s="13">
        <f t="shared" si="52"/>
        <v>212</v>
      </c>
      <c r="S264" s="13">
        <f t="shared" si="52"/>
        <v>200</v>
      </c>
      <c r="T264" s="13">
        <f t="shared" si="52"/>
        <v>239</v>
      </c>
      <c r="U264" s="13">
        <f t="shared" si="52"/>
        <v>226</v>
      </c>
      <c r="V264" s="13">
        <f t="shared" si="52"/>
        <v>208</v>
      </c>
      <c r="W264" s="13">
        <f t="shared" si="52"/>
        <v>219</v>
      </c>
      <c r="X264" s="13">
        <f t="shared" si="52"/>
        <v>200</v>
      </c>
      <c r="Y264" s="13">
        <f t="shared" si="52"/>
        <v>186</v>
      </c>
      <c r="Z264" s="13">
        <f t="shared" si="52"/>
        <v>224</v>
      </c>
      <c r="AA264" s="13">
        <f t="shared" si="51"/>
        <v>4648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Q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8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