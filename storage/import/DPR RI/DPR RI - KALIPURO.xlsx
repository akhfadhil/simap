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" sheetId="1" r:id="rId4"/>
    <sheet state="visible" name="BULUSAN" sheetId="2" r:id="rId5"/>
    <sheet state="visible" name="BULUSARI" sheetId="3" r:id="rId6"/>
    <sheet state="visible" name="GOMBENGSARI" sheetId="4" r:id="rId7"/>
    <sheet state="visible" name="KALIPURO" sheetId="5" r:id="rId8"/>
    <sheet state="visible" name="KELIR" sheetId="6" r:id="rId9"/>
    <sheet state="visible" name="KETAPANG" sheetId="7" r:id="rId10"/>
    <sheet state="visible" name="KLATAK" sheetId="8" r:id="rId11"/>
    <sheet state="visible" name="PESUCEN" sheetId="9" r:id="rId12"/>
    <sheet state="visible" name="TELEMUNG" sheetId="10" r:id="rId13"/>
  </sheets>
  <definedNames/>
  <calcPr/>
  <extLst>
    <ext uri="GoogleSheetsCustomDataVersion2">
      <go:sheetsCustomData xmlns:go="http://customooxmlschemas.google.com/" r:id="rId14" roundtripDataChecksum="9hXg3c6JNUsnNDLdLOse3ySxEeF0lVaQA9reDi+OOT4="/>
    </ext>
  </extLst>
</workbook>
</file>

<file path=xl/sharedStrings.xml><?xml version="1.0" encoding="utf-8"?>
<sst xmlns="http://schemas.openxmlformats.org/spreadsheetml/2006/main" count="3119" uniqueCount="260">
  <si>
    <t>Kecamatan</t>
  </si>
  <si>
    <t>KALIPURO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</si>
  <si>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</si>
  <si>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</si>
  <si>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</si>
  <si>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</si>
  <si>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</si>
  <si>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</si>
  <si>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</si>
  <si>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</si>
  <si>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</si>
  <si>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</si>
  <si>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</si>
  <si>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</si>
  <si>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</si>
  <si>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</si>
  <si>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</si>
  <si>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</si>
  <si>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</si>
  <si>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</si>
  <si>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</si>
  <si>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</si>
  <si>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</si>
  <si>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</si>
  <si>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</si>
  <si>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</si>
  <si>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</si>
  <si>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</si>
  <si>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</si>
  <si>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</si>
  <si>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</si>
  <si>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</si>
  <si>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</si>
  <si>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</si>
  <si>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</si>
  <si>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</si>
  <si>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</si>
  <si>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</si>
  <si>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</si>
  <si>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</si>
  <si>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</si>
  <si>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</si>
  <si>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</si>
  <si>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</si>
  <si>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</si>
  <si>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</si>
  <si>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</si>
  <si>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</si>
  <si>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</si>
  <si>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</si>
  <si>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</si>
  <si>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</si>
  <si>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</si>
  <si>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</si>
  <si>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</si>
  <si>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</si>
  <si>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</si>
  <si>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</si>
  <si>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</si>
  <si>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</si>
  <si>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</si>
  <si>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</si>
  <si>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</si>
  <si>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</si>
  <si>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</si>
  <si>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</si>
  <si>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</si>
  <si>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</si>
  <si>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</si>
  <si>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</si>
  <si>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</si>
  <si>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</si>
  <si>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</si>
  <si>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</si>
  <si>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</si>
  <si>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</si>
  <si>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</si>
  <si>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</si>
  <si>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</si>
  <si>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</si>
  <si>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</si>
  <si>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</si>
  <si>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</si>
  <si>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</si>
  <si>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</si>
  <si>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</si>
  <si>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</si>
  <si>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</si>
  <si>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</si>
  <si>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</si>
  <si>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</si>
  <si>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</si>
  <si>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</si>
  <si>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</si>
  <si>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</si>
  <si>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</si>
  <si>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</si>
  <si>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</si>
  <si>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</si>
  <si>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</si>
  <si>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</si>
  <si>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</si>
  <si>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</si>
  <si>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</si>
  <si>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</si>
  <si>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</si>
  <si>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</si>
  <si>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</si>
  <si>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</si>
  <si>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</si>
  <si>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</si>
  <si>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</si>
  <si>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</si>
  <si>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</si>
  <si>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</si>
  <si>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</si>
  <si>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</si>
  <si>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</si>
  <si>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</si>
  <si>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</si>
  <si>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</si>
  <si>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</si>
  <si>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</si>
  <si>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</si>
  <si>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</si>
  <si>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</si>
  <si>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</si>
  <si>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</si>
  <si>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</si>
  <si>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</si>
  <si>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</si>
  <si>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</si>
  <si>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</si>
  <si>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</si>
  <si>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</si>
  <si>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</si>
  <si>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</si>
  <si>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</si>
  <si>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</si>
  <si>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</si>
  <si>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</si>
  <si>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</si>
  <si>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</si>
  <si>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</si>
  <si>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</si>
  <si>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</si>
  <si>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</si>
  <si>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</si>
  <si>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</si>
  <si>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</si>
  <si>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</si>
  <si>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</si>
  <si>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</si>
  <si>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</si>
  <si>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</si>
  <si>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</si>
  <si>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</si>
  <si>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</si>
  <si>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</si>
  <si>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</si>
  <si>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</si>
  <si>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</si>
  <si>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</si>
  <si>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</si>
  <si>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</si>
  <si>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</si>
  <si>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</si>
  <si>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</si>
  <si>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</si>
  <si>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</si>
  <si>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</si>
  <si>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</si>
  <si>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</si>
  <si>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</si>
  <si>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</si>
  <si>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</si>
  <si>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</si>
  <si>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</si>
  <si>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</si>
  <si>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</si>
  <si>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</si>
  <si>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</si>
  <si>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</si>
  <si>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</si>
  <si>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</si>
  <si>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</si>
  <si>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</si>
  <si>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</si>
  <si>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</si>
  <si>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</si>
  <si>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</si>
  <si>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</si>
  <si>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</si>
  <si>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</si>
  <si>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</si>
  <si>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</si>
  <si>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</si>
  <si>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</si>
  <si>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WONGSOREJO</t>
  </si>
  <si>
    <t>Kelurahan</t>
  </si>
  <si>
    <t>BULUSAN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</si>
  <si>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</si>
  <si>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</si>
  <si>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</si>
  <si>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</si>
  <si>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</si>
  <si>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</si>
  <si>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</si>
  <si>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</si>
  <si>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</si>
  <si>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</si>
  <si>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</si>
  <si>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</si>
  <si>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</si>
  <si>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</si>
  <si>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</si>
  <si>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</si>
  <si>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</si>
  <si>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</si>
  <si>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</si>
  <si>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</si>
  <si>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</si>
  <si>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</si>
  <si>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</si>
  <si>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</si>
  <si>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BULUSARI</t>
  </si>
  <si>
    <t>GOMBENGSARI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</si>
  <si>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</si>
  <si>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</si>
  <si>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</si>
  <si>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</si>
  <si>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</si>
  <si>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</si>
  <si>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</si>
  <si>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</si>
  <si>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</si>
  <si>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</si>
  <si>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</si>
  <si>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</si>
  <si>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</si>
  <si>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</si>
  <si>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</si>
  <si>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KELIR</t>
  </si>
  <si>
    <t>KETAPANG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</si>
  <si>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</si>
  <si>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</si>
  <si>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</si>
  <si>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</si>
  <si>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</si>
  <si>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</si>
  <si>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</si>
  <si>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</si>
  <si>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</si>
  <si>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</si>
  <si>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</si>
  <si>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</si>
  <si>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</si>
  <si>
    <t>KLATAK</t>
  </si>
  <si>
    <t>PESUCEN</t>
  </si>
  <si>
    <t>TELEMUNG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</si>
</sst>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color theme="1"/>
      <name val="Calibri"/>
    </font>
    <font>
      <b/>
      <sz val="10.0"/>
      <color rgb="FF000000"/>
      <name val="Bookman Old Style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9" numFmtId="0" xfId="0" applyBorder="1" applyFont="1"/>
    <xf borderId="1" fillId="0" fontId="1" numFmtId="0" xfId="0" applyAlignment="1" applyBorder="1" applyFont="1">
      <alignment vertical="center"/>
    </xf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BULUSAN!AC14+BULUSARI!R14+GOMBENGSARI!AC14+KALIPURO!AR14+KELIR!W14+KETAPANG!BE14+KLATAK!AV14+PESUCEN!R14+TELEMUNG!T14</f>
        <v>31987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BULUSAN!AC15+BULUSARI!R15+GOMBENGSARI!AC15+KALIPURO!AR15+KELIR!W15+KETAPANG!BE15+KLATAK!AV15+PESUCEN!R15+TELEMUNG!T15</f>
        <v>33057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65044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BULUSAN!AC19+BULUSARI!R19+GOMBENGSARI!AC19+KALIPURO!AR19+KELIR!W19+KETAPANG!BE19+KLATAK!AV19+PESUCEN!R19+TELEMUNG!T19</f>
        <v>24074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BULUSAN!AC20+BULUSARI!R20+GOMBENGSARI!AC20+KALIPURO!AR20+KELIR!W20+KETAPANG!BE20+KLATAK!AV20+PESUCEN!R20+TELEMUNG!T20</f>
        <v>26769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50843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BULUSAN!AC22+BULUSARI!R22+GOMBENGSARI!AC22+KALIPURO!AR22+KELIR!W22+KETAPANG!BE22+KLATAK!AV22+PESUCEN!R22+TELEMUNG!T22</f>
        <v>115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BULUSAN!AC23+BULUSARI!R23+GOMBENGSARI!AC23+KALIPURO!AR23+KELIR!W23+KETAPANG!BE23+KLATAK!AV23+PESUCEN!R23+TELEMUNG!T23</f>
        <v>97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212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BULUSAN!AC25+BULUSARI!R25+GOMBENGSARI!AC25+KALIPURO!AR25+KELIR!W25+KETAPANG!BE25+KLATAK!AV25+PESUCEN!R25+TELEMUNG!T25</f>
        <v>356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BULUSAN!AC26+BULUSARI!R26+GOMBENGSARI!AC26+KALIPURO!AR26+KELIR!W26+KETAPANG!BE26+KLATAK!AV26+PESUCEN!R26+TELEMUNG!T26</f>
        <v>425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781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24545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27291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51836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BULUSAN!AC33+BULUSARI!R33+GOMBENGSARI!AC33+KALIPURO!AR33+KELIR!W33+KETAPANG!BE33+KLATAK!AV33+PESUCEN!R33+TELEMUNG!T33</f>
        <v>66326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BULUSAN!AC34+BULUSARI!R34+GOMBENGSARI!AC34+KALIPURO!AR34+KELIR!W34+KETAPANG!BE34+KLATAK!AV34+PESUCEN!R34+TELEMUNG!T34</f>
        <v>51836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BULUSAN!AC35+BULUSARI!R35+GOMBENGSARI!AC35+KALIPURO!AR35+KELIR!W35+KETAPANG!BE35+KLATAK!AV35+PESUCEN!R35+TELEMUNG!T35</f>
        <v>96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14394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BULUSAN!AC39+BULUSARI!R39+GOMBENGSARI!AC39+KALIPURO!AR39+KELIR!W39+KETAPANG!BE39+KLATAK!AV39+PESUCEN!R39+TELEMUNG!T39</f>
        <v>63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BULUSAN!AC40+BULUSARI!R40+GOMBENGSARI!AC40+KALIPURO!AR40+KELIR!W40+KETAPANG!BE40+KLATAK!AV40+PESUCEN!R40+TELEMUNG!T40</f>
        <v>85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148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BULUSAN!AC45+BULUSARI!R45+GOMBENGSARI!AC45+KALIPURO!AR45+KELIR!W45+KETAPANG!BE45+KLATAK!AV45+PESUCEN!R45+TELEMUNG!T45</f>
        <v>1994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>
        <v>1.0</v>
      </c>
      <c r="C46" s="50" t="s">
        <v>40</v>
      </c>
      <c r="D46" s="16"/>
      <c r="E46" s="24">
        <f>BULUSAN!AC46+BULUSARI!R46+GOMBENGSARI!AC46+KALIPURO!AR46+KELIR!W46+KETAPANG!BE46+KLATAK!AV46+PESUCEN!R46+TELEMUNG!T46</f>
        <v>4744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>
        <v>2.0</v>
      </c>
      <c r="C47" s="50" t="s">
        <v>41</v>
      </c>
      <c r="D47" s="16"/>
      <c r="E47" s="24">
        <f>BULUSAN!AC47+BULUSARI!R47+GOMBENGSARI!AC47+KALIPURO!AR47+KELIR!W47+KETAPANG!BE47+KLATAK!AV47+PESUCEN!R47+TELEMUNG!T47</f>
        <v>1342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>
        <v>3.0</v>
      </c>
      <c r="C48" s="50" t="s">
        <v>42</v>
      </c>
      <c r="D48" s="16"/>
      <c r="E48" s="24">
        <f>BULUSAN!AC48+BULUSARI!R48+GOMBENGSARI!AC48+KALIPURO!AR48+KELIR!W48+KETAPANG!BE48+KLATAK!AV48+PESUCEN!R48+TELEMUNG!T48</f>
        <v>168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>
        <v>4.0</v>
      </c>
      <c r="C49" s="50" t="s">
        <v>43</v>
      </c>
      <c r="D49" s="16"/>
      <c r="E49" s="24">
        <f>BULUSAN!AC49+BULUSARI!R49+GOMBENGSARI!AC49+KALIPURO!AR49+KELIR!W49+KETAPANG!BE49+KLATAK!AV49+PESUCEN!R49+TELEMUNG!T49</f>
        <v>108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>
        <v>5.0</v>
      </c>
      <c r="C50" s="50" t="s">
        <v>44</v>
      </c>
      <c r="D50" s="16"/>
      <c r="E50" s="24">
        <f>BULUSAN!AC50+BULUSARI!R50+GOMBENGSARI!AC50+KALIPURO!AR50+KELIR!W50+KETAPANG!BE50+KLATAK!AV50+PESUCEN!R50+TELEMUNG!T50</f>
        <v>102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>
        <v>6.0</v>
      </c>
      <c r="C51" s="50" t="s">
        <v>45</v>
      </c>
      <c r="D51" s="16"/>
      <c r="E51" s="24">
        <f>BULUSAN!AC51+BULUSARI!R51+GOMBENGSARI!AC51+KALIPURO!AR51+KELIR!W51+KETAPANG!BE51+KLATAK!AV51+PESUCEN!R51+TELEMUNG!T51</f>
        <v>52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>
        <v>7.0</v>
      </c>
      <c r="C52" s="50" t="s">
        <v>46</v>
      </c>
      <c r="D52" s="16"/>
      <c r="E52" s="24">
        <f>BULUSAN!AC52+BULUSARI!R52+GOMBENGSARI!AC52+KALIPURO!AR52+KELIR!W52+KETAPANG!BE52+KLATAK!AV52+PESUCEN!R52+TELEMUNG!T52</f>
        <v>48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9" t="s">
        <v>15</v>
      </c>
      <c r="B53" s="47" t="s">
        <v>47</v>
      </c>
      <c r="C53" s="15"/>
      <c r="D53" s="16"/>
      <c r="E53" s="13">
        <f>SUM(E45:E52)</f>
        <v>8558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45"/>
      <c r="B54" s="44"/>
      <c r="C54" s="44"/>
      <c r="D54" s="44"/>
      <c r="E54" s="44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30" t="s">
        <v>37</v>
      </c>
      <c r="B55" s="47" t="s">
        <v>19</v>
      </c>
      <c r="C55" s="48" t="s">
        <v>48</v>
      </c>
      <c r="D55" s="16"/>
      <c r="E55" s="24">
        <f>BULUSAN!AC55+BULUSARI!R55+GOMBENGSARI!AC55+KALIPURO!AR55+KELIR!W55+KETAPANG!BE55+KLATAK!AV55+PESUCEN!R55+TELEMUNG!T55</f>
        <v>2333</v>
      </c>
      <c r="F55" s="25"/>
      <c r="G55" s="1"/>
      <c r="H55" s="1"/>
      <c r="I55" s="1"/>
      <c r="J55" s="1"/>
      <c r="K55" s="1"/>
      <c r="L55" s="1"/>
      <c r="M55" s="1"/>
      <c r="N55" s="1"/>
      <c r="O55" s="1"/>
      <c r="P55" s="9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0" t="s">
        <v>39</v>
      </c>
      <c r="B56" s="55">
        <v>1.0</v>
      </c>
      <c r="C56" s="50" t="s">
        <v>49</v>
      </c>
      <c r="D56" s="56"/>
      <c r="E56" s="24">
        <f>BULUSAN!AC56+BULUSARI!R56+GOMBENGSARI!AC56+KALIPURO!AR56+KELIR!W56+KETAPANG!BE56+KLATAK!AV56+PESUCEN!R56+TELEMUNG!T56</f>
        <v>3595</v>
      </c>
      <c r="F56" s="51"/>
      <c r="G56" s="52"/>
      <c r="H56" s="52"/>
      <c r="I56" s="52"/>
      <c r="J56" s="52"/>
      <c r="K56" s="52"/>
      <c r="L56" s="52"/>
      <c r="M56" s="52"/>
      <c r="N56" s="52"/>
      <c r="O56" s="52"/>
      <c r="P56" s="53"/>
      <c r="Q56" s="3"/>
      <c r="R56" s="3"/>
      <c r="S56" s="3"/>
      <c r="T56" s="3"/>
      <c r="U56" s="3"/>
      <c r="V56" s="3"/>
      <c r="W56" s="54"/>
      <c r="X56" s="3"/>
      <c r="Y56" s="3"/>
      <c r="Z56" s="3"/>
    </row>
    <row r="57" ht="15.75" customHeight="1">
      <c r="A57" s="18"/>
      <c r="B57" s="55">
        <v>2.0</v>
      </c>
      <c r="C57" s="50" t="s">
        <v>50</v>
      </c>
      <c r="D57" s="56"/>
      <c r="E57" s="24">
        <f>BULUSAN!AC57+BULUSARI!R57+GOMBENGSARI!AC57+KALIPURO!AR57+KELIR!W57+KETAPANG!BE57+KLATAK!AV57+PESUCEN!R57+TELEMUNG!T57</f>
        <v>1171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18"/>
      <c r="B58" s="55">
        <v>3.0</v>
      </c>
      <c r="C58" s="50" t="s">
        <v>51</v>
      </c>
      <c r="D58" s="56"/>
      <c r="E58" s="24">
        <f>BULUSAN!AC58+BULUSARI!R58+GOMBENGSARI!AC58+KALIPURO!AR58+KELIR!W58+KETAPANG!BE58+KLATAK!AV58+PESUCEN!R58+TELEMUNG!T58</f>
        <v>281</v>
      </c>
      <c r="F58" s="18"/>
      <c r="G58" s="5"/>
      <c r="H58" s="5"/>
      <c r="I58" s="5"/>
      <c r="J58" s="5"/>
      <c r="K58" s="5"/>
      <c r="L58" s="5"/>
      <c r="M58" s="5"/>
      <c r="N58" s="5"/>
      <c r="O58" s="5"/>
      <c r="P58" s="6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18"/>
      <c r="B59" s="55">
        <v>4.0</v>
      </c>
      <c r="C59" s="50" t="s">
        <v>52</v>
      </c>
      <c r="D59" s="56"/>
      <c r="E59" s="24">
        <f>BULUSAN!AC59+BULUSARI!R59+GOMBENGSARI!AC59+KALIPURO!AR59+KELIR!W59+KETAPANG!BE59+KLATAK!AV59+PESUCEN!R59+TELEMUNG!T59</f>
        <v>282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>
        <v>5.0</v>
      </c>
      <c r="C60" s="50" t="s">
        <v>53</v>
      </c>
      <c r="D60" s="56"/>
      <c r="E60" s="24">
        <f>BULUSAN!AC60+BULUSARI!R60+GOMBENGSARI!AC60+KALIPURO!AR60+KELIR!W60+KETAPANG!BE60+KLATAK!AV60+PESUCEN!R60+TELEMUNG!T60</f>
        <v>85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>
        <v>6.0</v>
      </c>
      <c r="C61" s="50" t="s">
        <v>54</v>
      </c>
      <c r="D61" s="57"/>
      <c r="E61" s="24">
        <f>BULUSAN!AC61+BULUSARI!R61+GOMBENGSARI!AC61+KALIPURO!AR61+KELIR!W61+KETAPANG!BE61+KLATAK!AV61+PESUCEN!R61+TELEMUNG!T61</f>
        <v>170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>
        <v>7.0</v>
      </c>
      <c r="C62" s="50" t="s">
        <v>55</v>
      </c>
      <c r="D62" s="56"/>
      <c r="E62" s="24">
        <f>BULUSAN!AC62+BULUSARI!R62+GOMBENGSARI!AC62+KALIPURO!AR62+KELIR!W62+KETAPANG!BE62+KLATAK!AV62+PESUCEN!R62+TELEMUNG!T62</f>
        <v>61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9" t="s">
        <v>15</v>
      </c>
      <c r="B63" s="47" t="s">
        <v>47</v>
      </c>
      <c r="C63" s="15"/>
      <c r="D63" s="16"/>
      <c r="E63" s="13">
        <f>SUM(E55:E62)</f>
        <v>7978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45"/>
      <c r="B64" s="44"/>
      <c r="C64" s="44"/>
      <c r="D64" s="44"/>
      <c r="E64" s="44"/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30" t="s">
        <v>37</v>
      </c>
      <c r="B65" s="47" t="s">
        <v>21</v>
      </c>
      <c r="C65" s="48" t="s">
        <v>56</v>
      </c>
      <c r="D65" s="16"/>
      <c r="E65" s="24">
        <f>BULUSAN!AC65+BULUSARI!R65+GOMBENGSARI!AC65+KALIPURO!AR65+KELIR!W65+KETAPANG!BE65+KLATAK!AV65+PESUCEN!R65+TELEMUNG!T65</f>
        <v>2035</v>
      </c>
      <c r="F65" s="25"/>
      <c r="G65" s="1"/>
      <c r="H65" s="1"/>
      <c r="I65" s="1"/>
      <c r="J65" s="1"/>
      <c r="K65" s="1"/>
      <c r="L65" s="1"/>
      <c r="M65" s="1"/>
      <c r="N65" s="1"/>
      <c r="O65" s="1"/>
      <c r="P65" s="9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0" t="s">
        <v>39</v>
      </c>
      <c r="B66" s="55">
        <v>1.0</v>
      </c>
      <c r="C66" s="50" t="s">
        <v>57</v>
      </c>
      <c r="D66" s="57"/>
      <c r="E66" s="24">
        <f>BULUSAN!AC66+BULUSARI!R66+GOMBENGSARI!AC66+KALIPURO!AR66+KELIR!W66+KETAPANG!BE66+KLATAK!AV66+PESUCEN!R66+TELEMUNG!T66</f>
        <v>3404</v>
      </c>
      <c r="F66" s="51"/>
      <c r="G66" s="52"/>
      <c r="H66" s="52"/>
      <c r="I66" s="52"/>
      <c r="J66" s="52"/>
      <c r="K66" s="52"/>
      <c r="L66" s="52"/>
      <c r="M66" s="52"/>
      <c r="N66" s="52"/>
      <c r="O66" s="52"/>
      <c r="P66" s="53"/>
      <c r="Q66" s="3"/>
      <c r="R66" s="3"/>
      <c r="S66" s="3"/>
      <c r="T66" s="3"/>
      <c r="U66" s="3"/>
      <c r="V66" s="3"/>
      <c r="W66" s="54"/>
      <c r="X66" s="3"/>
      <c r="Y66" s="3"/>
      <c r="Z66" s="3"/>
    </row>
    <row r="67" ht="15.75" customHeight="1">
      <c r="A67" s="18"/>
      <c r="B67" s="55">
        <v>2.0</v>
      </c>
      <c r="C67" s="50" t="s">
        <v>58</v>
      </c>
      <c r="D67" s="57"/>
      <c r="E67" s="24">
        <f>BULUSAN!AC67+BULUSARI!R67+GOMBENGSARI!AC67+KALIPURO!AR67+KELIR!W67+KETAPANG!BE67+KLATAK!AV67+PESUCEN!R67+TELEMUNG!T67</f>
        <v>2644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18"/>
      <c r="B68" s="55">
        <v>3.0</v>
      </c>
      <c r="C68" s="50" t="s">
        <v>59</v>
      </c>
      <c r="D68" s="57"/>
      <c r="E68" s="24">
        <f>BULUSAN!AC68+BULUSARI!R68+GOMBENGSARI!AC68+KALIPURO!AR68+KELIR!W68+KETAPANG!BE68+KLATAK!AV68+PESUCEN!R68+TELEMUNG!T68</f>
        <v>457</v>
      </c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8"/>
      <c r="B69" s="55">
        <v>4.0</v>
      </c>
      <c r="C69" s="50" t="s">
        <v>60</v>
      </c>
      <c r="D69" s="57"/>
      <c r="E69" s="24">
        <f>BULUSAN!AC69+BULUSARI!R69+GOMBENGSARI!AC69+KALIPURO!AR69+KELIR!W69+KETAPANG!BE69+KLATAK!AV69+PESUCEN!R69+TELEMUNG!T69</f>
        <v>161</v>
      </c>
      <c r="F69" s="18"/>
      <c r="G69" s="5"/>
      <c r="H69" s="5"/>
      <c r="I69" s="5"/>
      <c r="J69" s="5"/>
      <c r="K69" s="5"/>
      <c r="L69" s="5"/>
      <c r="M69" s="5"/>
      <c r="N69" s="5"/>
      <c r="O69" s="5"/>
      <c r="P69" s="6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18"/>
      <c r="B70" s="55">
        <v>5.0</v>
      </c>
      <c r="C70" s="50" t="s">
        <v>61</v>
      </c>
      <c r="D70" s="57"/>
      <c r="E70" s="24">
        <f>BULUSAN!AC70+BULUSARI!R70+GOMBENGSARI!AC70+KALIPURO!AR70+KELIR!W70+KETAPANG!BE70+KLATAK!AV70+PESUCEN!R70+TELEMUNG!T70</f>
        <v>1550</v>
      </c>
      <c r="F70" s="18"/>
      <c r="G70" s="5"/>
      <c r="H70" s="5"/>
      <c r="I70" s="5"/>
      <c r="J70" s="5"/>
      <c r="K70" s="5"/>
      <c r="L70" s="5"/>
      <c r="M70" s="5"/>
      <c r="N70" s="5"/>
      <c r="O70" s="5"/>
      <c r="P70" s="6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18"/>
      <c r="B71" s="55">
        <v>6.0</v>
      </c>
      <c r="C71" s="50" t="s">
        <v>62</v>
      </c>
      <c r="D71" s="57"/>
      <c r="E71" s="24">
        <f>BULUSAN!AC71+BULUSARI!R71+GOMBENGSARI!AC71+KALIPURO!AR71+KELIR!W71+KETAPANG!BE71+KLATAK!AV71+PESUCEN!R71+TELEMUNG!T71</f>
        <v>77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>
        <v>7.0</v>
      </c>
      <c r="C72" s="50" t="s">
        <v>63</v>
      </c>
      <c r="D72" s="57"/>
      <c r="E72" s="24">
        <f>BULUSAN!AC72+BULUSARI!R72+GOMBENGSARI!AC72+KALIPURO!AR72+KELIR!W72+KETAPANG!BE72+KLATAK!AV72+PESUCEN!R72+TELEMUNG!T72</f>
        <v>1424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9" t="s">
        <v>15</v>
      </c>
      <c r="B73" s="47" t="s">
        <v>47</v>
      </c>
      <c r="C73" s="15"/>
      <c r="D73" s="16"/>
      <c r="E73" s="13">
        <f>SUM(E65:E72)</f>
        <v>11752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45"/>
      <c r="B74" s="44"/>
      <c r="C74" s="44"/>
      <c r="D74" s="44"/>
      <c r="E74" s="44"/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30" t="s">
        <v>37</v>
      </c>
      <c r="B75" s="47" t="s">
        <v>23</v>
      </c>
      <c r="C75" s="48" t="s">
        <v>64</v>
      </c>
      <c r="D75" s="16"/>
      <c r="E75" s="24">
        <f>BULUSAN!AC75+BULUSARI!R75+GOMBENGSARI!AC75+KALIPURO!AR75+KELIR!W75+KETAPANG!BE75+KLATAK!AV75+PESUCEN!R75+TELEMUNG!T75</f>
        <v>1404</v>
      </c>
      <c r="F75" s="25"/>
      <c r="G75" s="1"/>
      <c r="H75" s="1"/>
      <c r="I75" s="1"/>
      <c r="J75" s="1"/>
      <c r="K75" s="1"/>
      <c r="L75" s="1"/>
      <c r="M75" s="1"/>
      <c r="N75" s="1"/>
      <c r="O75" s="1"/>
      <c r="P75" s="9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0" t="s">
        <v>39</v>
      </c>
      <c r="B76" s="55">
        <v>1.0</v>
      </c>
      <c r="C76" s="50" t="s">
        <v>65</v>
      </c>
      <c r="D76" s="57"/>
      <c r="E76" s="24">
        <f>BULUSAN!AC76+BULUSARI!R76+GOMBENGSARI!AC76+KALIPURO!AR76+KELIR!W76+KETAPANG!BE76+KLATAK!AV76+PESUCEN!R76+TELEMUNG!T76</f>
        <v>3243</v>
      </c>
      <c r="F76" s="51"/>
      <c r="G76" s="52"/>
      <c r="H76" s="52"/>
      <c r="I76" s="52"/>
      <c r="J76" s="52"/>
      <c r="K76" s="52"/>
      <c r="L76" s="52"/>
      <c r="M76" s="52"/>
      <c r="N76" s="52"/>
      <c r="O76" s="52"/>
      <c r="P76" s="53"/>
      <c r="Q76" s="3"/>
      <c r="R76" s="3"/>
      <c r="S76" s="3"/>
      <c r="T76" s="3"/>
      <c r="U76" s="3"/>
      <c r="V76" s="3"/>
      <c r="W76" s="54"/>
      <c r="X76" s="3"/>
      <c r="Y76" s="3"/>
      <c r="Z76" s="3"/>
    </row>
    <row r="77" ht="15.75" customHeight="1">
      <c r="A77" s="18"/>
      <c r="B77" s="55">
        <v>2.0</v>
      </c>
      <c r="C77" s="50" t="s">
        <v>66</v>
      </c>
      <c r="D77" s="57"/>
      <c r="E77" s="24">
        <f>BULUSAN!AC77+BULUSARI!R77+GOMBENGSARI!AC77+KALIPURO!AR77+KELIR!W77+KETAPANG!BE77+KLATAK!AV77+PESUCEN!R77+TELEMUNG!T77</f>
        <v>626</v>
      </c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5">
        <v>3.0</v>
      </c>
      <c r="C78" s="50" t="s">
        <v>67</v>
      </c>
      <c r="D78" s="57"/>
      <c r="E78" s="24">
        <f>BULUSAN!AC78+BULUSARI!R78+GOMBENGSARI!AC78+KALIPURO!AR78+KELIR!W78+KETAPANG!BE78+KLATAK!AV78+PESUCEN!R78+TELEMUNG!T78</f>
        <v>223</v>
      </c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8"/>
      <c r="B79" s="55">
        <v>4.0</v>
      </c>
      <c r="C79" s="50" t="s">
        <v>68</v>
      </c>
      <c r="D79" s="57"/>
      <c r="E79" s="24">
        <f>BULUSAN!AC79+BULUSARI!R79+GOMBENGSARI!AC79+KALIPURO!AR79+KELIR!W79+KETAPANG!BE79+KLATAK!AV79+PESUCEN!R79+TELEMUNG!T79</f>
        <v>200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8"/>
      <c r="B80" s="55">
        <v>5.0</v>
      </c>
      <c r="C80" s="50" t="s">
        <v>69</v>
      </c>
      <c r="D80" s="57"/>
      <c r="E80" s="24">
        <f>BULUSAN!AC80+BULUSARI!R80+GOMBENGSARI!AC80+KALIPURO!AR80+KELIR!W80+KETAPANG!BE80+KLATAK!AV80+PESUCEN!R80+TELEMUNG!T80</f>
        <v>301</v>
      </c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8"/>
      <c r="B81" s="55">
        <v>6.0</v>
      </c>
      <c r="C81" s="50" t="s">
        <v>70</v>
      </c>
      <c r="D81" s="57"/>
      <c r="E81" s="24">
        <f>BULUSAN!AC81+BULUSARI!R81+GOMBENGSARI!AC81+KALIPURO!AR81+KELIR!W81+KETAPANG!BE81+KLATAK!AV81+PESUCEN!R81+TELEMUNG!T81</f>
        <v>48</v>
      </c>
      <c r="F81" s="18"/>
      <c r="G81" s="5"/>
      <c r="H81" s="5"/>
      <c r="I81" s="5"/>
      <c r="J81" s="5"/>
      <c r="K81" s="5"/>
      <c r="L81" s="5"/>
      <c r="M81" s="5"/>
      <c r="N81" s="5"/>
      <c r="O81" s="5"/>
      <c r="P81" s="6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8"/>
      <c r="B82" s="55">
        <v>7.0</v>
      </c>
      <c r="C82" s="50" t="s">
        <v>71</v>
      </c>
      <c r="D82" s="57"/>
      <c r="E82" s="24">
        <f>BULUSAN!AC82+BULUSARI!R82+GOMBENGSARI!AC82+KALIPURO!AR82+KELIR!W82+KETAPANG!BE82+KLATAK!AV82+PESUCEN!R82+TELEMUNG!T82</f>
        <v>21</v>
      </c>
      <c r="F82" s="18"/>
      <c r="G82" s="5"/>
      <c r="H82" s="5"/>
      <c r="I82" s="5"/>
      <c r="J82" s="5"/>
      <c r="K82" s="5"/>
      <c r="L82" s="5"/>
      <c r="M82" s="5"/>
      <c r="N82" s="5"/>
      <c r="O82" s="5"/>
      <c r="P82" s="6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9" t="s">
        <v>15</v>
      </c>
      <c r="B83" s="47" t="s">
        <v>47</v>
      </c>
      <c r="C83" s="15"/>
      <c r="D83" s="16"/>
      <c r="E83" s="13">
        <f>SUM(E75:E82)</f>
        <v>6066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45"/>
      <c r="B84" s="44"/>
      <c r="C84" s="44"/>
      <c r="D84" s="44"/>
      <c r="E84" s="44"/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30" t="s">
        <v>37</v>
      </c>
      <c r="B85" s="47" t="s">
        <v>72</v>
      </c>
      <c r="C85" s="48" t="s">
        <v>73</v>
      </c>
      <c r="D85" s="16"/>
      <c r="E85" s="24">
        <f>BULUSAN!AC85+BULUSARI!R85+GOMBENGSARI!AC85+KALIPURO!AR85+KELIR!W85+KETAPANG!BE85+KLATAK!AV85+PESUCEN!R85+TELEMUNG!T85</f>
        <v>448</v>
      </c>
      <c r="F85" s="25"/>
      <c r="G85" s="1"/>
      <c r="H85" s="1"/>
      <c r="I85" s="1"/>
      <c r="J85" s="1"/>
      <c r="K85" s="1"/>
      <c r="L85" s="1"/>
      <c r="M85" s="1"/>
      <c r="N85" s="1"/>
      <c r="O85" s="1"/>
      <c r="P85" s="9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0" t="s">
        <v>39</v>
      </c>
      <c r="B86" s="55">
        <v>1.0</v>
      </c>
      <c r="C86" s="50" t="s">
        <v>74</v>
      </c>
      <c r="D86" s="57"/>
      <c r="E86" s="24">
        <f>BULUSAN!AC86+BULUSARI!R86+GOMBENGSARI!AC86+KALIPURO!AR86+KELIR!W86+KETAPANG!BE86+KLATAK!AV86+PESUCEN!R86+TELEMUNG!T86</f>
        <v>1227</v>
      </c>
      <c r="F86" s="51"/>
      <c r="G86" s="52"/>
      <c r="H86" s="52"/>
      <c r="I86" s="52"/>
      <c r="J86" s="52"/>
      <c r="K86" s="52"/>
      <c r="L86" s="52"/>
      <c r="M86" s="52"/>
      <c r="N86" s="52"/>
      <c r="O86" s="52"/>
      <c r="P86" s="53"/>
      <c r="Q86" s="3"/>
      <c r="R86" s="3"/>
      <c r="S86" s="3"/>
      <c r="T86" s="3"/>
      <c r="U86" s="3"/>
      <c r="V86" s="3"/>
      <c r="W86" s="54"/>
      <c r="X86" s="3"/>
      <c r="Y86" s="3"/>
      <c r="Z86" s="3"/>
    </row>
    <row r="87" ht="15.75" customHeight="1">
      <c r="A87" s="18"/>
      <c r="B87" s="55">
        <v>2.0</v>
      </c>
      <c r="C87" s="50" t="s">
        <v>75</v>
      </c>
      <c r="D87" s="57"/>
      <c r="E87" s="24">
        <f>BULUSAN!AC87+BULUSARI!R87+GOMBENGSARI!AC87+KALIPURO!AR87+KELIR!W87+KETAPANG!BE87+KLATAK!AV87+PESUCEN!R87+TELEMUNG!T87</f>
        <v>246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>
        <v>3.0</v>
      </c>
      <c r="C88" s="50" t="s">
        <v>76</v>
      </c>
      <c r="D88" s="57"/>
      <c r="E88" s="24">
        <f>BULUSAN!AC88+BULUSARI!R88+GOMBENGSARI!AC88+KALIPURO!AR88+KELIR!W88+KETAPANG!BE88+KLATAK!AV88+PESUCEN!R88+TELEMUNG!T88</f>
        <v>35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5">
        <v>4.0</v>
      </c>
      <c r="C89" s="50" t="s">
        <v>77</v>
      </c>
      <c r="D89" s="57"/>
      <c r="E89" s="24">
        <f>BULUSAN!AC89+BULUSARI!R89+GOMBENGSARI!AC89+KALIPURO!AR89+KELIR!W89+KETAPANG!BE89+KLATAK!AV89+PESUCEN!R89+TELEMUNG!T89</f>
        <v>88</v>
      </c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5">
        <v>5.0</v>
      </c>
      <c r="C90" s="50" t="s">
        <v>78</v>
      </c>
      <c r="D90" s="57"/>
      <c r="E90" s="24">
        <f>BULUSAN!AC90+BULUSARI!R90+GOMBENGSARI!AC90+KALIPURO!AR90+KELIR!W90+KETAPANG!BE90+KLATAK!AV90+PESUCEN!R90+TELEMUNG!T90</f>
        <v>85</v>
      </c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8"/>
      <c r="B91" s="55">
        <v>6.0</v>
      </c>
      <c r="C91" s="50" t="s">
        <v>79</v>
      </c>
      <c r="D91" s="57"/>
      <c r="E91" s="24">
        <f>BULUSAN!AC91+BULUSARI!R91+GOMBENGSARI!AC91+KALIPURO!AR91+KELIR!W91+KETAPANG!BE91+KLATAK!AV91+PESUCEN!R91+TELEMUNG!T91</f>
        <v>119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18"/>
      <c r="B92" s="55">
        <v>7.0</v>
      </c>
      <c r="C92" s="50" t="s">
        <v>80</v>
      </c>
      <c r="D92" s="57"/>
      <c r="E92" s="24">
        <f>BULUSAN!AC92+BULUSARI!R92+GOMBENGSARI!AC92+KALIPURO!AR92+KELIR!W92+KETAPANG!BE92+KLATAK!AV92+PESUCEN!R92+TELEMUNG!T92</f>
        <v>61</v>
      </c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19" t="s">
        <v>15</v>
      </c>
      <c r="B93" s="47" t="s">
        <v>47</v>
      </c>
      <c r="C93" s="15"/>
      <c r="D93" s="16"/>
      <c r="E93" s="13">
        <f>SUM(E85:E92)</f>
        <v>2309</v>
      </c>
      <c r="F93" s="18"/>
      <c r="G93" s="5"/>
      <c r="H93" s="5"/>
      <c r="I93" s="5"/>
      <c r="J93" s="5"/>
      <c r="K93" s="5"/>
      <c r="L93" s="5"/>
      <c r="M93" s="5"/>
      <c r="N93" s="5"/>
      <c r="O93" s="5"/>
      <c r="P93" s="6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45"/>
      <c r="B94" s="44"/>
      <c r="C94" s="44"/>
      <c r="D94" s="44"/>
      <c r="E94" s="44"/>
      <c r="F94" s="18"/>
      <c r="G94" s="5"/>
      <c r="H94" s="5"/>
      <c r="I94" s="5"/>
      <c r="J94" s="5"/>
      <c r="K94" s="5"/>
      <c r="L94" s="5"/>
      <c r="M94" s="5"/>
      <c r="N94" s="5"/>
      <c r="O94" s="5"/>
      <c r="P94" s="6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30" t="s">
        <v>37</v>
      </c>
      <c r="B95" s="47" t="s">
        <v>81</v>
      </c>
      <c r="C95" s="48" t="s">
        <v>82</v>
      </c>
      <c r="D95" s="16"/>
      <c r="E95" s="24">
        <f>BULUSAN!AC95+BULUSARI!R95+GOMBENGSARI!AC95+KALIPURO!AR95+KELIR!W95+KETAPANG!BE95+KLATAK!AV95+PESUCEN!R95+TELEMUNG!T95</f>
        <v>194</v>
      </c>
      <c r="F95" s="25"/>
      <c r="G95" s="1"/>
      <c r="H95" s="1"/>
      <c r="I95" s="1"/>
      <c r="J95" s="1"/>
      <c r="K95" s="1"/>
      <c r="L95" s="1"/>
      <c r="M95" s="1"/>
      <c r="N95" s="1"/>
      <c r="O95" s="1"/>
      <c r="P95" s="9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0" t="s">
        <v>39</v>
      </c>
      <c r="B96" s="55">
        <v>1.0</v>
      </c>
      <c r="C96" s="50" t="s">
        <v>83</v>
      </c>
      <c r="D96" s="57"/>
      <c r="E96" s="24">
        <f>BULUSAN!AC96+BULUSARI!R96+GOMBENGSARI!AC96+KALIPURO!AR96+KELIR!W96+KETAPANG!BE96+KLATAK!AV96+PESUCEN!R96+TELEMUNG!T96</f>
        <v>52</v>
      </c>
      <c r="F96" s="51"/>
      <c r="G96" s="52"/>
      <c r="H96" s="52"/>
      <c r="I96" s="52"/>
      <c r="J96" s="52"/>
      <c r="K96" s="52"/>
      <c r="L96" s="52"/>
      <c r="M96" s="52"/>
      <c r="N96" s="52"/>
      <c r="O96" s="52"/>
      <c r="P96" s="53"/>
      <c r="Q96" s="3"/>
      <c r="R96" s="3"/>
      <c r="S96" s="3"/>
      <c r="T96" s="3"/>
      <c r="U96" s="3"/>
      <c r="V96" s="3"/>
      <c r="W96" s="54"/>
      <c r="X96" s="3"/>
      <c r="Y96" s="3"/>
      <c r="Z96" s="3"/>
    </row>
    <row r="97" ht="15.75" customHeight="1">
      <c r="A97" s="18"/>
      <c r="B97" s="55">
        <v>2.0</v>
      </c>
      <c r="C97" s="50" t="s">
        <v>84</v>
      </c>
      <c r="D97" s="57"/>
      <c r="E97" s="24">
        <f>BULUSAN!AC97+BULUSARI!R97+GOMBENGSARI!AC97+KALIPURO!AR97+KELIR!W97+KETAPANG!BE97+KLATAK!AV97+PESUCEN!R97+TELEMUNG!T97</f>
        <v>36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>
        <v>3.0</v>
      </c>
      <c r="C98" s="50" t="s">
        <v>85</v>
      </c>
      <c r="D98" s="57"/>
      <c r="E98" s="24">
        <f>BULUSAN!AC98+BULUSARI!R98+GOMBENGSARI!AC98+KALIPURO!AR98+KELIR!W98+KETAPANG!BE98+KLATAK!AV98+PESUCEN!R98+TELEMUNG!T98</f>
        <v>17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>
        <v>4.0</v>
      </c>
      <c r="C99" s="50" t="s">
        <v>86</v>
      </c>
      <c r="D99" s="57"/>
      <c r="E99" s="24">
        <f>BULUSAN!AC99+BULUSARI!R99+GOMBENGSARI!AC99+KALIPURO!AR99+KELIR!W99+KETAPANG!BE99+KLATAK!AV99+PESUCEN!R99+TELEMUNG!T99</f>
        <v>6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>
        <v>5.0</v>
      </c>
      <c r="C100" s="50" t="s">
        <v>87</v>
      </c>
      <c r="D100" s="57"/>
      <c r="E100" s="24">
        <f>BULUSAN!AC100+BULUSARI!R100+GOMBENGSARI!AC100+KALIPURO!AR100+KELIR!W100+KETAPANG!BE100+KLATAK!AV100+PESUCEN!R100+TELEMUNG!T100</f>
        <v>4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5">
        <v>6.0</v>
      </c>
      <c r="C101" s="50" t="s">
        <v>88</v>
      </c>
      <c r="D101" s="57"/>
      <c r="E101" s="24">
        <f>BULUSAN!AC101+BULUSARI!R101+GOMBENGSARI!AC101+KALIPURO!AR101+KELIR!W101+KETAPANG!BE101+KLATAK!AV101+PESUCEN!R101+TELEMUNG!T101</f>
        <v>16</v>
      </c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5">
        <v>7.0</v>
      </c>
      <c r="C102" s="50" t="s">
        <v>89</v>
      </c>
      <c r="D102" s="57"/>
      <c r="E102" s="24">
        <f>BULUSAN!AC102+BULUSARI!R102+GOMBENGSARI!AC102+KALIPURO!AR102+KELIR!W102+KETAPANG!BE102+KLATAK!AV102+PESUCEN!R102+TELEMUNG!T102</f>
        <v>7</v>
      </c>
      <c r="F102" s="25"/>
      <c r="G102" s="1"/>
      <c r="H102" s="1"/>
      <c r="I102" s="1"/>
      <c r="J102" s="1"/>
      <c r="K102" s="1"/>
      <c r="L102" s="1"/>
      <c r="M102" s="1"/>
      <c r="N102" s="1"/>
      <c r="O102" s="1"/>
      <c r="P102" s="9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9" t="s">
        <v>15</v>
      </c>
      <c r="B103" s="47" t="s">
        <v>47</v>
      </c>
      <c r="C103" s="15"/>
      <c r="D103" s="16"/>
      <c r="E103" s="13">
        <f>SUM(E95:E102)</f>
        <v>332</v>
      </c>
      <c r="F103" s="51"/>
      <c r="G103" s="52"/>
      <c r="H103" s="52"/>
      <c r="I103" s="52"/>
      <c r="J103" s="52"/>
      <c r="K103" s="52"/>
      <c r="L103" s="52"/>
      <c r="M103" s="52"/>
      <c r="N103" s="52"/>
      <c r="O103" s="52"/>
      <c r="P103" s="53"/>
      <c r="Q103" s="3"/>
      <c r="R103" s="3"/>
      <c r="S103" s="3"/>
      <c r="T103" s="3"/>
      <c r="U103" s="3"/>
      <c r="V103" s="3"/>
      <c r="W103" s="54"/>
      <c r="X103" s="3"/>
      <c r="Y103" s="3"/>
      <c r="Z103" s="3"/>
    </row>
    <row r="104" ht="15.75" customHeight="1">
      <c r="A104" s="24"/>
      <c r="B104" s="15"/>
      <c r="C104" s="15"/>
      <c r="D104" s="15"/>
      <c r="E104" s="16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90</v>
      </c>
      <c r="C105" s="48" t="s">
        <v>91</v>
      </c>
      <c r="D105" s="16"/>
      <c r="E105" s="24">
        <f>BULUSAN!AC105+BULUSARI!R105+GOMBENGSARI!AC105+KALIPURO!AR105+KELIR!W105+KETAPANG!BE105+KLATAK!AV105+PESUCEN!R105+TELEMUNG!T105</f>
        <v>155</v>
      </c>
      <c r="F105" s="18"/>
      <c r="G105" s="5"/>
      <c r="H105" s="5"/>
      <c r="I105" s="5"/>
      <c r="J105" s="5"/>
      <c r="K105" s="5"/>
      <c r="L105" s="5"/>
      <c r="M105" s="5"/>
      <c r="N105" s="5"/>
      <c r="O105" s="5"/>
      <c r="P105" s="6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30" t="s">
        <v>39</v>
      </c>
      <c r="B106" s="55">
        <v>1.0</v>
      </c>
      <c r="C106" s="50" t="s">
        <v>92</v>
      </c>
      <c r="D106" s="57"/>
      <c r="E106" s="24">
        <f>BULUSAN!AC106+BULUSARI!R106+GOMBENGSARI!AC106+KALIPURO!AR106+KELIR!W106+KETAPANG!BE106+KLATAK!AV106+PESUCEN!R106+TELEMUNG!T106</f>
        <v>70</v>
      </c>
      <c r="F106" s="18"/>
      <c r="G106" s="5"/>
      <c r="H106" s="5"/>
      <c r="I106" s="5"/>
      <c r="J106" s="5"/>
      <c r="K106" s="5"/>
      <c r="L106" s="5"/>
      <c r="M106" s="5"/>
      <c r="N106" s="5"/>
      <c r="O106" s="5"/>
      <c r="P106" s="6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18"/>
      <c r="B107" s="55">
        <v>2.0</v>
      </c>
      <c r="C107" s="50" t="s">
        <v>93</v>
      </c>
      <c r="D107" s="57"/>
      <c r="E107" s="24">
        <f>BULUSAN!AC107+BULUSARI!R107+GOMBENGSARI!AC107+KALIPURO!AR107+KELIR!W107+KETAPANG!BE107+KLATAK!AV107+PESUCEN!R107+TELEMUNG!T107</f>
        <v>18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5">
        <v>3.0</v>
      </c>
      <c r="C108" s="50" t="s">
        <v>94</v>
      </c>
      <c r="D108" s="57"/>
      <c r="E108" s="24">
        <f>BULUSAN!AC108+BULUSARI!R108+GOMBENGSARI!AC108+KALIPURO!AR108+KELIR!W108+KETAPANG!BE108+KLATAK!AV108+PESUCEN!R108+TELEMUNG!T108</f>
        <v>10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9" t="s">
        <v>15</v>
      </c>
      <c r="B109" s="47" t="s">
        <v>47</v>
      </c>
      <c r="C109" s="15"/>
      <c r="D109" s="16"/>
      <c r="E109" s="58">
        <f>SUM(E105:E108)</f>
        <v>253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4"/>
      <c r="B110" s="15"/>
      <c r="C110" s="15"/>
      <c r="D110" s="15"/>
      <c r="E110" s="16"/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30" t="s">
        <v>37</v>
      </c>
      <c r="B111" s="47" t="s">
        <v>95</v>
      </c>
      <c r="C111" s="48" t="s">
        <v>96</v>
      </c>
      <c r="D111" s="16"/>
      <c r="E111" s="24">
        <f>BULUSAN!AC111+BULUSARI!R111+GOMBENGSARI!AC111+KALIPURO!AR111+KELIR!W111+KETAPANG!BE111+KLATAK!AV111+PESUCEN!R111+TELEMUNG!T111</f>
        <v>438</v>
      </c>
      <c r="F111" s="25"/>
      <c r="G111" s="1"/>
      <c r="H111" s="1"/>
      <c r="I111" s="1"/>
      <c r="J111" s="1"/>
      <c r="K111" s="1"/>
      <c r="L111" s="1"/>
      <c r="M111" s="1"/>
      <c r="N111" s="1"/>
      <c r="O111" s="1"/>
      <c r="P111" s="9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0" t="s">
        <v>39</v>
      </c>
      <c r="B112" s="55">
        <v>1.0</v>
      </c>
      <c r="C112" s="50" t="s">
        <v>97</v>
      </c>
      <c r="D112" s="56"/>
      <c r="E112" s="24">
        <f>BULUSAN!AC112+BULUSARI!R112+GOMBENGSARI!AC112+KALIPURO!AR112+KELIR!W112+KETAPANG!BE112+KLATAK!AV112+PESUCEN!R112+TELEMUNG!T112</f>
        <v>771</v>
      </c>
      <c r="F112" s="51"/>
      <c r="G112" s="52"/>
      <c r="H112" s="52"/>
      <c r="I112" s="52"/>
      <c r="J112" s="52"/>
      <c r="K112" s="52"/>
      <c r="L112" s="52"/>
      <c r="M112" s="52"/>
      <c r="N112" s="52"/>
      <c r="O112" s="52"/>
      <c r="P112" s="53"/>
      <c r="Q112" s="3"/>
      <c r="R112" s="3"/>
      <c r="S112" s="3"/>
      <c r="T112" s="3"/>
      <c r="U112" s="3"/>
      <c r="V112" s="3"/>
      <c r="W112" s="54"/>
      <c r="X112" s="3"/>
      <c r="Y112" s="3"/>
      <c r="Z112" s="3"/>
    </row>
    <row r="113" ht="15.75" customHeight="1">
      <c r="A113" s="18"/>
      <c r="B113" s="55">
        <v>2.0</v>
      </c>
      <c r="C113" s="50" t="s">
        <v>98</v>
      </c>
      <c r="D113" s="56"/>
      <c r="E113" s="24">
        <f>BULUSAN!AC113+BULUSARI!R113+GOMBENGSARI!AC113+KALIPURO!AR113+KELIR!W113+KETAPANG!BE113+KLATAK!AV113+PESUCEN!R113+TELEMUNG!T113</f>
        <v>308</v>
      </c>
      <c r="F113" s="18"/>
      <c r="G113" s="5"/>
      <c r="H113" s="5"/>
      <c r="I113" s="5"/>
      <c r="J113" s="5"/>
      <c r="K113" s="5"/>
      <c r="L113" s="5"/>
      <c r="M113" s="5"/>
      <c r="N113" s="5"/>
      <c r="O113" s="5"/>
      <c r="P113" s="6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18"/>
      <c r="B114" s="55">
        <v>3.0</v>
      </c>
      <c r="C114" s="50" t="s">
        <v>99</v>
      </c>
      <c r="D114" s="56"/>
      <c r="E114" s="24">
        <f>BULUSAN!AC114+BULUSARI!R114+GOMBENGSARI!AC114+KALIPURO!AR114+KELIR!W114+KETAPANG!BE114+KLATAK!AV114+PESUCEN!R114+TELEMUNG!T114</f>
        <v>50</v>
      </c>
      <c r="F114" s="18"/>
      <c r="G114" s="5"/>
      <c r="H114" s="5"/>
      <c r="I114" s="5"/>
      <c r="J114" s="5"/>
      <c r="K114" s="5"/>
      <c r="L114" s="5"/>
      <c r="M114" s="5"/>
      <c r="N114" s="5"/>
      <c r="O114" s="5"/>
      <c r="P114" s="6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18"/>
      <c r="B115" s="55">
        <v>4.0</v>
      </c>
      <c r="C115" s="50" t="s">
        <v>100</v>
      </c>
      <c r="D115" s="56"/>
      <c r="E115" s="24">
        <f>BULUSAN!AC115+BULUSARI!R115+GOMBENGSARI!AC115+KALIPURO!AR115+KELIR!W115+KETAPANG!BE115+KLATAK!AV115+PESUCEN!R115+TELEMUNG!T115</f>
        <v>29</v>
      </c>
      <c r="F115" s="18"/>
      <c r="G115" s="5"/>
      <c r="H115" s="5"/>
      <c r="I115" s="5"/>
      <c r="J115" s="5"/>
      <c r="K115" s="5"/>
      <c r="L115" s="5"/>
      <c r="M115" s="5"/>
      <c r="N115" s="5"/>
      <c r="O115" s="5"/>
      <c r="P115" s="6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18"/>
      <c r="B116" s="55">
        <v>5.0</v>
      </c>
      <c r="C116" s="50" t="s">
        <v>101</v>
      </c>
      <c r="D116" s="56"/>
      <c r="E116" s="24">
        <f>BULUSAN!AC116+BULUSARI!R116+GOMBENGSARI!AC116+KALIPURO!AR116+KELIR!W116+KETAPANG!BE116+KLATAK!AV116+PESUCEN!R116+TELEMUNG!T116</f>
        <v>13</v>
      </c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18"/>
      <c r="B117" s="55">
        <v>6.0</v>
      </c>
      <c r="C117" s="50" t="s">
        <v>102</v>
      </c>
      <c r="D117" s="57"/>
      <c r="E117" s="24">
        <f>BULUSAN!AC117+BULUSARI!R117+GOMBENGSARI!AC117+KALIPURO!AR117+KELIR!W117+KETAPANG!BE117+KLATAK!AV117+PESUCEN!R117+TELEMUNG!T117</f>
        <v>20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18"/>
      <c r="B118" s="55">
        <v>7.0</v>
      </c>
      <c r="C118" s="50" t="s">
        <v>103</v>
      </c>
      <c r="D118" s="56"/>
      <c r="E118" s="24">
        <f>BULUSAN!AC118+BULUSARI!R118+GOMBENGSARI!AC118+KALIPURO!AR118+KELIR!W118+KETAPANG!BE118+KLATAK!AV118+PESUCEN!R118+TELEMUNG!T118</f>
        <v>8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9" t="s">
        <v>15</v>
      </c>
      <c r="B119" s="47" t="s">
        <v>47</v>
      </c>
      <c r="C119" s="15"/>
      <c r="D119" s="16"/>
      <c r="E119" s="13">
        <f>SUM(E111:E118)</f>
        <v>1637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4"/>
      <c r="B120" s="15"/>
      <c r="C120" s="15"/>
      <c r="D120" s="15"/>
      <c r="E120" s="16"/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30" t="s">
        <v>37</v>
      </c>
      <c r="B121" s="47" t="s">
        <v>104</v>
      </c>
      <c r="C121" s="48" t="s">
        <v>105</v>
      </c>
      <c r="D121" s="16"/>
      <c r="E121" s="24">
        <f>BULUSAN!AC121+BULUSARI!R121+GOMBENGSARI!AC121+KALIPURO!AR121+KELIR!W121+KETAPANG!BE121+KLATAK!AV121+PESUCEN!R121+TELEMUNG!T121</f>
        <v>20</v>
      </c>
      <c r="F121" s="25"/>
      <c r="G121" s="1"/>
      <c r="H121" s="1"/>
      <c r="I121" s="1"/>
      <c r="J121" s="1"/>
      <c r="K121" s="1"/>
      <c r="L121" s="1"/>
      <c r="M121" s="1"/>
      <c r="N121" s="1"/>
      <c r="O121" s="1"/>
      <c r="P121" s="9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0" t="s">
        <v>39</v>
      </c>
      <c r="B122" s="55">
        <v>1.0</v>
      </c>
      <c r="C122" s="50" t="s">
        <v>106</v>
      </c>
      <c r="D122" s="57"/>
      <c r="E122" s="24">
        <f>BULUSAN!AC122+BULUSARI!R122+GOMBENGSARI!AC122+KALIPURO!AR122+KELIR!W122+KETAPANG!BE122+KLATAK!AV122+PESUCEN!R122+TELEMUNG!T122</f>
        <v>5</v>
      </c>
      <c r="F122" s="51"/>
      <c r="G122" s="52"/>
      <c r="H122" s="52"/>
      <c r="I122" s="52"/>
      <c r="J122" s="52"/>
      <c r="K122" s="52"/>
      <c r="L122" s="52"/>
      <c r="M122" s="52"/>
      <c r="N122" s="52"/>
      <c r="O122" s="52"/>
      <c r="P122" s="53"/>
      <c r="Q122" s="3"/>
      <c r="R122" s="3"/>
      <c r="S122" s="3"/>
      <c r="T122" s="3"/>
      <c r="U122" s="3"/>
      <c r="V122" s="3"/>
      <c r="W122" s="54"/>
      <c r="X122" s="3"/>
      <c r="Y122" s="3"/>
      <c r="Z122" s="3"/>
    </row>
    <row r="123" ht="15.75" customHeight="1">
      <c r="A123" s="18"/>
      <c r="B123" s="55">
        <v>2.0</v>
      </c>
      <c r="C123" s="50" t="s">
        <v>107</v>
      </c>
      <c r="D123" s="57"/>
      <c r="E123" s="24">
        <f>BULUSAN!AC123+BULUSARI!R123+GOMBENGSARI!AC123+KALIPURO!AR123+KELIR!W123+KETAPANG!BE123+KLATAK!AV123+PESUCEN!R123+TELEMUNG!T123</f>
        <v>5</v>
      </c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5">
        <v>3.0</v>
      </c>
      <c r="C124" s="50" t="s">
        <v>108</v>
      </c>
      <c r="D124" s="57"/>
      <c r="E124" s="24">
        <f>BULUSAN!AC124+BULUSARI!R124+GOMBENGSARI!AC124+KALIPURO!AR124+KELIR!W124+KETAPANG!BE124+KLATAK!AV124+PESUCEN!R124+TELEMUNG!T124</f>
        <v>2</v>
      </c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5">
        <v>4.0</v>
      </c>
      <c r="C125" s="50" t="s">
        <v>109</v>
      </c>
      <c r="D125" s="57"/>
      <c r="E125" s="24">
        <f>BULUSAN!AC125+BULUSARI!R125+GOMBENGSARI!AC125+KALIPURO!AR125+KELIR!W125+KETAPANG!BE125+KLATAK!AV125+PESUCEN!R125+TELEMUNG!T125</f>
        <v>3</v>
      </c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5">
        <v>5.0</v>
      </c>
      <c r="C126" s="50" t="s">
        <v>110</v>
      </c>
      <c r="D126" s="57"/>
      <c r="E126" s="24">
        <f>BULUSAN!AC126+BULUSARI!R126+GOMBENGSARI!AC126+KALIPURO!AR126+KELIR!W126+KETAPANG!BE126+KLATAK!AV126+PESUCEN!R126+TELEMUNG!T126</f>
        <v>1</v>
      </c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8"/>
      <c r="B127" s="55">
        <v>6.0</v>
      </c>
      <c r="C127" s="50" t="s">
        <v>111</v>
      </c>
      <c r="D127" s="57"/>
      <c r="E127" s="24">
        <f>BULUSAN!AC127+BULUSARI!R127+GOMBENGSARI!AC127+KALIPURO!AR127+KELIR!W127+KETAPANG!BE127+KLATAK!AV127+PESUCEN!R127+TELEMUNG!T127</f>
        <v>2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18"/>
      <c r="B128" s="55">
        <v>7.0</v>
      </c>
      <c r="C128" s="50" t="s">
        <v>112</v>
      </c>
      <c r="D128" s="57"/>
      <c r="E128" s="24">
        <f>BULUSAN!AC128+BULUSARI!R128+GOMBENGSARI!AC128+KALIPURO!AR128+KELIR!W128+KETAPANG!BE128+KLATAK!AV128+PESUCEN!R128+TELEMUNG!T128</f>
        <v>1</v>
      </c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19" t="s">
        <v>15</v>
      </c>
      <c r="B129" s="47" t="s">
        <v>47</v>
      </c>
      <c r="C129" s="15"/>
      <c r="D129" s="16"/>
      <c r="E129" s="13">
        <f>SUM(E121:E128)</f>
        <v>39</v>
      </c>
      <c r="F129" s="18"/>
      <c r="G129" s="5"/>
      <c r="H129" s="5"/>
      <c r="I129" s="5"/>
      <c r="J129" s="5"/>
      <c r="K129" s="5"/>
      <c r="L129" s="5"/>
      <c r="M129" s="5"/>
      <c r="N129" s="5"/>
      <c r="O129" s="5"/>
      <c r="P129" s="6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4"/>
      <c r="B130" s="15"/>
      <c r="C130" s="15"/>
      <c r="D130" s="15"/>
      <c r="E130" s="16"/>
      <c r="F130" s="25"/>
      <c r="G130" s="1"/>
      <c r="H130" s="1"/>
      <c r="I130" s="1"/>
      <c r="J130" s="1"/>
      <c r="K130" s="1"/>
      <c r="L130" s="1"/>
      <c r="M130" s="1"/>
      <c r="N130" s="1"/>
      <c r="O130" s="1"/>
      <c r="P130" s="9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0" t="s">
        <v>37</v>
      </c>
      <c r="B131" s="17" t="s">
        <v>113</v>
      </c>
      <c r="C131" s="59" t="s">
        <v>114</v>
      </c>
      <c r="D131" s="23"/>
      <c r="E131" s="24">
        <f>BULUSAN!AC131+BULUSARI!R131+GOMBENGSARI!AC131+KALIPURO!AR131+KELIR!W131+KETAPANG!BE131+KLATAK!AV131+PESUCEN!R131+TELEMUNG!T131</f>
        <v>157</v>
      </c>
      <c r="F131" s="51"/>
      <c r="G131" s="52"/>
      <c r="H131" s="52"/>
      <c r="I131" s="52"/>
      <c r="J131" s="52"/>
      <c r="K131" s="52"/>
      <c r="L131" s="52"/>
      <c r="M131" s="52"/>
      <c r="N131" s="52"/>
      <c r="O131" s="52"/>
      <c r="P131" s="53"/>
      <c r="Q131" s="3"/>
      <c r="R131" s="3"/>
      <c r="S131" s="3"/>
      <c r="T131" s="3"/>
      <c r="U131" s="3"/>
      <c r="V131" s="3"/>
      <c r="W131" s="54"/>
      <c r="X131" s="3"/>
      <c r="Y131" s="3"/>
      <c r="Z131" s="3"/>
    </row>
    <row r="132" ht="15.75" customHeight="1">
      <c r="A132" s="60" t="s">
        <v>39</v>
      </c>
      <c r="B132" s="55">
        <v>1.0</v>
      </c>
      <c r="C132" s="61" t="s">
        <v>115</v>
      </c>
      <c r="D132" s="57"/>
      <c r="E132" s="24">
        <f>BULUSAN!AC132+BULUSARI!R132+GOMBENGSARI!AC132+KALIPURO!AR132+KELIR!W132+KETAPANG!BE132+KLATAK!AV132+PESUCEN!R132+TELEMUNG!T132</f>
        <v>203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>
        <v>2.0</v>
      </c>
      <c r="C133" s="61" t="s">
        <v>116</v>
      </c>
      <c r="D133" s="57"/>
      <c r="E133" s="24">
        <f>BULUSAN!AC133+BULUSARI!R133+GOMBENGSARI!AC133+KALIPURO!AR133+KELIR!W133+KETAPANG!BE133+KLATAK!AV133+PESUCEN!R133+TELEMUNG!T133</f>
        <v>60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>
        <v>3.0</v>
      </c>
      <c r="C134" s="61" t="s">
        <v>117</v>
      </c>
      <c r="D134" s="57"/>
      <c r="E134" s="24">
        <f>BULUSAN!AC134+BULUSARI!R134+GOMBENGSARI!AC134+KALIPURO!AR134+KELIR!W134+KETAPANG!BE134+KLATAK!AV134+PESUCEN!R134+TELEMUNG!T134</f>
        <v>15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>
        <v>4.0</v>
      </c>
      <c r="C135" s="61" t="s">
        <v>118</v>
      </c>
      <c r="D135" s="57"/>
      <c r="E135" s="24">
        <f>BULUSAN!AC135+BULUSARI!R135+GOMBENGSARI!AC135+KALIPURO!AR135+KELIR!W135+KETAPANG!BE135+KLATAK!AV135+PESUCEN!R135+TELEMUNG!T135</f>
        <v>45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9" t="s">
        <v>15</v>
      </c>
      <c r="B136" s="62" t="s">
        <v>47</v>
      </c>
      <c r="C136" s="44"/>
      <c r="D136" s="28"/>
      <c r="E136" s="13">
        <f>SUM(E131:E135)</f>
        <v>480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4"/>
      <c r="B137" s="15"/>
      <c r="C137" s="15"/>
      <c r="D137" s="15"/>
      <c r="E137" s="16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30" t="s">
        <v>37</v>
      </c>
      <c r="B138" s="47" t="s">
        <v>119</v>
      </c>
      <c r="C138" s="48" t="s">
        <v>120</v>
      </c>
      <c r="D138" s="16"/>
      <c r="E138" s="24">
        <f>BULUSAN!AC138+BULUSARI!R138+GOMBENGSARI!AC138+KALIPURO!AR138+KELIR!W138+KETAPANG!BE138+KLATAK!AV138+PESUCEN!R138+TELEMUNG!T138</f>
        <v>30</v>
      </c>
      <c r="F138" s="25"/>
      <c r="G138" s="1"/>
      <c r="H138" s="1"/>
      <c r="I138" s="1"/>
      <c r="J138" s="1"/>
      <c r="K138" s="1"/>
      <c r="L138" s="1"/>
      <c r="M138" s="1"/>
      <c r="N138" s="1"/>
      <c r="O138" s="1"/>
      <c r="P138" s="9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0" t="s">
        <v>39</v>
      </c>
      <c r="B139" s="55">
        <v>1.0</v>
      </c>
      <c r="C139" s="50" t="s">
        <v>121</v>
      </c>
      <c r="D139" s="57"/>
      <c r="E139" s="24">
        <f>BULUSAN!AC139+BULUSARI!R139+GOMBENGSARI!AC139+KALIPURO!AR139+KELIR!W139+KETAPANG!BE139+KLATAK!AV139+PESUCEN!R139+TELEMUNG!T139</f>
        <v>35</v>
      </c>
      <c r="F139" s="51"/>
      <c r="G139" s="52"/>
      <c r="H139" s="52"/>
      <c r="I139" s="52"/>
      <c r="J139" s="52"/>
      <c r="K139" s="52"/>
      <c r="L139" s="52"/>
      <c r="M139" s="52"/>
      <c r="N139" s="52"/>
      <c r="O139" s="52"/>
      <c r="P139" s="53"/>
      <c r="Q139" s="3"/>
      <c r="R139" s="3"/>
      <c r="S139" s="3"/>
      <c r="T139" s="3"/>
      <c r="U139" s="3"/>
      <c r="V139" s="3"/>
      <c r="W139" s="54"/>
      <c r="X139" s="3"/>
      <c r="Y139" s="3"/>
      <c r="Z139" s="3"/>
    </row>
    <row r="140" ht="15.75" customHeight="1">
      <c r="A140" s="18"/>
      <c r="B140" s="55">
        <v>2.0</v>
      </c>
      <c r="C140" s="50" t="s">
        <v>122</v>
      </c>
      <c r="D140" s="57"/>
      <c r="E140" s="24">
        <f>BULUSAN!AC140+BULUSARI!R140+GOMBENGSARI!AC140+KALIPURO!AR140+KELIR!W140+KETAPANG!BE140+KLATAK!AV140+PESUCEN!R140+TELEMUNG!T140</f>
        <v>8</v>
      </c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18"/>
      <c r="B141" s="55">
        <v>3.0</v>
      </c>
      <c r="C141" s="50" t="s">
        <v>123</v>
      </c>
      <c r="D141" s="57"/>
      <c r="E141" s="24">
        <f>BULUSAN!AC141+BULUSARI!R141+GOMBENGSARI!AC141+KALIPURO!AR141+KELIR!W141+KETAPANG!BE141+KLATAK!AV141+PESUCEN!R141+TELEMUNG!T141</f>
        <v>9</v>
      </c>
      <c r="F141" s="18"/>
      <c r="G141" s="5"/>
      <c r="H141" s="5"/>
      <c r="I141" s="5"/>
      <c r="J141" s="5"/>
      <c r="K141" s="5"/>
      <c r="L141" s="5"/>
      <c r="M141" s="5"/>
      <c r="N141" s="5"/>
      <c r="O141" s="5"/>
      <c r="P141" s="6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18"/>
      <c r="B142" s="55">
        <v>4.0</v>
      </c>
      <c r="C142" s="50" t="s">
        <v>124</v>
      </c>
      <c r="D142" s="57"/>
      <c r="E142" s="24">
        <f>BULUSAN!AC142+BULUSARI!R142+GOMBENGSARI!AC142+KALIPURO!AR142+KELIR!W142+KETAPANG!BE142+KLATAK!AV142+PESUCEN!R142+TELEMUNG!T142</f>
        <v>8</v>
      </c>
      <c r="F142" s="18"/>
      <c r="G142" s="5"/>
      <c r="H142" s="5"/>
      <c r="I142" s="5"/>
      <c r="J142" s="5"/>
      <c r="K142" s="5"/>
      <c r="L142" s="5"/>
      <c r="M142" s="5"/>
      <c r="N142" s="5"/>
      <c r="O142" s="5"/>
      <c r="P142" s="6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18"/>
      <c r="B143" s="55">
        <v>5.0</v>
      </c>
      <c r="C143" s="50" t="s">
        <v>125</v>
      </c>
      <c r="D143" s="57"/>
      <c r="E143" s="24">
        <f>BULUSAN!AC143+BULUSARI!R143+GOMBENGSARI!AC143+KALIPURO!AR143+KELIR!W143+KETAPANG!BE143+KLATAK!AV143+PESUCEN!R143+TELEMUNG!T143</f>
        <v>0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>
        <v>6.0</v>
      </c>
      <c r="C144" s="50" t="s">
        <v>126</v>
      </c>
      <c r="D144" s="57"/>
      <c r="E144" s="24">
        <f>BULUSAN!AC144+BULUSARI!R144+GOMBENGSARI!AC144+KALIPURO!AR144+KELIR!W144+KETAPANG!BE144+KLATAK!AV144+PESUCEN!R144+TELEMUNG!T144</f>
        <v>3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5">
        <v>7.0</v>
      </c>
      <c r="C145" s="50" t="s">
        <v>127</v>
      </c>
      <c r="D145" s="57"/>
      <c r="E145" s="24">
        <f>BULUSAN!AC145+BULUSARI!R145+GOMBENGSARI!AC145+KALIPURO!AR145+KELIR!W145+KETAPANG!BE145+KLATAK!AV145+PESUCEN!R145+TELEMUNG!T145</f>
        <v>4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9" t="s">
        <v>15</v>
      </c>
      <c r="B146" s="47" t="s">
        <v>47</v>
      </c>
      <c r="C146" s="15"/>
      <c r="D146" s="16"/>
      <c r="E146" s="13">
        <f>SUM(E138:E145)</f>
        <v>97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4"/>
      <c r="B147" s="15"/>
      <c r="C147" s="15"/>
      <c r="D147" s="15"/>
      <c r="E147" s="16"/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30" t="s">
        <v>37</v>
      </c>
      <c r="B148" s="47" t="s">
        <v>128</v>
      </c>
      <c r="C148" s="48" t="s">
        <v>129</v>
      </c>
      <c r="D148" s="16"/>
      <c r="E148" s="24">
        <f>BULUSAN!AC148+BULUSARI!R148+GOMBENGSARI!AC148+KALIPURO!AR148+KELIR!W148+KETAPANG!BE148+KLATAK!AV148+PESUCEN!R148+TELEMUNG!T148</f>
        <v>207</v>
      </c>
      <c r="F148" s="25"/>
      <c r="G148" s="1"/>
      <c r="H148" s="1"/>
      <c r="I148" s="1"/>
      <c r="J148" s="1"/>
      <c r="K148" s="1"/>
      <c r="L148" s="1"/>
      <c r="M148" s="1"/>
      <c r="N148" s="1"/>
      <c r="O148" s="1"/>
      <c r="P148" s="9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0" t="s">
        <v>39</v>
      </c>
      <c r="B149" s="55">
        <v>1.0</v>
      </c>
      <c r="C149" s="50" t="s">
        <v>130</v>
      </c>
      <c r="D149" s="57"/>
      <c r="E149" s="24">
        <f>BULUSAN!AC149+BULUSARI!R149+GOMBENGSARI!AC149+KALIPURO!AR149+KELIR!W149+KETAPANG!BE149+KLATAK!AV149+PESUCEN!R149+TELEMUNG!T149</f>
        <v>187</v>
      </c>
      <c r="F149" s="51"/>
      <c r="G149" s="52"/>
      <c r="H149" s="52"/>
      <c r="I149" s="52"/>
      <c r="J149" s="52"/>
      <c r="K149" s="52"/>
      <c r="L149" s="52"/>
      <c r="M149" s="52"/>
      <c r="N149" s="52"/>
      <c r="O149" s="52"/>
      <c r="P149" s="53"/>
      <c r="Q149" s="3"/>
      <c r="R149" s="3"/>
      <c r="S149" s="3"/>
      <c r="T149" s="3"/>
      <c r="U149" s="3"/>
      <c r="V149" s="3"/>
      <c r="W149" s="54"/>
      <c r="X149" s="3"/>
      <c r="Y149" s="3"/>
      <c r="Z149" s="3"/>
    </row>
    <row r="150" ht="15.75" customHeight="1">
      <c r="A150" s="18"/>
      <c r="B150" s="55">
        <v>2.0</v>
      </c>
      <c r="C150" s="50" t="s">
        <v>131</v>
      </c>
      <c r="D150" s="57"/>
      <c r="E150" s="24">
        <f>BULUSAN!AC150+BULUSARI!R150+GOMBENGSARI!AC150+KALIPURO!AR150+KELIR!W150+KETAPANG!BE150+KLATAK!AV150+PESUCEN!R150+TELEMUNG!T150</f>
        <v>90</v>
      </c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8"/>
      <c r="B151" s="55">
        <v>3.0</v>
      </c>
      <c r="C151" s="50" t="s">
        <v>132</v>
      </c>
      <c r="D151" s="57"/>
      <c r="E151" s="24">
        <f>BULUSAN!AC151+BULUSARI!R151+GOMBENGSARI!AC151+KALIPURO!AR151+KELIR!W151+KETAPANG!BE151+KLATAK!AV151+PESUCEN!R151+TELEMUNG!T151</f>
        <v>44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18"/>
      <c r="B152" s="55">
        <v>4.0</v>
      </c>
      <c r="C152" s="50" t="s">
        <v>133</v>
      </c>
      <c r="D152" s="57"/>
      <c r="E152" s="24">
        <f>BULUSAN!AC152+BULUSARI!R152+GOMBENGSARI!AC152+KALIPURO!AR152+KELIR!W152+KETAPANG!BE152+KLATAK!AV152+PESUCEN!R152+TELEMUNG!T152</f>
        <v>43</v>
      </c>
      <c r="F152" s="18"/>
      <c r="G152" s="5"/>
      <c r="H152" s="5"/>
      <c r="I152" s="5"/>
      <c r="J152" s="5"/>
      <c r="K152" s="5"/>
      <c r="L152" s="5"/>
      <c r="M152" s="5"/>
      <c r="N152" s="5"/>
      <c r="O152" s="5"/>
      <c r="P152" s="6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18"/>
      <c r="B153" s="55">
        <v>5.0</v>
      </c>
      <c r="C153" s="50" t="s">
        <v>134</v>
      </c>
      <c r="D153" s="57"/>
      <c r="E153" s="24">
        <f>BULUSAN!AC153+BULUSARI!R153+GOMBENGSARI!AC153+KALIPURO!AR153+KELIR!W153+KETAPANG!BE153+KLATAK!AV153+PESUCEN!R153+TELEMUNG!T153</f>
        <v>87</v>
      </c>
      <c r="F153" s="18"/>
      <c r="G153" s="5"/>
      <c r="H153" s="5"/>
      <c r="I153" s="5"/>
      <c r="J153" s="5"/>
      <c r="K153" s="5"/>
      <c r="L153" s="5"/>
      <c r="M153" s="5"/>
      <c r="N153" s="5"/>
      <c r="O153" s="5"/>
      <c r="P153" s="6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18"/>
      <c r="B154" s="55">
        <v>6.0</v>
      </c>
      <c r="C154" s="50" t="s">
        <v>135</v>
      </c>
      <c r="D154" s="57"/>
      <c r="E154" s="24">
        <f>BULUSAN!AC154+BULUSARI!R154+GOMBENGSARI!AC154+KALIPURO!AR154+KELIR!W154+KETAPANG!BE154+KLATAK!AV154+PESUCEN!R154+TELEMUNG!T154</f>
        <v>21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>
        <v>7.0</v>
      </c>
      <c r="C155" s="50" t="s">
        <v>136</v>
      </c>
      <c r="D155" s="57"/>
      <c r="E155" s="24">
        <f>BULUSAN!AC155+BULUSARI!R155+GOMBENGSARI!AC155+KALIPURO!AR155+KELIR!W155+KETAPANG!BE155+KLATAK!AV155+PESUCEN!R155+TELEMUNG!T155</f>
        <v>51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9" t="s">
        <v>15</v>
      </c>
      <c r="B156" s="47" t="s">
        <v>47</v>
      </c>
      <c r="C156" s="15"/>
      <c r="D156" s="16"/>
      <c r="E156" s="13">
        <f>SUM(E148:E155)</f>
        <v>730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4"/>
      <c r="B157" s="15"/>
      <c r="C157" s="15"/>
      <c r="D157" s="15"/>
      <c r="E157" s="16"/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30" t="s">
        <v>37</v>
      </c>
      <c r="B158" s="47" t="s">
        <v>137</v>
      </c>
      <c r="C158" s="48" t="s">
        <v>138</v>
      </c>
      <c r="D158" s="16"/>
      <c r="E158" s="24">
        <f>BULUSAN!AC158+BULUSARI!R158+GOMBENGSARI!AC158+KALIPURO!AR158+KELIR!W158+KETAPANG!BE158+KLATAK!AV158+PESUCEN!R158+TELEMUNG!T158</f>
        <v>27</v>
      </c>
      <c r="F158" s="25"/>
      <c r="G158" s="1"/>
      <c r="H158" s="1"/>
      <c r="I158" s="1"/>
      <c r="J158" s="1"/>
      <c r="K158" s="1"/>
      <c r="L158" s="1"/>
      <c r="M158" s="1"/>
      <c r="N158" s="1"/>
      <c r="O158" s="1"/>
      <c r="P158" s="9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0" t="s">
        <v>39</v>
      </c>
      <c r="B159" s="55">
        <v>1.0</v>
      </c>
      <c r="C159" s="50" t="s">
        <v>139</v>
      </c>
      <c r="D159" s="57"/>
      <c r="E159" s="24">
        <f>BULUSAN!AC159+BULUSARI!R159+GOMBENGSARI!AC159+KALIPURO!AR159+KELIR!W159+KETAPANG!BE159+KLATAK!AV159+PESUCEN!R159+TELEMUNG!T159</f>
        <v>26</v>
      </c>
      <c r="F159" s="51"/>
      <c r="G159" s="52"/>
      <c r="H159" s="52"/>
      <c r="I159" s="52"/>
      <c r="J159" s="52"/>
      <c r="K159" s="52"/>
      <c r="L159" s="52"/>
      <c r="M159" s="52"/>
      <c r="N159" s="52"/>
      <c r="O159" s="52"/>
      <c r="P159" s="53"/>
      <c r="Q159" s="3"/>
      <c r="R159" s="3"/>
      <c r="S159" s="3"/>
      <c r="T159" s="3"/>
      <c r="U159" s="3"/>
      <c r="V159" s="3"/>
      <c r="W159" s="54"/>
      <c r="X159" s="3"/>
      <c r="Y159" s="3"/>
      <c r="Z159" s="3"/>
    </row>
    <row r="160" ht="15.75" customHeight="1">
      <c r="A160" s="18"/>
      <c r="B160" s="55">
        <v>2.0</v>
      </c>
      <c r="C160" s="50" t="s">
        <v>140</v>
      </c>
      <c r="D160" s="57"/>
      <c r="E160" s="24">
        <f>BULUSAN!AC160+BULUSARI!R160+GOMBENGSARI!AC160+KALIPURO!AR160+KELIR!W160+KETAPANG!BE160+KLATAK!AV160+PESUCEN!R160+TELEMUNG!T160</f>
        <v>23</v>
      </c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5">
        <v>3.0</v>
      </c>
      <c r="C161" s="50" t="s">
        <v>141</v>
      </c>
      <c r="D161" s="57"/>
      <c r="E161" s="24">
        <f>BULUSAN!AC161+BULUSARI!R161+GOMBENGSARI!AC161+KALIPURO!AR161+KELIR!W161+KETAPANG!BE161+KLATAK!AV161+PESUCEN!R161+TELEMUNG!T161</f>
        <v>9</v>
      </c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5">
        <v>4.0</v>
      </c>
      <c r="C162" s="50" t="s">
        <v>142</v>
      </c>
      <c r="D162" s="57"/>
      <c r="E162" s="24">
        <f>BULUSAN!AC162+BULUSARI!R162+GOMBENGSARI!AC162+KALIPURO!AR162+KELIR!W162+KETAPANG!BE162+KLATAK!AV162+PESUCEN!R162+TELEMUNG!T162</f>
        <v>3</v>
      </c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8"/>
      <c r="B163" s="55">
        <v>5.0</v>
      </c>
      <c r="C163" s="50" t="s">
        <v>143</v>
      </c>
      <c r="D163" s="57"/>
      <c r="E163" s="24">
        <f>BULUSAN!AC163+BULUSARI!R163+GOMBENGSARI!AC163+KALIPURO!AR163+KELIR!W163+KETAPANG!BE163+KLATAK!AV163+PESUCEN!R163+TELEMUNG!T163</f>
        <v>4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18"/>
      <c r="B164" s="55">
        <v>6.0</v>
      </c>
      <c r="C164" s="50" t="s">
        <v>144</v>
      </c>
      <c r="D164" s="57"/>
      <c r="E164" s="24">
        <f>BULUSAN!AC164+BULUSARI!R164+GOMBENGSARI!AC164+KALIPURO!AR164+KELIR!W164+KETAPANG!BE164+KLATAK!AV164+PESUCEN!R164+TELEMUNG!T164</f>
        <v>3</v>
      </c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18"/>
      <c r="B165" s="55">
        <v>7.0</v>
      </c>
      <c r="C165" s="50" t="s">
        <v>145</v>
      </c>
      <c r="D165" s="57"/>
      <c r="E165" s="24">
        <f>BULUSAN!AC165+BULUSARI!R165+GOMBENGSARI!AC165+KALIPURO!AR165+KELIR!W165+KETAPANG!BE165+KLATAK!AV165+PESUCEN!R165+TELEMUNG!T165</f>
        <v>3</v>
      </c>
      <c r="F165" s="18"/>
      <c r="G165" s="5"/>
      <c r="H165" s="5"/>
      <c r="I165" s="5"/>
      <c r="J165" s="5"/>
      <c r="K165" s="5"/>
      <c r="L165" s="5"/>
      <c r="M165" s="5"/>
      <c r="N165" s="5"/>
      <c r="O165" s="5"/>
      <c r="P165" s="6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19" t="s">
        <v>15</v>
      </c>
      <c r="B166" s="47" t="s">
        <v>47</v>
      </c>
      <c r="C166" s="15"/>
      <c r="D166" s="16"/>
      <c r="E166" s="13">
        <f>SUM(E158:E165)</f>
        <v>98</v>
      </c>
      <c r="F166" s="18"/>
      <c r="G166" s="5"/>
      <c r="H166" s="5"/>
      <c r="I166" s="5"/>
      <c r="J166" s="5"/>
      <c r="K166" s="5"/>
      <c r="L166" s="5"/>
      <c r="M166" s="5"/>
      <c r="N166" s="5"/>
      <c r="O166" s="5"/>
      <c r="P166" s="6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4"/>
      <c r="B167" s="15"/>
      <c r="C167" s="15"/>
      <c r="D167" s="15"/>
      <c r="E167" s="16"/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30" t="s">
        <v>37</v>
      </c>
      <c r="B168" s="47" t="s">
        <v>146</v>
      </c>
      <c r="C168" s="48" t="s">
        <v>147</v>
      </c>
      <c r="D168" s="16"/>
      <c r="E168" s="24">
        <f>BULUSAN!AC168+BULUSARI!R168+GOMBENGSARI!AC168+KALIPURO!AR168+KELIR!W168+KETAPANG!BE168+KLATAK!AV168+PESUCEN!R168+TELEMUNG!T168</f>
        <v>402</v>
      </c>
      <c r="F168" s="25"/>
      <c r="G168" s="1"/>
      <c r="H168" s="1"/>
      <c r="I168" s="1"/>
      <c r="J168" s="1"/>
      <c r="K168" s="1"/>
      <c r="L168" s="1"/>
      <c r="M168" s="1"/>
      <c r="N168" s="1"/>
      <c r="O168" s="1"/>
      <c r="P168" s="9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0" t="s">
        <v>39</v>
      </c>
      <c r="B169" s="55">
        <v>1.0</v>
      </c>
      <c r="C169" s="50" t="s">
        <v>148</v>
      </c>
      <c r="D169" s="57"/>
      <c r="E169" s="24">
        <f>BULUSAN!AC169+BULUSARI!R169+GOMBENGSARI!AC169+KALIPURO!AR169+KELIR!W169+KETAPANG!BE169+KLATAK!AV169+PESUCEN!R169+TELEMUNG!T169</f>
        <v>407</v>
      </c>
      <c r="F169" s="51"/>
      <c r="G169" s="52"/>
      <c r="H169" s="52"/>
      <c r="I169" s="52"/>
      <c r="J169" s="52"/>
      <c r="K169" s="52"/>
      <c r="L169" s="52"/>
      <c r="M169" s="52"/>
      <c r="N169" s="52"/>
      <c r="O169" s="52"/>
      <c r="P169" s="53"/>
      <c r="Q169" s="3"/>
      <c r="R169" s="3"/>
      <c r="S169" s="3"/>
      <c r="T169" s="3"/>
      <c r="U169" s="3"/>
      <c r="V169" s="3"/>
      <c r="W169" s="54"/>
      <c r="X169" s="3"/>
      <c r="Y169" s="3"/>
      <c r="Z169" s="3"/>
    </row>
    <row r="170" ht="15.75" customHeight="1">
      <c r="A170" s="18"/>
      <c r="B170" s="55">
        <v>2.0</v>
      </c>
      <c r="C170" s="50" t="s">
        <v>149</v>
      </c>
      <c r="D170" s="57"/>
      <c r="E170" s="24">
        <f>BULUSAN!AC170+BULUSARI!R170+GOMBENGSARI!AC170+KALIPURO!AR170+KELIR!W170+KETAPANG!BE170+KLATAK!AV170+PESUCEN!R170+TELEMUNG!T170</f>
        <v>281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5">
        <v>3.0</v>
      </c>
      <c r="C171" s="50" t="s">
        <v>150</v>
      </c>
      <c r="D171" s="57"/>
      <c r="E171" s="24">
        <f>BULUSAN!AC171+BULUSARI!R171+GOMBENGSARI!AC171+KALIPURO!AR171+KELIR!W171+KETAPANG!BE171+KLATAK!AV171+PESUCEN!R171+TELEMUNG!T171</f>
        <v>45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5">
        <v>4.0</v>
      </c>
      <c r="C172" s="50" t="s">
        <v>151</v>
      </c>
      <c r="D172" s="57"/>
      <c r="E172" s="24">
        <f>BULUSAN!AC172+BULUSARI!R172+GOMBENGSARI!AC172+KALIPURO!AR172+KELIR!W172+KETAPANG!BE172+KLATAK!AV172+PESUCEN!R172+TELEMUNG!T172</f>
        <v>270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5">
        <v>5.0</v>
      </c>
      <c r="C173" s="50" t="s">
        <v>152</v>
      </c>
      <c r="D173" s="57"/>
      <c r="E173" s="24">
        <f>BULUSAN!AC173+BULUSARI!R173+GOMBENGSARI!AC173+KALIPURO!AR173+KELIR!W173+KETAPANG!BE173+KLATAK!AV173+PESUCEN!R173+TELEMUNG!T173</f>
        <v>44</v>
      </c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5">
        <v>6.0</v>
      </c>
      <c r="C174" s="50" t="s">
        <v>153</v>
      </c>
      <c r="D174" s="57"/>
      <c r="E174" s="24">
        <f>BULUSAN!AC174+BULUSARI!R174+GOMBENGSARI!AC174+KALIPURO!AR174+KELIR!W174+KETAPANG!BE174+KLATAK!AV174+PESUCEN!R174+TELEMUNG!T174</f>
        <v>50</v>
      </c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8"/>
      <c r="B175" s="55">
        <v>7.0</v>
      </c>
      <c r="C175" s="50" t="s">
        <v>154</v>
      </c>
      <c r="D175" s="57"/>
      <c r="E175" s="24">
        <f>BULUSAN!AC175+BULUSARI!R175+GOMBENGSARI!AC175+KALIPURO!AR175+KELIR!W175+KETAPANG!BE175+KLATAK!AV175+PESUCEN!R175+TELEMUNG!T175</f>
        <v>29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19" t="s">
        <v>15</v>
      </c>
      <c r="B176" s="47" t="s">
        <v>47</v>
      </c>
      <c r="C176" s="15"/>
      <c r="D176" s="16"/>
      <c r="E176" s="13">
        <f>SUM(E168:E175)</f>
        <v>1528</v>
      </c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4"/>
      <c r="B177" s="15"/>
      <c r="C177" s="15"/>
      <c r="D177" s="15"/>
      <c r="E177" s="16"/>
      <c r="F177" s="18"/>
      <c r="G177" s="5"/>
      <c r="H177" s="5"/>
      <c r="I177" s="5"/>
      <c r="J177" s="5"/>
      <c r="K177" s="5"/>
      <c r="L177" s="5"/>
      <c r="M177" s="5"/>
      <c r="N177" s="5"/>
      <c r="O177" s="5"/>
      <c r="P177" s="6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30" t="s">
        <v>37</v>
      </c>
      <c r="B178" s="47" t="s">
        <v>155</v>
      </c>
      <c r="C178" s="48" t="s">
        <v>156</v>
      </c>
      <c r="D178" s="16"/>
      <c r="E178" s="24">
        <f>BULUSAN!AC178+BULUSARI!R178+GOMBENGSARI!AC178+KALIPURO!AR178+KELIR!W178+KETAPANG!BE178+KLATAK!AV178+PESUCEN!R178+TELEMUNG!T178</f>
        <v>353</v>
      </c>
      <c r="F178" s="25"/>
      <c r="G178" s="1"/>
      <c r="H178" s="1"/>
      <c r="I178" s="1"/>
      <c r="J178" s="1"/>
      <c r="K178" s="1"/>
      <c r="L178" s="1"/>
      <c r="M178" s="1"/>
      <c r="N178" s="1"/>
      <c r="O178" s="1"/>
      <c r="P178" s="9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0" t="s">
        <v>39</v>
      </c>
      <c r="B179" s="55">
        <v>1.0</v>
      </c>
      <c r="C179" s="50" t="s">
        <v>157</v>
      </c>
      <c r="D179" s="56"/>
      <c r="E179" s="24">
        <f>BULUSAN!AC179+BULUSARI!R179+GOMBENGSARI!AC179+KALIPURO!AR179+KELIR!W179+KETAPANG!BE179+KLATAK!AV179+PESUCEN!R179+TELEMUNG!T179</f>
        <v>1026</v>
      </c>
      <c r="F179" s="51"/>
      <c r="G179" s="52"/>
      <c r="H179" s="52"/>
      <c r="I179" s="52"/>
      <c r="J179" s="52"/>
      <c r="K179" s="52"/>
      <c r="L179" s="52"/>
      <c r="M179" s="52"/>
      <c r="N179" s="52"/>
      <c r="O179" s="52"/>
      <c r="P179" s="53"/>
      <c r="Q179" s="3"/>
      <c r="R179" s="3"/>
      <c r="S179" s="3"/>
      <c r="T179" s="3"/>
      <c r="U179" s="3"/>
      <c r="V179" s="3"/>
      <c r="W179" s="54"/>
      <c r="X179" s="3"/>
      <c r="Y179" s="3"/>
      <c r="Z179" s="3"/>
    </row>
    <row r="180" ht="15.75" customHeight="1">
      <c r="A180" s="18"/>
      <c r="B180" s="55">
        <v>2.0</v>
      </c>
      <c r="C180" s="50" t="s">
        <v>158</v>
      </c>
      <c r="D180" s="56"/>
      <c r="E180" s="24">
        <f>BULUSAN!AC180+BULUSARI!R180+GOMBENGSARI!AC180+KALIPURO!AR180+KELIR!W180+KETAPANG!BE180+KLATAK!AV180+PESUCEN!R180+TELEMUNG!T180</f>
        <v>258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>
        <v>3.0</v>
      </c>
      <c r="C181" s="63" t="s">
        <v>159</v>
      </c>
      <c r="E181" s="24">
        <f>BULUSAN!AC181+BULUSARI!R181+GOMBENGSARI!AC181+KALIPURO!AR181+KELIR!W181+KETAPANG!BE181+KLATAK!AV181+PESUCEN!R181+TELEMUNG!T181</f>
        <v>33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>
        <v>4.0</v>
      </c>
      <c r="C182" s="50" t="s">
        <v>160</v>
      </c>
      <c r="D182" s="56"/>
      <c r="E182" s="24">
        <f>BULUSAN!AC182+BULUSARI!R182+GOMBENGSARI!AC182+KALIPURO!AR182+KELIR!W182+KETAPANG!BE182+KLATAK!AV182+PESUCEN!R182+TELEMUNG!T182</f>
        <v>24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>
        <v>5.0</v>
      </c>
      <c r="C183" s="50" t="s">
        <v>161</v>
      </c>
      <c r="D183" s="56"/>
      <c r="E183" s="24">
        <f>BULUSAN!AC183+BULUSARI!R183+GOMBENGSARI!AC183+KALIPURO!AR183+KELIR!W183+KETAPANG!BE183+KLATAK!AV183+PESUCEN!R183+TELEMUNG!T183</f>
        <v>22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>
        <v>6.0</v>
      </c>
      <c r="C184" s="50" t="s">
        <v>162</v>
      </c>
      <c r="D184" s="56"/>
      <c r="E184" s="24">
        <f>BULUSAN!AC184+BULUSARI!R184+GOMBENGSARI!AC184+KALIPURO!AR184+KELIR!W184+KETAPANG!BE184+KLATAK!AV184+PESUCEN!R184+TELEMUNG!T184</f>
        <v>30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5">
        <v>7.0</v>
      </c>
      <c r="C185" s="50" t="s">
        <v>163</v>
      </c>
      <c r="D185" s="56"/>
      <c r="E185" s="24">
        <f>BULUSAN!AC185+BULUSARI!R185+GOMBENGSARI!AC185+KALIPURO!AR185+KELIR!W185+KETAPANG!BE185+KLATAK!AV185+PESUCEN!R185+TELEMUNG!T185</f>
        <v>32</v>
      </c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9" t="s">
        <v>15</v>
      </c>
      <c r="B186" s="47" t="s">
        <v>47</v>
      </c>
      <c r="C186" s="15"/>
      <c r="D186" s="16"/>
      <c r="E186" s="13">
        <f>SUM(E178:E185)</f>
        <v>1778</v>
      </c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4"/>
      <c r="B187" s="15"/>
      <c r="C187" s="15"/>
      <c r="D187" s="15"/>
      <c r="E187" s="16"/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30" t="s">
        <v>37</v>
      </c>
      <c r="B188" s="47" t="s">
        <v>164</v>
      </c>
      <c r="C188" s="48" t="s">
        <v>165</v>
      </c>
      <c r="D188" s="16"/>
      <c r="E188" s="24">
        <f>BULUSAN!AC188+BULUSARI!R188+GOMBENGSARI!AC188+KALIPURO!AR188+KELIR!W188+KETAPANG!BE188+KLATAK!AV188+PESUCEN!R188+TELEMUNG!T188</f>
        <v>32</v>
      </c>
      <c r="F188" s="25"/>
      <c r="G188" s="1"/>
      <c r="H188" s="1"/>
      <c r="I188" s="1"/>
      <c r="J188" s="1"/>
      <c r="K188" s="1"/>
      <c r="L188" s="1"/>
      <c r="M188" s="1"/>
      <c r="N188" s="1"/>
      <c r="O188" s="1"/>
      <c r="P188" s="9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0" t="s">
        <v>39</v>
      </c>
      <c r="B189" s="55">
        <v>1.0</v>
      </c>
      <c r="C189" s="50" t="s">
        <v>166</v>
      </c>
      <c r="D189" s="57"/>
      <c r="E189" s="24">
        <f>BULUSAN!AC189+BULUSARI!R189+GOMBENGSARI!AC189+KALIPURO!AR189+KELIR!W189+KETAPANG!BE189+KLATAK!AV189+PESUCEN!R189+TELEMUNG!T189</f>
        <v>30</v>
      </c>
      <c r="F189" s="51"/>
      <c r="G189" s="52"/>
      <c r="H189" s="52"/>
      <c r="I189" s="52"/>
      <c r="J189" s="52"/>
      <c r="K189" s="52"/>
      <c r="L189" s="52"/>
      <c r="M189" s="52"/>
      <c r="N189" s="52"/>
      <c r="O189" s="52"/>
      <c r="P189" s="53"/>
      <c r="Q189" s="3"/>
      <c r="R189" s="3"/>
      <c r="S189" s="3"/>
      <c r="T189" s="3"/>
      <c r="U189" s="3"/>
      <c r="V189" s="3"/>
      <c r="W189" s="54"/>
      <c r="X189" s="3"/>
      <c r="Y189" s="3"/>
      <c r="Z189" s="3"/>
    </row>
    <row r="190" ht="15.75" customHeight="1">
      <c r="A190" s="18"/>
      <c r="B190" s="55">
        <v>2.0</v>
      </c>
      <c r="C190" s="50" t="s">
        <v>167</v>
      </c>
      <c r="D190" s="57"/>
      <c r="E190" s="24">
        <f>BULUSAN!AC190+BULUSARI!R190+GOMBENGSARI!AC190+KALIPURO!AR190+KELIR!W190+KETAPANG!BE190+KLATAK!AV190+PESUCEN!R190+TELEMUNG!T190</f>
        <v>10</v>
      </c>
      <c r="F190" s="18"/>
      <c r="G190" s="5"/>
      <c r="H190" s="5"/>
      <c r="I190" s="5"/>
      <c r="J190" s="5"/>
      <c r="K190" s="5"/>
      <c r="L190" s="5"/>
      <c r="M190" s="5"/>
      <c r="N190" s="5"/>
      <c r="O190" s="5"/>
      <c r="P190" s="6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18"/>
      <c r="B191" s="55">
        <v>3.0</v>
      </c>
      <c r="C191" s="50" t="s">
        <v>168</v>
      </c>
      <c r="D191" s="57"/>
      <c r="E191" s="24">
        <f>BULUSAN!AC191+BULUSARI!R191+GOMBENGSARI!AC191+KALIPURO!AR191+KELIR!W191+KETAPANG!BE191+KLATAK!AV191+PESUCEN!R191+TELEMUNG!T191</f>
        <v>11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>
        <v>4.0</v>
      </c>
      <c r="C192" s="50" t="s">
        <v>169</v>
      </c>
      <c r="D192" s="57"/>
      <c r="E192" s="24">
        <f>BULUSAN!AC192+BULUSARI!R192+GOMBENGSARI!AC192+KALIPURO!AR192+KELIR!W192+KETAPANG!BE192+KLATAK!AV192+PESUCEN!R192+TELEMUNG!T192</f>
        <v>4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>
        <v>5.0</v>
      </c>
      <c r="C193" s="50" t="s">
        <v>170</v>
      </c>
      <c r="D193" s="57"/>
      <c r="E193" s="24">
        <f>BULUSAN!AC193+BULUSARI!R193+GOMBENGSARI!AC193+KALIPURO!AR193+KELIR!W193+KETAPANG!BE193+KLATAK!AV193+PESUCEN!R193+TELEMUNG!T193</f>
        <v>4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>
        <v>6.0</v>
      </c>
      <c r="C194" s="50" t="s">
        <v>171</v>
      </c>
      <c r="D194" s="57"/>
      <c r="E194" s="24">
        <f>BULUSAN!AC194+BULUSARI!R194+GOMBENGSARI!AC194+KALIPURO!AR194+KELIR!W194+KETAPANG!BE194+KLATAK!AV194+PESUCEN!R194+TELEMUNG!T194</f>
        <v>3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>
        <v>7.0</v>
      </c>
      <c r="C195" s="50" t="s">
        <v>172</v>
      </c>
      <c r="D195" s="57"/>
      <c r="E195" s="24">
        <f>BULUSAN!AC195+BULUSARI!R195+GOMBENGSARI!AC195+KALIPURO!AR195+KELIR!W195+KETAPANG!BE195+KLATAK!AV195+PESUCEN!R195+TELEMUNG!T195</f>
        <v>85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9" t="s">
        <v>15</v>
      </c>
      <c r="B196" s="47" t="s">
        <v>47</v>
      </c>
      <c r="C196" s="15"/>
      <c r="D196" s="16"/>
      <c r="E196" s="13">
        <f>SUM(E188:E195)</f>
        <v>179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4"/>
      <c r="B197" s="15"/>
      <c r="C197" s="15"/>
      <c r="D197" s="15"/>
      <c r="E197" s="16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30" t="s">
        <v>37</v>
      </c>
      <c r="B198" s="47" t="s">
        <v>173</v>
      </c>
      <c r="C198" s="48" t="s">
        <v>174</v>
      </c>
      <c r="D198" s="16"/>
      <c r="E198" s="24">
        <f>BULUSAN!AC198+BULUSARI!R198+GOMBENGSARI!AC198+KALIPURO!AR198+KELIR!W198+KETAPANG!BE198+KLATAK!AV198+PESUCEN!R198+TELEMUNG!T198</f>
        <v>238</v>
      </c>
      <c r="F198" s="25"/>
      <c r="G198" s="1"/>
      <c r="H198" s="1"/>
      <c r="I198" s="1"/>
      <c r="J198" s="1"/>
      <c r="K198" s="1"/>
      <c r="L198" s="1"/>
      <c r="M198" s="1"/>
      <c r="N198" s="1"/>
      <c r="O198" s="1"/>
      <c r="P198" s="9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0" t="s">
        <v>39</v>
      </c>
      <c r="B199" s="55">
        <v>1.0</v>
      </c>
      <c r="C199" s="50" t="s">
        <v>175</v>
      </c>
      <c r="D199" s="57"/>
      <c r="E199" s="24">
        <f>BULUSAN!AC199+BULUSARI!R199+GOMBENGSARI!AC199+KALIPURO!AR199+KELIR!W199+KETAPANG!BE199+KLATAK!AV199+PESUCEN!R199+TELEMUNG!T199</f>
        <v>157</v>
      </c>
      <c r="F199" s="51"/>
      <c r="G199" s="52"/>
      <c r="H199" s="52"/>
      <c r="I199" s="52"/>
      <c r="J199" s="52"/>
      <c r="K199" s="52"/>
      <c r="L199" s="52"/>
      <c r="M199" s="52"/>
      <c r="N199" s="52"/>
      <c r="O199" s="52"/>
      <c r="P199" s="53"/>
      <c r="Q199" s="3"/>
      <c r="R199" s="3"/>
      <c r="S199" s="3"/>
      <c r="T199" s="3"/>
      <c r="U199" s="3"/>
      <c r="V199" s="3"/>
      <c r="W199" s="54"/>
      <c r="X199" s="3"/>
      <c r="Y199" s="3"/>
      <c r="Z199" s="3"/>
    </row>
    <row r="200" ht="15.75" customHeight="1">
      <c r="A200" s="18"/>
      <c r="B200" s="55">
        <v>2.0</v>
      </c>
      <c r="C200" s="50" t="s">
        <v>176</v>
      </c>
      <c r="D200" s="57"/>
      <c r="E200" s="24">
        <f>BULUSAN!AC200+BULUSARI!R200+GOMBENGSARI!AC200+KALIPURO!AR200+KELIR!W200+KETAPANG!BE200+KLATAK!AV200+PESUCEN!R200+TELEMUNG!T200</f>
        <v>1518</v>
      </c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18"/>
      <c r="B201" s="55">
        <v>3.0</v>
      </c>
      <c r="C201" s="50" t="s">
        <v>177</v>
      </c>
      <c r="D201" s="57"/>
      <c r="E201" s="24">
        <f>BULUSAN!AC201+BULUSARI!R201+GOMBENGSARI!AC201+KALIPURO!AR201+KELIR!W201+KETAPANG!BE201+KLATAK!AV201+PESUCEN!R201+TELEMUNG!T201</f>
        <v>52</v>
      </c>
      <c r="F201" s="18"/>
      <c r="G201" s="5"/>
      <c r="H201" s="5"/>
      <c r="I201" s="5"/>
      <c r="J201" s="5"/>
      <c r="K201" s="5"/>
      <c r="L201" s="5"/>
      <c r="M201" s="5"/>
      <c r="N201" s="5"/>
      <c r="O201" s="5"/>
      <c r="P201" s="6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18"/>
      <c r="B202" s="55">
        <v>4.0</v>
      </c>
      <c r="C202" s="50" t="s">
        <v>178</v>
      </c>
      <c r="D202" s="57"/>
      <c r="E202" s="24">
        <f>BULUSAN!AC202+BULUSARI!R202+GOMBENGSARI!AC202+KALIPURO!AR202+KELIR!W202+KETAPANG!BE202+KLATAK!AV202+PESUCEN!R202+TELEMUNG!T202</f>
        <v>89</v>
      </c>
      <c r="F202" s="18"/>
      <c r="G202" s="5"/>
      <c r="H202" s="5"/>
      <c r="I202" s="5"/>
      <c r="J202" s="5"/>
      <c r="K202" s="5"/>
      <c r="L202" s="5"/>
      <c r="M202" s="5"/>
      <c r="N202" s="5"/>
      <c r="O202" s="5"/>
      <c r="P202" s="6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18"/>
      <c r="B203" s="55">
        <v>5.0</v>
      </c>
      <c r="C203" s="50" t="s">
        <v>179</v>
      </c>
      <c r="D203" s="57"/>
      <c r="E203" s="24">
        <f>BULUSAN!AC203+BULUSARI!R203+GOMBENGSARI!AC203+KALIPURO!AR203+KELIR!W203+KETAPANG!BE203+KLATAK!AV203+PESUCEN!R203+TELEMUNG!T203</f>
        <v>14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>
        <v>6.0</v>
      </c>
      <c r="C204" s="50" t="s">
        <v>180</v>
      </c>
      <c r="D204" s="57"/>
      <c r="E204" s="24">
        <f>BULUSAN!AC204+BULUSARI!R204+GOMBENGSARI!AC204+KALIPURO!AR204+KELIR!W204+KETAPANG!BE204+KLATAK!AV204+PESUCEN!R204+TELEMUNG!T204</f>
        <v>17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>
        <v>7.0</v>
      </c>
      <c r="C205" s="50" t="s">
        <v>181</v>
      </c>
      <c r="D205" s="57"/>
      <c r="E205" s="24">
        <f>BULUSAN!AC205+BULUSARI!R205+GOMBENGSARI!AC205+KALIPURO!AR205+KELIR!W205+KETAPANG!BE205+KLATAK!AV205+PESUCEN!R205+TELEMUNG!T205</f>
        <v>573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9" t="s">
        <v>15</v>
      </c>
      <c r="B206" s="47" t="s">
        <v>47</v>
      </c>
      <c r="C206" s="15"/>
      <c r="D206" s="16"/>
      <c r="E206" s="13">
        <f>SUM(E198:E205)</f>
        <v>2658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4"/>
      <c r="B207" s="15"/>
      <c r="C207" s="15"/>
      <c r="D207" s="15"/>
      <c r="E207" s="16"/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30" t="s">
        <v>37</v>
      </c>
      <c r="B208" s="47" t="s">
        <v>182</v>
      </c>
      <c r="C208" s="48" t="s">
        <v>183</v>
      </c>
      <c r="D208" s="16"/>
      <c r="E208" s="24">
        <f>BULUSAN!AC208+BULUSARI!R208+GOMBENGSARI!AC208+KALIPURO!AR208+KELIR!W208+KETAPANG!BE208+KLATAK!AV208+PESUCEN!R208+TELEMUNG!T208</f>
        <v>27</v>
      </c>
      <c r="F208" s="25"/>
      <c r="G208" s="1"/>
      <c r="H208" s="1"/>
      <c r="I208" s="1"/>
      <c r="J208" s="1"/>
      <c r="K208" s="1"/>
      <c r="L208" s="1"/>
      <c r="M208" s="1"/>
      <c r="N208" s="1"/>
      <c r="O208" s="1"/>
      <c r="P208" s="9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0" t="s">
        <v>39</v>
      </c>
      <c r="B209" s="55">
        <v>1.0</v>
      </c>
      <c r="C209" s="61" t="s">
        <v>184</v>
      </c>
      <c r="D209" s="57"/>
      <c r="E209" s="24">
        <f>BULUSAN!AC209+BULUSARI!R209+GOMBENGSARI!AC209+KALIPURO!AR209+KELIR!W209+KETAPANG!BE209+KLATAK!AV209+PESUCEN!R209+TELEMUNG!T209</f>
        <v>43</v>
      </c>
      <c r="F209" s="18"/>
      <c r="G209" s="5"/>
      <c r="H209" s="5"/>
      <c r="I209" s="5"/>
      <c r="J209" s="5"/>
      <c r="K209" s="5"/>
      <c r="L209" s="5"/>
      <c r="M209" s="5"/>
      <c r="N209" s="5"/>
      <c r="O209" s="10"/>
      <c r="P209" s="11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8"/>
      <c r="B210" s="55">
        <v>2.0</v>
      </c>
      <c r="C210" s="61" t="s">
        <v>185</v>
      </c>
      <c r="D210" s="57"/>
      <c r="E210" s="24">
        <f>BULUSAN!AC210+BULUSARI!R210+GOMBENGSARI!AC210+KALIPURO!AR210+KELIR!W210+KETAPANG!BE210+KLATAK!AV210+PESUCEN!R210+TELEMUNG!T210</f>
        <v>25</v>
      </c>
      <c r="F210" s="25"/>
      <c r="G210" s="1"/>
      <c r="H210" s="1"/>
      <c r="I210" s="1"/>
      <c r="J210" s="1"/>
      <c r="K210" s="1"/>
      <c r="L210" s="1"/>
      <c r="M210" s="1"/>
      <c r="N210" s="1"/>
      <c r="O210" s="2"/>
      <c r="P210" s="11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8"/>
      <c r="B211" s="55">
        <v>3.0</v>
      </c>
      <c r="C211" s="61" t="s">
        <v>186</v>
      </c>
      <c r="D211" s="57"/>
      <c r="E211" s="24">
        <f>BULUSAN!AC211+BULUSARI!R211+GOMBENGSARI!AC211+KALIPURO!AR211+KELIR!W211+KETAPANG!BE211+KLATAK!AV211+PESUCEN!R211+TELEMUNG!T211</f>
        <v>4</v>
      </c>
      <c r="F211" s="25"/>
      <c r="G211" s="1"/>
      <c r="H211" s="1"/>
      <c r="I211" s="1"/>
      <c r="J211" s="1"/>
      <c r="K211" s="1"/>
      <c r="L211" s="1"/>
      <c r="M211" s="1"/>
      <c r="N211" s="1"/>
      <c r="O211" s="1"/>
      <c r="P211" s="9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8"/>
      <c r="B212" s="55">
        <v>4.0</v>
      </c>
      <c r="C212" s="61" t="s">
        <v>187</v>
      </c>
      <c r="D212" s="57"/>
      <c r="E212" s="24">
        <f>BULUSAN!AC212+BULUSARI!R212+GOMBENGSARI!AC212+KALIPURO!AR212+KELIR!W212+KETAPANG!BE212+KLATAK!AV212+PESUCEN!R212+TELEMUNG!T212</f>
        <v>4</v>
      </c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18"/>
      <c r="B213" s="55">
        <v>5.0</v>
      </c>
      <c r="C213" s="61" t="s">
        <v>188</v>
      </c>
      <c r="D213" s="57"/>
      <c r="E213" s="24">
        <f>BULUSAN!AC213+BULUSARI!R213+GOMBENGSARI!AC213+KALIPURO!AR213+KELIR!W213+KETAPANG!BE213+KLATAK!AV213+PESUCEN!R213+TELEMUNG!T213</f>
        <v>17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8"/>
      <c r="B214" s="55">
        <v>6.0</v>
      </c>
      <c r="C214" s="61" t="s">
        <v>189</v>
      </c>
      <c r="D214" s="57"/>
      <c r="E214" s="24">
        <f>BULUSAN!AC214+BULUSARI!R214+GOMBENGSARI!AC214+KALIPURO!AR214+KELIR!W214+KETAPANG!BE214+KLATAK!AV214+PESUCEN!R214+TELEMUNG!T214</f>
        <v>10</v>
      </c>
      <c r="F214" s="18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9" t="s">
        <v>15</v>
      </c>
      <c r="B215" s="47" t="s">
        <v>47</v>
      </c>
      <c r="C215" s="15"/>
      <c r="D215" s="16"/>
      <c r="E215" s="13">
        <f>SUM(E208:E214)</f>
        <v>130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2" t="s">
        <v>190</v>
      </c>
      <c r="B217" s="14" t="s">
        <v>191</v>
      </c>
      <c r="C217" s="15"/>
      <c r="D217" s="16"/>
      <c r="E217" s="13"/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2"/>
      <c r="B218" s="64" t="s">
        <v>192</v>
      </c>
      <c r="C218" s="65" t="s">
        <v>193</v>
      </c>
      <c r="D218" s="16"/>
      <c r="E218" s="24">
        <f>BULUSAN!AC218+BULUSARI!R218+GOMBENGSARI!AC218+KALIPURO!AR218+KELIR!W218+KETAPANG!BE218+KLATAK!AV218+PESUCEN!R218+TELEMUNG!T218</f>
        <v>46575</v>
      </c>
      <c r="F218" s="18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5"/>
      <c r="B219" s="64" t="s">
        <v>194</v>
      </c>
      <c r="C219" s="65" t="s">
        <v>195</v>
      </c>
      <c r="D219" s="16"/>
      <c r="E219" s="24">
        <f>BULUSAN!AC219+BULUSARI!R219+GOMBENGSARI!AC219+KALIPURO!AR219+KELIR!W219+KETAPANG!BE219+KLATAK!AV219+PESUCEN!R219+TELEMUNG!T219</f>
        <v>5261</v>
      </c>
      <c r="F219" s="18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1"/>
      <c r="B220" s="64" t="s">
        <v>196</v>
      </c>
      <c r="C220" s="65" t="s">
        <v>197</v>
      </c>
      <c r="D220" s="16"/>
      <c r="E220" s="13">
        <f>SUM(E218:E219)</f>
        <v>51836</v>
      </c>
      <c r="F220" s="18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"/>
      <c r="B221" s="66"/>
      <c r="C221" s="6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5"/>
      <c r="B222" s="66"/>
      <c r="C222" s="6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5"/>
      <c r="B223" s="66"/>
      <c r="C223" s="6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66"/>
      <c r="C224" s="6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66"/>
      <c r="C225" s="6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66"/>
      <c r="C226" s="6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66"/>
      <c r="C227" s="6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66"/>
      <c r="C228" s="6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66"/>
      <c r="C229" s="6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66"/>
      <c r="C230" s="6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66"/>
      <c r="C231" s="6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66"/>
      <c r="C232" s="6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66"/>
      <c r="C233" s="6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66"/>
      <c r="C234" s="6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66"/>
      <c r="C235" s="6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66"/>
      <c r="C236" s="6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66"/>
      <c r="C237" s="6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66"/>
      <c r="C238" s="6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66"/>
      <c r="C239" s="6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66"/>
      <c r="C240" s="6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66"/>
      <c r="C241" s="6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66"/>
      <c r="C242" s="6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66"/>
      <c r="C243" s="6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66"/>
      <c r="C244" s="6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66"/>
      <c r="C245" s="6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66"/>
      <c r="C246" s="6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66"/>
      <c r="C247" s="6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66"/>
      <c r="C248" s="6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66"/>
      <c r="C249" s="6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66"/>
      <c r="C250" s="6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66"/>
      <c r="C251" s="6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66"/>
      <c r="C252" s="6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66"/>
      <c r="C253" s="6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66"/>
      <c r="C254" s="6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66"/>
      <c r="C255" s="6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66"/>
      <c r="C256" s="6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66"/>
      <c r="C257" s="6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66"/>
      <c r="C258" s="6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66"/>
      <c r="C259" s="6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66"/>
      <c r="C260" s="6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10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66"/>
      <c r="C261" s="6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10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66"/>
      <c r="C262" s="6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hidden="1" customHeight="1">
      <c r="A263" s="5"/>
      <c r="B263" s="66"/>
      <c r="C263" s="6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hidden="1" customHeight="1">
      <c r="A264" s="5"/>
      <c r="B264" s="66"/>
      <c r="C264" s="6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hidden="1" customHeight="1">
      <c r="A265" s="5"/>
      <c r="B265" s="66"/>
      <c r="C265" s="6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hidden="1" customHeight="1">
      <c r="A266" s="5"/>
      <c r="B266" s="66"/>
      <c r="C266" s="6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hidden="1" customHeight="1">
      <c r="A267" s="5"/>
      <c r="B267" s="66"/>
      <c r="C267" s="6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66"/>
      <c r="C268" s="6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66"/>
      <c r="C269" s="6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66"/>
      <c r="C270" s="6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66"/>
      <c r="C271" s="6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66"/>
      <c r="C272" s="6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66"/>
      <c r="C273" s="6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66"/>
      <c r="C274" s="6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66"/>
      <c r="C275" s="6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66"/>
      <c r="C276" s="6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66"/>
      <c r="C277" s="6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66"/>
      <c r="C278" s="6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66"/>
      <c r="C279" s="6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66"/>
      <c r="C280" s="6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66"/>
      <c r="C281" s="6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66"/>
      <c r="C282" s="6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66"/>
      <c r="C283" s="6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66"/>
      <c r="C284" s="6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66"/>
      <c r="C285" s="6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66"/>
      <c r="C286" s="6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66"/>
      <c r="C287" s="6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66"/>
      <c r="C288" s="6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66"/>
      <c r="C289" s="6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66"/>
      <c r="C290" s="6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66"/>
      <c r="C291" s="6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66"/>
      <c r="C292" s="6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66"/>
      <c r="C293" s="6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66"/>
      <c r="C294" s="6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66"/>
      <c r="C295" s="6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66"/>
      <c r="C296" s="6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66"/>
      <c r="C297" s="6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66"/>
      <c r="C298" s="6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66"/>
      <c r="C299" s="6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66"/>
      <c r="C300" s="6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66"/>
      <c r="C301" s="6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66"/>
      <c r="C302" s="6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66"/>
      <c r="C303" s="6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66"/>
      <c r="C304" s="6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66"/>
      <c r="C305" s="6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66"/>
      <c r="C306" s="6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66"/>
      <c r="C307" s="6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66"/>
      <c r="C308" s="6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66"/>
      <c r="C309" s="6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66"/>
      <c r="C310" s="6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66"/>
      <c r="C311" s="6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66"/>
      <c r="C312" s="6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66"/>
      <c r="C313" s="6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66"/>
      <c r="C314" s="6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66"/>
      <c r="C315" s="6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66"/>
      <c r="C316" s="6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66"/>
      <c r="C317" s="6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66"/>
      <c r="C318" s="6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66"/>
      <c r="C319" s="6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66"/>
      <c r="C320" s="6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66"/>
      <c r="C321" s="6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66"/>
      <c r="C322" s="6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66"/>
      <c r="C323" s="6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66"/>
      <c r="C324" s="6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66"/>
      <c r="C325" s="6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66"/>
      <c r="C326" s="6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66"/>
      <c r="C327" s="6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66"/>
      <c r="C328" s="6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66"/>
      <c r="C329" s="6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66"/>
      <c r="C330" s="6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66"/>
      <c r="C331" s="6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66"/>
      <c r="C332" s="6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66"/>
      <c r="C333" s="6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66"/>
      <c r="C334" s="6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66"/>
      <c r="C335" s="6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66"/>
      <c r="C336" s="6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66"/>
      <c r="C337" s="6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66"/>
      <c r="C338" s="6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66"/>
      <c r="C339" s="6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66"/>
      <c r="C340" s="6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66"/>
      <c r="C341" s="6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66"/>
      <c r="C342" s="6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66"/>
      <c r="C343" s="6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66"/>
      <c r="C344" s="6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66"/>
      <c r="C345" s="6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66"/>
      <c r="C346" s="6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66"/>
      <c r="C347" s="6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66"/>
      <c r="C348" s="6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66"/>
      <c r="C349" s="6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66"/>
      <c r="C350" s="6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66"/>
      <c r="C351" s="6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66"/>
      <c r="C352" s="6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66"/>
      <c r="C353" s="6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66"/>
      <c r="C354" s="6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66"/>
      <c r="C355" s="6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66"/>
      <c r="C356" s="6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66"/>
      <c r="C357" s="6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66"/>
      <c r="C358" s="6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66"/>
      <c r="C359" s="6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66"/>
      <c r="C360" s="6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66"/>
      <c r="C361" s="6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66"/>
      <c r="C362" s="6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66"/>
      <c r="C363" s="6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66"/>
      <c r="C364" s="6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66"/>
      <c r="C365" s="6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66"/>
      <c r="C366" s="6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66"/>
      <c r="C367" s="6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66"/>
      <c r="C368" s="6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66"/>
      <c r="C369" s="6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66"/>
      <c r="C370" s="6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66"/>
      <c r="C371" s="6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66"/>
      <c r="C372" s="6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66"/>
      <c r="C373" s="6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66"/>
      <c r="C374" s="6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66"/>
      <c r="C375" s="6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66"/>
      <c r="C376" s="6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66"/>
      <c r="C377" s="6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66"/>
      <c r="C378" s="6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66"/>
      <c r="C379" s="6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66"/>
      <c r="C380" s="6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66"/>
      <c r="C381" s="6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66"/>
      <c r="C382" s="6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66"/>
      <c r="C383" s="6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66"/>
      <c r="C384" s="6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66"/>
      <c r="C385" s="6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66"/>
      <c r="C386" s="6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66"/>
      <c r="C387" s="6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66"/>
      <c r="C388" s="6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66"/>
      <c r="C389" s="6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66"/>
      <c r="C390" s="6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66"/>
      <c r="C391" s="6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66"/>
      <c r="C392" s="6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66"/>
      <c r="C393" s="6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66"/>
      <c r="C394" s="6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66"/>
      <c r="C395" s="6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66"/>
      <c r="C396" s="6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66"/>
      <c r="C397" s="6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66"/>
      <c r="C398" s="6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66"/>
      <c r="C399" s="6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66"/>
      <c r="C400" s="6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66"/>
      <c r="C401" s="6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66"/>
      <c r="C402" s="6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66"/>
      <c r="C403" s="6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66"/>
      <c r="C404" s="6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66"/>
      <c r="C405" s="6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66"/>
      <c r="C406" s="6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66"/>
      <c r="C407" s="6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66"/>
      <c r="C408" s="6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66"/>
      <c r="C409" s="6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66"/>
      <c r="C410" s="6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66"/>
      <c r="C411" s="6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66"/>
      <c r="C412" s="6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66"/>
      <c r="C413" s="6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66"/>
      <c r="C414" s="6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66"/>
      <c r="C415" s="6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66"/>
      <c r="C416" s="6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66"/>
      <c r="C417" s="6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66"/>
      <c r="C418" s="67"/>
      <c r="D418" s="5"/>
      <c r="E418" s="5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66"/>
      <c r="C419" s="67"/>
      <c r="D419" s="5"/>
      <c r="E419" s="5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66"/>
      <c r="C420" s="67"/>
      <c r="D420" s="5"/>
      <c r="E420" s="5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63:D63"/>
    <mergeCell ref="A64:E64"/>
    <mergeCell ref="C65:D65"/>
    <mergeCell ref="B73:D73"/>
    <mergeCell ref="A74:E74"/>
    <mergeCell ref="C75:D75"/>
    <mergeCell ref="B83:D83"/>
    <mergeCell ref="A84:E84"/>
    <mergeCell ref="C85:D85"/>
    <mergeCell ref="B93:D93"/>
    <mergeCell ref="A94:E94"/>
    <mergeCell ref="C95:D95"/>
    <mergeCell ref="B103:D103"/>
    <mergeCell ref="A104:E104"/>
    <mergeCell ref="B129:D129"/>
    <mergeCell ref="A130:E130"/>
    <mergeCell ref="C131:D131"/>
    <mergeCell ref="B136:D136"/>
    <mergeCell ref="A137:E137"/>
    <mergeCell ref="C138:D138"/>
    <mergeCell ref="B146:D146"/>
    <mergeCell ref="A147:E147"/>
    <mergeCell ref="C148:D148"/>
    <mergeCell ref="B156:D156"/>
    <mergeCell ref="A157:E157"/>
    <mergeCell ref="C158:D158"/>
    <mergeCell ref="B166:D166"/>
    <mergeCell ref="A167:E167"/>
    <mergeCell ref="C168:D168"/>
    <mergeCell ref="B176:D176"/>
    <mergeCell ref="A177:E177"/>
    <mergeCell ref="C178:D178"/>
    <mergeCell ref="B186:D186"/>
    <mergeCell ref="A187:E187"/>
    <mergeCell ref="C188:D188"/>
    <mergeCell ref="B217:D217"/>
    <mergeCell ref="C218:D218"/>
    <mergeCell ref="C219:D219"/>
    <mergeCell ref="C220:D220"/>
    <mergeCell ref="B196:D196"/>
    <mergeCell ref="A197:E197"/>
    <mergeCell ref="C198:D198"/>
    <mergeCell ref="B206:D206"/>
    <mergeCell ref="A207:E207"/>
    <mergeCell ref="C208:D208"/>
    <mergeCell ref="B215:D215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A54:E54"/>
    <mergeCell ref="C55:D55"/>
    <mergeCell ref="C47:D47"/>
    <mergeCell ref="C48:D48"/>
    <mergeCell ref="C49:D49"/>
    <mergeCell ref="C50:D50"/>
    <mergeCell ref="C51:D51"/>
    <mergeCell ref="C52:D52"/>
    <mergeCell ref="B53:D53"/>
    <mergeCell ref="C105:D105"/>
    <mergeCell ref="B109:D109"/>
    <mergeCell ref="A110:E110"/>
    <mergeCell ref="C111:D111"/>
    <mergeCell ref="B119:D119"/>
    <mergeCell ref="A120:E120"/>
    <mergeCell ref="C121:D121"/>
  </mergeCells>
  <conditionalFormatting sqref="E215">
    <cfRule type="containsBlanks" dxfId="0" priority="1">
      <formula>LEN(TRIM(E215))=0</formula>
    </cfRule>
  </conditionalFormatting>
  <conditionalFormatting sqref="F215:O217">
    <cfRule type="cellIs" dxfId="1" priority="2" operator="equal">
      <formula>"FALSE"</formula>
    </cfRule>
  </conditionalFormatting>
  <conditionalFormatting sqref="E30">
    <cfRule type="expression" dxfId="1" priority="3">
      <formula>E30&lt;&gt;E220</formula>
    </cfRule>
  </conditionalFormatting>
  <conditionalFormatting sqref="E30">
    <cfRule type="expression" dxfId="1" priority="4">
      <formula>E30&lt;&gt;E34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</cols>
  <sheetData>
    <row r="1" ht="12.75" customHeight="1"/>
    <row r="2" ht="12.75" customHeight="1">
      <c r="C2" s="8" t="s">
        <v>0</v>
      </c>
      <c r="D2" s="8" t="s">
        <v>198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199</v>
      </c>
      <c r="D9" s="8" t="s">
        <v>200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  <c r="X11" s="2"/>
      <c r="Y11" s="1"/>
      <c r="Z11" s="1"/>
      <c r="AA11" s="1"/>
      <c r="AB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201</v>
      </c>
      <c r="F13" s="13" t="s">
        <v>202</v>
      </c>
      <c r="G13" s="13" t="s">
        <v>203</v>
      </c>
      <c r="H13" s="13" t="s">
        <v>204</v>
      </c>
      <c r="I13" s="13" t="s">
        <v>205</v>
      </c>
      <c r="J13" s="13" t="s">
        <v>206</v>
      </c>
      <c r="K13" s="13" t="s">
        <v>207</v>
      </c>
      <c r="L13" s="13" t="s">
        <v>208</v>
      </c>
      <c r="M13" s="13" t="s">
        <v>209</v>
      </c>
      <c r="N13" s="13" t="s">
        <v>210</v>
      </c>
      <c r="O13" s="13" t="s">
        <v>211</v>
      </c>
      <c r="P13" s="13" t="s">
        <v>212</v>
      </c>
      <c r="Q13" s="13" t="s">
        <v>213</v>
      </c>
      <c r="R13" s="13" t="s">
        <v>214</v>
      </c>
      <c r="S13" s="13" t="s">
        <v>215</v>
      </c>
      <c r="T13" s="13" t="s">
        <v>216</v>
      </c>
      <c r="U13" s="13" t="s">
        <v>217</v>
      </c>
      <c r="V13" s="13" t="s">
        <v>218</v>
      </c>
      <c r="W13" s="13" t="s">
        <v>219</v>
      </c>
      <c r="X13" s="13" t="s">
        <v>220</v>
      </c>
      <c r="Y13" s="13" t="s">
        <v>221</v>
      </c>
      <c r="Z13" s="13" t="s">
        <v>222</v>
      </c>
      <c r="AA13" s="13" t="s">
        <v>223</v>
      </c>
      <c r="AB13" s="13" t="s">
        <v>224</v>
      </c>
      <c r="AC13" s="36"/>
    </row>
    <row r="14" ht="12.75" customHeight="1">
      <c r="A14" s="18"/>
      <c r="B14" s="22" t="s">
        <v>11</v>
      </c>
      <c r="C14" s="23"/>
      <c r="D14" s="19" t="s">
        <v>12</v>
      </c>
      <c r="E14" s="19">
        <v>148.0</v>
      </c>
      <c r="F14" s="19">
        <v>140.0</v>
      </c>
      <c r="G14" s="19">
        <v>133.0</v>
      </c>
      <c r="H14" s="19">
        <v>145.0</v>
      </c>
      <c r="I14" s="19">
        <v>130.0</v>
      </c>
      <c r="J14" s="19">
        <v>136.0</v>
      </c>
      <c r="K14" s="19">
        <v>147.0</v>
      </c>
      <c r="L14" s="19">
        <v>130.0</v>
      </c>
      <c r="M14" s="19">
        <v>139.0</v>
      </c>
      <c r="N14" s="19">
        <v>140.0</v>
      </c>
      <c r="O14" s="19">
        <v>129.0</v>
      </c>
      <c r="P14" s="19">
        <v>109.0</v>
      </c>
      <c r="Q14" s="19">
        <v>148.0</v>
      </c>
      <c r="R14" s="19">
        <v>138.0</v>
      </c>
      <c r="S14" s="19">
        <v>139.0</v>
      </c>
      <c r="T14" s="19">
        <v>143.0</v>
      </c>
      <c r="U14" s="19">
        <v>140.0</v>
      </c>
      <c r="V14" s="19">
        <v>131.0</v>
      </c>
      <c r="W14" s="19">
        <v>132.0</v>
      </c>
      <c r="X14" s="19">
        <v>144.0</v>
      </c>
      <c r="Y14" s="19">
        <v>104.0</v>
      </c>
      <c r="Z14" s="19">
        <v>86.0</v>
      </c>
      <c r="AA14" s="19">
        <v>146.0</v>
      </c>
      <c r="AB14" s="19">
        <v>116.0</v>
      </c>
      <c r="AC14" s="13">
        <f t="shared" ref="AC14:AC16" si="1">SUM(E14:AB14)</f>
        <v>3193</v>
      </c>
    </row>
    <row r="15" ht="12.75" customHeight="1">
      <c r="A15" s="18"/>
      <c r="B15" s="26"/>
      <c r="C15" s="27"/>
      <c r="D15" s="19" t="s">
        <v>13</v>
      </c>
      <c r="E15" s="19">
        <v>146.0</v>
      </c>
      <c r="F15" s="19">
        <v>139.0</v>
      </c>
      <c r="G15" s="19">
        <v>139.0</v>
      </c>
      <c r="H15" s="19">
        <v>150.0</v>
      </c>
      <c r="I15" s="19">
        <v>136.0</v>
      </c>
      <c r="J15" s="19">
        <v>144.0</v>
      </c>
      <c r="K15" s="19">
        <v>133.0</v>
      </c>
      <c r="L15" s="19">
        <v>153.0</v>
      </c>
      <c r="M15" s="19">
        <v>145.0</v>
      </c>
      <c r="N15" s="19">
        <v>134.0</v>
      </c>
      <c r="O15" s="19">
        <v>144.0</v>
      </c>
      <c r="P15" s="19">
        <v>118.0</v>
      </c>
      <c r="Q15" s="19">
        <v>140.0</v>
      </c>
      <c r="R15" s="19">
        <v>146.0</v>
      </c>
      <c r="S15" s="19">
        <v>139.0</v>
      </c>
      <c r="T15" s="19">
        <v>142.0</v>
      </c>
      <c r="U15" s="19">
        <v>137.0</v>
      </c>
      <c r="V15" s="19">
        <v>134.0</v>
      </c>
      <c r="W15" s="19">
        <v>149.0</v>
      </c>
      <c r="X15" s="19">
        <v>148.0</v>
      </c>
      <c r="Y15" s="19">
        <v>122.0</v>
      </c>
      <c r="Z15" s="19">
        <v>110.0</v>
      </c>
      <c r="AA15" s="19">
        <v>142.0</v>
      </c>
      <c r="AB15" s="19">
        <v>124.0</v>
      </c>
      <c r="AC15" s="13">
        <f t="shared" si="1"/>
        <v>3314</v>
      </c>
    </row>
    <row r="16" ht="12.75" customHeight="1">
      <c r="A16" s="25"/>
      <c r="B16" s="21"/>
      <c r="C16" s="28"/>
      <c r="D16" s="13" t="s">
        <v>14</v>
      </c>
      <c r="E16" s="13">
        <f t="shared" ref="E16:AB16" si="2">SUM(E14:E15)</f>
        <v>294</v>
      </c>
      <c r="F16" s="13">
        <f t="shared" si="2"/>
        <v>279</v>
      </c>
      <c r="G16" s="13">
        <f t="shared" si="2"/>
        <v>272</v>
      </c>
      <c r="H16" s="13">
        <f t="shared" si="2"/>
        <v>295</v>
      </c>
      <c r="I16" s="13">
        <f t="shared" si="2"/>
        <v>266</v>
      </c>
      <c r="J16" s="13">
        <f t="shared" si="2"/>
        <v>280</v>
      </c>
      <c r="K16" s="13">
        <f t="shared" si="2"/>
        <v>280</v>
      </c>
      <c r="L16" s="13">
        <f t="shared" si="2"/>
        <v>283</v>
      </c>
      <c r="M16" s="13">
        <f t="shared" si="2"/>
        <v>284</v>
      </c>
      <c r="N16" s="13">
        <f t="shared" si="2"/>
        <v>274</v>
      </c>
      <c r="O16" s="13">
        <f t="shared" si="2"/>
        <v>273</v>
      </c>
      <c r="P16" s="13">
        <f t="shared" si="2"/>
        <v>227</v>
      </c>
      <c r="Q16" s="13">
        <f t="shared" si="2"/>
        <v>288</v>
      </c>
      <c r="R16" s="13">
        <f t="shared" si="2"/>
        <v>284</v>
      </c>
      <c r="S16" s="13">
        <f t="shared" si="2"/>
        <v>278</v>
      </c>
      <c r="T16" s="13">
        <f t="shared" si="2"/>
        <v>285</v>
      </c>
      <c r="U16" s="13">
        <f t="shared" si="2"/>
        <v>277</v>
      </c>
      <c r="V16" s="13">
        <f t="shared" si="2"/>
        <v>265</v>
      </c>
      <c r="W16" s="13">
        <f t="shared" si="2"/>
        <v>281</v>
      </c>
      <c r="X16" s="13">
        <f t="shared" si="2"/>
        <v>292</v>
      </c>
      <c r="Y16" s="13">
        <f t="shared" si="2"/>
        <v>226</v>
      </c>
      <c r="Z16" s="13">
        <f t="shared" si="2"/>
        <v>196</v>
      </c>
      <c r="AA16" s="13">
        <f t="shared" si="2"/>
        <v>288</v>
      </c>
      <c r="AB16" s="13">
        <f t="shared" si="2"/>
        <v>240</v>
      </c>
      <c r="AC16" s="13">
        <f t="shared" si="1"/>
        <v>6507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19"/>
      <c r="P17" s="19"/>
      <c r="Q17" s="19"/>
      <c r="R17" s="19"/>
      <c r="S17" s="19"/>
      <c r="T17" s="19"/>
      <c r="U17" s="19"/>
      <c r="V17" s="19"/>
      <c r="W17" s="19"/>
      <c r="X17" s="69"/>
      <c r="Y17" s="19"/>
      <c r="Z17" s="19"/>
      <c r="AA17" s="19"/>
      <c r="AB17" s="19"/>
      <c r="AC17" s="7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19"/>
      <c r="P18" s="19"/>
      <c r="Q18" s="19"/>
      <c r="R18" s="19"/>
      <c r="S18" s="19"/>
      <c r="T18" s="19"/>
      <c r="U18" s="19"/>
      <c r="V18" s="19"/>
      <c r="W18" s="19"/>
      <c r="X18" s="69"/>
      <c r="Y18" s="19"/>
      <c r="Z18" s="19"/>
      <c r="AA18" s="19"/>
      <c r="AB18" s="19"/>
      <c r="AC18" s="7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101.0</v>
      </c>
      <c r="F19" s="19">
        <v>102.0</v>
      </c>
      <c r="G19" s="19">
        <v>101.0</v>
      </c>
      <c r="H19" s="19">
        <v>122.0</v>
      </c>
      <c r="I19" s="19">
        <v>82.0</v>
      </c>
      <c r="J19" s="19">
        <v>102.0</v>
      </c>
      <c r="K19" s="19">
        <v>111.0</v>
      </c>
      <c r="L19" s="19">
        <v>98.0</v>
      </c>
      <c r="M19" s="19">
        <v>95.0</v>
      </c>
      <c r="N19" s="19">
        <v>102.0</v>
      </c>
      <c r="O19" s="19">
        <v>88.0</v>
      </c>
      <c r="P19" s="19">
        <v>68.0</v>
      </c>
      <c r="Q19" s="19">
        <v>92.0</v>
      </c>
      <c r="R19" s="19">
        <v>92.0</v>
      </c>
      <c r="S19" s="19">
        <v>86.0</v>
      </c>
      <c r="T19" s="19">
        <v>117.0</v>
      </c>
      <c r="U19" s="19">
        <v>122.0</v>
      </c>
      <c r="V19" s="19">
        <v>108.0</v>
      </c>
      <c r="W19" s="19">
        <v>106.0</v>
      </c>
      <c r="X19" s="19">
        <v>104.0</v>
      </c>
      <c r="Y19" s="19">
        <v>89.0</v>
      </c>
      <c r="Z19" s="19">
        <v>65.0</v>
      </c>
      <c r="AA19" s="19">
        <v>92.0</v>
      </c>
      <c r="AB19" s="19">
        <v>94.0</v>
      </c>
      <c r="AC19" s="13">
        <f t="shared" ref="AC19:AC30" si="3">SUM(E19:AB19)</f>
        <v>2339</v>
      </c>
    </row>
    <row r="20" ht="12.75" customHeight="1">
      <c r="A20" s="33"/>
      <c r="B20" s="27"/>
      <c r="C20" s="34"/>
      <c r="D20" s="19" t="s">
        <v>13</v>
      </c>
      <c r="E20" s="19">
        <v>117.0</v>
      </c>
      <c r="F20" s="19">
        <v>115.0</v>
      </c>
      <c r="G20" s="19">
        <v>119.0</v>
      </c>
      <c r="H20" s="19">
        <v>125.0</v>
      </c>
      <c r="I20" s="19">
        <v>107.0</v>
      </c>
      <c r="J20" s="19">
        <v>119.0</v>
      </c>
      <c r="K20" s="19">
        <v>107.0</v>
      </c>
      <c r="L20" s="19">
        <v>121.0</v>
      </c>
      <c r="M20" s="19">
        <v>119.0</v>
      </c>
      <c r="N20" s="19">
        <v>111.0</v>
      </c>
      <c r="O20" s="19">
        <v>116.0</v>
      </c>
      <c r="P20" s="19">
        <v>100.0</v>
      </c>
      <c r="Q20" s="19">
        <v>97.0</v>
      </c>
      <c r="R20" s="19">
        <v>109.0</v>
      </c>
      <c r="S20" s="19">
        <v>111.0</v>
      </c>
      <c r="T20" s="19">
        <v>121.0</v>
      </c>
      <c r="U20" s="19">
        <v>121.0</v>
      </c>
      <c r="V20" s="19">
        <v>121.0</v>
      </c>
      <c r="W20" s="19">
        <v>118.0</v>
      </c>
      <c r="X20" s="19">
        <v>116.0</v>
      </c>
      <c r="Y20" s="19">
        <v>101.0</v>
      </c>
      <c r="Z20" s="19">
        <v>91.0</v>
      </c>
      <c r="AA20" s="19">
        <v>110.0</v>
      </c>
      <c r="AB20" s="19">
        <v>108.0</v>
      </c>
      <c r="AC20" s="13">
        <f t="shared" si="3"/>
        <v>2700</v>
      </c>
    </row>
    <row r="21" ht="12.75" customHeight="1">
      <c r="A21" s="35"/>
      <c r="B21" s="28"/>
      <c r="C21" s="36"/>
      <c r="D21" s="13" t="s">
        <v>14</v>
      </c>
      <c r="E21" s="13">
        <f t="shared" ref="E21:AB21" si="4">SUM(E19:E20)</f>
        <v>218</v>
      </c>
      <c r="F21" s="13">
        <f t="shared" si="4"/>
        <v>217</v>
      </c>
      <c r="G21" s="13">
        <f t="shared" si="4"/>
        <v>220</v>
      </c>
      <c r="H21" s="13">
        <f t="shared" si="4"/>
        <v>247</v>
      </c>
      <c r="I21" s="13">
        <f t="shared" si="4"/>
        <v>189</v>
      </c>
      <c r="J21" s="13">
        <f t="shared" si="4"/>
        <v>221</v>
      </c>
      <c r="K21" s="13">
        <f t="shared" si="4"/>
        <v>218</v>
      </c>
      <c r="L21" s="13">
        <f t="shared" si="4"/>
        <v>219</v>
      </c>
      <c r="M21" s="13">
        <f t="shared" si="4"/>
        <v>214</v>
      </c>
      <c r="N21" s="13">
        <f t="shared" si="4"/>
        <v>213</v>
      </c>
      <c r="O21" s="13">
        <f t="shared" si="4"/>
        <v>204</v>
      </c>
      <c r="P21" s="13">
        <f t="shared" si="4"/>
        <v>168</v>
      </c>
      <c r="Q21" s="13">
        <f t="shared" si="4"/>
        <v>189</v>
      </c>
      <c r="R21" s="13">
        <f t="shared" si="4"/>
        <v>201</v>
      </c>
      <c r="S21" s="13">
        <f t="shared" si="4"/>
        <v>197</v>
      </c>
      <c r="T21" s="13">
        <f t="shared" si="4"/>
        <v>238</v>
      </c>
      <c r="U21" s="13">
        <f t="shared" si="4"/>
        <v>243</v>
      </c>
      <c r="V21" s="13">
        <f t="shared" si="4"/>
        <v>229</v>
      </c>
      <c r="W21" s="13">
        <f t="shared" si="4"/>
        <v>224</v>
      </c>
      <c r="X21" s="13">
        <f t="shared" si="4"/>
        <v>220</v>
      </c>
      <c r="Y21" s="13">
        <f t="shared" si="4"/>
        <v>190</v>
      </c>
      <c r="Z21" s="13">
        <f t="shared" si="4"/>
        <v>156</v>
      </c>
      <c r="AA21" s="13">
        <f t="shared" si="4"/>
        <v>202</v>
      </c>
      <c r="AB21" s="13">
        <f t="shared" si="4"/>
        <v>202</v>
      </c>
      <c r="AC21" s="13">
        <f t="shared" si="3"/>
        <v>5039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/>
      <c r="G22" s="19">
        <v>1.0</v>
      </c>
      <c r="H22" s="19">
        <v>1.0</v>
      </c>
      <c r="I22" s="19"/>
      <c r="J22" s="19"/>
      <c r="K22" s="19"/>
      <c r="L22" s="19"/>
      <c r="M22" s="19">
        <v>1.0</v>
      </c>
      <c r="N22" s="19"/>
      <c r="O22" s="19"/>
      <c r="P22" s="19"/>
      <c r="Q22" s="19">
        <v>1.0</v>
      </c>
      <c r="R22" s="19">
        <v>1.0</v>
      </c>
      <c r="S22" s="19"/>
      <c r="T22" s="19"/>
      <c r="U22" s="19"/>
      <c r="V22" s="19"/>
      <c r="W22" s="19">
        <v>1.0</v>
      </c>
      <c r="X22" s="19"/>
      <c r="Y22" s="19"/>
      <c r="Z22" s="19"/>
      <c r="AA22" s="19"/>
      <c r="AB22" s="19"/>
      <c r="AC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1.0</v>
      </c>
      <c r="G23" s="19"/>
      <c r="H23" s="19"/>
      <c r="I23" s="19"/>
      <c r="J23" s="19">
        <v>1.0</v>
      </c>
      <c r="K23" s="19">
        <v>1.0</v>
      </c>
      <c r="L23" s="19">
        <v>1.0</v>
      </c>
      <c r="M23" s="19"/>
      <c r="N23" s="19"/>
      <c r="O23" s="19"/>
      <c r="P23" s="19">
        <v>1.0</v>
      </c>
      <c r="Q23" s="19"/>
      <c r="R23" s="19"/>
      <c r="S23" s="19">
        <v>1.0</v>
      </c>
      <c r="T23" s="19">
        <v>2.0</v>
      </c>
      <c r="U23" s="19">
        <v>1.0</v>
      </c>
      <c r="V23" s="19">
        <v>1.0</v>
      </c>
      <c r="W23" s="19"/>
      <c r="X23" s="19">
        <v>1.0</v>
      </c>
      <c r="Y23" s="19">
        <v>1.0</v>
      </c>
      <c r="Z23" s="19">
        <v>1.0</v>
      </c>
      <c r="AA23" s="19">
        <v>1.0</v>
      </c>
      <c r="AB23" s="19">
        <v>1.0</v>
      </c>
      <c r="AC23" s="13">
        <f t="shared" si="3"/>
        <v>16</v>
      </c>
    </row>
    <row r="24" ht="12.75" customHeight="1">
      <c r="A24" s="35"/>
      <c r="B24" s="28"/>
      <c r="C24" s="36"/>
      <c r="D24" s="13" t="s">
        <v>14</v>
      </c>
      <c r="E24" s="13">
        <f t="shared" ref="E24:AB24" si="5">SUM(E22:E23)</f>
        <v>2</v>
      </c>
      <c r="F24" s="13">
        <f t="shared" si="5"/>
        <v>1</v>
      </c>
      <c r="G24" s="13">
        <f t="shared" si="5"/>
        <v>1</v>
      </c>
      <c r="H24" s="13">
        <f t="shared" si="5"/>
        <v>1</v>
      </c>
      <c r="I24" s="13">
        <f t="shared" si="5"/>
        <v>0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1</v>
      </c>
      <c r="R24" s="13">
        <f t="shared" si="5"/>
        <v>1</v>
      </c>
      <c r="S24" s="13">
        <f t="shared" si="5"/>
        <v>1</v>
      </c>
      <c r="T24" s="13">
        <f t="shared" si="5"/>
        <v>2</v>
      </c>
      <c r="U24" s="13">
        <f t="shared" si="5"/>
        <v>1</v>
      </c>
      <c r="V24" s="13">
        <f t="shared" si="5"/>
        <v>1</v>
      </c>
      <c r="W24" s="13">
        <f t="shared" si="5"/>
        <v>1</v>
      </c>
      <c r="X24" s="13">
        <f t="shared" si="5"/>
        <v>1</v>
      </c>
      <c r="Y24" s="13">
        <f t="shared" si="5"/>
        <v>1</v>
      </c>
      <c r="Z24" s="13">
        <f t="shared" si="5"/>
        <v>1</v>
      </c>
      <c r="AA24" s="13">
        <f t="shared" si="5"/>
        <v>1</v>
      </c>
      <c r="AB24" s="13">
        <f t="shared" si="5"/>
        <v>1</v>
      </c>
      <c r="AC24" s="13">
        <f t="shared" si="3"/>
        <v>23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1.0</v>
      </c>
      <c r="G25" s="19"/>
      <c r="H25" s="19"/>
      <c r="I25" s="19"/>
      <c r="J25" s="19"/>
      <c r="K25" s="19">
        <v>2.0</v>
      </c>
      <c r="L25" s="19">
        <v>4.0</v>
      </c>
      <c r="M25" s="19"/>
      <c r="N25" s="19"/>
      <c r="O25" s="19"/>
      <c r="P25" s="19">
        <v>3.0</v>
      </c>
      <c r="Q25" s="19">
        <v>1.0</v>
      </c>
      <c r="R25" s="19"/>
      <c r="S25" s="19">
        <v>1.0</v>
      </c>
      <c r="T25" s="19"/>
      <c r="U25" s="19">
        <v>3.0</v>
      </c>
      <c r="V25" s="19">
        <v>1.0</v>
      </c>
      <c r="W25" s="19"/>
      <c r="X25" s="19">
        <v>1.0</v>
      </c>
      <c r="Y25" s="19"/>
      <c r="Z25" s="19">
        <v>5.0</v>
      </c>
      <c r="AA25" s="19"/>
      <c r="AB25" s="19">
        <v>3.0</v>
      </c>
      <c r="AC25" s="13">
        <f t="shared" si="3"/>
        <v>27</v>
      </c>
    </row>
    <row r="26" ht="12.75" customHeight="1">
      <c r="A26" s="33"/>
      <c r="B26" s="27"/>
      <c r="C26" s="34"/>
      <c r="D26" s="19" t="s">
        <v>13</v>
      </c>
      <c r="E26" s="19">
        <v>4.0</v>
      </c>
      <c r="F26" s="19">
        <v>3.0</v>
      </c>
      <c r="G26" s="19"/>
      <c r="H26" s="19"/>
      <c r="I26" s="19">
        <v>1.0</v>
      </c>
      <c r="J26" s="19">
        <v>1.0</v>
      </c>
      <c r="K26" s="19"/>
      <c r="L26" s="19">
        <v>4.0</v>
      </c>
      <c r="M26" s="19"/>
      <c r="N26" s="19">
        <v>1.0</v>
      </c>
      <c r="O26" s="19">
        <v>1.0</v>
      </c>
      <c r="P26" s="19">
        <v>4.0</v>
      </c>
      <c r="Q26" s="19">
        <v>1.0</v>
      </c>
      <c r="R26" s="19"/>
      <c r="S26" s="19">
        <v>2.0</v>
      </c>
      <c r="T26" s="19"/>
      <c r="U26" s="19">
        <v>1.0</v>
      </c>
      <c r="V26" s="19">
        <v>1.0</v>
      </c>
      <c r="W26" s="19"/>
      <c r="X26" s="19">
        <v>3.0</v>
      </c>
      <c r="Y26" s="19"/>
      <c r="Z26" s="19">
        <v>1.0</v>
      </c>
      <c r="AA26" s="19"/>
      <c r="AB26" s="19">
        <v>4.0</v>
      </c>
      <c r="AC26" s="13">
        <f t="shared" si="3"/>
        <v>32</v>
      </c>
    </row>
    <row r="27" ht="12.75" customHeight="1">
      <c r="A27" s="35"/>
      <c r="B27" s="28"/>
      <c r="C27" s="36"/>
      <c r="D27" s="13" t="s">
        <v>14</v>
      </c>
      <c r="E27" s="13">
        <f t="shared" ref="E27:AB27" si="6">SUM(E25:E26)</f>
        <v>6</v>
      </c>
      <c r="F27" s="13">
        <f t="shared" si="6"/>
        <v>4</v>
      </c>
      <c r="G27" s="13">
        <f t="shared" si="6"/>
        <v>0</v>
      </c>
      <c r="H27" s="13">
        <f t="shared" si="6"/>
        <v>0</v>
      </c>
      <c r="I27" s="13">
        <f t="shared" si="6"/>
        <v>1</v>
      </c>
      <c r="J27" s="13">
        <f t="shared" si="6"/>
        <v>1</v>
      </c>
      <c r="K27" s="13">
        <f t="shared" si="6"/>
        <v>2</v>
      </c>
      <c r="L27" s="13">
        <f t="shared" si="6"/>
        <v>8</v>
      </c>
      <c r="M27" s="13">
        <f t="shared" si="6"/>
        <v>0</v>
      </c>
      <c r="N27" s="13">
        <f t="shared" si="6"/>
        <v>1</v>
      </c>
      <c r="O27" s="13">
        <f t="shared" si="6"/>
        <v>1</v>
      </c>
      <c r="P27" s="13">
        <f t="shared" si="6"/>
        <v>7</v>
      </c>
      <c r="Q27" s="13">
        <f t="shared" si="6"/>
        <v>2</v>
      </c>
      <c r="R27" s="13">
        <f t="shared" si="6"/>
        <v>0</v>
      </c>
      <c r="S27" s="13">
        <f t="shared" si="6"/>
        <v>3</v>
      </c>
      <c r="T27" s="13">
        <f t="shared" si="6"/>
        <v>0</v>
      </c>
      <c r="U27" s="13">
        <f t="shared" si="6"/>
        <v>4</v>
      </c>
      <c r="V27" s="13">
        <f t="shared" si="6"/>
        <v>2</v>
      </c>
      <c r="W27" s="13">
        <f t="shared" si="6"/>
        <v>0</v>
      </c>
      <c r="X27" s="13">
        <f t="shared" si="6"/>
        <v>4</v>
      </c>
      <c r="Y27" s="13">
        <f t="shared" si="6"/>
        <v>0</v>
      </c>
      <c r="Z27" s="13">
        <f t="shared" si="6"/>
        <v>6</v>
      </c>
      <c r="AA27" s="13">
        <f t="shared" si="6"/>
        <v>0</v>
      </c>
      <c r="AB27" s="13">
        <f t="shared" si="6"/>
        <v>7</v>
      </c>
      <c r="AC27" s="13">
        <f t="shared" si="3"/>
        <v>59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B28" si="7">SUM(E19,E22,E25)</f>
        <v>104</v>
      </c>
      <c r="F28" s="13">
        <f t="shared" si="7"/>
        <v>103</v>
      </c>
      <c r="G28" s="13">
        <f t="shared" si="7"/>
        <v>102</v>
      </c>
      <c r="H28" s="13">
        <f t="shared" si="7"/>
        <v>123</v>
      </c>
      <c r="I28" s="13">
        <f t="shared" si="7"/>
        <v>82</v>
      </c>
      <c r="J28" s="13">
        <f t="shared" si="7"/>
        <v>102</v>
      </c>
      <c r="K28" s="13">
        <f t="shared" si="7"/>
        <v>113</v>
      </c>
      <c r="L28" s="13">
        <f t="shared" si="7"/>
        <v>102</v>
      </c>
      <c r="M28" s="13">
        <f t="shared" si="7"/>
        <v>96</v>
      </c>
      <c r="N28" s="13">
        <f t="shared" si="7"/>
        <v>102</v>
      </c>
      <c r="O28" s="13">
        <f t="shared" si="7"/>
        <v>88</v>
      </c>
      <c r="P28" s="13">
        <f t="shared" si="7"/>
        <v>71</v>
      </c>
      <c r="Q28" s="13">
        <f t="shared" si="7"/>
        <v>94</v>
      </c>
      <c r="R28" s="13">
        <f t="shared" si="7"/>
        <v>93</v>
      </c>
      <c r="S28" s="13">
        <f t="shared" si="7"/>
        <v>87</v>
      </c>
      <c r="T28" s="13">
        <f t="shared" si="7"/>
        <v>117</v>
      </c>
      <c r="U28" s="13">
        <f t="shared" si="7"/>
        <v>125</v>
      </c>
      <c r="V28" s="13">
        <f t="shared" si="7"/>
        <v>109</v>
      </c>
      <c r="W28" s="13">
        <f t="shared" si="7"/>
        <v>107</v>
      </c>
      <c r="X28" s="13">
        <f t="shared" si="7"/>
        <v>105</v>
      </c>
      <c r="Y28" s="13">
        <f t="shared" si="7"/>
        <v>89</v>
      </c>
      <c r="Z28" s="13">
        <f t="shared" si="7"/>
        <v>70</v>
      </c>
      <c r="AA28" s="13">
        <f t="shared" si="7"/>
        <v>92</v>
      </c>
      <c r="AB28" s="13">
        <f t="shared" si="7"/>
        <v>97</v>
      </c>
      <c r="AC28" s="13">
        <f t="shared" si="3"/>
        <v>2373</v>
      </c>
    </row>
    <row r="29" ht="12.75" customHeight="1">
      <c r="A29" s="35"/>
      <c r="B29" s="27"/>
      <c r="C29" s="34"/>
      <c r="D29" s="13" t="s">
        <v>13</v>
      </c>
      <c r="E29" s="13">
        <f t="shared" ref="E29:AB29" si="8">SUM(E20,E23,E26)</f>
        <v>122</v>
      </c>
      <c r="F29" s="13">
        <f t="shared" si="8"/>
        <v>119</v>
      </c>
      <c r="G29" s="13">
        <f t="shared" si="8"/>
        <v>119</v>
      </c>
      <c r="H29" s="13">
        <f t="shared" si="8"/>
        <v>125</v>
      </c>
      <c r="I29" s="13">
        <f t="shared" si="8"/>
        <v>108</v>
      </c>
      <c r="J29" s="13">
        <f t="shared" si="8"/>
        <v>121</v>
      </c>
      <c r="K29" s="13">
        <f t="shared" si="8"/>
        <v>108</v>
      </c>
      <c r="L29" s="13">
        <f t="shared" si="8"/>
        <v>126</v>
      </c>
      <c r="M29" s="13">
        <f t="shared" si="8"/>
        <v>119</v>
      </c>
      <c r="N29" s="13">
        <f t="shared" si="8"/>
        <v>112</v>
      </c>
      <c r="O29" s="13">
        <f t="shared" si="8"/>
        <v>117</v>
      </c>
      <c r="P29" s="13">
        <f t="shared" si="8"/>
        <v>105</v>
      </c>
      <c r="Q29" s="13">
        <f t="shared" si="8"/>
        <v>98</v>
      </c>
      <c r="R29" s="13">
        <f t="shared" si="8"/>
        <v>109</v>
      </c>
      <c r="S29" s="13">
        <f t="shared" si="8"/>
        <v>114</v>
      </c>
      <c r="T29" s="13">
        <f t="shared" si="8"/>
        <v>123</v>
      </c>
      <c r="U29" s="13">
        <f t="shared" si="8"/>
        <v>123</v>
      </c>
      <c r="V29" s="13">
        <f t="shared" si="8"/>
        <v>123</v>
      </c>
      <c r="W29" s="13">
        <f t="shared" si="8"/>
        <v>118</v>
      </c>
      <c r="X29" s="13">
        <f t="shared" si="8"/>
        <v>120</v>
      </c>
      <c r="Y29" s="13">
        <f t="shared" si="8"/>
        <v>102</v>
      </c>
      <c r="Z29" s="13">
        <f t="shared" si="8"/>
        <v>93</v>
      </c>
      <c r="AA29" s="13">
        <f t="shared" si="8"/>
        <v>111</v>
      </c>
      <c r="AB29" s="13">
        <f t="shared" si="8"/>
        <v>113</v>
      </c>
      <c r="AC29" s="13">
        <f t="shared" si="3"/>
        <v>2748</v>
      </c>
    </row>
    <row r="30" ht="12.75" customHeight="1">
      <c r="A30" s="35"/>
      <c r="B30" s="28"/>
      <c r="C30" s="36"/>
      <c r="D30" s="13" t="s">
        <v>14</v>
      </c>
      <c r="E30" s="13">
        <f t="shared" ref="E30:AB30" si="9">SUM(E28:E29)</f>
        <v>226</v>
      </c>
      <c r="F30" s="13">
        <f t="shared" si="9"/>
        <v>222</v>
      </c>
      <c r="G30" s="13">
        <f t="shared" si="9"/>
        <v>221</v>
      </c>
      <c r="H30" s="13">
        <f t="shared" si="9"/>
        <v>248</v>
      </c>
      <c r="I30" s="13">
        <f t="shared" si="9"/>
        <v>190</v>
      </c>
      <c r="J30" s="13">
        <f t="shared" si="9"/>
        <v>223</v>
      </c>
      <c r="K30" s="13">
        <f t="shared" si="9"/>
        <v>221</v>
      </c>
      <c r="L30" s="13">
        <f t="shared" si="9"/>
        <v>228</v>
      </c>
      <c r="M30" s="13">
        <f t="shared" si="9"/>
        <v>215</v>
      </c>
      <c r="N30" s="13">
        <f t="shared" si="9"/>
        <v>214</v>
      </c>
      <c r="O30" s="13">
        <f t="shared" si="9"/>
        <v>205</v>
      </c>
      <c r="P30" s="13">
        <f t="shared" si="9"/>
        <v>176</v>
      </c>
      <c r="Q30" s="13">
        <f t="shared" si="9"/>
        <v>192</v>
      </c>
      <c r="R30" s="13">
        <f t="shared" si="9"/>
        <v>202</v>
      </c>
      <c r="S30" s="13">
        <f t="shared" si="9"/>
        <v>201</v>
      </c>
      <c r="T30" s="13">
        <f t="shared" si="9"/>
        <v>240</v>
      </c>
      <c r="U30" s="13">
        <f t="shared" si="9"/>
        <v>248</v>
      </c>
      <c r="V30" s="13">
        <f t="shared" si="9"/>
        <v>232</v>
      </c>
      <c r="W30" s="13">
        <f t="shared" si="9"/>
        <v>225</v>
      </c>
      <c r="X30" s="13">
        <f t="shared" si="9"/>
        <v>225</v>
      </c>
      <c r="Y30" s="13">
        <f t="shared" si="9"/>
        <v>191</v>
      </c>
      <c r="Z30" s="13">
        <f t="shared" si="9"/>
        <v>163</v>
      </c>
      <c r="AA30" s="13">
        <f t="shared" si="9"/>
        <v>203</v>
      </c>
      <c r="AB30" s="13">
        <f t="shared" si="9"/>
        <v>210</v>
      </c>
      <c r="AC30" s="13">
        <f t="shared" si="3"/>
        <v>5121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19"/>
      <c r="P31" s="19"/>
      <c r="Q31" s="19"/>
      <c r="R31" s="19"/>
      <c r="S31" s="19"/>
      <c r="T31" s="19"/>
      <c r="U31" s="19"/>
      <c r="V31" s="19"/>
      <c r="W31" s="19"/>
      <c r="X31" s="69"/>
      <c r="Y31" s="19"/>
      <c r="Z31" s="19"/>
      <c r="AA31" s="19"/>
      <c r="AB31" s="19"/>
      <c r="AC31" s="7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1"/>
      <c r="O32" s="13"/>
      <c r="P32" s="13"/>
      <c r="Q32" s="13"/>
      <c r="R32" s="13"/>
      <c r="S32" s="13"/>
      <c r="T32" s="13"/>
      <c r="U32" s="13"/>
      <c r="V32" s="13"/>
      <c r="W32" s="13"/>
      <c r="X32" s="71"/>
      <c r="Y32" s="13"/>
      <c r="Z32" s="13"/>
      <c r="AA32" s="13"/>
      <c r="AB32" s="13"/>
      <c r="AC32" s="70"/>
    </row>
    <row r="33" ht="12.75" customHeight="1">
      <c r="A33" s="19">
        <v>1.0</v>
      </c>
      <c r="B33" s="20" t="s">
        <v>27</v>
      </c>
      <c r="C33" s="15"/>
      <c r="D33" s="16"/>
      <c r="E33" s="19">
        <v>300.0</v>
      </c>
      <c r="F33" s="19">
        <v>286.0</v>
      </c>
      <c r="G33" s="19">
        <v>278.0</v>
      </c>
      <c r="H33" s="19">
        <v>301.0</v>
      </c>
      <c r="I33" s="19">
        <v>272.0</v>
      </c>
      <c r="J33" s="19">
        <v>286.0</v>
      </c>
      <c r="K33" s="19">
        <v>286.0</v>
      </c>
      <c r="L33" s="19">
        <v>289.0</v>
      </c>
      <c r="M33" s="19">
        <v>290.0</v>
      </c>
      <c r="N33" s="19">
        <v>280.0</v>
      </c>
      <c r="O33" s="19">
        <v>279.0</v>
      </c>
      <c r="P33" s="19">
        <v>232.0</v>
      </c>
      <c r="Q33" s="19">
        <v>294.0</v>
      </c>
      <c r="R33" s="19">
        <v>290.0</v>
      </c>
      <c r="S33" s="19">
        <v>284.0</v>
      </c>
      <c r="T33" s="19">
        <v>291.0</v>
      </c>
      <c r="U33" s="19">
        <v>283.0</v>
      </c>
      <c r="V33" s="19">
        <v>272.0</v>
      </c>
      <c r="W33" s="19">
        <v>278.0</v>
      </c>
      <c r="X33" s="19">
        <v>299.0</v>
      </c>
      <c r="Y33" s="19">
        <v>231.0</v>
      </c>
      <c r="Z33" s="19">
        <v>200.0</v>
      </c>
      <c r="AA33" s="19">
        <v>295.0</v>
      </c>
      <c r="AB33" s="19">
        <v>245.0</v>
      </c>
      <c r="AC33" s="13">
        <f t="shared" ref="AC33:AC36" si="10">SUM(E33:AB33)</f>
        <v>6641</v>
      </c>
    </row>
    <row r="34" ht="12.75" customHeight="1">
      <c r="A34" s="19">
        <v>2.0</v>
      </c>
      <c r="B34" s="20" t="s">
        <v>28</v>
      </c>
      <c r="C34" s="15"/>
      <c r="D34" s="16"/>
      <c r="E34" s="13">
        <v>226.0</v>
      </c>
      <c r="F34" s="13">
        <v>222.0</v>
      </c>
      <c r="G34" s="13">
        <v>221.0</v>
      </c>
      <c r="H34" s="13">
        <v>248.0</v>
      </c>
      <c r="I34" s="13">
        <v>190.0</v>
      </c>
      <c r="J34" s="13">
        <v>223.0</v>
      </c>
      <c r="K34" s="13">
        <v>221.0</v>
      </c>
      <c r="L34" s="13">
        <v>228.0</v>
      </c>
      <c r="M34" s="13">
        <v>215.0</v>
      </c>
      <c r="N34" s="13">
        <v>214.0</v>
      </c>
      <c r="O34" s="13">
        <v>205.0</v>
      </c>
      <c r="P34" s="13">
        <v>176.0</v>
      </c>
      <c r="Q34" s="13">
        <v>192.0</v>
      </c>
      <c r="R34" s="13">
        <v>202.0</v>
      </c>
      <c r="S34" s="13">
        <v>201.0</v>
      </c>
      <c r="T34" s="13">
        <v>240.0</v>
      </c>
      <c r="U34" s="13">
        <v>248.0</v>
      </c>
      <c r="V34" s="13">
        <v>232.0</v>
      </c>
      <c r="W34" s="13">
        <v>225.0</v>
      </c>
      <c r="X34" s="13">
        <v>225.0</v>
      </c>
      <c r="Y34" s="13">
        <v>191.0</v>
      </c>
      <c r="Z34" s="13">
        <v>163.0</v>
      </c>
      <c r="AA34" s="13">
        <v>203.0</v>
      </c>
      <c r="AB34" s="13">
        <v>210.0</v>
      </c>
      <c r="AC34" s="13">
        <f t="shared" si="10"/>
        <v>5121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>
        <v>1.0</v>
      </c>
      <c r="G35" s="19">
        <v>1.0</v>
      </c>
      <c r="H35" s="19"/>
      <c r="I35" s="19"/>
      <c r="J35" s="19"/>
      <c r="K35" s="19">
        <v>1.0</v>
      </c>
      <c r="L35" s="19"/>
      <c r="M35" s="19"/>
      <c r="N35" s="19"/>
      <c r="O35" s="19"/>
      <c r="P35" s="19"/>
      <c r="Q35" s="19"/>
      <c r="R35" s="19"/>
      <c r="S35" s="19"/>
      <c r="T35" s="19">
        <v>3.0</v>
      </c>
      <c r="U35" s="19">
        <v>2.0</v>
      </c>
      <c r="V35" s="19"/>
      <c r="W35" s="19"/>
      <c r="X35" s="19"/>
      <c r="Y35" s="19"/>
      <c r="Z35" s="19">
        <v>12.0</v>
      </c>
      <c r="AA35" s="19">
        <v>1.0</v>
      </c>
      <c r="AB35" s="19"/>
      <c r="AC35" s="13">
        <f t="shared" si="10"/>
        <v>21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B36" si="11">E33-(E34+E35)</f>
        <v>74</v>
      </c>
      <c r="F36" s="13">
        <f t="shared" si="11"/>
        <v>63</v>
      </c>
      <c r="G36" s="13">
        <f t="shared" si="11"/>
        <v>56</v>
      </c>
      <c r="H36" s="13">
        <f t="shared" si="11"/>
        <v>53</v>
      </c>
      <c r="I36" s="13">
        <f t="shared" si="11"/>
        <v>82</v>
      </c>
      <c r="J36" s="13">
        <f t="shared" si="11"/>
        <v>63</v>
      </c>
      <c r="K36" s="13">
        <f t="shared" si="11"/>
        <v>64</v>
      </c>
      <c r="L36" s="13">
        <f t="shared" si="11"/>
        <v>61</v>
      </c>
      <c r="M36" s="13">
        <f t="shared" si="11"/>
        <v>75</v>
      </c>
      <c r="N36" s="13">
        <f t="shared" si="11"/>
        <v>66</v>
      </c>
      <c r="O36" s="13">
        <f t="shared" si="11"/>
        <v>74</v>
      </c>
      <c r="P36" s="13">
        <f t="shared" si="11"/>
        <v>56</v>
      </c>
      <c r="Q36" s="13">
        <f t="shared" si="11"/>
        <v>102</v>
      </c>
      <c r="R36" s="13">
        <f t="shared" si="11"/>
        <v>88</v>
      </c>
      <c r="S36" s="13">
        <f t="shared" si="11"/>
        <v>83</v>
      </c>
      <c r="T36" s="13">
        <f t="shared" si="11"/>
        <v>48</v>
      </c>
      <c r="U36" s="13">
        <f t="shared" si="11"/>
        <v>33</v>
      </c>
      <c r="V36" s="13">
        <f t="shared" si="11"/>
        <v>40</v>
      </c>
      <c r="W36" s="13">
        <f t="shared" si="11"/>
        <v>53</v>
      </c>
      <c r="X36" s="13">
        <f t="shared" si="11"/>
        <v>74</v>
      </c>
      <c r="Y36" s="13">
        <f t="shared" si="11"/>
        <v>40</v>
      </c>
      <c r="Z36" s="13">
        <f t="shared" si="11"/>
        <v>25</v>
      </c>
      <c r="AA36" s="13">
        <f t="shared" si="11"/>
        <v>91</v>
      </c>
      <c r="AB36" s="13">
        <f t="shared" si="11"/>
        <v>35</v>
      </c>
      <c r="AC36" s="13">
        <f t="shared" si="10"/>
        <v>1499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6"/>
      <c r="AC37" s="7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1"/>
      <c r="O38" s="13"/>
      <c r="P38" s="13"/>
      <c r="Q38" s="13"/>
      <c r="R38" s="13"/>
      <c r="S38" s="13"/>
      <c r="T38" s="13"/>
      <c r="U38" s="13"/>
      <c r="V38" s="13"/>
      <c r="W38" s="13"/>
      <c r="X38" s="71"/>
      <c r="Y38" s="13"/>
      <c r="Z38" s="13"/>
      <c r="AA38" s="13"/>
      <c r="AB38" s="13"/>
      <c r="AC38" s="70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>
        <v>1.0</v>
      </c>
      <c r="J39" s="19"/>
      <c r="K39" s="19">
        <v>3.0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3">
        <f t="shared" ref="AC39:AC41" si="12">SUM(E39:AB39)</f>
        <v>4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>
        <v>6.0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3">
        <f t="shared" si="12"/>
        <v>6</v>
      </c>
    </row>
    <row r="41" ht="12.75" customHeight="1">
      <c r="A41" s="41"/>
      <c r="B41" s="44"/>
      <c r="C41" s="28"/>
      <c r="D41" s="13" t="s">
        <v>14</v>
      </c>
      <c r="E41" s="13">
        <f t="shared" ref="E41:AB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9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6"/>
      <c r="AC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1"/>
      <c r="O43" s="13"/>
      <c r="P43" s="13"/>
      <c r="Q43" s="13"/>
      <c r="R43" s="13"/>
      <c r="S43" s="13"/>
      <c r="T43" s="13"/>
      <c r="U43" s="13"/>
      <c r="V43" s="13"/>
      <c r="W43" s="13"/>
      <c r="X43" s="71"/>
      <c r="Y43" s="13"/>
      <c r="Z43" s="13"/>
      <c r="AA43" s="13"/>
      <c r="AB43" s="13"/>
      <c r="AC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9"/>
      <c r="O44" s="19"/>
      <c r="P44" s="19"/>
      <c r="Q44" s="19"/>
      <c r="R44" s="19"/>
      <c r="S44" s="19"/>
      <c r="T44" s="19"/>
      <c r="U44" s="19"/>
      <c r="V44" s="19"/>
      <c r="W44" s="19"/>
      <c r="X44" s="69"/>
      <c r="Y44" s="19"/>
      <c r="Z44" s="19"/>
      <c r="AA44" s="19"/>
      <c r="AB44" s="19"/>
      <c r="AC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7.0</v>
      </c>
      <c r="F45" s="19">
        <v>15.0</v>
      </c>
      <c r="G45" s="19">
        <v>6.0</v>
      </c>
      <c r="H45" s="19">
        <v>11.0</v>
      </c>
      <c r="I45" s="19">
        <v>3.0</v>
      </c>
      <c r="J45" s="19">
        <v>12.0</v>
      </c>
      <c r="K45" s="19">
        <v>5.0</v>
      </c>
      <c r="L45" s="19">
        <v>22.0</v>
      </c>
      <c r="M45" s="19">
        <v>2.0</v>
      </c>
      <c r="N45" s="19">
        <v>7.0</v>
      </c>
      <c r="O45" s="19">
        <v>7.0</v>
      </c>
      <c r="P45" s="19">
        <v>4.0</v>
      </c>
      <c r="Q45" s="19">
        <v>4.0</v>
      </c>
      <c r="R45" s="19">
        <v>4.0</v>
      </c>
      <c r="S45" s="19">
        <v>2.0</v>
      </c>
      <c r="T45" s="19">
        <v>7.0</v>
      </c>
      <c r="U45" s="19">
        <v>18.0</v>
      </c>
      <c r="V45" s="19">
        <v>5.0</v>
      </c>
      <c r="W45" s="19">
        <v>10.0</v>
      </c>
      <c r="X45" s="19">
        <v>6.0</v>
      </c>
      <c r="Y45" s="19">
        <v>9.0</v>
      </c>
      <c r="Z45" s="19">
        <v>11.0</v>
      </c>
      <c r="AA45" s="19">
        <v>15.0</v>
      </c>
      <c r="AB45" s="19">
        <v>12.0</v>
      </c>
      <c r="AC45" s="13">
        <f t="shared" ref="AC45:AC52" si="14">SUM(E45:AB45)</f>
        <v>204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25.0</v>
      </c>
      <c r="F46" s="19">
        <v>36.0</v>
      </c>
      <c r="G46" s="19">
        <v>32.0</v>
      </c>
      <c r="H46" s="19">
        <v>36.0</v>
      </c>
      <c r="I46" s="19">
        <v>33.0</v>
      </c>
      <c r="J46" s="19">
        <v>13.0</v>
      </c>
      <c r="K46" s="19">
        <v>39.0</v>
      </c>
      <c r="L46" s="19">
        <v>47.0</v>
      </c>
      <c r="M46" s="19">
        <v>37.0</v>
      </c>
      <c r="N46" s="19">
        <v>18.0</v>
      </c>
      <c r="O46" s="19">
        <v>18.0</v>
      </c>
      <c r="P46" s="19">
        <v>15.0</v>
      </c>
      <c r="Q46" s="19">
        <v>23.0</v>
      </c>
      <c r="R46" s="19">
        <v>20.0</v>
      </c>
      <c r="S46" s="19">
        <v>5.0</v>
      </c>
      <c r="T46" s="19">
        <v>46.0</v>
      </c>
      <c r="U46" s="19">
        <v>32.0</v>
      </c>
      <c r="V46" s="19">
        <v>22.0</v>
      </c>
      <c r="W46" s="19">
        <v>18.0</v>
      </c>
      <c r="X46" s="19">
        <v>32.0</v>
      </c>
      <c r="Y46" s="19">
        <v>16.0</v>
      </c>
      <c r="Z46" s="19">
        <v>9.0</v>
      </c>
      <c r="AA46" s="19">
        <v>21.0</v>
      </c>
      <c r="AB46" s="19">
        <v>12.0</v>
      </c>
      <c r="AC46" s="13">
        <f t="shared" si="14"/>
        <v>605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8.0</v>
      </c>
      <c r="G47" s="19">
        <v>8.0</v>
      </c>
      <c r="H47" s="19">
        <v>11.0</v>
      </c>
      <c r="I47" s="19">
        <v>5.0</v>
      </c>
      <c r="J47" s="19">
        <v>1.0</v>
      </c>
      <c r="K47" s="19">
        <v>1.0</v>
      </c>
      <c r="L47" s="19">
        <v>3.0</v>
      </c>
      <c r="M47" s="19">
        <v>4.0</v>
      </c>
      <c r="N47" s="19">
        <v>2.0</v>
      </c>
      <c r="O47" s="19">
        <v>4.0</v>
      </c>
      <c r="P47" s="19">
        <v>11.0</v>
      </c>
      <c r="Q47" s="19">
        <v>31.0</v>
      </c>
      <c r="R47" s="19">
        <v>1.0</v>
      </c>
      <c r="S47" s="19">
        <v>2.0</v>
      </c>
      <c r="T47" s="19">
        <v>16.0</v>
      </c>
      <c r="U47" s="19">
        <v>39.0</v>
      </c>
      <c r="V47" s="19">
        <v>16.0</v>
      </c>
      <c r="W47" s="19">
        <v>4.0</v>
      </c>
      <c r="X47" s="19">
        <v>11.0</v>
      </c>
      <c r="Y47" s="19">
        <v>6.0</v>
      </c>
      <c r="Z47" s="19">
        <v>2.0</v>
      </c>
      <c r="AA47" s="19">
        <v>2.0</v>
      </c>
      <c r="AB47" s="19">
        <v>8.0</v>
      </c>
      <c r="AC47" s="13">
        <f t="shared" si="14"/>
        <v>198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2.0</v>
      </c>
      <c r="G48" s="19">
        <v>0.0</v>
      </c>
      <c r="H48" s="19">
        <v>1.0</v>
      </c>
      <c r="I48" s="19">
        <v>0.0</v>
      </c>
      <c r="J48" s="19">
        <v>4.0</v>
      </c>
      <c r="K48" s="19">
        <v>2.0</v>
      </c>
      <c r="L48" s="19">
        <v>2.0</v>
      </c>
      <c r="M48" s="19">
        <v>1.0</v>
      </c>
      <c r="N48" s="19">
        <v>4.0</v>
      </c>
      <c r="O48" s="19">
        <v>0.0</v>
      </c>
      <c r="P48" s="19">
        <v>0.0</v>
      </c>
      <c r="Q48" s="19">
        <v>4.0</v>
      </c>
      <c r="R48" s="19">
        <v>1.0</v>
      </c>
      <c r="S48" s="19">
        <v>0.0</v>
      </c>
      <c r="T48" s="19">
        <v>1.0</v>
      </c>
      <c r="U48" s="19">
        <v>0.0</v>
      </c>
      <c r="V48" s="19">
        <v>0.0</v>
      </c>
      <c r="W48" s="19">
        <v>0.0</v>
      </c>
      <c r="X48" s="19">
        <v>0.0</v>
      </c>
      <c r="Y48" s="19">
        <v>4.0</v>
      </c>
      <c r="Z48" s="19">
        <v>1.0</v>
      </c>
      <c r="AA48" s="19">
        <v>0.0</v>
      </c>
      <c r="AB48" s="19">
        <v>0.0</v>
      </c>
      <c r="AC48" s="13">
        <f t="shared" si="14"/>
        <v>27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1.0</v>
      </c>
      <c r="G49" s="19">
        <v>1.0</v>
      </c>
      <c r="H49" s="19">
        <v>1.0</v>
      </c>
      <c r="I49" s="19">
        <v>0.0</v>
      </c>
      <c r="J49" s="19">
        <v>0.0</v>
      </c>
      <c r="K49" s="19">
        <v>1.0</v>
      </c>
      <c r="L49" s="19">
        <v>3.0</v>
      </c>
      <c r="M49" s="19">
        <v>0.0</v>
      </c>
      <c r="N49" s="19">
        <v>1.0</v>
      </c>
      <c r="O49" s="19">
        <v>0.0</v>
      </c>
      <c r="P49" s="19">
        <v>2.0</v>
      </c>
      <c r="Q49" s="19">
        <v>0.0</v>
      </c>
      <c r="R49" s="19">
        <v>0.0</v>
      </c>
      <c r="S49" s="19">
        <v>0.0</v>
      </c>
      <c r="T49" s="19">
        <v>0.0</v>
      </c>
      <c r="U49" s="19">
        <v>2.0</v>
      </c>
      <c r="V49" s="19">
        <v>3.0</v>
      </c>
      <c r="W49" s="19">
        <v>0.0</v>
      </c>
      <c r="X49" s="19">
        <v>0.0</v>
      </c>
      <c r="Y49" s="19">
        <v>7.0</v>
      </c>
      <c r="Z49" s="19">
        <v>2.0</v>
      </c>
      <c r="AA49" s="19">
        <v>0.0</v>
      </c>
      <c r="AB49" s="19">
        <v>0.0</v>
      </c>
      <c r="AC49" s="13">
        <f t="shared" si="14"/>
        <v>24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2.0</v>
      </c>
      <c r="H50" s="19">
        <v>1.0</v>
      </c>
      <c r="I50" s="19">
        <v>1.0</v>
      </c>
      <c r="J50" s="19">
        <v>2.0</v>
      </c>
      <c r="K50" s="19">
        <v>1.0</v>
      </c>
      <c r="L50" s="19">
        <v>1.0</v>
      </c>
      <c r="M50" s="19">
        <v>3.0</v>
      </c>
      <c r="N50" s="19">
        <v>2.0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1.0</v>
      </c>
      <c r="U50" s="19">
        <v>1.0</v>
      </c>
      <c r="V50" s="19">
        <v>0.0</v>
      </c>
      <c r="W50" s="19">
        <v>0.0</v>
      </c>
      <c r="X50" s="19">
        <v>0.0</v>
      </c>
      <c r="Y50" s="19">
        <v>1.0</v>
      </c>
      <c r="Z50" s="19">
        <v>0.0</v>
      </c>
      <c r="AA50" s="19">
        <v>1.0</v>
      </c>
      <c r="AB50" s="19">
        <v>1.0</v>
      </c>
      <c r="AC50" s="13">
        <f t="shared" si="14"/>
        <v>18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1.0</v>
      </c>
      <c r="H51" s="19">
        <v>0.0</v>
      </c>
      <c r="I51" s="19">
        <v>0.0</v>
      </c>
      <c r="J51" s="19">
        <v>1.0</v>
      </c>
      <c r="K51" s="19">
        <v>0.0</v>
      </c>
      <c r="L51" s="19">
        <v>1.0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1.0</v>
      </c>
      <c r="S51" s="19">
        <v>0.0</v>
      </c>
      <c r="T51" s="19">
        <v>0.0</v>
      </c>
      <c r="U51" s="19">
        <v>1.0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1.0</v>
      </c>
      <c r="AC51" s="13">
        <f t="shared" si="14"/>
        <v>6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1.0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1.0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3">
        <f t="shared" si="14"/>
        <v>2</v>
      </c>
    </row>
    <row r="53" ht="12.75" customHeight="1">
      <c r="A53" s="19" t="s">
        <v>15</v>
      </c>
      <c r="B53" s="47" t="s">
        <v>47</v>
      </c>
      <c r="C53" s="15"/>
      <c r="D53" s="16"/>
      <c r="E53" s="13">
        <f t="shared" ref="E53:AC53" si="15">SUM(E45:E52)</f>
        <v>34</v>
      </c>
      <c r="F53" s="13">
        <f t="shared" si="15"/>
        <v>62</v>
      </c>
      <c r="G53" s="13">
        <f t="shared" si="15"/>
        <v>50</v>
      </c>
      <c r="H53" s="13">
        <f t="shared" si="15"/>
        <v>61</v>
      </c>
      <c r="I53" s="13">
        <f t="shared" si="15"/>
        <v>42</v>
      </c>
      <c r="J53" s="13">
        <f t="shared" si="15"/>
        <v>33</v>
      </c>
      <c r="K53" s="13">
        <f t="shared" si="15"/>
        <v>50</v>
      </c>
      <c r="L53" s="13">
        <f t="shared" si="15"/>
        <v>79</v>
      </c>
      <c r="M53" s="13">
        <f t="shared" si="15"/>
        <v>47</v>
      </c>
      <c r="N53" s="13">
        <f t="shared" si="15"/>
        <v>34</v>
      </c>
      <c r="O53" s="13">
        <f t="shared" si="15"/>
        <v>29</v>
      </c>
      <c r="P53" s="13">
        <f t="shared" si="15"/>
        <v>32</v>
      </c>
      <c r="Q53" s="13">
        <f t="shared" si="15"/>
        <v>62</v>
      </c>
      <c r="R53" s="13">
        <f t="shared" si="15"/>
        <v>27</v>
      </c>
      <c r="S53" s="13">
        <f t="shared" si="15"/>
        <v>9</v>
      </c>
      <c r="T53" s="13">
        <f t="shared" si="15"/>
        <v>71</v>
      </c>
      <c r="U53" s="13">
        <f t="shared" si="15"/>
        <v>94</v>
      </c>
      <c r="V53" s="13">
        <f t="shared" si="15"/>
        <v>46</v>
      </c>
      <c r="W53" s="13">
        <f t="shared" si="15"/>
        <v>32</v>
      </c>
      <c r="X53" s="13">
        <f t="shared" si="15"/>
        <v>49</v>
      </c>
      <c r="Y53" s="13">
        <f t="shared" si="15"/>
        <v>43</v>
      </c>
      <c r="Z53" s="13">
        <f t="shared" si="15"/>
        <v>25</v>
      </c>
      <c r="AA53" s="13">
        <f t="shared" si="15"/>
        <v>39</v>
      </c>
      <c r="AB53" s="13">
        <f t="shared" si="15"/>
        <v>34</v>
      </c>
      <c r="AC53" s="13">
        <f t="shared" si="15"/>
        <v>1084</v>
      </c>
    </row>
    <row r="54" ht="12.75" customHeight="1">
      <c r="A54" s="45"/>
      <c r="B54" s="44"/>
      <c r="C54" s="44"/>
      <c r="D54" s="44"/>
      <c r="E54" s="44"/>
      <c r="AC54" s="13"/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9.0</v>
      </c>
      <c r="F55" s="19">
        <v>7.0</v>
      </c>
      <c r="G55" s="19">
        <v>3.0</v>
      </c>
      <c r="H55" s="19">
        <v>11.0</v>
      </c>
      <c r="I55" s="19">
        <v>11.0</v>
      </c>
      <c r="J55" s="19">
        <v>5.0</v>
      </c>
      <c r="K55" s="19">
        <v>12.0</v>
      </c>
      <c r="L55" s="19">
        <v>11.0</v>
      </c>
      <c r="M55" s="19">
        <v>6.0</v>
      </c>
      <c r="N55" s="19">
        <v>10.0</v>
      </c>
      <c r="O55" s="19">
        <v>9.0</v>
      </c>
      <c r="P55" s="19">
        <v>10.0</v>
      </c>
      <c r="Q55" s="19">
        <v>5.0</v>
      </c>
      <c r="R55" s="19">
        <v>17.0</v>
      </c>
      <c r="S55" s="19">
        <v>13.0</v>
      </c>
      <c r="T55" s="19">
        <v>6.0</v>
      </c>
      <c r="U55" s="19">
        <v>9.0</v>
      </c>
      <c r="V55" s="19">
        <v>8.0</v>
      </c>
      <c r="W55" s="19">
        <v>6.0</v>
      </c>
      <c r="X55" s="19">
        <v>10.0</v>
      </c>
      <c r="Y55" s="19">
        <v>7.0</v>
      </c>
      <c r="Z55" s="19">
        <v>6.0</v>
      </c>
      <c r="AA55" s="19">
        <v>11.0</v>
      </c>
      <c r="AB55" s="19">
        <v>5.0</v>
      </c>
      <c r="AC55" s="13">
        <f t="shared" ref="AC55:AC62" si="16">SUM(E55:AB55)</f>
        <v>207</v>
      </c>
    </row>
    <row r="56" ht="12.75" customHeight="1">
      <c r="A56" s="30" t="s">
        <v>39</v>
      </c>
      <c r="B56" s="55">
        <v>1.0</v>
      </c>
      <c r="C56" s="50" t="s">
        <v>49</v>
      </c>
      <c r="D56" s="56"/>
      <c r="E56" s="19">
        <v>16.0</v>
      </c>
      <c r="F56" s="19">
        <v>15.0</v>
      </c>
      <c r="G56" s="19">
        <v>15.0</v>
      </c>
      <c r="H56" s="19">
        <v>11.0</v>
      </c>
      <c r="I56" s="19">
        <v>20.0</v>
      </c>
      <c r="J56" s="19">
        <v>18.0</v>
      </c>
      <c r="K56" s="19">
        <v>18.0</v>
      </c>
      <c r="L56" s="19">
        <v>12.0</v>
      </c>
      <c r="M56" s="19">
        <v>13.0</v>
      </c>
      <c r="N56" s="19">
        <v>12.0</v>
      </c>
      <c r="O56" s="19">
        <v>14.0</v>
      </c>
      <c r="P56" s="19">
        <v>15.0</v>
      </c>
      <c r="Q56" s="19">
        <v>5.0</v>
      </c>
      <c r="R56" s="19">
        <v>13.0</v>
      </c>
      <c r="S56" s="19">
        <v>5.0</v>
      </c>
      <c r="T56" s="19">
        <v>14.0</v>
      </c>
      <c r="U56" s="19">
        <v>9.0</v>
      </c>
      <c r="V56" s="19">
        <v>10.0</v>
      </c>
      <c r="W56" s="19">
        <v>15.0</v>
      </c>
      <c r="X56" s="19">
        <v>7.0</v>
      </c>
      <c r="Y56" s="19">
        <v>18.0</v>
      </c>
      <c r="Z56" s="19">
        <v>11.0</v>
      </c>
      <c r="AA56" s="19">
        <v>10.0</v>
      </c>
      <c r="AB56" s="19">
        <v>14.0</v>
      </c>
      <c r="AC56" s="13">
        <f t="shared" si="16"/>
        <v>310</v>
      </c>
    </row>
    <row r="57" ht="12.75" customHeight="1">
      <c r="A57" s="18"/>
      <c r="B57" s="55">
        <v>2.0</v>
      </c>
      <c r="C57" s="50" t="s">
        <v>50</v>
      </c>
      <c r="D57" s="56"/>
      <c r="E57" s="19">
        <v>4.0</v>
      </c>
      <c r="F57" s="19">
        <v>5.0</v>
      </c>
      <c r="G57" s="19">
        <v>0.0</v>
      </c>
      <c r="H57" s="19">
        <v>3.0</v>
      </c>
      <c r="I57" s="19">
        <v>3.0</v>
      </c>
      <c r="J57" s="19">
        <v>3.0</v>
      </c>
      <c r="K57" s="19">
        <v>1.0</v>
      </c>
      <c r="L57" s="19">
        <v>2.0</v>
      </c>
      <c r="M57" s="19">
        <v>2.0</v>
      </c>
      <c r="N57" s="19">
        <v>6.0</v>
      </c>
      <c r="O57" s="19">
        <v>4.0</v>
      </c>
      <c r="P57" s="19">
        <v>1.0</v>
      </c>
      <c r="Q57" s="19">
        <v>2.0</v>
      </c>
      <c r="R57" s="19">
        <v>1.0</v>
      </c>
      <c r="S57" s="19">
        <v>1.0</v>
      </c>
      <c r="T57" s="19">
        <v>2.0</v>
      </c>
      <c r="U57" s="19">
        <v>0.0</v>
      </c>
      <c r="V57" s="19">
        <v>2.0</v>
      </c>
      <c r="W57" s="19">
        <v>1.0</v>
      </c>
      <c r="X57" s="19">
        <v>4.0</v>
      </c>
      <c r="Y57" s="19">
        <v>3.0</v>
      </c>
      <c r="Z57" s="19">
        <v>3.0</v>
      </c>
      <c r="AA57" s="19">
        <v>4.0</v>
      </c>
      <c r="AB57" s="19">
        <v>3.0</v>
      </c>
      <c r="AC57" s="13">
        <f t="shared" si="16"/>
        <v>60</v>
      </c>
    </row>
    <row r="58" ht="12.75" customHeight="1">
      <c r="A58" s="18"/>
      <c r="B58" s="55">
        <v>3.0</v>
      </c>
      <c r="C58" s="50" t="s">
        <v>51</v>
      </c>
      <c r="D58" s="56"/>
      <c r="E58" s="19">
        <v>2.0</v>
      </c>
      <c r="F58" s="19">
        <v>1.0</v>
      </c>
      <c r="G58" s="19">
        <v>1.0</v>
      </c>
      <c r="H58" s="19">
        <v>2.0</v>
      </c>
      <c r="I58" s="19">
        <v>0.0</v>
      </c>
      <c r="J58" s="19">
        <v>0.0</v>
      </c>
      <c r="K58" s="19">
        <v>2.0</v>
      </c>
      <c r="L58" s="19">
        <v>2.0</v>
      </c>
      <c r="M58" s="19">
        <v>1.0</v>
      </c>
      <c r="N58" s="19">
        <v>2.0</v>
      </c>
      <c r="O58" s="19">
        <v>1.0</v>
      </c>
      <c r="P58" s="19">
        <v>2.0</v>
      </c>
      <c r="Q58" s="19">
        <v>0.0</v>
      </c>
      <c r="R58" s="19">
        <v>3.0</v>
      </c>
      <c r="S58" s="19">
        <v>0.0</v>
      </c>
      <c r="T58" s="19">
        <v>0.0</v>
      </c>
      <c r="U58" s="19">
        <v>3.0</v>
      </c>
      <c r="V58" s="19">
        <v>1.0</v>
      </c>
      <c r="W58" s="19">
        <v>0.0</v>
      </c>
      <c r="X58" s="19">
        <v>0.0</v>
      </c>
      <c r="Y58" s="19">
        <v>1.0</v>
      </c>
      <c r="Z58" s="19">
        <v>0.0</v>
      </c>
      <c r="AA58" s="19">
        <v>2.0</v>
      </c>
      <c r="AB58" s="19">
        <v>0.0</v>
      </c>
      <c r="AC58" s="13">
        <f t="shared" si="16"/>
        <v>26</v>
      </c>
    </row>
    <row r="59" ht="12.75" customHeight="1">
      <c r="A59" s="18"/>
      <c r="B59" s="55">
        <v>4.0</v>
      </c>
      <c r="C59" s="50" t="s">
        <v>52</v>
      </c>
      <c r="D59" s="56"/>
      <c r="E59" s="19">
        <v>1.0</v>
      </c>
      <c r="F59" s="19">
        <v>1.0</v>
      </c>
      <c r="G59" s="19">
        <v>0.0</v>
      </c>
      <c r="H59" s="19">
        <v>0.0</v>
      </c>
      <c r="I59" s="19">
        <v>1.0</v>
      </c>
      <c r="J59" s="19">
        <v>0.0</v>
      </c>
      <c r="K59" s="19">
        <v>3.0</v>
      </c>
      <c r="L59" s="19">
        <v>0.0</v>
      </c>
      <c r="M59" s="19">
        <v>2.0</v>
      </c>
      <c r="N59" s="19">
        <v>1.0</v>
      </c>
      <c r="O59" s="19">
        <v>0.0</v>
      </c>
      <c r="P59" s="19">
        <v>1.0</v>
      </c>
      <c r="Q59" s="19">
        <v>2.0</v>
      </c>
      <c r="R59" s="19">
        <v>1.0</v>
      </c>
      <c r="S59" s="19">
        <v>0.0</v>
      </c>
      <c r="T59" s="19">
        <v>0.0</v>
      </c>
      <c r="U59" s="19">
        <v>0.0</v>
      </c>
      <c r="V59" s="19">
        <v>0.0</v>
      </c>
      <c r="W59" s="19">
        <v>1.0</v>
      </c>
      <c r="X59" s="19">
        <v>1.0</v>
      </c>
      <c r="Y59" s="19">
        <v>0.0</v>
      </c>
      <c r="Z59" s="19">
        <v>0.0</v>
      </c>
      <c r="AA59" s="19">
        <v>1.0</v>
      </c>
      <c r="AB59" s="19">
        <v>0.0</v>
      </c>
      <c r="AC59" s="13">
        <f t="shared" si="16"/>
        <v>16</v>
      </c>
    </row>
    <row r="60" ht="12.75" customHeight="1">
      <c r="A60" s="18"/>
      <c r="B60" s="55">
        <v>5.0</v>
      </c>
      <c r="C60" s="50" t="s">
        <v>53</v>
      </c>
      <c r="D60" s="56"/>
      <c r="E60" s="19">
        <v>0.0</v>
      </c>
      <c r="F60" s="19">
        <v>0.0</v>
      </c>
      <c r="G60" s="19">
        <v>0.0</v>
      </c>
      <c r="H60" s="19">
        <v>1.0</v>
      </c>
      <c r="I60" s="19">
        <v>0.0</v>
      </c>
      <c r="J60" s="19">
        <v>1.0</v>
      </c>
      <c r="K60" s="19">
        <v>0.0</v>
      </c>
      <c r="L60" s="19">
        <v>1.0</v>
      </c>
      <c r="M60" s="19">
        <v>0.0</v>
      </c>
      <c r="N60" s="19">
        <v>1.0</v>
      </c>
      <c r="O60" s="19">
        <v>0.0</v>
      </c>
      <c r="P60" s="19">
        <v>0.0</v>
      </c>
      <c r="Q60" s="19">
        <v>0.0</v>
      </c>
      <c r="R60" s="19">
        <v>0.0</v>
      </c>
      <c r="S60" s="19">
        <v>0.0</v>
      </c>
      <c r="T60" s="19">
        <v>0.0</v>
      </c>
      <c r="U60" s="19">
        <v>0.0</v>
      </c>
      <c r="V60" s="19">
        <v>0.0</v>
      </c>
      <c r="W60" s="19">
        <v>0.0</v>
      </c>
      <c r="X60" s="19">
        <v>0.0</v>
      </c>
      <c r="Y60" s="19">
        <v>0.0</v>
      </c>
      <c r="Z60" s="19">
        <v>0.0</v>
      </c>
      <c r="AA60" s="19">
        <v>0.0</v>
      </c>
      <c r="AB60" s="19">
        <v>0.0</v>
      </c>
      <c r="AC60" s="13">
        <f t="shared" si="16"/>
        <v>4</v>
      </c>
    </row>
    <row r="61" ht="12.75" customHeight="1">
      <c r="A61" s="18"/>
      <c r="B61" s="55">
        <v>6.0</v>
      </c>
      <c r="C61" s="50" t="s">
        <v>54</v>
      </c>
      <c r="D61" s="57"/>
      <c r="E61" s="19">
        <v>0.0</v>
      </c>
      <c r="F61" s="19">
        <v>0.0</v>
      </c>
      <c r="G61" s="19">
        <v>1.0</v>
      </c>
      <c r="H61" s="19">
        <v>1.0</v>
      </c>
      <c r="I61" s="19">
        <v>0.0</v>
      </c>
      <c r="J61" s="19">
        <v>1.0</v>
      </c>
      <c r="K61" s="19">
        <v>1.0</v>
      </c>
      <c r="L61" s="19">
        <v>0.0</v>
      </c>
      <c r="M61" s="19">
        <v>1.0</v>
      </c>
      <c r="N61" s="19">
        <v>1.0</v>
      </c>
      <c r="O61" s="19">
        <v>2.0</v>
      </c>
      <c r="P61" s="19">
        <v>1.0</v>
      </c>
      <c r="Q61" s="19">
        <v>0.0</v>
      </c>
      <c r="R61" s="19">
        <v>0.0</v>
      </c>
      <c r="S61" s="19">
        <v>1.0</v>
      </c>
      <c r="T61" s="19">
        <v>0.0</v>
      </c>
      <c r="U61" s="19">
        <v>0.0</v>
      </c>
      <c r="V61" s="19">
        <v>0.0</v>
      </c>
      <c r="W61" s="19">
        <v>0.0</v>
      </c>
      <c r="X61" s="19">
        <v>1.0</v>
      </c>
      <c r="Y61" s="19">
        <v>1.0</v>
      </c>
      <c r="Z61" s="19">
        <v>1.0</v>
      </c>
      <c r="AA61" s="19">
        <v>0.0</v>
      </c>
      <c r="AB61" s="19">
        <v>0.0</v>
      </c>
      <c r="AC61" s="13">
        <f t="shared" si="16"/>
        <v>13</v>
      </c>
    </row>
    <row r="62" ht="12.75" customHeight="1">
      <c r="A62" s="18"/>
      <c r="B62" s="55">
        <v>7.0</v>
      </c>
      <c r="C62" s="50" t="s">
        <v>55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1.0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1.0</v>
      </c>
      <c r="V62" s="19">
        <v>0.0</v>
      </c>
      <c r="W62" s="19">
        <v>0.0</v>
      </c>
      <c r="X62" s="19">
        <v>0.0</v>
      </c>
      <c r="Y62" s="19">
        <v>0.0</v>
      </c>
      <c r="Z62" s="19">
        <v>0.0</v>
      </c>
      <c r="AA62" s="19">
        <v>0.0</v>
      </c>
      <c r="AB62" s="19">
        <v>0.0</v>
      </c>
      <c r="AC62" s="13">
        <f t="shared" si="16"/>
        <v>2</v>
      </c>
    </row>
    <row r="63" ht="12.75" customHeight="1">
      <c r="A63" s="19" t="s">
        <v>15</v>
      </c>
      <c r="B63" s="47" t="s">
        <v>47</v>
      </c>
      <c r="C63" s="15"/>
      <c r="D63" s="16"/>
      <c r="E63" s="13">
        <f t="shared" ref="E63:AC63" si="17">SUM(E55:E62)</f>
        <v>32</v>
      </c>
      <c r="F63" s="13">
        <f t="shared" si="17"/>
        <v>29</v>
      </c>
      <c r="G63" s="13">
        <f t="shared" si="17"/>
        <v>20</v>
      </c>
      <c r="H63" s="13">
        <f t="shared" si="17"/>
        <v>29</v>
      </c>
      <c r="I63" s="13">
        <f t="shared" si="17"/>
        <v>36</v>
      </c>
      <c r="J63" s="13">
        <f t="shared" si="17"/>
        <v>28</v>
      </c>
      <c r="K63" s="13">
        <f t="shared" si="17"/>
        <v>37</v>
      </c>
      <c r="L63" s="13">
        <f t="shared" si="17"/>
        <v>28</v>
      </c>
      <c r="M63" s="13">
        <f t="shared" si="17"/>
        <v>25</v>
      </c>
      <c r="N63" s="13">
        <f t="shared" si="17"/>
        <v>33</v>
      </c>
      <c r="O63" s="13">
        <f t="shared" si="17"/>
        <v>30</v>
      </c>
      <c r="P63" s="13">
        <f t="shared" si="17"/>
        <v>30</v>
      </c>
      <c r="Q63" s="13">
        <f t="shared" si="17"/>
        <v>14</v>
      </c>
      <c r="R63" s="13">
        <f t="shared" si="17"/>
        <v>35</v>
      </c>
      <c r="S63" s="13">
        <f t="shared" si="17"/>
        <v>20</v>
      </c>
      <c r="T63" s="13">
        <f t="shared" si="17"/>
        <v>22</v>
      </c>
      <c r="U63" s="13">
        <f t="shared" si="17"/>
        <v>22</v>
      </c>
      <c r="V63" s="13">
        <f t="shared" si="17"/>
        <v>21</v>
      </c>
      <c r="W63" s="13">
        <f t="shared" si="17"/>
        <v>23</v>
      </c>
      <c r="X63" s="13">
        <f t="shared" si="17"/>
        <v>23</v>
      </c>
      <c r="Y63" s="13">
        <f t="shared" si="17"/>
        <v>30</v>
      </c>
      <c r="Z63" s="13">
        <f t="shared" si="17"/>
        <v>21</v>
      </c>
      <c r="AA63" s="13">
        <f t="shared" si="17"/>
        <v>28</v>
      </c>
      <c r="AB63" s="13">
        <f t="shared" si="17"/>
        <v>22</v>
      </c>
      <c r="AC63" s="13">
        <f t="shared" si="17"/>
        <v>638</v>
      </c>
    </row>
    <row r="64" ht="12.75" customHeight="1">
      <c r="A64" s="45"/>
      <c r="B64" s="44"/>
      <c r="C64" s="44"/>
      <c r="D64" s="44"/>
      <c r="E64" s="44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4.0</v>
      </c>
      <c r="F65" s="19">
        <v>6.0</v>
      </c>
      <c r="G65" s="19">
        <v>7.0</v>
      </c>
      <c r="H65" s="19">
        <v>6.0</v>
      </c>
      <c r="I65" s="19">
        <v>5.0</v>
      </c>
      <c r="J65" s="19">
        <v>5.0</v>
      </c>
      <c r="K65" s="19">
        <v>5.0</v>
      </c>
      <c r="L65" s="19">
        <v>12.0</v>
      </c>
      <c r="M65" s="19">
        <v>17.0</v>
      </c>
      <c r="N65" s="19">
        <v>19.0</v>
      </c>
      <c r="O65" s="19">
        <v>9.0</v>
      </c>
      <c r="P65" s="19">
        <v>14.0</v>
      </c>
      <c r="Q65" s="19">
        <v>7.0</v>
      </c>
      <c r="R65" s="19">
        <v>20.0</v>
      </c>
      <c r="S65" s="19">
        <v>17.0</v>
      </c>
      <c r="T65" s="19">
        <v>8.0</v>
      </c>
      <c r="U65" s="19">
        <v>4.0</v>
      </c>
      <c r="V65" s="19">
        <v>10.0</v>
      </c>
      <c r="W65" s="19">
        <v>5.0</v>
      </c>
      <c r="X65" s="19">
        <v>7.0</v>
      </c>
      <c r="Y65" s="19">
        <v>15.0</v>
      </c>
      <c r="Z65" s="19">
        <v>7.0</v>
      </c>
      <c r="AA65" s="19">
        <v>10.0</v>
      </c>
      <c r="AB65" s="19">
        <v>18.0</v>
      </c>
      <c r="AC65" s="13">
        <f t="shared" ref="AC65:AC72" si="18">SUM(E65:AB65)</f>
        <v>237</v>
      </c>
    </row>
    <row r="66" ht="12.75" customHeight="1">
      <c r="A66" s="30" t="s">
        <v>39</v>
      </c>
      <c r="B66" s="55">
        <v>1.0</v>
      </c>
      <c r="C66" s="50" t="s">
        <v>57</v>
      </c>
      <c r="D66" s="57"/>
      <c r="E66" s="19">
        <v>7.0</v>
      </c>
      <c r="F66" s="19">
        <v>6.0</v>
      </c>
      <c r="G66" s="19">
        <v>3.0</v>
      </c>
      <c r="H66" s="19">
        <v>8.0</v>
      </c>
      <c r="I66" s="19">
        <v>10.0</v>
      </c>
      <c r="J66" s="19">
        <v>10.0</v>
      </c>
      <c r="K66" s="19">
        <v>5.0</v>
      </c>
      <c r="L66" s="19">
        <v>4.0</v>
      </c>
      <c r="M66" s="19">
        <v>9.0</v>
      </c>
      <c r="N66" s="19">
        <v>22.0</v>
      </c>
      <c r="O66" s="19">
        <v>12.0</v>
      </c>
      <c r="P66" s="19">
        <v>15.0</v>
      </c>
      <c r="Q66" s="19">
        <v>9.0</v>
      </c>
      <c r="R66" s="19">
        <v>6.0</v>
      </c>
      <c r="S66" s="19">
        <v>17.0</v>
      </c>
      <c r="T66" s="19">
        <v>11.0</v>
      </c>
      <c r="U66" s="19">
        <v>13.0</v>
      </c>
      <c r="V66" s="19">
        <v>6.0</v>
      </c>
      <c r="W66" s="19">
        <v>11.0</v>
      </c>
      <c r="X66" s="19">
        <v>13.0</v>
      </c>
      <c r="Y66" s="19">
        <v>6.0</v>
      </c>
      <c r="Z66" s="19">
        <v>8.0</v>
      </c>
      <c r="AA66" s="19">
        <v>7.0</v>
      </c>
      <c r="AB66" s="19">
        <v>18.0</v>
      </c>
      <c r="AC66" s="13">
        <f t="shared" si="18"/>
        <v>236</v>
      </c>
    </row>
    <row r="67" ht="12.75" customHeight="1">
      <c r="A67" s="18"/>
      <c r="B67" s="55">
        <v>2.0</v>
      </c>
      <c r="C67" s="50" t="s">
        <v>58</v>
      </c>
      <c r="D67" s="57"/>
      <c r="E67" s="19">
        <v>7.0</v>
      </c>
      <c r="F67" s="19">
        <v>25.0</v>
      </c>
      <c r="G67" s="19">
        <v>11.0</v>
      </c>
      <c r="H67" s="19">
        <v>4.0</v>
      </c>
      <c r="I67" s="19">
        <v>1.0</v>
      </c>
      <c r="J67" s="19">
        <v>21.0</v>
      </c>
      <c r="K67" s="19">
        <v>15.0</v>
      </c>
      <c r="L67" s="19">
        <v>10.0</v>
      </c>
      <c r="M67" s="19">
        <v>44.0</v>
      </c>
      <c r="N67" s="19">
        <v>16.0</v>
      </c>
      <c r="O67" s="19">
        <v>22.0</v>
      </c>
      <c r="P67" s="19">
        <v>25.0</v>
      </c>
      <c r="Q67" s="19">
        <v>10.0</v>
      </c>
      <c r="R67" s="19">
        <v>8.0</v>
      </c>
      <c r="S67" s="19">
        <v>20.0</v>
      </c>
      <c r="T67" s="19">
        <v>17.0</v>
      </c>
      <c r="U67" s="19">
        <v>7.0</v>
      </c>
      <c r="V67" s="19">
        <v>43.0</v>
      </c>
      <c r="W67" s="19">
        <v>6.0</v>
      </c>
      <c r="X67" s="19">
        <v>18.0</v>
      </c>
      <c r="Y67" s="19">
        <v>23.0</v>
      </c>
      <c r="Z67" s="19">
        <v>17.0</v>
      </c>
      <c r="AA67" s="19">
        <v>14.0</v>
      </c>
      <c r="AB67" s="19">
        <v>18.0</v>
      </c>
      <c r="AC67" s="13">
        <f t="shared" si="18"/>
        <v>402</v>
      </c>
    </row>
    <row r="68" ht="12.75" customHeight="1">
      <c r="A68" s="18"/>
      <c r="B68" s="55">
        <v>3.0</v>
      </c>
      <c r="C68" s="50" t="s">
        <v>59</v>
      </c>
      <c r="D68" s="57"/>
      <c r="E68" s="19">
        <v>2.0</v>
      </c>
      <c r="F68" s="19">
        <v>0.0</v>
      </c>
      <c r="G68" s="19">
        <v>1.0</v>
      </c>
      <c r="H68" s="19">
        <v>0.0</v>
      </c>
      <c r="I68" s="19">
        <v>4.0</v>
      </c>
      <c r="J68" s="19">
        <v>1.0</v>
      </c>
      <c r="K68" s="19">
        <v>1.0</v>
      </c>
      <c r="L68" s="19">
        <v>1.0</v>
      </c>
      <c r="M68" s="19">
        <v>1.0</v>
      </c>
      <c r="N68" s="19">
        <v>1.0</v>
      </c>
      <c r="O68" s="19">
        <v>3.0</v>
      </c>
      <c r="P68" s="19">
        <v>4.0</v>
      </c>
      <c r="Q68" s="19">
        <v>1.0</v>
      </c>
      <c r="R68" s="19">
        <v>1.0</v>
      </c>
      <c r="S68" s="19">
        <v>1.0</v>
      </c>
      <c r="T68" s="19">
        <v>1.0</v>
      </c>
      <c r="U68" s="19">
        <v>0.0</v>
      </c>
      <c r="V68" s="19">
        <v>4.0</v>
      </c>
      <c r="W68" s="19">
        <v>1.0</v>
      </c>
      <c r="X68" s="19">
        <v>2.0</v>
      </c>
      <c r="Y68" s="19">
        <v>2.0</v>
      </c>
      <c r="Z68" s="19">
        <v>1.0</v>
      </c>
      <c r="AA68" s="19">
        <v>1.0</v>
      </c>
      <c r="AB68" s="19">
        <v>3.0</v>
      </c>
      <c r="AC68" s="13">
        <f t="shared" si="18"/>
        <v>37</v>
      </c>
    </row>
    <row r="69" ht="12.75" customHeight="1">
      <c r="A69" s="18"/>
      <c r="B69" s="55">
        <v>4.0</v>
      </c>
      <c r="C69" s="50" t="s">
        <v>60</v>
      </c>
      <c r="D69" s="57"/>
      <c r="E69" s="19">
        <v>0.0</v>
      </c>
      <c r="F69" s="19">
        <v>1.0</v>
      </c>
      <c r="G69" s="19">
        <v>0.0</v>
      </c>
      <c r="H69" s="19">
        <v>0.0</v>
      </c>
      <c r="I69" s="19">
        <v>0.0</v>
      </c>
      <c r="J69" s="19">
        <v>0.0</v>
      </c>
      <c r="K69" s="19">
        <v>2.0</v>
      </c>
      <c r="L69" s="19">
        <v>0.0</v>
      </c>
      <c r="M69" s="19">
        <v>1.0</v>
      </c>
      <c r="N69" s="19">
        <v>0.0</v>
      </c>
      <c r="O69" s="19">
        <v>1.0</v>
      </c>
      <c r="P69" s="19">
        <v>0.0</v>
      </c>
      <c r="Q69" s="19">
        <v>0.0</v>
      </c>
      <c r="R69" s="19">
        <v>3.0</v>
      </c>
      <c r="S69" s="19">
        <v>2.0</v>
      </c>
      <c r="T69" s="19">
        <v>0.0</v>
      </c>
      <c r="U69" s="19">
        <v>2.0</v>
      </c>
      <c r="V69" s="19">
        <v>0.0</v>
      </c>
      <c r="W69" s="19">
        <v>1.0</v>
      </c>
      <c r="X69" s="19">
        <v>0.0</v>
      </c>
      <c r="Y69" s="19">
        <v>2.0</v>
      </c>
      <c r="Z69" s="19">
        <v>0.0</v>
      </c>
      <c r="AA69" s="19">
        <v>0.0</v>
      </c>
      <c r="AB69" s="19">
        <v>0.0</v>
      </c>
      <c r="AC69" s="13">
        <f t="shared" si="18"/>
        <v>15</v>
      </c>
    </row>
    <row r="70" ht="12.75" customHeight="1">
      <c r="A70" s="18"/>
      <c r="B70" s="55">
        <v>5.0</v>
      </c>
      <c r="C70" s="50" t="s">
        <v>61</v>
      </c>
      <c r="D70" s="57"/>
      <c r="E70" s="19">
        <v>14.0</v>
      </c>
      <c r="F70" s="19">
        <v>6.0</v>
      </c>
      <c r="G70" s="19">
        <v>14.0</v>
      </c>
      <c r="H70" s="19">
        <v>10.0</v>
      </c>
      <c r="I70" s="19">
        <v>8.0</v>
      </c>
      <c r="J70" s="19">
        <v>38.0</v>
      </c>
      <c r="K70" s="19">
        <v>17.0</v>
      </c>
      <c r="L70" s="19">
        <v>13.0</v>
      </c>
      <c r="M70" s="19">
        <v>6.0</v>
      </c>
      <c r="N70" s="19">
        <v>8.0</v>
      </c>
      <c r="O70" s="19">
        <v>13.0</v>
      </c>
      <c r="P70" s="19">
        <v>6.0</v>
      </c>
      <c r="Q70" s="19">
        <v>12.0</v>
      </c>
      <c r="R70" s="19">
        <v>5.0</v>
      </c>
      <c r="S70" s="19">
        <v>16.0</v>
      </c>
      <c r="T70" s="19">
        <v>7.0</v>
      </c>
      <c r="U70" s="19">
        <v>6.0</v>
      </c>
      <c r="V70" s="19">
        <v>5.0</v>
      </c>
      <c r="W70" s="19">
        <v>5.0</v>
      </c>
      <c r="X70" s="19">
        <v>1.0</v>
      </c>
      <c r="Y70" s="19">
        <v>1.0</v>
      </c>
      <c r="Z70" s="19">
        <v>1.0</v>
      </c>
      <c r="AA70" s="19">
        <v>12.0</v>
      </c>
      <c r="AB70" s="19">
        <v>2.0</v>
      </c>
      <c r="AC70" s="13">
        <f t="shared" si="18"/>
        <v>226</v>
      </c>
    </row>
    <row r="71" ht="12.75" customHeight="1">
      <c r="A71" s="18"/>
      <c r="B71" s="55">
        <v>6.0</v>
      </c>
      <c r="C71" s="50" t="s">
        <v>62</v>
      </c>
      <c r="D71" s="57"/>
      <c r="E71" s="19">
        <v>1.0</v>
      </c>
      <c r="F71" s="19">
        <v>0.0</v>
      </c>
      <c r="G71" s="19">
        <v>0.0</v>
      </c>
      <c r="H71" s="19">
        <v>1.0</v>
      </c>
      <c r="I71" s="19">
        <v>0.0</v>
      </c>
      <c r="J71" s="19">
        <v>1.0</v>
      </c>
      <c r="K71" s="19">
        <v>0.0</v>
      </c>
      <c r="L71" s="19">
        <v>0.0</v>
      </c>
      <c r="M71" s="19">
        <v>0.0</v>
      </c>
      <c r="N71" s="19">
        <v>0.0</v>
      </c>
      <c r="O71" s="19">
        <v>0.0</v>
      </c>
      <c r="P71" s="19">
        <v>0.0</v>
      </c>
      <c r="Q71" s="19">
        <v>1.0</v>
      </c>
      <c r="R71" s="19">
        <v>1.0</v>
      </c>
      <c r="S71" s="19">
        <v>0.0</v>
      </c>
      <c r="T71" s="19">
        <v>0.0</v>
      </c>
      <c r="U71" s="19">
        <v>1.0</v>
      </c>
      <c r="V71" s="19">
        <v>1.0</v>
      </c>
      <c r="W71" s="19">
        <v>0.0</v>
      </c>
      <c r="X71" s="19">
        <v>0.0</v>
      </c>
      <c r="Y71" s="19">
        <v>0.0</v>
      </c>
      <c r="Z71" s="19">
        <v>0.0</v>
      </c>
      <c r="AA71" s="19">
        <v>2.0</v>
      </c>
      <c r="AB71" s="19">
        <v>0.0</v>
      </c>
      <c r="AC71" s="13">
        <f t="shared" si="18"/>
        <v>9</v>
      </c>
    </row>
    <row r="72" ht="12.75" customHeight="1">
      <c r="A72" s="18"/>
      <c r="B72" s="55">
        <v>7.0</v>
      </c>
      <c r="C72" s="50" t="s">
        <v>63</v>
      </c>
      <c r="D72" s="57"/>
      <c r="E72" s="19">
        <v>3.0</v>
      </c>
      <c r="F72" s="19">
        <v>0.0</v>
      </c>
      <c r="G72" s="19">
        <v>3.0</v>
      </c>
      <c r="H72" s="19">
        <v>1.0</v>
      </c>
      <c r="I72" s="19">
        <v>8.0</v>
      </c>
      <c r="J72" s="19">
        <v>0.0</v>
      </c>
      <c r="K72" s="19">
        <v>0.0</v>
      </c>
      <c r="L72" s="19">
        <v>7.0</v>
      </c>
      <c r="M72" s="19">
        <v>2.0</v>
      </c>
      <c r="N72" s="19">
        <v>0.0</v>
      </c>
      <c r="O72" s="19">
        <v>0.0</v>
      </c>
      <c r="P72" s="19">
        <v>0.0</v>
      </c>
      <c r="Q72" s="19">
        <v>7.0</v>
      </c>
      <c r="R72" s="19">
        <v>17.0</v>
      </c>
      <c r="S72" s="19">
        <v>25.0</v>
      </c>
      <c r="T72" s="19">
        <v>2.0</v>
      </c>
      <c r="U72" s="19">
        <v>51.0</v>
      </c>
      <c r="V72" s="19">
        <v>10.0</v>
      </c>
      <c r="W72" s="19">
        <v>5.0</v>
      </c>
      <c r="X72" s="19">
        <v>27.0</v>
      </c>
      <c r="Y72" s="19">
        <v>6.0</v>
      </c>
      <c r="Z72" s="19">
        <v>3.0</v>
      </c>
      <c r="AA72" s="19">
        <v>4.0</v>
      </c>
      <c r="AB72" s="19">
        <v>10.0</v>
      </c>
      <c r="AC72" s="13">
        <f t="shared" si="18"/>
        <v>191</v>
      </c>
    </row>
    <row r="73" ht="12.75" customHeight="1">
      <c r="A73" s="19" t="s">
        <v>15</v>
      </c>
      <c r="B73" s="47" t="s">
        <v>47</v>
      </c>
      <c r="C73" s="15"/>
      <c r="D73" s="16"/>
      <c r="E73" s="13">
        <f t="shared" ref="E73:AC73" si="19">SUM(E65:E72)</f>
        <v>38</v>
      </c>
      <c r="F73" s="13">
        <f t="shared" si="19"/>
        <v>44</v>
      </c>
      <c r="G73" s="13">
        <f t="shared" si="19"/>
        <v>39</v>
      </c>
      <c r="H73" s="13">
        <f t="shared" si="19"/>
        <v>30</v>
      </c>
      <c r="I73" s="13">
        <f t="shared" si="19"/>
        <v>36</v>
      </c>
      <c r="J73" s="13">
        <f t="shared" si="19"/>
        <v>76</v>
      </c>
      <c r="K73" s="13">
        <f t="shared" si="19"/>
        <v>45</v>
      </c>
      <c r="L73" s="13">
        <f t="shared" si="19"/>
        <v>47</v>
      </c>
      <c r="M73" s="13">
        <f t="shared" si="19"/>
        <v>80</v>
      </c>
      <c r="N73" s="13">
        <f t="shared" si="19"/>
        <v>66</v>
      </c>
      <c r="O73" s="13">
        <f t="shared" si="19"/>
        <v>60</v>
      </c>
      <c r="P73" s="13">
        <f t="shared" si="19"/>
        <v>64</v>
      </c>
      <c r="Q73" s="13">
        <f t="shared" si="19"/>
        <v>47</v>
      </c>
      <c r="R73" s="13">
        <f t="shared" si="19"/>
        <v>61</v>
      </c>
      <c r="S73" s="13">
        <f t="shared" si="19"/>
        <v>98</v>
      </c>
      <c r="T73" s="13">
        <f t="shared" si="19"/>
        <v>46</v>
      </c>
      <c r="U73" s="13">
        <f t="shared" si="19"/>
        <v>84</v>
      </c>
      <c r="V73" s="13">
        <f t="shared" si="19"/>
        <v>79</v>
      </c>
      <c r="W73" s="13">
        <f t="shared" si="19"/>
        <v>34</v>
      </c>
      <c r="X73" s="13">
        <f t="shared" si="19"/>
        <v>68</v>
      </c>
      <c r="Y73" s="13">
        <f t="shared" si="19"/>
        <v>55</v>
      </c>
      <c r="Z73" s="13">
        <f t="shared" si="19"/>
        <v>37</v>
      </c>
      <c r="AA73" s="13">
        <f t="shared" si="19"/>
        <v>50</v>
      </c>
      <c r="AB73" s="13">
        <f t="shared" si="19"/>
        <v>69</v>
      </c>
      <c r="AC73" s="13">
        <f t="shared" si="19"/>
        <v>1353</v>
      </c>
    </row>
    <row r="74" ht="12.75" customHeight="1">
      <c r="A74" s="45"/>
      <c r="B74" s="44"/>
      <c r="C74" s="44"/>
      <c r="D74" s="44"/>
      <c r="E74" s="44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0.0</v>
      </c>
      <c r="F75" s="19">
        <v>3.0</v>
      </c>
      <c r="G75" s="19">
        <v>3.0</v>
      </c>
      <c r="H75" s="19">
        <v>6.0</v>
      </c>
      <c r="I75" s="19">
        <v>6.0</v>
      </c>
      <c r="J75" s="19">
        <v>4.0</v>
      </c>
      <c r="K75" s="19">
        <v>1.0</v>
      </c>
      <c r="L75" s="19">
        <v>1.0</v>
      </c>
      <c r="M75" s="19">
        <v>0.0</v>
      </c>
      <c r="N75" s="19">
        <v>3.0</v>
      </c>
      <c r="O75" s="19">
        <v>3.0</v>
      </c>
      <c r="P75" s="19">
        <v>2.0</v>
      </c>
      <c r="Q75" s="19">
        <v>0.0</v>
      </c>
      <c r="R75" s="19">
        <v>1.0</v>
      </c>
      <c r="S75" s="19">
        <v>2.0</v>
      </c>
      <c r="T75" s="19">
        <v>11.0</v>
      </c>
      <c r="U75" s="19">
        <v>4.0</v>
      </c>
      <c r="V75" s="19">
        <v>8.0</v>
      </c>
      <c r="W75" s="19">
        <v>10.0</v>
      </c>
      <c r="X75" s="19">
        <v>2.0</v>
      </c>
      <c r="Y75" s="19">
        <v>8.0</v>
      </c>
      <c r="Z75" s="19">
        <v>10.0</v>
      </c>
      <c r="AA75" s="19">
        <v>1.0</v>
      </c>
      <c r="AB75" s="19">
        <v>3.0</v>
      </c>
      <c r="AC75" s="13">
        <f t="shared" ref="AC75:AC82" si="20">SUM(E75:AB75)</f>
        <v>92</v>
      </c>
    </row>
    <row r="76" ht="12.75" customHeight="1">
      <c r="A76" s="30" t="s">
        <v>39</v>
      </c>
      <c r="B76" s="55">
        <v>1.0</v>
      </c>
      <c r="C76" s="50" t="s">
        <v>65</v>
      </c>
      <c r="D76" s="57"/>
      <c r="E76" s="19">
        <v>2.0</v>
      </c>
      <c r="F76" s="19">
        <v>14.0</v>
      </c>
      <c r="G76" s="19">
        <v>19.0</v>
      </c>
      <c r="H76" s="19">
        <v>16.0</v>
      </c>
      <c r="I76" s="19">
        <v>8.0</v>
      </c>
      <c r="J76" s="19">
        <v>14.0</v>
      </c>
      <c r="K76" s="19">
        <v>13.0</v>
      </c>
      <c r="L76" s="19">
        <v>3.0</v>
      </c>
      <c r="M76" s="19">
        <v>8.0</v>
      </c>
      <c r="N76" s="19">
        <v>11.0</v>
      </c>
      <c r="O76" s="19">
        <v>2.0</v>
      </c>
      <c r="P76" s="19">
        <v>2.0</v>
      </c>
      <c r="Q76" s="19">
        <v>10.0</v>
      </c>
      <c r="R76" s="19">
        <v>4.0</v>
      </c>
      <c r="S76" s="19">
        <v>13.0</v>
      </c>
      <c r="T76" s="19">
        <v>13.0</v>
      </c>
      <c r="U76" s="19">
        <v>4.0</v>
      </c>
      <c r="V76" s="19">
        <v>31.0</v>
      </c>
      <c r="W76" s="19">
        <v>77.0</v>
      </c>
      <c r="X76" s="19">
        <v>26.0</v>
      </c>
      <c r="Y76" s="19">
        <v>14.0</v>
      </c>
      <c r="Z76" s="19">
        <v>24.0</v>
      </c>
      <c r="AA76" s="19">
        <v>3.0</v>
      </c>
      <c r="AB76" s="19">
        <v>22.0</v>
      </c>
      <c r="AC76" s="13">
        <f t="shared" si="20"/>
        <v>353</v>
      </c>
    </row>
    <row r="77" ht="12.75" customHeight="1">
      <c r="A77" s="18"/>
      <c r="B77" s="55">
        <v>2.0</v>
      </c>
      <c r="C77" s="50" t="s">
        <v>66</v>
      </c>
      <c r="D77" s="57"/>
      <c r="E77" s="19">
        <v>1.0</v>
      </c>
      <c r="F77" s="19">
        <v>2.0</v>
      </c>
      <c r="G77" s="19">
        <v>1.0</v>
      </c>
      <c r="H77" s="19">
        <v>7.0</v>
      </c>
      <c r="I77" s="19">
        <v>5.0</v>
      </c>
      <c r="J77" s="19">
        <v>1.0</v>
      </c>
      <c r="K77" s="19">
        <v>1.0</v>
      </c>
      <c r="L77" s="19">
        <v>0.0</v>
      </c>
      <c r="M77" s="19">
        <v>1.0</v>
      </c>
      <c r="N77" s="19">
        <v>1.0</v>
      </c>
      <c r="O77" s="19">
        <v>3.0</v>
      </c>
      <c r="P77" s="19">
        <v>0.0</v>
      </c>
      <c r="Q77" s="19">
        <v>0.0</v>
      </c>
      <c r="R77" s="19">
        <v>0.0</v>
      </c>
      <c r="S77" s="19">
        <v>2.0</v>
      </c>
      <c r="T77" s="19">
        <v>20.0</v>
      </c>
      <c r="U77" s="19">
        <v>3.0</v>
      </c>
      <c r="V77" s="19">
        <v>1.0</v>
      </c>
      <c r="W77" s="19">
        <v>4.0</v>
      </c>
      <c r="X77" s="19">
        <v>0.0</v>
      </c>
      <c r="Y77" s="19">
        <v>0.0</v>
      </c>
      <c r="Z77" s="19">
        <v>1.0</v>
      </c>
      <c r="AA77" s="19">
        <v>1.0</v>
      </c>
      <c r="AB77" s="19">
        <v>3.0</v>
      </c>
      <c r="AC77" s="13">
        <f t="shared" si="20"/>
        <v>58</v>
      </c>
    </row>
    <row r="78" ht="12.75" customHeight="1">
      <c r="A78" s="18"/>
      <c r="B78" s="55">
        <v>3.0</v>
      </c>
      <c r="C78" s="50" t="s">
        <v>67</v>
      </c>
      <c r="D78" s="57"/>
      <c r="E78" s="19">
        <v>1.0</v>
      </c>
      <c r="F78" s="19">
        <v>0.0</v>
      </c>
      <c r="G78" s="19">
        <v>1.0</v>
      </c>
      <c r="H78" s="19">
        <v>2.0</v>
      </c>
      <c r="I78" s="19">
        <v>4.0</v>
      </c>
      <c r="J78" s="19">
        <v>0.0</v>
      </c>
      <c r="K78" s="19">
        <v>2.0</v>
      </c>
      <c r="L78" s="19">
        <v>1.0</v>
      </c>
      <c r="M78" s="19">
        <v>1.0</v>
      </c>
      <c r="N78" s="19">
        <v>0.0</v>
      </c>
      <c r="O78" s="19">
        <v>1.0</v>
      </c>
      <c r="P78" s="19">
        <v>0.0</v>
      </c>
      <c r="Q78" s="19">
        <v>2.0</v>
      </c>
      <c r="R78" s="19">
        <v>0.0</v>
      </c>
      <c r="S78" s="19">
        <v>1.0</v>
      </c>
      <c r="T78" s="19">
        <v>0.0</v>
      </c>
      <c r="U78" s="19">
        <v>0.0</v>
      </c>
      <c r="V78" s="19">
        <v>1.0</v>
      </c>
      <c r="W78" s="19">
        <v>2.0</v>
      </c>
      <c r="X78" s="19">
        <v>1.0</v>
      </c>
      <c r="Y78" s="19">
        <v>0.0</v>
      </c>
      <c r="Z78" s="19">
        <v>0.0</v>
      </c>
      <c r="AA78" s="19">
        <v>1.0</v>
      </c>
      <c r="AB78" s="19">
        <v>1.0</v>
      </c>
      <c r="AC78" s="13">
        <f t="shared" si="20"/>
        <v>22</v>
      </c>
    </row>
    <row r="79" ht="12.75" customHeight="1">
      <c r="A79" s="18"/>
      <c r="B79" s="55">
        <v>4.0</v>
      </c>
      <c r="C79" s="50" t="s">
        <v>68</v>
      </c>
      <c r="D79" s="57"/>
      <c r="E79" s="19">
        <v>0.0</v>
      </c>
      <c r="F79" s="19">
        <v>0.0</v>
      </c>
      <c r="G79" s="19">
        <v>0.0</v>
      </c>
      <c r="H79" s="19">
        <v>1.0</v>
      </c>
      <c r="I79" s="19">
        <v>1.0</v>
      </c>
      <c r="J79" s="19">
        <v>0.0</v>
      </c>
      <c r="K79" s="19">
        <v>0.0</v>
      </c>
      <c r="L79" s="19">
        <v>0.0</v>
      </c>
      <c r="M79" s="19">
        <v>0.0</v>
      </c>
      <c r="N79" s="19">
        <v>0.0</v>
      </c>
      <c r="O79" s="19">
        <v>0.0</v>
      </c>
      <c r="P79" s="19">
        <v>1.0</v>
      </c>
      <c r="Q79" s="19">
        <v>2.0</v>
      </c>
      <c r="R79" s="19">
        <v>0.0</v>
      </c>
      <c r="S79" s="19">
        <v>0.0</v>
      </c>
      <c r="T79" s="19">
        <v>0.0</v>
      </c>
      <c r="U79" s="19">
        <v>2.0</v>
      </c>
      <c r="V79" s="19">
        <v>0.0</v>
      </c>
      <c r="W79" s="19">
        <v>2.0</v>
      </c>
      <c r="X79" s="19">
        <v>0.0</v>
      </c>
      <c r="Y79" s="19">
        <v>0.0</v>
      </c>
      <c r="Z79" s="19">
        <v>1.0</v>
      </c>
      <c r="AA79" s="19">
        <v>0.0</v>
      </c>
      <c r="AB79" s="19">
        <v>0.0</v>
      </c>
      <c r="AC79" s="13">
        <f t="shared" si="20"/>
        <v>10</v>
      </c>
    </row>
    <row r="80" ht="12.75" customHeight="1">
      <c r="A80" s="18"/>
      <c r="B80" s="55">
        <v>5.0</v>
      </c>
      <c r="C80" s="50" t="s">
        <v>69</v>
      </c>
      <c r="D80" s="57"/>
      <c r="E80" s="19">
        <v>0.0</v>
      </c>
      <c r="F80" s="19">
        <v>0.0</v>
      </c>
      <c r="G80" s="19">
        <v>3.0</v>
      </c>
      <c r="H80" s="19">
        <v>0.0</v>
      </c>
      <c r="I80" s="19">
        <v>1.0</v>
      </c>
      <c r="J80" s="19">
        <v>0.0</v>
      </c>
      <c r="K80" s="19">
        <v>0.0</v>
      </c>
      <c r="L80" s="19">
        <v>1.0</v>
      </c>
      <c r="M80" s="19">
        <v>0.0</v>
      </c>
      <c r="N80" s="19">
        <v>0.0</v>
      </c>
      <c r="O80" s="19">
        <v>0.0</v>
      </c>
      <c r="P80" s="19">
        <v>1.0</v>
      </c>
      <c r="Q80" s="19">
        <v>1.0</v>
      </c>
      <c r="R80" s="19">
        <v>1.0</v>
      </c>
      <c r="S80" s="19">
        <v>0.0</v>
      </c>
      <c r="T80" s="19">
        <v>1.0</v>
      </c>
      <c r="U80" s="19">
        <v>0.0</v>
      </c>
      <c r="V80" s="19">
        <v>0.0</v>
      </c>
      <c r="W80" s="19">
        <v>2.0</v>
      </c>
      <c r="X80" s="19">
        <v>0.0</v>
      </c>
      <c r="Y80" s="19">
        <v>0.0</v>
      </c>
      <c r="Z80" s="19">
        <v>0.0</v>
      </c>
      <c r="AA80" s="19">
        <v>0.0</v>
      </c>
      <c r="AB80" s="19">
        <v>0.0</v>
      </c>
      <c r="AC80" s="13">
        <f t="shared" si="20"/>
        <v>11</v>
      </c>
    </row>
    <row r="81" ht="12.75" customHeight="1">
      <c r="A81" s="18"/>
      <c r="B81" s="55">
        <v>6.0</v>
      </c>
      <c r="C81" s="50" t="s">
        <v>70</v>
      </c>
      <c r="D81" s="57"/>
      <c r="E81" s="19">
        <v>0.0</v>
      </c>
      <c r="F81" s="19">
        <v>0.0</v>
      </c>
      <c r="G81" s="19">
        <v>0.0</v>
      </c>
      <c r="H81" s="19">
        <v>0.0</v>
      </c>
      <c r="I81" s="19">
        <v>0.0</v>
      </c>
      <c r="J81" s="19">
        <v>1.0</v>
      </c>
      <c r="K81" s="19">
        <v>0.0</v>
      </c>
      <c r="L81" s="19">
        <v>0.0</v>
      </c>
      <c r="M81" s="19">
        <v>1.0</v>
      </c>
      <c r="N81" s="19">
        <v>1.0</v>
      </c>
      <c r="O81" s="19">
        <v>0.0</v>
      </c>
      <c r="P81" s="19">
        <v>0.0</v>
      </c>
      <c r="Q81" s="19">
        <v>0.0</v>
      </c>
      <c r="R81" s="19">
        <v>0.0</v>
      </c>
      <c r="S81" s="19">
        <v>0.0</v>
      </c>
      <c r="T81" s="19">
        <v>0.0</v>
      </c>
      <c r="U81" s="19">
        <v>0.0</v>
      </c>
      <c r="V81" s="19">
        <v>0.0</v>
      </c>
      <c r="W81" s="19">
        <v>0.0</v>
      </c>
      <c r="X81" s="19">
        <v>0.0</v>
      </c>
      <c r="Y81" s="19">
        <v>0.0</v>
      </c>
      <c r="Z81" s="19">
        <v>0.0</v>
      </c>
      <c r="AA81" s="19">
        <v>0.0</v>
      </c>
      <c r="AB81" s="19">
        <v>0.0</v>
      </c>
      <c r="AC81" s="13">
        <f t="shared" si="20"/>
        <v>3</v>
      </c>
    </row>
    <row r="82" ht="12.75" customHeight="1">
      <c r="A82" s="18"/>
      <c r="B82" s="55">
        <v>7.0</v>
      </c>
      <c r="C82" s="50" t="s">
        <v>71</v>
      </c>
      <c r="D82" s="57"/>
      <c r="E82" s="19">
        <v>1.0</v>
      </c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19">
        <v>0.0</v>
      </c>
      <c r="L82" s="19">
        <v>0.0</v>
      </c>
      <c r="M82" s="19">
        <v>0.0</v>
      </c>
      <c r="N82" s="19">
        <v>0.0</v>
      </c>
      <c r="O82" s="19">
        <v>0.0</v>
      </c>
      <c r="P82" s="19">
        <v>0.0</v>
      </c>
      <c r="Q82" s="19">
        <v>0.0</v>
      </c>
      <c r="R82" s="19">
        <v>0.0</v>
      </c>
      <c r="S82" s="19">
        <v>0.0</v>
      </c>
      <c r="T82" s="19">
        <v>0.0</v>
      </c>
      <c r="U82" s="19">
        <v>1.0</v>
      </c>
      <c r="V82" s="19">
        <v>0.0</v>
      </c>
      <c r="W82" s="19">
        <v>0.0</v>
      </c>
      <c r="X82" s="19">
        <v>1.0</v>
      </c>
      <c r="Y82" s="19">
        <v>0.0</v>
      </c>
      <c r="Z82" s="19">
        <v>0.0</v>
      </c>
      <c r="AA82" s="19">
        <v>1.0</v>
      </c>
      <c r="AB82" s="19">
        <v>0.0</v>
      </c>
      <c r="AC82" s="13">
        <f t="shared" si="20"/>
        <v>4</v>
      </c>
    </row>
    <row r="83" ht="12.75" customHeight="1">
      <c r="A83" s="19" t="s">
        <v>15</v>
      </c>
      <c r="B83" s="47" t="s">
        <v>47</v>
      </c>
      <c r="C83" s="15"/>
      <c r="D83" s="16"/>
      <c r="E83" s="13">
        <f t="shared" ref="E83:AC83" si="21">SUM(E75:E82)</f>
        <v>5</v>
      </c>
      <c r="F83" s="13">
        <f t="shared" si="21"/>
        <v>19</v>
      </c>
      <c r="G83" s="13">
        <f t="shared" si="21"/>
        <v>27</v>
      </c>
      <c r="H83" s="13">
        <f t="shared" si="21"/>
        <v>32</v>
      </c>
      <c r="I83" s="13">
        <f t="shared" si="21"/>
        <v>25</v>
      </c>
      <c r="J83" s="13">
        <f t="shared" si="21"/>
        <v>20</v>
      </c>
      <c r="K83" s="13">
        <f t="shared" si="21"/>
        <v>17</v>
      </c>
      <c r="L83" s="13">
        <f t="shared" si="21"/>
        <v>6</v>
      </c>
      <c r="M83" s="13">
        <f t="shared" si="21"/>
        <v>11</v>
      </c>
      <c r="N83" s="13">
        <f t="shared" si="21"/>
        <v>16</v>
      </c>
      <c r="O83" s="13">
        <f t="shared" si="21"/>
        <v>9</v>
      </c>
      <c r="P83" s="13">
        <f t="shared" si="21"/>
        <v>6</v>
      </c>
      <c r="Q83" s="13">
        <f t="shared" si="21"/>
        <v>15</v>
      </c>
      <c r="R83" s="13">
        <f t="shared" si="21"/>
        <v>6</v>
      </c>
      <c r="S83" s="13">
        <f t="shared" si="21"/>
        <v>18</v>
      </c>
      <c r="T83" s="13">
        <f t="shared" si="21"/>
        <v>45</v>
      </c>
      <c r="U83" s="13">
        <f t="shared" si="21"/>
        <v>14</v>
      </c>
      <c r="V83" s="13">
        <f t="shared" si="21"/>
        <v>41</v>
      </c>
      <c r="W83" s="13">
        <f t="shared" si="21"/>
        <v>97</v>
      </c>
      <c r="X83" s="13">
        <f t="shared" si="21"/>
        <v>30</v>
      </c>
      <c r="Y83" s="13">
        <f t="shared" si="21"/>
        <v>22</v>
      </c>
      <c r="Z83" s="13">
        <f t="shared" si="21"/>
        <v>36</v>
      </c>
      <c r="AA83" s="13">
        <f t="shared" si="21"/>
        <v>7</v>
      </c>
      <c r="AB83" s="13">
        <f t="shared" si="21"/>
        <v>29</v>
      </c>
      <c r="AC83" s="13">
        <f t="shared" si="21"/>
        <v>553</v>
      </c>
    </row>
    <row r="84" ht="12.75" customHeight="1">
      <c r="A84" s="45"/>
      <c r="B84" s="44"/>
      <c r="C84" s="44"/>
      <c r="D84" s="44"/>
      <c r="E84" s="44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1.0</v>
      </c>
      <c r="F85" s="19">
        <v>0.0</v>
      </c>
      <c r="G85" s="19">
        <v>0.0</v>
      </c>
      <c r="H85" s="19">
        <v>1.0</v>
      </c>
      <c r="I85" s="19">
        <v>1.0</v>
      </c>
      <c r="J85" s="19">
        <v>1.0</v>
      </c>
      <c r="K85" s="19">
        <v>2.0</v>
      </c>
      <c r="L85" s="19">
        <v>2.0</v>
      </c>
      <c r="M85" s="19">
        <v>0.0</v>
      </c>
      <c r="N85" s="19">
        <v>1.0</v>
      </c>
      <c r="O85" s="19">
        <v>6.0</v>
      </c>
      <c r="P85" s="19">
        <v>1.0</v>
      </c>
      <c r="Q85" s="19">
        <v>2.0</v>
      </c>
      <c r="R85" s="19">
        <v>1.0</v>
      </c>
      <c r="S85" s="19">
        <v>0.0</v>
      </c>
      <c r="T85" s="19">
        <v>0.0</v>
      </c>
      <c r="U85" s="19">
        <v>0.0</v>
      </c>
      <c r="V85" s="19">
        <v>1.0</v>
      </c>
      <c r="W85" s="19">
        <v>1.0</v>
      </c>
      <c r="X85" s="19">
        <v>3.0</v>
      </c>
      <c r="Y85" s="19">
        <v>0.0</v>
      </c>
      <c r="Z85" s="19">
        <v>1.0</v>
      </c>
      <c r="AA85" s="19">
        <v>2.0</v>
      </c>
      <c r="AB85" s="19">
        <v>0.0</v>
      </c>
      <c r="AC85" s="13">
        <f t="shared" ref="AC85:AC92" si="22">SUM(E85:AB85)</f>
        <v>27</v>
      </c>
    </row>
    <row r="86" ht="12.75" customHeight="1">
      <c r="A86" s="30" t="s">
        <v>39</v>
      </c>
      <c r="B86" s="55">
        <v>1.0</v>
      </c>
      <c r="C86" s="50" t="s">
        <v>74</v>
      </c>
      <c r="D86" s="57"/>
      <c r="E86" s="19">
        <v>1.0</v>
      </c>
      <c r="F86" s="19">
        <v>2.0</v>
      </c>
      <c r="G86" s="19">
        <v>0.0</v>
      </c>
      <c r="H86" s="19">
        <v>0.0</v>
      </c>
      <c r="I86" s="19">
        <v>0.0</v>
      </c>
      <c r="J86" s="19">
        <v>2.0</v>
      </c>
      <c r="K86" s="19">
        <v>1.0</v>
      </c>
      <c r="L86" s="19">
        <v>2.0</v>
      </c>
      <c r="M86" s="19">
        <v>2.0</v>
      </c>
      <c r="N86" s="19">
        <v>1.0</v>
      </c>
      <c r="O86" s="19">
        <v>2.0</v>
      </c>
      <c r="P86" s="19">
        <v>0.0</v>
      </c>
      <c r="Q86" s="19">
        <v>0.0</v>
      </c>
      <c r="R86" s="19">
        <v>0.0</v>
      </c>
      <c r="S86" s="19">
        <v>1.0</v>
      </c>
      <c r="T86" s="19">
        <v>0.0</v>
      </c>
      <c r="U86" s="19">
        <v>1.0</v>
      </c>
      <c r="V86" s="19">
        <v>0.0</v>
      </c>
      <c r="W86" s="19">
        <v>0.0</v>
      </c>
      <c r="X86" s="19">
        <v>0.0</v>
      </c>
      <c r="Y86" s="19">
        <v>1.0</v>
      </c>
      <c r="Z86" s="19">
        <v>1.0</v>
      </c>
      <c r="AA86" s="19">
        <v>1.0</v>
      </c>
      <c r="AB86" s="19">
        <v>1.0</v>
      </c>
      <c r="AC86" s="13">
        <f t="shared" si="22"/>
        <v>19</v>
      </c>
    </row>
    <row r="87" ht="12.75" customHeight="1">
      <c r="A87" s="18"/>
      <c r="B87" s="55">
        <v>2.0</v>
      </c>
      <c r="C87" s="50" t="s">
        <v>75</v>
      </c>
      <c r="D87" s="57"/>
      <c r="E87" s="19">
        <v>16.0</v>
      </c>
      <c r="F87" s="19">
        <v>1.0</v>
      </c>
      <c r="G87" s="19">
        <v>0.0</v>
      </c>
      <c r="H87" s="19">
        <v>1.0</v>
      </c>
      <c r="I87" s="19">
        <v>0.0</v>
      </c>
      <c r="J87" s="19">
        <v>1.0</v>
      </c>
      <c r="K87" s="19">
        <v>0.0</v>
      </c>
      <c r="L87" s="19">
        <v>0.0</v>
      </c>
      <c r="M87" s="19">
        <v>1.0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3.0</v>
      </c>
      <c r="AB87" s="19">
        <v>0.0</v>
      </c>
      <c r="AC87" s="13">
        <f t="shared" si="22"/>
        <v>23</v>
      </c>
    </row>
    <row r="88" ht="12.75" customHeight="1">
      <c r="A88" s="18"/>
      <c r="B88" s="55">
        <v>3.0</v>
      </c>
      <c r="C88" s="50" t="s">
        <v>76</v>
      </c>
      <c r="D88" s="57"/>
      <c r="E88" s="19">
        <v>1.0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2.0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1.0</v>
      </c>
      <c r="W88" s="19">
        <v>1.0</v>
      </c>
      <c r="X88" s="19">
        <v>0.0</v>
      </c>
      <c r="Y88" s="19">
        <v>0.0</v>
      </c>
      <c r="Z88" s="19">
        <v>1.0</v>
      </c>
      <c r="AA88" s="19">
        <v>0.0</v>
      </c>
      <c r="AB88" s="19">
        <v>0.0</v>
      </c>
      <c r="AC88" s="13">
        <f t="shared" si="22"/>
        <v>6</v>
      </c>
    </row>
    <row r="89" ht="12.75" customHeight="1">
      <c r="A89" s="18"/>
      <c r="B89" s="55">
        <v>4.0</v>
      </c>
      <c r="C89" s="50" t="s">
        <v>77</v>
      </c>
      <c r="D89" s="57"/>
      <c r="E89" s="19">
        <v>0.0</v>
      </c>
      <c r="F89" s="19">
        <v>0.0</v>
      </c>
      <c r="G89" s="19">
        <v>0.0</v>
      </c>
      <c r="H89" s="19">
        <v>0.0</v>
      </c>
      <c r="I89" s="19">
        <v>0.0</v>
      </c>
      <c r="J89" s="19">
        <v>0.0</v>
      </c>
      <c r="K89" s="19">
        <v>1.0</v>
      </c>
      <c r="L89" s="19">
        <v>0.0</v>
      </c>
      <c r="M89" s="19">
        <v>0.0</v>
      </c>
      <c r="N89" s="19">
        <v>1.0</v>
      </c>
      <c r="O89" s="19">
        <v>2.0</v>
      </c>
      <c r="P89" s="19">
        <v>0.0</v>
      </c>
      <c r="Q89" s="19">
        <v>0.0</v>
      </c>
      <c r="R89" s="19">
        <v>0.0</v>
      </c>
      <c r="S89" s="19">
        <v>0.0</v>
      </c>
      <c r="T89" s="19">
        <v>0.0</v>
      </c>
      <c r="U89" s="19">
        <v>0.0</v>
      </c>
      <c r="V89" s="19">
        <v>1.0</v>
      </c>
      <c r="W89" s="19">
        <v>1.0</v>
      </c>
      <c r="X89" s="19">
        <v>1.0</v>
      </c>
      <c r="Y89" s="19">
        <v>0.0</v>
      </c>
      <c r="Z89" s="19">
        <v>0.0</v>
      </c>
      <c r="AA89" s="19">
        <v>0.0</v>
      </c>
      <c r="AB89" s="19">
        <v>0.0</v>
      </c>
      <c r="AC89" s="13">
        <f t="shared" si="22"/>
        <v>7</v>
      </c>
    </row>
    <row r="90" ht="12.75" customHeight="1">
      <c r="A90" s="18"/>
      <c r="B90" s="55">
        <v>5.0</v>
      </c>
      <c r="C90" s="50" t="s">
        <v>78</v>
      </c>
      <c r="D90" s="57"/>
      <c r="E90" s="19">
        <v>0.0</v>
      </c>
      <c r="F90" s="19">
        <v>0.0</v>
      </c>
      <c r="G90" s="19">
        <v>0.0</v>
      </c>
      <c r="H90" s="19">
        <v>0.0</v>
      </c>
      <c r="I90" s="19">
        <v>0.0</v>
      </c>
      <c r="J90" s="19">
        <v>0.0</v>
      </c>
      <c r="K90" s="19">
        <v>1.0</v>
      </c>
      <c r="L90" s="19">
        <v>0.0</v>
      </c>
      <c r="M90" s="19">
        <v>1.0</v>
      </c>
      <c r="N90" s="19">
        <v>0.0</v>
      </c>
      <c r="O90" s="19">
        <v>0.0</v>
      </c>
      <c r="P90" s="19">
        <v>2.0</v>
      </c>
      <c r="Q90" s="19">
        <v>0.0</v>
      </c>
      <c r="R90" s="19">
        <v>0.0</v>
      </c>
      <c r="S90" s="19">
        <v>0.0</v>
      </c>
      <c r="T90" s="19">
        <v>0.0</v>
      </c>
      <c r="U90" s="19">
        <v>0.0</v>
      </c>
      <c r="V90" s="19">
        <v>0.0</v>
      </c>
      <c r="W90" s="19">
        <v>0.0</v>
      </c>
      <c r="X90" s="19">
        <v>0.0</v>
      </c>
      <c r="Y90" s="19">
        <v>0.0</v>
      </c>
      <c r="Z90" s="19">
        <v>0.0</v>
      </c>
      <c r="AA90" s="19">
        <v>0.0</v>
      </c>
      <c r="AB90" s="19">
        <v>0.0</v>
      </c>
      <c r="AC90" s="13">
        <f t="shared" si="22"/>
        <v>4</v>
      </c>
    </row>
    <row r="91" ht="12.75" customHeight="1">
      <c r="A91" s="18"/>
      <c r="B91" s="55">
        <v>6.0</v>
      </c>
      <c r="C91" s="50" t="s">
        <v>79</v>
      </c>
      <c r="D91" s="57"/>
      <c r="E91" s="19">
        <v>0.0</v>
      </c>
      <c r="F91" s="19">
        <v>0.0</v>
      </c>
      <c r="G91" s="19">
        <v>0.0</v>
      </c>
      <c r="H91" s="19">
        <v>0.0</v>
      </c>
      <c r="I91" s="19">
        <v>0.0</v>
      </c>
      <c r="J91" s="19">
        <v>0.0</v>
      </c>
      <c r="K91" s="19">
        <v>1.0</v>
      </c>
      <c r="L91" s="19">
        <v>2.0</v>
      </c>
      <c r="M91" s="19">
        <v>1.0</v>
      </c>
      <c r="N91" s="19">
        <v>0.0</v>
      </c>
      <c r="O91" s="19">
        <v>0.0</v>
      </c>
      <c r="P91" s="19">
        <v>0.0</v>
      </c>
      <c r="Q91" s="19">
        <v>0.0</v>
      </c>
      <c r="R91" s="19">
        <v>0.0</v>
      </c>
      <c r="S91" s="19">
        <v>0.0</v>
      </c>
      <c r="T91" s="19">
        <v>0.0</v>
      </c>
      <c r="U91" s="19">
        <v>1.0</v>
      </c>
      <c r="V91" s="19">
        <v>0.0</v>
      </c>
      <c r="W91" s="19">
        <v>1.0</v>
      </c>
      <c r="X91" s="19">
        <v>0.0</v>
      </c>
      <c r="Y91" s="19">
        <v>0.0</v>
      </c>
      <c r="Z91" s="19">
        <v>0.0</v>
      </c>
      <c r="AA91" s="19">
        <v>0.0</v>
      </c>
      <c r="AB91" s="19">
        <v>0.0</v>
      </c>
      <c r="AC91" s="13">
        <f t="shared" si="22"/>
        <v>6</v>
      </c>
    </row>
    <row r="92" ht="12.75" customHeight="1">
      <c r="A92" s="18"/>
      <c r="B92" s="55">
        <v>7.0</v>
      </c>
      <c r="C92" s="50" t="s">
        <v>80</v>
      </c>
      <c r="D92" s="57"/>
      <c r="E92" s="19">
        <v>1.0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1.0</v>
      </c>
      <c r="M92" s="19">
        <v>0.0</v>
      </c>
      <c r="N92" s="19">
        <v>0.0</v>
      </c>
      <c r="O92" s="19">
        <v>0.0</v>
      </c>
      <c r="P92" s="19">
        <v>0.0</v>
      </c>
      <c r="Q92" s="19">
        <v>0.0</v>
      </c>
      <c r="R92" s="19">
        <v>0.0</v>
      </c>
      <c r="S92" s="19">
        <v>0.0</v>
      </c>
      <c r="T92" s="19">
        <v>0.0</v>
      </c>
      <c r="U92" s="19">
        <v>0.0</v>
      </c>
      <c r="V92" s="19">
        <v>0.0</v>
      </c>
      <c r="W92" s="19">
        <v>0.0</v>
      </c>
      <c r="X92" s="19">
        <v>0.0</v>
      </c>
      <c r="Y92" s="19">
        <v>0.0</v>
      </c>
      <c r="Z92" s="19">
        <v>0.0</v>
      </c>
      <c r="AA92" s="19">
        <v>0.0</v>
      </c>
      <c r="AB92" s="19">
        <v>0.0</v>
      </c>
      <c r="AC92" s="13">
        <f t="shared" si="22"/>
        <v>2</v>
      </c>
    </row>
    <row r="93" ht="12.75" customHeight="1">
      <c r="A93" s="19" t="s">
        <v>15</v>
      </c>
      <c r="B93" s="47" t="s">
        <v>47</v>
      </c>
      <c r="C93" s="15"/>
      <c r="D93" s="16"/>
      <c r="E93" s="13">
        <f t="shared" ref="E93:AC93" si="23">SUM(E85:E92)</f>
        <v>20</v>
      </c>
      <c r="F93" s="13">
        <f t="shared" si="23"/>
        <v>3</v>
      </c>
      <c r="G93" s="13">
        <f t="shared" si="23"/>
        <v>0</v>
      </c>
      <c r="H93" s="13">
        <f t="shared" si="23"/>
        <v>2</v>
      </c>
      <c r="I93" s="13">
        <f t="shared" si="23"/>
        <v>1</v>
      </c>
      <c r="J93" s="13">
        <f t="shared" si="23"/>
        <v>4</v>
      </c>
      <c r="K93" s="13">
        <f t="shared" si="23"/>
        <v>6</v>
      </c>
      <c r="L93" s="13">
        <f t="shared" si="23"/>
        <v>7</v>
      </c>
      <c r="M93" s="13">
        <f t="shared" si="23"/>
        <v>5</v>
      </c>
      <c r="N93" s="13">
        <f t="shared" si="23"/>
        <v>5</v>
      </c>
      <c r="O93" s="13">
        <f t="shared" si="23"/>
        <v>10</v>
      </c>
      <c r="P93" s="13">
        <f t="shared" si="23"/>
        <v>3</v>
      </c>
      <c r="Q93" s="13">
        <f t="shared" si="23"/>
        <v>2</v>
      </c>
      <c r="R93" s="13">
        <f t="shared" si="23"/>
        <v>1</v>
      </c>
      <c r="S93" s="13">
        <f t="shared" si="23"/>
        <v>1</v>
      </c>
      <c r="T93" s="13">
        <f t="shared" si="23"/>
        <v>0</v>
      </c>
      <c r="U93" s="13">
        <f t="shared" si="23"/>
        <v>2</v>
      </c>
      <c r="V93" s="13">
        <f t="shared" si="23"/>
        <v>3</v>
      </c>
      <c r="W93" s="13">
        <f t="shared" si="23"/>
        <v>4</v>
      </c>
      <c r="X93" s="13">
        <f t="shared" si="23"/>
        <v>4</v>
      </c>
      <c r="Y93" s="13">
        <f t="shared" si="23"/>
        <v>1</v>
      </c>
      <c r="Z93" s="13">
        <f t="shared" si="23"/>
        <v>3</v>
      </c>
      <c r="AA93" s="13">
        <f t="shared" si="23"/>
        <v>6</v>
      </c>
      <c r="AB93" s="13">
        <f t="shared" si="23"/>
        <v>1</v>
      </c>
      <c r="AC93" s="13">
        <f t="shared" si="23"/>
        <v>94</v>
      </c>
    </row>
    <row r="94" ht="12.75" customHeight="1">
      <c r="A94" s="45"/>
      <c r="B94" s="44"/>
      <c r="C94" s="44"/>
      <c r="D94" s="44"/>
      <c r="E94" s="44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1.0</v>
      </c>
      <c r="T95" s="19">
        <v>0.0</v>
      </c>
      <c r="U95" s="19">
        <v>0.0</v>
      </c>
      <c r="V95" s="19">
        <v>1.0</v>
      </c>
      <c r="W95" s="19">
        <v>0.0</v>
      </c>
      <c r="X95" s="19">
        <v>3.0</v>
      </c>
      <c r="Y95" s="19">
        <v>2.0</v>
      </c>
      <c r="Z95" s="19">
        <v>0.0</v>
      </c>
      <c r="AA95" s="19">
        <v>1.0</v>
      </c>
      <c r="AB95" s="19">
        <v>0.0</v>
      </c>
      <c r="AC95" s="13">
        <f t="shared" ref="AC95:AC102" si="24">SUM(E95:AB95)</f>
        <v>8</v>
      </c>
    </row>
    <row r="96" ht="12.75" customHeight="1">
      <c r="A96" s="30" t="s">
        <v>39</v>
      </c>
      <c r="B96" s="55">
        <v>1.0</v>
      </c>
      <c r="C96" s="50" t="s">
        <v>83</v>
      </c>
      <c r="D96" s="57"/>
      <c r="E96" s="19">
        <v>0.0</v>
      </c>
      <c r="F96" s="19">
        <v>0.0</v>
      </c>
      <c r="G96" s="19">
        <v>0.0</v>
      </c>
      <c r="H96" s="19">
        <v>1.0</v>
      </c>
      <c r="I96" s="19">
        <v>0.0</v>
      </c>
      <c r="J96" s="19">
        <v>1.0</v>
      </c>
      <c r="K96" s="19">
        <v>1.0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1.0</v>
      </c>
      <c r="U96" s="19">
        <v>0.0</v>
      </c>
      <c r="V96" s="19">
        <v>0.0</v>
      </c>
      <c r="W96" s="19">
        <v>0.0</v>
      </c>
      <c r="X96" s="19">
        <v>1.0</v>
      </c>
      <c r="Y96" s="19">
        <v>0.0</v>
      </c>
      <c r="Z96" s="19">
        <v>0.0</v>
      </c>
      <c r="AA96" s="19">
        <v>0.0</v>
      </c>
      <c r="AB96" s="19">
        <v>0.0</v>
      </c>
      <c r="AC96" s="13">
        <f t="shared" si="24"/>
        <v>5</v>
      </c>
    </row>
    <row r="97" ht="12.75" customHeight="1">
      <c r="A97" s="18"/>
      <c r="B97" s="55">
        <v>2.0</v>
      </c>
      <c r="C97" s="50" t="s">
        <v>84</v>
      </c>
      <c r="D97" s="57"/>
      <c r="E97" s="19">
        <v>1.0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9">
        <v>0.0</v>
      </c>
      <c r="AB97" s="19">
        <v>0.0</v>
      </c>
      <c r="AC97" s="13">
        <f t="shared" si="24"/>
        <v>1</v>
      </c>
    </row>
    <row r="98" ht="12.75" customHeight="1">
      <c r="A98" s="18"/>
      <c r="B98" s="55">
        <v>3.0</v>
      </c>
      <c r="C98" s="50" t="s">
        <v>85</v>
      </c>
      <c r="D98" s="57"/>
      <c r="E98" s="73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1.0</v>
      </c>
      <c r="W98" s="19">
        <v>0.0</v>
      </c>
      <c r="X98" s="19">
        <v>1.0</v>
      </c>
      <c r="Y98" s="19">
        <v>0.0</v>
      </c>
      <c r="Z98" s="19">
        <v>0.0</v>
      </c>
      <c r="AA98" s="19">
        <v>0.0</v>
      </c>
      <c r="AB98" s="19">
        <v>1.0</v>
      </c>
      <c r="AC98" s="13">
        <f t="shared" si="24"/>
        <v>3</v>
      </c>
    </row>
    <row r="99" ht="12.75" customHeight="1">
      <c r="A99" s="18"/>
      <c r="B99" s="55">
        <v>4.0</v>
      </c>
      <c r="C99" s="50" t="s">
        <v>86</v>
      </c>
      <c r="D99" s="57"/>
      <c r="E99" s="73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3">
        <f t="shared" si="24"/>
        <v>0</v>
      </c>
    </row>
    <row r="100" ht="12.75" customHeight="1">
      <c r="A100" s="18"/>
      <c r="B100" s="55">
        <v>5.0</v>
      </c>
      <c r="C100" s="50" t="s">
        <v>87</v>
      </c>
      <c r="D100" s="57"/>
      <c r="E100" s="73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3">
        <f t="shared" si="24"/>
        <v>0</v>
      </c>
    </row>
    <row r="101" ht="12.75" customHeight="1">
      <c r="A101" s="18"/>
      <c r="B101" s="55">
        <v>6.0</v>
      </c>
      <c r="C101" s="50" t="s">
        <v>88</v>
      </c>
      <c r="D101" s="57"/>
      <c r="E101" s="73">
        <v>0.0</v>
      </c>
      <c r="F101" s="19">
        <v>0.0</v>
      </c>
      <c r="G101" s="19">
        <v>0.0</v>
      </c>
      <c r="H101" s="19">
        <v>0.0</v>
      </c>
      <c r="I101" s="19">
        <v>0.0</v>
      </c>
      <c r="J101" s="19">
        <v>2.0</v>
      </c>
      <c r="K101" s="19">
        <v>0.0</v>
      </c>
      <c r="L101" s="19">
        <v>0.0</v>
      </c>
      <c r="M101" s="19">
        <v>0.0</v>
      </c>
      <c r="N101" s="19">
        <v>0.0</v>
      </c>
      <c r="O101" s="19">
        <v>0.0</v>
      </c>
      <c r="P101" s="19">
        <v>0.0</v>
      </c>
      <c r="Q101" s="19">
        <v>0.0</v>
      </c>
      <c r="R101" s="19">
        <v>0.0</v>
      </c>
      <c r="S101" s="19">
        <v>0.0</v>
      </c>
      <c r="T101" s="19">
        <v>0.0</v>
      </c>
      <c r="U101" s="19">
        <v>0.0</v>
      </c>
      <c r="V101" s="19">
        <v>0.0</v>
      </c>
      <c r="W101" s="19">
        <v>0.0</v>
      </c>
      <c r="X101" s="19">
        <v>0.0</v>
      </c>
      <c r="Y101" s="19">
        <v>0.0</v>
      </c>
      <c r="Z101" s="19">
        <v>0.0</v>
      </c>
      <c r="AA101" s="19">
        <v>0.0</v>
      </c>
      <c r="AB101" s="19">
        <v>0.0</v>
      </c>
      <c r="AC101" s="13">
        <f t="shared" si="24"/>
        <v>2</v>
      </c>
    </row>
    <row r="102" ht="12.75" customHeight="1">
      <c r="A102" s="18"/>
      <c r="B102" s="55">
        <v>7.0</v>
      </c>
      <c r="C102" s="50" t="s">
        <v>89</v>
      </c>
      <c r="D102" s="57"/>
      <c r="E102" s="73">
        <v>0.0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0.0</v>
      </c>
      <c r="R102" s="19">
        <v>0.0</v>
      </c>
      <c r="S102" s="19">
        <v>0.0</v>
      </c>
      <c r="T102" s="19">
        <v>0.0</v>
      </c>
      <c r="U102" s="19">
        <v>0.0</v>
      </c>
      <c r="V102" s="19">
        <v>0.0</v>
      </c>
      <c r="W102" s="19">
        <v>0.0</v>
      </c>
      <c r="X102" s="19">
        <v>0.0</v>
      </c>
      <c r="Y102" s="19">
        <v>0.0</v>
      </c>
      <c r="Z102" s="19">
        <v>0.0</v>
      </c>
      <c r="AA102" s="19">
        <v>0.0</v>
      </c>
      <c r="AB102" s="19">
        <v>0.0</v>
      </c>
      <c r="AC102" s="13">
        <f t="shared" si="24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C103" si="25">SUM(E95:E102)</f>
        <v>1</v>
      </c>
      <c r="F103" s="13">
        <f t="shared" si="25"/>
        <v>0</v>
      </c>
      <c r="G103" s="13">
        <f t="shared" si="25"/>
        <v>0</v>
      </c>
      <c r="H103" s="13">
        <f t="shared" si="25"/>
        <v>1</v>
      </c>
      <c r="I103" s="13">
        <f t="shared" si="25"/>
        <v>0</v>
      </c>
      <c r="J103" s="13">
        <f t="shared" si="25"/>
        <v>3</v>
      </c>
      <c r="K103" s="13">
        <f t="shared" si="25"/>
        <v>1</v>
      </c>
      <c r="L103" s="13">
        <f t="shared" si="25"/>
        <v>0</v>
      </c>
      <c r="M103" s="13">
        <f t="shared" si="25"/>
        <v>0</v>
      </c>
      <c r="N103" s="13">
        <f t="shared" si="25"/>
        <v>0</v>
      </c>
      <c r="O103" s="13">
        <f t="shared" si="25"/>
        <v>0</v>
      </c>
      <c r="P103" s="13">
        <f t="shared" si="25"/>
        <v>0</v>
      </c>
      <c r="Q103" s="13">
        <f t="shared" si="25"/>
        <v>0</v>
      </c>
      <c r="R103" s="13">
        <f t="shared" si="25"/>
        <v>0</v>
      </c>
      <c r="S103" s="13">
        <f t="shared" si="25"/>
        <v>1</v>
      </c>
      <c r="T103" s="13">
        <f t="shared" si="25"/>
        <v>1</v>
      </c>
      <c r="U103" s="13">
        <f t="shared" si="25"/>
        <v>0</v>
      </c>
      <c r="V103" s="13">
        <f t="shared" si="25"/>
        <v>2</v>
      </c>
      <c r="W103" s="13">
        <f t="shared" si="25"/>
        <v>0</v>
      </c>
      <c r="X103" s="13">
        <f t="shared" si="25"/>
        <v>5</v>
      </c>
      <c r="Y103" s="13">
        <f t="shared" si="25"/>
        <v>2</v>
      </c>
      <c r="Z103" s="13">
        <f t="shared" si="25"/>
        <v>0</v>
      </c>
      <c r="AA103" s="13">
        <f t="shared" si="25"/>
        <v>1</v>
      </c>
      <c r="AB103" s="13">
        <f t="shared" si="25"/>
        <v>1</v>
      </c>
      <c r="AC103" s="13">
        <f t="shared" si="25"/>
        <v>19</v>
      </c>
    </row>
    <row r="104" ht="12.75" customHeight="1">
      <c r="A104" s="24"/>
      <c r="B104" s="15"/>
      <c r="C104" s="15"/>
      <c r="D104" s="15"/>
      <c r="E104" s="16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13"/>
    </row>
    <row r="105" ht="12.75" customHeight="1">
      <c r="A105" s="30" t="s">
        <v>37</v>
      </c>
      <c r="B105" s="47" t="s">
        <v>90</v>
      </c>
      <c r="C105" s="48" t="s">
        <v>91</v>
      </c>
      <c r="D105" s="16"/>
      <c r="E105" s="19">
        <v>0.0</v>
      </c>
      <c r="F105" s="19">
        <v>0.0</v>
      </c>
      <c r="G105" s="19">
        <v>0.0</v>
      </c>
      <c r="H105" s="19">
        <v>1.0</v>
      </c>
      <c r="I105" s="19">
        <v>0.0</v>
      </c>
      <c r="J105" s="19">
        <v>1.0</v>
      </c>
      <c r="K105" s="19">
        <v>1.0</v>
      </c>
      <c r="L105" s="19">
        <v>0.0</v>
      </c>
      <c r="M105" s="19">
        <v>0.0</v>
      </c>
      <c r="N105" s="19">
        <v>2.0</v>
      </c>
      <c r="O105" s="19">
        <v>0.0</v>
      </c>
      <c r="P105" s="19">
        <v>0.0</v>
      </c>
      <c r="Q105" s="19">
        <v>0.0</v>
      </c>
      <c r="R105" s="19">
        <v>0.0</v>
      </c>
      <c r="S105" s="19">
        <v>2.0</v>
      </c>
      <c r="T105" s="19">
        <v>0.0</v>
      </c>
      <c r="U105" s="19">
        <v>3.0</v>
      </c>
      <c r="V105" s="19">
        <v>2.0</v>
      </c>
      <c r="W105" s="19">
        <v>0.0</v>
      </c>
      <c r="X105" s="19">
        <v>1.0</v>
      </c>
      <c r="Y105" s="19">
        <v>1.0</v>
      </c>
      <c r="Z105" s="19">
        <v>1.0</v>
      </c>
      <c r="AA105" s="19">
        <v>0.0</v>
      </c>
      <c r="AB105" s="19">
        <v>0.0</v>
      </c>
      <c r="AC105" s="13">
        <f t="shared" ref="AC105:AC108" si="26">SUM(E105:AB105)</f>
        <v>15</v>
      </c>
    </row>
    <row r="106" ht="12.75" customHeight="1">
      <c r="A106" s="30" t="s">
        <v>39</v>
      </c>
      <c r="B106" s="55">
        <v>1.0</v>
      </c>
      <c r="C106" s="50" t="s">
        <v>92</v>
      </c>
      <c r="D106" s="57"/>
      <c r="E106" s="19">
        <v>1.0</v>
      </c>
      <c r="F106" s="19">
        <v>0.0</v>
      </c>
      <c r="G106" s="19">
        <v>1.0</v>
      </c>
      <c r="H106" s="19">
        <v>0.0</v>
      </c>
      <c r="I106" s="19">
        <v>0.0</v>
      </c>
      <c r="J106" s="19">
        <v>2.0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3">
        <f t="shared" si="26"/>
        <v>4</v>
      </c>
    </row>
    <row r="107" ht="12.75" customHeight="1">
      <c r="A107" s="18"/>
      <c r="B107" s="55">
        <v>2.0</v>
      </c>
      <c r="C107" s="50" t="s">
        <v>93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1.0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3">
        <f t="shared" si="26"/>
        <v>1</v>
      </c>
    </row>
    <row r="108" ht="12.75" customHeight="1">
      <c r="A108" s="18"/>
      <c r="B108" s="55">
        <v>3.0</v>
      </c>
      <c r="C108" s="50" t="s">
        <v>94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1.0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3">
        <f t="shared" si="26"/>
        <v>1</v>
      </c>
    </row>
    <row r="109" ht="12.75" customHeight="1">
      <c r="A109" s="19" t="s">
        <v>15</v>
      </c>
      <c r="B109" s="47" t="s">
        <v>47</v>
      </c>
      <c r="C109" s="15"/>
      <c r="D109" s="16"/>
      <c r="E109" s="13">
        <f t="shared" ref="E109:AC109" si="27">SUM(E105:E108)</f>
        <v>1</v>
      </c>
      <c r="F109" s="13">
        <f t="shared" si="27"/>
        <v>0</v>
      </c>
      <c r="G109" s="13">
        <f t="shared" si="27"/>
        <v>1</v>
      </c>
      <c r="H109" s="13">
        <f t="shared" si="27"/>
        <v>1</v>
      </c>
      <c r="I109" s="13">
        <f t="shared" si="27"/>
        <v>1</v>
      </c>
      <c r="J109" s="13">
        <f t="shared" si="27"/>
        <v>3</v>
      </c>
      <c r="K109" s="13">
        <f t="shared" si="27"/>
        <v>1</v>
      </c>
      <c r="L109" s="13">
        <f t="shared" si="27"/>
        <v>0</v>
      </c>
      <c r="M109" s="13">
        <f t="shared" si="27"/>
        <v>0</v>
      </c>
      <c r="N109" s="13">
        <f t="shared" si="27"/>
        <v>2</v>
      </c>
      <c r="O109" s="13">
        <f t="shared" si="27"/>
        <v>0</v>
      </c>
      <c r="P109" s="13">
        <f t="shared" si="27"/>
        <v>1</v>
      </c>
      <c r="Q109" s="13">
        <f t="shared" si="27"/>
        <v>0</v>
      </c>
      <c r="R109" s="13">
        <f t="shared" si="27"/>
        <v>0</v>
      </c>
      <c r="S109" s="13">
        <f t="shared" si="27"/>
        <v>2</v>
      </c>
      <c r="T109" s="13">
        <f t="shared" si="27"/>
        <v>0</v>
      </c>
      <c r="U109" s="13">
        <f t="shared" si="27"/>
        <v>3</v>
      </c>
      <c r="V109" s="13">
        <f t="shared" si="27"/>
        <v>2</v>
      </c>
      <c r="W109" s="13">
        <f t="shared" si="27"/>
        <v>0</v>
      </c>
      <c r="X109" s="13">
        <f t="shared" si="27"/>
        <v>1</v>
      </c>
      <c r="Y109" s="13">
        <f t="shared" si="27"/>
        <v>1</v>
      </c>
      <c r="Z109" s="13">
        <f t="shared" si="27"/>
        <v>1</v>
      </c>
      <c r="AA109" s="13">
        <f t="shared" si="27"/>
        <v>0</v>
      </c>
      <c r="AB109" s="13">
        <f t="shared" si="27"/>
        <v>0</v>
      </c>
      <c r="AC109" s="13">
        <f t="shared" si="27"/>
        <v>21</v>
      </c>
    </row>
    <row r="110" ht="12.75" customHeight="1">
      <c r="A110" s="24"/>
      <c r="B110" s="15"/>
      <c r="C110" s="15"/>
      <c r="D110" s="15"/>
      <c r="E110" s="16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</row>
    <row r="111" ht="12.75" customHeight="1">
      <c r="A111" s="30" t="s">
        <v>37</v>
      </c>
      <c r="B111" s="47" t="s">
        <v>95</v>
      </c>
      <c r="C111" s="48" t="s">
        <v>96</v>
      </c>
      <c r="D111" s="16"/>
      <c r="E111" s="19">
        <v>12.0</v>
      </c>
      <c r="F111" s="19">
        <v>11.0</v>
      </c>
      <c r="G111" s="19">
        <v>17.0</v>
      </c>
      <c r="H111" s="19">
        <v>2.0</v>
      </c>
      <c r="I111" s="19">
        <v>1.0</v>
      </c>
      <c r="J111" s="19">
        <v>0.0</v>
      </c>
      <c r="K111" s="19">
        <v>4.0</v>
      </c>
      <c r="L111" s="19">
        <v>4.0</v>
      </c>
      <c r="M111" s="19">
        <v>3.0</v>
      </c>
      <c r="N111" s="19">
        <v>3.0</v>
      </c>
      <c r="O111" s="19">
        <v>3.0</v>
      </c>
      <c r="P111" s="19">
        <v>2.0</v>
      </c>
      <c r="Q111" s="19">
        <v>5.0</v>
      </c>
      <c r="R111" s="19">
        <v>7.0</v>
      </c>
      <c r="S111" s="19">
        <v>0.0</v>
      </c>
      <c r="T111" s="19">
        <v>0.0</v>
      </c>
      <c r="U111" s="19">
        <v>1.0</v>
      </c>
      <c r="V111" s="19">
        <v>0.0</v>
      </c>
      <c r="W111" s="19">
        <v>0.0</v>
      </c>
      <c r="X111" s="19">
        <v>3.0</v>
      </c>
      <c r="Y111" s="19">
        <v>4.0</v>
      </c>
      <c r="Z111" s="19">
        <v>3.0</v>
      </c>
      <c r="AA111" s="19">
        <v>15.0</v>
      </c>
      <c r="AB111" s="19">
        <v>1.0</v>
      </c>
      <c r="AC111" s="13">
        <f t="shared" ref="AC111:AC118" si="28">SUM(E111:AB111)</f>
        <v>101</v>
      </c>
    </row>
    <row r="112" ht="12.75" customHeight="1">
      <c r="A112" s="30" t="s">
        <v>39</v>
      </c>
      <c r="B112" s="55">
        <v>1.0</v>
      </c>
      <c r="C112" s="50" t="s">
        <v>97</v>
      </c>
      <c r="D112" s="56"/>
      <c r="E112" s="19">
        <v>27.0</v>
      </c>
      <c r="F112" s="19">
        <v>16.0</v>
      </c>
      <c r="G112" s="19">
        <v>25.0</v>
      </c>
      <c r="H112" s="19">
        <v>8.0</v>
      </c>
      <c r="I112" s="19">
        <v>0.0</v>
      </c>
      <c r="J112" s="19">
        <v>1.0</v>
      </c>
      <c r="K112" s="19">
        <v>6.0</v>
      </c>
      <c r="L112" s="19">
        <v>10.0</v>
      </c>
      <c r="M112" s="19">
        <v>2.0</v>
      </c>
      <c r="N112" s="19">
        <v>0.0</v>
      </c>
      <c r="O112" s="19">
        <v>4.0</v>
      </c>
      <c r="P112" s="19">
        <v>2.0</v>
      </c>
      <c r="Q112" s="19">
        <v>5.0</v>
      </c>
      <c r="R112" s="19">
        <v>3.0</v>
      </c>
      <c r="S112" s="19">
        <v>2.0</v>
      </c>
      <c r="T112" s="19">
        <v>6.0</v>
      </c>
      <c r="U112" s="19">
        <v>1.0</v>
      </c>
      <c r="V112" s="19">
        <v>0.0</v>
      </c>
      <c r="W112" s="19">
        <v>2.0</v>
      </c>
      <c r="X112" s="19">
        <v>0.0</v>
      </c>
      <c r="Y112" s="19">
        <v>3.0</v>
      </c>
      <c r="Z112" s="19">
        <v>3.0</v>
      </c>
      <c r="AA112" s="19">
        <v>14.0</v>
      </c>
      <c r="AB112" s="19">
        <v>3.0</v>
      </c>
      <c r="AC112" s="13">
        <f t="shared" si="28"/>
        <v>143</v>
      </c>
    </row>
    <row r="113" ht="12.75" customHeight="1">
      <c r="A113" s="18"/>
      <c r="B113" s="55">
        <v>2.0</v>
      </c>
      <c r="C113" s="50" t="s">
        <v>98</v>
      </c>
      <c r="D113" s="56"/>
      <c r="E113" s="19">
        <v>4.0</v>
      </c>
      <c r="F113" s="19">
        <v>1.0</v>
      </c>
      <c r="G113" s="19">
        <v>0.0</v>
      </c>
      <c r="H113" s="19">
        <v>1.0</v>
      </c>
      <c r="I113" s="19">
        <v>0.0</v>
      </c>
      <c r="J113" s="19">
        <v>0.0</v>
      </c>
      <c r="K113" s="19">
        <v>3.0</v>
      </c>
      <c r="L113" s="19">
        <v>2.0</v>
      </c>
      <c r="M113" s="19">
        <v>0.0</v>
      </c>
      <c r="N113" s="19">
        <v>1.0</v>
      </c>
      <c r="O113" s="19">
        <v>3.0</v>
      </c>
      <c r="P113" s="19">
        <v>0.0</v>
      </c>
      <c r="Q113" s="19">
        <v>4.0</v>
      </c>
      <c r="R113" s="19">
        <v>3.0</v>
      </c>
      <c r="S113" s="19">
        <v>0.0</v>
      </c>
      <c r="T113" s="19">
        <v>0.0</v>
      </c>
      <c r="U113" s="19">
        <v>0.0</v>
      </c>
      <c r="V113" s="19">
        <v>0.0</v>
      </c>
      <c r="W113" s="19">
        <v>0.0</v>
      </c>
      <c r="X113" s="19">
        <v>1.0</v>
      </c>
      <c r="Y113" s="19">
        <v>0.0</v>
      </c>
      <c r="Z113" s="19">
        <v>1.0</v>
      </c>
      <c r="AA113" s="19">
        <v>6.0</v>
      </c>
      <c r="AB113" s="19">
        <v>2.0</v>
      </c>
      <c r="AC113" s="13">
        <f t="shared" si="28"/>
        <v>32</v>
      </c>
    </row>
    <row r="114" ht="12.75" customHeight="1">
      <c r="A114" s="18"/>
      <c r="B114" s="55">
        <v>3.0</v>
      </c>
      <c r="C114" s="50" t="s">
        <v>99</v>
      </c>
      <c r="D114" s="56"/>
      <c r="E114" s="19">
        <v>0.0</v>
      </c>
      <c r="F114" s="19">
        <v>2.0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1.0</v>
      </c>
      <c r="M114" s="19">
        <v>1.0</v>
      </c>
      <c r="N114" s="19">
        <v>0.0</v>
      </c>
      <c r="O114" s="19">
        <v>0.0</v>
      </c>
      <c r="P114" s="19">
        <v>0.0</v>
      </c>
      <c r="Q114" s="19">
        <v>0.0</v>
      </c>
      <c r="R114" s="19">
        <v>1.0</v>
      </c>
      <c r="S114" s="19">
        <v>0.0</v>
      </c>
      <c r="T114" s="19">
        <v>0.0</v>
      </c>
      <c r="U114" s="19">
        <v>0.0</v>
      </c>
      <c r="V114" s="19">
        <v>0.0</v>
      </c>
      <c r="W114" s="19">
        <v>0.0</v>
      </c>
      <c r="X114" s="19">
        <v>0.0</v>
      </c>
      <c r="Y114" s="19">
        <v>0.0</v>
      </c>
      <c r="Z114" s="19">
        <v>0.0</v>
      </c>
      <c r="AA114" s="19">
        <v>0.0</v>
      </c>
      <c r="AB114" s="19">
        <v>0.0</v>
      </c>
      <c r="AC114" s="13">
        <f t="shared" si="28"/>
        <v>5</v>
      </c>
    </row>
    <row r="115" ht="12.75" customHeight="1">
      <c r="A115" s="18"/>
      <c r="B115" s="55">
        <v>4.0</v>
      </c>
      <c r="C115" s="50" t="s">
        <v>100</v>
      </c>
      <c r="D115" s="56"/>
      <c r="E115" s="19">
        <v>2.0</v>
      </c>
      <c r="F115" s="19">
        <v>1.0</v>
      </c>
      <c r="G115" s="19">
        <v>1.0</v>
      </c>
      <c r="H115" s="19">
        <v>1.0</v>
      </c>
      <c r="I115" s="19">
        <v>0.0</v>
      </c>
      <c r="J115" s="19">
        <v>0.0</v>
      </c>
      <c r="K115" s="19">
        <v>0.0</v>
      </c>
      <c r="L115" s="19">
        <v>1.0</v>
      </c>
      <c r="M115" s="19">
        <v>0.0</v>
      </c>
      <c r="N115" s="19">
        <v>0.0</v>
      </c>
      <c r="O115" s="19">
        <v>0.0</v>
      </c>
      <c r="P115" s="19">
        <v>0.0</v>
      </c>
      <c r="Q115" s="19">
        <v>1.0</v>
      </c>
      <c r="R115" s="19">
        <v>0.0</v>
      </c>
      <c r="S115" s="19">
        <v>0.0</v>
      </c>
      <c r="T115" s="19">
        <v>0.0</v>
      </c>
      <c r="U115" s="19">
        <v>0.0</v>
      </c>
      <c r="V115" s="19">
        <v>0.0</v>
      </c>
      <c r="W115" s="19">
        <v>0.0</v>
      </c>
      <c r="X115" s="19">
        <v>0.0</v>
      </c>
      <c r="Y115" s="19">
        <v>0.0</v>
      </c>
      <c r="Z115" s="19">
        <v>0.0</v>
      </c>
      <c r="AA115" s="19">
        <v>2.0</v>
      </c>
      <c r="AB115" s="19">
        <v>0.0</v>
      </c>
      <c r="AC115" s="13">
        <f t="shared" si="28"/>
        <v>9</v>
      </c>
    </row>
    <row r="116" ht="12.75" customHeight="1">
      <c r="A116" s="18"/>
      <c r="B116" s="55">
        <v>5.0</v>
      </c>
      <c r="C116" s="50" t="s">
        <v>101</v>
      </c>
      <c r="D116" s="56"/>
      <c r="E116" s="19">
        <v>0.0</v>
      </c>
      <c r="F116" s="19">
        <v>0.0</v>
      </c>
      <c r="G116" s="19">
        <v>0.0</v>
      </c>
      <c r="H116" s="19">
        <v>0.0</v>
      </c>
      <c r="I116" s="19">
        <v>0.0</v>
      </c>
      <c r="J116" s="19">
        <v>0.0</v>
      </c>
      <c r="K116" s="19">
        <v>0.0</v>
      </c>
      <c r="L116" s="19">
        <v>0.0</v>
      </c>
      <c r="M116" s="19">
        <v>1.0</v>
      </c>
      <c r="N116" s="19">
        <v>0.0</v>
      </c>
      <c r="O116" s="19">
        <v>0.0</v>
      </c>
      <c r="P116" s="19">
        <v>0.0</v>
      </c>
      <c r="Q116" s="19">
        <v>0.0</v>
      </c>
      <c r="R116" s="19">
        <v>0.0</v>
      </c>
      <c r="S116" s="19">
        <v>0.0</v>
      </c>
      <c r="T116" s="19">
        <v>0.0</v>
      </c>
      <c r="U116" s="19">
        <v>0.0</v>
      </c>
      <c r="V116" s="19">
        <v>0.0</v>
      </c>
      <c r="W116" s="19">
        <v>0.0</v>
      </c>
      <c r="X116" s="19">
        <v>0.0</v>
      </c>
      <c r="Y116" s="19">
        <v>0.0</v>
      </c>
      <c r="Z116" s="19">
        <v>0.0</v>
      </c>
      <c r="AA116" s="19">
        <v>0.0</v>
      </c>
      <c r="AB116" s="19">
        <v>0.0</v>
      </c>
      <c r="AC116" s="13">
        <f t="shared" si="28"/>
        <v>1</v>
      </c>
    </row>
    <row r="117" ht="12.75" customHeight="1">
      <c r="A117" s="18"/>
      <c r="B117" s="55">
        <v>6.0</v>
      </c>
      <c r="C117" s="50" t="s">
        <v>102</v>
      </c>
      <c r="D117" s="57"/>
      <c r="E117" s="19">
        <v>2.0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1.0</v>
      </c>
      <c r="AB117" s="19">
        <v>0.0</v>
      </c>
      <c r="AC117" s="13">
        <f t="shared" si="28"/>
        <v>3</v>
      </c>
    </row>
    <row r="118" ht="12.75" customHeight="1">
      <c r="A118" s="18"/>
      <c r="B118" s="55">
        <v>7.0</v>
      </c>
      <c r="C118" s="50" t="s">
        <v>103</v>
      </c>
      <c r="D118" s="56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3">
        <f t="shared" si="28"/>
        <v>0</v>
      </c>
    </row>
    <row r="119" ht="12.75" customHeight="1">
      <c r="A119" s="19" t="s">
        <v>15</v>
      </c>
      <c r="B119" s="47" t="s">
        <v>47</v>
      </c>
      <c r="C119" s="15"/>
      <c r="D119" s="16"/>
      <c r="E119" s="13">
        <f t="shared" ref="E119:AC119" si="29">SUM(E111:E118)</f>
        <v>47</v>
      </c>
      <c r="F119" s="13">
        <f t="shared" si="29"/>
        <v>31</v>
      </c>
      <c r="G119" s="13">
        <f t="shared" si="29"/>
        <v>43</v>
      </c>
      <c r="H119" s="13">
        <f t="shared" si="29"/>
        <v>12</v>
      </c>
      <c r="I119" s="13">
        <f t="shared" si="29"/>
        <v>1</v>
      </c>
      <c r="J119" s="13">
        <f t="shared" si="29"/>
        <v>1</v>
      </c>
      <c r="K119" s="13">
        <f t="shared" si="29"/>
        <v>13</v>
      </c>
      <c r="L119" s="13">
        <f t="shared" si="29"/>
        <v>18</v>
      </c>
      <c r="M119" s="13">
        <f t="shared" si="29"/>
        <v>7</v>
      </c>
      <c r="N119" s="13">
        <f t="shared" si="29"/>
        <v>4</v>
      </c>
      <c r="O119" s="13">
        <f t="shared" si="29"/>
        <v>10</v>
      </c>
      <c r="P119" s="13">
        <f t="shared" si="29"/>
        <v>4</v>
      </c>
      <c r="Q119" s="13">
        <f t="shared" si="29"/>
        <v>15</v>
      </c>
      <c r="R119" s="13">
        <f t="shared" si="29"/>
        <v>14</v>
      </c>
      <c r="S119" s="13">
        <f t="shared" si="29"/>
        <v>2</v>
      </c>
      <c r="T119" s="13">
        <f t="shared" si="29"/>
        <v>6</v>
      </c>
      <c r="U119" s="13">
        <f t="shared" si="29"/>
        <v>2</v>
      </c>
      <c r="V119" s="13">
        <f t="shared" si="29"/>
        <v>0</v>
      </c>
      <c r="W119" s="13">
        <f t="shared" si="29"/>
        <v>2</v>
      </c>
      <c r="X119" s="13">
        <f t="shared" si="29"/>
        <v>4</v>
      </c>
      <c r="Y119" s="13">
        <f t="shared" si="29"/>
        <v>7</v>
      </c>
      <c r="Z119" s="13">
        <f t="shared" si="29"/>
        <v>7</v>
      </c>
      <c r="AA119" s="13">
        <f t="shared" si="29"/>
        <v>38</v>
      </c>
      <c r="AB119" s="13">
        <f t="shared" si="29"/>
        <v>6</v>
      </c>
      <c r="AC119" s="13">
        <f t="shared" si="29"/>
        <v>294</v>
      </c>
    </row>
    <row r="120" ht="12.75" customHeight="1">
      <c r="A120" s="24"/>
      <c r="B120" s="15"/>
      <c r="C120" s="15"/>
      <c r="D120" s="15"/>
      <c r="E120" s="16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 ht="12.75" customHeight="1">
      <c r="A121" s="30" t="s">
        <v>37</v>
      </c>
      <c r="B121" s="47" t="s">
        <v>104</v>
      </c>
      <c r="C121" s="48" t="s">
        <v>105</v>
      </c>
      <c r="D121" s="16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3">
        <f t="shared" ref="AC121:AC128" si="30">SUM(E121:AB121)</f>
        <v>0</v>
      </c>
    </row>
    <row r="122" ht="12.75" customHeight="1">
      <c r="A122" s="30" t="s">
        <v>39</v>
      </c>
      <c r="B122" s="55">
        <v>1.0</v>
      </c>
      <c r="C122" s="50" t="s">
        <v>106</v>
      </c>
      <c r="D122" s="57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3">
        <f t="shared" si="30"/>
        <v>0</v>
      </c>
    </row>
    <row r="123" ht="12.75" customHeight="1">
      <c r="A123" s="18"/>
      <c r="B123" s="55">
        <v>2.0</v>
      </c>
      <c r="C123" s="50" t="s">
        <v>107</v>
      </c>
      <c r="D123" s="57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3">
        <f t="shared" si="30"/>
        <v>0</v>
      </c>
    </row>
    <row r="124" ht="12.75" customHeight="1">
      <c r="A124" s="18"/>
      <c r="B124" s="55">
        <v>3.0</v>
      </c>
      <c r="C124" s="50" t="s">
        <v>108</v>
      </c>
      <c r="D124" s="57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3">
        <f t="shared" si="30"/>
        <v>0</v>
      </c>
    </row>
    <row r="125" ht="12.75" customHeight="1">
      <c r="A125" s="18"/>
      <c r="B125" s="55">
        <v>4.0</v>
      </c>
      <c r="C125" s="50" t="s">
        <v>109</v>
      </c>
      <c r="D125" s="57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3">
        <f t="shared" si="30"/>
        <v>0</v>
      </c>
    </row>
    <row r="126" ht="12.75" customHeight="1">
      <c r="A126" s="18"/>
      <c r="B126" s="55">
        <v>5.0</v>
      </c>
      <c r="C126" s="50" t="s">
        <v>110</v>
      </c>
      <c r="D126" s="57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3">
        <f t="shared" si="30"/>
        <v>0</v>
      </c>
    </row>
    <row r="127" ht="12.75" customHeight="1">
      <c r="A127" s="18"/>
      <c r="B127" s="55">
        <v>6.0</v>
      </c>
      <c r="C127" s="50" t="s">
        <v>111</v>
      </c>
      <c r="D127" s="57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3">
        <f t="shared" si="30"/>
        <v>0</v>
      </c>
    </row>
    <row r="128" ht="12.75" customHeight="1">
      <c r="A128" s="18"/>
      <c r="B128" s="55">
        <v>7.0</v>
      </c>
      <c r="C128" s="50" t="s">
        <v>112</v>
      </c>
      <c r="D128" s="57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3">
        <f t="shared" si="30"/>
        <v>0</v>
      </c>
    </row>
    <row r="129" ht="12.75" customHeight="1">
      <c r="A129" s="19" t="s">
        <v>15</v>
      </c>
      <c r="B129" s="47" t="s">
        <v>47</v>
      </c>
      <c r="C129" s="15"/>
      <c r="D129" s="16"/>
      <c r="E129" s="13">
        <f t="shared" ref="E129:AC129" si="31">SUM(E121:E128)</f>
        <v>0</v>
      </c>
      <c r="F129" s="13">
        <f t="shared" si="31"/>
        <v>0</v>
      </c>
      <c r="G129" s="13">
        <f t="shared" si="31"/>
        <v>0</v>
      </c>
      <c r="H129" s="13">
        <f t="shared" si="31"/>
        <v>0</v>
      </c>
      <c r="I129" s="13">
        <f t="shared" si="31"/>
        <v>0</v>
      </c>
      <c r="J129" s="13">
        <f t="shared" si="31"/>
        <v>0</v>
      </c>
      <c r="K129" s="13">
        <f t="shared" si="31"/>
        <v>0</v>
      </c>
      <c r="L129" s="13">
        <f t="shared" si="31"/>
        <v>0</v>
      </c>
      <c r="M129" s="13">
        <f t="shared" si="31"/>
        <v>0</v>
      </c>
      <c r="N129" s="13">
        <f t="shared" si="31"/>
        <v>0</v>
      </c>
      <c r="O129" s="13">
        <f t="shared" si="31"/>
        <v>0</v>
      </c>
      <c r="P129" s="13">
        <f t="shared" si="31"/>
        <v>0</v>
      </c>
      <c r="Q129" s="13">
        <f t="shared" si="31"/>
        <v>0</v>
      </c>
      <c r="R129" s="13">
        <f t="shared" si="31"/>
        <v>0</v>
      </c>
      <c r="S129" s="13">
        <f t="shared" si="31"/>
        <v>0</v>
      </c>
      <c r="T129" s="13">
        <f t="shared" si="31"/>
        <v>0</v>
      </c>
      <c r="U129" s="13">
        <f t="shared" si="31"/>
        <v>0</v>
      </c>
      <c r="V129" s="13">
        <f t="shared" si="31"/>
        <v>0</v>
      </c>
      <c r="W129" s="13">
        <f t="shared" si="31"/>
        <v>0</v>
      </c>
      <c r="X129" s="13">
        <f t="shared" si="31"/>
        <v>0</v>
      </c>
      <c r="Y129" s="13">
        <f t="shared" si="31"/>
        <v>0</v>
      </c>
      <c r="Z129" s="13">
        <f t="shared" si="31"/>
        <v>0</v>
      </c>
      <c r="AA129" s="13">
        <f t="shared" si="31"/>
        <v>0</v>
      </c>
      <c r="AB129" s="13">
        <f t="shared" si="31"/>
        <v>0</v>
      </c>
      <c r="AC129" s="13">
        <f t="shared" si="31"/>
        <v>0</v>
      </c>
    </row>
    <row r="130" ht="12.75" customHeight="1">
      <c r="A130" s="24"/>
      <c r="B130" s="15"/>
      <c r="C130" s="15"/>
      <c r="D130" s="15"/>
      <c r="E130" s="16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13"/>
    </row>
    <row r="131" ht="12.75" customHeight="1">
      <c r="A131" s="30" t="s">
        <v>37</v>
      </c>
      <c r="B131" s="17" t="s">
        <v>113</v>
      </c>
      <c r="C131" s="59" t="s">
        <v>114</v>
      </c>
      <c r="D131" s="23"/>
      <c r="E131" s="19">
        <v>1.0</v>
      </c>
      <c r="F131" s="19">
        <v>0.0</v>
      </c>
      <c r="G131" s="19">
        <v>1.0</v>
      </c>
      <c r="H131" s="19">
        <v>6.0</v>
      </c>
      <c r="I131" s="19">
        <v>0.0</v>
      </c>
      <c r="J131" s="19">
        <v>4.0</v>
      </c>
      <c r="K131" s="19">
        <v>2.0</v>
      </c>
      <c r="L131" s="19">
        <v>1.0</v>
      </c>
      <c r="M131" s="19">
        <v>0.0</v>
      </c>
      <c r="N131" s="19">
        <v>0.0</v>
      </c>
      <c r="O131" s="19">
        <v>1.0</v>
      </c>
      <c r="P131" s="19">
        <v>1.0</v>
      </c>
      <c r="Q131" s="19">
        <v>0.0</v>
      </c>
      <c r="R131" s="19">
        <v>1.0</v>
      </c>
      <c r="S131" s="19">
        <v>6.0</v>
      </c>
      <c r="T131" s="19">
        <v>1.0</v>
      </c>
      <c r="U131" s="19">
        <v>0.0</v>
      </c>
      <c r="V131" s="19">
        <v>1.0</v>
      </c>
      <c r="W131" s="19">
        <v>2.0</v>
      </c>
      <c r="X131" s="19">
        <v>4.0</v>
      </c>
      <c r="Y131" s="19">
        <v>1.0</v>
      </c>
      <c r="Z131" s="19">
        <v>4.0</v>
      </c>
      <c r="AA131" s="19">
        <v>0.0</v>
      </c>
      <c r="AB131" s="19">
        <v>2.0</v>
      </c>
      <c r="AC131" s="13">
        <f t="shared" ref="AC131:AC135" si="32">SUM(E131:AB131)</f>
        <v>39</v>
      </c>
    </row>
    <row r="132" ht="12.75" customHeight="1">
      <c r="A132" s="60" t="s">
        <v>39</v>
      </c>
      <c r="B132" s="55">
        <v>1.0</v>
      </c>
      <c r="C132" s="61" t="s">
        <v>115</v>
      </c>
      <c r="D132" s="57"/>
      <c r="E132" s="74">
        <v>0.0</v>
      </c>
      <c r="F132" s="19">
        <v>1.0</v>
      </c>
      <c r="G132" s="19">
        <v>1.0</v>
      </c>
      <c r="H132" s="19">
        <v>3.0</v>
      </c>
      <c r="I132" s="19">
        <v>0.0</v>
      </c>
      <c r="J132" s="19">
        <v>3.0</v>
      </c>
      <c r="K132" s="19">
        <v>5.0</v>
      </c>
      <c r="L132" s="19">
        <v>0.0</v>
      </c>
      <c r="M132" s="19">
        <v>1.0</v>
      </c>
      <c r="N132" s="19">
        <v>0.0</v>
      </c>
      <c r="O132" s="19">
        <v>1.0</v>
      </c>
      <c r="P132" s="19">
        <v>4.0</v>
      </c>
      <c r="Q132" s="19">
        <v>1.0</v>
      </c>
      <c r="R132" s="19">
        <v>2.0</v>
      </c>
      <c r="S132" s="19">
        <v>2.0</v>
      </c>
      <c r="T132" s="19">
        <v>2.0</v>
      </c>
      <c r="U132" s="19">
        <v>0.0</v>
      </c>
      <c r="V132" s="19">
        <v>2.0</v>
      </c>
      <c r="W132" s="19">
        <v>4.0</v>
      </c>
      <c r="X132" s="19">
        <v>3.0</v>
      </c>
      <c r="Y132" s="19">
        <v>0.0</v>
      </c>
      <c r="Z132" s="19">
        <v>4.0</v>
      </c>
      <c r="AA132" s="19">
        <v>0.0</v>
      </c>
      <c r="AB132" s="19">
        <v>1.0</v>
      </c>
      <c r="AC132" s="13">
        <f t="shared" si="32"/>
        <v>40</v>
      </c>
    </row>
    <row r="133" ht="12.75" customHeight="1">
      <c r="A133" s="18"/>
      <c r="B133" s="55">
        <v>2.0</v>
      </c>
      <c r="C133" s="61" t="s">
        <v>116</v>
      </c>
      <c r="D133" s="57"/>
      <c r="E133" s="74">
        <v>1.0</v>
      </c>
      <c r="F133" s="19">
        <v>0.0</v>
      </c>
      <c r="G133" s="19">
        <v>0.0</v>
      </c>
      <c r="H133" s="19">
        <v>3.0</v>
      </c>
      <c r="I133" s="19">
        <v>0.0</v>
      </c>
      <c r="J133" s="19">
        <v>2.0</v>
      </c>
      <c r="K133" s="19">
        <v>2.0</v>
      </c>
      <c r="L133" s="19">
        <v>0.0</v>
      </c>
      <c r="M133" s="19">
        <v>0.0</v>
      </c>
      <c r="N133" s="19">
        <v>0.0</v>
      </c>
      <c r="O133" s="19">
        <v>1.0</v>
      </c>
      <c r="P133" s="19">
        <v>1.0</v>
      </c>
      <c r="Q133" s="19">
        <v>1.0</v>
      </c>
      <c r="R133" s="19">
        <v>1.0</v>
      </c>
      <c r="S133" s="19">
        <v>0.0</v>
      </c>
      <c r="T133" s="19">
        <v>0.0</v>
      </c>
      <c r="U133" s="19">
        <v>1.0</v>
      </c>
      <c r="V133" s="19">
        <v>0.0</v>
      </c>
      <c r="W133" s="19">
        <v>0.0</v>
      </c>
      <c r="X133" s="19">
        <v>2.0</v>
      </c>
      <c r="Y133" s="19">
        <v>0.0</v>
      </c>
      <c r="Z133" s="19">
        <v>3.0</v>
      </c>
      <c r="AA133" s="19">
        <v>0.0</v>
      </c>
      <c r="AB133" s="19">
        <v>2.0</v>
      </c>
      <c r="AC133" s="13">
        <f t="shared" si="32"/>
        <v>20</v>
      </c>
    </row>
    <row r="134" ht="12.75" customHeight="1">
      <c r="A134" s="18"/>
      <c r="B134" s="55">
        <v>3.0</v>
      </c>
      <c r="C134" s="61" t="s">
        <v>117</v>
      </c>
      <c r="D134" s="57"/>
      <c r="E134" s="74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1.0</v>
      </c>
      <c r="S134" s="19">
        <v>1.0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3">
        <f t="shared" si="32"/>
        <v>2</v>
      </c>
    </row>
    <row r="135" ht="12.75" customHeight="1">
      <c r="A135" s="18"/>
      <c r="B135" s="55">
        <v>4.0</v>
      </c>
      <c r="C135" s="61" t="s">
        <v>118</v>
      </c>
      <c r="D135" s="57"/>
      <c r="E135" s="74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1.0</v>
      </c>
      <c r="O135" s="19">
        <v>0.0</v>
      </c>
      <c r="P135" s="19"/>
      <c r="Q135" s="19"/>
      <c r="R135" s="19"/>
      <c r="S135" s="19"/>
      <c r="T135" s="19">
        <v>0.0</v>
      </c>
      <c r="U135" s="19">
        <v>0.0</v>
      </c>
      <c r="V135" s="19">
        <v>0.0</v>
      </c>
      <c r="W135" s="19">
        <v>1.0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3">
        <f t="shared" si="32"/>
        <v>2</v>
      </c>
    </row>
    <row r="136" ht="12.75" customHeight="1">
      <c r="A136" s="19" t="s">
        <v>15</v>
      </c>
      <c r="B136" s="62" t="s">
        <v>47</v>
      </c>
      <c r="C136" s="44"/>
      <c r="D136" s="28"/>
      <c r="E136" s="13">
        <f t="shared" ref="E136:AC136" si="33">SUM(E131:E135)</f>
        <v>2</v>
      </c>
      <c r="F136" s="13">
        <f t="shared" si="33"/>
        <v>1</v>
      </c>
      <c r="G136" s="13">
        <f t="shared" si="33"/>
        <v>2</v>
      </c>
      <c r="H136" s="13">
        <f t="shared" si="33"/>
        <v>12</v>
      </c>
      <c r="I136" s="13">
        <f t="shared" si="33"/>
        <v>0</v>
      </c>
      <c r="J136" s="13">
        <f t="shared" si="33"/>
        <v>9</v>
      </c>
      <c r="K136" s="13">
        <f t="shared" si="33"/>
        <v>9</v>
      </c>
      <c r="L136" s="13">
        <f t="shared" si="33"/>
        <v>1</v>
      </c>
      <c r="M136" s="13">
        <f t="shared" si="33"/>
        <v>1</v>
      </c>
      <c r="N136" s="13">
        <f t="shared" si="33"/>
        <v>1</v>
      </c>
      <c r="O136" s="13">
        <f t="shared" si="33"/>
        <v>3</v>
      </c>
      <c r="P136" s="13">
        <f t="shared" si="33"/>
        <v>6</v>
      </c>
      <c r="Q136" s="13">
        <f t="shared" si="33"/>
        <v>2</v>
      </c>
      <c r="R136" s="13">
        <f t="shared" si="33"/>
        <v>5</v>
      </c>
      <c r="S136" s="13">
        <f t="shared" si="33"/>
        <v>9</v>
      </c>
      <c r="T136" s="13">
        <f t="shared" si="33"/>
        <v>3</v>
      </c>
      <c r="U136" s="13">
        <f t="shared" si="33"/>
        <v>1</v>
      </c>
      <c r="V136" s="13">
        <f t="shared" si="33"/>
        <v>3</v>
      </c>
      <c r="W136" s="13">
        <f t="shared" si="33"/>
        <v>7</v>
      </c>
      <c r="X136" s="13">
        <f t="shared" si="33"/>
        <v>9</v>
      </c>
      <c r="Y136" s="13">
        <f t="shared" si="33"/>
        <v>1</v>
      </c>
      <c r="Z136" s="13">
        <f t="shared" si="33"/>
        <v>11</v>
      </c>
      <c r="AA136" s="13">
        <f t="shared" si="33"/>
        <v>0</v>
      </c>
      <c r="AB136" s="13">
        <f t="shared" si="33"/>
        <v>5</v>
      </c>
      <c r="AC136" s="13">
        <f t="shared" si="33"/>
        <v>103</v>
      </c>
    </row>
    <row r="137" ht="12.75" customHeight="1">
      <c r="A137" s="24"/>
      <c r="B137" s="15"/>
      <c r="C137" s="15"/>
      <c r="D137" s="15"/>
      <c r="E137" s="16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</row>
    <row r="138" ht="12.75" customHeight="1">
      <c r="A138" s="30" t="s">
        <v>37</v>
      </c>
      <c r="B138" s="47" t="s">
        <v>119</v>
      </c>
      <c r="C138" s="48" t="s">
        <v>120</v>
      </c>
      <c r="D138" s="16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1.0</v>
      </c>
      <c r="K138" s="19">
        <v>0.0</v>
      </c>
      <c r="L138" s="19">
        <v>0.0</v>
      </c>
      <c r="M138" s="19">
        <v>0.0</v>
      </c>
      <c r="N138" s="19">
        <v>0.0</v>
      </c>
      <c r="O138" s="19">
        <v>0.0</v>
      </c>
      <c r="P138" s="19">
        <v>0.0</v>
      </c>
      <c r="Q138" s="19">
        <v>0.0</v>
      </c>
      <c r="R138" s="19">
        <v>1.0</v>
      </c>
      <c r="S138" s="19">
        <v>0.0</v>
      </c>
      <c r="T138" s="19">
        <v>0.0</v>
      </c>
      <c r="U138" s="19">
        <v>0.0</v>
      </c>
      <c r="V138" s="19">
        <v>0.0</v>
      </c>
      <c r="W138" s="19">
        <v>0.0</v>
      </c>
      <c r="X138" s="19">
        <v>0.0</v>
      </c>
      <c r="Y138" s="19">
        <v>0.0</v>
      </c>
      <c r="Z138" s="19">
        <v>0.0</v>
      </c>
      <c r="AA138" s="19">
        <v>0.0</v>
      </c>
      <c r="AB138" s="19">
        <v>0.0</v>
      </c>
      <c r="AC138" s="13">
        <f t="shared" ref="AC138:AC145" si="34">SUM(E138:AB138)</f>
        <v>2</v>
      </c>
    </row>
    <row r="139" ht="12.75" customHeight="1">
      <c r="A139" s="30" t="s">
        <v>39</v>
      </c>
      <c r="B139" s="55">
        <v>1.0</v>
      </c>
      <c r="C139" s="50" t="s">
        <v>121</v>
      </c>
      <c r="D139" s="57"/>
      <c r="E139" s="19">
        <v>0.0</v>
      </c>
      <c r="F139" s="19">
        <v>1.0</v>
      </c>
      <c r="G139" s="19">
        <v>2.0</v>
      </c>
      <c r="H139" s="19">
        <v>4.0</v>
      </c>
      <c r="I139" s="19">
        <v>0.0</v>
      </c>
      <c r="J139" s="19">
        <v>0.0</v>
      </c>
      <c r="K139" s="19">
        <v>1.0</v>
      </c>
      <c r="L139" s="19">
        <v>1.0</v>
      </c>
      <c r="M139" s="19">
        <v>0.0</v>
      </c>
      <c r="N139" s="19">
        <v>0.0</v>
      </c>
      <c r="O139" s="19">
        <v>0.0</v>
      </c>
      <c r="P139" s="19">
        <v>0.0</v>
      </c>
      <c r="Q139" s="19">
        <v>0.0</v>
      </c>
      <c r="R139" s="19">
        <v>0.0</v>
      </c>
      <c r="S139" s="19">
        <v>1.0</v>
      </c>
      <c r="T139" s="19">
        <v>0.0</v>
      </c>
      <c r="U139" s="19">
        <v>0.0</v>
      </c>
      <c r="V139" s="19">
        <v>0.0</v>
      </c>
      <c r="W139" s="19">
        <v>0.0</v>
      </c>
      <c r="X139" s="19">
        <v>0.0</v>
      </c>
      <c r="Y139" s="19">
        <v>0.0</v>
      </c>
      <c r="Z139" s="19">
        <v>0.0</v>
      </c>
      <c r="AA139" s="19">
        <v>0.0</v>
      </c>
      <c r="AB139" s="19">
        <v>0.0</v>
      </c>
      <c r="AC139" s="13">
        <f t="shared" si="34"/>
        <v>10</v>
      </c>
    </row>
    <row r="140" ht="12.75" customHeight="1">
      <c r="A140" s="18"/>
      <c r="B140" s="55">
        <v>2.0</v>
      </c>
      <c r="C140" s="50" t="s">
        <v>122</v>
      </c>
      <c r="D140" s="57"/>
      <c r="E140" s="19">
        <v>0.0</v>
      </c>
      <c r="F140" s="19">
        <v>0.0</v>
      </c>
      <c r="G140" s="19">
        <v>1.0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9">
        <v>0.0</v>
      </c>
      <c r="S140" s="19">
        <v>0.0</v>
      </c>
      <c r="T140" s="19">
        <v>0.0</v>
      </c>
      <c r="U140" s="19">
        <v>0.0</v>
      </c>
      <c r="V140" s="19">
        <v>0.0</v>
      </c>
      <c r="W140" s="19">
        <v>0.0</v>
      </c>
      <c r="X140" s="19">
        <v>0.0</v>
      </c>
      <c r="Y140" s="19">
        <v>0.0</v>
      </c>
      <c r="Z140" s="19">
        <v>0.0</v>
      </c>
      <c r="AA140" s="19">
        <v>0.0</v>
      </c>
      <c r="AB140" s="19">
        <v>0.0</v>
      </c>
      <c r="AC140" s="13">
        <f t="shared" si="34"/>
        <v>1</v>
      </c>
    </row>
    <row r="141" ht="12.75" customHeight="1">
      <c r="A141" s="18"/>
      <c r="B141" s="55">
        <v>3.0</v>
      </c>
      <c r="C141" s="50" t="s">
        <v>123</v>
      </c>
      <c r="D141" s="57"/>
      <c r="E141" s="19">
        <v>0.0</v>
      </c>
      <c r="F141" s="19">
        <v>0.0</v>
      </c>
      <c r="G141" s="19">
        <v>1.0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1.0</v>
      </c>
      <c r="R141" s="19">
        <v>0.0</v>
      </c>
      <c r="S141" s="19">
        <v>0.0</v>
      </c>
      <c r="T141" s="19">
        <v>1.0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3">
        <f t="shared" si="34"/>
        <v>3</v>
      </c>
    </row>
    <row r="142" ht="12.75" customHeight="1">
      <c r="A142" s="18"/>
      <c r="B142" s="55">
        <v>4.0</v>
      </c>
      <c r="C142" s="50" t="s">
        <v>124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1.0</v>
      </c>
      <c r="M142" s="19">
        <v>0.0</v>
      </c>
      <c r="N142" s="19">
        <v>0.0</v>
      </c>
      <c r="O142" s="19">
        <v>0.0</v>
      </c>
      <c r="P142" s="19">
        <v>0.0</v>
      </c>
      <c r="Q142" s="19">
        <v>1.0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3">
        <f t="shared" si="34"/>
        <v>2</v>
      </c>
    </row>
    <row r="143" ht="12.75" customHeight="1">
      <c r="A143" s="18"/>
      <c r="B143" s="55">
        <v>5.0</v>
      </c>
      <c r="C143" s="50" t="s">
        <v>125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3">
        <f t="shared" si="34"/>
        <v>0</v>
      </c>
    </row>
    <row r="144" ht="12.75" customHeight="1">
      <c r="A144" s="18"/>
      <c r="B144" s="55">
        <v>6.0</v>
      </c>
      <c r="C144" s="50" t="s">
        <v>126</v>
      </c>
      <c r="D144" s="57"/>
      <c r="E144" s="19">
        <v>1.0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3">
        <f t="shared" si="34"/>
        <v>1</v>
      </c>
    </row>
    <row r="145" ht="12.75" customHeight="1">
      <c r="A145" s="18"/>
      <c r="B145" s="55">
        <v>7.0</v>
      </c>
      <c r="C145" s="50" t="s">
        <v>127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1.0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3">
        <f t="shared" si="34"/>
        <v>1</v>
      </c>
    </row>
    <row r="146" ht="12.75" customHeight="1">
      <c r="A146" s="19" t="s">
        <v>15</v>
      </c>
      <c r="B146" s="47" t="s">
        <v>47</v>
      </c>
      <c r="C146" s="15"/>
      <c r="D146" s="16"/>
      <c r="E146" s="13">
        <f t="shared" ref="E146:AC146" si="35">SUM(E138:E145)</f>
        <v>1</v>
      </c>
      <c r="F146" s="13">
        <f t="shared" si="35"/>
        <v>1</v>
      </c>
      <c r="G146" s="13">
        <f t="shared" si="35"/>
        <v>4</v>
      </c>
      <c r="H146" s="13">
        <f t="shared" si="35"/>
        <v>4</v>
      </c>
      <c r="I146" s="13">
        <f t="shared" si="35"/>
        <v>0</v>
      </c>
      <c r="J146" s="13">
        <f t="shared" si="35"/>
        <v>1</v>
      </c>
      <c r="K146" s="13">
        <f t="shared" si="35"/>
        <v>1</v>
      </c>
      <c r="L146" s="13">
        <f t="shared" si="35"/>
        <v>2</v>
      </c>
      <c r="M146" s="13">
        <f t="shared" si="35"/>
        <v>0</v>
      </c>
      <c r="N146" s="13">
        <f t="shared" si="35"/>
        <v>0</v>
      </c>
      <c r="O146" s="13">
        <f t="shared" si="35"/>
        <v>1</v>
      </c>
      <c r="P146" s="13">
        <f t="shared" si="35"/>
        <v>0</v>
      </c>
      <c r="Q146" s="13">
        <f t="shared" si="35"/>
        <v>2</v>
      </c>
      <c r="R146" s="13">
        <f t="shared" si="35"/>
        <v>1</v>
      </c>
      <c r="S146" s="13">
        <f t="shared" si="35"/>
        <v>1</v>
      </c>
      <c r="T146" s="13">
        <f t="shared" si="35"/>
        <v>1</v>
      </c>
      <c r="U146" s="13">
        <f t="shared" si="35"/>
        <v>0</v>
      </c>
      <c r="V146" s="13">
        <f t="shared" si="35"/>
        <v>0</v>
      </c>
      <c r="W146" s="13">
        <f t="shared" si="35"/>
        <v>0</v>
      </c>
      <c r="X146" s="13">
        <f t="shared" si="35"/>
        <v>0</v>
      </c>
      <c r="Y146" s="13">
        <f t="shared" si="35"/>
        <v>0</v>
      </c>
      <c r="Z146" s="13">
        <f t="shared" si="35"/>
        <v>0</v>
      </c>
      <c r="AA146" s="13">
        <f t="shared" si="35"/>
        <v>0</v>
      </c>
      <c r="AB146" s="13">
        <f t="shared" si="35"/>
        <v>0</v>
      </c>
      <c r="AC146" s="13">
        <f t="shared" si="35"/>
        <v>20</v>
      </c>
    </row>
    <row r="147" ht="12.75" customHeight="1">
      <c r="A147" s="24"/>
      <c r="B147" s="15"/>
      <c r="C147" s="15"/>
      <c r="D147" s="15"/>
      <c r="E147" s="16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</row>
    <row r="148" ht="12.75" customHeight="1">
      <c r="A148" s="30" t="s">
        <v>37</v>
      </c>
      <c r="B148" s="47" t="s">
        <v>128</v>
      </c>
      <c r="C148" s="48" t="s">
        <v>129</v>
      </c>
      <c r="D148" s="16"/>
      <c r="E148" s="19">
        <v>1.0</v>
      </c>
      <c r="F148" s="19">
        <v>1.0</v>
      </c>
      <c r="G148" s="19">
        <v>2.0</v>
      </c>
      <c r="H148" s="19">
        <v>2.0</v>
      </c>
      <c r="I148" s="19">
        <v>1.0</v>
      </c>
      <c r="J148" s="19">
        <v>0.0</v>
      </c>
      <c r="K148" s="19">
        <v>0.0</v>
      </c>
      <c r="L148" s="19">
        <v>1.0</v>
      </c>
      <c r="M148" s="19">
        <v>2.0</v>
      </c>
      <c r="N148" s="19">
        <v>1.0</v>
      </c>
      <c r="O148" s="19">
        <v>3.0</v>
      </c>
      <c r="P148" s="19">
        <v>0.0</v>
      </c>
      <c r="Q148" s="19">
        <v>1.0</v>
      </c>
      <c r="R148" s="19">
        <v>1.0</v>
      </c>
      <c r="S148" s="19">
        <v>0.0</v>
      </c>
      <c r="T148" s="19">
        <v>0.0</v>
      </c>
      <c r="U148" s="19">
        <v>2.0</v>
      </c>
      <c r="V148" s="19">
        <v>2.0</v>
      </c>
      <c r="W148" s="19">
        <v>0.0</v>
      </c>
      <c r="X148" s="19">
        <v>0.0</v>
      </c>
      <c r="Y148" s="19">
        <v>1.0</v>
      </c>
      <c r="Z148" s="19">
        <v>1.0</v>
      </c>
      <c r="AA148" s="19">
        <v>2.0</v>
      </c>
      <c r="AB148" s="19">
        <v>0.0</v>
      </c>
      <c r="AC148" s="13">
        <f t="shared" ref="AC148:AC155" si="36">SUM(E148:AB148)</f>
        <v>24</v>
      </c>
    </row>
    <row r="149" ht="12.75" customHeight="1">
      <c r="A149" s="30" t="s">
        <v>39</v>
      </c>
      <c r="B149" s="55">
        <v>1.0</v>
      </c>
      <c r="C149" s="50" t="s">
        <v>130</v>
      </c>
      <c r="D149" s="57"/>
      <c r="E149" s="19">
        <v>2.0</v>
      </c>
      <c r="F149" s="19">
        <v>2.0</v>
      </c>
      <c r="G149" s="19">
        <v>2.0</v>
      </c>
      <c r="H149" s="19">
        <v>4.0</v>
      </c>
      <c r="I149" s="19">
        <v>1.0</v>
      </c>
      <c r="J149" s="19">
        <v>1.0</v>
      </c>
      <c r="K149" s="19">
        <v>2.0</v>
      </c>
      <c r="L149" s="19">
        <v>0.0</v>
      </c>
      <c r="M149" s="19">
        <v>1.0</v>
      </c>
      <c r="N149" s="19">
        <v>0.0</v>
      </c>
      <c r="O149" s="19">
        <v>2.0</v>
      </c>
      <c r="P149" s="19">
        <v>0.0</v>
      </c>
      <c r="Q149" s="19">
        <v>1.0</v>
      </c>
      <c r="R149" s="19">
        <v>1.0</v>
      </c>
      <c r="S149" s="19">
        <v>0.0</v>
      </c>
      <c r="T149" s="19">
        <v>2.0</v>
      </c>
      <c r="U149" s="19">
        <v>2.0</v>
      </c>
      <c r="V149" s="19">
        <v>3.0</v>
      </c>
      <c r="W149" s="19">
        <v>0.0</v>
      </c>
      <c r="X149" s="19">
        <v>0.0</v>
      </c>
      <c r="Y149" s="19">
        <v>0.0</v>
      </c>
      <c r="Z149" s="19">
        <v>0.0</v>
      </c>
      <c r="AA149" s="19">
        <v>1.0</v>
      </c>
      <c r="AB149" s="19">
        <v>0.0</v>
      </c>
      <c r="AC149" s="13">
        <f t="shared" si="36"/>
        <v>27</v>
      </c>
    </row>
    <row r="150" ht="12.75" customHeight="1">
      <c r="A150" s="18"/>
      <c r="B150" s="55">
        <v>2.0</v>
      </c>
      <c r="C150" s="50" t="s">
        <v>131</v>
      </c>
      <c r="D150" s="57"/>
      <c r="E150" s="19">
        <v>1.0</v>
      </c>
      <c r="F150" s="19">
        <v>0.0</v>
      </c>
      <c r="G150" s="19">
        <v>2.0</v>
      </c>
      <c r="H150" s="19">
        <v>0.0</v>
      </c>
      <c r="I150" s="19">
        <v>1.0</v>
      </c>
      <c r="J150" s="19">
        <v>2.0</v>
      </c>
      <c r="K150" s="19">
        <v>0.0</v>
      </c>
      <c r="L150" s="19">
        <v>1.0</v>
      </c>
      <c r="M150" s="19">
        <v>1.0</v>
      </c>
      <c r="N150" s="19">
        <v>1.0</v>
      </c>
      <c r="O150" s="19">
        <v>3.0</v>
      </c>
      <c r="P150" s="19">
        <v>1.0</v>
      </c>
      <c r="Q150" s="19">
        <v>1.0</v>
      </c>
      <c r="R150" s="19">
        <v>2.0</v>
      </c>
      <c r="S150" s="19">
        <v>2.0</v>
      </c>
      <c r="T150" s="19">
        <v>1.0</v>
      </c>
      <c r="U150" s="19">
        <v>1.0</v>
      </c>
      <c r="V150" s="19">
        <v>1.0</v>
      </c>
      <c r="W150" s="19">
        <v>1.0</v>
      </c>
      <c r="X150" s="19">
        <v>1.0</v>
      </c>
      <c r="Y150" s="19">
        <v>0.0</v>
      </c>
      <c r="Z150" s="19">
        <v>1.0</v>
      </c>
      <c r="AA150" s="19">
        <v>0.0</v>
      </c>
      <c r="AB150" s="19">
        <v>0.0</v>
      </c>
      <c r="AC150" s="13">
        <f t="shared" si="36"/>
        <v>24</v>
      </c>
    </row>
    <row r="151" ht="12.75" customHeight="1">
      <c r="A151" s="18"/>
      <c r="B151" s="55">
        <v>3.0</v>
      </c>
      <c r="C151" s="50" t="s">
        <v>132</v>
      </c>
      <c r="D151" s="57"/>
      <c r="E151" s="19">
        <v>2.0</v>
      </c>
      <c r="F151" s="19">
        <v>0.0</v>
      </c>
      <c r="G151" s="19">
        <v>0.0</v>
      </c>
      <c r="H151" s="19">
        <v>1.0</v>
      </c>
      <c r="I151" s="19">
        <v>0.0</v>
      </c>
      <c r="J151" s="19">
        <v>0.0</v>
      </c>
      <c r="K151" s="19">
        <v>0.0</v>
      </c>
      <c r="L151" s="19">
        <v>3.0</v>
      </c>
      <c r="M151" s="19">
        <v>0.0</v>
      </c>
      <c r="N151" s="19">
        <v>0.0</v>
      </c>
      <c r="O151" s="19">
        <v>0.0</v>
      </c>
      <c r="P151" s="19">
        <v>1.0</v>
      </c>
      <c r="Q151" s="19">
        <v>0.0</v>
      </c>
      <c r="R151" s="19">
        <v>0.0</v>
      </c>
      <c r="S151" s="19">
        <v>0.0</v>
      </c>
      <c r="T151" s="19">
        <v>0.0</v>
      </c>
      <c r="U151" s="19">
        <v>0.0</v>
      </c>
      <c r="V151" s="19">
        <v>0.0</v>
      </c>
      <c r="W151" s="19">
        <v>0.0</v>
      </c>
      <c r="X151" s="19">
        <v>0.0</v>
      </c>
      <c r="Y151" s="19">
        <v>0.0</v>
      </c>
      <c r="Z151" s="19">
        <v>0.0</v>
      </c>
      <c r="AA151" s="19">
        <v>0.0</v>
      </c>
      <c r="AB151" s="19">
        <v>0.0</v>
      </c>
      <c r="AC151" s="13">
        <f t="shared" si="36"/>
        <v>7</v>
      </c>
    </row>
    <row r="152" ht="12.75" customHeight="1">
      <c r="A152" s="18"/>
      <c r="B152" s="55">
        <v>4.0</v>
      </c>
      <c r="C152" s="50" t="s">
        <v>133</v>
      </c>
      <c r="D152" s="57"/>
      <c r="E152" s="19">
        <v>0.0</v>
      </c>
      <c r="F152" s="19">
        <v>0.0</v>
      </c>
      <c r="G152" s="19">
        <v>0.0</v>
      </c>
      <c r="H152" s="19">
        <v>1.0</v>
      </c>
      <c r="I152" s="19">
        <v>0.0</v>
      </c>
      <c r="J152" s="19">
        <v>1.0</v>
      </c>
      <c r="K152" s="19">
        <v>0.0</v>
      </c>
      <c r="L152" s="19">
        <v>0.0</v>
      </c>
      <c r="M152" s="19">
        <v>0.0</v>
      </c>
      <c r="N152" s="19">
        <v>1.0</v>
      </c>
      <c r="O152" s="19">
        <v>0.0</v>
      </c>
      <c r="P152" s="19">
        <v>0.0</v>
      </c>
      <c r="Q152" s="19">
        <v>0.0</v>
      </c>
      <c r="R152" s="19">
        <v>0.0</v>
      </c>
      <c r="S152" s="19">
        <v>0.0</v>
      </c>
      <c r="T152" s="19">
        <v>1.0</v>
      </c>
      <c r="U152" s="19">
        <v>0.0</v>
      </c>
      <c r="V152" s="19">
        <v>0.0</v>
      </c>
      <c r="W152" s="19">
        <v>0.0</v>
      </c>
      <c r="X152" s="19">
        <v>1.0</v>
      </c>
      <c r="Y152" s="19">
        <v>0.0</v>
      </c>
      <c r="Z152" s="19">
        <v>0.0</v>
      </c>
      <c r="AA152" s="19">
        <v>0.0</v>
      </c>
      <c r="AB152" s="19">
        <v>0.0</v>
      </c>
      <c r="AC152" s="13">
        <f t="shared" si="36"/>
        <v>5</v>
      </c>
    </row>
    <row r="153" ht="12.75" customHeight="1">
      <c r="A153" s="18"/>
      <c r="B153" s="55">
        <v>5.0</v>
      </c>
      <c r="C153" s="50" t="s">
        <v>134</v>
      </c>
      <c r="D153" s="57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1.0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1.0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3">
        <f t="shared" si="36"/>
        <v>2</v>
      </c>
    </row>
    <row r="154" ht="12.75" customHeight="1">
      <c r="A154" s="18"/>
      <c r="B154" s="55">
        <v>6.0</v>
      </c>
      <c r="C154" s="50" t="s">
        <v>135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1.0</v>
      </c>
      <c r="L154" s="19">
        <v>0.0</v>
      </c>
      <c r="M154" s="19">
        <v>0.0</v>
      </c>
      <c r="N154" s="19">
        <v>0.0</v>
      </c>
      <c r="O154" s="19">
        <v>1.0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1.0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3">
        <f t="shared" si="36"/>
        <v>3</v>
      </c>
    </row>
    <row r="155" ht="12.75" customHeight="1">
      <c r="A155" s="18"/>
      <c r="B155" s="55">
        <v>7.0</v>
      </c>
      <c r="C155" s="50" t="s">
        <v>136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2.0</v>
      </c>
      <c r="P155" s="19">
        <v>1.0</v>
      </c>
      <c r="Q155" s="19">
        <v>1.0</v>
      </c>
      <c r="R155" s="19">
        <v>0.0</v>
      </c>
      <c r="S155" s="19">
        <v>0.0</v>
      </c>
      <c r="T155" s="19">
        <v>0.0</v>
      </c>
      <c r="U155" s="19">
        <v>1.0</v>
      </c>
      <c r="V155" s="19">
        <v>0.0</v>
      </c>
      <c r="W155" s="19">
        <v>0.0</v>
      </c>
      <c r="X155" s="19">
        <v>2.0</v>
      </c>
      <c r="Y155" s="19">
        <v>0.0</v>
      </c>
      <c r="Z155" s="19">
        <v>0.0</v>
      </c>
      <c r="AA155" s="19">
        <v>0.0</v>
      </c>
      <c r="AB155" s="19">
        <v>0.0</v>
      </c>
      <c r="AC155" s="13">
        <f t="shared" si="36"/>
        <v>7</v>
      </c>
    </row>
    <row r="156" ht="12.75" customHeight="1">
      <c r="A156" s="19" t="s">
        <v>15</v>
      </c>
      <c r="B156" s="47" t="s">
        <v>47</v>
      </c>
      <c r="C156" s="15"/>
      <c r="D156" s="16"/>
      <c r="E156" s="13">
        <f t="shared" ref="E156:AC156" si="37">SUM(E148:E155)</f>
        <v>6</v>
      </c>
      <c r="F156" s="13">
        <f t="shared" si="37"/>
        <v>3</v>
      </c>
      <c r="G156" s="13">
        <f t="shared" si="37"/>
        <v>6</v>
      </c>
      <c r="H156" s="13">
        <f t="shared" si="37"/>
        <v>8</v>
      </c>
      <c r="I156" s="13">
        <f t="shared" si="37"/>
        <v>3</v>
      </c>
      <c r="J156" s="13">
        <f t="shared" si="37"/>
        <v>5</v>
      </c>
      <c r="K156" s="13">
        <f t="shared" si="37"/>
        <v>3</v>
      </c>
      <c r="L156" s="13">
        <f t="shared" si="37"/>
        <v>5</v>
      </c>
      <c r="M156" s="13">
        <f t="shared" si="37"/>
        <v>4</v>
      </c>
      <c r="N156" s="13">
        <f t="shared" si="37"/>
        <v>3</v>
      </c>
      <c r="O156" s="13">
        <f t="shared" si="37"/>
        <v>11</v>
      </c>
      <c r="P156" s="13">
        <f t="shared" si="37"/>
        <v>3</v>
      </c>
      <c r="Q156" s="13">
        <f t="shared" si="37"/>
        <v>4</v>
      </c>
      <c r="R156" s="13">
        <f t="shared" si="37"/>
        <v>4</v>
      </c>
      <c r="S156" s="13">
        <f t="shared" si="37"/>
        <v>2</v>
      </c>
      <c r="T156" s="13">
        <f t="shared" si="37"/>
        <v>5</v>
      </c>
      <c r="U156" s="13">
        <f t="shared" si="37"/>
        <v>6</v>
      </c>
      <c r="V156" s="13">
        <f t="shared" si="37"/>
        <v>7</v>
      </c>
      <c r="W156" s="13">
        <f t="shared" si="37"/>
        <v>1</v>
      </c>
      <c r="X156" s="13">
        <f t="shared" si="37"/>
        <v>4</v>
      </c>
      <c r="Y156" s="13">
        <f t="shared" si="37"/>
        <v>1</v>
      </c>
      <c r="Z156" s="13">
        <f t="shared" si="37"/>
        <v>2</v>
      </c>
      <c r="AA156" s="13">
        <f t="shared" si="37"/>
        <v>3</v>
      </c>
      <c r="AB156" s="13">
        <f t="shared" si="37"/>
        <v>0</v>
      </c>
      <c r="AC156" s="13">
        <f t="shared" si="37"/>
        <v>99</v>
      </c>
    </row>
    <row r="157" ht="12.75" customHeight="1">
      <c r="A157" s="24"/>
      <c r="B157" s="15"/>
      <c r="C157" s="15"/>
      <c r="D157" s="15"/>
      <c r="E157" s="16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13"/>
    </row>
    <row r="158" ht="12.75" customHeight="1">
      <c r="A158" s="30" t="s">
        <v>37</v>
      </c>
      <c r="B158" s="47" t="s">
        <v>137</v>
      </c>
      <c r="C158" s="48" t="s">
        <v>138</v>
      </c>
      <c r="D158" s="16"/>
      <c r="E158" s="19">
        <v>1.0</v>
      </c>
      <c r="F158" s="19">
        <v>0.0</v>
      </c>
      <c r="G158" s="19">
        <v>0.0</v>
      </c>
      <c r="H158" s="19">
        <v>0.0</v>
      </c>
      <c r="I158" s="19">
        <v>0.0</v>
      </c>
      <c r="J158" s="19">
        <v>0.0</v>
      </c>
      <c r="K158" s="19">
        <v>0.0</v>
      </c>
      <c r="L158" s="19">
        <v>0.0</v>
      </c>
      <c r="M158" s="19">
        <v>0.0</v>
      </c>
      <c r="N158" s="19">
        <v>0.0</v>
      </c>
      <c r="O158" s="19">
        <v>0.0</v>
      </c>
      <c r="P158" s="19">
        <v>0.0</v>
      </c>
      <c r="Q158" s="19">
        <v>0.0</v>
      </c>
      <c r="R158" s="19">
        <v>0.0</v>
      </c>
      <c r="S158" s="19">
        <v>0.0</v>
      </c>
      <c r="T158" s="19">
        <v>0.0</v>
      </c>
      <c r="U158" s="19">
        <v>0.0</v>
      </c>
      <c r="V158" s="19">
        <v>0.0</v>
      </c>
      <c r="W158" s="19">
        <v>0.0</v>
      </c>
      <c r="X158" s="19">
        <v>0.0</v>
      </c>
      <c r="Y158" s="19">
        <v>0.0</v>
      </c>
      <c r="Z158" s="19">
        <v>0.0</v>
      </c>
      <c r="AA158" s="19">
        <v>0.0</v>
      </c>
      <c r="AB158" s="19">
        <v>0.0</v>
      </c>
      <c r="AC158" s="13">
        <f t="shared" ref="AC158:AC165" si="38">SUM(E158:AB158)</f>
        <v>1</v>
      </c>
    </row>
    <row r="159" ht="12.75" customHeight="1">
      <c r="A159" s="30" t="s">
        <v>39</v>
      </c>
      <c r="B159" s="55">
        <v>1.0</v>
      </c>
      <c r="C159" s="50" t="s">
        <v>139</v>
      </c>
      <c r="D159" s="57"/>
      <c r="E159" s="19">
        <v>0.0</v>
      </c>
      <c r="F159" s="19">
        <v>0.0</v>
      </c>
      <c r="G159" s="19">
        <v>0.0</v>
      </c>
      <c r="H159" s="19">
        <v>0.0</v>
      </c>
      <c r="I159" s="19">
        <v>1.0</v>
      </c>
      <c r="J159" s="19">
        <v>0.0</v>
      </c>
      <c r="K159" s="19">
        <v>0.0</v>
      </c>
      <c r="L159" s="19">
        <v>0.0</v>
      </c>
      <c r="M159" s="19">
        <v>0.0</v>
      </c>
      <c r="N159" s="19">
        <v>0.0</v>
      </c>
      <c r="O159" s="19">
        <v>0.0</v>
      </c>
      <c r="P159" s="19">
        <v>0.0</v>
      </c>
      <c r="Q159" s="19">
        <v>0.0</v>
      </c>
      <c r="R159" s="19">
        <v>0.0</v>
      </c>
      <c r="S159" s="19">
        <v>0.0</v>
      </c>
      <c r="T159" s="19">
        <v>0.0</v>
      </c>
      <c r="U159" s="19">
        <v>0.0</v>
      </c>
      <c r="V159" s="19">
        <v>0.0</v>
      </c>
      <c r="W159" s="19">
        <v>0.0</v>
      </c>
      <c r="X159" s="19">
        <v>0.0</v>
      </c>
      <c r="Y159" s="19">
        <v>0.0</v>
      </c>
      <c r="Z159" s="19">
        <v>0.0</v>
      </c>
      <c r="AA159" s="19">
        <v>0.0</v>
      </c>
      <c r="AB159" s="19">
        <v>0.0</v>
      </c>
      <c r="AC159" s="13">
        <f t="shared" si="38"/>
        <v>1</v>
      </c>
    </row>
    <row r="160" ht="12.75" customHeight="1">
      <c r="A160" s="18"/>
      <c r="B160" s="55">
        <v>2.0</v>
      </c>
      <c r="C160" s="50" t="s">
        <v>140</v>
      </c>
      <c r="D160" s="57"/>
      <c r="E160" s="19">
        <v>0.0</v>
      </c>
      <c r="F160" s="19">
        <v>0.0</v>
      </c>
      <c r="G160" s="19">
        <v>0.0</v>
      </c>
      <c r="H160" s="19">
        <v>0.0</v>
      </c>
      <c r="I160" s="19">
        <v>1.0</v>
      </c>
      <c r="J160" s="19">
        <v>0.0</v>
      </c>
      <c r="K160" s="19">
        <v>0.0</v>
      </c>
      <c r="L160" s="19">
        <v>0.0</v>
      </c>
      <c r="M160" s="19">
        <v>1.0</v>
      </c>
      <c r="N160" s="19">
        <v>0.0</v>
      </c>
      <c r="O160" s="19">
        <v>4.0</v>
      </c>
      <c r="P160" s="19">
        <v>0.0</v>
      </c>
      <c r="Q160" s="19">
        <v>0.0</v>
      </c>
      <c r="R160" s="19">
        <v>0.0</v>
      </c>
      <c r="S160" s="19">
        <v>0.0</v>
      </c>
      <c r="T160" s="19">
        <v>0.0</v>
      </c>
      <c r="U160" s="19">
        <v>0.0</v>
      </c>
      <c r="V160" s="19">
        <v>0.0</v>
      </c>
      <c r="W160" s="19">
        <v>0.0</v>
      </c>
      <c r="X160" s="19">
        <v>0.0</v>
      </c>
      <c r="Y160" s="19">
        <v>0.0</v>
      </c>
      <c r="Z160" s="19">
        <v>0.0</v>
      </c>
      <c r="AA160" s="19">
        <v>0.0</v>
      </c>
      <c r="AB160" s="19">
        <v>0.0</v>
      </c>
      <c r="AC160" s="13">
        <f t="shared" si="38"/>
        <v>6</v>
      </c>
    </row>
    <row r="161" ht="12.75" customHeight="1">
      <c r="A161" s="18"/>
      <c r="B161" s="55">
        <v>3.0</v>
      </c>
      <c r="C161" s="50" t="s">
        <v>141</v>
      </c>
      <c r="D161" s="57"/>
      <c r="E161" s="19">
        <v>0.0</v>
      </c>
      <c r="F161" s="19">
        <v>1.0</v>
      </c>
      <c r="G161" s="19">
        <v>0.0</v>
      </c>
      <c r="H161" s="19">
        <v>0.0</v>
      </c>
      <c r="I161" s="19">
        <v>0.0</v>
      </c>
      <c r="J161" s="19">
        <v>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0.0</v>
      </c>
      <c r="P161" s="19">
        <v>0.0</v>
      </c>
      <c r="Q161" s="19">
        <v>2.0</v>
      </c>
      <c r="R161" s="19">
        <v>0.0</v>
      </c>
      <c r="S161" s="19">
        <v>0.0</v>
      </c>
      <c r="T161" s="19">
        <v>0.0</v>
      </c>
      <c r="U161" s="19">
        <v>0.0</v>
      </c>
      <c r="V161" s="19">
        <v>0.0</v>
      </c>
      <c r="W161" s="19">
        <v>0.0</v>
      </c>
      <c r="X161" s="19">
        <v>0.0</v>
      </c>
      <c r="Y161" s="19">
        <v>0.0</v>
      </c>
      <c r="Z161" s="19">
        <v>0.0</v>
      </c>
      <c r="AA161" s="19">
        <v>0.0</v>
      </c>
      <c r="AB161" s="19">
        <v>0.0</v>
      </c>
      <c r="AC161" s="13">
        <f t="shared" si="38"/>
        <v>3</v>
      </c>
    </row>
    <row r="162" ht="12.75" customHeight="1">
      <c r="A162" s="18"/>
      <c r="B162" s="55">
        <v>4.0</v>
      </c>
      <c r="C162" s="50" t="s">
        <v>142</v>
      </c>
      <c r="D162" s="57"/>
      <c r="E162" s="19">
        <v>0.0</v>
      </c>
      <c r="F162" s="19">
        <v>0.0</v>
      </c>
      <c r="G162" s="19">
        <v>0.0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0.0</v>
      </c>
      <c r="R162" s="19">
        <v>0.0</v>
      </c>
      <c r="S162" s="19">
        <v>0.0</v>
      </c>
      <c r="T162" s="19">
        <v>0.0</v>
      </c>
      <c r="U162" s="19">
        <v>0.0</v>
      </c>
      <c r="V162" s="19">
        <v>0.0</v>
      </c>
      <c r="W162" s="19">
        <v>0.0</v>
      </c>
      <c r="X162" s="19">
        <v>0.0</v>
      </c>
      <c r="Y162" s="19">
        <v>0.0</v>
      </c>
      <c r="Z162" s="19">
        <v>0.0</v>
      </c>
      <c r="AA162" s="19">
        <v>0.0</v>
      </c>
      <c r="AB162" s="19">
        <v>0.0</v>
      </c>
      <c r="AC162" s="13">
        <f t="shared" si="38"/>
        <v>0</v>
      </c>
    </row>
    <row r="163" ht="12.75" customHeight="1">
      <c r="A163" s="18"/>
      <c r="B163" s="55">
        <v>5.0</v>
      </c>
      <c r="C163" s="50" t="s">
        <v>143</v>
      </c>
      <c r="D163" s="57"/>
      <c r="E163" s="19">
        <v>0.0</v>
      </c>
      <c r="F163" s="19">
        <v>0.0</v>
      </c>
      <c r="G163" s="19">
        <v>0.0</v>
      </c>
      <c r="H163" s="19">
        <v>0.0</v>
      </c>
      <c r="I163" s="19">
        <v>0.0</v>
      </c>
      <c r="J163" s="19">
        <v>0.0</v>
      </c>
      <c r="K163" s="19">
        <v>0.0</v>
      </c>
      <c r="L163" s="19">
        <v>0.0</v>
      </c>
      <c r="M163" s="19">
        <v>0.0</v>
      </c>
      <c r="N163" s="19">
        <v>0.0</v>
      </c>
      <c r="O163" s="19">
        <v>0.0</v>
      </c>
      <c r="P163" s="19">
        <v>0.0</v>
      </c>
      <c r="Q163" s="19">
        <v>0.0</v>
      </c>
      <c r="R163" s="19">
        <v>0.0</v>
      </c>
      <c r="S163" s="19">
        <v>0.0</v>
      </c>
      <c r="T163" s="19">
        <v>0.0</v>
      </c>
      <c r="U163" s="19">
        <v>0.0</v>
      </c>
      <c r="V163" s="19">
        <v>0.0</v>
      </c>
      <c r="W163" s="19">
        <v>0.0</v>
      </c>
      <c r="X163" s="19">
        <v>0.0</v>
      </c>
      <c r="Y163" s="19">
        <v>0.0</v>
      </c>
      <c r="Z163" s="19">
        <v>0.0</v>
      </c>
      <c r="AA163" s="19">
        <v>0.0</v>
      </c>
      <c r="AB163" s="19">
        <v>0.0</v>
      </c>
      <c r="AC163" s="13">
        <f t="shared" si="38"/>
        <v>0</v>
      </c>
    </row>
    <row r="164" ht="12.75" customHeight="1">
      <c r="A164" s="18"/>
      <c r="B164" s="55">
        <v>6.0</v>
      </c>
      <c r="C164" s="50" t="s">
        <v>144</v>
      </c>
      <c r="D164" s="57"/>
      <c r="E164" s="19">
        <v>0.0</v>
      </c>
      <c r="F164" s="19">
        <v>0.0</v>
      </c>
      <c r="G164" s="19">
        <v>0.0</v>
      </c>
      <c r="H164" s="19">
        <v>0.0</v>
      </c>
      <c r="I164" s="19">
        <v>0.0</v>
      </c>
      <c r="J164" s="19">
        <v>0.0</v>
      </c>
      <c r="K164" s="19">
        <v>0.0</v>
      </c>
      <c r="L164" s="19">
        <v>0.0</v>
      </c>
      <c r="M164" s="19">
        <v>0.0</v>
      </c>
      <c r="N164" s="19">
        <v>0.0</v>
      </c>
      <c r="O164" s="19">
        <v>0.0</v>
      </c>
      <c r="P164" s="19">
        <v>0.0</v>
      </c>
      <c r="Q164" s="19">
        <v>0.0</v>
      </c>
      <c r="R164" s="19">
        <v>0.0</v>
      </c>
      <c r="S164" s="19">
        <v>0.0</v>
      </c>
      <c r="T164" s="19">
        <v>0.0</v>
      </c>
      <c r="U164" s="19">
        <v>0.0</v>
      </c>
      <c r="V164" s="19">
        <v>0.0</v>
      </c>
      <c r="W164" s="19">
        <v>0.0</v>
      </c>
      <c r="X164" s="19">
        <v>0.0</v>
      </c>
      <c r="Y164" s="19">
        <v>0.0</v>
      </c>
      <c r="Z164" s="19">
        <v>0.0</v>
      </c>
      <c r="AA164" s="19">
        <v>0.0</v>
      </c>
      <c r="AB164" s="19">
        <v>0.0</v>
      </c>
      <c r="AC164" s="13">
        <f t="shared" si="38"/>
        <v>0</v>
      </c>
    </row>
    <row r="165" ht="12.75" customHeight="1">
      <c r="A165" s="18"/>
      <c r="B165" s="55">
        <v>7.0</v>
      </c>
      <c r="C165" s="50" t="s">
        <v>145</v>
      </c>
      <c r="D165" s="57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3">
        <f t="shared" si="38"/>
        <v>0</v>
      </c>
    </row>
    <row r="166" ht="12.75" customHeight="1">
      <c r="A166" s="19" t="s">
        <v>15</v>
      </c>
      <c r="B166" s="47" t="s">
        <v>47</v>
      </c>
      <c r="C166" s="15"/>
      <c r="D166" s="16"/>
      <c r="E166" s="13">
        <f t="shared" ref="E166:AC166" si="39">SUM(E158:E165)</f>
        <v>1</v>
      </c>
      <c r="F166" s="13">
        <f t="shared" si="39"/>
        <v>1</v>
      </c>
      <c r="G166" s="13">
        <f t="shared" si="39"/>
        <v>0</v>
      </c>
      <c r="H166" s="13">
        <f t="shared" si="39"/>
        <v>0</v>
      </c>
      <c r="I166" s="13">
        <f t="shared" si="39"/>
        <v>2</v>
      </c>
      <c r="J166" s="13">
        <f t="shared" si="39"/>
        <v>0</v>
      </c>
      <c r="K166" s="13">
        <f t="shared" si="39"/>
        <v>0</v>
      </c>
      <c r="L166" s="13">
        <f t="shared" si="39"/>
        <v>0</v>
      </c>
      <c r="M166" s="13">
        <f t="shared" si="39"/>
        <v>1</v>
      </c>
      <c r="N166" s="13">
        <f t="shared" si="39"/>
        <v>0</v>
      </c>
      <c r="O166" s="13">
        <f t="shared" si="39"/>
        <v>4</v>
      </c>
      <c r="P166" s="13">
        <f t="shared" si="39"/>
        <v>0</v>
      </c>
      <c r="Q166" s="13">
        <f t="shared" si="39"/>
        <v>2</v>
      </c>
      <c r="R166" s="13">
        <f t="shared" si="39"/>
        <v>0</v>
      </c>
      <c r="S166" s="13">
        <f t="shared" si="39"/>
        <v>0</v>
      </c>
      <c r="T166" s="13">
        <f t="shared" si="39"/>
        <v>0</v>
      </c>
      <c r="U166" s="13">
        <f t="shared" si="39"/>
        <v>0</v>
      </c>
      <c r="V166" s="13">
        <f t="shared" si="39"/>
        <v>0</v>
      </c>
      <c r="W166" s="13">
        <f t="shared" si="39"/>
        <v>0</v>
      </c>
      <c r="X166" s="13">
        <f t="shared" si="39"/>
        <v>0</v>
      </c>
      <c r="Y166" s="13">
        <f t="shared" si="39"/>
        <v>0</v>
      </c>
      <c r="Z166" s="13">
        <f t="shared" si="39"/>
        <v>0</v>
      </c>
      <c r="AA166" s="13">
        <f t="shared" si="39"/>
        <v>0</v>
      </c>
      <c r="AB166" s="13">
        <f t="shared" si="39"/>
        <v>0</v>
      </c>
      <c r="AC166" s="13">
        <f t="shared" si="39"/>
        <v>11</v>
      </c>
    </row>
    <row r="167" ht="12.75" customHeight="1">
      <c r="A167" s="24"/>
      <c r="B167" s="15"/>
      <c r="C167" s="15"/>
      <c r="D167" s="15"/>
      <c r="E167" s="16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</row>
    <row r="168" ht="12.75" customHeight="1">
      <c r="A168" s="30" t="s">
        <v>37</v>
      </c>
      <c r="B168" s="47" t="s">
        <v>146</v>
      </c>
      <c r="C168" s="48" t="s">
        <v>147</v>
      </c>
      <c r="D168" s="16"/>
      <c r="E168" s="19">
        <v>3.0</v>
      </c>
      <c r="F168" s="19">
        <v>1.0</v>
      </c>
      <c r="G168" s="19">
        <v>3.0</v>
      </c>
      <c r="H168" s="19">
        <v>6.0</v>
      </c>
      <c r="I168" s="19">
        <v>1.0</v>
      </c>
      <c r="J168" s="19">
        <v>1.0</v>
      </c>
      <c r="K168" s="19">
        <v>3.0</v>
      </c>
      <c r="L168" s="19">
        <v>2.0</v>
      </c>
      <c r="M168" s="19">
        <v>1.0</v>
      </c>
      <c r="N168" s="19">
        <v>3.0</v>
      </c>
      <c r="O168" s="19">
        <v>1.0</v>
      </c>
      <c r="P168" s="19">
        <v>1.0</v>
      </c>
      <c r="Q168" s="19">
        <v>2.0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1.0</v>
      </c>
      <c r="Y168" s="19">
        <v>1.0</v>
      </c>
      <c r="Z168" s="19">
        <v>0.0</v>
      </c>
      <c r="AA168" s="19">
        <v>2.0</v>
      </c>
      <c r="AB168" s="19">
        <v>0.0</v>
      </c>
      <c r="AC168" s="13">
        <f t="shared" ref="AC168:AC175" si="40">SUM(E168:AB168)</f>
        <v>32</v>
      </c>
    </row>
    <row r="169" ht="12.75" customHeight="1">
      <c r="A169" s="30" t="s">
        <v>39</v>
      </c>
      <c r="B169" s="55">
        <v>1.0</v>
      </c>
      <c r="C169" s="50" t="s">
        <v>148</v>
      </c>
      <c r="D169" s="57"/>
      <c r="E169" s="19">
        <v>0.0</v>
      </c>
      <c r="F169" s="19">
        <v>3.0</v>
      </c>
      <c r="G169" s="19">
        <v>4.0</v>
      </c>
      <c r="H169" s="19">
        <v>13.0</v>
      </c>
      <c r="I169" s="19">
        <v>3.0</v>
      </c>
      <c r="J169" s="19">
        <v>6.0</v>
      </c>
      <c r="K169" s="19">
        <v>4.0</v>
      </c>
      <c r="L169" s="19">
        <v>4.0</v>
      </c>
      <c r="M169" s="19">
        <v>1.0</v>
      </c>
      <c r="N169" s="19">
        <v>1.0</v>
      </c>
      <c r="O169" s="19">
        <v>4.0</v>
      </c>
      <c r="P169" s="19">
        <v>3.0</v>
      </c>
      <c r="Q169" s="19">
        <v>2.0</v>
      </c>
      <c r="R169" s="19">
        <v>2.0</v>
      </c>
      <c r="S169" s="19">
        <v>1.0</v>
      </c>
      <c r="T169" s="19">
        <v>1.0</v>
      </c>
      <c r="U169" s="19">
        <v>1.0</v>
      </c>
      <c r="V169" s="19">
        <v>1.0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1.0</v>
      </c>
      <c r="AC169" s="13">
        <f t="shared" si="40"/>
        <v>55</v>
      </c>
    </row>
    <row r="170" ht="12.75" customHeight="1">
      <c r="A170" s="18"/>
      <c r="B170" s="55">
        <v>2.0</v>
      </c>
      <c r="C170" s="50" t="s">
        <v>149</v>
      </c>
      <c r="D170" s="57"/>
      <c r="E170" s="19">
        <v>1.0</v>
      </c>
      <c r="F170" s="19">
        <v>1.0</v>
      </c>
      <c r="G170" s="19">
        <v>1.0</v>
      </c>
      <c r="H170" s="19">
        <v>2.0</v>
      </c>
      <c r="I170" s="19">
        <v>1.0</v>
      </c>
      <c r="J170" s="19">
        <v>0.0</v>
      </c>
      <c r="K170" s="19">
        <v>0.0</v>
      </c>
      <c r="L170" s="19">
        <v>1.0</v>
      </c>
      <c r="M170" s="19">
        <v>3.0</v>
      </c>
      <c r="N170" s="19">
        <v>2.0</v>
      </c>
      <c r="O170" s="19">
        <v>2.0</v>
      </c>
      <c r="P170" s="19">
        <v>1.0</v>
      </c>
      <c r="Q170" s="19">
        <v>1.0</v>
      </c>
      <c r="R170" s="19">
        <v>0.0</v>
      </c>
      <c r="S170" s="19">
        <v>0.0</v>
      </c>
      <c r="T170" s="19">
        <v>1.0</v>
      </c>
      <c r="U170" s="19">
        <v>1.0</v>
      </c>
      <c r="V170" s="19">
        <v>1.0</v>
      </c>
      <c r="W170" s="19">
        <v>5.0</v>
      </c>
      <c r="X170" s="19">
        <v>1.0</v>
      </c>
      <c r="Y170" s="19">
        <v>0.0</v>
      </c>
      <c r="Z170" s="19">
        <v>0.0</v>
      </c>
      <c r="AA170" s="19">
        <v>0.0</v>
      </c>
      <c r="AB170" s="19">
        <v>3.0</v>
      </c>
      <c r="AC170" s="13">
        <f t="shared" si="40"/>
        <v>28</v>
      </c>
    </row>
    <row r="171" ht="12.75" customHeight="1">
      <c r="A171" s="18"/>
      <c r="B171" s="55">
        <v>3.0</v>
      </c>
      <c r="C171" s="50" t="s">
        <v>150</v>
      </c>
      <c r="D171" s="57"/>
      <c r="E171" s="19">
        <v>1.0</v>
      </c>
      <c r="F171" s="19">
        <v>1.0</v>
      </c>
      <c r="G171" s="19">
        <v>0.0</v>
      </c>
      <c r="H171" s="19">
        <v>0.0</v>
      </c>
      <c r="I171" s="19">
        <v>1.0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1.0</v>
      </c>
      <c r="S171" s="19">
        <v>0.0</v>
      </c>
      <c r="T171" s="19">
        <v>1.0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7.0</v>
      </c>
      <c r="AC171" s="13">
        <f t="shared" si="40"/>
        <v>12</v>
      </c>
    </row>
    <row r="172" ht="12.75" customHeight="1">
      <c r="A172" s="18"/>
      <c r="B172" s="55">
        <v>4.0</v>
      </c>
      <c r="C172" s="50" t="s">
        <v>151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5.0</v>
      </c>
      <c r="J172" s="19">
        <v>0.0</v>
      </c>
      <c r="K172" s="19">
        <v>1.0</v>
      </c>
      <c r="L172" s="19">
        <v>2.0</v>
      </c>
      <c r="M172" s="19">
        <v>1.0</v>
      </c>
      <c r="N172" s="19">
        <v>5.0</v>
      </c>
      <c r="O172" s="19">
        <v>3.0</v>
      </c>
      <c r="P172" s="19">
        <v>0.0</v>
      </c>
      <c r="Q172" s="19">
        <v>2.0</v>
      </c>
      <c r="R172" s="19">
        <v>1.0</v>
      </c>
      <c r="S172" s="19">
        <v>0.0</v>
      </c>
      <c r="T172" s="19">
        <v>0.0</v>
      </c>
      <c r="U172" s="19">
        <v>2.0</v>
      </c>
      <c r="V172" s="19">
        <v>0.0</v>
      </c>
      <c r="W172" s="19">
        <v>0.0</v>
      </c>
      <c r="X172" s="19">
        <v>0.0</v>
      </c>
      <c r="Y172" s="19">
        <v>0.0</v>
      </c>
      <c r="Z172" s="19">
        <v>1.0</v>
      </c>
      <c r="AA172" s="19">
        <v>0.0</v>
      </c>
      <c r="AB172" s="19">
        <v>0.0</v>
      </c>
      <c r="AC172" s="13">
        <f t="shared" si="40"/>
        <v>23</v>
      </c>
    </row>
    <row r="173" ht="12.75" customHeight="1">
      <c r="A173" s="18"/>
      <c r="B173" s="55">
        <v>5.0</v>
      </c>
      <c r="C173" s="50" t="s">
        <v>152</v>
      </c>
      <c r="D173" s="57"/>
      <c r="E173" s="19">
        <v>1.0</v>
      </c>
      <c r="F173" s="19">
        <v>0.0</v>
      </c>
      <c r="G173" s="19">
        <v>0.0</v>
      </c>
      <c r="H173" s="19">
        <v>1.0</v>
      </c>
      <c r="I173" s="19">
        <v>0.0</v>
      </c>
      <c r="J173" s="19">
        <v>0.0</v>
      </c>
      <c r="K173" s="19">
        <v>0.0</v>
      </c>
      <c r="L173" s="19">
        <v>0.0</v>
      </c>
      <c r="M173" s="19">
        <v>1.0</v>
      </c>
      <c r="N173" s="19">
        <v>0.0</v>
      </c>
      <c r="O173" s="19">
        <v>0.0</v>
      </c>
      <c r="P173" s="19">
        <v>0.0</v>
      </c>
      <c r="Q173" s="19">
        <v>1.0</v>
      </c>
      <c r="R173" s="19">
        <v>0.0</v>
      </c>
      <c r="S173" s="19">
        <v>0.0</v>
      </c>
      <c r="T173" s="19">
        <v>0.0</v>
      </c>
      <c r="U173" s="19">
        <v>0.0</v>
      </c>
      <c r="V173" s="19">
        <v>0.0</v>
      </c>
      <c r="W173" s="19">
        <v>0.0</v>
      </c>
      <c r="X173" s="19">
        <v>0.0</v>
      </c>
      <c r="Y173" s="19">
        <v>0.0</v>
      </c>
      <c r="Z173" s="19">
        <v>0.0</v>
      </c>
      <c r="AA173" s="19">
        <v>0.0</v>
      </c>
      <c r="AB173" s="19">
        <v>0.0</v>
      </c>
      <c r="AC173" s="13">
        <f t="shared" si="40"/>
        <v>4</v>
      </c>
    </row>
    <row r="174" ht="12.75" customHeight="1">
      <c r="A174" s="18"/>
      <c r="B174" s="55">
        <v>6.0</v>
      </c>
      <c r="C174" s="50" t="s">
        <v>153</v>
      </c>
      <c r="D174" s="57"/>
      <c r="E174" s="19">
        <v>0.0</v>
      </c>
      <c r="F174" s="19">
        <v>0.0</v>
      </c>
      <c r="G174" s="19">
        <v>0.0</v>
      </c>
      <c r="H174" s="19">
        <v>0.0</v>
      </c>
      <c r="I174" s="19">
        <v>0.0</v>
      </c>
      <c r="J174" s="19">
        <v>0.0</v>
      </c>
      <c r="K174" s="19">
        <v>0.0</v>
      </c>
      <c r="L174" s="19">
        <v>0.0</v>
      </c>
      <c r="M174" s="19">
        <v>0.0</v>
      </c>
      <c r="N174" s="19">
        <v>1.0</v>
      </c>
      <c r="O174" s="19">
        <v>0.0</v>
      </c>
      <c r="P174" s="19">
        <v>0.0</v>
      </c>
      <c r="Q174" s="19">
        <v>1.0</v>
      </c>
      <c r="R174" s="19">
        <v>0.0</v>
      </c>
      <c r="S174" s="19">
        <v>0.0</v>
      </c>
      <c r="T174" s="19">
        <v>0.0</v>
      </c>
      <c r="U174" s="19">
        <v>0.0</v>
      </c>
      <c r="V174" s="19">
        <v>0.0</v>
      </c>
      <c r="W174" s="19">
        <v>0.0</v>
      </c>
      <c r="X174" s="19">
        <v>0.0</v>
      </c>
      <c r="Y174" s="19">
        <v>0.0</v>
      </c>
      <c r="Z174" s="19">
        <v>0.0</v>
      </c>
      <c r="AA174" s="19">
        <v>1.0</v>
      </c>
      <c r="AB174" s="19">
        <v>0.0</v>
      </c>
      <c r="AC174" s="13">
        <f t="shared" si="40"/>
        <v>3</v>
      </c>
    </row>
    <row r="175" ht="12.75" customHeight="1">
      <c r="A175" s="18"/>
      <c r="B175" s="55">
        <v>7.0</v>
      </c>
      <c r="C175" s="50" t="s">
        <v>154</v>
      </c>
      <c r="D175" s="57"/>
      <c r="E175" s="19">
        <v>0.0</v>
      </c>
      <c r="F175" s="19">
        <v>0.0</v>
      </c>
      <c r="G175" s="19">
        <v>0.0</v>
      </c>
      <c r="H175" s="19">
        <v>0.0</v>
      </c>
      <c r="I175" s="19">
        <v>0.0</v>
      </c>
      <c r="J175" s="19">
        <v>0.0</v>
      </c>
      <c r="K175" s="19">
        <v>0.0</v>
      </c>
      <c r="L175" s="19">
        <v>0.0</v>
      </c>
      <c r="M175" s="19">
        <v>0.0</v>
      </c>
      <c r="N175" s="19">
        <v>0.0</v>
      </c>
      <c r="O175" s="19">
        <v>0.0</v>
      </c>
      <c r="P175" s="19">
        <v>0.0</v>
      </c>
      <c r="Q175" s="19">
        <v>1.0</v>
      </c>
      <c r="R175" s="19">
        <v>0.0</v>
      </c>
      <c r="S175" s="19">
        <v>0.0</v>
      </c>
      <c r="T175" s="19">
        <v>0.0</v>
      </c>
      <c r="U175" s="19">
        <v>0.0</v>
      </c>
      <c r="V175" s="19">
        <v>0.0</v>
      </c>
      <c r="W175" s="19">
        <v>0.0</v>
      </c>
      <c r="X175" s="19">
        <v>0.0</v>
      </c>
      <c r="Y175" s="19">
        <v>0.0</v>
      </c>
      <c r="Z175" s="19">
        <v>0.0</v>
      </c>
      <c r="AA175" s="19">
        <v>0.0</v>
      </c>
      <c r="AB175" s="19">
        <v>0.0</v>
      </c>
      <c r="AC175" s="13">
        <f t="shared" si="40"/>
        <v>1</v>
      </c>
    </row>
    <row r="176" ht="12.75" customHeight="1">
      <c r="A176" s="19" t="s">
        <v>15</v>
      </c>
      <c r="B176" s="47" t="s">
        <v>47</v>
      </c>
      <c r="C176" s="15"/>
      <c r="D176" s="16"/>
      <c r="E176" s="13">
        <f t="shared" ref="E176:AC176" si="41">SUM(E168:E175)</f>
        <v>6</v>
      </c>
      <c r="F176" s="13">
        <f t="shared" si="41"/>
        <v>6</v>
      </c>
      <c r="G176" s="13">
        <f t="shared" si="41"/>
        <v>8</v>
      </c>
      <c r="H176" s="13">
        <f t="shared" si="41"/>
        <v>22</v>
      </c>
      <c r="I176" s="13">
        <f t="shared" si="41"/>
        <v>11</v>
      </c>
      <c r="J176" s="13">
        <f t="shared" si="41"/>
        <v>7</v>
      </c>
      <c r="K176" s="13">
        <f t="shared" si="41"/>
        <v>8</v>
      </c>
      <c r="L176" s="13">
        <f t="shared" si="41"/>
        <v>9</v>
      </c>
      <c r="M176" s="13">
        <f t="shared" si="41"/>
        <v>7</v>
      </c>
      <c r="N176" s="13">
        <f t="shared" si="41"/>
        <v>12</v>
      </c>
      <c r="O176" s="13">
        <f t="shared" si="41"/>
        <v>10</v>
      </c>
      <c r="P176" s="13">
        <f t="shared" si="41"/>
        <v>5</v>
      </c>
      <c r="Q176" s="13">
        <f t="shared" si="41"/>
        <v>10</v>
      </c>
      <c r="R176" s="13">
        <f t="shared" si="41"/>
        <v>4</v>
      </c>
      <c r="S176" s="13">
        <f t="shared" si="41"/>
        <v>1</v>
      </c>
      <c r="T176" s="13">
        <f t="shared" si="41"/>
        <v>3</v>
      </c>
      <c r="U176" s="13">
        <f t="shared" si="41"/>
        <v>4</v>
      </c>
      <c r="V176" s="13">
        <f t="shared" si="41"/>
        <v>2</v>
      </c>
      <c r="W176" s="13">
        <f t="shared" si="41"/>
        <v>5</v>
      </c>
      <c r="X176" s="13">
        <f t="shared" si="41"/>
        <v>2</v>
      </c>
      <c r="Y176" s="13">
        <f t="shared" si="41"/>
        <v>1</v>
      </c>
      <c r="Z176" s="13">
        <f t="shared" si="41"/>
        <v>1</v>
      </c>
      <c r="AA176" s="13">
        <f t="shared" si="41"/>
        <v>3</v>
      </c>
      <c r="AB176" s="13">
        <f t="shared" si="41"/>
        <v>11</v>
      </c>
      <c r="AC176" s="13">
        <f t="shared" si="41"/>
        <v>158</v>
      </c>
    </row>
    <row r="177" ht="12.75" customHeight="1">
      <c r="A177" s="24"/>
      <c r="B177" s="15"/>
      <c r="C177" s="15"/>
      <c r="D177" s="15"/>
      <c r="E177" s="16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</row>
    <row r="178" ht="12.75" customHeight="1">
      <c r="A178" s="30" t="s">
        <v>37</v>
      </c>
      <c r="B178" s="47" t="s">
        <v>155</v>
      </c>
      <c r="C178" s="48" t="s">
        <v>156</v>
      </c>
      <c r="D178" s="16"/>
      <c r="E178" s="19">
        <v>3.0</v>
      </c>
      <c r="F178" s="19">
        <v>0.0</v>
      </c>
      <c r="G178" s="19">
        <v>0.0</v>
      </c>
      <c r="H178" s="19">
        <v>1.0</v>
      </c>
      <c r="I178" s="19">
        <v>1.0</v>
      </c>
      <c r="J178" s="19">
        <v>3.0</v>
      </c>
      <c r="K178" s="19">
        <v>0.0</v>
      </c>
      <c r="L178" s="19">
        <v>0.0</v>
      </c>
      <c r="M178" s="19">
        <v>0.0</v>
      </c>
      <c r="N178" s="19">
        <v>1.0</v>
      </c>
      <c r="O178" s="19">
        <v>0.0</v>
      </c>
      <c r="P178" s="19">
        <v>1.0</v>
      </c>
      <c r="Q178" s="19">
        <v>1.0</v>
      </c>
      <c r="R178" s="19">
        <v>2.0</v>
      </c>
      <c r="S178" s="19">
        <v>4.0</v>
      </c>
      <c r="T178" s="19">
        <v>0.0</v>
      </c>
      <c r="U178" s="19">
        <v>0.0</v>
      </c>
      <c r="V178" s="19">
        <v>0.0</v>
      </c>
      <c r="W178" s="19">
        <v>0.0</v>
      </c>
      <c r="X178" s="19">
        <v>3.0</v>
      </c>
      <c r="Y178" s="19">
        <v>3.0</v>
      </c>
      <c r="Z178" s="19">
        <v>1.0</v>
      </c>
      <c r="AA178" s="19">
        <v>0.0</v>
      </c>
      <c r="AB178" s="19">
        <v>0.0</v>
      </c>
      <c r="AC178" s="13">
        <f t="shared" ref="AC178:AC185" si="42">SUM(E178:AB178)</f>
        <v>24</v>
      </c>
    </row>
    <row r="179" ht="12.75" customHeight="1">
      <c r="A179" s="30" t="s">
        <v>39</v>
      </c>
      <c r="B179" s="55">
        <v>1.0</v>
      </c>
      <c r="C179" s="50" t="s">
        <v>157</v>
      </c>
      <c r="D179" s="56"/>
      <c r="E179" s="19">
        <v>2.0</v>
      </c>
      <c r="F179" s="19">
        <v>4.0</v>
      </c>
      <c r="G179" s="19">
        <v>0.0</v>
      </c>
      <c r="H179" s="19">
        <v>4.0</v>
      </c>
      <c r="I179" s="19">
        <v>2.0</v>
      </c>
      <c r="J179" s="19">
        <v>4.0</v>
      </c>
      <c r="K179" s="19">
        <v>14.0</v>
      </c>
      <c r="L179" s="19">
        <v>1.0</v>
      </c>
      <c r="M179" s="19">
        <v>1.0</v>
      </c>
      <c r="N179" s="19">
        <v>1.0</v>
      </c>
      <c r="O179" s="19">
        <v>4.0</v>
      </c>
      <c r="P179" s="19">
        <v>1.0</v>
      </c>
      <c r="Q179" s="19">
        <v>1.0</v>
      </c>
      <c r="R179" s="19">
        <v>1.0</v>
      </c>
      <c r="S179" s="19">
        <v>0.0</v>
      </c>
      <c r="T179" s="19">
        <v>1.0</v>
      </c>
      <c r="U179" s="19">
        <v>1.0</v>
      </c>
      <c r="V179" s="19">
        <v>8.0</v>
      </c>
      <c r="W179" s="19">
        <v>1.0</v>
      </c>
      <c r="X179" s="19">
        <v>2.0</v>
      </c>
      <c r="Y179" s="19">
        <v>3.0</v>
      </c>
      <c r="Z179" s="19">
        <v>4.0</v>
      </c>
      <c r="AA179" s="19">
        <v>1.0</v>
      </c>
      <c r="AB179" s="19">
        <v>9.0</v>
      </c>
      <c r="AC179" s="13">
        <f t="shared" si="42"/>
        <v>70</v>
      </c>
    </row>
    <row r="180" ht="12.75" customHeight="1">
      <c r="A180" s="18"/>
      <c r="B180" s="55">
        <v>2.0</v>
      </c>
      <c r="C180" s="50" t="s">
        <v>158</v>
      </c>
      <c r="D180" s="56"/>
      <c r="E180" s="19">
        <v>1.0</v>
      </c>
      <c r="F180" s="19">
        <v>0.0</v>
      </c>
      <c r="G180" s="19">
        <v>1.0</v>
      </c>
      <c r="H180" s="19">
        <v>1.0</v>
      </c>
      <c r="I180" s="19">
        <v>2.0</v>
      </c>
      <c r="J180" s="19">
        <v>0.0</v>
      </c>
      <c r="K180" s="19">
        <v>1.0</v>
      </c>
      <c r="L180" s="19">
        <v>1.0</v>
      </c>
      <c r="M180" s="19">
        <v>2.0</v>
      </c>
      <c r="N180" s="19">
        <v>0.0</v>
      </c>
      <c r="O180" s="19">
        <v>0.0</v>
      </c>
      <c r="P180" s="19">
        <v>0.0</v>
      </c>
      <c r="Q180" s="19">
        <v>2.0</v>
      </c>
      <c r="R180" s="19">
        <v>1.0</v>
      </c>
      <c r="S180" s="19">
        <v>1.0</v>
      </c>
      <c r="T180" s="19">
        <v>0.0</v>
      </c>
      <c r="U180" s="19">
        <v>0.0</v>
      </c>
      <c r="V180" s="19">
        <v>1.0</v>
      </c>
      <c r="W180" s="19">
        <v>0.0</v>
      </c>
      <c r="X180" s="19">
        <v>1.0</v>
      </c>
      <c r="Y180" s="19">
        <v>0.0</v>
      </c>
      <c r="Z180" s="19">
        <v>0.0</v>
      </c>
      <c r="AA180" s="19">
        <v>1.0</v>
      </c>
      <c r="AB180" s="19">
        <v>0.0</v>
      </c>
      <c r="AC180" s="13">
        <f t="shared" si="42"/>
        <v>16</v>
      </c>
    </row>
    <row r="181" ht="12.75" customHeight="1">
      <c r="A181" s="18"/>
      <c r="B181" s="55">
        <v>3.0</v>
      </c>
      <c r="C181" s="63" t="s">
        <v>159</v>
      </c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1.0</v>
      </c>
      <c r="P181" s="19">
        <v>0.0</v>
      </c>
      <c r="Q181" s="19">
        <v>0.0</v>
      </c>
      <c r="R181" s="19">
        <v>0.0</v>
      </c>
      <c r="S181" s="19">
        <v>1.0</v>
      </c>
      <c r="T181" s="19">
        <v>0.0</v>
      </c>
      <c r="U181" s="19">
        <v>0.0</v>
      </c>
      <c r="V181" s="19">
        <v>0.0</v>
      </c>
      <c r="W181" s="19">
        <v>0.0</v>
      </c>
      <c r="X181" s="19">
        <v>1.0</v>
      </c>
      <c r="Y181" s="19">
        <v>0.0</v>
      </c>
      <c r="Z181" s="19">
        <v>0.0</v>
      </c>
      <c r="AA181" s="19">
        <v>0.0</v>
      </c>
      <c r="AB181" s="19">
        <v>0.0</v>
      </c>
      <c r="AC181" s="13">
        <f t="shared" si="42"/>
        <v>3</v>
      </c>
    </row>
    <row r="182" ht="12.75" customHeight="1">
      <c r="A182" s="18"/>
      <c r="B182" s="55">
        <v>4.0</v>
      </c>
      <c r="C182" s="50" t="s">
        <v>160</v>
      </c>
      <c r="D182" s="56"/>
      <c r="E182" s="19">
        <v>1.0</v>
      </c>
      <c r="F182" s="19">
        <v>0.0</v>
      </c>
      <c r="G182" s="19">
        <v>0.0</v>
      </c>
      <c r="H182" s="19">
        <v>0.0</v>
      </c>
      <c r="I182" s="19">
        <v>0.0</v>
      </c>
      <c r="J182" s="19">
        <v>1.0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1.0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3">
        <f t="shared" si="42"/>
        <v>3</v>
      </c>
    </row>
    <row r="183" ht="12.75" customHeight="1">
      <c r="A183" s="18"/>
      <c r="B183" s="55">
        <v>5.0</v>
      </c>
      <c r="C183" s="50" t="s">
        <v>161</v>
      </c>
      <c r="D183" s="56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1.0</v>
      </c>
      <c r="Z183" s="19">
        <v>0.0</v>
      </c>
      <c r="AA183" s="19">
        <v>0.0</v>
      </c>
      <c r="AB183" s="19">
        <v>0.0</v>
      </c>
      <c r="AC183" s="13">
        <f t="shared" si="42"/>
        <v>1</v>
      </c>
    </row>
    <row r="184" ht="12.75" customHeight="1">
      <c r="A184" s="18"/>
      <c r="B184" s="55">
        <v>6.0</v>
      </c>
      <c r="C184" s="50" t="s">
        <v>162</v>
      </c>
      <c r="D184" s="56"/>
      <c r="E184" s="19">
        <v>0.0</v>
      </c>
      <c r="F184" s="19">
        <v>0.0</v>
      </c>
      <c r="G184" s="19">
        <v>0.0</v>
      </c>
      <c r="H184" s="19">
        <v>1.0</v>
      </c>
      <c r="I184" s="19">
        <v>1.0</v>
      </c>
      <c r="J184" s="19">
        <v>0.0</v>
      </c>
      <c r="K184" s="19">
        <v>2.0</v>
      </c>
      <c r="L184" s="19">
        <v>0.0</v>
      </c>
      <c r="M184" s="19">
        <v>0.0</v>
      </c>
      <c r="N184" s="19">
        <v>0.0</v>
      </c>
      <c r="O184" s="19">
        <v>0.0</v>
      </c>
      <c r="P184" s="19">
        <v>2.0</v>
      </c>
      <c r="Q184" s="19">
        <v>0.0</v>
      </c>
      <c r="R184" s="19">
        <v>1.0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3">
        <f t="shared" si="42"/>
        <v>7</v>
      </c>
    </row>
    <row r="185" ht="12.75" customHeight="1">
      <c r="A185" s="18"/>
      <c r="B185" s="55">
        <v>7.0</v>
      </c>
      <c r="C185" s="50" t="s">
        <v>163</v>
      </c>
      <c r="D185" s="56"/>
      <c r="E185" s="19">
        <v>0.0</v>
      </c>
      <c r="F185" s="19">
        <v>0.0</v>
      </c>
      <c r="G185" s="19">
        <v>0.0</v>
      </c>
      <c r="H185" s="19">
        <v>0.0</v>
      </c>
      <c r="I185" s="19">
        <v>0.0</v>
      </c>
      <c r="J185" s="19">
        <v>0.0</v>
      </c>
      <c r="K185" s="19">
        <v>0.0</v>
      </c>
      <c r="L185" s="19">
        <v>0.0</v>
      </c>
      <c r="M185" s="19">
        <v>0.0</v>
      </c>
      <c r="N185" s="19">
        <v>0.0</v>
      </c>
      <c r="O185" s="19">
        <v>0.0</v>
      </c>
      <c r="P185" s="19">
        <v>0.0</v>
      </c>
      <c r="Q185" s="19">
        <v>0.0</v>
      </c>
      <c r="R185" s="19">
        <v>0.0</v>
      </c>
      <c r="S185" s="19">
        <v>0.0</v>
      </c>
      <c r="T185" s="19">
        <v>0.0</v>
      </c>
      <c r="U185" s="19">
        <v>0.0</v>
      </c>
      <c r="V185" s="19">
        <v>2.0</v>
      </c>
      <c r="W185" s="19">
        <v>0.0</v>
      </c>
      <c r="X185" s="19">
        <v>0.0</v>
      </c>
      <c r="Y185" s="19">
        <v>0.0</v>
      </c>
      <c r="Z185" s="19">
        <v>0.0</v>
      </c>
      <c r="AA185" s="19">
        <v>1.0</v>
      </c>
      <c r="AB185" s="19">
        <v>0.0</v>
      </c>
      <c r="AC185" s="13">
        <f t="shared" si="42"/>
        <v>3</v>
      </c>
    </row>
    <row r="186" ht="12.75" customHeight="1">
      <c r="A186" s="19" t="s">
        <v>15</v>
      </c>
      <c r="B186" s="47" t="s">
        <v>47</v>
      </c>
      <c r="C186" s="15"/>
      <c r="D186" s="16"/>
      <c r="E186" s="13">
        <f t="shared" ref="E186:AC186" si="43">SUM(E178:E185)</f>
        <v>7</v>
      </c>
      <c r="F186" s="13">
        <f t="shared" si="43"/>
        <v>4</v>
      </c>
      <c r="G186" s="13">
        <f t="shared" si="43"/>
        <v>1</v>
      </c>
      <c r="H186" s="13">
        <f t="shared" si="43"/>
        <v>7</v>
      </c>
      <c r="I186" s="13">
        <f t="shared" si="43"/>
        <v>6</v>
      </c>
      <c r="J186" s="13">
        <f t="shared" si="43"/>
        <v>8</v>
      </c>
      <c r="K186" s="13">
        <f t="shared" si="43"/>
        <v>17</v>
      </c>
      <c r="L186" s="13">
        <f t="shared" si="43"/>
        <v>2</v>
      </c>
      <c r="M186" s="13">
        <f t="shared" si="43"/>
        <v>3</v>
      </c>
      <c r="N186" s="13">
        <f t="shared" si="43"/>
        <v>2</v>
      </c>
      <c r="O186" s="13">
        <f t="shared" si="43"/>
        <v>5</v>
      </c>
      <c r="P186" s="13">
        <f t="shared" si="43"/>
        <v>4</v>
      </c>
      <c r="Q186" s="13">
        <f t="shared" si="43"/>
        <v>4</v>
      </c>
      <c r="R186" s="13">
        <f t="shared" si="43"/>
        <v>6</v>
      </c>
      <c r="S186" s="13">
        <f t="shared" si="43"/>
        <v>6</v>
      </c>
      <c r="T186" s="13">
        <f t="shared" si="43"/>
        <v>1</v>
      </c>
      <c r="U186" s="13">
        <f t="shared" si="43"/>
        <v>1</v>
      </c>
      <c r="V186" s="13">
        <f t="shared" si="43"/>
        <v>11</v>
      </c>
      <c r="W186" s="13">
        <f t="shared" si="43"/>
        <v>1</v>
      </c>
      <c r="X186" s="13">
        <f t="shared" si="43"/>
        <v>7</v>
      </c>
      <c r="Y186" s="13">
        <f t="shared" si="43"/>
        <v>7</v>
      </c>
      <c r="Z186" s="13">
        <f t="shared" si="43"/>
        <v>5</v>
      </c>
      <c r="AA186" s="13">
        <f t="shared" si="43"/>
        <v>3</v>
      </c>
      <c r="AB186" s="13">
        <f t="shared" si="43"/>
        <v>9</v>
      </c>
      <c r="AC186" s="13">
        <f t="shared" si="43"/>
        <v>127</v>
      </c>
    </row>
    <row r="187" ht="12.75" customHeight="1">
      <c r="A187" s="24"/>
      <c r="B187" s="15"/>
      <c r="C187" s="15"/>
      <c r="D187" s="15"/>
      <c r="E187" s="16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</row>
    <row r="188" ht="12.75" customHeight="1">
      <c r="A188" s="30" t="s">
        <v>37</v>
      </c>
      <c r="B188" s="47" t="s">
        <v>164</v>
      </c>
      <c r="C188" s="48" t="s">
        <v>165</v>
      </c>
      <c r="D188" s="16"/>
      <c r="E188" s="19">
        <v>0.0</v>
      </c>
      <c r="F188" s="19">
        <v>0.0</v>
      </c>
      <c r="G188" s="19">
        <v>0.0</v>
      </c>
      <c r="H188" s="19">
        <v>0.0</v>
      </c>
      <c r="I188" s="19">
        <v>1.0</v>
      </c>
      <c r="J188" s="19">
        <v>1.0</v>
      </c>
      <c r="K188" s="19">
        <v>0.0</v>
      </c>
      <c r="L188" s="19">
        <v>0.0</v>
      </c>
      <c r="M188" s="19">
        <v>0.0</v>
      </c>
      <c r="N188" s="19">
        <v>1.0</v>
      </c>
      <c r="O188" s="19">
        <v>0.0</v>
      </c>
      <c r="P188" s="19">
        <v>0.0</v>
      </c>
      <c r="Q188" s="19">
        <v>0.0</v>
      </c>
      <c r="R188" s="19">
        <v>1.0</v>
      </c>
      <c r="S188" s="19">
        <v>0.0</v>
      </c>
      <c r="T188" s="19"/>
      <c r="U188" s="19"/>
      <c r="V188" s="19"/>
      <c r="W188" s="19"/>
      <c r="X188" s="19"/>
      <c r="Y188" s="19"/>
      <c r="Z188" s="19"/>
      <c r="AA188" s="19"/>
      <c r="AB188" s="19"/>
      <c r="AC188" s="13">
        <f t="shared" ref="AC188:AC195" si="44">SUM(E188:AB188)</f>
        <v>4</v>
      </c>
    </row>
    <row r="189" ht="12.75" customHeight="1">
      <c r="A189" s="30" t="s">
        <v>39</v>
      </c>
      <c r="B189" s="55">
        <v>1.0</v>
      </c>
      <c r="C189" s="50" t="s">
        <v>166</v>
      </c>
      <c r="D189" s="57"/>
      <c r="E189" s="19">
        <v>1.0</v>
      </c>
      <c r="F189" s="19">
        <v>0.0</v>
      </c>
      <c r="G189" s="19">
        <v>1.0</v>
      </c>
      <c r="H189" s="19">
        <v>0.0</v>
      </c>
      <c r="I189" s="19">
        <v>0.0</v>
      </c>
      <c r="J189" s="19">
        <v>0.0</v>
      </c>
      <c r="K189" s="19">
        <v>1.0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/>
      <c r="U189" s="19"/>
      <c r="V189" s="19"/>
      <c r="W189" s="19"/>
      <c r="X189" s="19"/>
      <c r="Y189" s="19"/>
      <c r="Z189" s="19"/>
      <c r="AA189" s="19"/>
      <c r="AB189" s="19"/>
      <c r="AC189" s="13">
        <f t="shared" si="44"/>
        <v>3</v>
      </c>
    </row>
    <row r="190" ht="12.75" customHeight="1">
      <c r="A190" s="18"/>
      <c r="B190" s="55">
        <v>2.0</v>
      </c>
      <c r="C190" s="50" t="s">
        <v>167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1.0</v>
      </c>
      <c r="K190" s="19">
        <v>1.0</v>
      </c>
      <c r="L190" s="19">
        <v>0.0</v>
      </c>
      <c r="M190" s="19">
        <v>0.0</v>
      </c>
      <c r="N190" s="19">
        <v>0.0</v>
      </c>
      <c r="O190" s="19">
        <v>1.0</v>
      </c>
      <c r="P190" s="19">
        <v>0.0</v>
      </c>
      <c r="Q190" s="19">
        <v>0.0</v>
      </c>
      <c r="R190" s="19">
        <v>0.0</v>
      </c>
      <c r="S190" s="19">
        <v>0.0</v>
      </c>
      <c r="T190" s="19"/>
      <c r="U190" s="19"/>
      <c r="V190" s="19"/>
      <c r="W190" s="19"/>
      <c r="X190" s="19"/>
      <c r="Y190" s="19"/>
      <c r="Z190" s="19"/>
      <c r="AA190" s="19"/>
      <c r="AB190" s="19"/>
      <c r="AC190" s="13">
        <f t="shared" si="44"/>
        <v>3</v>
      </c>
    </row>
    <row r="191" ht="12.75" customHeight="1">
      <c r="A191" s="18"/>
      <c r="B191" s="55">
        <v>3.0</v>
      </c>
      <c r="C191" s="50" t="s">
        <v>168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1.0</v>
      </c>
      <c r="M191" s="19">
        <v>0.0</v>
      </c>
      <c r="N191" s="19">
        <v>2.0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/>
      <c r="U191" s="19"/>
      <c r="V191" s="19"/>
      <c r="W191" s="19"/>
      <c r="X191" s="19"/>
      <c r="Y191" s="19"/>
      <c r="Z191" s="19"/>
      <c r="AA191" s="19"/>
      <c r="AB191" s="19"/>
      <c r="AC191" s="13">
        <f t="shared" si="44"/>
        <v>3</v>
      </c>
    </row>
    <row r="192" ht="12.75" customHeight="1">
      <c r="A192" s="18"/>
      <c r="B192" s="55">
        <v>4.0</v>
      </c>
      <c r="C192" s="50" t="s">
        <v>169</v>
      </c>
      <c r="D192" s="57"/>
      <c r="E192" s="19">
        <v>0.0</v>
      </c>
      <c r="F192" s="19">
        <v>0.0</v>
      </c>
      <c r="G192" s="19">
        <v>1.0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/>
      <c r="U192" s="19"/>
      <c r="V192" s="19"/>
      <c r="W192" s="19"/>
      <c r="X192" s="19"/>
      <c r="Y192" s="19"/>
      <c r="Z192" s="19"/>
      <c r="AA192" s="19"/>
      <c r="AB192" s="19"/>
      <c r="AC192" s="13">
        <f t="shared" si="44"/>
        <v>1</v>
      </c>
    </row>
    <row r="193" ht="12.75" customHeight="1">
      <c r="A193" s="18"/>
      <c r="B193" s="55">
        <v>5.0</v>
      </c>
      <c r="C193" s="50" t="s">
        <v>170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/>
      <c r="U193" s="19"/>
      <c r="V193" s="19"/>
      <c r="W193" s="19"/>
      <c r="X193" s="19"/>
      <c r="Y193" s="19"/>
      <c r="Z193" s="19"/>
      <c r="AA193" s="19"/>
      <c r="AB193" s="19"/>
      <c r="AC193" s="13">
        <f t="shared" si="44"/>
        <v>0</v>
      </c>
    </row>
    <row r="194" ht="12.75" customHeight="1">
      <c r="A194" s="18"/>
      <c r="B194" s="55">
        <v>6.0</v>
      </c>
      <c r="C194" s="50" t="s">
        <v>171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/>
      <c r="U194" s="19"/>
      <c r="V194" s="19"/>
      <c r="W194" s="19"/>
      <c r="X194" s="19"/>
      <c r="Y194" s="19"/>
      <c r="Z194" s="19"/>
      <c r="AA194" s="19"/>
      <c r="AB194" s="19"/>
      <c r="AC194" s="13">
        <f t="shared" si="44"/>
        <v>0</v>
      </c>
    </row>
    <row r="195" ht="12.75" customHeight="1">
      <c r="A195" s="18"/>
      <c r="B195" s="55">
        <v>7.0</v>
      </c>
      <c r="C195" s="50" t="s">
        <v>172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1.0</v>
      </c>
      <c r="L195" s="19">
        <v>0.0</v>
      </c>
      <c r="M195" s="19">
        <v>0.0</v>
      </c>
      <c r="N195" s="19">
        <v>8.0</v>
      </c>
      <c r="O195" s="19">
        <v>2.0</v>
      </c>
      <c r="P195" s="19">
        <v>1.0</v>
      </c>
      <c r="Q195" s="19">
        <v>0.0</v>
      </c>
      <c r="R195" s="19">
        <v>0.0</v>
      </c>
      <c r="S195" s="19">
        <v>0.0</v>
      </c>
      <c r="T195" s="19"/>
      <c r="U195" s="19"/>
      <c r="V195" s="19"/>
      <c r="W195" s="19"/>
      <c r="X195" s="19"/>
      <c r="Y195" s="19"/>
      <c r="Z195" s="19"/>
      <c r="AA195" s="19"/>
      <c r="AB195" s="19"/>
      <c r="AC195" s="13">
        <f t="shared" si="44"/>
        <v>12</v>
      </c>
    </row>
    <row r="196" ht="12.75" customHeight="1">
      <c r="A196" s="19" t="s">
        <v>15</v>
      </c>
      <c r="B196" s="47" t="s">
        <v>47</v>
      </c>
      <c r="C196" s="15"/>
      <c r="D196" s="16"/>
      <c r="E196" s="13">
        <f t="shared" ref="E196:AC196" si="45">SUM(E188:E195)</f>
        <v>1</v>
      </c>
      <c r="F196" s="13">
        <f t="shared" si="45"/>
        <v>0</v>
      </c>
      <c r="G196" s="13">
        <f t="shared" si="45"/>
        <v>2</v>
      </c>
      <c r="H196" s="13">
        <f t="shared" si="45"/>
        <v>0</v>
      </c>
      <c r="I196" s="13">
        <f t="shared" si="45"/>
        <v>1</v>
      </c>
      <c r="J196" s="13">
        <f t="shared" si="45"/>
        <v>2</v>
      </c>
      <c r="K196" s="13">
        <f t="shared" si="45"/>
        <v>3</v>
      </c>
      <c r="L196" s="13">
        <f t="shared" si="45"/>
        <v>1</v>
      </c>
      <c r="M196" s="13">
        <f t="shared" si="45"/>
        <v>0</v>
      </c>
      <c r="N196" s="13">
        <f t="shared" si="45"/>
        <v>11</v>
      </c>
      <c r="O196" s="13">
        <f t="shared" si="45"/>
        <v>3</v>
      </c>
      <c r="P196" s="13">
        <f t="shared" si="45"/>
        <v>1</v>
      </c>
      <c r="Q196" s="13">
        <f t="shared" si="45"/>
        <v>0</v>
      </c>
      <c r="R196" s="13">
        <f t="shared" si="45"/>
        <v>1</v>
      </c>
      <c r="S196" s="13">
        <f t="shared" si="45"/>
        <v>0</v>
      </c>
      <c r="T196" s="13">
        <f t="shared" si="45"/>
        <v>0</v>
      </c>
      <c r="U196" s="13">
        <f t="shared" si="45"/>
        <v>0</v>
      </c>
      <c r="V196" s="13">
        <f t="shared" si="45"/>
        <v>0</v>
      </c>
      <c r="W196" s="13">
        <f t="shared" si="45"/>
        <v>0</v>
      </c>
      <c r="X196" s="13">
        <f t="shared" si="45"/>
        <v>0</v>
      </c>
      <c r="Y196" s="13">
        <f t="shared" si="45"/>
        <v>0</v>
      </c>
      <c r="Z196" s="13">
        <f t="shared" si="45"/>
        <v>0</v>
      </c>
      <c r="AA196" s="13">
        <f t="shared" si="45"/>
        <v>0</v>
      </c>
      <c r="AB196" s="13">
        <f t="shared" si="45"/>
        <v>0</v>
      </c>
      <c r="AC196" s="13">
        <f t="shared" si="45"/>
        <v>26</v>
      </c>
    </row>
    <row r="197" ht="12.75" customHeight="1">
      <c r="A197" s="24"/>
      <c r="B197" s="15"/>
      <c r="C197" s="15"/>
      <c r="D197" s="15"/>
      <c r="E197" s="16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</row>
    <row r="198" ht="12.75" customHeight="1">
      <c r="A198" s="30" t="s">
        <v>37</v>
      </c>
      <c r="B198" s="47" t="s">
        <v>173</v>
      </c>
      <c r="C198" s="48" t="s">
        <v>174</v>
      </c>
      <c r="D198" s="16"/>
      <c r="E198" s="19">
        <v>0.0</v>
      </c>
      <c r="F198" s="19">
        <v>0.0</v>
      </c>
      <c r="G198" s="19">
        <v>2.0</v>
      </c>
      <c r="H198" s="19">
        <v>0.0</v>
      </c>
      <c r="I198" s="19">
        <v>0.0</v>
      </c>
      <c r="J198" s="19">
        <v>1.0</v>
      </c>
      <c r="K198" s="19">
        <v>0.0</v>
      </c>
      <c r="L198" s="19">
        <v>0.0</v>
      </c>
      <c r="M198" s="19">
        <v>0.0</v>
      </c>
      <c r="N198" s="19">
        <v>0.0</v>
      </c>
      <c r="O198" s="19">
        <v>1.0</v>
      </c>
      <c r="P198" s="19">
        <v>0.0</v>
      </c>
      <c r="Q198" s="19">
        <v>0.0</v>
      </c>
      <c r="R198" s="19">
        <v>0.0</v>
      </c>
      <c r="S198" s="19">
        <v>0.0</v>
      </c>
      <c r="T198" s="19">
        <v>0.0</v>
      </c>
      <c r="U198" s="19">
        <v>1.0</v>
      </c>
      <c r="V198" s="19">
        <v>0.0</v>
      </c>
      <c r="W198" s="19">
        <v>1.0</v>
      </c>
      <c r="X198" s="19">
        <v>0.0</v>
      </c>
      <c r="Y198" s="19">
        <v>1.0</v>
      </c>
      <c r="Z198" s="19">
        <v>0.0</v>
      </c>
      <c r="AA198" s="19">
        <v>1.0</v>
      </c>
      <c r="AB198" s="19">
        <v>1.0</v>
      </c>
      <c r="AC198" s="13">
        <f t="shared" ref="AC198:AC205" si="46">SUM(E198:AB198)</f>
        <v>9</v>
      </c>
    </row>
    <row r="199" ht="12.75" customHeight="1">
      <c r="A199" s="30" t="s">
        <v>39</v>
      </c>
      <c r="B199" s="55">
        <v>1.0</v>
      </c>
      <c r="C199" s="50" t="s">
        <v>175</v>
      </c>
      <c r="D199" s="57"/>
      <c r="E199" s="19">
        <v>0.0</v>
      </c>
      <c r="F199" s="19">
        <v>0.0</v>
      </c>
      <c r="G199" s="19">
        <v>0.0</v>
      </c>
      <c r="H199" s="19">
        <v>0.0</v>
      </c>
      <c r="I199" s="19">
        <v>0.0</v>
      </c>
      <c r="J199" s="19">
        <v>0.0</v>
      </c>
      <c r="K199" s="19">
        <v>0.0</v>
      </c>
      <c r="L199" s="19">
        <v>0.0</v>
      </c>
      <c r="M199" s="19">
        <v>0.0</v>
      </c>
      <c r="N199" s="19">
        <v>0.0</v>
      </c>
      <c r="O199" s="19">
        <v>0.0</v>
      </c>
      <c r="P199" s="19">
        <v>0.0</v>
      </c>
      <c r="Q199" s="19">
        <v>0.0</v>
      </c>
      <c r="R199" s="19">
        <v>0.0</v>
      </c>
      <c r="S199" s="19">
        <v>0.0</v>
      </c>
      <c r="T199" s="19">
        <v>0.0</v>
      </c>
      <c r="U199" s="19">
        <v>0.0</v>
      </c>
      <c r="V199" s="19">
        <v>0.0</v>
      </c>
      <c r="W199" s="19">
        <v>1.0</v>
      </c>
      <c r="X199" s="19">
        <v>0.0</v>
      </c>
      <c r="Y199" s="19">
        <v>1.0</v>
      </c>
      <c r="Z199" s="19">
        <v>0.0</v>
      </c>
      <c r="AA199" s="19">
        <v>1.0</v>
      </c>
      <c r="AB199" s="19">
        <v>1.0</v>
      </c>
      <c r="AC199" s="13">
        <f t="shared" si="46"/>
        <v>4</v>
      </c>
    </row>
    <row r="200" ht="12.75" customHeight="1">
      <c r="A200" s="18"/>
      <c r="B200" s="55">
        <v>2.0</v>
      </c>
      <c r="C200" s="50" t="s">
        <v>176</v>
      </c>
      <c r="D200" s="57"/>
      <c r="E200" s="19">
        <v>0.0</v>
      </c>
      <c r="F200" s="19">
        <v>0.0</v>
      </c>
      <c r="G200" s="19">
        <v>1.0</v>
      </c>
      <c r="H200" s="19">
        <v>0.0</v>
      </c>
      <c r="I200" s="19">
        <v>0.0</v>
      </c>
      <c r="J200" s="19">
        <v>1.0</v>
      </c>
      <c r="K200" s="19">
        <v>0.0</v>
      </c>
      <c r="L200" s="19">
        <v>0.0</v>
      </c>
      <c r="M200" s="19">
        <v>1.0</v>
      </c>
      <c r="N200" s="19">
        <v>1.0</v>
      </c>
      <c r="O200" s="19">
        <v>2.0</v>
      </c>
      <c r="P200" s="19">
        <v>1.0</v>
      </c>
      <c r="Q200" s="19">
        <v>0.0</v>
      </c>
      <c r="R200" s="19">
        <v>4.0</v>
      </c>
      <c r="S200" s="19">
        <v>0.0</v>
      </c>
      <c r="T200" s="19">
        <v>25.0</v>
      </c>
      <c r="U200" s="19">
        <v>0.0</v>
      </c>
      <c r="V200" s="19">
        <v>0.0</v>
      </c>
      <c r="W200" s="19">
        <v>0.0</v>
      </c>
      <c r="X200" s="19">
        <v>0.0</v>
      </c>
      <c r="Y200" s="19">
        <v>0.0</v>
      </c>
      <c r="Z200" s="19">
        <v>0.0</v>
      </c>
      <c r="AA200" s="19">
        <v>0.0</v>
      </c>
      <c r="AB200" s="19">
        <v>1.0</v>
      </c>
      <c r="AC200" s="13">
        <f t="shared" si="46"/>
        <v>37</v>
      </c>
    </row>
    <row r="201" ht="12.75" customHeight="1">
      <c r="A201" s="18"/>
      <c r="B201" s="55">
        <v>3.0</v>
      </c>
      <c r="C201" s="50" t="s">
        <v>177</v>
      </c>
      <c r="D201" s="57"/>
      <c r="E201" s="19">
        <v>0.0</v>
      </c>
      <c r="F201" s="19">
        <v>0.0</v>
      </c>
      <c r="G201" s="19">
        <v>0.0</v>
      </c>
      <c r="H201" s="19">
        <v>0.0</v>
      </c>
      <c r="I201" s="19">
        <v>0.0</v>
      </c>
      <c r="J201" s="19">
        <v>0.0</v>
      </c>
      <c r="K201" s="19">
        <v>0.0</v>
      </c>
      <c r="L201" s="19">
        <v>0.0</v>
      </c>
      <c r="M201" s="19">
        <v>0.0</v>
      </c>
      <c r="N201" s="19">
        <v>0.0</v>
      </c>
      <c r="O201" s="19">
        <v>1.0</v>
      </c>
      <c r="P201" s="19">
        <v>0.0</v>
      </c>
      <c r="Q201" s="19">
        <v>0.0</v>
      </c>
      <c r="R201" s="19">
        <v>1.0</v>
      </c>
      <c r="S201" s="19">
        <v>0.0</v>
      </c>
      <c r="T201" s="19">
        <v>0.0</v>
      </c>
      <c r="U201" s="19">
        <v>0.0</v>
      </c>
      <c r="V201" s="19">
        <v>0.0</v>
      </c>
      <c r="W201" s="19">
        <v>0.0</v>
      </c>
      <c r="X201" s="19">
        <v>0.0</v>
      </c>
      <c r="Y201" s="19">
        <v>0.0</v>
      </c>
      <c r="Z201" s="19">
        <v>0.0</v>
      </c>
      <c r="AA201" s="19">
        <v>0.0</v>
      </c>
      <c r="AB201" s="19">
        <v>0.0</v>
      </c>
      <c r="AC201" s="13">
        <f t="shared" si="46"/>
        <v>2</v>
      </c>
    </row>
    <row r="202" ht="12.75" customHeight="1">
      <c r="A202" s="18"/>
      <c r="B202" s="55">
        <v>4.0</v>
      </c>
      <c r="C202" s="50" t="s">
        <v>178</v>
      </c>
      <c r="D202" s="57"/>
      <c r="E202" s="19">
        <v>0.0</v>
      </c>
      <c r="F202" s="19">
        <v>0.0</v>
      </c>
      <c r="G202" s="19">
        <v>0.0</v>
      </c>
      <c r="H202" s="19">
        <v>0.0</v>
      </c>
      <c r="I202" s="19">
        <v>0.0</v>
      </c>
      <c r="J202" s="19">
        <v>0.0</v>
      </c>
      <c r="K202" s="19">
        <v>0.0</v>
      </c>
      <c r="L202" s="19">
        <v>0.0</v>
      </c>
      <c r="M202" s="19">
        <v>0.0</v>
      </c>
      <c r="N202" s="19">
        <v>0.0</v>
      </c>
      <c r="O202" s="19">
        <v>0.0</v>
      </c>
      <c r="P202" s="19">
        <v>0.0</v>
      </c>
      <c r="Q202" s="19">
        <v>0.0</v>
      </c>
      <c r="R202" s="19">
        <v>0.0</v>
      </c>
      <c r="S202" s="19">
        <v>0.0</v>
      </c>
      <c r="T202" s="19">
        <v>1.0</v>
      </c>
      <c r="U202" s="19">
        <v>0.0</v>
      </c>
      <c r="V202" s="19">
        <v>0.0</v>
      </c>
      <c r="W202" s="19">
        <v>0.0</v>
      </c>
      <c r="X202" s="19">
        <v>0.0</v>
      </c>
      <c r="Y202" s="19">
        <v>0.0</v>
      </c>
      <c r="Z202" s="19">
        <v>2.0</v>
      </c>
      <c r="AA202" s="19">
        <v>0.0</v>
      </c>
      <c r="AB202" s="19">
        <v>1.0</v>
      </c>
      <c r="AC202" s="13">
        <f t="shared" si="46"/>
        <v>4</v>
      </c>
    </row>
    <row r="203" ht="12.75" customHeight="1">
      <c r="A203" s="18"/>
      <c r="B203" s="55">
        <v>5.0</v>
      </c>
      <c r="C203" s="50" t="s">
        <v>179</v>
      </c>
      <c r="D203" s="57"/>
      <c r="E203" s="19">
        <v>0.0</v>
      </c>
      <c r="F203" s="19">
        <v>0.0</v>
      </c>
      <c r="G203" s="19">
        <v>0.0</v>
      </c>
      <c r="H203" s="19">
        <v>1.0</v>
      </c>
      <c r="I203" s="19">
        <v>0.0</v>
      </c>
      <c r="J203" s="19">
        <v>0.0</v>
      </c>
      <c r="K203" s="19">
        <v>0.0</v>
      </c>
      <c r="L203" s="19">
        <v>0.0</v>
      </c>
      <c r="M203" s="19">
        <v>0.0</v>
      </c>
      <c r="N203" s="19">
        <v>0.0</v>
      </c>
      <c r="O203" s="19">
        <v>0.0</v>
      </c>
      <c r="P203" s="19">
        <v>0.0</v>
      </c>
      <c r="Q203" s="19">
        <v>0.0</v>
      </c>
      <c r="R203" s="19">
        <v>0.0</v>
      </c>
      <c r="S203" s="19">
        <v>0.0</v>
      </c>
      <c r="T203" s="19">
        <v>0.0</v>
      </c>
      <c r="U203" s="19">
        <v>0.0</v>
      </c>
      <c r="V203" s="19">
        <v>0.0</v>
      </c>
      <c r="W203" s="19">
        <v>0.0</v>
      </c>
      <c r="X203" s="19">
        <v>0.0</v>
      </c>
      <c r="Y203" s="19">
        <v>0.0</v>
      </c>
      <c r="Z203" s="19">
        <v>0.0</v>
      </c>
      <c r="AA203" s="19">
        <v>0.0</v>
      </c>
      <c r="AB203" s="19">
        <v>0.0</v>
      </c>
      <c r="AC203" s="13">
        <f t="shared" si="46"/>
        <v>1</v>
      </c>
    </row>
    <row r="204" ht="12.75" customHeight="1">
      <c r="A204" s="18"/>
      <c r="B204" s="55">
        <v>6.0</v>
      </c>
      <c r="C204" s="50" t="s">
        <v>180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1.0</v>
      </c>
      <c r="V204" s="19">
        <v>0.0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0.0</v>
      </c>
      <c r="AB204" s="19">
        <v>0.0</v>
      </c>
      <c r="AC204" s="13">
        <f t="shared" si="46"/>
        <v>1</v>
      </c>
    </row>
    <row r="205" ht="12.75" customHeight="1">
      <c r="A205" s="18"/>
      <c r="B205" s="55">
        <v>7.0</v>
      </c>
      <c r="C205" s="50" t="s">
        <v>181</v>
      </c>
      <c r="D205" s="57"/>
      <c r="E205" s="19">
        <v>0.0</v>
      </c>
      <c r="F205" s="19">
        <v>0.0</v>
      </c>
      <c r="G205" s="19">
        <v>0.0</v>
      </c>
      <c r="H205" s="19">
        <v>0.0</v>
      </c>
      <c r="I205" s="19">
        <v>1.0</v>
      </c>
      <c r="J205" s="19">
        <v>0.0</v>
      </c>
      <c r="K205" s="19">
        <v>1.0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1.0</v>
      </c>
      <c r="T205" s="19">
        <v>0.0</v>
      </c>
      <c r="U205" s="19">
        <v>0.0</v>
      </c>
      <c r="V205" s="19">
        <v>0.0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3.0</v>
      </c>
      <c r="AB205" s="19">
        <v>1.0</v>
      </c>
      <c r="AC205" s="13">
        <f t="shared" si="46"/>
        <v>7</v>
      </c>
    </row>
    <row r="206" ht="12.75" customHeight="1">
      <c r="A206" s="19" t="s">
        <v>15</v>
      </c>
      <c r="B206" s="47" t="s">
        <v>47</v>
      </c>
      <c r="C206" s="15"/>
      <c r="D206" s="16"/>
      <c r="E206" s="13">
        <f t="shared" ref="E206:AC206" si="47">SUM(E198:E205)</f>
        <v>0</v>
      </c>
      <c r="F206" s="13">
        <f t="shared" si="47"/>
        <v>0</v>
      </c>
      <c r="G206" s="13">
        <f t="shared" si="47"/>
        <v>3</v>
      </c>
      <c r="H206" s="13">
        <f t="shared" si="47"/>
        <v>1</v>
      </c>
      <c r="I206" s="13">
        <f t="shared" si="47"/>
        <v>1</v>
      </c>
      <c r="J206" s="13">
        <f t="shared" si="47"/>
        <v>2</v>
      </c>
      <c r="K206" s="13">
        <f t="shared" si="47"/>
        <v>1</v>
      </c>
      <c r="L206" s="13">
        <f t="shared" si="47"/>
        <v>0</v>
      </c>
      <c r="M206" s="13">
        <f t="shared" si="47"/>
        <v>1</v>
      </c>
      <c r="N206" s="13">
        <f t="shared" si="47"/>
        <v>1</v>
      </c>
      <c r="O206" s="13">
        <f t="shared" si="47"/>
        <v>4</v>
      </c>
      <c r="P206" s="13">
        <f t="shared" si="47"/>
        <v>1</v>
      </c>
      <c r="Q206" s="13">
        <f t="shared" si="47"/>
        <v>0</v>
      </c>
      <c r="R206" s="13">
        <f t="shared" si="47"/>
        <v>5</v>
      </c>
      <c r="S206" s="13">
        <f t="shared" si="47"/>
        <v>1</v>
      </c>
      <c r="T206" s="13">
        <f t="shared" si="47"/>
        <v>26</v>
      </c>
      <c r="U206" s="13">
        <f t="shared" si="47"/>
        <v>2</v>
      </c>
      <c r="V206" s="13">
        <f t="shared" si="47"/>
        <v>0</v>
      </c>
      <c r="W206" s="13">
        <f t="shared" si="47"/>
        <v>2</v>
      </c>
      <c r="X206" s="13">
        <f t="shared" si="47"/>
        <v>0</v>
      </c>
      <c r="Y206" s="13">
        <f t="shared" si="47"/>
        <v>2</v>
      </c>
      <c r="Z206" s="13">
        <f t="shared" si="47"/>
        <v>2</v>
      </c>
      <c r="AA206" s="13">
        <f t="shared" si="47"/>
        <v>5</v>
      </c>
      <c r="AB206" s="13">
        <f t="shared" si="47"/>
        <v>5</v>
      </c>
      <c r="AC206" s="13">
        <f t="shared" si="47"/>
        <v>65</v>
      </c>
    </row>
    <row r="207" ht="12.75" customHeight="1">
      <c r="A207" s="24"/>
      <c r="B207" s="15"/>
      <c r="C207" s="15"/>
      <c r="D207" s="15"/>
      <c r="E207" s="16"/>
    </row>
    <row r="208" ht="12.75" customHeight="1">
      <c r="A208" s="30" t="s">
        <v>37</v>
      </c>
      <c r="B208" s="47" t="s">
        <v>182</v>
      </c>
      <c r="C208" s="48" t="s">
        <v>183</v>
      </c>
      <c r="D208" s="16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1.0</v>
      </c>
      <c r="R208" s="19">
        <v>2.0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1.0</v>
      </c>
      <c r="Z208" s="19">
        <v>0.0</v>
      </c>
      <c r="AA208" s="19">
        <v>0.0</v>
      </c>
      <c r="AB208" s="19">
        <v>0.0</v>
      </c>
      <c r="AC208" s="13">
        <f t="shared" ref="AC208:AC214" si="48">SUM(E208:AB208)</f>
        <v>4</v>
      </c>
    </row>
    <row r="209" ht="12.75" customHeight="1">
      <c r="A209" s="30" t="s">
        <v>39</v>
      </c>
      <c r="B209" s="55">
        <v>1.0</v>
      </c>
      <c r="C209" s="61" t="s">
        <v>184</v>
      </c>
      <c r="D209" s="57"/>
      <c r="E209" s="19">
        <v>0.0</v>
      </c>
      <c r="F209" s="19">
        <v>0.0</v>
      </c>
      <c r="G209" s="19">
        <v>0.0</v>
      </c>
      <c r="H209" s="19">
        <v>0.0</v>
      </c>
      <c r="I209" s="19">
        <v>0.0</v>
      </c>
      <c r="J209" s="19">
        <v>0.0</v>
      </c>
      <c r="K209" s="19">
        <v>1.0</v>
      </c>
      <c r="L209" s="19">
        <v>0.0</v>
      </c>
      <c r="M209" s="19">
        <v>0.0</v>
      </c>
      <c r="N209" s="19">
        <v>1.0</v>
      </c>
      <c r="O209" s="19">
        <v>0.0</v>
      </c>
      <c r="P209" s="19">
        <v>0.0</v>
      </c>
      <c r="Q209" s="19">
        <v>1.0</v>
      </c>
      <c r="R209" s="19">
        <v>0.0</v>
      </c>
      <c r="S209" s="19">
        <v>0.0</v>
      </c>
      <c r="T209" s="19">
        <v>0.0</v>
      </c>
      <c r="U209" s="19">
        <v>0.0</v>
      </c>
      <c r="V209" s="19">
        <v>0.0</v>
      </c>
      <c r="W209" s="19">
        <v>0.0</v>
      </c>
      <c r="X209" s="19">
        <v>0.0</v>
      </c>
      <c r="Y209" s="19">
        <v>1.0</v>
      </c>
      <c r="Z209" s="19">
        <v>0.0</v>
      </c>
      <c r="AA209" s="19">
        <v>0.0</v>
      </c>
      <c r="AB209" s="19">
        <v>0.0</v>
      </c>
      <c r="AC209" s="13">
        <f t="shared" si="48"/>
        <v>4</v>
      </c>
    </row>
    <row r="210" ht="12.75" customHeight="1">
      <c r="A210" s="18"/>
      <c r="B210" s="55">
        <v>2.0</v>
      </c>
      <c r="C210" s="61" t="s">
        <v>185</v>
      </c>
      <c r="D210" s="57"/>
      <c r="E210" s="19">
        <v>0.0</v>
      </c>
      <c r="F210" s="19">
        <v>0.0</v>
      </c>
      <c r="G210" s="19">
        <v>0.0</v>
      </c>
      <c r="H210" s="19">
        <v>0.0</v>
      </c>
      <c r="I210" s="19">
        <v>1.0</v>
      </c>
      <c r="J210" s="19">
        <v>0.0</v>
      </c>
      <c r="K210" s="19">
        <v>0.0</v>
      </c>
      <c r="L210" s="19">
        <v>0.0</v>
      </c>
      <c r="M210" s="19">
        <v>0.0</v>
      </c>
      <c r="N210" s="19">
        <v>0.0</v>
      </c>
      <c r="O210" s="19">
        <v>0.0</v>
      </c>
      <c r="P210" s="19">
        <v>0.0</v>
      </c>
      <c r="Q210" s="19">
        <v>0.0</v>
      </c>
      <c r="R210" s="19">
        <v>0.0</v>
      </c>
      <c r="S210" s="19">
        <v>0.0</v>
      </c>
      <c r="T210" s="19">
        <v>0.0</v>
      </c>
      <c r="U210" s="19">
        <v>0.0</v>
      </c>
      <c r="V210" s="19">
        <v>0.0</v>
      </c>
      <c r="W210" s="19">
        <v>0.0</v>
      </c>
      <c r="X210" s="19">
        <v>0.0</v>
      </c>
      <c r="Y210" s="19">
        <v>0.0</v>
      </c>
      <c r="Z210" s="19">
        <v>0.0</v>
      </c>
      <c r="AA210" s="19">
        <v>0.0</v>
      </c>
      <c r="AB210" s="19">
        <v>0.0</v>
      </c>
      <c r="AC210" s="13">
        <f t="shared" si="48"/>
        <v>1</v>
      </c>
    </row>
    <row r="211" ht="12.75" customHeight="1">
      <c r="A211" s="18"/>
      <c r="B211" s="55">
        <v>3.0</v>
      </c>
      <c r="C211" s="61" t="s">
        <v>186</v>
      </c>
      <c r="D211" s="57"/>
      <c r="E211" s="19">
        <v>0.0</v>
      </c>
      <c r="F211" s="19">
        <v>0.0</v>
      </c>
      <c r="G211" s="19">
        <v>0.0</v>
      </c>
      <c r="H211" s="19">
        <v>0.0</v>
      </c>
      <c r="I211" s="19">
        <v>0.0</v>
      </c>
      <c r="J211" s="19">
        <v>0.0</v>
      </c>
      <c r="K211" s="19">
        <v>0.0</v>
      </c>
      <c r="L211" s="19">
        <v>0.0</v>
      </c>
      <c r="M211" s="19">
        <v>0.0</v>
      </c>
      <c r="N211" s="19">
        <v>0.0</v>
      </c>
      <c r="O211" s="19">
        <v>0.0</v>
      </c>
      <c r="P211" s="19">
        <v>0.0</v>
      </c>
      <c r="Q211" s="19">
        <v>0.0</v>
      </c>
      <c r="R211" s="19">
        <v>0.0</v>
      </c>
      <c r="S211" s="19">
        <v>0.0</v>
      </c>
      <c r="T211" s="19">
        <v>0.0</v>
      </c>
      <c r="U211" s="19">
        <v>0.0</v>
      </c>
      <c r="V211" s="19">
        <v>0.0</v>
      </c>
      <c r="W211" s="19">
        <v>0.0</v>
      </c>
      <c r="X211" s="19">
        <v>0.0</v>
      </c>
      <c r="Y211" s="19">
        <v>0.0</v>
      </c>
      <c r="Z211" s="19">
        <v>0.0</v>
      </c>
      <c r="AA211" s="19">
        <v>0.0</v>
      </c>
      <c r="AB211" s="19">
        <v>0.0</v>
      </c>
      <c r="AC211" s="13">
        <f t="shared" si="48"/>
        <v>0</v>
      </c>
    </row>
    <row r="212" ht="12.75" customHeight="1">
      <c r="A212" s="18"/>
      <c r="B212" s="55">
        <v>4.0</v>
      </c>
      <c r="C212" s="61" t="s">
        <v>187</v>
      </c>
      <c r="D212" s="57"/>
      <c r="E212" s="19">
        <v>0.0</v>
      </c>
      <c r="F212" s="19">
        <v>0.0</v>
      </c>
      <c r="G212" s="19">
        <v>0.0</v>
      </c>
      <c r="H212" s="19">
        <v>0.0</v>
      </c>
      <c r="I212" s="19">
        <v>0.0</v>
      </c>
      <c r="J212" s="19">
        <v>0.0</v>
      </c>
      <c r="K212" s="19">
        <v>0.0</v>
      </c>
      <c r="L212" s="19">
        <v>0.0</v>
      </c>
      <c r="M212" s="19">
        <v>0.0</v>
      </c>
      <c r="N212" s="19">
        <v>0.0</v>
      </c>
      <c r="O212" s="19">
        <v>0.0</v>
      </c>
      <c r="P212" s="19">
        <v>0.0</v>
      </c>
      <c r="Q212" s="19">
        <v>0.0</v>
      </c>
      <c r="R212" s="19">
        <v>0.0</v>
      </c>
      <c r="S212" s="19">
        <v>0.0</v>
      </c>
      <c r="T212" s="19">
        <v>0.0</v>
      </c>
      <c r="U212" s="19">
        <v>0.0</v>
      </c>
      <c r="V212" s="19">
        <v>0.0</v>
      </c>
      <c r="W212" s="19">
        <v>0.0</v>
      </c>
      <c r="X212" s="19">
        <v>0.0</v>
      </c>
      <c r="Y212" s="19">
        <v>0.0</v>
      </c>
      <c r="Z212" s="19">
        <v>0.0</v>
      </c>
      <c r="AA212" s="19">
        <v>0.0</v>
      </c>
      <c r="AB212" s="19">
        <v>0.0</v>
      </c>
      <c r="AC212" s="13">
        <f t="shared" si="48"/>
        <v>0</v>
      </c>
    </row>
    <row r="213" ht="12.75" customHeight="1">
      <c r="A213" s="18"/>
      <c r="B213" s="55">
        <v>5.0</v>
      </c>
      <c r="C213" s="61" t="s">
        <v>188</v>
      </c>
      <c r="D213" s="57"/>
      <c r="E213" s="19">
        <v>0.0</v>
      </c>
      <c r="F213" s="19">
        <v>0.0</v>
      </c>
      <c r="G213" s="19">
        <v>0.0</v>
      </c>
      <c r="H213" s="19">
        <v>0.0</v>
      </c>
      <c r="I213" s="19">
        <v>0.0</v>
      </c>
      <c r="J213" s="19">
        <v>0.0</v>
      </c>
      <c r="K213" s="19">
        <v>0.0</v>
      </c>
      <c r="L213" s="19">
        <v>0.0</v>
      </c>
      <c r="M213" s="19">
        <v>0.0</v>
      </c>
      <c r="N213" s="19">
        <v>0.0</v>
      </c>
      <c r="O213" s="19">
        <v>0.0</v>
      </c>
      <c r="P213" s="19">
        <v>0.0</v>
      </c>
      <c r="Q213" s="19">
        <v>0.0</v>
      </c>
      <c r="R213" s="19">
        <v>1.0</v>
      </c>
      <c r="S213" s="19">
        <v>0.0</v>
      </c>
      <c r="T213" s="19">
        <v>0.0</v>
      </c>
      <c r="U213" s="19">
        <v>0.0</v>
      </c>
      <c r="V213" s="19">
        <v>0.0</v>
      </c>
      <c r="W213" s="19">
        <v>0.0</v>
      </c>
      <c r="X213" s="19">
        <v>0.0</v>
      </c>
      <c r="Y213" s="19">
        <v>0.0</v>
      </c>
      <c r="Z213" s="19">
        <v>0.0</v>
      </c>
      <c r="AA213" s="19">
        <v>0.0</v>
      </c>
      <c r="AB213" s="19">
        <v>0.0</v>
      </c>
      <c r="AC213" s="13">
        <f t="shared" si="48"/>
        <v>1</v>
      </c>
    </row>
    <row r="214" ht="12.75" customHeight="1">
      <c r="A214" s="18"/>
      <c r="B214" s="55">
        <v>6.0</v>
      </c>
      <c r="C214" s="61" t="s">
        <v>189</v>
      </c>
      <c r="D214" s="57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0.0</v>
      </c>
      <c r="Q214" s="19">
        <v>0.0</v>
      </c>
      <c r="R214" s="19">
        <v>0.0</v>
      </c>
      <c r="S214" s="19">
        <v>0.0</v>
      </c>
      <c r="T214" s="19">
        <v>0.0</v>
      </c>
      <c r="U214" s="19">
        <v>0.0</v>
      </c>
      <c r="V214" s="19">
        <v>0.0</v>
      </c>
      <c r="W214" s="19">
        <v>0.0</v>
      </c>
      <c r="X214" s="19">
        <v>0.0</v>
      </c>
      <c r="Y214" s="19">
        <v>0.0</v>
      </c>
      <c r="Z214" s="19">
        <v>0.0</v>
      </c>
      <c r="AA214" s="19">
        <v>1.0</v>
      </c>
      <c r="AB214" s="19">
        <v>0.0</v>
      </c>
      <c r="AC214" s="13">
        <f t="shared" si="48"/>
        <v>1</v>
      </c>
    </row>
    <row r="215" ht="12.75" customHeight="1">
      <c r="A215" s="19" t="s">
        <v>15</v>
      </c>
      <c r="B215" s="47" t="s">
        <v>47</v>
      </c>
      <c r="C215" s="15"/>
      <c r="D215" s="16"/>
      <c r="E215" s="13">
        <f t="shared" ref="E215:AC215" si="49">SUM(E208:E214)</f>
        <v>0</v>
      </c>
      <c r="F215" s="13">
        <f t="shared" si="49"/>
        <v>0</v>
      </c>
      <c r="G215" s="13">
        <f t="shared" si="49"/>
        <v>0</v>
      </c>
      <c r="H215" s="13">
        <f t="shared" si="49"/>
        <v>0</v>
      </c>
      <c r="I215" s="13">
        <f t="shared" si="49"/>
        <v>1</v>
      </c>
      <c r="J215" s="13">
        <f t="shared" si="49"/>
        <v>0</v>
      </c>
      <c r="K215" s="13">
        <f t="shared" si="49"/>
        <v>1</v>
      </c>
      <c r="L215" s="13">
        <f t="shared" si="49"/>
        <v>0</v>
      </c>
      <c r="M215" s="13">
        <f t="shared" si="49"/>
        <v>0</v>
      </c>
      <c r="N215" s="13">
        <f t="shared" si="49"/>
        <v>1</v>
      </c>
      <c r="O215" s="13">
        <f t="shared" si="49"/>
        <v>0</v>
      </c>
      <c r="P215" s="13">
        <f t="shared" si="49"/>
        <v>0</v>
      </c>
      <c r="Q215" s="13">
        <f t="shared" si="49"/>
        <v>2</v>
      </c>
      <c r="R215" s="13">
        <f t="shared" si="49"/>
        <v>3</v>
      </c>
      <c r="S215" s="13">
        <f t="shared" si="49"/>
        <v>0</v>
      </c>
      <c r="T215" s="13">
        <f t="shared" si="49"/>
        <v>0</v>
      </c>
      <c r="U215" s="13">
        <f t="shared" si="49"/>
        <v>0</v>
      </c>
      <c r="V215" s="13">
        <f t="shared" si="49"/>
        <v>0</v>
      </c>
      <c r="W215" s="13">
        <f t="shared" si="49"/>
        <v>0</v>
      </c>
      <c r="X215" s="13">
        <f t="shared" si="49"/>
        <v>0</v>
      </c>
      <c r="Y215" s="13">
        <f t="shared" si="49"/>
        <v>2</v>
      </c>
      <c r="Z215" s="13">
        <f t="shared" si="49"/>
        <v>0</v>
      </c>
      <c r="AA215" s="13">
        <f t="shared" si="49"/>
        <v>1</v>
      </c>
      <c r="AB215" s="13">
        <f t="shared" si="49"/>
        <v>0</v>
      </c>
      <c r="AC215" s="13">
        <f t="shared" si="49"/>
        <v>11</v>
      </c>
    </row>
    <row r="216" ht="12.75" customHeight="1"/>
    <row r="217" ht="12.75" customHeight="1">
      <c r="A217" s="42" t="s">
        <v>190</v>
      </c>
      <c r="B217" s="14" t="s">
        <v>191</v>
      </c>
      <c r="C217" s="15"/>
      <c r="D217" s="16"/>
      <c r="E217" s="13"/>
      <c r="F217" s="13"/>
      <c r="G217" s="13"/>
      <c r="H217" s="13"/>
      <c r="I217" s="13"/>
      <c r="J217" s="13"/>
      <c r="K217" s="13"/>
      <c r="L217" s="13"/>
      <c r="M217" s="13"/>
      <c r="N217" s="71"/>
      <c r="O217" s="13"/>
      <c r="P217" s="13"/>
      <c r="Q217" s="13"/>
      <c r="R217" s="13"/>
      <c r="S217" s="13"/>
      <c r="T217" s="13"/>
      <c r="U217" s="13"/>
      <c r="V217" s="13"/>
      <c r="W217" s="13"/>
      <c r="X217" s="71"/>
      <c r="Y217" s="13"/>
      <c r="Z217" s="13"/>
      <c r="AA217" s="13"/>
      <c r="AB217" s="13"/>
      <c r="AC217" s="13"/>
    </row>
    <row r="218" ht="12.75" customHeight="1">
      <c r="A218" s="42"/>
      <c r="B218" s="64" t="s">
        <v>192</v>
      </c>
      <c r="C218" s="65" t="s">
        <v>193</v>
      </c>
      <c r="D218" s="16"/>
      <c r="E218" s="19">
        <f t="shared" ref="E218:AB218" si="50">E53+E63+E73+E83+E93+E103+E109+E119+E129+E136+E146+E156+E166+E176+E186+E196+E206+E215</f>
        <v>202</v>
      </c>
      <c r="F218" s="19">
        <f t="shared" si="50"/>
        <v>204</v>
      </c>
      <c r="G218" s="19">
        <f t="shared" si="50"/>
        <v>206</v>
      </c>
      <c r="H218" s="19">
        <f t="shared" si="50"/>
        <v>222</v>
      </c>
      <c r="I218" s="19">
        <f t="shared" si="50"/>
        <v>167</v>
      </c>
      <c r="J218" s="19">
        <f t="shared" si="50"/>
        <v>202</v>
      </c>
      <c r="K218" s="19">
        <f t="shared" si="50"/>
        <v>213</v>
      </c>
      <c r="L218" s="19">
        <f t="shared" si="50"/>
        <v>205</v>
      </c>
      <c r="M218" s="19">
        <f t="shared" si="50"/>
        <v>192</v>
      </c>
      <c r="N218" s="19">
        <f t="shared" si="50"/>
        <v>191</v>
      </c>
      <c r="O218" s="19">
        <f t="shared" si="50"/>
        <v>189</v>
      </c>
      <c r="P218" s="19">
        <f t="shared" si="50"/>
        <v>160</v>
      </c>
      <c r="Q218" s="19">
        <f t="shared" si="50"/>
        <v>181</v>
      </c>
      <c r="R218" s="19">
        <f t="shared" si="50"/>
        <v>173</v>
      </c>
      <c r="S218" s="19">
        <f t="shared" si="50"/>
        <v>171</v>
      </c>
      <c r="T218" s="19">
        <f t="shared" si="50"/>
        <v>230</v>
      </c>
      <c r="U218" s="19">
        <f t="shared" si="50"/>
        <v>235</v>
      </c>
      <c r="V218" s="19">
        <f t="shared" si="50"/>
        <v>217</v>
      </c>
      <c r="W218" s="19">
        <f t="shared" si="50"/>
        <v>208</v>
      </c>
      <c r="X218" s="19">
        <f t="shared" si="50"/>
        <v>206</v>
      </c>
      <c r="Y218" s="19">
        <f t="shared" si="50"/>
        <v>175</v>
      </c>
      <c r="Z218" s="19">
        <f t="shared" si="50"/>
        <v>151</v>
      </c>
      <c r="AA218" s="19">
        <f t="shared" si="50"/>
        <v>184</v>
      </c>
      <c r="AB218" s="19">
        <f t="shared" si="50"/>
        <v>192</v>
      </c>
      <c r="AC218" s="13">
        <f t="shared" ref="AC218:AC220" si="51">SUM(E218:AB218)</f>
        <v>4676</v>
      </c>
    </row>
    <row r="219" ht="12.75" customHeight="1">
      <c r="A219" s="35"/>
      <c r="B219" s="64" t="s">
        <v>194</v>
      </c>
      <c r="C219" s="65" t="s">
        <v>195</v>
      </c>
      <c r="D219" s="16"/>
      <c r="E219" s="19">
        <v>24.0</v>
      </c>
      <c r="F219" s="19">
        <v>18.0</v>
      </c>
      <c r="G219" s="19">
        <v>15.0</v>
      </c>
      <c r="H219" s="19">
        <v>26.0</v>
      </c>
      <c r="I219" s="19">
        <v>23.0</v>
      </c>
      <c r="J219" s="19">
        <v>21.0</v>
      </c>
      <c r="K219" s="19">
        <v>8.0</v>
      </c>
      <c r="L219" s="19">
        <v>23.0</v>
      </c>
      <c r="M219" s="19">
        <v>23.0</v>
      </c>
      <c r="N219" s="19">
        <v>23.0</v>
      </c>
      <c r="O219" s="19">
        <v>16.0</v>
      </c>
      <c r="P219" s="19">
        <v>16.0</v>
      </c>
      <c r="Q219" s="19">
        <v>11.0</v>
      </c>
      <c r="R219" s="19">
        <v>29.0</v>
      </c>
      <c r="S219" s="19">
        <v>30.0</v>
      </c>
      <c r="T219" s="19">
        <v>10.0</v>
      </c>
      <c r="U219" s="19">
        <v>13.0</v>
      </c>
      <c r="V219" s="19">
        <v>15.0</v>
      </c>
      <c r="W219" s="19">
        <v>17.0</v>
      </c>
      <c r="X219" s="19">
        <v>19.0</v>
      </c>
      <c r="Y219" s="19">
        <v>16.0</v>
      </c>
      <c r="Z219" s="19">
        <v>12.0</v>
      </c>
      <c r="AA219" s="19">
        <v>19.0</v>
      </c>
      <c r="AB219" s="19">
        <v>18.0</v>
      </c>
      <c r="AC219" s="13">
        <f t="shared" si="51"/>
        <v>445</v>
      </c>
    </row>
    <row r="220" ht="12.75" customHeight="1">
      <c r="A220" s="41"/>
      <c r="B220" s="64" t="s">
        <v>196</v>
      </c>
      <c r="C220" s="65" t="s">
        <v>197</v>
      </c>
      <c r="D220" s="16"/>
      <c r="E220" s="13">
        <f t="shared" ref="E220:AB220" si="52">SUM(E218:E219)</f>
        <v>226</v>
      </c>
      <c r="F220" s="13">
        <f t="shared" si="52"/>
        <v>222</v>
      </c>
      <c r="G220" s="13">
        <f t="shared" si="52"/>
        <v>221</v>
      </c>
      <c r="H220" s="13">
        <f t="shared" si="52"/>
        <v>248</v>
      </c>
      <c r="I220" s="13">
        <f t="shared" si="52"/>
        <v>190</v>
      </c>
      <c r="J220" s="13">
        <f t="shared" si="52"/>
        <v>223</v>
      </c>
      <c r="K220" s="13">
        <f t="shared" si="52"/>
        <v>221</v>
      </c>
      <c r="L220" s="13">
        <f t="shared" si="52"/>
        <v>228</v>
      </c>
      <c r="M220" s="13">
        <f t="shared" si="52"/>
        <v>215</v>
      </c>
      <c r="N220" s="13">
        <f t="shared" si="52"/>
        <v>214</v>
      </c>
      <c r="O220" s="13">
        <f t="shared" si="52"/>
        <v>205</v>
      </c>
      <c r="P220" s="13">
        <f t="shared" si="52"/>
        <v>176</v>
      </c>
      <c r="Q220" s="13">
        <f t="shared" si="52"/>
        <v>192</v>
      </c>
      <c r="R220" s="13">
        <f t="shared" si="52"/>
        <v>202</v>
      </c>
      <c r="S220" s="13">
        <f t="shared" si="52"/>
        <v>201</v>
      </c>
      <c r="T220" s="13">
        <f t="shared" si="52"/>
        <v>240</v>
      </c>
      <c r="U220" s="13">
        <f t="shared" si="52"/>
        <v>248</v>
      </c>
      <c r="V220" s="13">
        <f t="shared" si="52"/>
        <v>232</v>
      </c>
      <c r="W220" s="13">
        <f t="shared" si="52"/>
        <v>225</v>
      </c>
      <c r="X220" s="13">
        <f t="shared" si="52"/>
        <v>225</v>
      </c>
      <c r="Y220" s="13">
        <f t="shared" si="52"/>
        <v>191</v>
      </c>
      <c r="Z220" s="13">
        <f t="shared" si="52"/>
        <v>163</v>
      </c>
      <c r="AA220" s="13">
        <f t="shared" si="52"/>
        <v>203</v>
      </c>
      <c r="AB220" s="13">
        <f t="shared" si="52"/>
        <v>210</v>
      </c>
      <c r="AC220" s="13">
        <f t="shared" si="51"/>
        <v>5121</v>
      </c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C50:D50"/>
    <mergeCell ref="C51:D51"/>
    <mergeCell ref="C52:D52"/>
    <mergeCell ref="B53:D53"/>
    <mergeCell ref="A54:E54"/>
    <mergeCell ref="C55:D55"/>
    <mergeCell ref="B63:D63"/>
    <mergeCell ref="A64:E64"/>
    <mergeCell ref="C65:D65"/>
    <mergeCell ref="B73:D73"/>
    <mergeCell ref="A74:E74"/>
    <mergeCell ref="C75:D75"/>
    <mergeCell ref="B83:D83"/>
    <mergeCell ref="A84:E84"/>
    <mergeCell ref="B103:D103"/>
    <mergeCell ref="A104:E104"/>
    <mergeCell ref="C105:D105"/>
    <mergeCell ref="B109:D109"/>
    <mergeCell ref="A110:E110"/>
    <mergeCell ref="C111:D111"/>
    <mergeCell ref="B119:D119"/>
    <mergeCell ref="A120:E120"/>
    <mergeCell ref="C121:D121"/>
    <mergeCell ref="B129:D129"/>
    <mergeCell ref="A130:E130"/>
    <mergeCell ref="C131:D131"/>
    <mergeCell ref="B136:D136"/>
    <mergeCell ref="A137:E137"/>
    <mergeCell ref="C138:D138"/>
    <mergeCell ref="B146:D146"/>
    <mergeCell ref="A147:E147"/>
    <mergeCell ref="C148:D148"/>
    <mergeCell ref="B156:D156"/>
    <mergeCell ref="A157:E157"/>
    <mergeCell ref="C158:D158"/>
    <mergeCell ref="B166:D166"/>
    <mergeCell ref="A167:E167"/>
    <mergeCell ref="C168:D168"/>
    <mergeCell ref="B176:D176"/>
    <mergeCell ref="A177:E177"/>
    <mergeCell ref="C178:D178"/>
    <mergeCell ref="B186:D186"/>
    <mergeCell ref="C208:D208"/>
    <mergeCell ref="B215:D215"/>
    <mergeCell ref="B217:D217"/>
    <mergeCell ref="C218:D218"/>
    <mergeCell ref="C219:D219"/>
    <mergeCell ref="C220:D220"/>
    <mergeCell ref="A187:E187"/>
    <mergeCell ref="C188:D188"/>
    <mergeCell ref="B196:D196"/>
    <mergeCell ref="A197:E197"/>
    <mergeCell ref="C198:D198"/>
    <mergeCell ref="B206:D206"/>
    <mergeCell ref="A207:E207"/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B37"/>
    <mergeCell ref="B38:D38"/>
    <mergeCell ref="B39:C41"/>
    <mergeCell ref="A42:D42"/>
    <mergeCell ref="E42:AB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85:D85"/>
    <mergeCell ref="B93:D93"/>
    <mergeCell ref="A94:E94"/>
    <mergeCell ref="C95:D95"/>
  </mergeCells>
  <conditionalFormatting sqref="E14:AB15 E19:AB20 E22:AB23 E25:AB26 E33:AB33 E35:AB35 E39:AB40 E45:AB52 E55:AB62 E65:AB72 E75:AB82 E85:AB92 E95:AB102 E105:AB108 E111:AB118 E121:AB128 E131:AB135 E138:AB145 E148:AB155 E158:AB165 E168:AB175 E178:AB185 E188:AB195 E198:AB205 E208:AB214 E218:AB219">
    <cfRule type="containsBlanks" dxfId="0" priority="1">
      <formula>LEN(TRIM(E14))=0</formula>
    </cfRule>
  </conditionalFormatting>
  <conditionalFormatting sqref="E30:AB30">
    <cfRule type="expression" dxfId="1" priority="2">
      <formula>E30&lt;&gt;E47</formula>
    </cfRule>
  </conditionalFormatting>
  <conditionalFormatting sqref="E30:AB30">
    <cfRule type="expression" dxfId="1" priority="3">
      <formula>E30&lt;&gt;E34</formula>
    </cfRule>
  </conditionalFormatting>
  <conditionalFormatting sqref="E34:AB34">
    <cfRule type="expression" dxfId="2" priority="4">
      <formula>E30&lt;&gt;E34</formula>
    </cfRule>
  </conditionalFormatting>
  <conditionalFormatting sqref="E34:AB34">
    <cfRule type="expression" dxfId="3" priority="5">
      <formula>E30=E34</formula>
    </cfRule>
  </conditionalFormatting>
  <conditionalFormatting sqref="E34:AB34">
    <cfRule type="expression" dxfId="1" priority="6">
      <formula>E34&lt;&gt;E30</formula>
    </cfRule>
  </conditionalFormatting>
  <conditionalFormatting sqref="E34:AB34">
    <cfRule type="expression" dxfId="1" priority="7">
      <formula>E34&lt;&gt;E62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7" width="8.71"/>
    <col customWidth="1" min="18" max="18" width="13.29"/>
    <col customWidth="1" min="19" max="26" width="8.71"/>
  </cols>
  <sheetData>
    <row r="1" ht="12.75" customHeight="1"/>
    <row r="2" ht="12.75" customHeight="1">
      <c r="C2" s="8" t="s">
        <v>0</v>
      </c>
      <c r="D2" s="8" t="s">
        <v>198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199</v>
      </c>
      <c r="D9" s="8" t="s">
        <v>225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201</v>
      </c>
      <c r="F13" s="13" t="s">
        <v>202</v>
      </c>
      <c r="G13" s="13" t="s">
        <v>203</v>
      </c>
      <c r="H13" s="13" t="s">
        <v>204</v>
      </c>
      <c r="I13" s="13" t="s">
        <v>205</v>
      </c>
      <c r="J13" s="13" t="s">
        <v>206</v>
      </c>
      <c r="K13" s="13" t="s">
        <v>207</v>
      </c>
      <c r="L13" s="13" t="s">
        <v>208</v>
      </c>
      <c r="M13" s="13" t="s">
        <v>209</v>
      </c>
      <c r="N13" s="13" t="s">
        <v>210</v>
      </c>
      <c r="O13" s="13" t="s">
        <v>211</v>
      </c>
      <c r="P13" s="13" t="s">
        <v>212</v>
      </c>
      <c r="Q13" s="13" t="s">
        <v>213</v>
      </c>
      <c r="R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127.0</v>
      </c>
      <c r="G14" s="19">
        <v>141.0</v>
      </c>
      <c r="H14" s="19">
        <v>142.0</v>
      </c>
      <c r="I14" s="19">
        <v>122.0</v>
      </c>
      <c r="J14" s="19">
        <v>103.0</v>
      </c>
      <c r="K14" s="19">
        <v>120.0</v>
      </c>
      <c r="L14" s="19">
        <v>109.0</v>
      </c>
      <c r="M14" s="19">
        <v>129.0</v>
      </c>
      <c r="N14" s="19">
        <v>137.0</v>
      </c>
      <c r="O14" s="19">
        <v>111.0</v>
      </c>
      <c r="P14" s="19">
        <v>114.0</v>
      </c>
      <c r="Q14" s="19">
        <v>141.0</v>
      </c>
      <c r="R14" s="13">
        <f t="shared" ref="R14:R16" si="1">SUM(E14:Q14)</f>
        <v>1631</v>
      </c>
    </row>
    <row r="15" ht="12.75" customHeight="1">
      <c r="A15" s="18"/>
      <c r="B15" s="26"/>
      <c r="C15" s="27"/>
      <c r="D15" s="19" t="s">
        <v>13</v>
      </c>
      <c r="E15" s="19">
        <v>135.0</v>
      </c>
      <c r="F15" s="19">
        <v>125.0</v>
      </c>
      <c r="G15" s="19">
        <v>117.0</v>
      </c>
      <c r="H15" s="19">
        <v>141.0</v>
      </c>
      <c r="I15" s="19">
        <v>117.0</v>
      </c>
      <c r="J15" s="19">
        <v>108.0</v>
      </c>
      <c r="K15" s="19">
        <v>118.0</v>
      </c>
      <c r="L15" s="19">
        <v>128.0</v>
      </c>
      <c r="M15" s="19">
        <v>136.0</v>
      </c>
      <c r="N15" s="19">
        <v>122.0</v>
      </c>
      <c r="O15" s="19">
        <v>110.0</v>
      </c>
      <c r="P15" s="19">
        <v>112.0</v>
      </c>
      <c r="Q15" s="19">
        <v>128.0</v>
      </c>
      <c r="R15" s="13">
        <f t="shared" si="1"/>
        <v>1597</v>
      </c>
    </row>
    <row r="16" ht="12.75" customHeight="1">
      <c r="A16" s="25"/>
      <c r="B16" s="21"/>
      <c r="C16" s="28"/>
      <c r="D16" s="13" t="s">
        <v>14</v>
      </c>
      <c r="E16" s="13">
        <f t="shared" ref="E16:Q16" si="2">SUM(E14:E15)</f>
        <v>270</v>
      </c>
      <c r="F16" s="13">
        <f t="shared" si="2"/>
        <v>252</v>
      </c>
      <c r="G16" s="13">
        <f t="shared" si="2"/>
        <v>258</v>
      </c>
      <c r="H16" s="13">
        <f t="shared" si="2"/>
        <v>283</v>
      </c>
      <c r="I16" s="13">
        <f t="shared" si="2"/>
        <v>239</v>
      </c>
      <c r="J16" s="13">
        <f t="shared" si="2"/>
        <v>211</v>
      </c>
      <c r="K16" s="13">
        <f t="shared" si="2"/>
        <v>238</v>
      </c>
      <c r="L16" s="13">
        <f t="shared" si="2"/>
        <v>237</v>
      </c>
      <c r="M16" s="13">
        <f t="shared" si="2"/>
        <v>265</v>
      </c>
      <c r="N16" s="13">
        <f t="shared" si="2"/>
        <v>259</v>
      </c>
      <c r="O16" s="13">
        <f t="shared" si="2"/>
        <v>221</v>
      </c>
      <c r="P16" s="13">
        <f t="shared" si="2"/>
        <v>226</v>
      </c>
      <c r="Q16" s="13">
        <f t="shared" si="2"/>
        <v>269</v>
      </c>
      <c r="R16" s="13">
        <f t="shared" si="1"/>
        <v>3228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7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7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114.0</v>
      </c>
      <c r="F19" s="19">
        <v>89.0</v>
      </c>
      <c r="G19" s="19">
        <v>119.0</v>
      </c>
      <c r="H19" s="19">
        <v>120.0</v>
      </c>
      <c r="I19" s="19">
        <v>109.0</v>
      </c>
      <c r="J19" s="19">
        <v>98.0</v>
      </c>
      <c r="K19" s="19">
        <v>93.0</v>
      </c>
      <c r="L19" s="19">
        <v>99.0</v>
      </c>
      <c r="M19" s="19">
        <v>101.0</v>
      </c>
      <c r="N19" s="19">
        <v>115.0</v>
      </c>
      <c r="O19" s="19">
        <v>93.0</v>
      </c>
      <c r="P19" s="19">
        <v>93.0</v>
      </c>
      <c r="Q19" s="19">
        <v>101.0</v>
      </c>
      <c r="R19" s="13">
        <f t="shared" ref="R19:R30" si="3">SUM(E19:Q19)</f>
        <v>1344</v>
      </c>
    </row>
    <row r="20" ht="12.75" customHeight="1">
      <c r="A20" s="33"/>
      <c r="B20" s="27"/>
      <c r="C20" s="34"/>
      <c r="D20" s="19" t="s">
        <v>13</v>
      </c>
      <c r="E20" s="19">
        <v>120.0</v>
      </c>
      <c r="F20" s="19">
        <v>120.0</v>
      </c>
      <c r="G20" s="19">
        <v>97.0</v>
      </c>
      <c r="H20" s="19">
        <v>127.0</v>
      </c>
      <c r="I20" s="19">
        <v>112.0</v>
      </c>
      <c r="J20" s="19">
        <v>95.0</v>
      </c>
      <c r="K20" s="19">
        <v>102.0</v>
      </c>
      <c r="L20" s="19">
        <v>117.0</v>
      </c>
      <c r="M20" s="19">
        <v>116.0</v>
      </c>
      <c r="N20" s="19">
        <v>109.0</v>
      </c>
      <c r="O20" s="19">
        <v>100.0</v>
      </c>
      <c r="P20" s="19">
        <v>100.0</v>
      </c>
      <c r="Q20" s="19">
        <v>113.0</v>
      </c>
      <c r="R20" s="13">
        <f t="shared" si="3"/>
        <v>1428</v>
      </c>
    </row>
    <row r="21" ht="12.75" customHeight="1">
      <c r="A21" s="35"/>
      <c r="B21" s="28"/>
      <c r="C21" s="36"/>
      <c r="D21" s="13" t="s">
        <v>14</v>
      </c>
      <c r="E21" s="13">
        <f t="shared" ref="E21:Q21" si="4">SUM(E19:E20)</f>
        <v>234</v>
      </c>
      <c r="F21" s="13">
        <f t="shared" si="4"/>
        <v>209</v>
      </c>
      <c r="G21" s="13">
        <f t="shared" si="4"/>
        <v>216</v>
      </c>
      <c r="H21" s="13">
        <f t="shared" si="4"/>
        <v>247</v>
      </c>
      <c r="I21" s="13">
        <f t="shared" si="4"/>
        <v>221</v>
      </c>
      <c r="J21" s="13">
        <f t="shared" si="4"/>
        <v>193</v>
      </c>
      <c r="K21" s="13">
        <f t="shared" si="4"/>
        <v>195</v>
      </c>
      <c r="L21" s="13">
        <f t="shared" si="4"/>
        <v>216</v>
      </c>
      <c r="M21" s="13">
        <f t="shared" si="4"/>
        <v>217</v>
      </c>
      <c r="N21" s="13">
        <f t="shared" si="4"/>
        <v>224</v>
      </c>
      <c r="O21" s="13">
        <f t="shared" si="4"/>
        <v>193</v>
      </c>
      <c r="P21" s="13">
        <f t="shared" si="4"/>
        <v>193</v>
      </c>
      <c r="Q21" s="13">
        <f t="shared" si="4"/>
        <v>214</v>
      </c>
      <c r="R21" s="13">
        <f t="shared" si="3"/>
        <v>2772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3.0</v>
      </c>
      <c r="F22" s="19">
        <v>0.0</v>
      </c>
      <c r="G22" s="19">
        <v>0.0</v>
      </c>
      <c r="H22" s="19">
        <v>2.0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1.0</v>
      </c>
      <c r="P22" s="19">
        <v>0.0</v>
      </c>
      <c r="Q22" s="19">
        <v>1.0</v>
      </c>
      <c r="R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3.0</v>
      </c>
      <c r="G23" s="19">
        <v>0.0</v>
      </c>
      <c r="H23" s="19">
        <v>0.0</v>
      </c>
      <c r="I23" s="19">
        <v>1.0</v>
      </c>
      <c r="J23" s="19">
        <v>1.0</v>
      </c>
      <c r="K23" s="19">
        <v>0.0</v>
      </c>
      <c r="L23" s="19">
        <v>1.0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Q24" si="5">SUM(E22:E23)</f>
        <v>3</v>
      </c>
      <c r="F24" s="13">
        <f t="shared" si="5"/>
        <v>3</v>
      </c>
      <c r="G24" s="13">
        <f t="shared" si="5"/>
        <v>0</v>
      </c>
      <c r="H24" s="13">
        <f t="shared" si="5"/>
        <v>2</v>
      </c>
      <c r="I24" s="13">
        <f t="shared" si="5"/>
        <v>1</v>
      </c>
      <c r="J24" s="13">
        <f t="shared" si="5"/>
        <v>1</v>
      </c>
      <c r="K24" s="13">
        <f t="shared" si="5"/>
        <v>0</v>
      </c>
      <c r="L24" s="13">
        <f t="shared" si="5"/>
        <v>1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1</v>
      </c>
      <c r="R24" s="13">
        <f t="shared" si="3"/>
        <v>13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1.0</v>
      </c>
      <c r="J25" s="19">
        <v>3.0</v>
      </c>
      <c r="K25" s="19">
        <v>1.0</v>
      </c>
      <c r="L25" s="19">
        <v>0.0</v>
      </c>
      <c r="M25" s="19">
        <v>0.0</v>
      </c>
      <c r="N25" s="19">
        <v>5.0</v>
      </c>
      <c r="O25" s="19">
        <v>2.0</v>
      </c>
      <c r="P25" s="19">
        <v>0.0</v>
      </c>
      <c r="Q25" s="19">
        <v>2.0</v>
      </c>
      <c r="R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2.0</v>
      </c>
      <c r="G26" s="19">
        <v>0.0</v>
      </c>
      <c r="H26" s="19">
        <v>0.0</v>
      </c>
      <c r="I26" s="19">
        <v>3.0</v>
      </c>
      <c r="J26" s="19">
        <v>4.0</v>
      </c>
      <c r="K26" s="19">
        <v>2.0</v>
      </c>
      <c r="L26" s="19">
        <v>0.0</v>
      </c>
      <c r="M26" s="19">
        <v>0.0</v>
      </c>
      <c r="N26" s="19">
        <v>5.0</v>
      </c>
      <c r="O26" s="19">
        <v>0.0</v>
      </c>
      <c r="P26" s="19">
        <v>1.0</v>
      </c>
      <c r="Q26" s="19">
        <v>1.0</v>
      </c>
      <c r="R26" s="13">
        <f t="shared" si="3"/>
        <v>18</v>
      </c>
    </row>
    <row r="27" ht="12.75" customHeight="1">
      <c r="A27" s="35"/>
      <c r="B27" s="28"/>
      <c r="C27" s="36"/>
      <c r="D27" s="13" t="s">
        <v>14</v>
      </c>
      <c r="E27" s="13">
        <f t="shared" ref="E27:Q27" si="6">SUM(E25:E26)</f>
        <v>0</v>
      </c>
      <c r="F27" s="13">
        <f t="shared" si="6"/>
        <v>3</v>
      </c>
      <c r="G27" s="13">
        <f t="shared" si="6"/>
        <v>0</v>
      </c>
      <c r="H27" s="13">
        <f t="shared" si="6"/>
        <v>0</v>
      </c>
      <c r="I27" s="13">
        <f t="shared" si="6"/>
        <v>4</v>
      </c>
      <c r="J27" s="13">
        <f t="shared" si="6"/>
        <v>7</v>
      </c>
      <c r="K27" s="13">
        <f t="shared" si="6"/>
        <v>3</v>
      </c>
      <c r="L27" s="13">
        <f t="shared" si="6"/>
        <v>0</v>
      </c>
      <c r="M27" s="13">
        <f t="shared" si="6"/>
        <v>0</v>
      </c>
      <c r="N27" s="13">
        <f t="shared" si="6"/>
        <v>10</v>
      </c>
      <c r="O27" s="13">
        <f t="shared" si="6"/>
        <v>2</v>
      </c>
      <c r="P27" s="13">
        <f t="shared" si="6"/>
        <v>1</v>
      </c>
      <c r="Q27" s="13">
        <f t="shared" si="6"/>
        <v>3</v>
      </c>
      <c r="R27" s="13">
        <f t="shared" si="3"/>
        <v>33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Q28" si="7">SUM(E19,E22,E25)</f>
        <v>117</v>
      </c>
      <c r="F28" s="13">
        <f t="shared" si="7"/>
        <v>90</v>
      </c>
      <c r="G28" s="13">
        <f t="shared" si="7"/>
        <v>119</v>
      </c>
      <c r="H28" s="13">
        <f t="shared" si="7"/>
        <v>122</v>
      </c>
      <c r="I28" s="13">
        <f t="shared" si="7"/>
        <v>110</v>
      </c>
      <c r="J28" s="13">
        <f t="shared" si="7"/>
        <v>101</v>
      </c>
      <c r="K28" s="13">
        <f t="shared" si="7"/>
        <v>94</v>
      </c>
      <c r="L28" s="13">
        <f t="shared" si="7"/>
        <v>99</v>
      </c>
      <c r="M28" s="13">
        <f t="shared" si="7"/>
        <v>101</v>
      </c>
      <c r="N28" s="13">
        <f t="shared" si="7"/>
        <v>120</v>
      </c>
      <c r="O28" s="13">
        <f t="shared" si="7"/>
        <v>96</v>
      </c>
      <c r="P28" s="13">
        <f t="shared" si="7"/>
        <v>93</v>
      </c>
      <c r="Q28" s="13">
        <f t="shared" si="7"/>
        <v>104</v>
      </c>
      <c r="R28" s="13">
        <f t="shared" si="3"/>
        <v>1366</v>
      </c>
    </row>
    <row r="29" ht="12.75" customHeight="1">
      <c r="A29" s="35"/>
      <c r="B29" s="27"/>
      <c r="C29" s="34"/>
      <c r="D29" s="13" t="s">
        <v>13</v>
      </c>
      <c r="E29" s="13">
        <f t="shared" ref="E29:Q29" si="8">SUM(E20,E23,E26)</f>
        <v>120</v>
      </c>
      <c r="F29" s="13">
        <f t="shared" si="8"/>
        <v>125</v>
      </c>
      <c r="G29" s="13">
        <f t="shared" si="8"/>
        <v>97</v>
      </c>
      <c r="H29" s="13">
        <f t="shared" si="8"/>
        <v>127</v>
      </c>
      <c r="I29" s="13">
        <f t="shared" si="8"/>
        <v>116</v>
      </c>
      <c r="J29" s="13">
        <f t="shared" si="8"/>
        <v>100</v>
      </c>
      <c r="K29" s="13">
        <f t="shared" si="8"/>
        <v>104</v>
      </c>
      <c r="L29" s="13">
        <f t="shared" si="8"/>
        <v>118</v>
      </c>
      <c r="M29" s="13">
        <f t="shared" si="8"/>
        <v>116</v>
      </c>
      <c r="N29" s="13">
        <f t="shared" si="8"/>
        <v>114</v>
      </c>
      <c r="O29" s="13">
        <f t="shared" si="8"/>
        <v>100</v>
      </c>
      <c r="P29" s="13">
        <f t="shared" si="8"/>
        <v>101</v>
      </c>
      <c r="Q29" s="13">
        <f t="shared" si="8"/>
        <v>114</v>
      </c>
      <c r="R29" s="13">
        <f t="shared" si="3"/>
        <v>1452</v>
      </c>
    </row>
    <row r="30" ht="12.75" customHeight="1">
      <c r="A30" s="35"/>
      <c r="B30" s="28"/>
      <c r="C30" s="36"/>
      <c r="D30" s="13" t="s">
        <v>14</v>
      </c>
      <c r="E30" s="13">
        <f t="shared" ref="E30:Q30" si="9">SUM(E28:E29)</f>
        <v>237</v>
      </c>
      <c r="F30" s="13">
        <f t="shared" si="9"/>
        <v>215</v>
      </c>
      <c r="G30" s="13">
        <f t="shared" si="9"/>
        <v>216</v>
      </c>
      <c r="H30" s="13">
        <f t="shared" si="9"/>
        <v>249</v>
      </c>
      <c r="I30" s="13">
        <f t="shared" si="9"/>
        <v>226</v>
      </c>
      <c r="J30" s="13">
        <f t="shared" si="9"/>
        <v>201</v>
      </c>
      <c r="K30" s="13">
        <f t="shared" si="9"/>
        <v>198</v>
      </c>
      <c r="L30" s="13">
        <f t="shared" si="9"/>
        <v>217</v>
      </c>
      <c r="M30" s="13">
        <f t="shared" si="9"/>
        <v>217</v>
      </c>
      <c r="N30" s="13">
        <f t="shared" si="9"/>
        <v>234</v>
      </c>
      <c r="O30" s="13">
        <f t="shared" si="9"/>
        <v>196</v>
      </c>
      <c r="P30" s="13">
        <f t="shared" si="9"/>
        <v>194</v>
      </c>
      <c r="Q30" s="13">
        <f t="shared" si="9"/>
        <v>218</v>
      </c>
      <c r="R30" s="13">
        <f t="shared" si="3"/>
        <v>2818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7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70"/>
    </row>
    <row r="33" ht="12.75" customHeight="1">
      <c r="A33" s="19">
        <v>1.0</v>
      </c>
      <c r="B33" s="20" t="s">
        <v>27</v>
      </c>
      <c r="C33" s="15"/>
      <c r="D33" s="16"/>
      <c r="E33" s="19">
        <v>276.0</v>
      </c>
      <c r="F33" s="19">
        <v>258.0</v>
      </c>
      <c r="G33" s="19">
        <v>264.0</v>
      </c>
      <c r="H33" s="19">
        <v>289.0</v>
      </c>
      <c r="I33" s="19">
        <v>244.0</v>
      </c>
      <c r="J33" s="19">
        <v>216.0</v>
      </c>
      <c r="K33" s="19">
        <v>243.0</v>
      </c>
      <c r="L33" s="19">
        <v>243.0</v>
      </c>
      <c r="M33" s="19">
        <v>271.0</v>
      </c>
      <c r="N33" s="19">
        <v>275.0</v>
      </c>
      <c r="O33" s="19">
        <v>226.0</v>
      </c>
      <c r="P33" s="19">
        <v>232.0</v>
      </c>
      <c r="Q33" s="19">
        <v>275.0</v>
      </c>
      <c r="R33" s="13">
        <f t="shared" ref="R33:R36" si="10">SUM(E33:Q33)</f>
        <v>3312</v>
      </c>
    </row>
    <row r="34" ht="12.75" customHeight="1">
      <c r="A34" s="19">
        <v>2.0</v>
      </c>
      <c r="B34" s="20" t="s">
        <v>28</v>
      </c>
      <c r="C34" s="15"/>
      <c r="D34" s="16"/>
      <c r="E34" s="13">
        <v>237.0</v>
      </c>
      <c r="F34" s="13">
        <v>215.0</v>
      </c>
      <c r="G34" s="13">
        <v>216.0</v>
      </c>
      <c r="H34" s="13">
        <v>249.0</v>
      </c>
      <c r="I34" s="13">
        <v>226.0</v>
      </c>
      <c r="J34" s="13">
        <v>201.0</v>
      </c>
      <c r="K34" s="13">
        <v>198.0</v>
      </c>
      <c r="L34" s="13">
        <v>217.0</v>
      </c>
      <c r="M34" s="13">
        <v>217.0</v>
      </c>
      <c r="N34" s="13">
        <v>234.0</v>
      </c>
      <c r="O34" s="13">
        <v>196.0</v>
      </c>
      <c r="P34" s="13">
        <v>194.0</v>
      </c>
      <c r="Q34" s="13">
        <v>218.0</v>
      </c>
      <c r="R34" s="13">
        <f t="shared" si="10"/>
        <v>2818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>
        <v>1.0</v>
      </c>
      <c r="N35" s="19"/>
      <c r="O35" s="19">
        <v>2.0</v>
      </c>
      <c r="P35" s="19"/>
      <c r="Q35" s="19"/>
      <c r="R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Q36" si="11">E33-(E34+E35)</f>
        <v>39</v>
      </c>
      <c r="F36" s="13">
        <f t="shared" si="11"/>
        <v>43</v>
      </c>
      <c r="G36" s="13">
        <f t="shared" si="11"/>
        <v>48</v>
      </c>
      <c r="H36" s="13">
        <f t="shared" si="11"/>
        <v>40</v>
      </c>
      <c r="I36" s="13">
        <f t="shared" si="11"/>
        <v>18</v>
      </c>
      <c r="J36" s="13">
        <f t="shared" si="11"/>
        <v>15</v>
      </c>
      <c r="K36" s="13">
        <f t="shared" si="11"/>
        <v>45</v>
      </c>
      <c r="L36" s="13">
        <f t="shared" si="11"/>
        <v>26</v>
      </c>
      <c r="M36" s="13">
        <f t="shared" si="11"/>
        <v>53</v>
      </c>
      <c r="N36" s="13">
        <f t="shared" si="11"/>
        <v>41</v>
      </c>
      <c r="O36" s="13">
        <f t="shared" si="11"/>
        <v>28</v>
      </c>
      <c r="P36" s="13">
        <f t="shared" si="11"/>
        <v>38</v>
      </c>
      <c r="Q36" s="13">
        <f t="shared" si="11"/>
        <v>57</v>
      </c>
      <c r="R36" s="13">
        <f t="shared" si="10"/>
        <v>491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6"/>
      <c r="P37" s="19"/>
      <c r="Q37" s="19"/>
      <c r="R37" s="7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70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>
        <v>1.0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3">
        <f t="shared" ref="R39:R41" si="12">SUM(E39:Q39)</f>
        <v>1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Q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6"/>
      <c r="P42" s="19"/>
      <c r="Q42" s="19"/>
      <c r="R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8.0</v>
      </c>
      <c r="F45" s="19">
        <v>6.0</v>
      </c>
      <c r="G45" s="19">
        <v>5.0</v>
      </c>
      <c r="H45" s="19">
        <v>7.0</v>
      </c>
      <c r="I45" s="19">
        <v>7.0</v>
      </c>
      <c r="J45" s="19">
        <v>4.0</v>
      </c>
      <c r="K45" s="19">
        <v>7.0</v>
      </c>
      <c r="L45" s="19">
        <v>3.0</v>
      </c>
      <c r="M45" s="19">
        <v>7.0</v>
      </c>
      <c r="N45" s="19">
        <v>6.0</v>
      </c>
      <c r="O45" s="19">
        <v>4.0</v>
      </c>
      <c r="P45" s="19">
        <v>4.0</v>
      </c>
      <c r="Q45" s="19">
        <v>3.0</v>
      </c>
      <c r="R45" s="13">
        <f t="shared" ref="R45:R52" si="14">SUM(E45:Q45)</f>
        <v>71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21.0</v>
      </c>
      <c r="F46" s="19">
        <v>15.0</v>
      </c>
      <c r="G46" s="19">
        <v>14.0</v>
      </c>
      <c r="H46" s="19">
        <v>8.0</v>
      </c>
      <c r="I46" s="19">
        <v>26.0</v>
      </c>
      <c r="J46" s="19">
        <v>19.0</v>
      </c>
      <c r="K46" s="19">
        <v>25.0</v>
      </c>
      <c r="L46" s="19">
        <v>40.0</v>
      </c>
      <c r="M46" s="19">
        <v>41.0</v>
      </c>
      <c r="N46" s="19">
        <v>9.0</v>
      </c>
      <c r="O46" s="19">
        <v>28.0</v>
      </c>
      <c r="P46" s="19">
        <v>14.0</v>
      </c>
      <c r="Q46" s="19">
        <v>15.0</v>
      </c>
      <c r="R46" s="13">
        <f t="shared" si="14"/>
        <v>275</v>
      </c>
    </row>
    <row r="47" ht="12.75" customHeight="1">
      <c r="A47" s="18"/>
      <c r="B47" s="55">
        <v>2.0</v>
      </c>
      <c r="C47" s="50" t="s">
        <v>41</v>
      </c>
      <c r="D47" s="16"/>
      <c r="E47" s="19">
        <v>13.0</v>
      </c>
      <c r="F47" s="19">
        <v>3.0</v>
      </c>
      <c r="G47" s="19">
        <v>3.0</v>
      </c>
      <c r="H47" s="19">
        <v>0.0</v>
      </c>
      <c r="I47" s="19">
        <v>0.0</v>
      </c>
      <c r="J47" s="19">
        <v>3.0</v>
      </c>
      <c r="K47" s="19">
        <v>0.0</v>
      </c>
      <c r="L47" s="19">
        <v>0.0</v>
      </c>
      <c r="M47" s="19">
        <v>3.0</v>
      </c>
      <c r="N47" s="19">
        <v>0.0</v>
      </c>
      <c r="O47" s="19">
        <v>1.0</v>
      </c>
      <c r="P47" s="19">
        <v>0.0</v>
      </c>
      <c r="Q47" s="19">
        <v>1.0</v>
      </c>
      <c r="R47" s="13">
        <f t="shared" si="14"/>
        <v>27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1.0</v>
      </c>
      <c r="I48" s="19">
        <v>0.0</v>
      </c>
      <c r="J48" s="19">
        <v>0.0</v>
      </c>
      <c r="K48" s="19">
        <v>0.0</v>
      </c>
      <c r="L48" s="19">
        <v>0.0</v>
      </c>
      <c r="M48" s="19">
        <v>0.0</v>
      </c>
      <c r="N48" s="19">
        <v>0.0</v>
      </c>
      <c r="O48" s="19">
        <v>0.0</v>
      </c>
      <c r="P48" s="19">
        <v>0.0</v>
      </c>
      <c r="Q48" s="19">
        <v>1.0</v>
      </c>
      <c r="R48" s="13">
        <f t="shared" si="14"/>
        <v>2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1.0</v>
      </c>
      <c r="G49" s="19">
        <v>0.0</v>
      </c>
      <c r="H49" s="19">
        <v>1.0</v>
      </c>
      <c r="I49" s="19">
        <v>0.0</v>
      </c>
      <c r="J49" s="19">
        <v>0.0</v>
      </c>
      <c r="K49" s="19">
        <v>0.0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0.0</v>
      </c>
      <c r="R49" s="13">
        <f t="shared" si="14"/>
        <v>2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3">
        <f t="shared" si="14"/>
        <v>0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3">
        <f t="shared" si="14"/>
        <v>0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1.0</v>
      </c>
      <c r="N52" s="19">
        <v>0.0</v>
      </c>
      <c r="O52" s="19">
        <v>0.0</v>
      </c>
      <c r="P52" s="19"/>
      <c r="Q52" s="19"/>
      <c r="R52" s="13">
        <f t="shared" si="14"/>
        <v>1</v>
      </c>
    </row>
    <row r="53" ht="12.75" customHeight="1">
      <c r="A53" s="19" t="s">
        <v>15</v>
      </c>
      <c r="B53" s="47" t="s">
        <v>47</v>
      </c>
      <c r="C53" s="15"/>
      <c r="D53" s="16"/>
      <c r="E53" s="13">
        <f t="shared" ref="E53:R53" si="15">SUM(E45:E52)</f>
        <v>42</v>
      </c>
      <c r="F53" s="13">
        <f t="shared" si="15"/>
        <v>25</v>
      </c>
      <c r="G53" s="13">
        <f t="shared" si="15"/>
        <v>22</v>
      </c>
      <c r="H53" s="13">
        <f t="shared" si="15"/>
        <v>17</v>
      </c>
      <c r="I53" s="13">
        <f t="shared" si="15"/>
        <v>33</v>
      </c>
      <c r="J53" s="13">
        <f t="shared" si="15"/>
        <v>26</v>
      </c>
      <c r="K53" s="13">
        <f t="shared" si="15"/>
        <v>32</v>
      </c>
      <c r="L53" s="13">
        <f t="shared" si="15"/>
        <v>43</v>
      </c>
      <c r="M53" s="13">
        <f t="shared" si="15"/>
        <v>52</v>
      </c>
      <c r="N53" s="13">
        <f t="shared" si="15"/>
        <v>15</v>
      </c>
      <c r="O53" s="13">
        <f t="shared" si="15"/>
        <v>33</v>
      </c>
      <c r="P53" s="13">
        <f t="shared" si="15"/>
        <v>18</v>
      </c>
      <c r="Q53" s="13">
        <f t="shared" si="15"/>
        <v>20</v>
      </c>
      <c r="R53" s="13">
        <f t="shared" si="15"/>
        <v>378</v>
      </c>
    </row>
    <row r="54" ht="12.75" customHeight="1">
      <c r="A54" s="45"/>
      <c r="B54" s="44"/>
      <c r="C54" s="44"/>
      <c r="D54" s="44"/>
      <c r="E54" s="44"/>
      <c r="R54" s="13"/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4.0</v>
      </c>
      <c r="F55" s="19">
        <v>7.0</v>
      </c>
      <c r="G55" s="19">
        <v>10.0</v>
      </c>
      <c r="H55" s="19">
        <v>12.0</v>
      </c>
      <c r="I55" s="19">
        <v>6.0</v>
      </c>
      <c r="J55" s="19">
        <v>7.0</v>
      </c>
      <c r="K55" s="19">
        <v>3.0</v>
      </c>
      <c r="L55" s="19">
        <v>3.0</v>
      </c>
      <c r="M55" s="19">
        <v>4.0</v>
      </c>
      <c r="N55" s="19">
        <v>6.0</v>
      </c>
      <c r="O55" s="19">
        <v>6.0</v>
      </c>
      <c r="P55" s="19">
        <v>6.0</v>
      </c>
      <c r="Q55" s="19">
        <v>6.0</v>
      </c>
      <c r="R55" s="13">
        <f t="shared" ref="R55:R62" si="16">SUM(E55:Q55)</f>
        <v>80</v>
      </c>
    </row>
    <row r="56" ht="12.75" customHeight="1">
      <c r="A56" s="30" t="s">
        <v>39</v>
      </c>
      <c r="B56" s="55">
        <v>1.0</v>
      </c>
      <c r="C56" s="50" t="s">
        <v>49</v>
      </c>
      <c r="D56" s="56"/>
      <c r="E56" s="19">
        <v>29.0</v>
      </c>
      <c r="F56" s="19">
        <v>29.0</v>
      </c>
      <c r="G56" s="19">
        <v>36.0</v>
      </c>
      <c r="H56" s="19">
        <v>64.0</v>
      </c>
      <c r="I56" s="19">
        <v>52.0</v>
      </c>
      <c r="J56" s="19">
        <v>36.0</v>
      </c>
      <c r="K56" s="19">
        <v>55.0</v>
      </c>
      <c r="L56" s="19">
        <v>37.0</v>
      </c>
      <c r="M56" s="19">
        <v>15.0</v>
      </c>
      <c r="N56" s="19">
        <v>23.0</v>
      </c>
      <c r="O56" s="19">
        <v>15.0</v>
      </c>
      <c r="P56" s="19">
        <v>21.0</v>
      </c>
      <c r="Q56" s="19">
        <v>8.0</v>
      </c>
      <c r="R56" s="13">
        <f t="shared" si="16"/>
        <v>420</v>
      </c>
    </row>
    <row r="57" ht="12.75" customHeight="1">
      <c r="A57" s="18"/>
      <c r="B57" s="55">
        <v>2.0</v>
      </c>
      <c r="C57" s="50" t="s">
        <v>50</v>
      </c>
      <c r="D57" s="56"/>
      <c r="E57" s="19">
        <v>10.0</v>
      </c>
      <c r="F57" s="19">
        <v>1.0</v>
      </c>
      <c r="G57" s="19">
        <v>4.0</v>
      </c>
      <c r="H57" s="19">
        <v>7.0</v>
      </c>
      <c r="I57" s="19">
        <v>31.0</v>
      </c>
      <c r="J57" s="19">
        <v>10.0</v>
      </c>
      <c r="K57" s="19">
        <v>12.0</v>
      </c>
      <c r="L57" s="19">
        <v>46.0</v>
      </c>
      <c r="M57" s="19">
        <v>8.0</v>
      </c>
      <c r="N57" s="19">
        <v>29.0</v>
      </c>
      <c r="O57" s="19">
        <v>20.0</v>
      </c>
      <c r="P57" s="19">
        <v>39.0</v>
      </c>
      <c r="Q57" s="19">
        <v>20.0</v>
      </c>
      <c r="R57" s="13">
        <f t="shared" si="16"/>
        <v>237</v>
      </c>
    </row>
    <row r="58" ht="12.75" customHeight="1">
      <c r="A58" s="18"/>
      <c r="B58" s="55">
        <v>3.0</v>
      </c>
      <c r="C58" s="50" t="s">
        <v>51</v>
      </c>
      <c r="D58" s="56"/>
      <c r="E58" s="19">
        <v>0.0</v>
      </c>
      <c r="F58" s="19">
        <v>1.0</v>
      </c>
      <c r="G58" s="19">
        <v>0.0</v>
      </c>
      <c r="H58" s="19">
        <v>0.0</v>
      </c>
      <c r="I58" s="19">
        <v>0.0</v>
      </c>
      <c r="J58" s="19">
        <v>0.0</v>
      </c>
      <c r="K58" s="19">
        <v>0.0</v>
      </c>
      <c r="L58" s="19">
        <v>0.0</v>
      </c>
      <c r="M58" s="19">
        <v>0.0</v>
      </c>
      <c r="N58" s="19">
        <v>1.0</v>
      </c>
      <c r="O58" s="19">
        <v>0.0</v>
      </c>
      <c r="P58" s="19">
        <v>0.0</v>
      </c>
      <c r="Q58" s="19">
        <v>0.0</v>
      </c>
      <c r="R58" s="13">
        <f t="shared" si="16"/>
        <v>2</v>
      </c>
    </row>
    <row r="59" ht="12.75" customHeight="1">
      <c r="A59" s="18"/>
      <c r="B59" s="55">
        <v>4.0</v>
      </c>
      <c r="C59" s="50" t="s">
        <v>52</v>
      </c>
      <c r="D59" s="56"/>
      <c r="E59" s="19">
        <v>0.0</v>
      </c>
      <c r="F59" s="19">
        <v>0.0</v>
      </c>
      <c r="G59" s="19">
        <v>0.0</v>
      </c>
      <c r="H59" s="19">
        <v>0.0</v>
      </c>
      <c r="I59" s="19">
        <v>0.0</v>
      </c>
      <c r="J59" s="19">
        <v>0.0</v>
      </c>
      <c r="K59" s="19">
        <v>0.0</v>
      </c>
      <c r="L59" s="19">
        <v>0.0</v>
      </c>
      <c r="M59" s="19">
        <v>1.0</v>
      </c>
      <c r="N59" s="19">
        <v>0.0</v>
      </c>
      <c r="O59" s="19">
        <v>0.0</v>
      </c>
      <c r="P59" s="19">
        <v>1.0</v>
      </c>
      <c r="Q59" s="19">
        <v>0.0</v>
      </c>
      <c r="R59" s="13">
        <f t="shared" si="16"/>
        <v>2</v>
      </c>
    </row>
    <row r="60" ht="12.75" customHeight="1">
      <c r="A60" s="18"/>
      <c r="B60" s="55">
        <v>5.0</v>
      </c>
      <c r="C60" s="50" t="s">
        <v>53</v>
      </c>
      <c r="D60" s="56"/>
      <c r="E60" s="19">
        <v>0.0</v>
      </c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  <c r="M60" s="19">
        <v>0.0</v>
      </c>
      <c r="N60" s="19">
        <v>0.0</v>
      </c>
      <c r="O60" s="19">
        <v>0.0</v>
      </c>
      <c r="P60" s="19">
        <v>0.0</v>
      </c>
      <c r="Q60" s="19">
        <v>0.0</v>
      </c>
      <c r="R60" s="13">
        <f t="shared" si="16"/>
        <v>0</v>
      </c>
    </row>
    <row r="61" ht="12.75" customHeight="1">
      <c r="A61" s="18"/>
      <c r="B61" s="55">
        <v>6.0</v>
      </c>
      <c r="C61" s="50" t="s">
        <v>54</v>
      </c>
      <c r="D61" s="57"/>
      <c r="E61" s="19">
        <v>0.0</v>
      </c>
      <c r="F61" s="19">
        <v>2.0</v>
      </c>
      <c r="G61" s="19">
        <v>0.0</v>
      </c>
      <c r="H61" s="19">
        <v>0.0</v>
      </c>
      <c r="I61" s="19">
        <v>0.0</v>
      </c>
      <c r="J61" s="19">
        <v>0.0</v>
      </c>
      <c r="K61" s="19">
        <v>0.0</v>
      </c>
      <c r="L61" s="19">
        <v>0.0</v>
      </c>
      <c r="M61" s="19">
        <v>0.0</v>
      </c>
      <c r="N61" s="19">
        <v>0.0</v>
      </c>
      <c r="O61" s="19">
        <v>0.0</v>
      </c>
      <c r="P61" s="19">
        <v>1.0</v>
      </c>
      <c r="Q61" s="19">
        <v>0.0</v>
      </c>
      <c r="R61" s="13">
        <f t="shared" si="16"/>
        <v>3</v>
      </c>
    </row>
    <row r="62" ht="12.75" customHeight="1">
      <c r="A62" s="18"/>
      <c r="B62" s="55">
        <v>7.0</v>
      </c>
      <c r="C62" s="50" t="s">
        <v>55</v>
      </c>
      <c r="D62" s="56"/>
      <c r="E62" s="19">
        <v>0.0</v>
      </c>
      <c r="F62" s="19">
        <v>1.0</v>
      </c>
      <c r="G62" s="19">
        <v>0.0</v>
      </c>
      <c r="H62" s="19">
        <v>0.0</v>
      </c>
      <c r="I62" s="19">
        <v>1.0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/>
      <c r="Q62" s="19"/>
      <c r="R62" s="13">
        <f t="shared" si="16"/>
        <v>2</v>
      </c>
    </row>
    <row r="63" ht="12.75" customHeight="1">
      <c r="A63" s="19" t="s">
        <v>15</v>
      </c>
      <c r="B63" s="47" t="s">
        <v>47</v>
      </c>
      <c r="C63" s="15"/>
      <c r="D63" s="16"/>
      <c r="E63" s="13">
        <f t="shared" ref="E63:R63" si="17">SUM(E55:E62)</f>
        <v>43</v>
      </c>
      <c r="F63" s="13">
        <f t="shared" si="17"/>
        <v>41</v>
      </c>
      <c r="G63" s="13">
        <f t="shared" si="17"/>
        <v>50</v>
      </c>
      <c r="H63" s="13">
        <f t="shared" si="17"/>
        <v>83</v>
      </c>
      <c r="I63" s="13">
        <f t="shared" si="17"/>
        <v>90</v>
      </c>
      <c r="J63" s="13">
        <f t="shared" si="17"/>
        <v>53</v>
      </c>
      <c r="K63" s="13">
        <f t="shared" si="17"/>
        <v>70</v>
      </c>
      <c r="L63" s="13">
        <f t="shared" si="17"/>
        <v>86</v>
      </c>
      <c r="M63" s="13">
        <f t="shared" si="17"/>
        <v>28</v>
      </c>
      <c r="N63" s="13">
        <f t="shared" si="17"/>
        <v>59</v>
      </c>
      <c r="O63" s="13">
        <f t="shared" si="17"/>
        <v>41</v>
      </c>
      <c r="P63" s="13">
        <f t="shared" si="17"/>
        <v>68</v>
      </c>
      <c r="Q63" s="13">
        <f t="shared" si="17"/>
        <v>34</v>
      </c>
      <c r="R63" s="13">
        <f t="shared" si="17"/>
        <v>746</v>
      </c>
    </row>
    <row r="64" ht="12.75" customHeight="1">
      <c r="A64" s="45"/>
      <c r="B64" s="44"/>
      <c r="C64" s="44"/>
      <c r="D64" s="44"/>
      <c r="E64" s="44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5.0</v>
      </c>
      <c r="F65" s="19">
        <v>4.0</v>
      </c>
      <c r="G65" s="19">
        <v>14.0</v>
      </c>
      <c r="H65" s="19">
        <v>6.0</v>
      </c>
      <c r="I65" s="19">
        <v>5.0</v>
      </c>
      <c r="J65" s="19">
        <v>1.0</v>
      </c>
      <c r="K65" s="19">
        <v>2.0</v>
      </c>
      <c r="L65" s="19">
        <v>5.0</v>
      </c>
      <c r="M65" s="19">
        <v>10.0</v>
      </c>
      <c r="N65" s="19">
        <v>2.0</v>
      </c>
      <c r="O65" s="19">
        <v>1.0</v>
      </c>
      <c r="P65" s="19">
        <v>0.0</v>
      </c>
      <c r="Q65" s="19">
        <v>6.0</v>
      </c>
      <c r="R65" s="13">
        <f t="shared" ref="R65:R72" si="18">SUM(E65:Q65)</f>
        <v>61</v>
      </c>
    </row>
    <row r="66" ht="12.75" customHeight="1">
      <c r="A66" s="30" t="s">
        <v>39</v>
      </c>
      <c r="B66" s="55">
        <v>1.0</v>
      </c>
      <c r="C66" s="50" t="s">
        <v>57</v>
      </c>
      <c r="D66" s="57"/>
      <c r="E66" s="19">
        <v>9.0</v>
      </c>
      <c r="F66" s="19">
        <v>8.0</v>
      </c>
      <c r="G66" s="19">
        <v>13.0</v>
      </c>
      <c r="H66" s="19">
        <v>9.0</v>
      </c>
      <c r="I66" s="19">
        <v>14.0</v>
      </c>
      <c r="J66" s="19">
        <v>3.0</v>
      </c>
      <c r="K66" s="19">
        <v>8.0</v>
      </c>
      <c r="L66" s="19">
        <v>9.0</v>
      </c>
      <c r="M66" s="19">
        <v>32.0</v>
      </c>
      <c r="N66" s="19">
        <v>32.0</v>
      </c>
      <c r="O66" s="19">
        <v>15.0</v>
      </c>
      <c r="P66" s="19">
        <v>11.0</v>
      </c>
      <c r="Q66" s="19">
        <v>56.0</v>
      </c>
      <c r="R66" s="13">
        <f t="shared" si="18"/>
        <v>219</v>
      </c>
    </row>
    <row r="67" ht="12.75" customHeight="1">
      <c r="A67" s="18"/>
      <c r="B67" s="55">
        <v>2.0</v>
      </c>
      <c r="C67" s="50" t="s">
        <v>58</v>
      </c>
      <c r="D67" s="57"/>
      <c r="E67" s="19">
        <v>5.0</v>
      </c>
      <c r="F67" s="19">
        <v>11.0</v>
      </c>
      <c r="G67" s="19">
        <v>12.0</v>
      </c>
      <c r="H67" s="19">
        <v>6.0</v>
      </c>
      <c r="I67" s="19">
        <v>3.0</v>
      </c>
      <c r="J67" s="19">
        <v>5.0</v>
      </c>
      <c r="K67" s="19">
        <v>4.0</v>
      </c>
      <c r="L67" s="19">
        <v>2.0</v>
      </c>
      <c r="M67" s="19">
        <v>6.0</v>
      </c>
      <c r="N67" s="19">
        <v>2.0</v>
      </c>
      <c r="O67" s="19">
        <v>0.0</v>
      </c>
      <c r="P67" s="19">
        <v>7.0</v>
      </c>
      <c r="Q67" s="19">
        <v>1.0</v>
      </c>
      <c r="R67" s="13">
        <f t="shared" si="18"/>
        <v>64</v>
      </c>
    </row>
    <row r="68" ht="12.75" customHeight="1">
      <c r="A68" s="18"/>
      <c r="B68" s="55">
        <v>3.0</v>
      </c>
      <c r="C68" s="50" t="s">
        <v>59</v>
      </c>
      <c r="D68" s="57"/>
      <c r="E68" s="19">
        <v>0.0</v>
      </c>
      <c r="F68" s="19">
        <v>1.0</v>
      </c>
      <c r="G68" s="19">
        <v>2.0</v>
      </c>
      <c r="H68" s="19">
        <v>1.0</v>
      </c>
      <c r="I68" s="19">
        <v>0.0</v>
      </c>
      <c r="J68" s="19">
        <v>0.0</v>
      </c>
      <c r="K68" s="19">
        <v>0.0</v>
      </c>
      <c r="L68" s="19">
        <v>0.0</v>
      </c>
      <c r="M68" s="19">
        <v>0.0</v>
      </c>
      <c r="N68" s="19">
        <v>1.0</v>
      </c>
      <c r="O68" s="19">
        <v>0.0</v>
      </c>
      <c r="P68" s="19">
        <v>0.0</v>
      </c>
      <c r="Q68" s="19">
        <v>1.0</v>
      </c>
      <c r="R68" s="13">
        <f t="shared" si="18"/>
        <v>6</v>
      </c>
    </row>
    <row r="69" ht="12.75" customHeight="1">
      <c r="A69" s="18"/>
      <c r="B69" s="55">
        <v>4.0</v>
      </c>
      <c r="C69" s="50" t="s">
        <v>60</v>
      </c>
      <c r="D69" s="57"/>
      <c r="E69" s="19">
        <v>0.0</v>
      </c>
      <c r="F69" s="19">
        <v>1.0</v>
      </c>
      <c r="G69" s="19">
        <v>1.0</v>
      </c>
      <c r="H69" s="19">
        <v>0.0</v>
      </c>
      <c r="I69" s="19">
        <v>0.0</v>
      </c>
      <c r="J69" s="19">
        <v>0.0</v>
      </c>
      <c r="K69" s="19">
        <v>0.0</v>
      </c>
      <c r="L69" s="19">
        <v>0.0</v>
      </c>
      <c r="M69" s="19">
        <v>0.0</v>
      </c>
      <c r="N69" s="19">
        <v>0.0</v>
      </c>
      <c r="O69" s="19">
        <v>0.0</v>
      </c>
      <c r="P69" s="19">
        <v>0.0</v>
      </c>
      <c r="Q69" s="19">
        <v>0.0</v>
      </c>
      <c r="R69" s="13">
        <f t="shared" si="18"/>
        <v>2</v>
      </c>
    </row>
    <row r="70" ht="12.75" customHeight="1">
      <c r="A70" s="18"/>
      <c r="B70" s="55">
        <v>5.0</v>
      </c>
      <c r="C70" s="50" t="s">
        <v>61</v>
      </c>
      <c r="D70" s="57"/>
      <c r="E70" s="19">
        <v>0.0</v>
      </c>
      <c r="F70" s="19">
        <v>0.0</v>
      </c>
      <c r="G70" s="19">
        <v>5.0</v>
      </c>
      <c r="H70" s="19">
        <v>1.0</v>
      </c>
      <c r="I70" s="19">
        <v>2.0</v>
      </c>
      <c r="J70" s="19">
        <v>1.0</v>
      </c>
      <c r="K70" s="19">
        <v>1.0</v>
      </c>
      <c r="L70" s="19">
        <v>11.0</v>
      </c>
      <c r="M70" s="19">
        <v>7.0</v>
      </c>
      <c r="N70" s="19">
        <v>0.0</v>
      </c>
      <c r="O70" s="19">
        <v>3.0</v>
      </c>
      <c r="P70" s="19">
        <v>1.0</v>
      </c>
      <c r="Q70" s="19">
        <v>1.0</v>
      </c>
      <c r="R70" s="13">
        <f t="shared" si="18"/>
        <v>33</v>
      </c>
    </row>
    <row r="71" ht="12.75" customHeight="1">
      <c r="A71" s="18"/>
      <c r="B71" s="55">
        <v>6.0</v>
      </c>
      <c r="C71" s="50" t="s">
        <v>62</v>
      </c>
      <c r="D71" s="57"/>
      <c r="E71" s="19">
        <v>0.0</v>
      </c>
      <c r="F71" s="19">
        <v>0.0</v>
      </c>
      <c r="G71" s="19">
        <v>0.0</v>
      </c>
      <c r="H71" s="19">
        <v>0.0</v>
      </c>
      <c r="I71" s="19">
        <v>0.0</v>
      </c>
      <c r="J71" s="19">
        <v>0.0</v>
      </c>
      <c r="K71" s="19">
        <v>1.0</v>
      </c>
      <c r="L71" s="19">
        <v>1.0</v>
      </c>
      <c r="M71" s="19">
        <v>0.0</v>
      </c>
      <c r="N71" s="19">
        <v>0.0</v>
      </c>
      <c r="O71" s="19">
        <v>1.0</v>
      </c>
      <c r="P71" s="19">
        <v>0.0</v>
      </c>
      <c r="Q71" s="19">
        <v>0.0</v>
      </c>
      <c r="R71" s="13">
        <f t="shared" si="18"/>
        <v>3</v>
      </c>
    </row>
    <row r="72" ht="12.75" customHeight="1">
      <c r="A72" s="18"/>
      <c r="B72" s="55">
        <v>7.0</v>
      </c>
      <c r="C72" s="50" t="s">
        <v>63</v>
      </c>
      <c r="D72" s="57"/>
      <c r="E72" s="19">
        <v>0.0</v>
      </c>
      <c r="F72" s="19">
        <v>0.0</v>
      </c>
      <c r="G72" s="19">
        <v>0.0</v>
      </c>
      <c r="H72" s="19">
        <v>0.0</v>
      </c>
      <c r="I72" s="19">
        <v>0.0</v>
      </c>
      <c r="J72" s="19">
        <v>1.0</v>
      </c>
      <c r="K72" s="19">
        <v>2.0</v>
      </c>
      <c r="L72" s="19">
        <v>0.0</v>
      </c>
      <c r="M72" s="19">
        <v>0.0</v>
      </c>
      <c r="N72" s="19">
        <v>0.0</v>
      </c>
      <c r="O72" s="19">
        <v>0.0</v>
      </c>
      <c r="P72" s="19">
        <v>0.0</v>
      </c>
      <c r="Q72" s="19">
        <v>1.0</v>
      </c>
      <c r="R72" s="13">
        <f t="shared" si="18"/>
        <v>4</v>
      </c>
    </row>
    <row r="73" ht="12.75" customHeight="1">
      <c r="A73" s="19" t="s">
        <v>15</v>
      </c>
      <c r="B73" s="47" t="s">
        <v>47</v>
      </c>
      <c r="C73" s="15"/>
      <c r="D73" s="16"/>
      <c r="E73" s="13">
        <f t="shared" ref="E73:R73" si="19">SUM(E65:E72)</f>
        <v>19</v>
      </c>
      <c r="F73" s="13">
        <f t="shared" si="19"/>
        <v>25</v>
      </c>
      <c r="G73" s="13">
        <f t="shared" si="19"/>
        <v>47</v>
      </c>
      <c r="H73" s="13">
        <f t="shared" si="19"/>
        <v>23</v>
      </c>
      <c r="I73" s="13">
        <f t="shared" si="19"/>
        <v>24</v>
      </c>
      <c r="J73" s="13">
        <f t="shared" si="19"/>
        <v>11</v>
      </c>
      <c r="K73" s="13">
        <f t="shared" si="19"/>
        <v>18</v>
      </c>
      <c r="L73" s="13">
        <f t="shared" si="19"/>
        <v>28</v>
      </c>
      <c r="M73" s="13">
        <f t="shared" si="19"/>
        <v>55</v>
      </c>
      <c r="N73" s="13">
        <f t="shared" si="19"/>
        <v>37</v>
      </c>
      <c r="O73" s="13">
        <f t="shared" si="19"/>
        <v>20</v>
      </c>
      <c r="P73" s="13">
        <f t="shared" si="19"/>
        <v>19</v>
      </c>
      <c r="Q73" s="13">
        <f t="shared" si="19"/>
        <v>66</v>
      </c>
      <c r="R73" s="13">
        <f t="shared" si="19"/>
        <v>392</v>
      </c>
    </row>
    <row r="74" ht="12.75" customHeight="1">
      <c r="A74" s="45"/>
      <c r="B74" s="44"/>
      <c r="C74" s="44"/>
      <c r="D74" s="44"/>
      <c r="E74" s="44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24.0</v>
      </c>
      <c r="F75" s="19">
        <v>20.0</v>
      </c>
      <c r="G75" s="19">
        <v>16.0</v>
      </c>
      <c r="H75" s="19">
        <v>29.0</v>
      </c>
      <c r="I75" s="19">
        <v>13.0</v>
      </c>
      <c r="J75" s="19">
        <v>5.0</v>
      </c>
      <c r="K75" s="19">
        <v>5.0</v>
      </c>
      <c r="L75" s="19">
        <v>3.0</v>
      </c>
      <c r="M75" s="19">
        <v>12.0</v>
      </c>
      <c r="N75" s="19">
        <v>7.0</v>
      </c>
      <c r="O75" s="19">
        <v>12.0</v>
      </c>
      <c r="P75" s="19">
        <v>11.0</v>
      </c>
      <c r="Q75" s="19">
        <v>9.0</v>
      </c>
      <c r="R75" s="13">
        <f t="shared" ref="R75:R82" si="20">SUM(E75:Q75)</f>
        <v>166</v>
      </c>
    </row>
    <row r="76" ht="12.75" customHeight="1">
      <c r="A76" s="30" t="s">
        <v>39</v>
      </c>
      <c r="B76" s="55">
        <v>1.0</v>
      </c>
      <c r="C76" s="50" t="s">
        <v>65</v>
      </c>
      <c r="D76" s="57"/>
      <c r="E76" s="19">
        <v>72.0</v>
      </c>
      <c r="F76" s="19">
        <v>66.0</v>
      </c>
      <c r="G76" s="19">
        <v>50.0</v>
      </c>
      <c r="H76" s="19">
        <v>64.0</v>
      </c>
      <c r="I76" s="19">
        <v>35.0</v>
      </c>
      <c r="J76" s="19">
        <v>34.0</v>
      </c>
      <c r="K76" s="19">
        <v>41.0</v>
      </c>
      <c r="L76" s="19">
        <v>29.0</v>
      </c>
      <c r="M76" s="19">
        <v>33.0</v>
      </c>
      <c r="N76" s="19">
        <v>75.0</v>
      </c>
      <c r="O76" s="19">
        <v>53.0</v>
      </c>
      <c r="P76" s="19">
        <v>40.0</v>
      </c>
      <c r="Q76" s="19">
        <v>44.0</v>
      </c>
      <c r="R76" s="13">
        <f t="shared" si="20"/>
        <v>636</v>
      </c>
    </row>
    <row r="77" ht="12.75" customHeight="1">
      <c r="A77" s="18"/>
      <c r="B77" s="55">
        <v>2.0</v>
      </c>
      <c r="C77" s="50" t="s">
        <v>66</v>
      </c>
      <c r="D77" s="57"/>
      <c r="E77" s="19">
        <v>4.0</v>
      </c>
      <c r="F77" s="19">
        <v>2.0</v>
      </c>
      <c r="G77" s="19">
        <v>3.0</v>
      </c>
      <c r="H77" s="19">
        <v>8.0</v>
      </c>
      <c r="I77" s="19">
        <v>1.0</v>
      </c>
      <c r="J77" s="19">
        <v>0.0</v>
      </c>
      <c r="K77" s="19">
        <v>1.0</v>
      </c>
      <c r="L77" s="19">
        <v>1.0</v>
      </c>
      <c r="M77" s="19">
        <v>5.0</v>
      </c>
      <c r="N77" s="19">
        <v>3.0</v>
      </c>
      <c r="O77" s="19">
        <v>2.0</v>
      </c>
      <c r="P77" s="19">
        <v>2.0</v>
      </c>
      <c r="Q77" s="19">
        <v>5.0</v>
      </c>
      <c r="R77" s="13">
        <f t="shared" si="20"/>
        <v>37</v>
      </c>
    </row>
    <row r="78" ht="12.75" customHeight="1">
      <c r="A78" s="18"/>
      <c r="B78" s="55">
        <v>3.0</v>
      </c>
      <c r="C78" s="50" t="s">
        <v>67</v>
      </c>
      <c r="D78" s="57"/>
      <c r="E78" s="19">
        <v>2.0</v>
      </c>
      <c r="F78" s="19">
        <v>2.0</v>
      </c>
      <c r="G78" s="19">
        <v>3.0</v>
      </c>
      <c r="H78" s="19">
        <v>2.0</v>
      </c>
      <c r="I78" s="19">
        <v>0.0</v>
      </c>
      <c r="J78" s="19">
        <v>0.0</v>
      </c>
      <c r="K78" s="19">
        <v>2.0</v>
      </c>
      <c r="L78" s="19">
        <v>0.0</v>
      </c>
      <c r="M78" s="19">
        <v>1.0</v>
      </c>
      <c r="N78" s="19">
        <v>0.0</v>
      </c>
      <c r="O78" s="19">
        <v>1.0</v>
      </c>
      <c r="P78" s="19">
        <v>0.0</v>
      </c>
      <c r="Q78" s="19">
        <v>3.0</v>
      </c>
      <c r="R78" s="13">
        <f t="shared" si="20"/>
        <v>16</v>
      </c>
    </row>
    <row r="79" ht="12.75" customHeight="1">
      <c r="A79" s="18"/>
      <c r="B79" s="55">
        <v>4.0</v>
      </c>
      <c r="C79" s="50" t="s">
        <v>68</v>
      </c>
      <c r="D79" s="57"/>
      <c r="E79" s="19">
        <v>1.0</v>
      </c>
      <c r="F79" s="19">
        <v>0.0</v>
      </c>
      <c r="G79" s="19">
        <v>0.0</v>
      </c>
      <c r="H79" s="19">
        <v>1.0</v>
      </c>
      <c r="I79" s="19">
        <v>1.0</v>
      </c>
      <c r="J79" s="19">
        <v>1.0</v>
      </c>
      <c r="K79" s="19">
        <v>0.0</v>
      </c>
      <c r="L79" s="19">
        <v>0.0</v>
      </c>
      <c r="M79" s="19">
        <v>0.0</v>
      </c>
      <c r="N79" s="19">
        <v>1.0</v>
      </c>
      <c r="O79" s="19">
        <v>1.0</v>
      </c>
      <c r="P79" s="19">
        <v>1.0</v>
      </c>
      <c r="Q79" s="19">
        <v>0.0</v>
      </c>
      <c r="R79" s="13">
        <f t="shared" si="20"/>
        <v>7</v>
      </c>
    </row>
    <row r="80" ht="12.75" customHeight="1">
      <c r="A80" s="18"/>
      <c r="B80" s="55">
        <v>5.0</v>
      </c>
      <c r="C80" s="50" t="s">
        <v>69</v>
      </c>
      <c r="D80" s="57"/>
      <c r="E80" s="19">
        <v>0.0</v>
      </c>
      <c r="F80" s="19">
        <v>1.0</v>
      </c>
      <c r="G80" s="19">
        <v>0.0</v>
      </c>
      <c r="H80" s="19">
        <v>0.0</v>
      </c>
      <c r="I80" s="19">
        <v>0.0</v>
      </c>
      <c r="J80" s="19">
        <v>0.0</v>
      </c>
      <c r="K80" s="19">
        <v>0.0</v>
      </c>
      <c r="L80" s="19">
        <v>0.0</v>
      </c>
      <c r="M80" s="19">
        <v>0.0</v>
      </c>
      <c r="N80" s="19">
        <v>1.0</v>
      </c>
      <c r="O80" s="19">
        <v>0.0</v>
      </c>
      <c r="P80" s="19">
        <v>3.0</v>
      </c>
      <c r="Q80" s="19">
        <v>0.0</v>
      </c>
      <c r="R80" s="13">
        <f t="shared" si="20"/>
        <v>5</v>
      </c>
    </row>
    <row r="81" ht="12.75" customHeight="1">
      <c r="A81" s="18"/>
      <c r="B81" s="55">
        <v>6.0</v>
      </c>
      <c r="C81" s="50" t="s">
        <v>70</v>
      </c>
      <c r="D81" s="57"/>
      <c r="E81" s="19">
        <v>1.0</v>
      </c>
      <c r="F81" s="19">
        <v>0.0</v>
      </c>
      <c r="G81" s="19">
        <v>0.0</v>
      </c>
      <c r="H81" s="19">
        <v>0.0</v>
      </c>
      <c r="I81" s="19">
        <v>0.0</v>
      </c>
      <c r="J81" s="19">
        <v>0.0</v>
      </c>
      <c r="K81" s="19">
        <v>0.0</v>
      </c>
      <c r="L81" s="19">
        <v>0.0</v>
      </c>
      <c r="M81" s="19">
        <v>0.0</v>
      </c>
      <c r="N81" s="19">
        <v>0.0</v>
      </c>
      <c r="O81" s="19">
        <v>0.0</v>
      </c>
      <c r="P81" s="19">
        <v>0.0</v>
      </c>
      <c r="Q81" s="19">
        <v>1.0</v>
      </c>
      <c r="R81" s="13">
        <f t="shared" si="20"/>
        <v>2</v>
      </c>
    </row>
    <row r="82" ht="12.75" customHeight="1">
      <c r="A82" s="18"/>
      <c r="B82" s="55">
        <v>7.0</v>
      </c>
      <c r="C82" s="50" t="s">
        <v>71</v>
      </c>
      <c r="D82" s="57"/>
      <c r="E82" s="19">
        <v>0.0</v>
      </c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19">
        <v>0.0</v>
      </c>
      <c r="L82" s="19">
        <v>0.0</v>
      </c>
      <c r="M82" s="19">
        <v>0.0</v>
      </c>
      <c r="N82" s="19">
        <v>0.0</v>
      </c>
      <c r="O82" s="19">
        <v>0.0</v>
      </c>
      <c r="P82" s="19">
        <v>0.0</v>
      </c>
      <c r="Q82" s="19">
        <v>0.0</v>
      </c>
      <c r="R82" s="13">
        <f t="shared" si="20"/>
        <v>0</v>
      </c>
    </row>
    <row r="83" ht="12.75" customHeight="1">
      <c r="A83" s="19" t="s">
        <v>15</v>
      </c>
      <c r="B83" s="47" t="s">
        <v>47</v>
      </c>
      <c r="C83" s="15"/>
      <c r="D83" s="16"/>
      <c r="E83" s="13">
        <f t="shared" ref="E83:R83" si="21">SUM(E75:E82)</f>
        <v>104</v>
      </c>
      <c r="F83" s="13">
        <f t="shared" si="21"/>
        <v>91</v>
      </c>
      <c r="G83" s="13">
        <f t="shared" si="21"/>
        <v>72</v>
      </c>
      <c r="H83" s="13">
        <f t="shared" si="21"/>
        <v>104</v>
      </c>
      <c r="I83" s="13">
        <f t="shared" si="21"/>
        <v>50</v>
      </c>
      <c r="J83" s="13">
        <f t="shared" si="21"/>
        <v>40</v>
      </c>
      <c r="K83" s="13">
        <f t="shared" si="21"/>
        <v>49</v>
      </c>
      <c r="L83" s="13">
        <f t="shared" si="21"/>
        <v>33</v>
      </c>
      <c r="M83" s="13">
        <f t="shared" si="21"/>
        <v>51</v>
      </c>
      <c r="N83" s="13">
        <f t="shared" si="21"/>
        <v>87</v>
      </c>
      <c r="O83" s="13">
        <f t="shared" si="21"/>
        <v>69</v>
      </c>
      <c r="P83" s="13">
        <f t="shared" si="21"/>
        <v>57</v>
      </c>
      <c r="Q83" s="13">
        <f t="shared" si="21"/>
        <v>62</v>
      </c>
      <c r="R83" s="13">
        <f t="shared" si="21"/>
        <v>869</v>
      </c>
    </row>
    <row r="84" ht="12.75" customHeight="1">
      <c r="A84" s="45"/>
      <c r="B84" s="44"/>
      <c r="C84" s="44"/>
      <c r="D84" s="44"/>
      <c r="E84" s="44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0.0</v>
      </c>
      <c r="F85" s="19">
        <v>0.0</v>
      </c>
      <c r="G85" s="19">
        <v>0.0</v>
      </c>
      <c r="H85" s="19">
        <v>0.0</v>
      </c>
      <c r="I85" s="19">
        <v>1.0</v>
      </c>
      <c r="J85" s="19">
        <v>2.0</v>
      </c>
      <c r="K85" s="19">
        <v>4.0</v>
      </c>
      <c r="L85" s="19">
        <v>0.0</v>
      </c>
      <c r="M85" s="19">
        <v>0.0</v>
      </c>
      <c r="N85" s="19">
        <v>2.0</v>
      </c>
      <c r="O85" s="19">
        <v>1.0</v>
      </c>
      <c r="P85" s="19">
        <v>0.0</v>
      </c>
      <c r="Q85" s="19">
        <v>2.0</v>
      </c>
      <c r="R85" s="13">
        <f t="shared" ref="R85:R92" si="22">SUM(E85:Q85)</f>
        <v>12</v>
      </c>
    </row>
    <row r="86" ht="12.75" customHeight="1">
      <c r="A86" s="30" t="s">
        <v>39</v>
      </c>
      <c r="B86" s="55">
        <v>1.0</v>
      </c>
      <c r="C86" s="50" t="s">
        <v>74</v>
      </c>
      <c r="D86" s="57"/>
      <c r="E86" s="19">
        <v>3.0</v>
      </c>
      <c r="F86" s="19">
        <v>4.0</v>
      </c>
      <c r="G86" s="19">
        <v>1.0</v>
      </c>
      <c r="H86" s="19">
        <v>0.0</v>
      </c>
      <c r="I86" s="19">
        <v>2.0</v>
      </c>
      <c r="J86" s="19">
        <v>10.0</v>
      </c>
      <c r="K86" s="19">
        <v>10.0</v>
      </c>
      <c r="L86" s="19">
        <v>3.0</v>
      </c>
      <c r="M86" s="19">
        <v>1.0</v>
      </c>
      <c r="N86" s="19">
        <v>2.0</v>
      </c>
      <c r="O86" s="19">
        <v>8.0</v>
      </c>
      <c r="P86" s="19">
        <v>1.0</v>
      </c>
      <c r="Q86" s="19">
        <v>2.0</v>
      </c>
      <c r="R86" s="13">
        <f t="shared" si="22"/>
        <v>47</v>
      </c>
    </row>
    <row r="87" ht="12.75" customHeight="1">
      <c r="A87" s="18"/>
      <c r="B87" s="55">
        <v>2.0</v>
      </c>
      <c r="C87" s="50" t="s">
        <v>75</v>
      </c>
      <c r="D87" s="57"/>
      <c r="E87" s="19">
        <v>1.0</v>
      </c>
      <c r="F87" s="19">
        <v>0.0</v>
      </c>
      <c r="G87" s="19">
        <v>0.0</v>
      </c>
      <c r="H87" s="19">
        <v>0.0</v>
      </c>
      <c r="I87" s="19">
        <v>0.0</v>
      </c>
      <c r="J87" s="19">
        <v>1.0</v>
      </c>
      <c r="K87" s="19">
        <v>0.0</v>
      </c>
      <c r="L87" s="19">
        <v>0.0</v>
      </c>
      <c r="M87" s="19">
        <v>0.0</v>
      </c>
      <c r="N87" s="19">
        <v>1.0</v>
      </c>
      <c r="O87" s="19">
        <v>0.0</v>
      </c>
      <c r="P87" s="19">
        <v>1.0</v>
      </c>
      <c r="Q87" s="19">
        <v>0.0</v>
      </c>
      <c r="R87" s="13">
        <f t="shared" si="22"/>
        <v>4</v>
      </c>
    </row>
    <row r="88" ht="12.75" customHeight="1">
      <c r="A88" s="18"/>
      <c r="B88" s="55">
        <v>3.0</v>
      </c>
      <c r="C88" s="50" t="s">
        <v>76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1.0</v>
      </c>
      <c r="O88" s="19">
        <v>0.0</v>
      </c>
      <c r="P88" s="19">
        <v>0.0</v>
      </c>
      <c r="Q88" s="19">
        <v>0.0</v>
      </c>
      <c r="R88" s="13">
        <f t="shared" si="22"/>
        <v>1</v>
      </c>
    </row>
    <row r="89" ht="12.75" customHeight="1">
      <c r="A89" s="18"/>
      <c r="B89" s="55">
        <v>4.0</v>
      </c>
      <c r="C89" s="50" t="s">
        <v>77</v>
      </c>
      <c r="D89" s="57"/>
      <c r="E89" s="19">
        <v>0.0</v>
      </c>
      <c r="F89" s="19">
        <v>0.0</v>
      </c>
      <c r="G89" s="19">
        <v>0.0</v>
      </c>
      <c r="H89" s="19">
        <v>0.0</v>
      </c>
      <c r="I89" s="19">
        <v>0.0</v>
      </c>
      <c r="J89" s="19">
        <v>0.0</v>
      </c>
      <c r="K89" s="19">
        <v>0.0</v>
      </c>
      <c r="L89" s="19">
        <v>0.0</v>
      </c>
      <c r="M89" s="19">
        <v>0.0</v>
      </c>
      <c r="N89" s="19">
        <v>1.0</v>
      </c>
      <c r="O89" s="19">
        <v>0.0</v>
      </c>
      <c r="P89" s="19">
        <v>0.0</v>
      </c>
      <c r="Q89" s="19">
        <v>0.0</v>
      </c>
      <c r="R89" s="13">
        <f t="shared" si="22"/>
        <v>1</v>
      </c>
    </row>
    <row r="90" ht="12.75" customHeight="1">
      <c r="A90" s="18"/>
      <c r="B90" s="55">
        <v>5.0</v>
      </c>
      <c r="C90" s="50" t="s">
        <v>78</v>
      </c>
      <c r="D90" s="57"/>
      <c r="E90" s="19">
        <v>0.0</v>
      </c>
      <c r="F90" s="19">
        <v>0.0</v>
      </c>
      <c r="G90" s="19">
        <v>0.0</v>
      </c>
      <c r="H90" s="19">
        <v>0.0</v>
      </c>
      <c r="I90" s="19">
        <v>0.0</v>
      </c>
      <c r="J90" s="19">
        <v>0.0</v>
      </c>
      <c r="K90" s="19">
        <v>0.0</v>
      </c>
      <c r="L90" s="19">
        <v>0.0</v>
      </c>
      <c r="M90" s="19">
        <v>0.0</v>
      </c>
      <c r="N90" s="19">
        <v>0.0</v>
      </c>
      <c r="O90" s="19">
        <v>0.0</v>
      </c>
      <c r="P90" s="19">
        <v>0.0</v>
      </c>
      <c r="Q90" s="19">
        <v>1.0</v>
      </c>
      <c r="R90" s="13">
        <f t="shared" si="22"/>
        <v>1</v>
      </c>
    </row>
    <row r="91" ht="12.75" customHeight="1">
      <c r="A91" s="18"/>
      <c r="B91" s="55">
        <v>6.0</v>
      </c>
      <c r="C91" s="50" t="s">
        <v>79</v>
      </c>
      <c r="D91" s="57"/>
      <c r="E91" s="19">
        <v>0.0</v>
      </c>
      <c r="F91" s="19">
        <v>0.0</v>
      </c>
      <c r="G91" s="19">
        <v>0.0</v>
      </c>
      <c r="H91" s="19">
        <v>0.0</v>
      </c>
      <c r="I91" s="19">
        <v>0.0</v>
      </c>
      <c r="J91" s="19">
        <v>0.0</v>
      </c>
      <c r="K91" s="19">
        <v>0.0</v>
      </c>
      <c r="L91" s="19">
        <v>0.0</v>
      </c>
      <c r="M91" s="19">
        <v>0.0</v>
      </c>
      <c r="N91" s="19">
        <v>1.0</v>
      </c>
      <c r="O91" s="19">
        <v>0.0</v>
      </c>
      <c r="P91" s="19">
        <v>2.0</v>
      </c>
      <c r="Q91" s="19">
        <v>3.0</v>
      </c>
      <c r="R91" s="13">
        <f t="shared" si="22"/>
        <v>6</v>
      </c>
    </row>
    <row r="92" ht="12.75" customHeight="1">
      <c r="A92" s="18"/>
      <c r="B92" s="55">
        <v>7.0</v>
      </c>
      <c r="C92" s="50" t="s">
        <v>80</v>
      </c>
      <c r="D92" s="57"/>
      <c r="E92" s="19">
        <v>1.0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1.0</v>
      </c>
      <c r="N92" s="19">
        <v>0.0</v>
      </c>
      <c r="O92" s="19">
        <v>0.0</v>
      </c>
      <c r="P92" s="19">
        <v>1.0</v>
      </c>
      <c r="Q92" s="19">
        <v>0.0</v>
      </c>
      <c r="R92" s="13">
        <f t="shared" si="22"/>
        <v>3</v>
      </c>
    </row>
    <row r="93" ht="12.75" customHeight="1">
      <c r="A93" s="19" t="s">
        <v>15</v>
      </c>
      <c r="B93" s="47" t="s">
        <v>47</v>
      </c>
      <c r="C93" s="15"/>
      <c r="D93" s="16"/>
      <c r="E93" s="13">
        <f t="shared" ref="E93:R93" si="23">SUM(E85:E92)</f>
        <v>5</v>
      </c>
      <c r="F93" s="13">
        <f t="shared" si="23"/>
        <v>4</v>
      </c>
      <c r="G93" s="13">
        <f t="shared" si="23"/>
        <v>1</v>
      </c>
      <c r="H93" s="13">
        <f t="shared" si="23"/>
        <v>0</v>
      </c>
      <c r="I93" s="13">
        <f t="shared" si="23"/>
        <v>3</v>
      </c>
      <c r="J93" s="13">
        <f t="shared" si="23"/>
        <v>13</v>
      </c>
      <c r="K93" s="13">
        <f t="shared" si="23"/>
        <v>14</v>
      </c>
      <c r="L93" s="13">
        <f t="shared" si="23"/>
        <v>3</v>
      </c>
      <c r="M93" s="13">
        <f t="shared" si="23"/>
        <v>2</v>
      </c>
      <c r="N93" s="13">
        <f t="shared" si="23"/>
        <v>8</v>
      </c>
      <c r="O93" s="13">
        <f t="shared" si="23"/>
        <v>9</v>
      </c>
      <c r="P93" s="13">
        <f t="shared" si="23"/>
        <v>5</v>
      </c>
      <c r="Q93" s="13">
        <f t="shared" si="23"/>
        <v>8</v>
      </c>
      <c r="R93" s="13">
        <f t="shared" si="23"/>
        <v>75</v>
      </c>
    </row>
    <row r="94" ht="12.75" customHeight="1">
      <c r="A94" s="45"/>
      <c r="B94" s="44"/>
      <c r="C94" s="44"/>
      <c r="D94" s="44"/>
      <c r="E94" s="44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2.0</v>
      </c>
      <c r="N95" s="19">
        <v>0.0</v>
      </c>
      <c r="O95" s="19">
        <v>0.0</v>
      </c>
      <c r="P95" s="19">
        <v>1.0</v>
      </c>
      <c r="Q95" s="19">
        <v>4.0</v>
      </c>
      <c r="R95" s="13">
        <f t="shared" ref="R95:R102" si="24">SUM(E95:Q95)</f>
        <v>7</v>
      </c>
    </row>
    <row r="96" ht="12.75" customHeight="1">
      <c r="A96" s="30" t="s">
        <v>39</v>
      </c>
      <c r="B96" s="55">
        <v>1.0</v>
      </c>
      <c r="C96" s="50" t="s">
        <v>83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1.0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1.0</v>
      </c>
      <c r="R96" s="13">
        <f t="shared" si="24"/>
        <v>2</v>
      </c>
    </row>
    <row r="97" ht="12.75" customHeight="1">
      <c r="A97" s="18"/>
      <c r="B97" s="55">
        <v>2.0</v>
      </c>
      <c r="C97" s="50" t="s">
        <v>84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1.0</v>
      </c>
      <c r="R97" s="13">
        <f t="shared" si="24"/>
        <v>1</v>
      </c>
    </row>
    <row r="98" ht="12.75" customHeight="1">
      <c r="A98" s="18"/>
      <c r="B98" s="55">
        <v>3.0</v>
      </c>
      <c r="C98" s="50" t="s">
        <v>85</v>
      </c>
      <c r="D98" s="57"/>
      <c r="E98" s="73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3">
        <f t="shared" si="24"/>
        <v>0</v>
      </c>
    </row>
    <row r="99" ht="12.75" customHeight="1">
      <c r="A99" s="18"/>
      <c r="B99" s="55">
        <v>4.0</v>
      </c>
      <c r="C99" s="50" t="s">
        <v>86</v>
      </c>
      <c r="D99" s="57"/>
      <c r="E99" s="73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3">
        <f t="shared" si="24"/>
        <v>0</v>
      </c>
    </row>
    <row r="100" ht="12.75" customHeight="1">
      <c r="A100" s="18"/>
      <c r="B100" s="55">
        <v>5.0</v>
      </c>
      <c r="C100" s="50" t="s">
        <v>87</v>
      </c>
      <c r="D100" s="57"/>
      <c r="E100" s="73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3">
        <f t="shared" si="24"/>
        <v>0</v>
      </c>
    </row>
    <row r="101" ht="12.75" customHeight="1">
      <c r="A101" s="18"/>
      <c r="B101" s="55">
        <v>6.0</v>
      </c>
      <c r="C101" s="50" t="s">
        <v>88</v>
      </c>
      <c r="D101" s="57"/>
      <c r="E101" s="73">
        <v>0.0</v>
      </c>
      <c r="F101" s="19">
        <v>0.0</v>
      </c>
      <c r="G101" s="19">
        <v>0.0</v>
      </c>
      <c r="H101" s="19">
        <v>0.0</v>
      </c>
      <c r="I101" s="19">
        <v>0.0</v>
      </c>
      <c r="J101" s="19">
        <v>0.0</v>
      </c>
      <c r="K101" s="19">
        <v>0.0</v>
      </c>
      <c r="L101" s="19">
        <v>0.0</v>
      </c>
      <c r="M101" s="19">
        <v>0.0</v>
      </c>
      <c r="N101" s="19">
        <v>0.0</v>
      </c>
      <c r="O101" s="19">
        <v>0.0</v>
      </c>
      <c r="P101" s="19">
        <v>0.0</v>
      </c>
      <c r="Q101" s="19">
        <v>0.0</v>
      </c>
      <c r="R101" s="13">
        <f t="shared" si="24"/>
        <v>0</v>
      </c>
    </row>
    <row r="102" ht="12.75" customHeight="1">
      <c r="A102" s="18"/>
      <c r="B102" s="55">
        <v>7.0</v>
      </c>
      <c r="C102" s="50" t="s">
        <v>89</v>
      </c>
      <c r="D102" s="57"/>
      <c r="E102" s="73">
        <v>0.0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0.0</v>
      </c>
      <c r="R102" s="13">
        <f t="shared" si="24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R103" si="25">SUM(E95:E102)</f>
        <v>0</v>
      </c>
      <c r="F103" s="13">
        <f t="shared" si="25"/>
        <v>0</v>
      </c>
      <c r="G103" s="13">
        <f t="shared" si="25"/>
        <v>0</v>
      </c>
      <c r="H103" s="13">
        <f t="shared" si="25"/>
        <v>0</v>
      </c>
      <c r="I103" s="13">
        <f t="shared" si="25"/>
        <v>1</v>
      </c>
      <c r="J103" s="13">
        <f t="shared" si="25"/>
        <v>0</v>
      </c>
      <c r="K103" s="13">
        <f t="shared" si="25"/>
        <v>0</v>
      </c>
      <c r="L103" s="13">
        <f t="shared" si="25"/>
        <v>0</v>
      </c>
      <c r="M103" s="13">
        <f t="shared" si="25"/>
        <v>2</v>
      </c>
      <c r="N103" s="13">
        <f t="shared" si="25"/>
        <v>0</v>
      </c>
      <c r="O103" s="13">
        <f t="shared" si="25"/>
        <v>0</v>
      </c>
      <c r="P103" s="13">
        <f t="shared" si="25"/>
        <v>1</v>
      </c>
      <c r="Q103" s="13">
        <f t="shared" si="25"/>
        <v>6</v>
      </c>
      <c r="R103" s="13">
        <f t="shared" si="25"/>
        <v>10</v>
      </c>
    </row>
    <row r="104" ht="12.75" customHeight="1">
      <c r="A104" s="24"/>
      <c r="B104" s="15"/>
      <c r="C104" s="15"/>
      <c r="D104" s="15"/>
      <c r="E104" s="16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13"/>
    </row>
    <row r="105" ht="12.75" customHeight="1">
      <c r="A105" s="30" t="s">
        <v>37</v>
      </c>
      <c r="B105" s="47" t="s">
        <v>90</v>
      </c>
      <c r="C105" s="48" t="s">
        <v>91</v>
      </c>
      <c r="D105" s="16"/>
      <c r="E105" s="19">
        <v>0.0</v>
      </c>
      <c r="F105" s="19">
        <v>0.0</v>
      </c>
      <c r="G105" s="19">
        <v>0.0</v>
      </c>
      <c r="H105" s="19">
        <v>1.0</v>
      </c>
      <c r="I105" s="19"/>
      <c r="J105" s="19">
        <v>0.0</v>
      </c>
      <c r="K105" s="19">
        <v>0.0</v>
      </c>
      <c r="L105" s="19">
        <v>0.0</v>
      </c>
      <c r="M105" s="19">
        <v>0.0</v>
      </c>
      <c r="N105" s="19">
        <v>2.0</v>
      </c>
      <c r="O105" s="19">
        <v>1.0</v>
      </c>
      <c r="P105" s="19">
        <v>0.0</v>
      </c>
      <c r="Q105" s="19">
        <v>1.0</v>
      </c>
      <c r="R105" s="13">
        <f t="shared" ref="R105:R108" si="26">SUM(E105:Q105)</f>
        <v>5</v>
      </c>
    </row>
    <row r="106" ht="12.75" customHeight="1">
      <c r="A106" s="30" t="s">
        <v>39</v>
      </c>
      <c r="B106" s="55">
        <v>1.0</v>
      </c>
      <c r="C106" s="50" t="s">
        <v>92</v>
      </c>
      <c r="D106" s="57"/>
      <c r="E106" s="19">
        <v>1.0</v>
      </c>
      <c r="F106" s="19">
        <v>0.0</v>
      </c>
      <c r="G106" s="19">
        <v>0.0</v>
      </c>
      <c r="H106" s="19">
        <v>0.0</v>
      </c>
      <c r="I106" s="19"/>
      <c r="J106" s="19">
        <v>1.0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3">
        <f t="shared" si="26"/>
        <v>2</v>
      </c>
    </row>
    <row r="107" ht="12.75" customHeight="1">
      <c r="A107" s="18"/>
      <c r="B107" s="55">
        <v>2.0</v>
      </c>
      <c r="C107" s="50" t="s">
        <v>93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/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3">
        <f t="shared" si="26"/>
        <v>0</v>
      </c>
    </row>
    <row r="108" ht="12.75" customHeight="1">
      <c r="A108" s="18"/>
      <c r="B108" s="55">
        <v>3.0</v>
      </c>
      <c r="C108" s="50" t="s">
        <v>94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/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3">
        <f t="shared" si="26"/>
        <v>0</v>
      </c>
    </row>
    <row r="109" ht="12.75" customHeight="1">
      <c r="A109" s="19" t="s">
        <v>15</v>
      </c>
      <c r="B109" s="47" t="s">
        <v>47</v>
      </c>
      <c r="C109" s="15"/>
      <c r="D109" s="16"/>
      <c r="E109" s="13">
        <f t="shared" ref="E109:R109" si="27">SUM(E105:E108)</f>
        <v>1</v>
      </c>
      <c r="F109" s="13">
        <f t="shared" si="27"/>
        <v>0</v>
      </c>
      <c r="G109" s="13">
        <f t="shared" si="27"/>
        <v>0</v>
      </c>
      <c r="H109" s="13">
        <f t="shared" si="27"/>
        <v>1</v>
      </c>
      <c r="I109" s="13">
        <f t="shared" si="27"/>
        <v>0</v>
      </c>
      <c r="J109" s="13">
        <f t="shared" si="27"/>
        <v>1</v>
      </c>
      <c r="K109" s="13">
        <f t="shared" si="27"/>
        <v>0</v>
      </c>
      <c r="L109" s="13">
        <f t="shared" si="27"/>
        <v>0</v>
      </c>
      <c r="M109" s="13">
        <f t="shared" si="27"/>
        <v>0</v>
      </c>
      <c r="N109" s="13">
        <f t="shared" si="27"/>
        <v>2</v>
      </c>
      <c r="O109" s="13">
        <f t="shared" si="27"/>
        <v>1</v>
      </c>
      <c r="P109" s="13">
        <f t="shared" si="27"/>
        <v>0</v>
      </c>
      <c r="Q109" s="13">
        <f t="shared" si="27"/>
        <v>1</v>
      </c>
      <c r="R109" s="13">
        <f t="shared" si="27"/>
        <v>7</v>
      </c>
    </row>
    <row r="110" ht="12.75" customHeight="1">
      <c r="A110" s="24"/>
      <c r="B110" s="15"/>
      <c r="C110" s="15"/>
      <c r="D110" s="15"/>
      <c r="E110" s="16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</row>
    <row r="111" ht="12.75" customHeight="1">
      <c r="A111" s="30" t="s">
        <v>37</v>
      </c>
      <c r="B111" s="47" t="s">
        <v>95</v>
      </c>
      <c r="C111" s="48" t="s">
        <v>96</v>
      </c>
      <c r="D111" s="16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1.0</v>
      </c>
      <c r="P111" s="19">
        <v>0.0</v>
      </c>
      <c r="Q111" s="19">
        <v>1.0</v>
      </c>
      <c r="R111" s="13">
        <f t="shared" ref="R111:R118" si="28">SUM(E111:Q111)</f>
        <v>2</v>
      </c>
    </row>
    <row r="112" ht="12.75" customHeight="1">
      <c r="A112" s="30" t="s">
        <v>39</v>
      </c>
      <c r="B112" s="55">
        <v>1.0</v>
      </c>
      <c r="C112" s="50" t="s">
        <v>97</v>
      </c>
      <c r="D112" s="56"/>
      <c r="E112" s="19">
        <v>2.0</v>
      </c>
      <c r="F112" s="19">
        <v>4.0</v>
      </c>
      <c r="G112" s="19">
        <v>1.0</v>
      </c>
      <c r="H112" s="19">
        <v>0.0</v>
      </c>
      <c r="I112" s="19">
        <v>1.0</v>
      </c>
      <c r="J112" s="19">
        <v>0.0</v>
      </c>
      <c r="K112" s="19">
        <v>0.0</v>
      </c>
      <c r="L112" s="19">
        <v>1.0</v>
      </c>
      <c r="M112" s="19">
        <v>0.0</v>
      </c>
      <c r="N112" s="19">
        <v>2.0</v>
      </c>
      <c r="O112" s="19">
        <v>0.0</v>
      </c>
      <c r="P112" s="19">
        <v>0.0</v>
      </c>
      <c r="Q112" s="19">
        <v>0.0</v>
      </c>
      <c r="R112" s="13">
        <f t="shared" si="28"/>
        <v>11</v>
      </c>
    </row>
    <row r="113" ht="12.75" customHeight="1">
      <c r="A113" s="18"/>
      <c r="B113" s="55">
        <v>2.0</v>
      </c>
      <c r="C113" s="50" t="s">
        <v>98</v>
      </c>
      <c r="D113" s="56"/>
      <c r="E113" s="19">
        <v>0.0</v>
      </c>
      <c r="F113" s="19">
        <v>0.0</v>
      </c>
      <c r="G113" s="19">
        <v>0.0</v>
      </c>
      <c r="H113" s="19">
        <v>1.0</v>
      </c>
      <c r="I113" s="19">
        <v>1.0</v>
      </c>
      <c r="J113" s="19">
        <v>0.0</v>
      </c>
      <c r="K113" s="19">
        <v>0.0</v>
      </c>
      <c r="L113" s="19">
        <v>0.0</v>
      </c>
      <c r="M113" s="19">
        <v>0.0</v>
      </c>
      <c r="N113" s="19">
        <v>0.0</v>
      </c>
      <c r="O113" s="19">
        <v>0.0</v>
      </c>
      <c r="P113" s="19">
        <v>0.0</v>
      </c>
      <c r="Q113" s="19">
        <v>0.0</v>
      </c>
      <c r="R113" s="13">
        <f t="shared" si="28"/>
        <v>2</v>
      </c>
    </row>
    <row r="114" ht="12.75" customHeight="1">
      <c r="A114" s="18"/>
      <c r="B114" s="55">
        <v>3.0</v>
      </c>
      <c r="C114" s="50" t="s">
        <v>99</v>
      </c>
      <c r="D114" s="56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0.0</v>
      </c>
      <c r="R114" s="13">
        <f t="shared" si="28"/>
        <v>0</v>
      </c>
    </row>
    <row r="115" ht="12.75" customHeight="1">
      <c r="A115" s="18"/>
      <c r="B115" s="55">
        <v>4.0</v>
      </c>
      <c r="C115" s="50" t="s">
        <v>100</v>
      </c>
      <c r="D115" s="56"/>
      <c r="E115" s="19">
        <v>0.0</v>
      </c>
      <c r="F115" s="19">
        <v>0.0</v>
      </c>
      <c r="G115" s="19">
        <v>0.0</v>
      </c>
      <c r="H115" s="19">
        <v>0.0</v>
      </c>
      <c r="I115" s="19">
        <v>0.0</v>
      </c>
      <c r="J115" s="19">
        <v>0.0</v>
      </c>
      <c r="K115" s="19">
        <v>0.0</v>
      </c>
      <c r="L115" s="19">
        <v>0.0</v>
      </c>
      <c r="M115" s="19">
        <v>0.0</v>
      </c>
      <c r="N115" s="19">
        <v>0.0</v>
      </c>
      <c r="O115" s="19">
        <v>0.0</v>
      </c>
      <c r="P115" s="19">
        <v>0.0</v>
      </c>
      <c r="Q115" s="19">
        <v>0.0</v>
      </c>
      <c r="R115" s="13">
        <f t="shared" si="28"/>
        <v>0</v>
      </c>
    </row>
    <row r="116" ht="12.75" customHeight="1">
      <c r="A116" s="18"/>
      <c r="B116" s="55">
        <v>5.0</v>
      </c>
      <c r="C116" s="50" t="s">
        <v>101</v>
      </c>
      <c r="D116" s="56"/>
      <c r="E116" s="19">
        <v>0.0</v>
      </c>
      <c r="F116" s="19">
        <v>0.0</v>
      </c>
      <c r="G116" s="19">
        <v>0.0</v>
      </c>
      <c r="H116" s="19">
        <v>0.0</v>
      </c>
      <c r="I116" s="19">
        <v>0.0</v>
      </c>
      <c r="J116" s="19">
        <v>0.0</v>
      </c>
      <c r="K116" s="19">
        <v>0.0</v>
      </c>
      <c r="L116" s="19">
        <v>0.0</v>
      </c>
      <c r="M116" s="19">
        <v>0.0</v>
      </c>
      <c r="N116" s="19">
        <v>0.0</v>
      </c>
      <c r="O116" s="19">
        <v>0.0</v>
      </c>
      <c r="P116" s="19">
        <v>0.0</v>
      </c>
      <c r="Q116" s="19">
        <v>0.0</v>
      </c>
      <c r="R116" s="13">
        <f t="shared" si="28"/>
        <v>0</v>
      </c>
    </row>
    <row r="117" ht="12.75" customHeight="1">
      <c r="A117" s="18"/>
      <c r="B117" s="55">
        <v>6.0</v>
      </c>
      <c r="C117" s="50" t="s">
        <v>102</v>
      </c>
      <c r="D117" s="57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3">
        <f t="shared" si="28"/>
        <v>0</v>
      </c>
    </row>
    <row r="118" ht="12.75" customHeight="1">
      <c r="A118" s="18"/>
      <c r="B118" s="55">
        <v>7.0</v>
      </c>
      <c r="C118" s="50" t="s">
        <v>103</v>
      </c>
      <c r="D118" s="56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3">
        <f t="shared" si="28"/>
        <v>0</v>
      </c>
    </row>
    <row r="119" ht="12.75" customHeight="1">
      <c r="A119" s="19" t="s">
        <v>15</v>
      </c>
      <c r="B119" s="47" t="s">
        <v>47</v>
      </c>
      <c r="C119" s="15"/>
      <c r="D119" s="16"/>
      <c r="E119" s="13">
        <f t="shared" ref="E119:R119" si="29">SUM(E111:E118)</f>
        <v>2</v>
      </c>
      <c r="F119" s="13">
        <f t="shared" si="29"/>
        <v>4</v>
      </c>
      <c r="G119" s="13">
        <f t="shared" si="29"/>
        <v>1</v>
      </c>
      <c r="H119" s="13">
        <f t="shared" si="29"/>
        <v>1</v>
      </c>
      <c r="I119" s="13">
        <f t="shared" si="29"/>
        <v>2</v>
      </c>
      <c r="J119" s="13">
        <f t="shared" si="29"/>
        <v>0</v>
      </c>
      <c r="K119" s="13">
        <f t="shared" si="29"/>
        <v>0</v>
      </c>
      <c r="L119" s="13">
        <f t="shared" si="29"/>
        <v>1</v>
      </c>
      <c r="M119" s="13">
        <f t="shared" si="29"/>
        <v>0</v>
      </c>
      <c r="N119" s="13">
        <f t="shared" si="29"/>
        <v>2</v>
      </c>
      <c r="O119" s="13">
        <f t="shared" si="29"/>
        <v>1</v>
      </c>
      <c r="P119" s="13">
        <f t="shared" si="29"/>
        <v>0</v>
      </c>
      <c r="Q119" s="13">
        <f t="shared" si="29"/>
        <v>1</v>
      </c>
      <c r="R119" s="13">
        <f t="shared" si="29"/>
        <v>15</v>
      </c>
    </row>
    <row r="120" ht="12.75" customHeight="1">
      <c r="A120" s="24"/>
      <c r="B120" s="15"/>
      <c r="C120" s="15"/>
      <c r="D120" s="15"/>
      <c r="E120" s="16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</row>
    <row r="121" ht="12.75" customHeight="1">
      <c r="A121" s="30" t="s">
        <v>37</v>
      </c>
      <c r="B121" s="47" t="s">
        <v>104</v>
      </c>
      <c r="C121" s="48" t="s">
        <v>105</v>
      </c>
      <c r="D121" s="16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1.0</v>
      </c>
      <c r="R121" s="13">
        <f t="shared" ref="R121:R128" si="30">SUM(E121:Q121)</f>
        <v>1</v>
      </c>
    </row>
    <row r="122" ht="12.75" customHeight="1">
      <c r="A122" s="30" t="s">
        <v>39</v>
      </c>
      <c r="B122" s="55">
        <v>1.0</v>
      </c>
      <c r="C122" s="50" t="s">
        <v>106</v>
      </c>
      <c r="D122" s="57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3">
        <f t="shared" si="30"/>
        <v>0</v>
      </c>
    </row>
    <row r="123" ht="12.75" customHeight="1">
      <c r="A123" s="18"/>
      <c r="B123" s="55">
        <v>2.0</v>
      </c>
      <c r="C123" s="50" t="s">
        <v>107</v>
      </c>
      <c r="D123" s="57"/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3">
        <f t="shared" si="30"/>
        <v>0</v>
      </c>
    </row>
    <row r="124" ht="12.75" customHeight="1">
      <c r="A124" s="18"/>
      <c r="B124" s="55">
        <v>3.0</v>
      </c>
      <c r="C124" s="50" t="s">
        <v>108</v>
      </c>
      <c r="D124" s="57"/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3">
        <f t="shared" si="30"/>
        <v>0</v>
      </c>
    </row>
    <row r="125" ht="12.75" customHeight="1">
      <c r="A125" s="18"/>
      <c r="B125" s="55">
        <v>4.0</v>
      </c>
      <c r="C125" s="50" t="s">
        <v>109</v>
      </c>
      <c r="D125" s="57"/>
      <c r="E125" s="19">
        <v>0.0</v>
      </c>
      <c r="F125" s="19">
        <v>0.0</v>
      </c>
      <c r="G125" s="19">
        <v>0.0</v>
      </c>
      <c r="H125" s="19">
        <v>0.0</v>
      </c>
      <c r="I125" s="19">
        <v>0.0</v>
      </c>
      <c r="J125" s="19">
        <v>0.0</v>
      </c>
      <c r="K125" s="19">
        <v>0.0</v>
      </c>
      <c r="L125" s="19">
        <v>0.0</v>
      </c>
      <c r="M125" s="19">
        <v>0.0</v>
      </c>
      <c r="N125" s="19">
        <v>0.0</v>
      </c>
      <c r="O125" s="19">
        <v>0.0</v>
      </c>
      <c r="P125" s="19">
        <v>0.0</v>
      </c>
      <c r="Q125" s="19">
        <v>0.0</v>
      </c>
      <c r="R125" s="13">
        <f t="shared" si="30"/>
        <v>0</v>
      </c>
    </row>
    <row r="126" ht="12.75" customHeight="1">
      <c r="A126" s="18"/>
      <c r="B126" s="55">
        <v>5.0</v>
      </c>
      <c r="C126" s="50" t="s">
        <v>110</v>
      </c>
      <c r="D126" s="57"/>
      <c r="E126" s="19">
        <v>0.0</v>
      </c>
      <c r="F126" s="19">
        <v>0.0</v>
      </c>
      <c r="G126" s="19">
        <v>0.0</v>
      </c>
      <c r="H126" s="19">
        <v>0.0</v>
      </c>
      <c r="I126" s="19">
        <v>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0.0</v>
      </c>
      <c r="Q126" s="19">
        <v>0.0</v>
      </c>
      <c r="R126" s="13">
        <f t="shared" si="30"/>
        <v>0</v>
      </c>
    </row>
    <row r="127" ht="12.75" customHeight="1">
      <c r="A127" s="18"/>
      <c r="B127" s="55">
        <v>6.0</v>
      </c>
      <c r="C127" s="50" t="s">
        <v>111</v>
      </c>
      <c r="D127" s="57"/>
      <c r="E127" s="19">
        <v>0.0</v>
      </c>
      <c r="F127" s="19">
        <v>0.0</v>
      </c>
      <c r="G127" s="19">
        <v>0.0</v>
      </c>
      <c r="H127" s="19">
        <v>0.0</v>
      </c>
      <c r="I127" s="19">
        <v>0.0</v>
      </c>
      <c r="J127" s="19">
        <v>0.0</v>
      </c>
      <c r="K127" s="19">
        <v>0.0</v>
      </c>
      <c r="L127" s="19">
        <v>0.0</v>
      </c>
      <c r="M127" s="19">
        <v>0.0</v>
      </c>
      <c r="N127" s="19">
        <v>0.0</v>
      </c>
      <c r="O127" s="19">
        <v>0.0</v>
      </c>
      <c r="P127" s="19">
        <v>0.0</v>
      </c>
      <c r="Q127" s="19">
        <v>0.0</v>
      </c>
      <c r="R127" s="13">
        <f t="shared" si="30"/>
        <v>0</v>
      </c>
    </row>
    <row r="128" ht="12.75" customHeight="1">
      <c r="A128" s="18"/>
      <c r="B128" s="55">
        <v>7.0</v>
      </c>
      <c r="C128" s="50" t="s">
        <v>112</v>
      </c>
      <c r="D128" s="57"/>
      <c r="E128" s="19">
        <v>0.0</v>
      </c>
      <c r="F128" s="19">
        <v>0.0</v>
      </c>
      <c r="G128" s="19">
        <v>0.0</v>
      </c>
      <c r="H128" s="19">
        <v>0.0</v>
      </c>
      <c r="I128" s="19">
        <v>0.0</v>
      </c>
      <c r="J128" s="19">
        <v>0.0</v>
      </c>
      <c r="K128" s="19">
        <v>0.0</v>
      </c>
      <c r="L128" s="19">
        <v>0.0</v>
      </c>
      <c r="M128" s="19">
        <v>0.0</v>
      </c>
      <c r="N128" s="19">
        <v>0.0</v>
      </c>
      <c r="O128" s="19">
        <v>0.0</v>
      </c>
      <c r="P128" s="19">
        <v>0.0</v>
      </c>
      <c r="Q128" s="19">
        <v>0.0</v>
      </c>
      <c r="R128" s="13">
        <f t="shared" si="30"/>
        <v>0</v>
      </c>
    </row>
    <row r="129" ht="12.75" customHeight="1">
      <c r="A129" s="19" t="s">
        <v>15</v>
      </c>
      <c r="B129" s="47" t="s">
        <v>47</v>
      </c>
      <c r="C129" s="15"/>
      <c r="D129" s="16"/>
      <c r="E129" s="13">
        <f t="shared" ref="E129:R129" si="31">SUM(E121:E128)</f>
        <v>0</v>
      </c>
      <c r="F129" s="13">
        <f t="shared" si="31"/>
        <v>0</v>
      </c>
      <c r="G129" s="13">
        <f t="shared" si="31"/>
        <v>0</v>
      </c>
      <c r="H129" s="13">
        <f t="shared" si="31"/>
        <v>0</v>
      </c>
      <c r="I129" s="13">
        <f t="shared" si="31"/>
        <v>0</v>
      </c>
      <c r="J129" s="13">
        <f t="shared" si="31"/>
        <v>0</v>
      </c>
      <c r="K129" s="13">
        <f t="shared" si="31"/>
        <v>0</v>
      </c>
      <c r="L129" s="13">
        <f t="shared" si="31"/>
        <v>0</v>
      </c>
      <c r="M129" s="13">
        <f t="shared" si="31"/>
        <v>0</v>
      </c>
      <c r="N129" s="13">
        <f t="shared" si="31"/>
        <v>0</v>
      </c>
      <c r="O129" s="13">
        <f t="shared" si="31"/>
        <v>0</v>
      </c>
      <c r="P129" s="13">
        <f t="shared" si="31"/>
        <v>0</v>
      </c>
      <c r="Q129" s="13">
        <f t="shared" si="31"/>
        <v>1</v>
      </c>
      <c r="R129" s="13">
        <f t="shared" si="31"/>
        <v>1</v>
      </c>
    </row>
    <row r="130" ht="12.75" customHeight="1">
      <c r="A130" s="24"/>
      <c r="B130" s="15"/>
      <c r="C130" s="15"/>
      <c r="D130" s="15"/>
      <c r="E130" s="16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13"/>
    </row>
    <row r="131" ht="12.75" customHeight="1">
      <c r="A131" s="30" t="s">
        <v>37</v>
      </c>
      <c r="B131" s="17" t="s">
        <v>113</v>
      </c>
      <c r="C131" s="59" t="s">
        <v>114</v>
      </c>
      <c r="D131" s="23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3">
        <f t="shared" ref="R131:R135" si="32">SUM(E131:Q131)</f>
        <v>0</v>
      </c>
    </row>
    <row r="132" ht="12.75" customHeight="1">
      <c r="A132" s="60" t="s">
        <v>39</v>
      </c>
      <c r="B132" s="55">
        <v>1.0</v>
      </c>
      <c r="C132" s="61" t="s">
        <v>115</v>
      </c>
      <c r="D132" s="57"/>
      <c r="E132" s="74">
        <v>1.0</v>
      </c>
      <c r="F132" s="19">
        <v>0.0</v>
      </c>
      <c r="G132" s="19">
        <v>0.0</v>
      </c>
      <c r="H132" s="19">
        <v>2.0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3">
        <f t="shared" si="32"/>
        <v>3</v>
      </c>
    </row>
    <row r="133" ht="12.75" customHeight="1">
      <c r="A133" s="18"/>
      <c r="B133" s="55">
        <v>2.0</v>
      </c>
      <c r="C133" s="61" t="s">
        <v>116</v>
      </c>
      <c r="D133" s="57"/>
      <c r="E133" s="74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1.0</v>
      </c>
      <c r="R133" s="13">
        <f t="shared" si="32"/>
        <v>1</v>
      </c>
    </row>
    <row r="134" ht="12.75" customHeight="1">
      <c r="A134" s="18"/>
      <c r="B134" s="55">
        <v>3.0</v>
      </c>
      <c r="C134" s="61" t="s">
        <v>117</v>
      </c>
      <c r="D134" s="57"/>
      <c r="E134" s="74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3">
        <f t="shared" si="32"/>
        <v>0</v>
      </c>
    </row>
    <row r="135" ht="12.75" customHeight="1">
      <c r="A135" s="18"/>
      <c r="B135" s="55">
        <v>4.0</v>
      </c>
      <c r="C135" s="61" t="s">
        <v>118</v>
      </c>
      <c r="D135" s="57"/>
      <c r="E135" s="74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3">
        <f t="shared" si="32"/>
        <v>0</v>
      </c>
    </row>
    <row r="136" ht="12.75" customHeight="1">
      <c r="A136" s="19" t="s">
        <v>15</v>
      </c>
      <c r="B136" s="62" t="s">
        <v>47</v>
      </c>
      <c r="C136" s="44"/>
      <c r="D136" s="28"/>
      <c r="E136" s="13">
        <f t="shared" ref="E136:R136" si="33">SUM(E131:E135)</f>
        <v>1</v>
      </c>
      <c r="F136" s="13">
        <f t="shared" si="33"/>
        <v>0</v>
      </c>
      <c r="G136" s="13">
        <f t="shared" si="33"/>
        <v>0</v>
      </c>
      <c r="H136" s="13">
        <f t="shared" si="33"/>
        <v>2</v>
      </c>
      <c r="I136" s="13">
        <f t="shared" si="33"/>
        <v>0</v>
      </c>
      <c r="J136" s="13">
        <f t="shared" si="33"/>
        <v>0</v>
      </c>
      <c r="K136" s="13">
        <f t="shared" si="33"/>
        <v>0</v>
      </c>
      <c r="L136" s="13">
        <f t="shared" si="33"/>
        <v>0</v>
      </c>
      <c r="M136" s="13">
        <f t="shared" si="33"/>
        <v>0</v>
      </c>
      <c r="N136" s="13">
        <f t="shared" si="33"/>
        <v>0</v>
      </c>
      <c r="O136" s="13">
        <f t="shared" si="33"/>
        <v>0</v>
      </c>
      <c r="P136" s="13">
        <f t="shared" si="33"/>
        <v>0</v>
      </c>
      <c r="Q136" s="13">
        <f t="shared" si="33"/>
        <v>1</v>
      </c>
      <c r="R136" s="13">
        <f t="shared" si="33"/>
        <v>4</v>
      </c>
    </row>
    <row r="137" ht="12.75" customHeight="1">
      <c r="A137" s="24"/>
      <c r="B137" s="15"/>
      <c r="C137" s="15"/>
      <c r="D137" s="15"/>
      <c r="E137" s="16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</row>
    <row r="138" ht="12.75" customHeight="1">
      <c r="A138" s="30" t="s">
        <v>37</v>
      </c>
      <c r="B138" s="47" t="s">
        <v>119</v>
      </c>
      <c r="C138" s="48" t="s">
        <v>120</v>
      </c>
      <c r="D138" s="16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0.0</v>
      </c>
      <c r="N138" s="19">
        <v>0.0</v>
      </c>
      <c r="O138" s="19">
        <v>0.0</v>
      </c>
      <c r="P138" s="19">
        <v>0.0</v>
      </c>
      <c r="Q138" s="19">
        <v>1.0</v>
      </c>
      <c r="R138" s="13">
        <f t="shared" ref="R138:R145" si="34">SUM(E138:Q138)</f>
        <v>1</v>
      </c>
    </row>
    <row r="139" ht="12.75" customHeight="1">
      <c r="A139" s="30" t="s">
        <v>39</v>
      </c>
      <c r="B139" s="55">
        <v>1.0</v>
      </c>
      <c r="C139" s="50" t="s">
        <v>121</v>
      </c>
      <c r="D139" s="57"/>
      <c r="E139" s="19">
        <v>0.0</v>
      </c>
      <c r="F139" s="19">
        <v>0.0</v>
      </c>
      <c r="G139" s="19">
        <v>0.0</v>
      </c>
      <c r="H139" s="19">
        <v>0.0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0.0</v>
      </c>
      <c r="Q139" s="19">
        <v>0.0</v>
      </c>
      <c r="R139" s="13">
        <f t="shared" si="34"/>
        <v>0</v>
      </c>
    </row>
    <row r="140" ht="12.75" customHeight="1">
      <c r="A140" s="18"/>
      <c r="B140" s="55">
        <v>2.0</v>
      </c>
      <c r="C140" s="50" t="s">
        <v>122</v>
      </c>
      <c r="D140" s="57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3">
        <f t="shared" si="34"/>
        <v>0</v>
      </c>
    </row>
    <row r="141" ht="12.75" customHeight="1">
      <c r="A141" s="18"/>
      <c r="B141" s="55">
        <v>3.0</v>
      </c>
      <c r="C141" s="50" t="s">
        <v>123</v>
      </c>
      <c r="D141" s="57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3">
        <f t="shared" si="34"/>
        <v>0</v>
      </c>
    </row>
    <row r="142" ht="12.75" customHeight="1">
      <c r="A142" s="18"/>
      <c r="B142" s="55">
        <v>4.0</v>
      </c>
      <c r="C142" s="50" t="s">
        <v>124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3">
        <f t="shared" si="34"/>
        <v>0</v>
      </c>
    </row>
    <row r="143" ht="12.75" customHeight="1">
      <c r="A143" s="18"/>
      <c r="B143" s="55">
        <v>5.0</v>
      </c>
      <c r="C143" s="50" t="s">
        <v>125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3">
        <f t="shared" si="34"/>
        <v>0</v>
      </c>
    </row>
    <row r="144" ht="12.75" customHeight="1">
      <c r="A144" s="18"/>
      <c r="B144" s="55">
        <v>6.0</v>
      </c>
      <c r="C144" s="50" t="s">
        <v>126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3">
        <f t="shared" si="34"/>
        <v>0</v>
      </c>
    </row>
    <row r="145" ht="12.75" customHeight="1">
      <c r="A145" s="18"/>
      <c r="B145" s="55">
        <v>7.0</v>
      </c>
      <c r="C145" s="50" t="s">
        <v>127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3">
        <f t="shared" si="34"/>
        <v>0</v>
      </c>
    </row>
    <row r="146" ht="12.75" customHeight="1">
      <c r="A146" s="19" t="s">
        <v>15</v>
      </c>
      <c r="B146" s="47" t="s">
        <v>47</v>
      </c>
      <c r="C146" s="15"/>
      <c r="D146" s="16"/>
      <c r="E146" s="13">
        <f t="shared" ref="E146:R146" si="35">SUM(E138:E145)</f>
        <v>0</v>
      </c>
      <c r="F146" s="13">
        <f t="shared" si="35"/>
        <v>0</v>
      </c>
      <c r="G146" s="13">
        <f t="shared" si="35"/>
        <v>0</v>
      </c>
      <c r="H146" s="13">
        <f t="shared" si="35"/>
        <v>0</v>
      </c>
      <c r="I146" s="13">
        <f t="shared" si="35"/>
        <v>0</v>
      </c>
      <c r="J146" s="13">
        <f t="shared" si="35"/>
        <v>0</v>
      </c>
      <c r="K146" s="13">
        <f t="shared" si="35"/>
        <v>0</v>
      </c>
      <c r="L146" s="13">
        <f t="shared" si="35"/>
        <v>0</v>
      </c>
      <c r="M146" s="13">
        <f t="shared" si="35"/>
        <v>0</v>
      </c>
      <c r="N146" s="13">
        <f t="shared" si="35"/>
        <v>0</v>
      </c>
      <c r="O146" s="13">
        <f t="shared" si="35"/>
        <v>0</v>
      </c>
      <c r="P146" s="13">
        <f t="shared" si="35"/>
        <v>0</v>
      </c>
      <c r="Q146" s="13">
        <f t="shared" si="35"/>
        <v>1</v>
      </c>
      <c r="R146" s="13">
        <f t="shared" si="35"/>
        <v>1</v>
      </c>
    </row>
    <row r="147" ht="12.75" customHeight="1">
      <c r="A147" s="24"/>
      <c r="B147" s="15"/>
      <c r="C147" s="15"/>
      <c r="D147" s="15"/>
      <c r="E147" s="16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</row>
    <row r="148" ht="12.75" customHeight="1">
      <c r="A148" s="30" t="s">
        <v>37</v>
      </c>
      <c r="B148" s="47" t="s">
        <v>128</v>
      </c>
      <c r="C148" s="48" t="s">
        <v>129</v>
      </c>
      <c r="D148" s="16"/>
      <c r="E148" s="19">
        <v>0.0</v>
      </c>
      <c r="F148" s="19">
        <v>0.0</v>
      </c>
      <c r="G148" s="19">
        <v>0.0</v>
      </c>
      <c r="H148" s="19">
        <v>1.0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3">
        <f t="shared" ref="R148:R155" si="36">SUM(E148:Q148)</f>
        <v>1</v>
      </c>
    </row>
    <row r="149" ht="12.75" customHeight="1">
      <c r="A149" s="30" t="s">
        <v>39</v>
      </c>
      <c r="B149" s="55">
        <v>1.0</v>
      </c>
      <c r="C149" s="50" t="s">
        <v>130</v>
      </c>
      <c r="D149" s="57"/>
      <c r="E149" s="19">
        <v>1.0</v>
      </c>
      <c r="F149" s="19">
        <v>0.0</v>
      </c>
      <c r="G149" s="19">
        <v>0.0</v>
      </c>
      <c r="H149" s="19">
        <v>0.0</v>
      </c>
      <c r="I149" s="19">
        <v>0.0</v>
      </c>
      <c r="J149" s="19">
        <v>1.0</v>
      </c>
      <c r="K149" s="19">
        <v>0.0</v>
      </c>
      <c r="L149" s="19">
        <v>0.0</v>
      </c>
      <c r="M149" s="19">
        <v>0.0</v>
      </c>
      <c r="N149" s="19">
        <v>0.0</v>
      </c>
      <c r="O149" s="19">
        <v>0.0</v>
      </c>
      <c r="P149" s="19">
        <v>0.0</v>
      </c>
      <c r="Q149" s="19">
        <v>0.0</v>
      </c>
      <c r="R149" s="13">
        <f t="shared" si="36"/>
        <v>2</v>
      </c>
    </row>
    <row r="150" ht="12.75" customHeight="1">
      <c r="A150" s="18"/>
      <c r="B150" s="55">
        <v>2.0</v>
      </c>
      <c r="C150" s="50" t="s">
        <v>131</v>
      </c>
      <c r="D150" s="57"/>
      <c r="E150" s="19">
        <v>0.0</v>
      </c>
      <c r="F150" s="19">
        <v>0.0</v>
      </c>
      <c r="G150" s="19">
        <v>0.0</v>
      </c>
      <c r="H150" s="19">
        <v>0.0</v>
      </c>
      <c r="I150" s="19">
        <v>0.0</v>
      </c>
      <c r="J150" s="19">
        <v>0.0</v>
      </c>
      <c r="K150" s="19">
        <v>0.0</v>
      </c>
      <c r="L150" s="19">
        <v>0.0</v>
      </c>
      <c r="M150" s="19">
        <v>0.0</v>
      </c>
      <c r="N150" s="19">
        <v>0.0</v>
      </c>
      <c r="O150" s="19">
        <v>0.0</v>
      </c>
      <c r="P150" s="19">
        <v>0.0</v>
      </c>
      <c r="Q150" s="19">
        <v>0.0</v>
      </c>
      <c r="R150" s="13">
        <f t="shared" si="36"/>
        <v>0</v>
      </c>
    </row>
    <row r="151" ht="12.75" customHeight="1">
      <c r="A151" s="18"/>
      <c r="B151" s="55">
        <v>3.0</v>
      </c>
      <c r="C151" s="50" t="s">
        <v>132</v>
      </c>
      <c r="D151" s="57"/>
      <c r="E151" s="19">
        <v>0.0</v>
      </c>
      <c r="F151" s="19">
        <v>0.0</v>
      </c>
      <c r="G151" s="19">
        <v>0.0</v>
      </c>
      <c r="H151" s="19">
        <v>0.0</v>
      </c>
      <c r="I151" s="19">
        <v>0.0</v>
      </c>
      <c r="J151" s="19">
        <v>0.0</v>
      </c>
      <c r="K151" s="19">
        <v>0.0</v>
      </c>
      <c r="L151" s="19">
        <v>0.0</v>
      </c>
      <c r="M151" s="19">
        <v>0.0</v>
      </c>
      <c r="N151" s="19">
        <v>0.0</v>
      </c>
      <c r="O151" s="19">
        <v>0.0</v>
      </c>
      <c r="P151" s="19">
        <v>0.0</v>
      </c>
      <c r="Q151" s="19">
        <v>0.0</v>
      </c>
      <c r="R151" s="13">
        <f t="shared" si="36"/>
        <v>0</v>
      </c>
    </row>
    <row r="152" ht="12.75" customHeight="1">
      <c r="A152" s="18"/>
      <c r="B152" s="55">
        <v>4.0</v>
      </c>
      <c r="C152" s="50" t="s">
        <v>133</v>
      </c>
      <c r="D152" s="57"/>
      <c r="E152" s="19">
        <v>0.0</v>
      </c>
      <c r="F152" s="19">
        <v>0.0</v>
      </c>
      <c r="G152" s="19">
        <v>0.0</v>
      </c>
      <c r="H152" s="19">
        <v>0.0</v>
      </c>
      <c r="I152" s="19">
        <v>0.0</v>
      </c>
      <c r="J152" s="19">
        <v>0.0</v>
      </c>
      <c r="K152" s="19">
        <v>0.0</v>
      </c>
      <c r="L152" s="19">
        <v>0.0</v>
      </c>
      <c r="M152" s="19">
        <v>0.0</v>
      </c>
      <c r="N152" s="19">
        <v>0.0</v>
      </c>
      <c r="O152" s="19">
        <v>0.0</v>
      </c>
      <c r="P152" s="19">
        <v>0.0</v>
      </c>
      <c r="Q152" s="19">
        <v>0.0</v>
      </c>
      <c r="R152" s="13">
        <f t="shared" si="36"/>
        <v>0</v>
      </c>
    </row>
    <row r="153" ht="12.75" customHeight="1">
      <c r="A153" s="18"/>
      <c r="B153" s="55">
        <v>5.0</v>
      </c>
      <c r="C153" s="50" t="s">
        <v>134</v>
      </c>
      <c r="D153" s="57"/>
      <c r="E153" s="19">
        <v>1.0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3">
        <f t="shared" si="36"/>
        <v>1</v>
      </c>
    </row>
    <row r="154" ht="12.75" customHeight="1">
      <c r="A154" s="18"/>
      <c r="B154" s="55">
        <v>6.0</v>
      </c>
      <c r="C154" s="50" t="s">
        <v>135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1.0</v>
      </c>
      <c r="O154" s="19">
        <v>0.0</v>
      </c>
      <c r="P154" s="19">
        <v>0.0</v>
      </c>
      <c r="Q154" s="19">
        <v>0.0</v>
      </c>
      <c r="R154" s="13">
        <f t="shared" si="36"/>
        <v>1</v>
      </c>
    </row>
    <row r="155" ht="12.75" customHeight="1">
      <c r="A155" s="18"/>
      <c r="B155" s="55">
        <v>7.0</v>
      </c>
      <c r="C155" s="50" t="s">
        <v>136</v>
      </c>
      <c r="D155" s="57"/>
      <c r="E155" s="19">
        <v>0.0</v>
      </c>
      <c r="F155" s="19">
        <v>0.0</v>
      </c>
      <c r="G155" s="19">
        <v>0.0</v>
      </c>
      <c r="H155" s="19">
        <v>1.0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3">
        <f t="shared" si="36"/>
        <v>1</v>
      </c>
    </row>
    <row r="156" ht="12.75" customHeight="1">
      <c r="A156" s="19" t="s">
        <v>15</v>
      </c>
      <c r="B156" s="47" t="s">
        <v>47</v>
      </c>
      <c r="C156" s="15"/>
      <c r="D156" s="16"/>
      <c r="E156" s="13">
        <f t="shared" ref="E156:R156" si="37">SUM(E148:E155)</f>
        <v>2</v>
      </c>
      <c r="F156" s="13">
        <f t="shared" si="37"/>
        <v>0</v>
      </c>
      <c r="G156" s="13">
        <f t="shared" si="37"/>
        <v>0</v>
      </c>
      <c r="H156" s="13">
        <f t="shared" si="37"/>
        <v>2</v>
      </c>
      <c r="I156" s="13">
        <f t="shared" si="37"/>
        <v>0</v>
      </c>
      <c r="J156" s="13">
        <f t="shared" si="37"/>
        <v>1</v>
      </c>
      <c r="K156" s="13">
        <f t="shared" si="37"/>
        <v>0</v>
      </c>
      <c r="L156" s="13">
        <f t="shared" si="37"/>
        <v>0</v>
      </c>
      <c r="M156" s="13">
        <f t="shared" si="37"/>
        <v>0</v>
      </c>
      <c r="N156" s="13">
        <f t="shared" si="37"/>
        <v>1</v>
      </c>
      <c r="O156" s="13">
        <f t="shared" si="37"/>
        <v>0</v>
      </c>
      <c r="P156" s="13">
        <f t="shared" si="37"/>
        <v>0</v>
      </c>
      <c r="Q156" s="13">
        <f t="shared" si="37"/>
        <v>0</v>
      </c>
      <c r="R156" s="13">
        <f t="shared" si="37"/>
        <v>6</v>
      </c>
    </row>
    <row r="157" ht="12.75" customHeight="1">
      <c r="A157" s="24"/>
      <c r="B157" s="15"/>
      <c r="C157" s="15"/>
      <c r="D157" s="15"/>
      <c r="E157" s="16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13"/>
    </row>
    <row r="158" ht="12.75" customHeight="1">
      <c r="A158" s="30" t="s">
        <v>37</v>
      </c>
      <c r="B158" s="47" t="s">
        <v>137</v>
      </c>
      <c r="C158" s="48" t="s">
        <v>138</v>
      </c>
      <c r="D158" s="16"/>
      <c r="E158" s="19">
        <v>0.0</v>
      </c>
      <c r="F158" s="19">
        <v>0.0</v>
      </c>
      <c r="G158" s="19">
        <v>0.0</v>
      </c>
      <c r="H158" s="19">
        <v>0.0</v>
      </c>
      <c r="I158" s="19">
        <v>0.0</v>
      </c>
      <c r="J158" s="19">
        <v>0.0</v>
      </c>
      <c r="K158" s="19">
        <v>0.0</v>
      </c>
      <c r="L158" s="19">
        <v>1.0</v>
      </c>
      <c r="M158" s="19">
        <v>0.0</v>
      </c>
      <c r="N158" s="19">
        <v>0.0</v>
      </c>
      <c r="O158" s="19">
        <v>0.0</v>
      </c>
      <c r="P158" s="19">
        <v>0.0</v>
      </c>
      <c r="Q158" s="19">
        <v>0.0</v>
      </c>
      <c r="R158" s="13">
        <f t="shared" ref="R158:R165" si="38">SUM(E158:Q158)</f>
        <v>1</v>
      </c>
    </row>
    <row r="159" ht="12.75" customHeight="1">
      <c r="A159" s="30" t="s">
        <v>39</v>
      </c>
      <c r="B159" s="55">
        <v>1.0</v>
      </c>
      <c r="C159" s="50" t="s">
        <v>139</v>
      </c>
      <c r="D159" s="57"/>
      <c r="E159" s="19">
        <v>0.0</v>
      </c>
      <c r="F159" s="19">
        <v>0.0</v>
      </c>
      <c r="G159" s="19">
        <v>0.0</v>
      </c>
      <c r="H159" s="19">
        <v>0.0</v>
      </c>
      <c r="I159" s="19">
        <v>0.0</v>
      </c>
      <c r="J159" s="19">
        <v>0.0</v>
      </c>
      <c r="K159" s="19">
        <v>0.0</v>
      </c>
      <c r="L159" s="19">
        <v>0.0</v>
      </c>
      <c r="M159" s="19">
        <v>0.0</v>
      </c>
      <c r="N159" s="19">
        <v>0.0</v>
      </c>
      <c r="O159" s="19">
        <v>0.0</v>
      </c>
      <c r="P159" s="19">
        <v>0.0</v>
      </c>
      <c r="Q159" s="19">
        <v>0.0</v>
      </c>
      <c r="R159" s="13">
        <f t="shared" si="38"/>
        <v>0</v>
      </c>
    </row>
    <row r="160" ht="12.75" customHeight="1">
      <c r="A160" s="18"/>
      <c r="B160" s="55">
        <v>2.0</v>
      </c>
      <c r="C160" s="50" t="s">
        <v>140</v>
      </c>
      <c r="D160" s="57"/>
      <c r="E160" s="19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3">
        <f t="shared" si="38"/>
        <v>0</v>
      </c>
    </row>
    <row r="161" ht="12.75" customHeight="1">
      <c r="A161" s="18"/>
      <c r="B161" s="55">
        <v>3.0</v>
      </c>
      <c r="C161" s="50" t="s">
        <v>141</v>
      </c>
      <c r="D161" s="57"/>
      <c r="E161" s="19">
        <v>0.0</v>
      </c>
      <c r="F161" s="19">
        <v>0.0</v>
      </c>
      <c r="G161" s="19">
        <v>0.0</v>
      </c>
      <c r="H161" s="19">
        <v>0.0</v>
      </c>
      <c r="I161" s="19">
        <v>0.0</v>
      </c>
      <c r="J161" s="19">
        <v>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0.0</v>
      </c>
      <c r="P161" s="19">
        <v>0.0</v>
      </c>
      <c r="Q161" s="19">
        <v>0.0</v>
      </c>
      <c r="R161" s="13">
        <f t="shared" si="38"/>
        <v>0</v>
      </c>
    </row>
    <row r="162" ht="12.75" customHeight="1">
      <c r="A162" s="18"/>
      <c r="B162" s="55">
        <v>4.0</v>
      </c>
      <c r="C162" s="50" t="s">
        <v>142</v>
      </c>
      <c r="D162" s="57"/>
      <c r="E162" s="19">
        <v>0.0</v>
      </c>
      <c r="F162" s="19">
        <v>0.0</v>
      </c>
      <c r="G162" s="19">
        <v>0.0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0.0</v>
      </c>
      <c r="R162" s="13">
        <f t="shared" si="38"/>
        <v>0</v>
      </c>
    </row>
    <row r="163" ht="12.75" customHeight="1">
      <c r="A163" s="18"/>
      <c r="B163" s="55">
        <v>5.0</v>
      </c>
      <c r="C163" s="50" t="s">
        <v>143</v>
      </c>
      <c r="D163" s="57"/>
      <c r="E163" s="19">
        <v>0.0</v>
      </c>
      <c r="F163" s="19">
        <v>0.0</v>
      </c>
      <c r="G163" s="19">
        <v>0.0</v>
      </c>
      <c r="H163" s="19">
        <v>0.0</v>
      </c>
      <c r="I163" s="19">
        <v>0.0</v>
      </c>
      <c r="J163" s="19">
        <v>0.0</v>
      </c>
      <c r="K163" s="19">
        <v>0.0</v>
      </c>
      <c r="L163" s="19">
        <v>0.0</v>
      </c>
      <c r="M163" s="19">
        <v>0.0</v>
      </c>
      <c r="N163" s="19">
        <v>0.0</v>
      </c>
      <c r="O163" s="19">
        <v>0.0</v>
      </c>
      <c r="P163" s="19">
        <v>0.0</v>
      </c>
      <c r="Q163" s="19">
        <v>0.0</v>
      </c>
      <c r="R163" s="13">
        <f t="shared" si="38"/>
        <v>0</v>
      </c>
    </row>
    <row r="164" ht="12.75" customHeight="1">
      <c r="A164" s="18"/>
      <c r="B164" s="55">
        <v>6.0</v>
      </c>
      <c r="C164" s="50" t="s">
        <v>144</v>
      </c>
      <c r="D164" s="57"/>
      <c r="E164" s="19">
        <v>0.0</v>
      </c>
      <c r="F164" s="19">
        <v>0.0</v>
      </c>
      <c r="G164" s="19">
        <v>0.0</v>
      </c>
      <c r="H164" s="19">
        <v>0.0</v>
      </c>
      <c r="I164" s="19">
        <v>0.0</v>
      </c>
      <c r="J164" s="19">
        <v>0.0</v>
      </c>
      <c r="K164" s="19">
        <v>0.0</v>
      </c>
      <c r="L164" s="19">
        <v>0.0</v>
      </c>
      <c r="M164" s="19">
        <v>0.0</v>
      </c>
      <c r="N164" s="19">
        <v>0.0</v>
      </c>
      <c r="O164" s="19">
        <v>0.0</v>
      </c>
      <c r="P164" s="19">
        <v>0.0</v>
      </c>
      <c r="Q164" s="19">
        <v>0.0</v>
      </c>
      <c r="R164" s="13">
        <f t="shared" si="38"/>
        <v>0</v>
      </c>
    </row>
    <row r="165" ht="12.75" customHeight="1">
      <c r="A165" s="18"/>
      <c r="B165" s="55">
        <v>7.0</v>
      </c>
      <c r="C165" s="50" t="s">
        <v>145</v>
      </c>
      <c r="D165" s="57"/>
      <c r="E165" s="19">
        <v>1.0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3">
        <f t="shared" si="38"/>
        <v>1</v>
      </c>
    </row>
    <row r="166" ht="12.75" customHeight="1">
      <c r="A166" s="19" t="s">
        <v>15</v>
      </c>
      <c r="B166" s="47" t="s">
        <v>47</v>
      </c>
      <c r="C166" s="15"/>
      <c r="D166" s="16"/>
      <c r="E166" s="13">
        <f t="shared" ref="E166:R166" si="39">SUM(E158:E165)</f>
        <v>1</v>
      </c>
      <c r="F166" s="13">
        <f t="shared" si="39"/>
        <v>0</v>
      </c>
      <c r="G166" s="13">
        <f t="shared" si="39"/>
        <v>0</v>
      </c>
      <c r="H166" s="13">
        <f t="shared" si="39"/>
        <v>0</v>
      </c>
      <c r="I166" s="13">
        <f t="shared" si="39"/>
        <v>0</v>
      </c>
      <c r="J166" s="13">
        <f t="shared" si="39"/>
        <v>0</v>
      </c>
      <c r="K166" s="13">
        <f t="shared" si="39"/>
        <v>0</v>
      </c>
      <c r="L166" s="13">
        <f t="shared" si="39"/>
        <v>1</v>
      </c>
      <c r="M166" s="13">
        <f t="shared" si="39"/>
        <v>0</v>
      </c>
      <c r="N166" s="13">
        <f t="shared" si="39"/>
        <v>0</v>
      </c>
      <c r="O166" s="13">
        <f t="shared" si="39"/>
        <v>0</v>
      </c>
      <c r="P166" s="13">
        <f t="shared" si="39"/>
        <v>0</v>
      </c>
      <c r="Q166" s="13">
        <f t="shared" si="39"/>
        <v>0</v>
      </c>
      <c r="R166" s="13">
        <f t="shared" si="39"/>
        <v>2</v>
      </c>
    </row>
    <row r="167" ht="12.75" customHeight="1">
      <c r="A167" s="24"/>
      <c r="B167" s="15"/>
      <c r="C167" s="15"/>
      <c r="D167" s="15"/>
      <c r="E167" s="16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</row>
    <row r="168" ht="12.75" customHeight="1">
      <c r="A168" s="30" t="s">
        <v>37</v>
      </c>
      <c r="B168" s="47" t="s">
        <v>146</v>
      </c>
      <c r="C168" s="48" t="s">
        <v>147</v>
      </c>
      <c r="D168" s="16"/>
      <c r="E168" s="19">
        <v>1.0</v>
      </c>
      <c r="F168" s="19">
        <v>0.0</v>
      </c>
      <c r="G168" s="19">
        <v>1.0</v>
      </c>
      <c r="H168" s="19">
        <v>0.0</v>
      </c>
      <c r="I168" s="19">
        <v>1.0</v>
      </c>
      <c r="J168" s="19">
        <v>3.0</v>
      </c>
      <c r="K168" s="19">
        <v>0.0</v>
      </c>
      <c r="L168" s="19">
        <v>1.0</v>
      </c>
      <c r="M168" s="19">
        <v>1.0</v>
      </c>
      <c r="N168" s="19">
        <v>0.0</v>
      </c>
      <c r="O168" s="19">
        <v>0.0</v>
      </c>
      <c r="P168" s="19">
        <v>1.0</v>
      </c>
      <c r="Q168" s="19">
        <v>0.0</v>
      </c>
      <c r="R168" s="13">
        <f t="shared" ref="R168:R175" si="40">SUM(E168:Q168)</f>
        <v>9</v>
      </c>
    </row>
    <row r="169" ht="12.75" customHeight="1">
      <c r="A169" s="30" t="s">
        <v>39</v>
      </c>
      <c r="B169" s="55">
        <v>1.0</v>
      </c>
      <c r="C169" s="50" t="s">
        <v>148</v>
      </c>
      <c r="D169" s="57"/>
      <c r="E169" s="19">
        <v>1.0</v>
      </c>
      <c r="F169" s="19">
        <v>0.0</v>
      </c>
      <c r="G169" s="19">
        <v>0.0</v>
      </c>
      <c r="H169" s="19">
        <v>0.0</v>
      </c>
      <c r="I169" s="19">
        <v>1.0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1.0</v>
      </c>
      <c r="P169" s="19">
        <v>0.0</v>
      </c>
      <c r="Q169" s="19">
        <v>0.0</v>
      </c>
      <c r="R169" s="13">
        <f t="shared" si="40"/>
        <v>3</v>
      </c>
    </row>
    <row r="170" ht="12.75" customHeight="1">
      <c r="A170" s="18"/>
      <c r="B170" s="55">
        <v>2.0</v>
      </c>
      <c r="C170" s="50" t="s">
        <v>149</v>
      </c>
      <c r="D170" s="57"/>
      <c r="E170" s="19">
        <v>1.0</v>
      </c>
      <c r="F170" s="19">
        <v>0.0</v>
      </c>
      <c r="G170" s="19">
        <v>0.0</v>
      </c>
      <c r="H170" s="19">
        <v>0.0</v>
      </c>
      <c r="I170" s="19">
        <v>0.0</v>
      </c>
      <c r="J170" s="19">
        <v>5.0</v>
      </c>
      <c r="K170" s="19">
        <v>1.0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3">
        <f t="shared" si="40"/>
        <v>7</v>
      </c>
    </row>
    <row r="171" ht="12.75" customHeight="1">
      <c r="A171" s="18"/>
      <c r="B171" s="55">
        <v>3.0</v>
      </c>
      <c r="C171" s="50" t="s">
        <v>150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3">
        <f t="shared" si="40"/>
        <v>0</v>
      </c>
    </row>
    <row r="172" ht="12.75" customHeight="1">
      <c r="A172" s="18"/>
      <c r="B172" s="55">
        <v>4.0</v>
      </c>
      <c r="C172" s="50" t="s">
        <v>151</v>
      </c>
      <c r="D172" s="57"/>
      <c r="E172" s="19">
        <v>2.0</v>
      </c>
      <c r="F172" s="19">
        <v>0.0</v>
      </c>
      <c r="G172" s="19">
        <v>0.0</v>
      </c>
      <c r="H172" s="19">
        <v>0.0</v>
      </c>
      <c r="I172" s="19">
        <v>0.0</v>
      </c>
      <c r="J172" s="19">
        <v>2.0</v>
      </c>
      <c r="K172" s="19">
        <v>0.0</v>
      </c>
      <c r="L172" s="19">
        <v>1.0</v>
      </c>
      <c r="M172" s="19">
        <v>0.0</v>
      </c>
      <c r="N172" s="19">
        <v>0.0</v>
      </c>
      <c r="O172" s="19">
        <v>1.0</v>
      </c>
      <c r="P172" s="19">
        <v>2.0</v>
      </c>
      <c r="Q172" s="19">
        <v>1.0</v>
      </c>
      <c r="R172" s="13">
        <f t="shared" si="40"/>
        <v>9</v>
      </c>
    </row>
    <row r="173" ht="12.75" customHeight="1">
      <c r="A173" s="18"/>
      <c r="B173" s="55">
        <v>5.0</v>
      </c>
      <c r="C173" s="50" t="s">
        <v>152</v>
      </c>
      <c r="D173" s="57"/>
      <c r="E173" s="19">
        <v>0.0</v>
      </c>
      <c r="F173" s="19">
        <v>0.0</v>
      </c>
      <c r="G173" s="19">
        <v>0.0</v>
      </c>
      <c r="H173" s="19">
        <v>0.0</v>
      </c>
      <c r="I173" s="19">
        <v>0.0</v>
      </c>
      <c r="J173" s="19">
        <v>0.0</v>
      </c>
      <c r="K173" s="19">
        <v>0.0</v>
      </c>
      <c r="L173" s="19">
        <v>0.0</v>
      </c>
      <c r="M173" s="19">
        <v>0.0</v>
      </c>
      <c r="N173" s="19">
        <v>0.0</v>
      </c>
      <c r="O173" s="19">
        <v>0.0</v>
      </c>
      <c r="P173" s="19">
        <v>0.0</v>
      </c>
      <c r="Q173" s="19">
        <v>0.0</v>
      </c>
      <c r="R173" s="13">
        <f t="shared" si="40"/>
        <v>0</v>
      </c>
    </row>
    <row r="174" ht="12.75" customHeight="1">
      <c r="A174" s="18"/>
      <c r="B174" s="55">
        <v>6.0</v>
      </c>
      <c r="C174" s="50" t="s">
        <v>153</v>
      </c>
      <c r="D174" s="57"/>
      <c r="E174" s="19">
        <v>0.0</v>
      </c>
      <c r="F174" s="19">
        <v>0.0</v>
      </c>
      <c r="G174" s="19">
        <v>0.0</v>
      </c>
      <c r="H174" s="19">
        <v>0.0</v>
      </c>
      <c r="I174" s="19">
        <v>0.0</v>
      </c>
      <c r="J174" s="19">
        <v>0.0</v>
      </c>
      <c r="K174" s="19">
        <v>1.0</v>
      </c>
      <c r="L174" s="19">
        <v>0.0</v>
      </c>
      <c r="M174" s="19">
        <v>0.0</v>
      </c>
      <c r="N174" s="19">
        <v>0.0</v>
      </c>
      <c r="O174" s="19">
        <v>0.0</v>
      </c>
      <c r="P174" s="19">
        <v>0.0</v>
      </c>
      <c r="Q174" s="19">
        <v>0.0</v>
      </c>
      <c r="R174" s="13">
        <f t="shared" si="40"/>
        <v>1</v>
      </c>
    </row>
    <row r="175" ht="12.75" customHeight="1">
      <c r="A175" s="18"/>
      <c r="B175" s="55">
        <v>7.0</v>
      </c>
      <c r="C175" s="50" t="s">
        <v>154</v>
      </c>
      <c r="D175" s="57"/>
      <c r="E175" s="19">
        <v>0.0</v>
      </c>
      <c r="F175" s="19">
        <v>0.0</v>
      </c>
      <c r="G175" s="19">
        <v>0.0</v>
      </c>
      <c r="H175" s="19">
        <v>0.0</v>
      </c>
      <c r="I175" s="19">
        <v>0.0</v>
      </c>
      <c r="J175" s="19">
        <v>0.0</v>
      </c>
      <c r="K175" s="19">
        <v>0.0</v>
      </c>
      <c r="L175" s="19">
        <v>0.0</v>
      </c>
      <c r="M175" s="19">
        <v>0.0</v>
      </c>
      <c r="N175" s="19">
        <v>0.0</v>
      </c>
      <c r="O175" s="19">
        <v>0.0</v>
      </c>
      <c r="P175" s="19">
        <v>0.0</v>
      </c>
      <c r="Q175" s="19">
        <v>0.0</v>
      </c>
      <c r="R175" s="13">
        <f t="shared" si="40"/>
        <v>0</v>
      </c>
    </row>
    <row r="176" ht="12.75" customHeight="1">
      <c r="A176" s="19" t="s">
        <v>15</v>
      </c>
      <c r="B176" s="47" t="s">
        <v>47</v>
      </c>
      <c r="C176" s="15"/>
      <c r="D176" s="16"/>
      <c r="E176" s="13">
        <f t="shared" ref="E176:R176" si="41">SUM(E168:E175)</f>
        <v>5</v>
      </c>
      <c r="F176" s="13">
        <f t="shared" si="41"/>
        <v>0</v>
      </c>
      <c r="G176" s="13">
        <f t="shared" si="41"/>
        <v>1</v>
      </c>
      <c r="H176" s="13">
        <f t="shared" si="41"/>
        <v>0</v>
      </c>
      <c r="I176" s="13">
        <f t="shared" si="41"/>
        <v>2</v>
      </c>
      <c r="J176" s="13">
        <f t="shared" si="41"/>
        <v>10</v>
      </c>
      <c r="K176" s="13">
        <f t="shared" si="41"/>
        <v>2</v>
      </c>
      <c r="L176" s="13">
        <f t="shared" si="41"/>
        <v>2</v>
      </c>
      <c r="M176" s="13">
        <f t="shared" si="41"/>
        <v>1</v>
      </c>
      <c r="N176" s="13">
        <f t="shared" si="41"/>
        <v>0</v>
      </c>
      <c r="O176" s="13">
        <f t="shared" si="41"/>
        <v>2</v>
      </c>
      <c r="P176" s="13">
        <f t="shared" si="41"/>
        <v>3</v>
      </c>
      <c r="Q176" s="13">
        <f t="shared" si="41"/>
        <v>1</v>
      </c>
      <c r="R176" s="13">
        <f t="shared" si="41"/>
        <v>29</v>
      </c>
    </row>
    <row r="177" ht="12.75" customHeight="1">
      <c r="A177" s="24"/>
      <c r="B177" s="15"/>
      <c r="C177" s="15"/>
      <c r="D177" s="15"/>
      <c r="E177" s="16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</row>
    <row r="178" ht="12.75" customHeight="1">
      <c r="A178" s="30" t="s">
        <v>37</v>
      </c>
      <c r="B178" s="47" t="s">
        <v>155</v>
      </c>
      <c r="C178" s="48" t="s">
        <v>156</v>
      </c>
      <c r="D178" s="16"/>
      <c r="E178" s="19">
        <v>0.0</v>
      </c>
      <c r="F178" s="19">
        <v>0.0</v>
      </c>
      <c r="G178" s="19">
        <v>0.0</v>
      </c>
      <c r="H178" s="19">
        <v>0.0</v>
      </c>
      <c r="I178" s="19">
        <v>1.0</v>
      </c>
      <c r="J178" s="19">
        <v>0.0</v>
      </c>
      <c r="K178" s="19">
        <v>2.0</v>
      </c>
      <c r="L178" s="19">
        <v>2.0</v>
      </c>
      <c r="M178" s="19">
        <v>0.0</v>
      </c>
      <c r="N178" s="19">
        <v>0.0</v>
      </c>
      <c r="O178" s="19">
        <v>0.0</v>
      </c>
      <c r="P178" s="19">
        <v>1.0</v>
      </c>
      <c r="Q178" s="19">
        <v>1.0</v>
      </c>
      <c r="R178" s="13">
        <f t="shared" ref="R178:R185" si="42">SUM(E178:Q178)</f>
        <v>7</v>
      </c>
    </row>
    <row r="179" ht="12.75" customHeight="1">
      <c r="A179" s="30" t="s">
        <v>39</v>
      </c>
      <c r="B179" s="55">
        <v>1.0</v>
      </c>
      <c r="C179" s="50" t="s">
        <v>157</v>
      </c>
      <c r="D179" s="56"/>
      <c r="E179" s="19">
        <v>1.0</v>
      </c>
      <c r="F179" s="19">
        <v>1.0</v>
      </c>
      <c r="G179" s="19">
        <v>0.0</v>
      </c>
      <c r="H179" s="19">
        <v>1.0</v>
      </c>
      <c r="I179" s="19">
        <v>1.0</v>
      </c>
      <c r="J179" s="19">
        <v>1.0</v>
      </c>
      <c r="K179" s="19">
        <v>0.0</v>
      </c>
      <c r="L179" s="19">
        <v>5.0</v>
      </c>
      <c r="M179" s="19">
        <v>1.0</v>
      </c>
      <c r="N179" s="19">
        <v>0.0</v>
      </c>
      <c r="O179" s="19">
        <v>0.0</v>
      </c>
      <c r="P179" s="19">
        <v>0.0</v>
      </c>
      <c r="Q179" s="19">
        <v>0.0</v>
      </c>
      <c r="R179" s="13">
        <f t="shared" si="42"/>
        <v>11</v>
      </c>
    </row>
    <row r="180" ht="12.75" customHeight="1">
      <c r="A180" s="18"/>
      <c r="B180" s="55">
        <v>2.0</v>
      </c>
      <c r="C180" s="50" t="s">
        <v>158</v>
      </c>
      <c r="D180" s="56"/>
      <c r="E180" s="19">
        <v>0.0</v>
      </c>
      <c r="F180" s="19">
        <v>0.0</v>
      </c>
      <c r="G180" s="19">
        <v>0.0</v>
      </c>
      <c r="H180" s="19">
        <v>0.0</v>
      </c>
      <c r="I180" s="19">
        <v>1.0</v>
      </c>
      <c r="J180" s="19">
        <v>0.0</v>
      </c>
      <c r="K180" s="19">
        <v>0.0</v>
      </c>
      <c r="L180" s="19">
        <v>2.0</v>
      </c>
      <c r="M180" s="19">
        <v>0.0</v>
      </c>
      <c r="N180" s="19">
        <v>1.0</v>
      </c>
      <c r="O180" s="19">
        <v>0.0</v>
      </c>
      <c r="P180" s="19">
        <v>0.0</v>
      </c>
      <c r="Q180" s="19">
        <v>0.0</v>
      </c>
      <c r="R180" s="13">
        <f t="shared" si="42"/>
        <v>4</v>
      </c>
    </row>
    <row r="181" ht="12.75" customHeight="1">
      <c r="A181" s="18"/>
      <c r="B181" s="55">
        <v>3.0</v>
      </c>
      <c r="C181" s="63" t="s">
        <v>159</v>
      </c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3">
        <f t="shared" si="42"/>
        <v>0</v>
      </c>
    </row>
    <row r="182" ht="12.75" customHeight="1">
      <c r="A182" s="18"/>
      <c r="B182" s="55">
        <v>4.0</v>
      </c>
      <c r="C182" s="50" t="s">
        <v>160</v>
      </c>
      <c r="D182" s="56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3">
        <f t="shared" si="42"/>
        <v>0</v>
      </c>
    </row>
    <row r="183" ht="12.75" customHeight="1">
      <c r="A183" s="18"/>
      <c r="B183" s="55">
        <v>5.0</v>
      </c>
      <c r="C183" s="50" t="s">
        <v>161</v>
      </c>
      <c r="D183" s="56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3">
        <f t="shared" si="42"/>
        <v>0</v>
      </c>
    </row>
    <row r="184" ht="12.75" customHeight="1">
      <c r="A184" s="18"/>
      <c r="B184" s="55">
        <v>6.0</v>
      </c>
      <c r="C184" s="50" t="s">
        <v>162</v>
      </c>
      <c r="D184" s="56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3">
        <f t="shared" si="42"/>
        <v>0</v>
      </c>
    </row>
    <row r="185" ht="12.75" customHeight="1">
      <c r="A185" s="18"/>
      <c r="B185" s="55">
        <v>7.0</v>
      </c>
      <c r="C185" s="50" t="s">
        <v>163</v>
      </c>
      <c r="D185" s="56"/>
      <c r="E185" s="19">
        <v>0.0</v>
      </c>
      <c r="F185" s="19">
        <v>0.0</v>
      </c>
      <c r="G185" s="19">
        <v>0.0</v>
      </c>
      <c r="H185" s="19">
        <v>0.0</v>
      </c>
      <c r="I185" s="19">
        <v>0.0</v>
      </c>
      <c r="J185" s="19">
        <v>0.0</v>
      </c>
      <c r="K185" s="19">
        <v>0.0</v>
      </c>
      <c r="L185" s="19">
        <v>0.0</v>
      </c>
      <c r="M185" s="19">
        <v>0.0</v>
      </c>
      <c r="N185" s="19">
        <v>0.0</v>
      </c>
      <c r="O185" s="19">
        <v>0.0</v>
      </c>
      <c r="P185" s="19">
        <v>0.0</v>
      </c>
      <c r="Q185" s="19">
        <v>0.0</v>
      </c>
      <c r="R185" s="13">
        <f t="shared" si="42"/>
        <v>0</v>
      </c>
    </row>
    <row r="186" ht="12.75" customHeight="1">
      <c r="A186" s="19" t="s">
        <v>15</v>
      </c>
      <c r="B186" s="47" t="s">
        <v>47</v>
      </c>
      <c r="C186" s="15"/>
      <c r="D186" s="16"/>
      <c r="E186" s="13">
        <f t="shared" ref="E186:R186" si="43">SUM(E178:E185)</f>
        <v>1</v>
      </c>
      <c r="F186" s="13">
        <f t="shared" si="43"/>
        <v>1</v>
      </c>
      <c r="G186" s="13">
        <f t="shared" si="43"/>
        <v>0</v>
      </c>
      <c r="H186" s="13">
        <f t="shared" si="43"/>
        <v>1</v>
      </c>
      <c r="I186" s="13">
        <f t="shared" si="43"/>
        <v>3</v>
      </c>
      <c r="J186" s="13">
        <f t="shared" si="43"/>
        <v>1</v>
      </c>
      <c r="K186" s="13">
        <f t="shared" si="43"/>
        <v>2</v>
      </c>
      <c r="L186" s="13">
        <f t="shared" si="43"/>
        <v>9</v>
      </c>
      <c r="M186" s="13">
        <f t="shared" si="43"/>
        <v>1</v>
      </c>
      <c r="N186" s="13">
        <f t="shared" si="43"/>
        <v>1</v>
      </c>
      <c r="O186" s="13">
        <f t="shared" si="43"/>
        <v>0</v>
      </c>
      <c r="P186" s="13">
        <f t="shared" si="43"/>
        <v>1</v>
      </c>
      <c r="Q186" s="13">
        <f t="shared" si="43"/>
        <v>1</v>
      </c>
      <c r="R186" s="13">
        <f t="shared" si="43"/>
        <v>22</v>
      </c>
    </row>
    <row r="187" ht="12.75" customHeight="1">
      <c r="A187" s="24"/>
      <c r="B187" s="15"/>
      <c r="C187" s="15"/>
      <c r="D187" s="15"/>
      <c r="E187" s="16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</row>
    <row r="188" ht="12.75" customHeight="1">
      <c r="A188" s="30" t="s">
        <v>37</v>
      </c>
      <c r="B188" s="47" t="s">
        <v>164</v>
      </c>
      <c r="C188" s="48" t="s">
        <v>165</v>
      </c>
      <c r="D188" s="16"/>
      <c r="E188" s="19">
        <v>0.0</v>
      </c>
      <c r="F188" s="19">
        <v>0.0</v>
      </c>
      <c r="G188" s="19">
        <v>0.0</v>
      </c>
      <c r="H188" s="19">
        <v>0.0</v>
      </c>
      <c r="I188" s="19">
        <v>0.0</v>
      </c>
      <c r="J188" s="19">
        <v>0.0</v>
      </c>
      <c r="K188" s="19">
        <v>0.0</v>
      </c>
      <c r="L188" s="19">
        <v>0.0</v>
      </c>
      <c r="M188" s="19">
        <v>0.0</v>
      </c>
      <c r="N188" s="19">
        <v>0.0</v>
      </c>
      <c r="O188" s="19">
        <v>0.0</v>
      </c>
      <c r="P188" s="19">
        <v>0.0</v>
      </c>
      <c r="Q188" s="19">
        <v>0.0</v>
      </c>
      <c r="R188" s="13">
        <f t="shared" ref="R188:R195" si="44">SUM(E188:Q188)</f>
        <v>0</v>
      </c>
    </row>
    <row r="189" ht="12.75" customHeight="1">
      <c r="A189" s="30" t="s">
        <v>39</v>
      </c>
      <c r="B189" s="55">
        <v>1.0</v>
      </c>
      <c r="C189" s="50" t="s">
        <v>166</v>
      </c>
      <c r="D189" s="57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1.0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3">
        <f t="shared" si="44"/>
        <v>1</v>
      </c>
    </row>
    <row r="190" ht="12.75" customHeight="1">
      <c r="A190" s="18"/>
      <c r="B190" s="55">
        <v>2.0</v>
      </c>
      <c r="C190" s="50" t="s">
        <v>167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3">
        <f t="shared" si="44"/>
        <v>0</v>
      </c>
    </row>
    <row r="191" ht="12.75" customHeight="1">
      <c r="A191" s="18"/>
      <c r="B191" s="55">
        <v>3.0</v>
      </c>
      <c r="C191" s="50" t="s">
        <v>168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3">
        <f t="shared" si="44"/>
        <v>0</v>
      </c>
    </row>
    <row r="192" ht="12.75" customHeight="1">
      <c r="A192" s="18"/>
      <c r="B192" s="55">
        <v>4.0</v>
      </c>
      <c r="C192" s="50" t="s">
        <v>169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3">
        <f t="shared" si="44"/>
        <v>0</v>
      </c>
    </row>
    <row r="193" ht="12.75" customHeight="1">
      <c r="A193" s="18"/>
      <c r="B193" s="55">
        <v>5.0</v>
      </c>
      <c r="C193" s="50" t="s">
        <v>170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3">
        <f t="shared" si="44"/>
        <v>0</v>
      </c>
    </row>
    <row r="194" ht="12.75" customHeight="1">
      <c r="A194" s="18"/>
      <c r="B194" s="55">
        <v>6.0</v>
      </c>
      <c r="C194" s="50" t="s">
        <v>171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1.0</v>
      </c>
      <c r="P194" s="19">
        <v>0.0</v>
      </c>
      <c r="Q194" s="19">
        <v>0.0</v>
      </c>
      <c r="R194" s="13">
        <f t="shared" si="44"/>
        <v>1</v>
      </c>
    </row>
    <row r="195" ht="12.75" customHeight="1">
      <c r="A195" s="18"/>
      <c r="B195" s="55">
        <v>7.0</v>
      </c>
      <c r="C195" s="50" t="s">
        <v>172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3">
        <f t="shared" si="44"/>
        <v>0</v>
      </c>
    </row>
    <row r="196" ht="12.75" customHeight="1">
      <c r="A196" s="19" t="s">
        <v>15</v>
      </c>
      <c r="B196" s="47" t="s">
        <v>47</v>
      </c>
      <c r="C196" s="15"/>
      <c r="D196" s="16"/>
      <c r="E196" s="13">
        <f t="shared" ref="E196:R196" si="45">SUM(E188:E195)</f>
        <v>0</v>
      </c>
      <c r="F196" s="13">
        <f t="shared" si="45"/>
        <v>0</v>
      </c>
      <c r="G196" s="13">
        <f t="shared" si="45"/>
        <v>0</v>
      </c>
      <c r="H196" s="13">
        <f t="shared" si="45"/>
        <v>0</v>
      </c>
      <c r="I196" s="13">
        <f t="shared" si="45"/>
        <v>0</v>
      </c>
      <c r="J196" s="13">
        <f t="shared" si="45"/>
        <v>1</v>
      </c>
      <c r="K196" s="13">
        <f t="shared" si="45"/>
        <v>0</v>
      </c>
      <c r="L196" s="13">
        <f t="shared" si="45"/>
        <v>0</v>
      </c>
      <c r="M196" s="13">
        <f t="shared" si="45"/>
        <v>0</v>
      </c>
      <c r="N196" s="13">
        <f t="shared" si="45"/>
        <v>0</v>
      </c>
      <c r="O196" s="13">
        <f t="shared" si="45"/>
        <v>1</v>
      </c>
      <c r="P196" s="13">
        <f t="shared" si="45"/>
        <v>0</v>
      </c>
      <c r="Q196" s="13">
        <f t="shared" si="45"/>
        <v>0</v>
      </c>
      <c r="R196" s="13">
        <f t="shared" si="45"/>
        <v>2</v>
      </c>
    </row>
    <row r="197" ht="12.75" customHeight="1">
      <c r="A197" s="24"/>
      <c r="B197" s="15"/>
      <c r="C197" s="15"/>
      <c r="D197" s="15"/>
      <c r="E197" s="16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</row>
    <row r="198" ht="12.75" customHeight="1">
      <c r="A198" s="30" t="s">
        <v>37</v>
      </c>
      <c r="B198" s="47" t="s">
        <v>173</v>
      </c>
      <c r="C198" s="48" t="s">
        <v>174</v>
      </c>
      <c r="D198" s="16"/>
      <c r="E198" s="19">
        <v>1.0</v>
      </c>
      <c r="F198" s="19">
        <v>1.0</v>
      </c>
      <c r="G198" s="19">
        <v>0.0</v>
      </c>
      <c r="H198" s="19">
        <v>0.0</v>
      </c>
      <c r="I198" s="19">
        <v>0.0</v>
      </c>
      <c r="J198" s="19">
        <v>0.0</v>
      </c>
      <c r="K198" s="19">
        <v>0.0</v>
      </c>
      <c r="L198" s="19">
        <v>1.0</v>
      </c>
      <c r="M198" s="19">
        <v>2.0</v>
      </c>
      <c r="N198" s="19">
        <v>0.0</v>
      </c>
      <c r="O198" s="19">
        <v>0.0</v>
      </c>
      <c r="P198" s="19">
        <v>1.0</v>
      </c>
      <c r="Q198" s="19">
        <v>2.0</v>
      </c>
      <c r="R198" s="13">
        <f t="shared" ref="R198:R205" si="46">SUM(E198:Q198)</f>
        <v>8</v>
      </c>
    </row>
    <row r="199" ht="12.75" customHeight="1">
      <c r="A199" s="30" t="s">
        <v>39</v>
      </c>
      <c r="B199" s="55">
        <v>1.0</v>
      </c>
      <c r="C199" s="50" t="s">
        <v>175</v>
      </c>
      <c r="D199" s="57"/>
      <c r="E199" s="19">
        <v>0.0</v>
      </c>
      <c r="F199" s="19">
        <v>0.0</v>
      </c>
      <c r="G199" s="19">
        <v>1.0</v>
      </c>
      <c r="H199" s="19">
        <v>0.0</v>
      </c>
      <c r="I199" s="19">
        <v>0.0</v>
      </c>
      <c r="J199" s="19">
        <v>0.0</v>
      </c>
      <c r="K199" s="19">
        <v>0.0</v>
      </c>
      <c r="L199" s="19">
        <v>1.0</v>
      </c>
      <c r="M199" s="19">
        <v>3.0</v>
      </c>
      <c r="N199" s="19">
        <v>0.0</v>
      </c>
      <c r="O199" s="19">
        <v>0.0</v>
      </c>
      <c r="P199" s="19">
        <v>0.0</v>
      </c>
      <c r="Q199" s="19">
        <v>0.0</v>
      </c>
      <c r="R199" s="13">
        <f t="shared" si="46"/>
        <v>5</v>
      </c>
    </row>
    <row r="200" ht="12.75" customHeight="1">
      <c r="A200" s="18"/>
      <c r="B200" s="55">
        <v>2.0</v>
      </c>
      <c r="C200" s="50" t="s">
        <v>176</v>
      </c>
      <c r="D200" s="57"/>
      <c r="E200" s="19">
        <v>0.0</v>
      </c>
      <c r="F200" s="19">
        <v>0.0</v>
      </c>
      <c r="G200" s="19">
        <v>0.0</v>
      </c>
      <c r="H200" s="19">
        <v>0.0</v>
      </c>
      <c r="I200" s="19">
        <v>1.0</v>
      </c>
      <c r="J200" s="19">
        <v>1.0</v>
      </c>
      <c r="K200" s="19">
        <v>3.0</v>
      </c>
      <c r="L200" s="19">
        <v>0.0</v>
      </c>
      <c r="M200" s="19">
        <v>0.0</v>
      </c>
      <c r="N200" s="19">
        <v>0.0</v>
      </c>
      <c r="O200" s="19">
        <v>2.0</v>
      </c>
      <c r="P200" s="19">
        <v>1.0</v>
      </c>
      <c r="Q200" s="19">
        <v>0.0</v>
      </c>
      <c r="R200" s="13">
        <f t="shared" si="46"/>
        <v>8</v>
      </c>
    </row>
    <row r="201" ht="12.75" customHeight="1">
      <c r="A201" s="18"/>
      <c r="B201" s="55">
        <v>3.0</v>
      </c>
      <c r="C201" s="50" t="s">
        <v>177</v>
      </c>
      <c r="D201" s="57"/>
      <c r="E201" s="19">
        <v>1.0</v>
      </c>
      <c r="F201" s="19">
        <v>0.0</v>
      </c>
      <c r="G201" s="19">
        <v>0.0</v>
      </c>
      <c r="H201" s="19">
        <v>0.0</v>
      </c>
      <c r="I201" s="19">
        <v>0.0</v>
      </c>
      <c r="J201" s="19">
        <v>0.0</v>
      </c>
      <c r="K201" s="19">
        <v>0.0</v>
      </c>
      <c r="L201" s="19">
        <v>0.0</v>
      </c>
      <c r="M201" s="19">
        <v>0.0</v>
      </c>
      <c r="N201" s="19">
        <v>0.0</v>
      </c>
      <c r="O201" s="19">
        <v>0.0</v>
      </c>
      <c r="P201" s="19">
        <v>0.0</v>
      </c>
      <c r="Q201" s="19">
        <v>0.0</v>
      </c>
      <c r="R201" s="13">
        <f t="shared" si="46"/>
        <v>1</v>
      </c>
    </row>
    <row r="202" ht="12.75" customHeight="1">
      <c r="A202" s="18"/>
      <c r="B202" s="55">
        <v>4.0</v>
      </c>
      <c r="C202" s="50" t="s">
        <v>178</v>
      </c>
      <c r="D202" s="57"/>
      <c r="E202" s="19">
        <v>1.0</v>
      </c>
      <c r="F202" s="19">
        <v>1.0</v>
      </c>
      <c r="G202" s="19">
        <v>0.0</v>
      </c>
      <c r="H202" s="19">
        <v>0.0</v>
      </c>
      <c r="I202" s="19">
        <v>0.0</v>
      </c>
      <c r="J202" s="19">
        <v>0.0</v>
      </c>
      <c r="K202" s="19">
        <v>0.0</v>
      </c>
      <c r="L202" s="19">
        <v>0.0</v>
      </c>
      <c r="M202" s="19">
        <v>0.0</v>
      </c>
      <c r="N202" s="19">
        <v>0.0</v>
      </c>
      <c r="O202" s="19">
        <v>0.0</v>
      </c>
      <c r="P202" s="19">
        <v>0.0</v>
      </c>
      <c r="Q202" s="19">
        <v>0.0</v>
      </c>
      <c r="R202" s="13">
        <f t="shared" si="46"/>
        <v>2</v>
      </c>
    </row>
    <row r="203" ht="12.75" customHeight="1">
      <c r="A203" s="18"/>
      <c r="B203" s="55">
        <v>5.0</v>
      </c>
      <c r="C203" s="50" t="s">
        <v>179</v>
      </c>
      <c r="D203" s="57"/>
      <c r="E203" s="19">
        <v>0.0</v>
      </c>
      <c r="F203" s="19">
        <v>0.0</v>
      </c>
      <c r="G203" s="19">
        <v>0.0</v>
      </c>
      <c r="H203" s="19">
        <v>0.0</v>
      </c>
      <c r="I203" s="19">
        <v>0.0</v>
      </c>
      <c r="J203" s="19">
        <v>0.0</v>
      </c>
      <c r="K203" s="19">
        <v>0.0</v>
      </c>
      <c r="L203" s="19">
        <v>0.0</v>
      </c>
      <c r="M203" s="19">
        <v>0.0</v>
      </c>
      <c r="N203" s="19">
        <v>0.0</v>
      </c>
      <c r="O203" s="19">
        <v>0.0</v>
      </c>
      <c r="P203" s="19">
        <v>0.0</v>
      </c>
      <c r="Q203" s="19">
        <v>0.0</v>
      </c>
      <c r="R203" s="13">
        <f t="shared" si="46"/>
        <v>0</v>
      </c>
    </row>
    <row r="204" ht="12.75" customHeight="1">
      <c r="A204" s="18"/>
      <c r="B204" s="55">
        <v>6.0</v>
      </c>
      <c r="C204" s="50" t="s">
        <v>180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1.0</v>
      </c>
      <c r="R204" s="13">
        <f t="shared" si="46"/>
        <v>1</v>
      </c>
    </row>
    <row r="205" ht="12.75" customHeight="1">
      <c r="A205" s="18"/>
      <c r="B205" s="55">
        <v>7.0</v>
      </c>
      <c r="C205" s="50" t="s">
        <v>181</v>
      </c>
      <c r="D205" s="57"/>
      <c r="E205" s="19">
        <v>0.0</v>
      </c>
      <c r="F205" s="19">
        <v>0.0</v>
      </c>
      <c r="G205" s="19">
        <v>2.0</v>
      </c>
      <c r="H205" s="19">
        <v>0.0</v>
      </c>
      <c r="I205" s="19">
        <v>2.0</v>
      </c>
      <c r="J205" s="19">
        <v>7.0</v>
      </c>
      <c r="K205" s="19">
        <v>2.0</v>
      </c>
      <c r="L205" s="19">
        <v>1.0</v>
      </c>
      <c r="M205" s="19">
        <v>10.0</v>
      </c>
      <c r="N205" s="19">
        <v>5.0</v>
      </c>
      <c r="O205" s="19">
        <v>7.0</v>
      </c>
      <c r="P205" s="19">
        <v>5.0</v>
      </c>
      <c r="Q205" s="19">
        <v>4.0</v>
      </c>
      <c r="R205" s="13">
        <f t="shared" si="46"/>
        <v>45</v>
      </c>
    </row>
    <row r="206" ht="12.75" customHeight="1">
      <c r="A206" s="19" t="s">
        <v>15</v>
      </c>
      <c r="B206" s="47" t="s">
        <v>47</v>
      </c>
      <c r="C206" s="15"/>
      <c r="D206" s="16"/>
      <c r="E206" s="13">
        <f t="shared" ref="E206:R206" si="47">SUM(E198:E205)</f>
        <v>3</v>
      </c>
      <c r="F206" s="13">
        <f t="shared" si="47"/>
        <v>2</v>
      </c>
      <c r="G206" s="13">
        <f t="shared" si="47"/>
        <v>3</v>
      </c>
      <c r="H206" s="13">
        <f t="shared" si="47"/>
        <v>0</v>
      </c>
      <c r="I206" s="13">
        <f t="shared" si="47"/>
        <v>3</v>
      </c>
      <c r="J206" s="13">
        <f t="shared" si="47"/>
        <v>8</v>
      </c>
      <c r="K206" s="13">
        <f t="shared" si="47"/>
        <v>5</v>
      </c>
      <c r="L206" s="13">
        <f t="shared" si="47"/>
        <v>3</v>
      </c>
      <c r="M206" s="13">
        <f t="shared" si="47"/>
        <v>15</v>
      </c>
      <c r="N206" s="13">
        <f t="shared" si="47"/>
        <v>5</v>
      </c>
      <c r="O206" s="13">
        <f t="shared" si="47"/>
        <v>9</v>
      </c>
      <c r="P206" s="13">
        <f t="shared" si="47"/>
        <v>7</v>
      </c>
      <c r="Q206" s="13">
        <f t="shared" si="47"/>
        <v>7</v>
      </c>
      <c r="R206" s="13">
        <f t="shared" si="47"/>
        <v>70</v>
      </c>
    </row>
    <row r="207" ht="12.75" customHeight="1">
      <c r="A207" s="24"/>
      <c r="B207" s="15"/>
      <c r="C207" s="15"/>
      <c r="D207" s="15"/>
      <c r="E207" s="16"/>
    </row>
    <row r="208" ht="12.75" customHeight="1">
      <c r="A208" s="30" t="s">
        <v>37</v>
      </c>
      <c r="B208" s="47" t="s">
        <v>182</v>
      </c>
      <c r="C208" s="48" t="s">
        <v>183</v>
      </c>
      <c r="D208" s="16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3">
        <f t="shared" ref="R208:R214" si="48">SUM(E208:Q208)</f>
        <v>0</v>
      </c>
    </row>
    <row r="209" ht="12.75" customHeight="1">
      <c r="A209" s="30" t="s">
        <v>39</v>
      </c>
      <c r="B209" s="55">
        <v>1.0</v>
      </c>
      <c r="C209" s="61" t="s">
        <v>184</v>
      </c>
      <c r="D209" s="57"/>
      <c r="E209" s="19">
        <v>0.0</v>
      </c>
      <c r="F209" s="19">
        <v>0.0</v>
      </c>
      <c r="G209" s="19">
        <v>0.0</v>
      </c>
      <c r="H209" s="19">
        <v>0.0</v>
      </c>
      <c r="I209" s="19">
        <v>0.0</v>
      </c>
      <c r="J209" s="19">
        <v>0.0</v>
      </c>
      <c r="K209" s="19">
        <v>0.0</v>
      </c>
      <c r="L209" s="19">
        <v>0.0</v>
      </c>
      <c r="M209" s="19">
        <v>0.0</v>
      </c>
      <c r="N209" s="19">
        <v>0.0</v>
      </c>
      <c r="O209" s="19">
        <v>0.0</v>
      </c>
      <c r="P209" s="19">
        <v>0.0</v>
      </c>
      <c r="Q209" s="19">
        <v>0.0</v>
      </c>
      <c r="R209" s="13">
        <f t="shared" si="48"/>
        <v>0</v>
      </c>
    </row>
    <row r="210" ht="12.75" customHeight="1">
      <c r="A210" s="18"/>
      <c r="B210" s="55">
        <v>2.0</v>
      </c>
      <c r="C210" s="61" t="s">
        <v>185</v>
      </c>
      <c r="D210" s="57"/>
      <c r="E210" s="19">
        <v>0.0</v>
      </c>
      <c r="F210" s="19">
        <v>0.0</v>
      </c>
      <c r="G210" s="19">
        <v>0.0</v>
      </c>
      <c r="H210" s="19">
        <v>0.0</v>
      </c>
      <c r="I210" s="19">
        <v>0.0</v>
      </c>
      <c r="J210" s="19">
        <v>0.0</v>
      </c>
      <c r="K210" s="19">
        <v>0.0</v>
      </c>
      <c r="L210" s="19">
        <v>0.0</v>
      </c>
      <c r="M210" s="19">
        <v>0.0</v>
      </c>
      <c r="N210" s="19">
        <v>0.0</v>
      </c>
      <c r="O210" s="19">
        <v>0.0</v>
      </c>
      <c r="P210" s="19">
        <v>0.0</v>
      </c>
      <c r="Q210" s="19">
        <v>0.0</v>
      </c>
      <c r="R210" s="13">
        <f t="shared" si="48"/>
        <v>0</v>
      </c>
    </row>
    <row r="211" ht="12.75" customHeight="1">
      <c r="A211" s="18"/>
      <c r="B211" s="55">
        <v>3.0</v>
      </c>
      <c r="C211" s="61" t="s">
        <v>186</v>
      </c>
      <c r="D211" s="57"/>
      <c r="E211" s="19">
        <v>0.0</v>
      </c>
      <c r="F211" s="19">
        <v>0.0</v>
      </c>
      <c r="G211" s="19">
        <v>0.0</v>
      </c>
      <c r="H211" s="19">
        <v>0.0</v>
      </c>
      <c r="I211" s="19">
        <v>0.0</v>
      </c>
      <c r="J211" s="19">
        <v>1.0</v>
      </c>
      <c r="K211" s="19">
        <v>0.0</v>
      </c>
      <c r="L211" s="19">
        <v>0.0</v>
      </c>
      <c r="M211" s="19">
        <v>0.0</v>
      </c>
      <c r="N211" s="19">
        <v>0.0</v>
      </c>
      <c r="O211" s="19">
        <v>0.0</v>
      </c>
      <c r="P211" s="19">
        <v>0.0</v>
      </c>
      <c r="Q211" s="19">
        <v>0.0</v>
      </c>
      <c r="R211" s="13">
        <f t="shared" si="48"/>
        <v>1</v>
      </c>
    </row>
    <row r="212" ht="12.75" customHeight="1">
      <c r="A212" s="18"/>
      <c r="B212" s="55">
        <v>4.0</v>
      </c>
      <c r="C212" s="61" t="s">
        <v>187</v>
      </c>
      <c r="D212" s="57"/>
      <c r="E212" s="19">
        <v>0.0</v>
      </c>
      <c r="F212" s="19">
        <v>0.0</v>
      </c>
      <c r="G212" s="19">
        <v>0.0</v>
      </c>
      <c r="H212" s="19">
        <v>0.0</v>
      </c>
      <c r="I212" s="19">
        <v>0.0</v>
      </c>
      <c r="J212" s="19">
        <v>0.0</v>
      </c>
      <c r="K212" s="19">
        <v>0.0</v>
      </c>
      <c r="L212" s="19">
        <v>0.0</v>
      </c>
      <c r="M212" s="19">
        <v>0.0</v>
      </c>
      <c r="N212" s="19">
        <v>0.0</v>
      </c>
      <c r="O212" s="19">
        <v>0.0</v>
      </c>
      <c r="P212" s="19">
        <v>0.0</v>
      </c>
      <c r="Q212" s="19">
        <v>0.0</v>
      </c>
      <c r="R212" s="13">
        <f t="shared" si="48"/>
        <v>0</v>
      </c>
    </row>
    <row r="213" ht="12.75" customHeight="1">
      <c r="A213" s="18"/>
      <c r="B213" s="55">
        <v>5.0</v>
      </c>
      <c r="C213" s="61" t="s">
        <v>188</v>
      </c>
      <c r="D213" s="57"/>
      <c r="E213" s="19">
        <v>0.0</v>
      </c>
      <c r="F213" s="19">
        <v>0.0</v>
      </c>
      <c r="G213" s="19">
        <v>0.0</v>
      </c>
      <c r="H213" s="19">
        <v>0.0</v>
      </c>
      <c r="I213" s="19">
        <v>0.0</v>
      </c>
      <c r="J213" s="19">
        <v>0.0</v>
      </c>
      <c r="K213" s="19">
        <v>0.0</v>
      </c>
      <c r="L213" s="19">
        <v>0.0</v>
      </c>
      <c r="M213" s="19">
        <v>0.0</v>
      </c>
      <c r="N213" s="19">
        <v>0.0</v>
      </c>
      <c r="O213" s="19">
        <v>0.0</v>
      </c>
      <c r="P213" s="19">
        <v>0.0</v>
      </c>
      <c r="Q213" s="19">
        <v>0.0</v>
      </c>
      <c r="R213" s="13">
        <f t="shared" si="48"/>
        <v>0</v>
      </c>
    </row>
    <row r="214" ht="12.75" customHeight="1">
      <c r="A214" s="18"/>
      <c r="B214" s="55">
        <v>6.0</v>
      </c>
      <c r="C214" s="61" t="s">
        <v>189</v>
      </c>
      <c r="D214" s="57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0.0</v>
      </c>
      <c r="Q214" s="19">
        <v>0.0</v>
      </c>
      <c r="R214" s="13">
        <f t="shared" si="48"/>
        <v>0</v>
      </c>
    </row>
    <row r="215" ht="12.75" customHeight="1">
      <c r="A215" s="19" t="s">
        <v>15</v>
      </c>
      <c r="B215" s="47" t="s">
        <v>47</v>
      </c>
      <c r="C215" s="15"/>
      <c r="D215" s="16"/>
      <c r="E215" s="13">
        <f t="shared" ref="E215:R215" si="49">SUM(E208:E214)</f>
        <v>0</v>
      </c>
      <c r="F215" s="13">
        <f t="shared" si="49"/>
        <v>0</v>
      </c>
      <c r="G215" s="13">
        <f t="shared" si="49"/>
        <v>0</v>
      </c>
      <c r="H215" s="13">
        <f t="shared" si="49"/>
        <v>0</v>
      </c>
      <c r="I215" s="13">
        <f t="shared" si="49"/>
        <v>0</v>
      </c>
      <c r="J215" s="13">
        <f t="shared" si="49"/>
        <v>1</v>
      </c>
      <c r="K215" s="13">
        <f t="shared" si="49"/>
        <v>0</v>
      </c>
      <c r="L215" s="13">
        <f t="shared" si="49"/>
        <v>0</v>
      </c>
      <c r="M215" s="13">
        <f t="shared" si="49"/>
        <v>0</v>
      </c>
      <c r="N215" s="13">
        <f t="shared" si="49"/>
        <v>0</v>
      </c>
      <c r="O215" s="13">
        <f t="shared" si="49"/>
        <v>0</v>
      </c>
      <c r="P215" s="13">
        <f t="shared" si="49"/>
        <v>0</v>
      </c>
      <c r="Q215" s="13">
        <f t="shared" si="49"/>
        <v>0</v>
      </c>
      <c r="R215" s="13">
        <f t="shared" si="49"/>
        <v>1</v>
      </c>
    </row>
    <row r="216" ht="12.75" customHeight="1"/>
    <row r="217" ht="12.75" customHeight="1">
      <c r="A217" s="42" t="s">
        <v>190</v>
      </c>
      <c r="B217" s="14" t="s">
        <v>191</v>
      </c>
      <c r="C217" s="15"/>
      <c r="D217" s="16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 ht="12.75" customHeight="1">
      <c r="A218" s="42"/>
      <c r="B218" s="64" t="s">
        <v>192</v>
      </c>
      <c r="C218" s="65" t="s">
        <v>193</v>
      </c>
      <c r="D218" s="16"/>
      <c r="E218" s="19">
        <f t="shared" ref="E218:Q218" si="50">E53+E63+E73+E83+E93+E103+E109+E119+E129+E136+E146+E156+E166+E176+E186+E196+E206+E215</f>
        <v>229</v>
      </c>
      <c r="F218" s="19">
        <f t="shared" si="50"/>
        <v>193</v>
      </c>
      <c r="G218" s="19">
        <f t="shared" si="50"/>
        <v>197</v>
      </c>
      <c r="H218" s="19">
        <f t="shared" si="50"/>
        <v>234</v>
      </c>
      <c r="I218" s="19">
        <f t="shared" si="50"/>
        <v>211</v>
      </c>
      <c r="J218" s="19">
        <f t="shared" si="50"/>
        <v>166</v>
      </c>
      <c r="K218" s="19">
        <f t="shared" si="50"/>
        <v>192</v>
      </c>
      <c r="L218" s="19">
        <f t="shared" si="50"/>
        <v>209</v>
      </c>
      <c r="M218" s="19">
        <f t="shared" si="50"/>
        <v>207</v>
      </c>
      <c r="N218" s="19">
        <f t="shared" si="50"/>
        <v>217</v>
      </c>
      <c r="O218" s="19">
        <f t="shared" si="50"/>
        <v>186</v>
      </c>
      <c r="P218" s="19">
        <f t="shared" si="50"/>
        <v>179</v>
      </c>
      <c r="Q218" s="19">
        <f t="shared" si="50"/>
        <v>210</v>
      </c>
      <c r="R218" s="13">
        <f t="shared" ref="R218:R220" si="51">SUM(E218:Q218)</f>
        <v>2630</v>
      </c>
    </row>
    <row r="219" ht="12.75" customHeight="1">
      <c r="A219" s="35"/>
      <c r="B219" s="64" t="s">
        <v>194</v>
      </c>
      <c r="C219" s="65" t="s">
        <v>195</v>
      </c>
      <c r="D219" s="16"/>
      <c r="E219" s="19">
        <v>8.0</v>
      </c>
      <c r="F219" s="19">
        <v>22.0</v>
      </c>
      <c r="G219" s="19">
        <v>19.0</v>
      </c>
      <c r="H219" s="19">
        <v>15.0</v>
      </c>
      <c r="I219" s="19">
        <v>15.0</v>
      </c>
      <c r="J219" s="19">
        <v>35.0</v>
      </c>
      <c r="K219" s="19">
        <v>6.0</v>
      </c>
      <c r="L219" s="19">
        <v>8.0</v>
      </c>
      <c r="M219" s="19">
        <v>10.0</v>
      </c>
      <c r="N219" s="19">
        <v>17.0</v>
      </c>
      <c r="O219" s="19">
        <v>10.0</v>
      </c>
      <c r="P219" s="19">
        <v>15.0</v>
      </c>
      <c r="Q219" s="19">
        <v>8.0</v>
      </c>
      <c r="R219" s="13">
        <f t="shared" si="51"/>
        <v>188</v>
      </c>
    </row>
    <row r="220" ht="12.75" customHeight="1">
      <c r="A220" s="41"/>
      <c r="B220" s="64" t="s">
        <v>196</v>
      </c>
      <c r="C220" s="65" t="s">
        <v>197</v>
      </c>
      <c r="D220" s="16"/>
      <c r="E220" s="13">
        <f t="shared" ref="E220:Q220" si="52">SUM(E218:E219)</f>
        <v>237</v>
      </c>
      <c r="F220" s="13">
        <f t="shared" si="52"/>
        <v>215</v>
      </c>
      <c r="G220" s="13">
        <f t="shared" si="52"/>
        <v>216</v>
      </c>
      <c r="H220" s="13">
        <f t="shared" si="52"/>
        <v>249</v>
      </c>
      <c r="I220" s="13">
        <f t="shared" si="52"/>
        <v>226</v>
      </c>
      <c r="J220" s="13">
        <f t="shared" si="52"/>
        <v>201</v>
      </c>
      <c r="K220" s="13">
        <f t="shared" si="52"/>
        <v>198</v>
      </c>
      <c r="L220" s="13">
        <f t="shared" si="52"/>
        <v>217</v>
      </c>
      <c r="M220" s="13">
        <f t="shared" si="52"/>
        <v>217</v>
      </c>
      <c r="N220" s="13">
        <f t="shared" si="52"/>
        <v>234</v>
      </c>
      <c r="O220" s="13">
        <f t="shared" si="52"/>
        <v>196</v>
      </c>
      <c r="P220" s="13">
        <f t="shared" si="52"/>
        <v>194</v>
      </c>
      <c r="Q220" s="13">
        <f t="shared" si="52"/>
        <v>218</v>
      </c>
      <c r="R220" s="13">
        <f t="shared" si="51"/>
        <v>2818</v>
      </c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63:D63"/>
    <mergeCell ref="A64:E64"/>
    <mergeCell ref="C65:D65"/>
    <mergeCell ref="B73:D73"/>
    <mergeCell ref="A74:E74"/>
    <mergeCell ref="C75:D75"/>
    <mergeCell ref="B83:D83"/>
    <mergeCell ref="A84:E84"/>
    <mergeCell ref="C85:D85"/>
    <mergeCell ref="B93:D93"/>
    <mergeCell ref="A94:E94"/>
    <mergeCell ref="C95:D95"/>
    <mergeCell ref="B103:D103"/>
    <mergeCell ref="A104:E104"/>
    <mergeCell ref="C105:D105"/>
    <mergeCell ref="B109:D109"/>
    <mergeCell ref="A110:E110"/>
    <mergeCell ref="C111:D111"/>
    <mergeCell ref="B119:D119"/>
    <mergeCell ref="A120:E120"/>
    <mergeCell ref="C121:D121"/>
    <mergeCell ref="B129:D129"/>
    <mergeCell ref="A130:E130"/>
    <mergeCell ref="C131:D131"/>
    <mergeCell ref="B136:D136"/>
    <mergeCell ref="A137:E137"/>
    <mergeCell ref="C138:D138"/>
    <mergeCell ref="B146:D146"/>
    <mergeCell ref="A147:E147"/>
    <mergeCell ref="C148:D148"/>
    <mergeCell ref="B156:D156"/>
    <mergeCell ref="A157:E157"/>
    <mergeCell ref="C158:D158"/>
    <mergeCell ref="B166:D166"/>
    <mergeCell ref="A167:E167"/>
    <mergeCell ref="C168:D168"/>
    <mergeCell ref="B176:D176"/>
    <mergeCell ref="A177:E177"/>
    <mergeCell ref="C178:D178"/>
    <mergeCell ref="B186:D186"/>
    <mergeCell ref="A187:E187"/>
    <mergeCell ref="C188:D188"/>
    <mergeCell ref="B217:D217"/>
    <mergeCell ref="C218:D218"/>
    <mergeCell ref="C219:D219"/>
    <mergeCell ref="C220:D220"/>
    <mergeCell ref="B196:D196"/>
    <mergeCell ref="A197:E197"/>
    <mergeCell ref="C198:D198"/>
    <mergeCell ref="B206:D206"/>
    <mergeCell ref="A207:E207"/>
    <mergeCell ref="C208:D208"/>
    <mergeCell ref="B215:D215"/>
    <mergeCell ref="B12:D12"/>
    <mergeCell ref="E12:Q12"/>
    <mergeCell ref="R12: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O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O42"/>
    <mergeCell ref="B43:D43"/>
    <mergeCell ref="A44:D44"/>
    <mergeCell ref="C45:D45"/>
    <mergeCell ref="B53:D53"/>
    <mergeCell ref="A54:E54"/>
    <mergeCell ref="C55:D55"/>
    <mergeCell ref="C46:D46"/>
    <mergeCell ref="C47:D47"/>
    <mergeCell ref="C48:D48"/>
    <mergeCell ref="C49:D49"/>
    <mergeCell ref="C50:D50"/>
    <mergeCell ref="C51:D51"/>
    <mergeCell ref="C52:D52"/>
  </mergeCells>
  <conditionalFormatting sqref="E14:Q15">
    <cfRule type="containsBlanks" dxfId="0" priority="1">
      <formula>LEN(TRIM(E14))=0</formula>
    </cfRule>
  </conditionalFormatting>
  <conditionalFormatting sqref="E19:Q20">
    <cfRule type="containsBlanks" dxfId="0" priority="2">
      <formula>LEN(TRIM(E19))=0</formula>
    </cfRule>
  </conditionalFormatting>
  <conditionalFormatting sqref="E22:Q23 E25:Q26 E33:Q33 E35:Q35 E39:Q40">
    <cfRule type="containsBlanks" dxfId="0" priority="3">
      <formula>LEN(TRIM(E22))=0</formula>
    </cfRule>
  </conditionalFormatting>
  <conditionalFormatting sqref="E30:Q30">
    <cfRule type="expression" dxfId="1" priority="4">
      <formula>E30&lt;&gt;E47</formula>
    </cfRule>
  </conditionalFormatting>
  <conditionalFormatting sqref="E30:Q30">
    <cfRule type="expression" dxfId="1" priority="5">
      <formula>E30&lt;&gt;E34</formula>
    </cfRule>
  </conditionalFormatting>
  <conditionalFormatting sqref="E45:Q52">
    <cfRule type="containsBlanks" dxfId="0" priority="6">
      <formula>LEN(TRIM(E45))=0</formula>
    </cfRule>
  </conditionalFormatting>
  <conditionalFormatting sqref="E55:Q62">
    <cfRule type="containsBlanks" dxfId="0" priority="7">
      <formula>LEN(TRIM(E55))=0</formula>
    </cfRule>
  </conditionalFormatting>
  <conditionalFormatting sqref="E65:Q72">
    <cfRule type="containsBlanks" dxfId="0" priority="8">
      <formula>LEN(TRIM(E65))=0</formula>
    </cfRule>
  </conditionalFormatting>
  <conditionalFormatting sqref="E75:Q82">
    <cfRule type="containsBlanks" dxfId="0" priority="9">
      <formula>LEN(TRIM(E75))=0</formula>
    </cfRule>
  </conditionalFormatting>
  <conditionalFormatting sqref="E85:Q92">
    <cfRule type="containsBlanks" dxfId="0" priority="10">
      <formula>LEN(TRIM(E85))=0</formula>
    </cfRule>
  </conditionalFormatting>
  <conditionalFormatting sqref="E95:Q102">
    <cfRule type="containsBlanks" dxfId="0" priority="11">
      <formula>LEN(TRIM(E95))=0</formula>
    </cfRule>
  </conditionalFormatting>
  <conditionalFormatting sqref="E105:Q108">
    <cfRule type="containsBlanks" dxfId="0" priority="12">
      <formula>LEN(TRIM(E105))=0</formula>
    </cfRule>
  </conditionalFormatting>
  <conditionalFormatting sqref="E111:Q118">
    <cfRule type="containsBlanks" dxfId="0" priority="13">
      <formula>LEN(TRIM(E111))=0</formula>
    </cfRule>
  </conditionalFormatting>
  <conditionalFormatting sqref="E121:Q128">
    <cfRule type="containsBlanks" dxfId="0" priority="14">
      <formula>LEN(TRIM(E121))=0</formula>
    </cfRule>
  </conditionalFormatting>
  <conditionalFormatting sqref="E131:Q135">
    <cfRule type="containsBlanks" dxfId="0" priority="15">
      <formula>LEN(TRIM(E131))=0</formula>
    </cfRule>
  </conditionalFormatting>
  <conditionalFormatting sqref="E138:Q145">
    <cfRule type="containsBlanks" dxfId="0" priority="16">
      <formula>LEN(TRIM(E138))=0</formula>
    </cfRule>
  </conditionalFormatting>
  <conditionalFormatting sqref="E148:Q155">
    <cfRule type="containsBlanks" dxfId="0" priority="17">
      <formula>LEN(TRIM(E148))=0</formula>
    </cfRule>
  </conditionalFormatting>
  <conditionalFormatting sqref="E158:Q165">
    <cfRule type="containsBlanks" dxfId="0" priority="18">
      <formula>LEN(TRIM(E158))=0</formula>
    </cfRule>
  </conditionalFormatting>
  <conditionalFormatting sqref="E168:Q175">
    <cfRule type="containsBlanks" dxfId="0" priority="19">
      <formula>LEN(TRIM(E168))=0</formula>
    </cfRule>
  </conditionalFormatting>
  <conditionalFormatting sqref="E178:Q185">
    <cfRule type="containsBlanks" dxfId="0" priority="20">
      <formula>LEN(TRIM(E178))=0</formula>
    </cfRule>
  </conditionalFormatting>
  <conditionalFormatting sqref="E188:Q195">
    <cfRule type="containsBlanks" dxfId="0" priority="21">
      <formula>LEN(TRIM(E188))=0</formula>
    </cfRule>
  </conditionalFormatting>
  <conditionalFormatting sqref="E198:Q205">
    <cfRule type="containsBlanks" dxfId="0" priority="22">
      <formula>LEN(TRIM(E198))=0</formula>
    </cfRule>
  </conditionalFormatting>
  <conditionalFormatting sqref="E208:Q214">
    <cfRule type="containsBlanks" dxfId="0" priority="23">
      <formula>LEN(TRIM(E208))=0</formula>
    </cfRule>
  </conditionalFormatting>
  <conditionalFormatting sqref="E218:Q219">
    <cfRule type="containsBlanks" dxfId="0" priority="24">
      <formula>LEN(TRIM(E218))=0</formula>
    </cfRule>
  </conditionalFormatting>
  <conditionalFormatting sqref="E34:Q34">
    <cfRule type="expression" dxfId="2" priority="25">
      <formula>E30&lt;&gt;E34</formula>
    </cfRule>
  </conditionalFormatting>
  <conditionalFormatting sqref="E34:Q34">
    <cfRule type="expression" dxfId="3" priority="26">
      <formula>E30=E34</formula>
    </cfRule>
  </conditionalFormatting>
  <conditionalFormatting sqref="E34:Q34">
    <cfRule type="expression" dxfId="1" priority="27">
      <formula>E34&lt;&gt;E30</formula>
    </cfRule>
  </conditionalFormatting>
  <conditionalFormatting sqref="E34:Q34">
    <cfRule type="expression" dxfId="1" priority="28">
      <formula>E34&lt;&gt;E62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</cols>
  <sheetData>
    <row r="1" ht="12.75" customHeight="1"/>
    <row r="2" ht="12.75" customHeight="1">
      <c r="C2" s="8" t="s">
        <v>0</v>
      </c>
      <c r="D2" s="8" t="s">
        <v>198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199</v>
      </c>
      <c r="D9" s="8" t="s">
        <v>226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201</v>
      </c>
      <c r="F13" s="13" t="s">
        <v>202</v>
      </c>
      <c r="G13" s="13" t="s">
        <v>203</v>
      </c>
      <c r="H13" s="13" t="s">
        <v>204</v>
      </c>
      <c r="I13" s="13" t="s">
        <v>205</v>
      </c>
      <c r="J13" s="13" t="s">
        <v>206</v>
      </c>
      <c r="K13" s="13" t="s">
        <v>207</v>
      </c>
      <c r="L13" s="13" t="s">
        <v>208</v>
      </c>
      <c r="M13" s="13" t="s">
        <v>209</v>
      </c>
      <c r="N13" s="13" t="s">
        <v>210</v>
      </c>
      <c r="O13" s="13" t="s">
        <v>211</v>
      </c>
      <c r="P13" s="13" t="s">
        <v>212</v>
      </c>
      <c r="Q13" s="13" t="s">
        <v>213</v>
      </c>
      <c r="R13" s="13" t="s">
        <v>214</v>
      </c>
      <c r="S13" s="13" t="s">
        <v>215</v>
      </c>
      <c r="T13" s="13" t="s">
        <v>216</v>
      </c>
      <c r="U13" s="13" t="s">
        <v>217</v>
      </c>
      <c r="V13" s="13" t="s">
        <v>218</v>
      </c>
      <c r="W13" s="13" t="s">
        <v>219</v>
      </c>
      <c r="X13" s="13" t="s">
        <v>220</v>
      </c>
      <c r="Y13" s="13" t="s">
        <v>221</v>
      </c>
      <c r="Z13" s="13" t="s">
        <v>222</v>
      </c>
      <c r="AA13" s="13" t="s">
        <v>223</v>
      </c>
      <c r="AB13" s="13" t="s">
        <v>224</v>
      </c>
      <c r="AC13" s="36"/>
    </row>
    <row r="14" ht="12.75" customHeight="1">
      <c r="A14" s="18"/>
      <c r="B14" s="22" t="s">
        <v>11</v>
      </c>
      <c r="C14" s="23"/>
      <c r="D14" s="19" t="s">
        <v>12</v>
      </c>
      <c r="E14" s="19">
        <v>88.0</v>
      </c>
      <c r="F14" s="19">
        <v>112.0</v>
      </c>
      <c r="G14" s="19">
        <v>144.0</v>
      </c>
      <c r="H14" s="19">
        <v>112.0</v>
      </c>
      <c r="I14" s="19">
        <v>130.0</v>
      </c>
      <c r="J14" s="19">
        <v>147.0</v>
      </c>
      <c r="K14" s="19">
        <v>145.0</v>
      </c>
      <c r="L14" s="19">
        <v>148.0</v>
      </c>
      <c r="M14" s="19">
        <v>125.0</v>
      </c>
      <c r="N14" s="19">
        <v>122.0</v>
      </c>
      <c r="O14" s="19">
        <v>120.0</v>
      </c>
      <c r="P14" s="19">
        <v>148.0</v>
      </c>
      <c r="Q14" s="19">
        <v>148.0</v>
      </c>
      <c r="R14" s="19">
        <v>139.0</v>
      </c>
      <c r="S14" s="19">
        <v>100.0</v>
      </c>
      <c r="T14" s="19">
        <v>141.0</v>
      </c>
      <c r="U14" s="19">
        <v>139.0</v>
      </c>
      <c r="V14" s="19">
        <v>139.0</v>
      </c>
      <c r="W14" s="19">
        <v>139.0</v>
      </c>
      <c r="X14" s="19">
        <v>137.0</v>
      </c>
      <c r="Y14" s="19">
        <v>122.0</v>
      </c>
      <c r="Z14" s="19">
        <v>109.0</v>
      </c>
      <c r="AA14" s="19">
        <v>124.0</v>
      </c>
      <c r="AB14" s="19">
        <v>127.0</v>
      </c>
      <c r="AC14" s="13">
        <f t="shared" ref="AC14:AC16" si="1">SUM(E14:AB14)</f>
        <v>3105</v>
      </c>
    </row>
    <row r="15" ht="12.75" customHeight="1">
      <c r="A15" s="18"/>
      <c r="B15" s="26"/>
      <c r="C15" s="27"/>
      <c r="D15" s="19" t="s">
        <v>13</v>
      </c>
      <c r="E15" s="19">
        <v>84.0</v>
      </c>
      <c r="F15" s="19">
        <v>119.0</v>
      </c>
      <c r="G15" s="19">
        <v>147.0</v>
      </c>
      <c r="H15" s="19">
        <v>118.0</v>
      </c>
      <c r="I15" s="19">
        <v>144.0</v>
      </c>
      <c r="J15" s="19">
        <v>150.0</v>
      </c>
      <c r="K15" s="19">
        <v>150.0</v>
      </c>
      <c r="L15" s="19">
        <v>143.0</v>
      </c>
      <c r="M15" s="19">
        <v>136.0</v>
      </c>
      <c r="N15" s="19">
        <v>125.0</v>
      </c>
      <c r="O15" s="19">
        <v>132.0</v>
      </c>
      <c r="P15" s="19">
        <v>146.0</v>
      </c>
      <c r="Q15" s="19">
        <v>140.0</v>
      </c>
      <c r="R15" s="19">
        <v>146.0</v>
      </c>
      <c r="S15" s="19">
        <v>100.0</v>
      </c>
      <c r="T15" s="19">
        <v>143.0</v>
      </c>
      <c r="U15" s="19">
        <v>142.0</v>
      </c>
      <c r="V15" s="19">
        <v>139.0</v>
      </c>
      <c r="W15" s="19">
        <v>145.0</v>
      </c>
      <c r="X15" s="19">
        <v>130.0</v>
      </c>
      <c r="Y15" s="19">
        <v>130.0</v>
      </c>
      <c r="Z15" s="19">
        <v>108.0</v>
      </c>
      <c r="AA15" s="19">
        <v>132.0</v>
      </c>
      <c r="AB15" s="19">
        <v>123.0</v>
      </c>
      <c r="AC15" s="13">
        <f t="shared" si="1"/>
        <v>3172</v>
      </c>
    </row>
    <row r="16" ht="12.75" customHeight="1">
      <c r="A16" s="25"/>
      <c r="B16" s="21"/>
      <c r="C16" s="28"/>
      <c r="D16" s="13" t="s">
        <v>14</v>
      </c>
      <c r="E16" s="13">
        <f t="shared" ref="E16:AB16" si="2">SUM(E14:E15)</f>
        <v>172</v>
      </c>
      <c r="F16" s="13">
        <f t="shared" si="2"/>
        <v>231</v>
      </c>
      <c r="G16" s="13">
        <f t="shared" si="2"/>
        <v>291</v>
      </c>
      <c r="H16" s="13">
        <f t="shared" si="2"/>
        <v>230</v>
      </c>
      <c r="I16" s="13">
        <f t="shared" si="2"/>
        <v>274</v>
      </c>
      <c r="J16" s="13">
        <f t="shared" si="2"/>
        <v>297</v>
      </c>
      <c r="K16" s="13">
        <f t="shared" si="2"/>
        <v>295</v>
      </c>
      <c r="L16" s="13">
        <f t="shared" si="2"/>
        <v>291</v>
      </c>
      <c r="M16" s="13">
        <f t="shared" si="2"/>
        <v>261</v>
      </c>
      <c r="N16" s="13">
        <f t="shared" si="2"/>
        <v>247</v>
      </c>
      <c r="O16" s="13">
        <f t="shared" si="2"/>
        <v>252</v>
      </c>
      <c r="P16" s="13">
        <f t="shared" si="2"/>
        <v>294</v>
      </c>
      <c r="Q16" s="13">
        <f t="shared" si="2"/>
        <v>288</v>
      </c>
      <c r="R16" s="13">
        <f t="shared" si="2"/>
        <v>285</v>
      </c>
      <c r="S16" s="13">
        <f t="shared" si="2"/>
        <v>200</v>
      </c>
      <c r="T16" s="13">
        <f t="shared" si="2"/>
        <v>284</v>
      </c>
      <c r="U16" s="13">
        <f t="shared" si="2"/>
        <v>281</v>
      </c>
      <c r="V16" s="13">
        <f t="shared" si="2"/>
        <v>278</v>
      </c>
      <c r="W16" s="13">
        <f t="shared" si="2"/>
        <v>284</v>
      </c>
      <c r="X16" s="13">
        <f t="shared" si="2"/>
        <v>267</v>
      </c>
      <c r="Y16" s="13">
        <f t="shared" si="2"/>
        <v>252</v>
      </c>
      <c r="Z16" s="13">
        <f t="shared" si="2"/>
        <v>217</v>
      </c>
      <c r="AA16" s="13">
        <f t="shared" si="2"/>
        <v>256</v>
      </c>
      <c r="AB16" s="13">
        <f t="shared" si="2"/>
        <v>250</v>
      </c>
      <c r="AC16" s="13">
        <f t="shared" si="1"/>
        <v>6277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7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7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63.0</v>
      </c>
      <c r="F19" s="19">
        <v>88.0</v>
      </c>
      <c r="G19" s="19">
        <v>101.0</v>
      </c>
      <c r="H19" s="19">
        <v>80.0</v>
      </c>
      <c r="I19" s="19">
        <v>104.0</v>
      </c>
      <c r="J19" s="19">
        <v>117.0</v>
      </c>
      <c r="K19" s="19">
        <v>117.0</v>
      </c>
      <c r="L19" s="19">
        <v>124.0</v>
      </c>
      <c r="M19" s="19">
        <v>96.0</v>
      </c>
      <c r="N19" s="19">
        <v>98.0</v>
      </c>
      <c r="O19" s="19">
        <v>106.0</v>
      </c>
      <c r="P19" s="19">
        <v>124.0</v>
      </c>
      <c r="Q19" s="19">
        <v>111.0</v>
      </c>
      <c r="R19" s="19">
        <v>115.0</v>
      </c>
      <c r="S19" s="19">
        <v>94.0</v>
      </c>
      <c r="T19" s="19">
        <v>121.0</v>
      </c>
      <c r="U19" s="19">
        <v>120.0</v>
      </c>
      <c r="V19" s="19">
        <v>123.0</v>
      </c>
      <c r="W19" s="19">
        <v>112.0</v>
      </c>
      <c r="X19" s="19">
        <v>114.0</v>
      </c>
      <c r="Y19" s="19">
        <v>105.0</v>
      </c>
      <c r="Z19" s="19">
        <v>87.0</v>
      </c>
      <c r="AA19" s="19">
        <v>99.0</v>
      </c>
      <c r="AB19" s="19">
        <v>97.0</v>
      </c>
      <c r="AC19" s="13">
        <f t="shared" ref="AC19:AC30" si="3">SUM(E19:AB19)</f>
        <v>2516</v>
      </c>
    </row>
    <row r="20" ht="12.75" customHeight="1">
      <c r="A20" s="33"/>
      <c r="B20" s="27"/>
      <c r="C20" s="34"/>
      <c r="D20" s="19" t="s">
        <v>13</v>
      </c>
      <c r="E20" s="19">
        <v>73.0</v>
      </c>
      <c r="F20" s="19">
        <v>104.0</v>
      </c>
      <c r="G20" s="19">
        <v>118.0</v>
      </c>
      <c r="H20" s="19">
        <v>97.0</v>
      </c>
      <c r="I20" s="19">
        <v>133.0</v>
      </c>
      <c r="J20" s="19">
        <v>129.0</v>
      </c>
      <c r="K20" s="19">
        <v>128.0</v>
      </c>
      <c r="L20" s="19">
        <v>127.0</v>
      </c>
      <c r="M20" s="19">
        <v>107.0</v>
      </c>
      <c r="N20" s="19">
        <v>106.0</v>
      </c>
      <c r="O20" s="19">
        <v>122.0</v>
      </c>
      <c r="P20" s="19">
        <v>125.0</v>
      </c>
      <c r="Q20" s="19">
        <v>116.0</v>
      </c>
      <c r="R20" s="19">
        <v>123.0</v>
      </c>
      <c r="S20" s="19">
        <v>94.0</v>
      </c>
      <c r="T20" s="19">
        <v>122.0</v>
      </c>
      <c r="U20" s="19">
        <v>121.0</v>
      </c>
      <c r="V20" s="19">
        <v>120.0</v>
      </c>
      <c r="W20" s="19">
        <v>122.0</v>
      </c>
      <c r="X20" s="19">
        <v>108.0</v>
      </c>
      <c r="Y20" s="19">
        <v>107.0</v>
      </c>
      <c r="Z20" s="19">
        <v>89.0</v>
      </c>
      <c r="AA20" s="19">
        <v>118.0</v>
      </c>
      <c r="AB20" s="19">
        <v>96.0</v>
      </c>
      <c r="AC20" s="13">
        <f t="shared" si="3"/>
        <v>2705</v>
      </c>
    </row>
    <row r="21" ht="12.75" customHeight="1">
      <c r="A21" s="35"/>
      <c r="B21" s="28"/>
      <c r="C21" s="36"/>
      <c r="D21" s="13" t="s">
        <v>14</v>
      </c>
      <c r="E21" s="13">
        <f t="shared" ref="E21:AB21" si="4">SUM(E19:E20)</f>
        <v>136</v>
      </c>
      <c r="F21" s="13">
        <f t="shared" si="4"/>
        <v>192</v>
      </c>
      <c r="G21" s="13">
        <f t="shared" si="4"/>
        <v>219</v>
      </c>
      <c r="H21" s="13">
        <f t="shared" si="4"/>
        <v>177</v>
      </c>
      <c r="I21" s="13">
        <f t="shared" si="4"/>
        <v>237</v>
      </c>
      <c r="J21" s="13">
        <f t="shared" si="4"/>
        <v>246</v>
      </c>
      <c r="K21" s="13">
        <f t="shared" si="4"/>
        <v>245</v>
      </c>
      <c r="L21" s="13">
        <f t="shared" si="4"/>
        <v>251</v>
      </c>
      <c r="M21" s="13">
        <f t="shared" si="4"/>
        <v>203</v>
      </c>
      <c r="N21" s="13">
        <f t="shared" si="4"/>
        <v>204</v>
      </c>
      <c r="O21" s="13">
        <f t="shared" si="4"/>
        <v>228</v>
      </c>
      <c r="P21" s="13">
        <f t="shared" si="4"/>
        <v>249</v>
      </c>
      <c r="Q21" s="13">
        <f t="shared" si="4"/>
        <v>227</v>
      </c>
      <c r="R21" s="13">
        <f t="shared" si="4"/>
        <v>238</v>
      </c>
      <c r="S21" s="13">
        <f t="shared" si="4"/>
        <v>188</v>
      </c>
      <c r="T21" s="13">
        <f t="shared" si="4"/>
        <v>243</v>
      </c>
      <c r="U21" s="13">
        <f t="shared" si="4"/>
        <v>241</v>
      </c>
      <c r="V21" s="13">
        <f t="shared" si="4"/>
        <v>243</v>
      </c>
      <c r="W21" s="13">
        <f t="shared" si="4"/>
        <v>234</v>
      </c>
      <c r="X21" s="13">
        <f t="shared" si="4"/>
        <v>222</v>
      </c>
      <c r="Y21" s="13">
        <f t="shared" si="4"/>
        <v>212</v>
      </c>
      <c r="Z21" s="13">
        <f t="shared" si="4"/>
        <v>176</v>
      </c>
      <c r="AA21" s="13">
        <f t="shared" si="4"/>
        <v>217</v>
      </c>
      <c r="AB21" s="13">
        <f t="shared" si="4"/>
        <v>193</v>
      </c>
      <c r="AC21" s="13">
        <f t="shared" si="3"/>
        <v>5221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0.0</v>
      </c>
      <c r="O22" s="19">
        <v>0.0</v>
      </c>
      <c r="P22" s="19">
        <v>0.0</v>
      </c>
      <c r="Q22" s="19">
        <v>1.0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1.0</v>
      </c>
      <c r="AB22" s="19">
        <v>0.0</v>
      </c>
      <c r="AC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1.0</v>
      </c>
      <c r="H23" s="19">
        <v>0.0</v>
      </c>
      <c r="I23" s="19">
        <v>1.0</v>
      </c>
      <c r="J23" s="19">
        <v>0.0</v>
      </c>
      <c r="K23" s="19">
        <v>1.0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2.0</v>
      </c>
      <c r="R23" s="19">
        <v>0.0</v>
      </c>
      <c r="S23" s="19">
        <v>1.0</v>
      </c>
      <c r="T23" s="19">
        <v>0.0</v>
      </c>
      <c r="U23" s="19">
        <v>0.0</v>
      </c>
      <c r="V23" s="19">
        <v>0.0</v>
      </c>
      <c r="W23" s="19">
        <v>1.0</v>
      </c>
      <c r="X23" s="19">
        <v>0.0</v>
      </c>
      <c r="Y23" s="19">
        <v>0.0</v>
      </c>
      <c r="Z23" s="19">
        <v>0.0</v>
      </c>
      <c r="AA23" s="19">
        <v>1.0</v>
      </c>
      <c r="AB23" s="19">
        <v>1.0</v>
      </c>
      <c r="AC23" s="13">
        <f t="shared" si="3"/>
        <v>10</v>
      </c>
    </row>
    <row r="24" ht="12.75" customHeight="1">
      <c r="A24" s="35"/>
      <c r="B24" s="28"/>
      <c r="C24" s="36"/>
      <c r="D24" s="13" t="s">
        <v>14</v>
      </c>
      <c r="E24" s="13">
        <f t="shared" ref="E24:AB24" si="5">SUM(E22:E23)</f>
        <v>1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3</v>
      </c>
      <c r="R24" s="13">
        <f t="shared" si="5"/>
        <v>0</v>
      </c>
      <c r="S24" s="13">
        <f t="shared" si="5"/>
        <v>1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5"/>
        <v>1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2</v>
      </c>
      <c r="AB24" s="13">
        <f t="shared" si="5"/>
        <v>1</v>
      </c>
      <c r="AC24" s="13">
        <f t="shared" si="3"/>
        <v>14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1.0</v>
      </c>
      <c r="J25" s="19">
        <v>0.0</v>
      </c>
      <c r="K25" s="19">
        <v>1.0</v>
      </c>
      <c r="L25" s="19">
        <v>1.0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3.0</v>
      </c>
      <c r="W25" s="19">
        <v>1.0</v>
      </c>
      <c r="X25" s="19">
        <v>3.0</v>
      </c>
      <c r="Y25" s="19">
        <v>3.0</v>
      </c>
      <c r="Z25" s="19">
        <v>0.0</v>
      </c>
      <c r="AA25" s="19">
        <v>0.0</v>
      </c>
      <c r="AB25" s="19">
        <v>1.0</v>
      </c>
      <c r="AC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3.0</v>
      </c>
      <c r="G26" s="19">
        <v>1.0</v>
      </c>
      <c r="H26" s="19">
        <v>1.0</v>
      </c>
      <c r="I26" s="19">
        <v>0.0</v>
      </c>
      <c r="J26" s="19">
        <v>0.0</v>
      </c>
      <c r="K26" s="19">
        <v>2.0</v>
      </c>
      <c r="L26" s="19">
        <v>1.0</v>
      </c>
      <c r="M26" s="19">
        <v>1.0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1.0</v>
      </c>
      <c r="V26" s="19">
        <v>0.0</v>
      </c>
      <c r="W26" s="19">
        <v>1.0</v>
      </c>
      <c r="X26" s="19">
        <v>2.0</v>
      </c>
      <c r="Y26" s="19">
        <v>2.0</v>
      </c>
      <c r="Z26" s="19">
        <v>0.0</v>
      </c>
      <c r="AA26" s="19">
        <v>0.0</v>
      </c>
      <c r="AB26" s="19">
        <v>1.0</v>
      </c>
      <c r="AC26" s="13">
        <f t="shared" si="3"/>
        <v>17</v>
      </c>
    </row>
    <row r="27" ht="12.75" customHeight="1">
      <c r="A27" s="35"/>
      <c r="B27" s="28"/>
      <c r="C27" s="36"/>
      <c r="D27" s="13" t="s">
        <v>14</v>
      </c>
      <c r="E27" s="13">
        <f t="shared" ref="E27:AB27" si="6">SUM(E25:E26)</f>
        <v>1</v>
      </c>
      <c r="F27" s="13">
        <f t="shared" si="6"/>
        <v>4</v>
      </c>
      <c r="G27" s="13">
        <f t="shared" si="6"/>
        <v>1</v>
      </c>
      <c r="H27" s="13">
        <f t="shared" si="6"/>
        <v>1</v>
      </c>
      <c r="I27" s="13">
        <f t="shared" si="6"/>
        <v>1</v>
      </c>
      <c r="J27" s="13">
        <f t="shared" si="6"/>
        <v>0</v>
      </c>
      <c r="K27" s="13">
        <f t="shared" si="6"/>
        <v>3</v>
      </c>
      <c r="L27" s="13">
        <f t="shared" si="6"/>
        <v>2</v>
      </c>
      <c r="M27" s="13">
        <f t="shared" si="6"/>
        <v>1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1</v>
      </c>
      <c r="V27" s="13">
        <f t="shared" si="6"/>
        <v>3</v>
      </c>
      <c r="W27" s="13">
        <f t="shared" si="6"/>
        <v>2</v>
      </c>
      <c r="X27" s="13">
        <f t="shared" si="6"/>
        <v>5</v>
      </c>
      <c r="Y27" s="13">
        <f t="shared" si="6"/>
        <v>5</v>
      </c>
      <c r="Z27" s="13">
        <f t="shared" si="6"/>
        <v>0</v>
      </c>
      <c r="AA27" s="13">
        <f t="shared" si="6"/>
        <v>0</v>
      </c>
      <c r="AB27" s="13">
        <f t="shared" si="6"/>
        <v>2</v>
      </c>
      <c r="AC27" s="13">
        <f t="shared" si="3"/>
        <v>32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B28" si="7">SUM(E19,E22,E25)</f>
        <v>63</v>
      </c>
      <c r="F28" s="13">
        <f t="shared" si="7"/>
        <v>89</v>
      </c>
      <c r="G28" s="13">
        <f t="shared" si="7"/>
        <v>101</v>
      </c>
      <c r="H28" s="13">
        <f t="shared" si="7"/>
        <v>80</v>
      </c>
      <c r="I28" s="13">
        <f t="shared" si="7"/>
        <v>105</v>
      </c>
      <c r="J28" s="13">
        <f t="shared" si="7"/>
        <v>117</v>
      </c>
      <c r="K28" s="13">
        <f t="shared" si="7"/>
        <v>118</v>
      </c>
      <c r="L28" s="13">
        <f t="shared" si="7"/>
        <v>125</v>
      </c>
      <c r="M28" s="13">
        <f t="shared" si="7"/>
        <v>97</v>
      </c>
      <c r="N28" s="13">
        <f t="shared" si="7"/>
        <v>98</v>
      </c>
      <c r="O28" s="13">
        <f t="shared" si="7"/>
        <v>106</v>
      </c>
      <c r="P28" s="13">
        <f t="shared" si="7"/>
        <v>124</v>
      </c>
      <c r="Q28" s="13">
        <f t="shared" si="7"/>
        <v>112</v>
      </c>
      <c r="R28" s="13">
        <f t="shared" si="7"/>
        <v>115</v>
      </c>
      <c r="S28" s="13">
        <f t="shared" si="7"/>
        <v>94</v>
      </c>
      <c r="T28" s="13">
        <f t="shared" si="7"/>
        <v>122</v>
      </c>
      <c r="U28" s="13">
        <f t="shared" si="7"/>
        <v>120</v>
      </c>
      <c r="V28" s="13">
        <f t="shared" si="7"/>
        <v>126</v>
      </c>
      <c r="W28" s="13">
        <f t="shared" si="7"/>
        <v>113</v>
      </c>
      <c r="X28" s="13">
        <f t="shared" si="7"/>
        <v>117</v>
      </c>
      <c r="Y28" s="13">
        <f t="shared" si="7"/>
        <v>108</v>
      </c>
      <c r="Z28" s="13">
        <f t="shared" si="7"/>
        <v>87</v>
      </c>
      <c r="AA28" s="13">
        <f t="shared" si="7"/>
        <v>100</v>
      </c>
      <c r="AB28" s="13">
        <f t="shared" si="7"/>
        <v>98</v>
      </c>
      <c r="AC28" s="13">
        <f t="shared" si="3"/>
        <v>2535</v>
      </c>
    </row>
    <row r="29" ht="12.75" customHeight="1">
      <c r="A29" s="35"/>
      <c r="B29" s="27"/>
      <c r="C29" s="34"/>
      <c r="D29" s="13" t="s">
        <v>13</v>
      </c>
      <c r="E29" s="13">
        <f t="shared" ref="E29:AB29" si="8">SUM(E20,E23,E26)</f>
        <v>75</v>
      </c>
      <c r="F29" s="13">
        <f t="shared" si="8"/>
        <v>107</v>
      </c>
      <c r="G29" s="13">
        <f t="shared" si="8"/>
        <v>120</v>
      </c>
      <c r="H29" s="13">
        <f t="shared" si="8"/>
        <v>98</v>
      </c>
      <c r="I29" s="13">
        <f t="shared" si="8"/>
        <v>134</v>
      </c>
      <c r="J29" s="13">
        <f t="shared" si="8"/>
        <v>129</v>
      </c>
      <c r="K29" s="13">
        <f t="shared" si="8"/>
        <v>131</v>
      </c>
      <c r="L29" s="13">
        <f t="shared" si="8"/>
        <v>128</v>
      </c>
      <c r="M29" s="13">
        <f t="shared" si="8"/>
        <v>108</v>
      </c>
      <c r="N29" s="13">
        <f t="shared" si="8"/>
        <v>106</v>
      </c>
      <c r="O29" s="13">
        <f t="shared" si="8"/>
        <v>122</v>
      </c>
      <c r="P29" s="13">
        <f t="shared" si="8"/>
        <v>125</v>
      </c>
      <c r="Q29" s="13">
        <f t="shared" si="8"/>
        <v>118</v>
      </c>
      <c r="R29" s="13">
        <f t="shared" si="8"/>
        <v>123</v>
      </c>
      <c r="S29" s="13">
        <f t="shared" si="8"/>
        <v>95</v>
      </c>
      <c r="T29" s="13">
        <f t="shared" si="8"/>
        <v>122</v>
      </c>
      <c r="U29" s="13">
        <f t="shared" si="8"/>
        <v>122</v>
      </c>
      <c r="V29" s="13">
        <f t="shared" si="8"/>
        <v>120</v>
      </c>
      <c r="W29" s="13">
        <f t="shared" si="8"/>
        <v>124</v>
      </c>
      <c r="X29" s="13">
        <f t="shared" si="8"/>
        <v>110</v>
      </c>
      <c r="Y29" s="13">
        <f t="shared" si="8"/>
        <v>109</v>
      </c>
      <c r="Z29" s="13">
        <f t="shared" si="8"/>
        <v>89</v>
      </c>
      <c r="AA29" s="13">
        <f t="shared" si="8"/>
        <v>119</v>
      </c>
      <c r="AB29" s="13">
        <f t="shared" si="8"/>
        <v>98</v>
      </c>
      <c r="AC29" s="13">
        <f t="shared" si="3"/>
        <v>2732</v>
      </c>
    </row>
    <row r="30" ht="12.75" customHeight="1">
      <c r="A30" s="35"/>
      <c r="B30" s="28"/>
      <c r="C30" s="36"/>
      <c r="D30" s="13" t="s">
        <v>14</v>
      </c>
      <c r="E30" s="13">
        <f t="shared" ref="E30:AB30" si="9">SUM(E28:E29)</f>
        <v>138</v>
      </c>
      <c r="F30" s="13">
        <f t="shared" si="9"/>
        <v>196</v>
      </c>
      <c r="G30" s="13">
        <f t="shared" si="9"/>
        <v>221</v>
      </c>
      <c r="H30" s="13">
        <f t="shared" si="9"/>
        <v>178</v>
      </c>
      <c r="I30" s="13">
        <f t="shared" si="9"/>
        <v>239</v>
      </c>
      <c r="J30" s="13">
        <f t="shared" si="9"/>
        <v>246</v>
      </c>
      <c r="K30" s="13">
        <f t="shared" si="9"/>
        <v>249</v>
      </c>
      <c r="L30" s="13">
        <f t="shared" si="9"/>
        <v>253</v>
      </c>
      <c r="M30" s="13">
        <f t="shared" si="9"/>
        <v>205</v>
      </c>
      <c r="N30" s="13">
        <f t="shared" si="9"/>
        <v>204</v>
      </c>
      <c r="O30" s="13">
        <f t="shared" si="9"/>
        <v>228</v>
      </c>
      <c r="P30" s="13">
        <f t="shared" si="9"/>
        <v>249</v>
      </c>
      <c r="Q30" s="13">
        <f t="shared" si="9"/>
        <v>230</v>
      </c>
      <c r="R30" s="13">
        <f t="shared" si="9"/>
        <v>238</v>
      </c>
      <c r="S30" s="13">
        <f t="shared" si="9"/>
        <v>189</v>
      </c>
      <c r="T30" s="13">
        <f t="shared" si="9"/>
        <v>244</v>
      </c>
      <c r="U30" s="13">
        <f t="shared" si="9"/>
        <v>242</v>
      </c>
      <c r="V30" s="13">
        <f t="shared" si="9"/>
        <v>246</v>
      </c>
      <c r="W30" s="13">
        <f t="shared" si="9"/>
        <v>237</v>
      </c>
      <c r="X30" s="13">
        <f t="shared" si="9"/>
        <v>227</v>
      </c>
      <c r="Y30" s="13">
        <f t="shared" si="9"/>
        <v>217</v>
      </c>
      <c r="Z30" s="13">
        <f t="shared" si="9"/>
        <v>176</v>
      </c>
      <c r="AA30" s="13">
        <f t="shared" si="9"/>
        <v>219</v>
      </c>
      <c r="AB30" s="13">
        <f t="shared" si="9"/>
        <v>196</v>
      </c>
      <c r="AC30" s="13">
        <f t="shared" si="3"/>
        <v>5267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7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0"/>
    </row>
    <row r="33" ht="12.75" customHeight="1">
      <c r="A33" s="19">
        <v>1.0</v>
      </c>
      <c r="B33" s="20" t="s">
        <v>27</v>
      </c>
      <c r="C33" s="15"/>
      <c r="D33" s="16"/>
      <c r="E33" s="19">
        <v>175.0</v>
      </c>
      <c r="F33" s="19">
        <v>236.0</v>
      </c>
      <c r="G33" s="19">
        <v>297.0</v>
      </c>
      <c r="H33" s="19">
        <v>235.0</v>
      </c>
      <c r="I33" s="19">
        <v>279.0</v>
      </c>
      <c r="J33" s="19">
        <v>303.0</v>
      </c>
      <c r="K33" s="19">
        <v>301.0</v>
      </c>
      <c r="L33" s="19">
        <v>297.0</v>
      </c>
      <c r="M33" s="19">
        <v>266.0</v>
      </c>
      <c r="N33" s="19">
        <v>252.0</v>
      </c>
      <c r="O33" s="19">
        <v>257.0</v>
      </c>
      <c r="P33" s="19">
        <v>300.0</v>
      </c>
      <c r="Q33" s="19">
        <v>294.0</v>
      </c>
      <c r="R33" s="19">
        <v>291.0</v>
      </c>
      <c r="S33" s="19">
        <v>204.0</v>
      </c>
      <c r="T33" s="19">
        <v>290.0</v>
      </c>
      <c r="U33" s="19">
        <v>287.0</v>
      </c>
      <c r="V33" s="19">
        <v>284.0</v>
      </c>
      <c r="W33" s="19">
        <v>261.0</v>
      </c>
      <c r="X33" s="19">
        <v>272.0</v>
      </c>
      <c r="Y33" s="19">
        <v>257.0</v>
      </c>
      <c r="Z33" s="19">
        <v>221.0</v>
      </c>
      <c r="AA33" s="19">
        <v>261.0</v>
      </c>
      <c r="AB33" s="19">
        <v>255.0</v>
      </c>
      <c r="AC33" s="13">
        <f t="shared" ref="AC33:AC36" si="10">SUM(E33:AB33)</f>
        <v>6375</v>
      </c>
    </row>
    <row r="34" ht="12.75" customHeight="1">
      <c r="A34" s="19">
        <v>2.0</v>
      </c>
      <c r="B34" s="20" t="s">
        <v>28</v>
      </c>
      <c r="C34" s="15"/>
      <c r="D34" s="16"/>
      <c r="E34" s="13">
        <v>138.0</v>
      </c>
      <c r="F34" s="13">
        <v>196.0</v>
      </c>
      <c r="G34" s="13">
        <v>221.0</v>
      </c>
      <c r="H34" s="13">
        <v>178.0</v>
      </c>
      <c r="I34" s="13">
        <v>239.0</v>
      </c>
      <c r="J34" s="13">
        <v>246.0</v>
      </c>
      <c r="K34" s="13">
        <v>249.0</v>
      </c>
      <c r="L34" s="13">
        <v>253.0</v>
      </c>
      <c r="M34" s="13">
        <v>205.0</v>
      </c>
      <c r="N34" s="13">
        <v>204.0</v>
      </c>
      <c r="O34" s="13">
        <v>228.0</v>
      </c>
      <c r="P34" s="13">
        <v>249.0</v>
      </c>
      <c r="Q34" s="13">
        <v>230.0</v>
      </c>
      <c r="R34" s="13">
        <v>238.0</v>
      </c>
      <c r="S34" s="13">
        <v>189.0</v>
      </c>
      <c r="T34" s="13">
        <v>244.0</v>
      </c>
      <c r="U34" s="13">
        <v>242.0</v>
      </c>
      <c r="V34" s="13">
        <v>246.0</v>
      </c>
      <c r="W34" s="13">
        <v>237.0</v>
      </c>
      <c r="X34" s="13">
        <v>227.0</v>
      </c>
      <c r="Y34" s="13">
        <v>217.0</v>
      </c>
      <c r="Z34" s="13">
        <v>176.0</v>
      </c>
      <c r="AA34" s="13">
        <v>219.0</v>
      </c>
      <c r="AB34" s="13">
        <v>196.0</v>
      </c>
      <c r="AC34" s="13">
        <f t="shared" si="10"/>
        <v>5267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>
        <v>1.0</v>
      </c>
      <c r="J35" s="19"/>
      <c r="K35" s="19"/>
      <c r="L35" s="19">
        <v>2.0</v>
      </c>
      <c r="M35" s="19"/>
      <c r="N35" s="19"/>
      <c r="O35" s="19"/>
      <c r="P35" s="19"/>
      <c r="Q35" s="19"/>
      <c r="R35" s="19"/>
      <c r="S35" s="19"/>
      <c r="T35" s="19">
        <v>2.0</v>
      </c>
      <c r="U35" s="19">
        <v>2.0</v>
      </c>
      <c r="V35" s="19"/>
      <c r="W35" s="19">
        <v>1.0</v>
      </c>
      <c r="X35" s="19">
        <v>1.0</v>
      </c>
      <c r="Y35" s="19">
        <v>1.0</v>
      </c>
      <c r="Z35" s="19"/>
      <c r="AA35" s="19"/>
      <c r="AB35" s="19">
        <v>1.0</v>
      </c>
      <c r="AC35" s="13">
        <f t="shared" si="10"/>
        <v>11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B36" si="11">E33-(E34+E35)</f>
        <v>37</v>
      </c>
      <c r="F36" s="13">
        <f t="shared" si="11"/>
        <v>40</v>
      </c>
      <c r="G36" s="13">
        <f t="shared" si="11"/>
        <v>76</v>
      </c>
      <c r="H36" s="13">
        <f t="shared" si="11"/>
        <v>57</v>
      </c>
      <c r="I36" s="13">
        <f t="shared" si="11"/>
        <v>39</v>
      </c>
      <c r="J36" s="13">
        <f t="shared" si="11"/>
        <v>57</v>
      </c>
      <c r="K36" s="13">
        <f t="shared" si="11"/>
        <v>52</v>
      </c>
      <c r="L36" s="13">
        <f t="shared" si="11"/>
        <v>42</v>
      </c>
      <c r="M36" s="13">
        <f t="shared" si="11"/>
        <v>61</v>
      </c>
      <c r="N36" s="13">
        <f t="shared" si="11"/>
        <v>48</v>
      </c>
      <c r="O36" s="13">
        <f t="shared" si="11"/>
        <v>29</v>
      </c>
      <c r="P36" s="13">
        <f t="shared" si="11"/>
        <v>51</v>
      </c>
      <c r="Q36" s="13">
        <f t="shared" si="11"/>
        <v>64</v>
      </c>
      <c r="R36" s="13">
        <f t="shared" si="11"/>
        <v>53</v>
      </c>
      <c r="S36" s="13">
        <f t="shared" si="11"/>
        <v>15</v>
      </c>
      <c r="T36" s="13">
        <f t="shared" si="11"/>
        <v>44</v>
      </c>
      <c r="U36" s="13">
        <f t="shared" si="11"/>
        <v>43</v>
      </c>
      <c r="V36" s="13">
        <f t="shared" si="11"/>
        <v>38</v>
      </c>
      <c r="W36" s="13">
        <f t="shared" si="11"/>
        <v>23</v>
      </c>
      <c r="X36" s="13">
        <f t="shared" si="11"/>
        <v>44</v>
      </c>
      <c r="Y36" s="13">
        <f t="shared" si="11"/>
        <v>39</v>
      </c>
      <c r="Z36" s="13">
        <f t="shared" si="11"/>
        <v>45</v>
      </c>
      <c r="AA36" s="13">
        <f t="shared" si="11"/>
        <v>42</v>
      </c>
      <c r="AB36" s="13">
        <f t="shared" si="11"/>
        <v>58</v>
      </c>
      <c r="AC36" s="13">
        <f t="shared" si="10"/>
        <v>1097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9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0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>
        <v>1.0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>
        <v>1.0</v>
      </c>
      <c r="X39" s="19"/>
      <c r="Y39" s="19"/>
      <c r="Z39" s="19"/>
      <c r="AA39" s="19">
        <v>2.0</v>
      </c>
      <c r="AB39" s="19">
        <v>1.0</v>
      </c>
      <c r="AC39" s="13">
        <f t="shared" ref="AC39:AC41" si="12">SUM(E39:AB39)</f>
        <v>5</v>
      </c>
    </row>
    <row r="40" ht="12.75" customHeight="1">
      <c r="A40" s="33"/>
      <c r="C40" s="27"/>
      <c r="D40" s="19" t="s">
        <v>13</v>
      </c>
      <c r="E40" s="19">
        <v>1.0</v>
      </c>
      <c r="F40" s="19"/>
      <c r="G40" s="19"/>
      <c r="H40" s="19"/>
      <c r="I40" s="19"/>
      <c r="J40" s="19"/>
      <c r="K40" s="19"/>
      <c r="L40" s="19"/>
      <c r="M40" s="19">
        <v>1.0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>
        <v>2.0</v>
      </c>
      <c r="AB40" s="19"/>
      <c r="AC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B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4</v>
      </c>
      <c r="AB41" s="13">
        <f t="shared" si="13"/>
        <v>1</v>
      </c>
      <c r="AC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9"/>
      <c r="O42" s="19"/>
      <c r="P42" s="69"/>
      <c r="Q42" s="19"/>
      <c r="R42" s="69"/>
      <c r="S42" s="19"/>
      <c r="T42" s="69"/>
      <c r="U42" s="19"/>
      <c r="V42" s="69"/>
      <c r="W42" s="19"/>
      <c r="X42" s="69"/>
      <c r="Y42" s="69"/>
      <c r="Z42" s="19"/>
      <c r="AA42" s="69"/>
      <c r="AB42" s="19"/>
      <c r="AC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1"/>
      <c r="O43" s="13"/>
      <c r="P43" s="71"/>
      <c r="Q43" s="13"/>
      <c r="R43" s="71"/>
      <c r="S43" s="13"/>
      <c r="T43" s="71"/>
      <c r="U43" s="13"/>
      <c r="V43" s="71"/>
      <c r="W43" s="13"/>
      <c r="X43" s="71"/>
      <c r="Y43" s="71"/>
      <c r="Z43" s="13"/>
      <c r="AA43" s="71"/>
      <c r="AB43" s="13"/>
      <c r="AC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9"/>
      <c r="O44" s="19"/>
      <c r="P44" s="69"/>
      <c r="Q44" s="19"/>
      <c r="R44" s="69"/>
      <c r="S44" s="19"/>
      <c r="T44" s="69"/>
      <c r="U44" s="19"/>
      <c r="V44" s="69"/>
      <c r="W44" s="19"/>
      <c r="X44" s="69"/>
      <c r="Y44" s="69"/>
      <c r="Z44" s="19"/>
      <c r="AA44" s="69"/>
      <c r="AB44" s="19"/>
      <c r="AC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9.0</v>
      </c>
      <c r="F45" s="19">
        <v>11.0</v>
      </c>
      <c r="G45" s="19">
        <v>8.0</v>
      </c>
      <c r="H45" s="19">
        <v>7.0</v>
      </c>
      <c r="I45" s="19">
        <v>13.0</v>
      </c>
      <c r="J45" s="19">
        <v>13.0</v>
      </c>
      <c r="K45" s="19">
        <v>12.0</v>
      </c>
      <c r="L45" s="19">
        <v>8.0</v>
      </c>
      <c r="M45" s="19">
        <v>13.0</v>
      </c>
      <c r="N45" s="19">
        <v>25.0</v>
      </c>
      <c r="O45" s="19">
        <v>17.0</v>
      </c>
      <c r="P45" s="19">
        <v>1.0</v>
      </c>
      <c r="Q45" s="19">
        <v>13.0</v>
      </c>
      <c r="R45" s="19">
        <v>6.0</v>
      </c>
      <c r="S45" s="19">
        <v>11.0</v>
      </c>
      <c r="T45" s="19">
        <v>13.0</v>
      </c>
      <c r="U45" s="19">
        <v>5.0</v>
      </c>
      <c r="V45" s="19">
        <v>16.0</v>
      </c>
      <c r="W45" s="19">
        <v>16.0</v>
      </c>
      <c r="X45" s="19">
        <v>16.0</v>
      </c>
      <c r="Y45" s="19">
        <v>11.0</v>
      </c>
      <c r="Z45" s="19">
        <v>2.0</v>
      </c>
      <c r="AA45" s="19">
        <v>9.0</v>
      </c>
      <c r="AB45" s="19">
        <v>7.0</v>
      </c>
      <c r="AC45" s="13">
        <f t="shared" ref="AC45:AC52" si="14">SUM(E45:AB45)</f>
        <v>262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9.0</v>
      </c>
      <c r="F46" s="19">
        <v>22.0</v>
      </c>
      <c r="G46" s="19">
        <v>17.0</v>
      </c>
      <c r="H46" s="19">
        <v>3.0</v>
      </c>
      <c r="I46" s="19">
        <v>42.0</v>
      </c>
      <c r="J46" s="19">
        <v>14.0</v>
      </c>
      <c r="K46" s="19">
        <v>63.0</v>
      </c>
      <c r="L46" s="19">
        <v>20.0</v>
      </c>
      <c r="M46" s="19">
        <v>32.0</v>
      </c>
      <c r="N46" s="19">
        <v>29.0</v>
      </c>
      <c r="O46" s="19">
        <v>27.0</v>
      </c>
      <c r="P46" s="19">
        <v>4.0</v>
      </c>
      <c r="Q46" s="19">
        <v>5.0</v>
      </c>
      <c r="R46" s="19">
        <v>4.0</v>
      </c>
      <c r="S46" s="19">
        <v>3.0</v>
      </c>
      <c r="T46" s="19">
        <v>18.0</v>
      </c>
      <c r="U46" s="19">
        <v>13.0</v>
      </c>
      <c r="V46" s="19">
        <v>43.0</v>
      </c>
      <c r="W46" s="19">
        <v>16.0</v>
      </c>
      <c r="X46" s="19">
        <v>18.0</v>
      </c>
      <c r="Y46" s="19">
        <v>26.0</v>
      </c>
      <c r="Z46" s="19">
        <v>10.0</v>
      </c>
      <c r="AA46" s="19">
        <v>18.0</v>
      </c>
      <c r="AB46" s="19">
        <v>9.0</v>
      </c>
      <c r="AC46" s="13">
        <f t="shared" si="14"/>
        <v>465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1.0</v>
      </c>
      <c r="G47" s="19">
        <v>3.0</v>
      </c>
      <c r="H47" s="19">
        <v>1.0</v>
      </c>
      <c r="I47" s="19">
        <v>1.0</v>
      </c>
      <c r="J47" s="19">
        <v>3.0</v>
      </c>
      <c r="K47" s="19">
        <v>1.0</v>
      </c>
      <c r="L47" s="19">
        <v>1.0</v>
      </c>
      <c r="M47" s="19">
        <v>3.0</v>
      </c>
      <c r="N47" s="19">
        <v>4.0</v>
      </c>
      <c r="O47" s="19">
        <v>0.0</v>
      </c>
      <c r="P47" s="19">
        <v>1.0</v>
      </c>
      <c r="Q47" s="19">
        <v>0.0</v>
      </c>
      <c r="R47" s="19">
        <v>1.0</v>
      </c>
      <c r="S47" s="19">
        <v>0.0</v>
      </c>
      <c r="T47" s="19">
        <v>3.0</v>
      </c>
      <c r="U47" s="19">
        <v>0.0</v>
      </c>
      <c r="V47" s="19">
        <v>1.0</v>
      </c>
      <c r="W47" s="19">
        <v>26.0</v>
      </c>
      <c r="X47" s="19">
        <v>10.0</v>
      </c>
      <c r="Y47" s="19">
        <v>22.0</v>
      </c>
      <c r="Z47" s="19">
        <v>2.0</v>
      </c>
      <c r="AA47" s="19">
        <v>26.0</v>
      </c>
      <c r="AB47" s="19">
        <v>0.0</v>
      </c>
      <c r="AC47" s="13">
        <f t="shared" si="14"/>
        <v>110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2.0</v>
      </c>
      <c r="H48" s="19">
        <v>0.0</v>
      </c>
      <c r="I48" s="19">
        <v>1.0</v>
      </c>
      <c r="J48" s="19">
        <v>1.0</v>
      </c>
      <c r="K48" s="19">
        <v>1.0</v>
      </c>
      <c r="L48" s="19">
        <v>0.0</v>
      </c>
      <c r="M48" s="19">
        <v>0.0</v>
      </c>
      <c r="N48" s="19">
        <v>1.0</v>
      </c>
      <c r="O48" s="19">
        <v>0.0</v>
      </c>
      <c r="P48" s="19">
        <v>0.0</v>
      </c>
      <c r="Q48" s="19">
        <v>1.0</v>
      </c>
      <c r="R48" s="19">
        <v>0.0</v>
      </c>
      <c r="S48" s="19">
        <v>0.0</v>
      </c>
      <c r="T48" s="19">
        <v>1.0</v>
      </c>
      <c r="U48" s="19">
        <v>0.0</v>
      </c>
      <c r="V48" s="19">
        <v>1.0</v>
      </c>
      <c r="W48" s="19">
        <v>2.0</v>
      </c>
      <c r="X48" s="19">
        <v>2.0</v>
      </c>
      <c r="Y48" s="19">
        <v>0.0</v>
      </c>
      <c r="Z48" s="19">
        <v>0.0</v>
      </c>
      <c r="AA48" s="19">
        <v>0.0</v>
      </c>
      <c r="AB48" s="19">
        <v>1.0</v>
      </c>
      <c r="AC48" s="13">
        <f t="shared" si="14"/>
        <v>15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0.0</v>
      </c>
      <c r="G49" s="19">
        <v>1.0</v>
      </c>
      <c r="H49" s="19">
        <v>0.0</v>
      </c>
      <c r="I49" s="19">
        <v>1.0</v>
      </c>
      <c r="J49" s="19">
        <v>0.0</v>
      </c>
      <c r="K49" s="19">
        <v>0.0</v>
      </c>
      <c r="L49" s="19">
        <v>0.0</v>
      </c>
      <c r="M49" s="19">
        <v>0.0</v>
      </c>
      <c r="N49" s="19">
        <v>1.0</v>
      </c>
      <c r="O49" s="19">
        <v>1.0</v>
      </c>
      <c r="P49" s="19">
        <v>0.0</v>
      </c>
      <c r="Q49" s="19">
        <v>0.0</v>
      </c>
      <c r="R49" s="19">
        <v>0.0</v>
      </c>
      <c r="S49" s="19">
        <v>0.0</v>
      </c>
      <c r="T49" s="19">
        <v>0.0</v>
      </c>
      <c r="U49" s="19">
        <v>1.0</v>
      </c>
      <c r="V49" s="19">
        <v>2.0</v>
      </c>
      <c r="W49" s="19">
        <v>0.0</v>
      </c>
      <c r="X49" s="19">
        <v>0.0</v>
      </c>
      <c r="Y49" s="19">
        <v>0.0</v>
      </c>
      <c r="Z49" s="19">
        <v>0.0</v>
      </c>
      <c r="AA49" s="19">
        <v>1.0</v>
      </c>
      <c r="AB49" s="19">
        <v>0.0</v>
      </c>
      <c r="AC49" s="13">
        <f t="shared" si="14"/>
        <v>9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1.0</v>
      </c>
      <c r="L50" s="19">
        <v>0.0</v>
      </c>
      <c r="M50" s="19">
        <v>0.0</v>
      </c>
      <c r="N50" s="19">
        <v>0.0</v>
      </c>
      <c r="O50" s="19">
        <v>1.0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1.0</v>
      </c>
      <c r="V50" s="19">
        <v>2.0</v>
      </c>
      <c r="W50" s="19">
        <v>1.0</v>
      </c>
      <c r="X50" s="19">
        <v>1.0</v>
      </c>
      <c r="Y50" s="19">
        <v>1.0</v>
      </c>
      <c r="Z50" s="19">
        <v>0.0</v>
      </c>
      <c r="AA50" s="19">
        <v>0.0</v>
      </c>
      <c r="AB50" s="19">
        <v>0.0</v>
      </c>
      <c r="AC50" s="13">
        <f t="shared" si="14"/>
        <v>8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2.0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2.0</v>
      </c>
      <c r="X51" s="19">
        <v>0.0</v>
      </c>
      <c r="Y51" s="19">
        <v>2.0</v>
      </c>
      <c r="Z51" s="19">
        <v>0.0</v>
      </c>
      <c r="AA51" s="19">
        <v>0.0</v>
      </c>
      <c r="AB51" s="19">
        <v>0.0</v>
      </c>
      <c r="AC51" s="13">
        <f t="shared" si="14"/>
        <v>6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1.0</v>
      </c>
      <c r="Y52" s="19">
        <v>0.0</v>
      </c>
      <c r="Z52" s="19">
        <v>0.0</v>
      </c>
      <c r="AA52" s="19">
        <v>1.0</v>
      </c>
      <c r="AB52" s="19">
        <v>0.0</v>
      </c>
      <c r="AC52" s="13">
        <f t="shared" si="14"/>
        <v>3</v>
      </c>
    </row>
    <row r="53" ht="12.75" customHeight="1">
      <c r="A53" s="19" t="s">
        <v>15</v>
      </c>
      <c r="B53" s="47" t="s">
        <v>47</v>
      </c>
      <c r="C53" s="15"/>
      <c r="D53" s="16"/>
      <c r="E53" s="13">
        <f t="shared" ref="E53:AC53" si="15">SUM(E45:E52)</f>
        <v>21</v>
      </c>
      <c r="F53" s="13">
        <f t="shared" si="15"/>
        <v>34</v>
      </c>
      <c r="G53" s="13">
        <f t="shared" si="15"/>
        <v>31</v>
      </c>
      <c r="H53" s="13">
        <f t="shared" si="15"/>
        <v>11</v>
      </c>
      <c r="I53" s="13">
        <f t="shared" si="15"/>
        <v>58</v>
      </c>
      <c r="J53" s="13">
        <f t="shared" si="15"/>
        <v>31</v>
      </c>
      <c r="K53" s="13">
        <f t="shared" si="15"/>
        <v>78</v>
      </c>
      <c r="L53" s="13">
        <f t="shared" si="15"/>
        <v>31</v>
      </c>
      <c r="M53" s="13">
        <f t="shared" si="15"/>
        <v>48</v>
      </c>
      <c r="N53" s="13">
        <f t="shared" si="15"/>
        <v>60</v>
      </c>
      <c r="O53" s="13">
        <f t="shared" si="15"/>
        <v>46</v>
      </c>
      <c r="P53" s="13">
        <f t="shared" si="15"/>
        <v>6</v>
      </c>
      <c r="Q53" s="13">
        <f t="shared" si="15"/>
        <v>19</v>
      </c>
      <c r="R53" s="13">
        <f t="shared" si="15"/>
        <v>11</v>
      </c>
      <c r="S53" s="13">
        <f t="shared" si="15"/>
        <v>14</v>
      </c>
      <c r="T53" s="13">
        <f t="shared" si="15"/>
        <v>35</v>
      </c>
      <c r="U53" s="13">
        <f t="shared" si="15"/>
        <v>20</v>
      </c>
      <c r="V53" s="13">
        <f t="shared" si="15"/>
        <v>65</v>
      </c>
      <c r="W53" s="13">
        <f t="shared" si="15"/>
        <v>63</v>
      </c>
      <c r="X53" s="13">
        <f t="shared" si="15"/>
        <v>48</v>
      </c>
      <c r="Y53" s="13">
        <f t="shared" si="15"/>
        <v>62</v>
      </c>
      <c r="Z53" s="13">
        <f t="shared" si="15"/>
        <v>14</v>
      </c>
      <c r="AA53" s="13">
        <f t="shared" si="15"/>
        <v>55</v>
      </c>
      <c r="AB53" s="13">
        <f t="shared" si="15"/>
        <v>17</v>
      </c>
      <c r="AC53" s="13">
        <f t="shared" si="15"/>
        <v>878</v>
      </c>
    </row>
    <row r="54" ht="12.75" customHeight="1">
      <c r="A54" s="45"/>
      <c r="B54" s="44"/>
      <c r="C54" s="44"/>
      <c r="D54" s="44"/>
      <c r="E54" s="44"/>
      <c r="AC54" s="13"/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11.0</v>
      </c>
      <c r="F55" s="19">
        <v>6.0</v>
      </c>
      <c r="G55" s="19">
        <v>23.0</v>
      </c>
      <c r="H55" s="19">
        <v>11.0</v>
      </c>
      <c r="I55" s="19">
        <v>29.0</v>
      </c>
      <c r="J55" s="19">
        <v>9.0</v>
      </c>
      <c r="K55" s="19">
        <v>7.0</v>
      </c>
      <c r="L55" s="19">
        <v>8.0</v>
      </c>
      <c r="M55" s="19">
        <v>12.0</v>
      </c>
      <c r="N55" s="19">
        <v>1.0</v>
      </c>
      <c r="O55" s="19">
        <v>4.0</v>
      </c>
      <c r="P55" s="19">
        <v>8.0</v>
      </c>
      <c r="Q55" s="19">
        <v>16.0</v>
      </c>
      <c r="R55" s="19">
        <v>28.0</v>
      </c>
      <c r="S55" s="19">
        <v>16.0</v>
      </c>
      <c r="T55" s="19">
        <v>16.0</v>
      </c>
      <c r="U55" s="19">
        <v>8.0</v>
      </c>
      <c r="V55" s="19">
        <v>9.0</v>
      </c>
      <c r="W55" s="19">
        <v>13.0</v>
      </c>
      <c r="X55" s="19">
        <v>15.0</v>
      </c>
      <c r="Y55" s="19">
        <v>3.0</v>
      </c>
      <c r="Z55" s="19">
        <v>5.0</v>
      </c>
      <c r="AA55" s="19">
        <v>4.0</v>
      </c>
      <c r="AB55" s="19">
        <v>19.0</v>
      </c>
      <c r="AC55" s="13">
        <f t="shared" ref="AC55:AC62" si="16">SUM(E55:AB55)</f>
        <v>281</v>
      </c>
    </row>
    <row r="56" ht="12.75" customHeight="1">
      <c r="A56" s="30" t="s">
        <v>39</v>
      </c>
      <c r="B56" s="55">
        <v>1.0</v>
      </c>
      <c r="C56" s="50" t="s">
        <v>49</v>
      </c>
      <c r="D56" s="56"/>
      <c r="E56" s="19">
        <v>13.0</v>
      </c>
      <c r="F56" s="19">
        <v>20.0</v>
      </c>
      <c r="G56" s="19">
        <v>10.0</v>
      </c>
      <c r="H56" s="19">
        <v>10.0</v>
      </c>
      <c r="I56" s="19">
        <v>17.0</v>
      </c>
      <c r="J56" s="19">
        <v>15.0</v>
      </c>
      <c r="K56" s="19">
        <v>29.0</v>
      </c>
      <c r="L56" s="19">
        <v>13.0</v>
      </c>
      <c r="M56" s="19">
        <v>28.0</v>
      </c>
      <c r="N56" s="19">
        <v>19.0</v>
      </c>
      <c r="O56" s="19">
        <v>6.0</v>
      </c>
      <c r="P56" s="19">
        <v>4.0</v>
      </c>
      <c r="Q56" s="19">
        <v>12.0</v>
      </c>
      <c r="R56" s="19">
        <v>14.0</v>
      </c>
      <c r="S56" s="19">
        <v>21.0</v>
      </c>
      <c r="T56" s="19">
        <v>35.0</v>
      </c>
      <c r="U56" s="19">
        <v>55.0</v>
      </c>
      <c r="V56" s="19">
        <v>38.0</v>
      </c>
      <c r="W56" s="19">
        <v>13.0</v>
      </c>
      <c r="X56" s="19">
        <v>21.0</v>
      </c>
      <c r="Y56" s="19">
        <v>8.0</v>
      </c>
      <c r="Z56" s="19">
        <v>5.0</v>
      </c>
      <c r="AA56" s="19">
        <v>13.0</v>
      </c>
      <c r="AB56" s="19">
        <v>14.0</v>
      </c>
      <c r="AC56" s="13">
        <f t="shared" si="16"/>
        <v>433</v>
      </c>
    </row>
    <row r="57" ht="12.75" customHeight="1">
      <c r="A57" s="18"/>
      <c r="B57" s="55">
        <v>2.0</v>
      </c>
      <c r="C57" s="50" t="s">
        <v>50</v>
      </c>
      <c r="D57" s="56"/>
      <c r="E57" s="19">
        <v>1.0</v>
      </c>
      <c r="F57" s="19">
        <v>1.0</v>
      </c>
      <c r="G57" s="19">
        <v>5.0</v>
      </c>
      <c r="H57" s="19">
        <v>2.0</v>
      </c>
      <c r="I57" s="19">
        <v>2.0</v>
      </c>
      <c r="J57" s="19">
        <v>5.0</v>
      </c>
      <c r="K57" s="19">
        <v>5.0</v>
      </c>
      <c r="L57" s="19">
        <v>3.0</v>
      </c>
      <c r="M57" s="19">
        <v>5.0</v>
      </c>
      <c r="N57" s="19">
        <v>1.0</v>
      </c>
      <c r="O57" s="19">
        <v>4.0</v>
      </c>
      <c r="P57" s="19">
        <v>1.0</v>
      </c>
      <c r="Q57" s="19">
        <v>2.0</v>
      </c>
      <c r="R57" s="19">
        <v>4.0</v>
      </c>
      <c r="S57" s="19">
        <v>10.0</v>
      </c>
      <c r="T57" s="19">
        <v>7.0</v>
      </c>
      <c r="U57" s="19">
        <v>4.0</v>
      </c>
      <c r="V57" s="19">
        <v>4.0</v>
      </c>
      <c r="W57" s="19">
        <v>1.0</v>
      </c>
      <c r="X57" s="19">
        <v>3.0</v>
      </c>
      <c r="Y57" s="19">
        <v>3.0</v>
      </c>
      <c r="Z57" s="19">
        <v>1.0</v>
      </c>
      <c r="AA57" s="19">
        <v>4.0</v>
      </c>
      <c r="AB57" s="19">
        <v>2.0</v>
      </c>
      <c r="AC57" s="13">
        <f t="shared" si="16"/>
        <v>80</v>
      </c>
    </row>
    <row r="58" ht="12.75" customHeight="1">
      <c r="A58" s="18"/>
      <c r="B58" s="55">
        <v>3.0</v>
      </c>
      <c r="C58" s="50" t="s">
        <v>51</v>
      </c>
      <c r="D58" s="56"/>
      <c r="E58" s="19">
        <v>2.0</v>
      </c>
      <c r="F58" s="19">
        <v>1.0</v>
      </c>
      <c r="G58" s="19">
        <v>0.0</v>
      </c>
      <c r="H58" s="19">
        <v>1.0</v>
      </c>
      <c r="I58" s="19">
        <v>2.0</v>
      </c>
      <c r="J58" s="19">
        <v>0.0</v>
      </c>
      <c r="K58" s="19">
        <v>1.0</v>
      </c>
      <c r="L58" s="19">
        <v>0.0</v>
      </c>
      <c r="M58" s="19">
        <v>1.0</v>
      </c>
      <c r="N58" s="19">
        <v>1.0</v>
      </c>
      <c r="O58" s="19">
        <v>0.0</v>
      </c>
      <c r="P58" s="19">
        <v>0.0</v>
      </c>
      <c r="Q58" s="19">
        <v>0.0</v>
      </c>
      <c r="R58" s="19">
        <v>1.0</v>
      </c>
      <c r="S58" s="19">
        <v>0.0</v>
      </c>
      <c r="T58" s="19">
        <v>4.0</v>
      </c>
      <c r="U58" s="19">
        <v>6.0</v>
      </c>
      <c r="V58" s="19">
        <v>9.0</v>
      </c>
      <c r="W58" s="19">
        <v>1.0</v>
      </c>
      <c r="X58" s="19">
        <v>3.0</v>
      </c>
      <c r="Y58" s="19">
        <v>2.0</v>
      </c>
      <c r="Z58" s="19">
        <v>2.0</v>
      </c>
      <c r="AA58" s="19">
        <v>4.0</v>
      </c>
      <c r="AB58" s="19">
        <v>0.0</v>
      </c>
      <c r="AC58" s="13">
        <f t="shared" si="16"/>
        <v>41</v>
      </c>
    </row>
    <row r="59" ht="12.75" customHeight="1">
      <c r="A59" s="18"/>
      <c r="B59" s="55">
        <v>4.0</v>
      </c>
      <c r="C59" s="50" t="s">
        <v>52</v>
      </c>
      <c r="D59" s="56"/>
      <c r="E59" s="19">
        <v>1.0</v>
      </c>
      <c r="F59" s="19">
        <v>1.0</v>
      </c>
      <c r="G59" s="19">
        <v>1.0</v>
      </c>
      <c r="H59" s="19">
        <v>0.0</v>
      </c>
      <c r="I59" s="19">
        <v>2.0</v>
      </c>
      <c r="J59" s="19">
        <v>1.0</v>
      </c>
      <c r="K59" s="19">
        <v>3.0</v>
      </c>
      <c r="L59" s="19">
        <v>0.0</v>
      </c>
      <c r="M59" s="19">
        <v>1.0</v>
      </c>
      <c r="N59" s="19">
        <v>0.0</v>
      </c>
      <c r="O59" s="19">
        <v>1.0</v>
      </c>
      <c r="P59" s="19">
        <v>1.0</v>
      </c>
      <c r="Q59" s="19">
        <v>0.0</v>
      </c>
      <c r="R59" s="19">
        <v>0.0</v>
      </c>
      <c r="S59" s="19">
        <v>0.0</v>
      </c>
      <c r="T59" s="19">
        <v>1.0</v>
      </c>
      <c r="U59" s="19">
        <v>0.0</v>
      </c>
      <c r="V59" s="19">
        <v>2.0</v>
      </c>
      <c r="W59" s="19">
        <v>1.0</v>
      </c>
      <c r="X59" s="19">
        <v>3.0</v>
      </c>
      <c r="Y59" s="19">
        <v>0.0</v>
      </c>
      <c r="Z59" s="19">
        <v>1.0</v>
      </c>
      <c r="AA59" s="19">
        <v>1.0</v>
      </c>
      <c r="AB59" s="19">
        <v>8.0</v>
      </c>
      <c r="AC59" s="13">
        <f t="shared" si="16"/>
        <v>29</v>
      </c>
    </row>
    <row r="60" ht="12.75" customHeight="1">
      <c r="A60" s="18"/>
      <c r="B60" s="55">
        <v>5.0</v>
      </c>
      <c r="C60" s="50" t="s">
        <v>53</v>
      </c>
      <c r="D60" s="56"/>
      <c r="E60" s="19">
        <v>0.0</v>
      </c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  <c r="M60" s="19">
        <v>0.0</v>
      </c>
      <c r="N60" s="19">
        <v>0.0</v>
      </c>
      <c r="O60" s="19">
        <v>1.0</v>
      </c>
      <c r="P60" s="19">
        <v>0.0</v>
      </c>
      <c r="Q60" s="19">
        <v>0.0</v>
      </c>
      <c r="R60" s="19">
        <v>0.0</v>
      </c>
      <c r="S60" s="19">
        <v>1.0</v>
      </c>
      <c r="T60" s="19">
        <v>1.0</v>
      </c>
      <c r="U60" s="19">
        <v>0.0</v>
      </c>
      <c r="V60" s="19">
        <v>1.0</v>
      </c>
      <c r="W60" s="19">
        <v>1.0</v>
      </c>
      <c r="X60" s="19">
        <v>1.0</v>
      </c>
      <c r="Y60" s="19">
        <v>0.0</v>
      </c>
      <c r="Z60" s="19">
        <v>0.0</v>
      </c>
      <c r="AA60" s="19">
        <v>0.0</v>
      </c>
      <c r="AB60" s="19">
        <v>0.0</v>
      </c>
      <c r="AC60" s="13">
        <f t="shared" si="16"/>
        <v>6</v>
      </c>
    </row>
    <row r="61" ht="12.75" customHeight="1">
      <c r="A61" s="18"/>
      <c r="B61" s="55">
        <v>6.0</v>
      </c>
      <c r="C61" s="50" t="s">
        <v>54</v>
      </c>
      <c r="D61" s="57"/>
      <c r="E61" s="19">
        <v>1.0</v>
      </c>
      <c r="F61" s="19">
        <v>0.0</v>
      </c>
      <c r="G61" s="19">
        <v>2.0</v>
      </c>
      <c r="H61" s="19">
        <v>0.0</v>
      </c>
      <c r="I61" s="19">
        <v>1.0</v>
      </c>
      <c r="J61" s="19">
        <v>0.0</v>
      </c>
      <c r="K61" s="19">
        <v>0.0</v>
      </c>
      <c r="L61" s="19">
        <v>0.0</v>
      </c>
      <c r="M61" s="19">
        <v>0.0</v>
      </c>
      <c r="N61" s="19">
        <v>0.0</v>
      </c>
      <c r="O61" s="19">
        <v>0.0</v>
      </c>
      <c r="P61" s="19">
        <v>0.0</v>
      </c>
      <c r="Q61" s="19">
        <v>0.0</v>
      </c>
      <c r="R61" s="19">
        <v>2.0</v>
      </c>
      <c r="S61" s="19">
        <v>4.0</v>
      </c>
      <c r="T61" s="19">
        <v>2.0</v>
      </c>
      <c r="U61" s="19">
        <v>0.0</v>
      </c>
      <c r="V61" s="19">
        <v>1.0</v>
      </c>
      <c r="W61" s="19">
        <v>2.0</v>
      </c>
      <c r="X61" s="19">
        <v>0.0</v>
      </c>
      <c r="Y61" s="19">
        <v>0.0</v>
      </c>
      <c r="Z61" s="19">
        <v>1.0</v>
      </c>
      <c r="AA61" s="19">
        <v>0.0</v>
      </c>
      <c r="AB61" s="19">
        <v>0.0</v>
      </c>
      <c r="AC61" s="13">
        <f t="shared" si="16"/>
        <v>16</v>
      </c>
    </row>
    <row r="62" ht="12.75" customHeight="1">
      <c r="A62" s="18"/>
      <c r="B62" s="55">
        <v>7.0</v>
      </c>
      <c r="C62" s="50" t="s">
        <v>55</v>
      </c>
      <c r="D62" s="56"/>
      <c r="E62" s="19">
        <v>0.0</v>
      </c>
      <c r="F62" s="19">
        <v>1.0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1.0</v>
      </c>
      <c r="S62" s="19">
        <v>0.0</v>
      </c>
      <c r="T62" s="19">
        <v>0.0</v>
      </c>
      <c r="U62" s="19">
        <v>0.0</v>
      </c>
      <c r="V62" s="19">
        <v>1.0</v>
      </c>
      <c r="W62" s="19">
        <v>1.0</v>
      </c>
      <c r="X62" s="19">
        <v>0.0</v>
      </c>
      <c r="Y62" s="19">
        <v>0.0</v>
      </c>
      <c r="Z62" s="19">
        <v>12.0</v>
      </c>
      <c r="AA62" s="19">
        <v>3.0</v>
      </c>
      <c r="AB62" s="19">
        <v>1.0</v>
      </c>
      <c r="AC62" s="13">
        <f t="shared" si="16"/>
        <v>20</v>
      </c>
    </row>
    <row r="63" ht="12.75" customHeight="1">
      <c r="A63" s="19" t="s">
        <v>15</v>
      </c>
      <c r="B63" s="47" t="s">
        <v>47</v>
      </c>
      <c r="C63" s="15"/>
      <c r="D63" s="16"/>
      <c r="E63" s="13">
        <f t="shared" ref="E63:AC63" si="17">SUM(E55:E62)</f>
        <v>29</v>
      </c>
      <c r="F63" s="13">
        <f t="shared" si="17"/>
        <v>30</v>
      </c>
      <c r="G63" s="13">
        <f t="shared" si="17"/>
        <v>41</v>
      </c>
      <c r="H63" s="13">
        <f t="shared" si="17"/>
        <v>24</v>
      </c>
      <c r="I63" s="13">
        <f t="shared" si="17"/>
        <v>53</v>
      </c>
      <c r="J63" s="13">
        <f t="shared" si="17"/>
        <v>30</v>
      </c>
      <c r="K63" s="13">
        <f t="shared" si="17"/>
        <v>45</v>
      </c>
      <c r="L63" s="13">
        <f t="shared" si="17"/>
        <v>24</v>
      </c>
      <c r="M63" s="13">
        <f t="shared" si="17"/>
        <v>47</v>
      </c>
      <c r="N63" s="13">
        <f t="shared" si="17"/>
        <v>22</v>
      </c>
      <c r="O63" s="13">
        <f t="shared" si="17"/>
        <v>16</v>
      </c>
      <c r="P63" s="13">
        <f t="shared" si="17"/>
        <v>14</v>
      </c>
      <c r="Q63" s="13">
        <f t="shared" si="17"/>
        <v>30</v>
      </c>
      <c r="R63" s="13">
        <f t="shared" si="17"/>
        <v>50</v>
      </c>
      <c r="S63" s="13">
        <f t="shared" si="17"/>
        <v>52</v>
      </c>
      <c r="T63" s="13">
        <f t="shared" si="17"/>
        <v>66</v>
      </c>
      <c r="U63" s="13">
        <f t="shared" si="17"/>
        <v>73</v>
      </c>
      <c r="V63" s="13">
        <f t="shared" si="17"/>
        <v>65</v>
      </c>
      <c r="W63" s="13">
        <f t="shared" si="17"/>
        <v>33</v>
      </c>
      <c r="X63" s="13">
        <f t="shared" si="17"/>
        <v>46</v>
      </c>
      <c r="Y63" s="13">
        <f t="shared" si="17"/>
        <v>16</v>
      </c>
      <c r="Z63" s="13">
        <f t="shared" si="17"/>
        <v>27</v>
      </c>
      <c r="AA63" s="13">
        <f t="shared" si="17"/>
        <v>29</v>
      </c>
      <c r="AB63" s="13">
        <f t="shared" si="17"/>
        <v>44</v>
      </c>
      <c r="AC63" s="13">
        <f t="shared" si="17"/>
        <v>906</v>
      </c>
    </row>
    <row r="64" ht="12.75" customHeight="1">
      <c r="A64" s="45"/>
      <c r="B64" s="44"/>
      <c r="C64" s="44"/>
      <c r="D64" s="44"/>
      <c r="E64" s="44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6.0</v>
      </c>
      <c r="F65" s="19">
        <v>5.0</v>
      </c>
      <c r="G65" s="19">
        <v>4.0</v>
      </c>
      <c r="H65" s="19">
        <v>4.0</v>
      </c>
      <c r="I65" s="19">
        <v>10.0</v>
      </c>
      <c r="J65" s="19">
        <v>13.0</v>
      </c>
      <c r="K65" s="19">
        <v>2.0</v>
      </c>
      <c r="L65" s="19">
        <v>5.0</v>
      </c>
      <c r="M65" s="19">
        <v>7.0</v>
      </c>
      <c r="N65" s="19">
        <v>3.0</v>
      </c>
      <c r="O65" s="19">
        <v>9.0</v>
      </c>
      <c r="P65" s="19">
        <v>14.0</v>
      </c>
      <c r="Q65" s="19">
        <v>26.0</v>
      </c>
      <c r="R65" s="19">
        <v>13.0</v>
      </c>
      <c r="S65" s="19">
        <v>3.0</v>
      </c>
      <c r="T65" s="19">
        <v>6.0</v>
      </c>
      <c r="U65" s="19">
        <v>5.0</v>
      </c>
      <c r="V65" s="19">
        <v>7.0</v>
      </c>
      <c r="W65" s="19">
        <v>5.0</v>
      </c>
      <c r="X65" s="19">
        <v>6.0</v>
      </c>
      <c r="Y65" s="19">
        <v>5.0</v>
      </c>
      <c r="Z65" s="19">
        <v>8.0</v>
      </c>
      <c r="AA65" s="19">
        <v>2.0</v>
      </c>
      <c r="AB65" s="19">
        <v>4.0</v>
      </c>
      <c r="AC65" s="13">
        <f t="shared" ref="AC65:AC72" si="18">SUM(E65:AB65)</f>
        <v>172</v>
      </c>
    </row>
    <row r="66" ht="12.75" customHeight="1">
      <c r="A66" s="30" t="s">
        <v>39</v>
      </c>
      <c r="B66" s="55">
        <v>1.0</v>
      </c>
      <c r="C66" s="50" t="s">
        <v>57</v>
      </c>
      <c r="D66" s="57"/>
      <c r="E66" s="19">
        <v>4.0</v>
      </c>
      <c r="F66" s="19">
        <v>7.0</v>
      </c>
      <c r="G66" s="19">
        <v>4.0</v>
      </c>
      <c r="H66" s="19">
        <v>1.0</v>
      </c>
      <c r="I66" s="19">
        <v>13.0</v>
      </c>
      <c r="J66" s="19">
        <v>53.0</v>
      </c>
      <c r="K66" s="19">
        <v>4.0</v>
      </c>
      <c r="L66" s="19">
        <v>21.0</v>
      </c>
      <c r="M66" s="19">
        <v>4.0</v>
      </c>
      <c r="N66" s="19">
        <v>3.0</v>
      </c>
      <c r="O66" s="19">
        <v>2.0</v>
      </c>
      <c r="P66" s="19">
        <v>17.0</v>
      </c>
      <c r="Q66" s="19">
        <v>10.0</v>
      </c>
      <c r="R66" s="19">
        <v>7.0</v>
      </c>
      <c r="S66" s="19">
        <v>6.0</v>
      </c>
      <c r="T66" s="19">
        <v>33.0</v>
      </c>
      <c r="U66" s="19">
        <v>80.0</v>
      </c>
      <c r="V66" s="19">
        <v>45.0</v>
      </c>
      <c r="W66" s="19">
        <v>16.0</v>
      </c>
      <c r="X66" s="19">
        <v>23.0</v>
      </c>
      <c r="Y66" s="19">
        <v>15.0</v>
      </c>
      <c r="Z66" s="19">
        <v>17.0</v>
      </c>
      <c r="AA66" s="19">
        <v>10.0</v>
      </c>
      <c r="AB66" s="19">
        <v>14.0</v>
      </c>
      <c r="AC66" s="13">
        <f t="shared" si="18"/>
        <v>409</v>
      </c>
    </row>
    <row r="67" ht="12.75" customHeight="1">
      <c r="A67" s="18"/>
      <c r="B67" s="55">
        <v>2.0</v>
      </c>
      <c r="C67" s="50" t="s">
        <v>58</v>
      </c>
      <c r="D67" s="57"/>
      <c r="E67" s="19">
        <v>1.0</v>
      </c>
      <c r="F67" s="19">
        <v>4.0</v>
      </c>
      <c r="G67" s="19">
        <v>4.0</v>
      </c>
      <c r="H67" s="19">
        <v>1.0</v>
      </c>
      <c r="I67" s="19">
        <v>2.0</v>
      </c>
      <c r="J67" s="19">
        <v>14.0</v>
      </c>
      <c r="K67" s="19">
        <v>7.0</v>
      </c>
      <c r="L67" s="19">
        <v>1.0</v>
      </c>
      <c r="M67" s="19">
        <v>17.0</v>
      </c>
      <c r="N67" s="19">
        <v>6.0</v>
      </c>
      <c r="O67" s="19">
        <v>21.0</v>
      </c>
      <c r="P67" s="19">
        <v>114.0</v>
      </c>
      <c r="Q67" s="19">
        <v>46.0</v>
      </c>
      <c r="R67" s="19">
        <v>10.0</v>
      </c>
      <c r="S67" s="19">
        <v>2.0</v>
      </c>
      <c r="T67" s="19">
        <v>2.0</v>
      </c>
      <c r="U67" s="19">
        <v>1.0</v>
      </c>
      <c r="V67" s="19">
        <v>2.0</v>
      </c>
      <c r="W67" s="19">
        <v>8.0</v>
      </c>
      <c r="X67" s="19">
        <v>1.0</v>
      </c>
      <c r="Y67" s="19">
        <v>6.0</v>
      </c>
      <c r="Z67" s="19">
        <v>5.0</v>
      </c>
      <c r="AA67" s="19">
        <v>6.0</v>
      </c>
      <c r="AB67" s="19">
        <v>4.0</v>
      </c>
      <c r="AC67" s="13">
        <f t="shared" si="18"/>
        <v>285</v>
      </c>
    </row>
    <row r="68" ht="12.75" customHeight="1">
      <c r="A68" s="18"/>
      <c r="B68" s="55">
        <v>3.0</v>
      </c>
      <c r="C68" s="50" t="s">
        <v>59</v>
      </c>
      <c r="D68" s="57"/>
      <c r="E68" s="19">
        <v>2.0</v>
      </c>
      <c r="F68" s="19">
        <v>3.0</v>
      </c>
      <c r="G68" s="19">
        <v>3.0</v>
      </c>
      <c r="H68" s="19">
        <v>2.0</v>
      </c>
      <c r="I68" s="19">
        <v>1.0</v>
      </c>
      <c r="J68" s="19">
        <v>2.0</v>
      </c>
      <c r="K68" s="19">
        <v>7.0</v>
      </c>
      <c r="L68" s="19">
        <v>3.0</v>
      </c>
      <c r="M68" s="19">
        <v>3.0</v>
      </c>
      <c r="N68" s="19">
        <v>2.0</v>
      </c>
      <c r="O68" s="19">
        <v>3.0</v>
      </c>
      <c r="P68" s="19">
        <v>4.0</v>
      </c>
      <c r="Q68" s="19">
        <v>8.0</v>
      </c>
      <c r="R68" s="19">
        <v>2.0</v>
      </c>
      <c r="S68" s="19">
        <v>0.0</v>
      </c>
      <c r="T68" s="19">
        <v>1.0</v>
      </c>
      <c r="U68" s="19">
        <v>0.0</v>
      </c>
      <c r="V68" s="19">
        <v>7.0</v>
      </c>
      <c r="W68" s="19">
        <v>4.0</v>
      </c>
      <c r="X68" s="19">
        <v>0.0</v>
      </c>
      <c r="Y68" s="19">
        <v>1.0</v>
      </c>
      <c r="Z68" s="19">
        <v>2.0</v>
      </c>
      <c r="AA68" s="19">
        <v>3.0</v>
      </c>
      <c r="AB68" s="19">
        <v>1.0</v>
      </c>
      <c r="AC68" s="13">
        <f t="shared" si="18"/>
        <v>64</v>
      </c>
    </row>
    <row r="69" ht="12.75" customHeight="1">
      <c r="A69" s="18"/>
      <c r="B69" s="55">
        <v>4.0</v>
      </c>
      <c r="C69" s="50" t="s">
        <v>60</v>
      </c>
      <c r="D69" s="57"/>
      <c r="E69" s="19">
        <v>0.0</v>
      </c>
      <c r="F69" s="19">
        <v>0.0</v>
      </c>
      <c r="G69" s="19">
        <v>0.0</v>
      </c>
      <c r="H69" s="19">
        <v>0.0</v>
      </c>
      <c r="I69" s="19">
        <v>0.0</v>
      </c>
      <c r="J69" s="19">
        <v>2.0</v>
      </c>
      <c r="K69" s="19">
        <v>4.0</v>
      </c>
      <c r="L69" s="19">
        <v>0.0</v>
      </c>
      <c r="M69" s="19">
        <v>0.0</v>
      </c>
      <c r="N69" s="19">
        <v>3.0</v>
      </c>
      <c r="O69" s="19">
        <v>2.0</v>
      </c>
      <c r="P69" s="19">
        <v>6.0</v>
      </c>
      <c r="Q69" s="19">
        <v>5.0</v>
      </c>
      <c r="R69" s="19">
        <v>2.0</v>
      </c>
      <c r="S69" s="19">
        <v>2.0</v>
      </c>
      <c r="T69" s="19">
        <v>0.0</v>
      </c>
      <c r="U69" s="19">
        <v>1.0</v>
      </c>
      <c r="V69" s="19">
        <v>0.0</v>
      </c>
      <c r="W69" s="19">
        <v>1.0</v>
      </c>
      <c r="X69" s="19">
        <v>0.0</v>
      </c>
      <c r="Y69" s="19">
        <v>0.0</v>
      </c>
      <c r="Z69" s="19">
        <v>0.0</v>
      </c>
      <c r="AA69" s="19">
        <v>1.0</v>
      </c>
      <c r="AB69" s="19">
        <v>0.0</v>
      </c>
      <c r="AC69" s="13">
        <f t="shared" si="18"/>
        <v>29</v>
      </c>
    </row>
    <row r="70" ht="12.75" customHeight="1">
      <c r="A70" s="18"/>
      <c r="B70" s="55">
        <v>5.0</v>
      </c>
      <c r="C70" s="50" t="s">
        <v>61</v>
      </c>
      <c r="D70" s="57"/>
      <c r="E70" s="19">
        <v>11.0</v>
      </c>
      <c r="F70" s="19">
        <v>8.0</v>
      </c>
      <c r="G70" s="19">
        <v>25.0</v>
      </c>
      <c r="H70" s="19">
        <v>16.0</v>
      </c>
      <c r="I70" s="19">
        <v>22.0</v>
      </c>
      <c r="J70" s="19">
        <v>5.0</v>
      </c>
      <c r="K70" s="19">
        <v>1.0</v>
      </c>
      <c r="L70" s="19">
        <v>2.0</v>
      </c>
      <c r="M70" s="19">
        <v>2.0</v>
      </c>
      <c r="N70" s="19">
        <v>0.0</v>
      </c>
      <c r="O70" s="19">
        <v>3.0</v>
      </c>
      <c r="P70" s="19">
        <v>3.0</v>
      </c>
      <c r="Q70" s="19">
        <v>13.0</v>
      </c>
      <c r="R70" s="19">
        <v>3.0</v>
      </c>
      <c r="S70" s="19">
        <v>1.0</v>
      </c>
      <c r="T70" s="19">
        <v>1.0</v>
      </c>
      <c r="U70" s="19">
        <v>1.0</v>
      </c>
      <c r="V70" s="19">
        <v>0.0</v>
      </c>
      <c r="W70" s="19">
        <v>3.0</v>
      </c>
      <c r="X70" s="19">
        <v>3.0</v>
      </c>
      <c r="Y70" s="19">
        <v>3.0</v>
      </c>
      <c r="Z70" s="19">
        <v>2.0</v>
      </c>
      <c r="AA70" s="19">
        <v>0.0</v>
      </c>
      <c r="AB70" s="19">
        <v>3.0</v>
      </c>
      <c r="AC70" s="13">
        <f t="shared" si="18"/>
        <v>131</v>
      </c>
    </row>
    <row r="71" ht="12.75" customHeight="1">
      <c r="A71" s="18"/>
      <c r="B71" s="55">
        <v>6.0</v>
      </c>
      <c r="C71" s="50" t="s">
        <v>62</v>
      </c>
      <c r="D71" s="57"/>
      <c r="E71" s="19">
        <v>0.0</v>
      </c>
      <c r="F71" s="19">
        <v>0.0</v>
      </c>
      <c r="G71" s="19">
        <v>0.0</v>
      </c>
      <c r="H71" s="19">
        <v>0.0</v>
      </c>
      <c r="I71" s="19">
        <v>0.0</v>
      </c>
      <c r="J71" s="19">
        <v>0.0</v>
      </c>
      <c r="K71" s="19">
        <v>1.0</v>
      </c>
      <c r="L71" s="19">
        <v>0.0</v>
      </c>
      <c r="M71" s="19">
        <v>0.0</v>
      </c>
      <c r="N71" s="19">
        <v>0.0</v>
      </c>
      <c r="O71" s="19">
        <v>0.0</v>
      </c>
      <c r="P71" s="19">
        <v>0.0</v>
      </c>
      <c r="Q71" s="19">
        <v>0.0</v>
      </c>
      <c r="R71" s="19">
        <v>0.0</v>
      </c>
      <c r="S71" s="19">
        <v>1.0</v>
      </c>
      <c r="T71" s="19">
        <v>0.0</v>
      </c>
      <c r="U71" s="19">
        <v>1.0</v>
      </c>
      <c r="V71" s="19">
        <v>0.0</v>
      </c>
      <c r="W71" s="19">
        <v>0.0</v>
      </c>
      <c r="X71" s="19">
        <v>0.0</v>
      </c>
      <c r="Y71" s="19">
        <v>0.0</v>
      </c>
      <c r="Z71" s="19">
        <v>0.0</v>
      </c>
      <c r="AA71" s="19">
        <v>0.0</v>
      </c>
      <c r="AB71" s="19">
        <v>0.0</v>
      </c>
      <c r="AC71" s="13">
        <f t="shared" si="18"/>
        <v>3</v>
      </c>
    </row>
    <row r="72" ht="12.75" customHeight="1">
      <c r="A72" s="18"/>
      <c r="B72" s="55">
        <v>7.0</v>
      </c>
      <c r="C72" s="50" t="s">
        <v>63</v>
      </c>
      <c r="D72" s="57"/>
      <c r="E72" s="19">
        <v>0.0</v>
      </c>
      <c r="F72" s="19">
        <v>0.0</v>
      </c>
      <c r="G72" s="19">
        <v>0.0</v>
      </c>
      <c r="H72" s="19">
        <v>0.0</v>
      </c>
      <c r="I72" s="19">
        <v>0.0</v>
      </c>
      <c r="J72" s="19">
        <v>2.0</v>
      </c>
      <c r="K72" s="19">
        <v>0.0</v>
      </c>
      <c r="L72" s="19">
        <v>0.0</v>
      </c>
      <c r="M72" s="19">
        <v>0.0</v>
      </c>
      <c r="N72" s="19">
        <v>1.0</v>
      </c>
      <c r="O72" s="19">
        <v>1.0</v>
      </c>
      <c r="P72" s="19">
        <v>0.0</v>
      </c>
      <c r="Q72" s="19">
        <v>0.0</v>
      </c>
      <c r="R72" s="19">
        <v>0.0</v>
      </c>
      <c r="S72" s="19">
        <v>0.0</v>
      </c>
      <c r="T72" s="19">
        <v>0.0</v>
      </c>
      <c r="U72" s="19">
        <v>1.0</v>
      </c>
      <c r="V72" s="19">
        <v>2.0</v>
      </c>
      <c r="W72" s="19">
        <v>0.0</v>
      </c>
      <c r="X72" s="19">
        <v>0.0</v>
      </c>
      <c r="Y72" s="19">
        <v>0.0</v>
      </c>
      <c r="Z72" s="19">
        <v>0.0</v>
      </c>
      <c r="AA72" s="19">
        <v>1.0</v>
      </c>
      <c r="AB72" s="19">
        <v>0.0</v>
      </c>
      <c r="AC72" s="13">
        <f t="shared" si="18"/>
        <v>8</v>
      </c>
    </row>
    <row r="73" ht="12.75" customHeight="1">
      <c r="A73" s="19" t="s">
        <v>15</v>
      </c>
      <c r="B73" s="47" t="s">
        <v>47</v>
      </c>
      <c r="C73" s="15"/>
      <c r="D73" s="16"/>
      <c r="E73" s="13">
        <f t="shared" ref="E73:AC73" si="19">SUM(E65:E72)</f>
        <v>24</v>
      </c>
      <c r="F73" s="13">
        <f t="shared" si="19"/>
        <v>27</v>
      </c>
      <c r="G73" s="13">
        <f t="shared" si="19"/>
        <v>40</v>
      </c>
      <c r="H73" s="13">
        <f t="shared" si="19"/>
        <v>24</v>
      </c>
      <c r="I73" s="13">
        <f t="shared" si="19"/>
        <v>48</v>
      </c>
      <c r="J73" s="13">
        <f t="shared" si="19"/>
        <v>91</v>
      </c>
      <c r="K73" s="13">
        <f t="shared" si="19"/>
        <v>26</v>
      </c>
      <c r="L73" s="13">
        <f t="shared" si="19"/>
        <v>32</v>
      </c>
      <c r="M73" s="13">
        <f t="shared" si="19"/>
        <v>33</v>
      </c>
      <c r="N73" s="13">
        <f t="shared" si="19"/>
        <v>18</v>
      </c>
      <c r="O73" s="13">
        <f t="shared" si="19"/>
        <v>41</v>
      </c>
      <c r="P73" s="13">
        <f t="shared" si="19"/>
        <v>158</v>
      </c>
      <c r="Q73" s="13">
        <f t="shared" si="19"/>
        <v>108</v>
      </c>
      <c r="R73" s="13">
        <f t="shared" si="19"/>
        <v>37</v>
      </c>
      <c r="S73" s="13">
        <f t="shared" si="19"/>
        <v>15</v>
      </c>
      <c r="T73" s="13">
        <f t="shared" si="19"/>
        <v>43</v>
      </c>
      <c r="U73" s="13">
        <f t="shared" si="19"/>
        <v>90</v>
      </c>
      <c r="V73" s="13">
        <f t="shared" si="19"/>
        <v>63</v>
      </c>
      <c r="W73" s="13">
        <f t="shared" si="19"/>
        <v>37</v>
      </c>
      <c r="X73" s="13">
        <f t="shared" si="19"/>
        <v>33</v>
      </c>
      <c r="Y73" s="13">
        <f t="shared" si="19"/>
        <v>30</v>
      </c>
      <c r="Z73" s="13">
        <f t="shared" si="19"/>
        <v>34</v>
      </c>
      <c r="AA73" s="13">
        <f t="shared" si="19"/>
        <v>23</v>
      </c>
      <c r="AB73" s="13">
        <f t="shared" si="19"/>
        <v>26</v>
      </c>
      <c r="AC73" s="13">
        <f t="shared" si="19"/>
        <v>1101</v>
      </c>
    </row>
    <row r="74" ht="12.75" customHeight="1">
      <c r="A74" s="45"/>
      <c r="B74" s="44"/>
      <c r="C74" s="44"/>
      <c r="D74" s="44"/>
      <c r="E74" s="44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1.0</v>
      </c>
      <c r="F75" s="19">
        <v>15.0</v>
      </c>
      <c r="G75" s="19">
        <v>5.0</v>
      </c>
      <c r="H75" s="19">
        <v>8.0</v>
      </c>
      <c r="I75" s="19">
        <v>11.0</v>
      </c>
      <c r="J75" s="19">
        <v>12.0</v>
      </c>
      <c r="K75" s="19">
        <v>8.0</v>
      </c>
      <c r="L75" s="19">
        <v>10.0</v>
      </c>
      <c r="M75" s="19">
        <v>4.0</v>
      </c>
      <c r="N75" s="19">
        <v>2.0</v>
      </c>
      <c r="O75" s="19">
        <v>5.0</v>
      </c>
      <c r="P75" s="19">
        <v>2.0</v>
      </c>
      <c r="Q75" s="19">
        <v>5.0</v>
      </c>
      <c r="R75" s="19">
        <v>9.0</v>
      </c>
      <c r="S75" s="19">
        <v>16.0</v>
      </c>
      <c r="T75" s="19">
        <v>3.0</v>
      </c>
      <c r="U75" s="19">
        <v>3.0</v>
      </c>
      <c r="V75" s="19">
        <v>6.0</v>
      </c>
      <c r="W75" s="19">
        <v>2.0</v>
      </c>
      <c r="X75" s="19">
        <v>3.0</v>
      </c>
      <c r="Y75" s="19">
        <v>7.0</v>
      </c>
      <c r="Z75" s="19">
        <v>3.0</v>
      </c>
      <c r="AA75" s="19">
        <v>3.0</v>
      </c>
      <c r="AB75" s="19">
        <v>6.0</v>
      </c>
      <c r="AC75" s="13">
        <f t="shared" ref="AC75:AC82" si="20">SUM(E75:AB75)</f>
        <v>149</v>
      </c>
    </row>
    <row r="76" ht="12.75" customHeight="1">
      <c r="A76" s="30" t="s">
        <v>39</v>
      </c>
      <c r="B76" s="55">
        <v>1.0</v>
      </c>
      <c r="C76" s="50" t="s">
        <v>65</v>
      </c>
      <c r="D76" s="57"/>
      <c r="E76" s="19">
        <v>0.0</v>
      </c>
      <c r="F76" s="19">
        <v>16.0</v>
      </c>
      <c r="G76" s="19">
        <v>33.0</v>
      </c>
      <c r="H76" s="19">
        <v>20.0</v>
      </c>
      <c r="I76" s="19">
        <v>11.0</v>
      </c>
      <c r="J76" s="19">
        <v>17.0</v>
      </c>
      <c r="K76" s="19">
        <v>47.0</v>
      </c>
      <c r="L76" s="19">
        <v>63.0</v>
      </c>
      <c r="M76" s="19">
        <v>1.0</v>
      </c>
      <c r="N76" s="19">
        <v>1.0</v>
      </c>
      <c r="O76" s="19">
        <v>2.0</v>
      </c>
      <c r="P76" s="19">
        <v>1.0</v>
      </c>
      <c r="Q76" s="19">
        <v>2.0</v>
      </c>
      <c r="R76" s="19">
        <v>1.0</v>
      </c>
      <c r="S76" s="19">
        <v>34.0</v>
      </c>
      <c r="T76" s="19">
        <v>3.0</v>
      </c>
      <c r="U76" s="19">
        <v>0.0</v>
      </c>
      <c r="V76" s="19">
        <v>1.0</v>
      </c>
      <c r="W76" s="19">
        <v>3.0</v>
      </c>
      <c r="X76" s="19">
        <v>4.0</v>
      </c>
      <c r="Y76" s="19">
        <v>11.0</v>
      </c>
      <c r="Z76" s="19">
        <v>2.0</v>
      </c>
      <c r="AA76" s="19">
        <v>4.0</v>
      </c>
      <c r="AB76" s="19">
        <v>3.0</v>
      </c>
      <c r="AC76" s="13">
        <f t="shared" si="20"/>
        <v>280</v>
      </c>
    </row>
    <row r="77" ht="12.75" customHeight="1">
      <c r="A77" s="18"/>
      <c r="B77" s="55">
        <v>2.0</v>
      </c>
      <c r="C77" s="50" t="s">
        <v>66</v>
      </c>
      <c r="D77" s="57"/>
      <c r="E77" s="19">
        <v>1.0</v>
      </c>
      <c r="F77" s="19">
        <v>3.0</v>
      </c>
      <c r="G77" s="19">
        <v>1.0</v>
      </c>
      <c r="H77" s="19">
        <v>1.0</v>
      </c>
      <c r="I77" s="19">
        <v>0.0</v>
      </c>
      <c r="J77" s="19">
        <v>3.0</v>
      </c>
      <c r="K77" s="19">
        <v>0.0</v>
      </c>
      <c r="L77" s="19">
        <v>0.0</v>
      </c>
      <c r="M77" s="19">
        <v>2.0</v>
      </c>
      <c r="N77" s="19">
        <v>2.0</v>
      </c>
      <c r="O77" s="19">
        <v>0.0</v>
      </c>
      <c r="P77" s="19">
        <v>2.0</v>
      </c>
      <c r="Q77" s="19">
        <v>2.0</v>
      </c>
      <c r="R77" s="19">
        <v>1.0</v>
      </c>
      <c r="S77" s="19">
        <v>5.0</v>
      </c>
      <c r="T77" s="19">
        <v>2.0</v>
      </c>
      <c r="U77" s="19">
        <v>1.0</v>
      </c>
      <c r="V77" s="19">
        <v>2.0</v>
      </c>
      <c r="W77" s="19">
        <v>5.0</v>
      </c>
      <c r="X77" s="19">
        <v>1.0</v>
      </c>
      <c r="Y77" s="19">
        <v>0.0</v>
      </c>
      <c r="Z77" s="19">
        <v>0.0</v>
      </c>
      <c r="AA77" s="19">
        <v>8.0</v>
      </c>
      <c r="AB77" s="19">
        <v>0.0</v>
      </c>
      <c r="AC77" s="13">
        <f t="shared" si="20"/>
        <v>42</v>
      </c>
    </row>
    <row r="78" ht="12.75" customHeight="1">
      <c r="A78" s="18"/>
      <c r="B78" s="55">
        <v>3.0</v>
      </c>
      <c r="C78" s="50" t="s">
        <v>67</v>
      </c>
      <c r="D78" s="57"/>
      <c r="E78" s="19">
        <v>0.0</v>
      </c>
      <c r="F78" s="19">
        <v>1.0</v>
      </c>
      <c r="G78" s="19">
        <v>1.0</v>
      </c>
      <c r="H78" s="19">
        <v>0.0</v>
      </c>
      <c r="I78" s="19">
        <v>0.0</v>
      </c>
      <c r="J78" s="19">
        <v>1.0</v>
      </c>
      <c r="K78" s="19">
        <v>1.0</v>
      </c>
      <c r="L78" s="19">
        <v>0.0</v>
      </c>
      <c r="M78" s="19">
        <v>0.0</v>
      </c>
      <c r="N78" s="19">
        <v>0.0</v>
      </c>
      <c r="O78" s="19">
        <v>0.0</v>
      </c>
      <c r="P78" s="19">
        <v>0.0</v>
      </c>
      <c r="Q78" s="19">
        <v>0.0</v>
      </c>
      <c r="R78" s="19">
        <v>3.0</v>
      </c>
      <c r="S78" s="19">
        <v>0.0</v>
      </c>
      <c r="T78" s="19">
        <v>0.0</v>
      </c>
      <c r="U78" s="19">
        <v>1.0</v>
      </c>
      <c r="V78" s="19">
        <v>1.0</v>
      </c>
      <c r="W78" s="19">
        <v>1.0</v>
      </c>
      <c r="X78" s="19">
        <v>0.0</v>
      </c>
      <c r="Y78" s="19">
        <v>1.0</v>
      </c>
      <c r="Z78" s="19">
        <v>0.0</v>
      </c>
      <c r="AA78" s="19">
        <v>2.0</v>
      </c>
      <c r="AB78" s="19">
        <v>3.0</v>
      </c>
      <c r="AC78" s="13">
        <f t="shared" si="20"/>
        <v>16</v>
      </c>
    </row>
    <row r="79" ht="12.75" customHeight="1">
      <c r="A79" s="18"/>
      <c r="B79" s="55">
        <v>4.0</v>
      </c>
      <c r="C79" s="50" t="s">
        <v>68</v>
      </c>
      <c r="D79" s="57"/>
      <c r="E79" s="19">
        <v>1.0</v>
      </c>
      <c r="F79" s="19">
        <v>0.0</v>
      </c>
      <c r="G79" s="19">
        <v>1.0</v>
      </c>
      <c r="H79" s="19">
        <v>0.0</v>
      </c>
      <c r="I79" s="19">
        <v>2.0</v>
      </c>
      <c r="J79" s="19">
        <v>2.0</v>
      </c>
      <c r="K79" s="19">
        <v>0.0</v>
      </c>
      <c r="L79" s="19">
        <v>0.0</v>
      </c>
      <c r="M79" s="19">
        <v>0.0</v>
      </c>
      <c r="N79" s="19">
        <v>0.0</v>
      </c>
      <c r="O79" s="19">
        <v>2.0</v>
      </c>
      <c r="P79" s="19">
        <v>1.0</v>
      </c>
      <c r="Q79" s="19">
        <v>0.0</v>
      </c>
      <c r="R79" s="19">
        <v>0.0</v>
      </c>
      <c r="S79" s="19">
        <v>0.0</v>
      </c>
      <c r="T79" s="19">
        <v>0.0</v>
      </c>
      <c r="U79" s="19">
        <v>1.0</v>
      </c>
      <c r="V79" s="19">
        <v>0.0</v>
      </c>
      <c r="W79" s="19">
        <v>1.0</v>
      </c>
      <c r="X79" s="19">
        <v>2.0</v>
      </c>
      <c r="Y79" s="19">
        <v>22.0</v>
      </c>
      <c r="Z79" s="19">
        <v>0.0</v>
      </c>
      <c r="AA79" s="19">
        <v>2.0</v>
      </c>
      <c r="AB79" s="19">
        <v>2.0</v>
      </c>
      <c r="AC79" s="13">
        <f t="shared" si="20"/>
        <v>39</v>
      </c>
    </row>
    <row r="80" ht="12.75" customHeight="1">
      <c r="A80" s="18"/>
      <c r="B80" s="55">
        <v>5.0</v>
      </c>
      <c r="C80" s="50" t="s">
        <v>69</v>
      </c>
      <c r="D80" s="57"/>
      <c r="E80" s="19">
        <v>1.0</v>
      </c>
      <c r="F80" s="19">
        <v>2.0</v>
      </c>
      <c r="G80" s="19">
        <v>1.0</v>
      </c>
      <c r="H80" s="19">
        <v>0.0</v>
      </c>
      <c r="I80" s="19">
        <v>0.0</v>
      </c>
      <c r="J80" s="19">
        <v>1.0</v>
      </c>
      <c r="K80" s="19">
        <v>2.0</v>
      </c>
      <c r="L80" s="19">
        <v>1.0</v>
      </c>
      <c r="M80" s="19">
        <v>2.0</v>
      </c>
      <c r="N80" s="19">
        <v>1.0</v>
      </c>
      <c r="O80" s="19">
        <v>6.0</v>
      </c>
      <c r="P80" s="19">
        <v>0.0</v>
      </c>
      <c r="Q80" s="19">
        <v>2.0</v>
      </c>
      <c r="R80" s="19">
        <v>5.0</v>
      </c>
      <c r="S80" s="19">
        <v>1.0</v>
      </c>
      <c r="T80" s="19">
        <v>0.0</v>
      </c>
      <c r="U80" s="19">
        <v>1.0</v>
      </c>
      <c r="V80" s="19">
        <v>0.0</v>
      </c>
      <c r="W80" s="19">
        <v>1.0</v>
      </c>
      <c r="X80" s="19">
        <v>0.0</v>
      </c>
      <c r="Y80" s="19">
        <v>2.0</v>
      </c>
      <c r="Z80" s="19">
        <v>1.0</v>
      </c>
      <c r="AA80" s="19">
        <v>2.0</v>
      </c>
      <c r="AB80" s="19">
        <v>0.0</v>
      </c>
      <c r="AC80" s="13">
        <f t="shared" si="20"/>
        <v>32</v>
      </c>
    </row>
    <row r="81" ht="12.75" customHeight="1">
      <c r="A81" s="18"/>
      <c r="B81" s="55">
        <v>6.0</v>
      </c>
      <c r="C81" s="50" t="s">
        <v>70</v>
      </c>
      <c r="D81" s="57"/>
      <c r="E81" s="19">
        <v>0.0</v>
      </c>
      <c r="F81" s="19">
        <v>0.0</v>
      </c>
      <c r="G81" s="19">
        <v>0.0</v>
      </c>
      <c r="H81" s="19">
        <v>0.0</v>
      </c>
      <c r="I81" s="19">
        <v>0.0</v>
      </c>
      <c r="J81" s="19">
        <v>0.0</v>
      </c>
      <c r="K81" s="19">
        <v>0.0</v>
      </c>
      <c r="L81" s="19">
        <v>1.0</v>
      </c>
      <c r="M81" s="19">
        <v>0.0</v>
      </c>
      <c r="N81" s="19">
        <v>0.0</v>
      </c>
      <c r="O81" s="19">
        <v>1.0</v>
      </c>
      <c r="P81" s="19">
        <v>0.0</v>
      </c>
      <c r="Q81" s="19">
        <v>0.0</v>
      </c>
      <c r="R81" s="19">
        <v>0.0</v>
      </c>
      <c r="S81" s="19">
        <v>0.0</v>
      </c>
      <c r="T81" s="19">
        <v>0.0</v>
      </c>
      <c r="U81" s="19">
        <v>0.0</v>
      </c>
      <c r="V81" s="19">
        <v>1.0</v>
      </c>
      <c r="W81" s="19">
        <v>0.0</v>
      </c>
      <c r="X81" s="19">
        <v>0.0</v>
      </c>
      <c r="Y81" s="19">
        <v>0.0</v>
      </c>
      <c r="Z81" s="19">
        <v>0.0</v>
      </c>
      <c r="AA81" s="19">
        <v>1.0</v>
      </c>
      <c r="AB81" s="19">
        <v>0.0</v>
      </c>
      <c r="AC81" s="13">
        <f t="shared" si="20"/>
        <v>4</v>
      </c>
    </row>
    <row r="82" ht="12.75" customHeight="1">
      <c r="A82" s="18"/>
      <c r="B82" s="55">
        <v>7.0</v>
      </c>
      <c r="C82" s="50" t="s">
        <v>71</v>
      </c>
      <c r="D82" s="57"/>
      <c r="E82" s="19">
        <v>0.0</v>
      </c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19">
        <v>0.0</v>
      </c>
      <c r="L82" s="19">
        <v>0.0</v>
      </c>
      <c r="M82" s="19">
        <v>0.0</v>
      </c>
      <c r="N82" s="19">
        <v>0.0</v>
      </c>
      <c r="O82" s="19">
        <v>1.0</v>
      </c>
      <c r="P82" s="19">
        <v>0.0</v>
      </c>
      <c r="Q82" s="19">
        <v>1.0</v>
      </c>
      <c r="R82" s="19">
        <v>0.0</v>
      </c>
      <c r="S82" s="19">
        <v>0.0</v>
      </c>
      <c r="T82" s="19">
        <v>0.0</v>
      </c>
      <c r="U82" s="19">
        <v>0.0</v>
      </c>
      <c r="V82" s="19">
        <v>0.0</v>
      </c>
      <c r="W82" s="19">
        <v>0.0</v>
      </c>
      <c r="X82" s="19">
        <v>0.0</v>
      </c>
      <c r="Y82" s="19">
        <v>0.0</v>
      </c>
      <c r="Z82" s="19">
        <v>0.0</v>
      </c>
      <c r="AA82" s="19">
        <v>0.0</v>
      </c>
      <c r="AB82" s="19">
        <v>0.0</v>
      </c>
      <c r="AC82" s="13">
        <f t="shared" si="20"/>
        <v>2</v>
      </c>
    </row>
    <row r="83" ht="12.75" customHeight="1">
      <c r="A83" s="19" t="s">
        <v>15</v>
      </c>
      <c r="B83" s="47" t="s">
        <v>47</v>
      </c>
      <c r="C83" s="15"/>
      <c r="D83" s="16"/>
      <c r="E83" s="13">
        <f t="shared" ref="E83:AC83" si="21">SUM(E75:E82)</f>
        <v>4</v>
      </c>
      <c r="F83" s="13">
        <f t="shared" si="21"/>
        <v>37</v>
      </c>
      <c r="G83" s="13">
        <f t="shared" si="21"/>
        <v>42</v>
      </c>
      <c r="H83" s="13">
        <f t="shared" si="21"/>
        <v>29</v>
      </c>
      <c r="I83" s="13">
        <f t="shared" si="21"/>
        <v>24</v>
      </c>
      <c r="J83" s="13">
        <f t="shared" si="21"/>
        <v>36</v>
      </c>
      <c r="K83" s="13">
        <f t="shared" si="21"/>
        <v>58</v>
      </c>
      <c r="L83" s="13">
        <f t="shared" si="21"/>
        <v>75</v>
      </c>
      <c r="M83" s="13">
        <f t="shared" si="21"/>
        <v>9</v>
      </c>
      <c r="N83" s="13">
        <f t="shared" si="21"/>
        <v>6</v>
      </c>
      <c r="O83" s="13">
        <f t="shared" si="21"/>
        <v>17</v>
      </c>
      <c r="P83" s="13">
        <f t="shared" si="21"/>
        <v>6</v>
      </c>
      <c r="Q83" s="13">
        <f t="shared" si="21"/>
        <v>12</v>
      </c>
      <c r="R83" s="13">
        <f t="shared" si="21"/>
        <v>19</v>
      </c>
      <c r="S83" s="13">
        <f t="shared" si="21"/>
        <v>56</v>
      </c>
      <c r="T83" s="13">
        <f t="shared" si="21"/>
        <v>8</v>
      </c>
      <c r="U83" s="13">
        <f t="shared" si="21"/>
        <v>7</v>
      </c>
      <c r="V83" s="13">
        <f t="shared" si="21"/>
        <v>11</v>
      </c>
      <c r="W83" s="13">
        <f t="shared" si="21"/>
        <v>13</v>
      </c>
      <c r="X83" s="13">
        <f t="shared" si="21"/>
        <v>10</v>
      </c>
      <c r="Y83" s="13">
        <f t="shared" si="21"/>
        <v>43</v>
      </c>
      <c r="Z83" s="13">
        <f t="shared" si="21"/>
        <v>6</v>
      </c>
      <c r="AA83" s="13">
        <f t="shared" si="21"/>
        <v>22</v>
      </c>
      <c r="AB83" s="13">
        <f t="shared" si="21"/>
        <v>14</v>
      </c>
      <c r="AC83" s="13">
        <f t="shared" si="21"/>
        <v>564</v>
      </c>
    </row>
    <row r="84" ht="12.75" customHeight="1">
      <c r="A84" s="45"/>
      <c r="B84" s="44"/>
      <c r="C84" s="44"/>
      <c r="D84" s="44"/>
      <c r="E84" s="44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3.0</v>
      </c>
      <c r="F85" s="19">
        <v>1.0</v>
      </c>
      <c r="G85" s="19">
        <v>1.0</v>
      </c>
      <c r="H85" s="19">
        <v>1.0</v>
      </c>
      <c r="I85" s="19">
        <v>2.0</v>
      </c>
      <c r="J85" s="19">
        <v>2.0</v>
      </c>
      <c r="K85" s="19">
        <v>3.0</v>
      </c>
      <c r="L85" s="19">
        <v>5.0</v>
      </c>
      <c r="M85" s="19">
        <v>2.0</v>
      </c>
      <c r="N85" s="19">
        <v>3.0</v>
      </c>
      <c r="O85" s="19">
        <v>6.0</v>
      </c>
      <c r="P85" s="19">
        <v>2.0</v>
      </c>
      <c r="Q85" s="19">
        <v>2.0</v>
      </c>
      <c r="R85" s="19">
        <v>5.0</v>
      </c>
      <c r="S85" s="19">
        <v>0.0</v>
      </c>
      <c r="T85" s="19">
        <v>7.0</v>
      </c>
      <c r="U85" s="19">
        <v>1.0</v>
      </c>
      <c r="V85" s="19">
        <v>0.0</v>
      </c>
      <c r="W85" s="19">
        <v>3.0</v>
      </c>
      <c r="X85" s="19">
        <v>3.0</v>
      </c>
      <c r="Y85" s="19">
        <v>2.0</v>
      </c>
      <c r="Z85" s="19">
        <v>8.0</v>
      </c>
      <c r="AA85" s="19">
        <v>4.0</v>
      </c>
      <c r="AB85" s="19">
        <v>9.0</v>
      </c>
      <c r="AC85" s="13">
        <f t="shared" ref="AC85:AC92" si="22">SUM(E85:AB85)</f>
        <v>75</v>
      </c>
    </row>
    <row r="86" ht="12.75" customHeight="1">
      <c r="A86" s="30" t="s">
        <v>39</v>
      </c>
      <c r="B86" s="55">
        <v>1.0</v>
      </c>
      <c r="C86" s="50" t="s">
        <v>74</v>
      </c>
      <c r="D86" s="57"/>
      <c r="E86" s="19">
        <v>1.0</v>
      </c>
      <c r="F86" s="19">
        <v>0.0</v>
      </c>
      <c r="G86" s="19">
        <v>0.0</v>
      </c>
      <c r="H86" s="19">
        <v>0.0</v>
      </c>
      <c r="I86" s="19">
        <v>2.0</v>
      </c>
      <c r="J86" s="19">
        <v>2.0</v>
      </c>
      <c r="K86" s="19">
        <v>0.0</v>
      </c>
      <c r="L86" s="19">
        <v>8.0</v>
      </c>
      <c r="M86" s="19">
        <v>4.0</v>
      </c>
      <c r="N86" s="19">
        <v>1.0</v>
      </c>
      <c r="O86" s="19">
        <v>3.0</v>
      </c>
      <c r="P86" s="19">
        <v>1.0</v>
      </c>
      <c r="Q86" s="19">
        <v>0.0</v>
      </c>
      <c r="R86" s="19">
        <v>11.0</v>
      </c>
      <c r="S86" s="19">
        <v>1.0</v>
      </c>
      <c r="T86" s="19">
        <v>6.0</v>
      </c>
      <c r="U86" s="19">
        <v>8.0</v>
      </c>
      <c r="V86" s="19">
        <v>2.0</v>
      </c>
      <c r="W86" s="19">
        <v>4.0</v>
      </c>
      <c r="X86" s="19">
        <v>8.0</v>
      </c>
      <c r="Y86" s="19">
        <v>3.0</v>
      </c>
      <c r="Z86" s="19">
        <v>20.0</v>
      </c>
      <c r="AA86" s="19">
        <v>3.0</v>
      </c>
      <c r="AB86" s="19">
        <v>16.0</v>
      </c>
      <c r="AC86" s="13">
        <f t="shared" si="22"/>
        <v>104</v>
      </c>
    </row>
    <row r="87" ht="12.75" customHeight="1">
      <c r="A87" s="18"/>
      <c r="B87" s="55">
        <v>2.0</v>
      </c>
      <c r="C87" s="50" t="s">
        <v>75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1.0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4.0</v>
      </c>
      <c r="AB87" s="19">
        <v>0.0</v>
      </c>
      <c r="AC87" s="13">
        <f t="shared" si="22"/>
        <v>5</v>
      </c>
    </row>
    <row r="88" ht="12.75" customHeight="1">
      <c r="A88" s="18"/>
      <c r="B88" s="55">
        <v>3.0</v>
      </c>
      <c r="C88" s="50" t="s">
        <v>76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1.0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1.0</v>
      </c>
      <c r="U88" s="19">
        <v>0.0</v>
      </c>
      <c r="V88" s="19">
        <v>1.0</v>
      </c>
      <c r="W88" s="19">
        <v>0.0</v>
      </c>
      <c r="X88" s="19">
        <v>0.0</v>
      </c>
      <c r="Y88" s="19">
        <v>0.0</v>
      </c>
      <c r="Z88" s="19">
        <v>0.0</v>
      </c>
      <c r="AA88" s="19">
        <v>1.0</v>
      </c>
      <c r="AB88" s="19">
        <v>0.0</v>
      </c>
      <c r="AC88" s="13">
        <f t="shared" si="22"/>
        <v>4</v>
      </c>
    </row>
    <row r="89" ht="12.75" customHeight="1">
      <c r="A89" s="18"/>
      <c r="B89" s="55">
        <v>4.0</v>
      </c>
      <c r="C89" s="50" t="s">
        <v>77</v>
      </c>
      <c r="D89" s="57"/>
      <c r="E89" s="19">
        <v>0.0</v>
      </c>
      <c r="F89" s="19">
        <v>0.0</v>
      </c>
      <c r="G89" s="19">
        <v>0.0</v>
      </c>
      <c r="H89" s="19">
        <v>0.0</v>
      </c>
      <c r="I89" s="19">
        <v>0.0</v>
      </c>
      <c r="J89" s="19">
        <v>0.0</v>
      </c>
      <c r="K89" s="19">
        <v>0.0</v>
      </c>
      <c r="L89" s="19">
        <v>0.0</v>
      </c>
      <c r="M89" s="19">
        <v>0.0</v>
      </c>
      <c r="N89" s="19">
        <v>0.0</v>
      </c>
      <c r="O89" s="19">
        <v>0.0</v>
      </c>
      <c r="P89" s="19">
        <v>0.0</v>
      </c>
      <c r="Q89" s="19">
        <v>0.0</v>
      </c>
      <c r="R89" s="19">
        <v>0.0</v>
      </c>
      <c r="S89" s="19">
        <v>0.0</v>
      </c>
      <c r="T89" s="19">
        <v>2.0</v>
      </c>
      <c r="U89" s="19">
        <v>1.0</v>
      </c>
      <c r="V89" s="19">
        <v>0.0</v>
      </c>
      <c r="W89" s="19">
        <v>1.0</v>
      </c>
      <c r="X89" s="19">
        <v>2.0</v>
      </c>
      <c r="Y89" s="19">
        <v>5.0</v>
      </c>
      <c r="Z89" s="19">
        <v>16.0</v>
      </c>
      <c r="AA89" s="19">
        <v>1.0</v>
      </c>
      <c r="AB89" s="19">
        <v>4.0</v>
      </c>
      <c r="AC89" s="13">
        <f t="shared" si="22"/>
        <v>32</v>
      </c>
    </row>
    <row r="90" ht="12.75" customHeight="1">
      <c r="A90" s="18"/>
      <c r="B90" s="55">
        <v>5.0</v>
      </c>
      <c r="C90" s="50" t="s">
        <v>78</v>
      </c>
      <c r="D90" s="57"/>
      <c r="E90" s="19">
        <v>1.0</v>
      </c>
      <c r="F90" s="19">
        <v>0.0</v>
      </c>
      <c r="G90" s="19">
        <v>0.0</v>
      </c>
      <c r="H90" s="19">
        <v>0.0</v>
      </c>
      <c r="I90" s="19">
        <v>0.0</v>
      </c>
      <c r="J90" s="19">
        <v>1.0</v>
      </c>
      <c r="K90" s="19">
        <v>0.0</v>
      </c>
      <c r="L90" s="19">
        <v>1.0</v>
      </c>
      <c r="M90" s="19">
        <v>0.0</v>
      </c>
      <c r="N90" s="19">
        <v>1.0</v>
      </c>
      <c r="O90" s="19">
        <v>5.0</v>
      </c>
      <c r="P90" s="19">
        <v>0.0</v>
      </c>
      <c r="Q90" s="19">
        <v>0.0</v>
      </c>
      <c r="R90" s="19">
        <v>0.0</v>
      </c>
      <c r="S90" s="19">
        <v>0.0</v>
      </c>
      <c r="T90" s="19">
        <v>0.0</v>
      </c>
      <c r="U90" s="19">
        <v>0.0</v>
      </c>
      <c r="V90" s="19">
        <v>0.0</v>
      </c>
      <c r="W90" s="19">
        <v>2.0</v>
      </c>
      <c r="X90" s="19">
        <v>0.0</v>
      </c>
      <c r="Y90" s="19">
        <v>0.0</v>
      </c>
      <c r="Z90" s="19">
        <v>0.0</v>
      </c>
      <c r="AA90" s="19">
        <v>1.0</v>
      </c>
      <c r="AB90" s="19">
        <v>2.0</v>
      </c>
      <c r="AC90" s="13">
        <f t="shared" si="22"/>
        <v>14</v>
      </c>
    </row>
    <row r="91" ht="12.75" customHeight="1">
      <c r="A91" s="18"/>
      <c r="B91" s="55">
        <v>6.0</v>
      </c>
      <c r="C91" s="50" t="s">
        <v>79</v>
      </c>
      <c r="D91" s="57"/>
      <c r="E91" s="19">
        <v>11.0</v>
      </c>
      <c r="F91" s="19">
        <v>0.0</v>
      </c>
      <c r="G91" s="19">
        <v>0.0</v>
      </c>
      <c r="H91" s="19">
        <v>0.0</v>
      </c>
      <c r="I91" s="19">
        <v>0.0</v>
      </c>
      <c r="J91" s="19">
        <v>0.0</v>
      </c>
      <c r="K91" s="19">
        <v>2.0</v>
      </c>
      <c r="L91" s="19">
        <v>3.0</v>
      </c>
      <c r="M91" s="19">
        <v>0.0</v>
      </c>
      <c r="N91" s="19">
        <v>0.0</v>
      </c>
      <c r="O91" s="19">
        <v>3.0</v>
      </c>
      <c r="P91" s="19">
        <v>0.0</v>
      </c>
      <c r="Q91" s="19">
        <v>0.0</v>
      </c>
      <c r="R91" s="19">
        <v>1.0</v>
      </c>
      <c r="S91" s="19">
        <v>0.0</v>
      </c>
      <c r="T91" s="19">
        <v>1.0</v>
      </c>
      <c r="U91" s="19">
        <v>1.0</v>
      </c>
      <c r="V91" s="19">
        <v>3.0</v>
      </c>
      <c r="W91" s="19">
        <v>1.0</v>
      </c>
      <c r="X91" s="19">
        <v>0.0</v>
      </c>
      <c r="Y91" s="19">
        <v>1.0</v>
      </c>
      <c r="Z91" s="19">
        <v>3.0</v>
      </c>
      <c r="AA91" s="19">
        <v>1.0</v>
      </c>
      <c r="AB91" s="19">
        <v>4.0</v>
      </c>
      <c r="AC91" s="13">
        <f t="shared" si="22"/>
        <v>35</v>
      </c>
    </row>
    <row r="92" ht="12.75" customHeight="1">
      <c r="A92" s="18"/>
      <c r="B92" s="55">
        <v>7.0</v>
      </c>
      <c r="C92" s="50" t="s">
        <v>80</v>
      </c>
      <c r="D92" s="57"/>
      <c r="E92" s="19">
        <v>6.0</v>
      </c>
      <c r="F92" s="19">
        <v>0.0</v>
      </c>
      <c r="G92" s="19">
        <v>0.0</v>
      </c>
      <c r="H92" s="19">
        <v>0.0</v>
      </c>
      <c r="I92" s="19">
        <v>0.0</v>
      </c>
      <c r="J92" s="19">
        <v>1.0</v>
      </c>
      <c r="K92" s="19">
        <v>1.0</v>
      </c>
      <c r="L92" s="19">
        <v>2.0</v>
      </c>
      <c r="M92" s="19">
        <v>0.0</v>
      </c>
      <c r="N92" s="19">
        <v>0.0</v>
      </c>
      <c r="O92" s="19">
        <v>2.0</v>
      </c>
      <c r="P92" s="19">
        <v>0.0</v>
      </c>
      <c r="Q92" s="19">
        <v>0.0</v>
      </c>
      <c r="R92" s="19">
        <v>0.0</v>
      </c>
      <c r="S92" s="19">
        <v>0.0</v>
      </c>
      <c r="T92" s="19">
        <v>1.0</v>
      </c>
      <c r="U92" s="19">
        <v>0.0</v>
      </c>
      <c r="V92" s="19">
        <v>2.0</v>
      </c>
      <c r="W92" s="19">
        <v>1.0</v>
      </c>
      <c r="X92" s="19">
        <v>0.0</v>
      </c>
      <c r="Y92" s="19">
        <v>1.0</v>
      </c>
      <c r="Z92" s="19">
        <v>0.0</v>
      </c>
      <c r="AA92" s="19">
        <v>0.0</v>
      </c>
      <c r="AB92" s="19">
        <v>2.0</v>
      </c>
      <c r="AC92" s="13">
        <f t="shared" si="22"/>
        <v>19</v>
      </c>
    </row>
    <row r="93" ht="12.75" customHeight="1">
      <c r="A93" s="19" t="s">
        <v>15</v>
      </c>
      <c r="B93" s="47" t="s">
        <v>47</v>
      </c>
      <c r="C93" s="15"/>
      <c r="D93" s="16"/>
      <c r="E93" s="13">
        <f t="shared" ref="E93:AC93" si="23">SUM(E85:E92)</f>
        <v>22</v>
      </c>
      <c r="F93" s="13">
        <f t="shared" si="23"/>
        <v>1</v>
      </c>
      <c r="G93" s="13">
        <f t="shared" si="23"/>
        <v>1</v>
      </c>
      <c r="H93" s="13">
        <f t="shared" si="23"/>
        <v>1</v>
      </c>
      <c r="I93" s="13">
        <f t="shared" si="23"/>
        <v>5</v>
      </c>
      <c r="J93" s="13">
        <f t="shared" si="23"/>
        <v>6</v>
      </c>
      <c r="K93" s="13">
        <f t="shared" si="23"/>
        <v>6</v>
      </c>
      <c r="L93" s="13">
        <f t="shared" si="23"/>
        <v>19</v>
      </c>
      <c r="M93" s="13">
        <f t="shared" si="23"/>
        <v>6</v>
      </c>
      <c r="N93" s="13">
        <f t="shared" si="23"/>
        <v>5</v>
      </c>
      <c r="O93" s="13">
        <f t="shared" si="23"/>
        <v>19</v>
      </c>
      <c r="P93" s="13">
        <f t="shared" si="23"/>
        <v>3</v>
      </c>
      <c r="Q93" s="13">
        <f t="shared" si="23"/>
        <v>2</v>
      </c>
      <c r="R93" s="13">
        <f t="shared" si="23"/>
        <v>18</v>
      </c>
      <c r="S93" s="13">
        <f t="shared" si="23"/>
        <v>1</v>
      </c>
      <c r="T93" s="13">
        <f t="shared" si="23"/>
        <v>18</v>
      </c>
      <c r="U93" s="13">
        <f t="shared" si="23"/>
        <v>11</v>
      </c>
      <c r="V93" s="13">
        <f t="shared" si="23"/>
        <v>8</v>
      </c>
      <c r="W93" s="13">
        <f t="shared" si="23"/>
        <v>12</v>
      </c>
      <c r="X93" s="13">
        <f t="shared" si="23"/>
        <v>13</v>
      </c>
      <c r="Y93" s="13">
        <f t="shared" si="23"/>
        <v>12</v>
      </c>
      <c r="Z93" s="13">
        <f t="shared" si="23"/>
        <v>47</v>
      </c>
      <c r="AA93" s="13">
        <f t="shared" si="23"/>
        <v>15</v>
      </c>
      <c r="AB93" s="13">
        <f t="shared" si="23"/>
        <v>37</v>
      </c>
      <c r="AC93" s="13">
        <f t="shared" si="23"/>
        <v>288</v>
      </c>
    </row>
    <row r="94" ht="12.75" customHeight="1">
      <c r="A94" s="45"/>
      <c r="B94" s="44"/>
      <c r="C94" s="44"/>
      <c r="D94" s="44"/>
      <c r="E94" s="44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>
        <v>10.0</v>
      </c>
      <c r="F95" s="19">
        <v>1.0</v>
      </c>
      <c r="G95" s="19">
        <v>0.0</v>
      </c>
      <c r="H95" s="19">
        <v>0.0</v>
      </c>
      <c r="I95" s="19">
        <v>1.0</v>
      </c>
      <c r="J95" s="19">
        <v>0.0</v>
      </c>
      <c r="K95" s="19">
        <v>0.0</v>
      </c>
      <c r="L95" s="19">
        <v>4.0</v>
      </c>
      <c r="M95" s="19">
        <v>0.0</v>
      </c>
      <c r="N95" s="19">
        <v>0.0</v>
      </c>
      <c r="O95" s="19">
        <v>1.0</v>
      </c>
      <c r="P95" s="19">
        <v>0.0</v>
      </c>
      <c r="Q95" s="19">
        <v>2.0</v>
      </c>
      <c r="R95" s="19">
        <v>8.0</v>
      </c>
      <c r="S95" s="19">
        <v>4.0</v>
      </c>
      <c r="T95" s="19">
        <v>3.0</v>
      </c>
      <c r="U95" s="19">
        <v>0.0</v>
      </c>
      <c r="V95" s="19">
        <v>0.0</v>
      </c>
      <c r="W95" s="19">
        <v>4.0</v>
      </c>
      <c r="X95" s="19">
        <v>0.0</v>
      </c>
      <c r="Y95" s="19">
        <v>0.0</v>
      </c>
      <c r="Z95" s="19">
        <v>2.0</v>
      </c>
      <c r="AA95" s="19">
        <v>0.0</v>
      </c>
      <c r="AB95" s="19">
        <v>2.0</v>
      </c>
      <c r="AC95" s="13">
        <f t="shared" ref="AC95:AC102" si="24">SUM(E95:AB95)</f>
        <v>42</v>
      </c>
    </row>
    <row r="96" ht="12.75" customHeight="1">
      <c r="A96" s="30" t="s">
        <v>39</v>
      </c>
      <c r="B96" s="55">
        <v>1.0</v>
      </c>
      <c r="C96" s="50" t="s">
        <v>83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2.0</v>
      </c>
      <c r="P96" s="19">
        <v>0.0</v>
      </c>
      <c r="Q96" s="19">
        <v>0.0</v>
      </c>
      <c r="R96" s="19">
        <v>1.0</v>
      </c>
      <c r="S96" s="19">
        <v>0.0</v>
      </c>
      <c r="T96" s="19">
        <v>1.0</v>
      </c>
      <c r="U96" s="19">
        <v>0.0</v>
      </c>
      <c r="V96" s="19">
        <v>1.0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1.0</v>
      </c>
      <c r="AC96" s="13">
        <f t="shared" si="24"/>
        <v>6</v>
      </c>
    </row>
    <row r="97" ht="12.75" customHeight="1">
      <c r="A97" s="18"/>
      <c r="B97" s="55">
        <v>2.0</v>
      </c>
      <c r="C97" s="50" t="s">
        <v>84</v>
      </c>
      <c r="D97" s="57"/>
      <c r="E97" s="19">
        <v>0.0</v>
      </c>
      <c r="F97" s="19">
        <v>1.0</v>
      </c>
      <c r="G97" s="19">
        <v>1.0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1.0</v>
      </c>
      <c r="P97" s="19">
        <v>0.0</v>
      </c>
      <c r="Q97" s="19">
        <v>0.0</v>
      </c>
      <c r="R97" s="19">
        <v>0.0</v>
      </c>
      <c r="S97" s="19">
        <v>1.0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9">
        <v>0.0</v>
      </c>
      <c r="AB97" s="19">
        <v>1.0</v>
      </c>
      <c r="AC97" s="13">
        <f t="shared" si="24"/>
        <v>5</v>
      </c>
    </row>
    <row r="98" ht="12.75" customHeight="1">
      <c r="A98" s="18"/>
      <c r="B98" s="55">
        <v>3.0</v>
      </c>
      <c r="C98" s="50" t="s">
        <v>85</v>
      </c>
      <c r="D98" s="57"/>
      <c r="E98" s="73">
        <v>0.0</v>
      </c>
      <c r="F98" s="19">
        <v>0.0</v>
      </c>
      <c r="G98" s="19">
        <v>0.0</v>
      </c>
      <c r="H98" s="19">
        <v>0.0</v>
      </c>
      <c r="I98" s="19">
        <v>1.0</v>
      </c>
      <c r="J98" s="19">
        <v>0.0</v>
      </c>
      <c r="K98" s="19">
        <v>0.0</v>
      </c>
      <c r="L98" s="19">
        <v>0.0</v>
      </c>
      <c r="M98" s="19">
        <v>0.0</v>
      </c>
      <c r="N98" s="19">
        <v>1.0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1.0</v>
      </c>
      <c r="X98" s="19">
        <v>0.0</v>
      </c>
      <c r="Y98" s="19">
        <v>0.0</v>
      </c>
      <c r="Z98" s="19">
        <v>0.0</v>
      </c>
      <c r="AA98" s="19">
        <v>1.0</v>
      </c>
      <c r="AB98" s="19">
        <v>0.0</v>
      </c>
      <c r="AC98" s="13">
        <f t="shared" si="24"/>
        <v>4</v>
      </c>
    </row>
    <row r="99" ht="12.75" customHeight="1">
      <c r="A99" s="18"/>
      <c r="B99" s="55">
        <v>4.0</v>
      </c>
      <c r="C99" s="50" t="s">
        <v>86</v>
      </c>
      <c r="D99" s="57"/>
      <c r="E99" s="73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1.0</v>
      </c>
      <c r="AA99" s="19">
        <v>0.0</v>
      </c>
      <c r="AB99" s="19">
        <v>1.0</v>
      </c>
      <c r="AC99" s="13">
        <f t="shared" si="24"/>
        <v>2</v>
      </c>
    </row>
    <row r="100" ht="12.75" customHeight="1">
      <c r="A100" s="18"/>
      <c r="B100" s="55">
        <v>5.0</v>
      </c>
      <c r="C100" s="50" t="s">
        <v>87</v>
      </c>
      <c r="D100" s="57"/>
      <c r="E100" s="73">
        <v>1.0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1.0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3">
        <f t="shared" si="24"/>
        <v>2</v>
      </c>
    </row>
    <row r="101" ht="12.75" customHeight="1">
      <c r="A101" s="18"/>
      <c r="B101" s="55">
        <v>6.0</v>
      </c>
      <c r="C101" s="50" t="s">
        <v>88</v>
      </c>
      <c r="D101" s="57"/>
      <c r="E101" s="73">
        <v>1.0</v>
      </c>
      <c r="F101" s="19">
        <v>0.0</v>
      </c>
      <c r="G101" s="19">
        <v>0.0</v>
      </c>
      <c r="H101" s="19">
        <v>0.0</v>
      </c>
      <c r="I101" s="19">
        <v>0.0</v>
      </c>
      <c r="J101" s="19">
        <v>0.0</v>
      </c>
      <c r="K101" s="19">
        <v>0.0</v>
      </c>
      <c r="L101" s="19">
        <v>0.0</v>
      </c>
      <c r="M101" s="19">
        <v>0.0</v>
      </c>
      <c r="N101" s="19">
        <v>0.0</v>
      </c>
      <c r="O101" s="19">
        <v>0.0</v>
      </c>
      <c r="P101" s="19">
        <v>0.0</v>
      </c>
      <c r="Q101" s="19">
        <v>0.0</v>
      </c>
      <c r="R101" s="19">
        <v>1.0</v>
      </c>
      <c r="S101" s="19">
        <v>0.0</v>
      </c>
      <c r="T101" s="19">
        <v>0.0</v>
      </c>
      <c r="U101" s="19">
        <v>0.0</v>
      </c>
      <c r="V101" s="19">
        <v>0.0</v>
      </c>
      <c r="W101" s="19">
        <v>0.0</v>
      </c>
      <c r="X101" s="19">
        <v>0.0</v>
      </c>
      <c r="Y101" s="19">
        <v>0.0</v>
      </c>
      <c r="Z101" s="19">
        <v>0.0</v>
      </c>
      <c r="AA101" s="19">
        <v>0.0</v>
      </c>
      <c r="AB101" s="19">
        <v>0.0</v>
      </c>
      <c r="AC101" s="13">
        <f t="shared" si="24"/>
        <v>2</v>
      </c>
    </row>
    <row r="102" ht="12.75" customHeight="1">
      <c r="A102" s="18"/>
      <c r="B102" s="55">
        <v>7.0</v>
      </c>
      <c r="C102" s="50" t="s">
        <v>89</v>
      </c>
      <c r="D102" s="57"/>
      <c r="E102" s="73">
        <v>0.0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0.0</v>
      </c>
      <c r="R102" s="19">
        <v>0.0</v>
      </c>
      <c r="S102" s="19">
        <v>0.0</v>
      </c>
      <c r="T102" s="19">
        <v>0.0</v>
      </c>
      <c r="U102" s="19">
        <v>0.0</v>
      </c>
      <c r="V102" s="19">
        <v>0.0</v>
      </c>
      <c r="W102" s="19">
        <v>0.0</v>
      </c>
      <c r="X102" s="19">
        <v>0.0</v>
      </c>
      <c r="Y102" s="19">
        <v>0.0</v>
      </c>
      <c r="Z102" s="19">
        <v>0.0</v>
      </c>
      <c r="AA102" s="19">
        <v>0.0</v>
      </c>
      <c r="AB102" s="19">
        <v>0.0</v>
      </c>
      <c r="AC102" s="13">
        <f t="shared" si="24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C103" si="25">SUM(E95:E102)</f>
        <v>12</v>
      </c>
      <c r="F103" s="13">
        <f t="shared" si="25"/>
        <v>2</v>
      </c>
      <c r="G103" s="13">
        <f t="shared" si="25"/>
        <v>1</v>
      </c>
      <c r="H103" s="13">
        <f t="shared" si="25"/>
        <v>0</v>
      </c>
      <c r="I103" s="13">
        <f t="shared" si="25"/>
        <v>2</v>
      </c>
      <c r="J103" s="13">
        <f t="shared" si="25"/>
        <v>0</v>
      </c>
      <c r="K103" s="13">
        <f t="shared" si="25"/>
        <v>0</v>
      </c>
      <c r="L103" s="13">
        <f t="shared" si="25"/>
        <v>4</v>
      </c>
      <c r="M103" s="13">
        <f t="shared" si="25"/>
        <v>0</v>
      </c>
      <c r="N103" s="13">
        <f t="shared" si="25"/>
        <v>2</v>
      </c>
      <c r="O103" s="13">
        <f t="shared" si="25"/>
        <v>4</v>
      </c>
      <c r="P103" s="13">
        <f t="shared" si="25"/>
        <v>0</v>
      </c>
      <c r="Q103" s="13">
        <f t="shared" si="25"/>
        <v>2</v>
      </c>
      <c r="R103" s="13">
        <f t="shared" si="25"/>
        <v>10</v>
      </c>
      <c r="S103" s="13">
        <f t="shared" si="25"/>
        <v>5</v>
      </c>
      <c r="T103" s="13">
        <f t="shared" si="25"/>
        <v>4</v>
      </c>
      <c r="U103" s="13">
        <f t="shared" si="25"/>
        <v>0</v>
      </c>
      <c r="V103" s="13">
        <f t="shared" si="25"/>
        <v>1</v>
      </c>
      <c r="W103" s="13">
        <f t="shared" si="25"/>
        <v>5</v>
      </c>
      <c r="X103" s="13">
        <f t="shared" si="25"/>
        <v>0</v>
      </c>
      <c r="Y103" s="13">
        <f t="shared" si="25"/>
        <v>0</v>
      </c>
      <c r="Z103" s="13">
        <f t="shared" si="25"/>
        <v>3</v>
      </c>
      <c r="AA103" s="13">
        <f t="shared" si="25"/>
        <v>1</v>
      </c>
      <c r="AB103" s="13">
        <f t="shared" si="25"/>
        <v>5</v>
      </c>
      <c r="AC103" s="13">
        <f t="shared" si="25"/>
        <v>63</v>
      </c>
    </row>
    <row r="104" ht="12.75" customHeight="1">
      <c r="A104" s="24"/>
      <c r="B104" s="15"/>
      <c r="C104" s="15"/>
      <c r="D104" s="15"/>
      <c r="E104" s="16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Y104" s="72"/>
      <c r="Z104" s="72"/>
      <c r="AA104" s="72"/>
      <c r="AB104" s="72"/>
      <c r="AC104" s="13"/>
    </row>
    <row r="105" ht="12.75" customHeight="1">
      <c r="A105" s="30" t="s">
        <v>37</v>
      </c>
      <c r="B105" s="47" t="s">
        <v>90</v>
      </c>
      <c r="C105" s="48" t="s">
        <v>91</v>
      </c>
      <c r="D105" s="16"/>
      <c r="E105" s="19">
        <v>1.0</v>
      </c>
      <c r="F105" s="19">
        <v>0.0</v>
      </c>
      <c r="G105" s="19">
        <v>1.0</v>
      </c>
      <c r="H105" s="19">
        <v>0.0</v>
      </c>
      <c r="I105" s="19">
        <v>0.0</v>
      </c>
      <c r="J105" s="19">
        <v>1.0</v>
      </c>
      <c r="K105" s="19">
        <v>0.0</v>
      </c>
      <c r="L105" s="19">
        <v>1.0</v>
      </c>
      <c r="M105" s="19">
        <v>0.0</v>
      </c>
      <c r="N105" s="19">
        <v>1.0</v>
      </c>
      <c r="O105" s="19">
        <v>2.0</v>
      </c>
      <c r="P105" s="19">
        <v>1.0</v>
      </c>
      <c r="Q105" s="19">
        <v>0.0</v>
      </c>
      <c r="R105" s="19">
        <v>1.0</v>
      </c>
      <c r="S105" s="19">
        <v>0.0</v>
      </c>
      <c r="T105" s="19">
        <v>0.0</v>
      </c>
      <c r="U105" s="19">
        <v>0.0</v>
      </c>
      <c r="V105" s="19">
        <v>1.0</v>
      </c>
      <c r="W105" s="19">
        <v>1.0</v>
      </c>
      <c r="X105" s="19">
        <v>0.0</v>
      </c>
      <c r="Y105" s="19">
        <v>1.0</v>
      </c>
      <c r="Z105" s="19">
        <v>0.0</v>
      </c>
      <c r="AA105" s="19">
        <v>2.0</v>
      </c>
      <c r="AB105" s="19">
        <v>0.0</v>
      </c>
      <c r="AC105" s="13">
        <f t="shared" ref="AC105:AC108" si="26">SUM(E105:AB105)</f>
        <v>14</v>
      </c>
    </row>
    <row r="106" ht="12.75" customHeight="1">
      <c r="A106" s="30" t="s">
        <v>39</v>
      </c>
      <c r="B106" s="55">
        <v>1.0</v>
      </c>
      <c r="C106" s="50" t="s">
        <v>92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1.0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3">
        <f t="shared" si="26"/>
        <v>1</v>
      </c>
    </row>
    <row r="107" ht="12.75" customHeight="1">
      <c r="A107" s="18"/>
      <c r="B107" s="55">
        <v>2.0</v>
      </c>
      <c r="C107" s="50" t="s">
        <v>93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1.0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3">
        <f t="shared" si="26"/>
        <v>1</v>
      </c>
    </row>
    <row r="108" ht="12.75" customHeight="1">
      <c r="A108" s="18"/>
      <c r="B108" s="55">
        <v>3.0</v>
      </c>
      <c r="C108" s="50" t="s">
        <v>94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1.0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3">
        <f t="shared" si="26"/>
        <v>1</v>
      </c>
    </row>
    <row r="109" ht="12.75" customHeight="1">
      <c r="A109" s="19" t="s">
        <v>15</v>
      </c>
      <c r="B109" s="47" t="s">
        <v>47</v>
      </c>
      <c r="C109" s="15"/>
      <c r="D109" s="16"/>
      <c r="E109" s="13">
        <f t="shared" ref="E109:AC109" si="27">SUM(E105:E108)</f>
        <v>1</v>
      </c>
      <c r="F109" s="13">
        <f t="shared" si="27"/>
        <v>0</v>
      </c>
      <c r="G109" s="13">
        <f t="shared" si="27"/>
        <v>1</v>
      </c>
      <c r="H109" s="13">
        <f t="shared" si="27"/>
        <v>0</v>
      </c>
      <c r="I109" s="13">
        <f t="shared" si="27"/>
        <v>0</v>
      </c>
      <c r="J109" s="13">
        <f t="shared" si="27"/>
        <v>1</v>
      </c>
      <c r="K109" s="13">
        <f t="shared" si="27"/>
        <v>0</v>
      </c>
      <c r="L109" s="13">
        <f t="shared" si="27"/>
        <v>2</v>
      </c>
      <c r="M109" s="13">
        <f t="shared" si="27"/>
        <v>0</v>
      </c>
      <c r="N109" s="13">
        <f t="shared" si="27"/>
        <v>2</v>
      </c>
      <c r="O109" s="13">
        <f t="shared" si="27"/>
        <v>2</v>
      </c>
      <c r="P109" s="13">
        <f t="shared" si="27"/>
        <v>1</v>
      </c>
      <c r="Q109" s="13">
        <f t="shared" si="27"/>
        <v>0</v>
      </c>
      <c r="R109" s="13">
        <f t="shared" si="27"/>
        <v>2</v>
      </c>
      <c r="S109" s="13">
        <f t="shared" si="27"/>
        <v>0</v>
      </c>
      <c r="T109" s="13">
        <f t="shared" si="27"/>
        <v>0</v>
      </c>
      <c r="U109" s="13">
        <f t="shared" si="27"/>
        <v>0</v>
      </c>
      <c r="V109" s="13">
        <f t="shared" si="27"/>
        <v>1</v>
      </c>
      <c r="W109" s="13">
        <f t="shared" si="27"/>
        <v>1</v>
      </c>
      <c r="X109" s="13">
        <f t="shared" si="27"/>
        <v>0</v>
      </c>
      <c r="Y109" s="13">
        <f t="shared" si="27"/>
        <v>1</v>
      </c>
      <c r="Z109" s="13">
        <f t="shared" si="27"/>
        <v>0</v>
      </c>
      <c r="AA109" s="13">
        <f t="shared" si="27"/>
        <v>2</v>
      </c>
      <c r="AB109" s="13">
        <f t="shared" si="27"/>
        <v>0</v>
      </c>
      <c r="AC109" s="13">
        <f t="shared" si="27"/>
        <v>17</v>
      </c>
    </row>
    <row r="110" ht="12.75" customHeight="1">
      <c r="A110" s="24"/>
      <c r="B110" s="15"/>
      <c r="C110" s="15"/>
      <c r="D110" s="15"/>
      <c r="E110" s="16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</row>
    <row r="111" ht="12.75" customHeight="1">
      <c r="A111" s="30" t="s">
        <v>37</v>
      </c>
      <c r="B111" s="47" t="s">
        <v>95</v>
      </c>
      <c r="C111" s="48" t="s">
        <v>96</v>
      </c>
      <c r="D111" s="16"/>
      <c r="E111" s="19">
        <v>0.0</v>
      </c>
      <c r="F111" s="19">
        <v>1.0</v>
      </c>
      <c r="G111" s="19">
        <v>0.0</v>
      </c>
      <c r="H111" s="19">
        <v>0.0</v>
      </c>
      <c r="I111" s="19">
        <v>2.0</v>
      </c>
      <c r="J111" s="19">
        <v>0.0</v>
      </c>
      <c r="K111" s="19">
        <v>5.0</v>
      </c>
      <c r="L111" s="19">
        <v>2.0</v>
      </c>
      <c r="M111" s="19">
        <v>0.0</v>
      </c>
      <c r="N111" s="19">
        <v>3.0</v>
      </c>
      <c r="O111" s="19">
        <v>3.0</v>
      </c>
      <c r="P111" s="19">
        <v>2.0</v>
      </c>
      <c r="Q111" s="19">
        <v>7.0</v>
      </c>
      <c r="R111" s="19">
        <v>5.0</v>
      </c>
      <c r="S111" s="19">
        <v>4.0</v>
      </c>
      <c r="T111" s="19">
        <v>6.0</v>
      </c>
      <c r="U111" s="19">
        <v>2.0</v>
      </c>
      <c r="V111" s="19">
        <v>0.0</v>
      </c>
      <c r="W111" s="19">
        <v>0.0</v>
      </c>
      <c r="X111" s="19">
        <v>2.0</v>
      </c>
      <c r="Y111" s="19">
        <v>0.0</v>
      </c>
      <c r="Z111" s="19">
        <v>0.0</v>
      </c>
      <c r="AA111" s="19">
        <v>2.0</v>
      </c>
      <c r="AB111" s="19">
        <v>0.0</v>
      </c>
      <c r="AC111" s="13">
        <f t="shared" ref="AC111:AC118" si="28">SUM(E111:AB111)</f>
        <v>46</v>
      </c>
    </row>
    <row r="112" ht="12.75" customHeight="1">
      <c r="A112" s="30" t="s">
        <v>39</v>
      </c>
      <c r="B112" s="55">
        <v>1.0</v>
      </c>
      <c r="C112" s="50" t="s">
        <v>97</v>
      </c>
      <c r="D112" s="56"/>
      <c r="E112" s="19">
        <v>0.0</v>
      </c>
      <c r="F112" s="19">
        <v>0.0</v>
      </c>
      <c r="G112" s="19">
        <v>2.0</v>
      </c>
      <c r="H112" s="19">
        <v>1.0</v>
      </c>
      <c r="I112" s="19">
        <v>0.0</v>
      </c>
      <c r="J112" s="19">
        <v>1.0</v>
      </c>
      <c r="K112" s="19">
        <v>4.0</v>
      </c>
      <c r="L112" s="19">
        <v>11.0</v>
      </c>
      <c r="M112" s="19">
        <v>2.0</v>
      </c>
      <c r="N112" s="19">
        <v>14.0</v>
      </c>
      <c r="O112" s="19">
        <v>7.0</v>
      </c>
      <c r="P112" s="19">
        <v>3.0</v>
      </c>
      <c r="Q112" s="19">
        <v>12.0</v>
      </c>
      <c r="R112" s="19">
        <v>8.0</v>
      </c>
      <c r="S112" s="19">
        <v>4.0</v>
      </c>
      <c r="T112" s="19">
        <v>8.0</v>
      </c>
      <c r="U112" s="19">
        <v>1.0</v>
      </c>
      <c r="V112" s="19">
        <v>0.0</v>
      </c>
      <c r="W112" s="19">
        <v>2.0</v>
      </c>
      <c r="X112" s="19">
        <v>0.0</v>
      </c>
      <c r="Y112" s="19">
        <v>0.0</v>
      </c>
      <c r="Z112" s="19">
        <v>0.0</v>
      </c>
      <c r="AA112" s="19">
        <v>9.0</v>
      </c>
      <c r="AB112" s="19">
        <v>1.0</v>
      </c>
      <c r="AC112" s="13">
        <f t="shared" si="28"/>
        <v>90</v>
      </c>
    </row>
    <row r="113" ht="12.75" customHeight="1">
      <c r="A113" s="18"/>
      <c r="B113" s="55">
        <v>2.0</v>
      </c>
      <c r="C113" s="50" t="s">
        <v>98</v>
      </c>
      <c r="D113" s="56"/>
      <c r="E113" s="19">
        <v>0.0</v>
      </c>
      <c r="F113" s="19">
        <v>1.0</v>
      </c>
      <c r="G113" s="19">
        <v>0.0</v>
      </c>
      <c r="H113" s="19">
        <v>0.0</v>
      </c>
      <c r="I113" s="19">
        <v>0.0</v>
      </c>
      <c r="J113" s="19">
        <v>1.0</v>
      </c>
      <c r="K113" s="19">
        <v>0.0</v>
      </c>
      <c r="L113" s="19">
        <v>0.0</v>
      </c>
      <c r="M113" s="19">
        <v>0.0</v>
      </c>
      <c r="N113" s="19">
        <v>0.0</v>
      </c>
      <c r="O113" s="19">
        <v>0.0</v>
      </c>
      <c r="P113" s="19">
        <v>0.0</v>
      </c>
      <c r="Q113" s="19">
        <v>0.0</v>
      </c>
      <c r="R113" s="19">
        <v>2.0</v>
      </c>
      <c r="S113" s="19">
        <v>0.0</v>
      </c>
      <c r="T113" s="19">
        <v>0.0</v>
      </c>
      <c r="U113" s="19">
        <v>1.0</v>
      </c>
      <c r="V113" s="19">
        <v>0.0</v>
      </c>
      <c r="W113" s="19">
        <v>0.0</v>
      </c>
      <c r="X113" s="19">
        <v>0.0</v>
      </c>
      <c r="Y113" s="19">
        <v>3.0</v>
      </c>
      <c r="Z113" s="19">
        <v>0.0</v>
      </c>
      <c r="AA113" s="19">
        <v>0.0</v>
      </c>
      <c r="AB113" s="19">
        <v>0.0</v>
      </c>
      <c r="AC113" s="13">
        <f t="shared" si="28"/>
        <v>8</v>
      </c>
    </row>
    <row r="114" ht="12.75" customHeight="1">
      <c r="A114" s="18"/>
      <c r="B114" s="55">
        <v>3.0</v>
      </c>
      <c r="C114" s="50" t="s">
        <v>99</v>
      </c>
      <c r="D114" s="56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0.0</v>
      </c>
      <c r="R114" s="19">
        <v>0.0</v>
      </c>
      <c r="S114" s="19">
        <v>0.0</v>
      </c>
      <c r="T114" s="19">
        <v>0.0</v>
      </c>
      <c r="U114" s="19">
        <v>0.0</v>
      </c>
      <c r="V114" s="19">
        <v>0.0</v>
      </c>
      <c r="W114" s="19">
        <v>0.0</v>
      </c>
      <c r="X114" s="19">
        <v>0.0</v>
      </c>
      <c r="Y114" s="19">
        <v>0.0</v>
      </c>
      <c r="Z114" s="19">
        <v>0.0</v>
      </c>
      <c r="AA114" s="19">
        <v>0.0</v>
      </c>
      <c r="AB114" s="19">
        <v>0.0</v>
      </c>
      <c r="AC114" s="13">
        <f t="shared" si="28"/>
        <v>0</v>
      </c>
    </row>
    <row r="115" ht="12.75" customHeight="1">
      <c r="A115" s="18"/>
      <c r="B115" s="55">
        <v>4.0</v>
      </c>
      <c r="C115" s="50" t="s">
        <v>100</v>
      </c>
      <c r="D115" s="56"/>
      <c r="E115" s="19">
        <v>0.0</v>
      </c>
      <c r="F115" s="19">
        <v>0.0</v>
      </c>
      <c r="G115" s="19">
        <v>0.0</v>
      </c>
      <c r="H115" s="19">
        <v>0.0</v>
      </c>
      <c r="I115" s="19">
        <v>0.0</v>
      </c>
      <c r="J115" s="19">
        <v>0.0</v>
      </c>
      <c r="K115" s="19">
        <v>0.0</v>
      </c>
      <c r="L115" s="19">
        <v>0.0</v>
      </c>
      <c r="M115" s="19">
        <v>0.0</v>
      </c>
      <c r="N115" s="19">
        <v>0.0</v>
      </c>
      <c r="O115" s="19">
        <v>0.0</v>
      </c>
      <c r="P115" s="19">
        <v>0.0</v>
      </c>
      <c r="Q115" s="19">
        <v>0.0</v>
      </c>
      <c r="R115" s="19">
        <v>0.0</v>
      </c>
      <c r="S115" s="19">
        <v>0.0</v>
      </c>
      <c r="T115" s="19">
        <v>1.0</v>
      </c>
      <c r="U115" s="19">
        <v>0.0</v>
      </c>
      <c r="V115" s="19">
        <v>0.0</v>
      </c>
      <c r="W115" s="19">
        <v>0.0</v>
      </c>
      <c r="X115" s="19">
        <v>0.0</v>
      </c>
      <c r="Y115" s="19">
        <v>0.0</v>
      </c>
      <c r="Z115" s="19">
        <v>0.0</v>
      </c>
      <c r="AA115" s="19">
        <v>1.0</v>
      </c>
      <c r="AB115" s="19">
        <v>0.0</v>
      </c>
      <c r="AC115" s="13">
        <f t="shared" si="28"/>
        <v>2</v>
      </c>
    </row>
    <row r="116" ht="12.75" customHeight="1">
      <c r="A116" s="18"/>
      <c r="B116" s="55">
        <v>5.0</v>
      </c>
      <c r="C116" s="50" t="s">
        <v>101</v>
      </c>
      <c r="D116" s="56"/>
      <c r="E116" s="19">
        <v>0.0</v>
      </c>
      <c r="F116" s="19">
        <v>0.0</v>
      </c>
      <c r="G116" s="19">
        <v>0.0</v>
      </c>
      <c r="H116" s="19">
        <v>0.0</v>
      </c>
      <c r="I116" s="19">
        <v>0.0</v>
      </c>
      <c r="J116" s="19">
        <v>0.0</v>
      </c>
      <c r="K116" s="19">
        <v>0.0</v>
      </c>
      <c r="L116" s="19">
        <v>0.0</v>
      </c>
      <c r="M116" s="19">
        <v>0.0</v>
      </c>
      <c r="N116" s="19">
        <v>0.0</v>
      </c>
      <c r="O116" s="19">
        <v>1.0</v>
      </c>
      <c r="P116" s="19">
        <v>0.0</v>
      </c>
      <c r="Q116" s="19">
        <v>0.0</v>
      </c>
      <c r="R116" s="19">
        <v>0.0</v>
      </c>
      <c r="S116" s="19">
        <v>1.0</v>
      </c>
      <c r="T116" s="19">
        <v>0.0</v>
      </c>
      <c r="U116" s="19">
        <v>0.0</v>
      </c>
      <c r="V116" s="19">
        <v>0.0</v>
      </c>
      <c r="W116" s="19">
        <v>0.0</v>
      </c>
      <c r="X116" s="19">
        <v>0.0</v>
      </c>
      <c r="Y116" s="19">
        <v>0.0</v>
      </c>
      <c r="Z116" s="19">
        <v>0.0</v>
      </c>
      <c r="AA116" s="19">
        <v>0.0</v>
      </c>
      <c r="AB116" s="19">
        <v>0.0</v>
      </c>
      <c r="AC116" s="13">
        <f t="shared" si="28"/>
        <v>2</v>
      </c>
    </row>
    <row r="117" ht="12.75" customHeight="1">
      <c r="A117" s="18"/>
      <c r="B117" s="55">
        <v>6.0</v>
      </c>
      <c r="C117" s="50" t="s">
        <v>102</v>
      </c>
      <c r="D117" s="57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3">
        <f t="shared" si="28"/>
        <v>0</v>
      </c>
    </row>
    <row r="118" ht="12.75" customHeight="1">
      <c r="A118" s="18"/>
      <c r="B118" s="55">
        <v>7.0</v>
      </c>
      <c r="C118" s="50" t="s">
        <v>103</v>
      </c>
      <c r="D118" s="56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1.0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1.0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3">
        <f t="shared" si="28"/>
        <v>2</v>
      </c>
    </row>
    <row r="119" ht="12.75" customHeight="1">
      <c r="A119" s="19" t="s">
        <v>15</v>
      </c>
      <c r="B119" s="47" t="s">
        <v>47</v>
      </c>
      <c r="C119" s="15"/>
      <c r="D119" s="16"/>
      <c r="E119" s="13">
        <f t="shared" ref="E119:AC119" si="29">SUM(E111:E118)</f>
        <v>0</v>
      </c>
      <c r="F119" s="13">
        <f t="shared" si="29"/>
        <v>2</v>
      </c>
      <c r="G119" s="13">
        <f t="shared" si="29"/>
        <v>2</v>
      </c>
      <c r="H119" s="13">
        <f t="shared" si="29"/>
        <v>1</v>
      </c>
      <c r="I119" s="13">
        <f t="shared" si="29"/>
        <v>2</v>
      </c>
      <c r="J119" s="13">
        <f t="shared" si="29"/>
        <v>2</v>
      </c>
      <c r="K119" s="13">
        <f t="shared" si="29"/>
        <v>9</v>
      </c>
      <c r="L119" s="13">
        <f t="shared" si="29"/>
        <v>14</v>
      </c>
      <c r="M119" s="13">
        <f t="shared" si="29"/>
        <v>2</v>
      </c>
      <c r="N119" s="13">
        <f t="shared" si="29"/>
        <v>17</v>
      </c>
      <c r="O119" s="13">
        <f t="shared" si="29"/>
        <v>11</v>
      </c>
      <c r="P119" s="13">
        <f t="shared" si="29"/>
        <v>5</v>
      </c>
      <c r="Q119" s="13">
        <f t="shared" si="29"/>
        <v>19</v>
      </c>
      <c r="R119" s="13">
        <f t="shared" si="29"/>
        <v>16</v>
      </c>
      <c r="S119" s="13">
        <f t="shared" si="29"/>
        <v>9</v>
      </c>
      <c r="T119" s="13">
        <f t="shared" si="29"/>
        <v>15</v>
      </c>
      <c r="U119" s="13">
        <f t="shared" si="29"/>
        <v>4</v>
      </c>
      <c r="V119" s="13">
        <f t="shared" si="29"/>
        <v>0</v>
      </c>
      <c r="W119" s="13">
        <f t="shared" si="29"/>
        <v>2</v>
      </c>
      <c r="X119" s="13">
        <f t="shared" si="29"/>
        <v>2</v>
      </c>
      <c r="Y119" s="13">
        <f t="shared" si="29"/>
        <v>3</v>
      </c>
      <c r="Z119" s="13">
        <f t="shared" si="29"/>
        <v>0</v>
      </c>
      <c r="AA119" s="13">
        <f t="shared" si="29"/>
        <v>12</v>
      </c>
      <c r="AB119" s="13">
        <f t="shared" si="29"/>
        <v>1</v>
      </c>
      <c r="AC119" s="13">
        <f t="shared" si="29"/>
        <v>150</v>
      </c>
    </row>
    <row r="120" ht="12.75" customHeight="1">
      <c r="A120" s="24"/>
      <c r="B120" s="15"/>
      <c r="C120" s="15"/>
      <c r="D120" s="15"/>
      <c r="E120" s="16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 ht="12.75" customHeight="1">
      <c r="A121" s="30" t="s">
        <v>37</v>
      </c>
      <c r="B121" s="47" t="s">
        <v>104</v>
      </c>
      <c r="C121" s="48" t="s">
        <v>105</v>
      </c>
      <c r="D121" s="16"/>
      <c r="E121" s="19">
        <v>1.0</v>
      </c>
      <c r="F121" s="19">
        <v>0.0</v>
      </c>
      <c r="G121" s="19">
        <v>0.0</v>
      </c>
      <c r="H121" s="19">
        <v>0.0</v>
      </c>
      <c r="I121" s="19">
        <v>1.0</v>
      </c>
      <c r="J121" s="19">
        <v>0.0</v>
      </c>
      <c r="K121" s="19">
        <v>0.0</v>
      </c>
      <c r="L121" s="19">
        <v>1.0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2.0</v>
      </c>
      <c r="U121" s="19">
        <v>0.0</v>
      </c>
      <c r="V121" s="19">
        <v>0.0</v>
      </c>
      <c r="W121" s="19">
        <v>1.0</v>
      </c>
      <c r="X121" s="19">
        <v>0.0</v>
      </c>
      <c r="Y121" s="19">
        <v>0.0</v>
      </c>
      <c r="Z121" s="19">
        <v>0.0</v>
      </c>
      <c r="AA121" s="19">
        <v>0.0</v>
      </c>
      <c r="AB121" s="19">
        <v>0.0</v>
      </c>
      <c r="AC121" s="13">
        <f t="shared" ref="AC121:AC128" si="30">SUM(E121:AB121)</f>
        <v>6</v>
      </c>
    </row>
    <row r="122" ht="12.75" customHeight="1">
      <c r="A122" s="30" t="s">
        <v>39</v>
      </c>
      <c r="B122" s="55">
        <v>1.0</v>
      </c>
      <c r="C122" s="50" t="s">
        <v>106</v>
      </c>
      <c r="D122" s="57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9">
        <v>0.0</v>
      </c>
      <c r="T122" s="19">
        <v>0.0</v>
      </c>
      <c r="U122" s="19">
        <v>0.0</v>
      </c>
      <c r="V122" s="19">
        <v>0.0</v>
      </c>
      <c r="W122" s="19">
        <v>0.0</v>
      </c>
      <c r="X122" s="19">
        <v>0.0</v>
      </c>
      <c r="Y122" s="19">
        <v>0.0</v>
      </c>
      <c r="Z122" s="19">
        <v>0.0</v>
      </c>
      <c r="AA122" s="19">
        <v>0.0</v>
      </c>
      <c r="AB122" s="19">
        <v>0.0</v>
      </c>
      <c r="AC122" s="13">
        <f t="shared" si="30"/>
        <v>0</v>
      </c>
    </row>
    <row r="123" ht="12.75" customHeight="1">
      <c r="A123" s="18"/>
      <c r="B123" s="55">
        <v>2.0</v>
      </c>
      <c r="C123" s="50" t="s">
        <v>107</v>
      </c>
      <c r="D123" s="57"/>
      <c r="E123" s="19">
        <v>0.0</v>
      </c>
      <c r="F123" s="19">
        <v>0.0</v>
      </c>
      <c r="G123" s="19">
        <v>0.0</v>
      </c>
      <c r="H123" s="19">
        <v>1.0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9">
        <v>0.0</v>
      </c>
      <c r="W123" s="19">
        <v>0.0</v>
      </c>
      <c r="X123" s="19">
        <v>0.0</v>
      </c>
      <c r="Y123" s="19">
        <v>0.0</v>
      </c>
      <c r="Z123" s="19">
        <v>0.0</v>
      </c>
      <c r="AA123" s="19">
        <v>0.0</v>
      </c>
      <c r="AB123" s="19">
        <v>0.0</v>
      </c>
      <c r="AC123" s="13">
        <f t="shared" si="30"/>
        <v>1</v>
      </c>
    </row>
    <row r="124" ht="12.75" customHeight="1">
      <c r="A124" s="18"/>
      <c r="B124" s="55">
        <v>3.0</v>
      </c>
      <c r="C124" s="50" t="s">
        <v>108</v>
      </c>
      <c r="D124" s="57"/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9">
        <v>0.0</v>
      </c>
      <c r="S124" s="19">
        <v>0.0</v>
      </c>
      <c r="T124" s="19">
        <v>0.0</v>
      </c>
      <c r="U124" s="19">
        <v>0.0</v>
      </c>
      <c r="V124" s="19">
        <v>0.0</v>
      </c>
      <c r="W124" s="19">
        <v>0.0</v>
      </c>
      <c r="X124" s="19">
        <v>0.0</v>
      </c>
      <c r="Y124" s="19">
        <v>0.0</v>
      </c>
      <c r="Z124" s="19">
        <v>0.0</v>
      </c>
      <c r="AA124" s="19">
        <v>0.0</v>
      </c>
      <c r="AB124" s="19">
        <v>0.0</v>
      </c>
      <c r="AC124" s="13">
        <f t="shared" si="30"/>
        <v>0</v>
      </c>
    </row>
    <row r="125" ht="12.75" customHeight="1">
      <c r="A125" s="18"/>
      <c r="B125" s="55">
        <v>4.0</v>
      </c>
      <c r="C125" s="50" t="s">
        <v>109</v>
      </c>
      <c r="D125" s="57"/>
      <c r="E125" s="19">
        <v>0.0</v>
      </c>
      <c r="F125" s="19">
        <v>0.0</v>
      </c>
      <c r="G125" s="19">
        <v>0.0</v>
      </c>
      <c r="H125" s="19">
        <v>0.0</v>
      </c>
      <c r="I125" s="19">
        <v>0.0</v>
      </c>
      <c r="J125" s="19">
        <v>0.0</v>
      </c>
      <c r="K125" s="19">
        <v>0.0</v>
      </c>
      <c r="L125" s="19">
        <v>0.0</v>
      </c>
      <c r="M125" s="19">
        <v>0.0</v>
      </c>
      <c r="N125" s="19">
        <v>0.0</v>
      </c>
      <c r="O125" s="19">
        <v>0.0</v>
      </c>
      <c r="P125" s="19">
        <v>0.0</v>
      </c>
      <c r="Q125" s="19">
        <v>0.0</v>
      </c>
      <c r="R125" s="19">
        <v>0.0</v>
      </c>
      <c r="S125" s="19">
        <v>0.0</v>
      </c>
      <c r="T125" s="19">
        <v>0.0</v>
      </c>
      <c r="U125" s="19">
        <v>0.0</v>
      </c>
      <c r="V125" s="19">
        <v>0.0</v>
      </c>
      <c r="W125" s="19">
        <v>0.0</v>
      </c>
      <c r="X125" s="19">
        <v>0.0</v>
      </c>
      <c r="Y125" s="19">
        <v>0.0</v>
      </c>
      <c r="Z125" s="19">
        <v>0.0</v>
      </c>
      <c r="AA125" s="19">
        <v>0.0</v>
      </c>
      <c r="AB125" s="19">
        <v>0.0</v>
      </c>
      <c r="AC125" s="13">
        <f t="shared" si="30"/>
        <v>0</v>
      </c>
    </row>
    <row r="126" ht="12.75" customHeight="1">
      <c r="A126" s="18"/>
      <c r="B126" s="55">
        <v>5.0</v>
      </c>
      <c r="C126" s="50" t="s">
        <v>110</v>
      </c>
      <c r="D126" s="57"/>
      <c r="E126" s="19">
        <v>0.0</v>
      </c>
      <c r="F126" s="19">
        <v>0.0</v>
      </c>
      <c r="G126" s="19">
        <v>0.0</v>
      </c>
      <c r="H126" s="19">
        <v>0.0</v>
      </c>
      <c r="I126" s="19">
        <v>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0.0</v>
      </c>
      <c r="Q126" s="19">
        <v>0.0</v>
      </c>
      <c r="R126" s="19">
        <v>0.0</v>
      </c>
      <c r="S126" s="19">
        <v>0.0</v>
      </c>
      <c r="T126" s="19">
        <v>0.0</v>
      </c>
      <c r="U126" s="19">
        <v>0.0</v>
      </c>
      <c r="V126" s="19">
        <v>0.0</v>
      </c>
      <c r="W126" s="19">
        <v>0.0</v>
      </c>
      <c r="X126" s="19">
        <v>0.0</v>
      </c>
      <c r="Y126" s="19">
        <v>0.0</v>
      </c>
      <c r="Z126" s="19">
        <v>0.0</v>
      </c>
      <c r="AA126" s="19">
        <v>0.0</v>
      </c>
      <c r="AB126" s="19">
        <v>0.0</v>
      </c>
      <c r="AC126" s="13">
        <f t="shared" si="30"/>
        <v>0</v>
      </c>
    </row>
    <row r="127" ht="12.75" customHeight="1">
      <c r="A127" s="18"/>
      <c r="B127" s="55">
        <v>6.0</v>
      </c>
      <c r="C127" s="50" t="s">
        <v>111</v>
      </c>
      <c r="D127" s="57"/>
      <c r="E127" s="19">
        <v>0.0</v>
      </c>
      <c r="F127" s="19">
        <v>0.0</v>
      </c>
      <c r="G127" s="19">
        <v>0.0</v>
      </c>
      <c r="H127" s="19">
        <v>0.0</v>
      </c>
      <c r="I127" s="19">
        <v>0.0</v>
      </c>
      <c r="J127" s="19">
        <v>0.0</v>
      </c>
      <c r="K127" s="19">
        <v>0.0</v>
      </c>
      <c r="L127" s="19">
        <v>0.0</v>
      </c>
      <c r="M127" s="19">
        <v>0.0</v>
      </c>
      <c r="N127" s="19">
        <v>0.0</v>
      </c>
      <c r="O127" s="19">
        <v>0.0</v>
      </c>
      <c r="P127" s="19">
        <v>0.0</v>
      </c>
      <c r="Q127" s="19">
        <v>0.0</v>
      </c>
      <c r="R127" s="19">
        <v>0.0</v>
      </c>
      <c r="S127" s="19">
        <v>0.0</v>
      </c>
      <c r="T127" s="19">
        <v>0.0</v>
      </c>
      <c r="U127" s="19">
        <v>0.0</v>
      </c>
      <c r="V127" s="19">
        <v>0.0</v>
      </c>
      <c r="W127" s="19">
        <v>0.0</v>
      </c>
      <c r="X127" s="19">
        <v>0.0</v>
      </c>
      <c r="Y127" s="19">
        <v>0.0</v>
      </c>
      <c r="Z127" s="19">
        <v>0.0</v>
      </c>
      <c r="AA127" s="19">
        <v>0.0</v>
      </c>
      <c r="AB127" s="19">
        <v>0.0</v>
      </c>
      <c r="AC127" s="13">
        <f t="shared" si="30"/>
        <v>0</v>
      </c>
    </row>
    <row r="128" ht="12.75" customHeight="1">
      <c r="A128" s="18"/>
      <c r="B128" s="55">
        <v>7.0</v>
      </c>
      <c r="C128" s="50" t="s">
        <v>112</v>
      </c>
      <c r="D128" s="57"/>
      <c r="E128" s="19">
        <v>0.0</v>
      </c>
      <c r="F128" s="19">
        <v>0.0</v>
      </c>
      <c r="G128" s="19">
        <v>0.0</v>
      </c>
      <c r="H128" s="19">
        <v>0.0</v>
      </c>
      <c r="I128" s="19">
        <v>0.0</v>
      </c>
      <c r="J128" s="19">
        <v>0.0</v>
      </c>
      <c r="K128" s="19">
        <v>0.0</v>
      </c>
      <c r="L128" s="19">
        <v>0.0</v>
      </c>
      <c r="M128" s="19">
        <v>0.0</v>
      </c>
      <c r="N128" s="19">
        <v>0.0</v>
      </c>
      <c r="O128" s="19">
        <v>0.0</v>
      </c>
      <c r="P128" s="19">
        <v>0.0</v>
      </c>
      <c r="Q128" s="19">
        <v>0.0</v>
      </c>
      <c r="R128" s="19">
        <v>0.0</v>
      </c>
      <c r="S128" s="19">
        <v>0.0</v>
      </c>
      <c r="T128" s="19">
        <v>0.0</v>
      </c>
      <c r="U128" s="19">
        <v>0.0</v>
      </c>
      <c r="V128" s="19">
        <v>0.0</v>
      </c>
      <c r="W128" s="19">
        <v>0.0</v>
      </c>
      <c r="X128" s="19">
        <v>0.0</v>
      </c>
      <c r="Y128" s="19">
        <v>0.0</v>
      </c>
      <c r="Z128" s="19">
        <v>0.0</v>
      </c>
      <c r="AA128" s="19">
        <v>0.0</v>
      </c>
      <c r="AB128" s="19">
        <v>0.0</v>
      </c>
      <c r="AC128" s="13">
        <f t="shared" si="30"/>
        <v>0</v>
      </c>
    </row>
    <row r="129" ht="12.75" customHeight="1">
      <c r="A129" s="19" t="s">
        <v>15</v>
      </c>
      <c r="B129" s="47" t="s">
        <v>47</v>
      </c>
      <c r="C129" s="15"/>
      <c r="D129" s="16"/>
      <c r="E129" s="13">
        <f t="shared" ref="E129:AC129" si="31">SUM(E121:E128)</f>
        <v>1</v>
      </c>
      <c r="F129" s="13">
        <f t="shared" si="31"/>
        <v>0</v>
      </c>
      <c r="G129" s="13">
        <f t="shared" si="31"/>
        <v>0</v>
      </c>
      <c r="H129" s="13">
        <f t="shared" si="31"/>
        <v>1</v>
      </c>
      <c r="I129" s="13">
        <f t="shared" si="31"/>
        <v>1</v>
      </c>
      <c r="J129" s="13">
        <f t="shared" si="31"/>
        <v>0</v>
      </c>
      <c r="K129" s="13">
        <f t="shared" si="31"/>
        <v>0</v>
      </c>
      <c r="L129" s="13">
        <f t="shared" si="31"/>
        <v>1</v>
      </c>
      <c r="M129" s="13">
        <f t="shared" si="31"/>
        <v>0</v>
      </c>
      <c r="N129" s="13">
        <f t="shared" si="31"/>
        <v>0</v>
      </c>
      <c r="O129" s="13">
        <f t="shared" si="31"/>
        <v>0</v>
      </c>
      <c r="P129" s="13">
        <f t="shared" si="31"/>
        <v>0</v>
      </c>
      <c r="Q129" s="13">
        <f t="shared" si="31"/>
        <v>0</v>
      </c>
      <c r="R129" s="13">
        <f t="shared" si="31"/>
        <v>0</v>
      </c>
      <c r="S129" s="13">
        <f t="shared" si="31"/>
        <v>0</v>
      </c>
      <c r="T129" s="13">
        <f t="shared" si="31"/>
        <v>2</v>
      </c>
      <c r="U129" s="13">
        <f t="shared" si="31"/>
        <v>0</v>
      </c>
      <c r="V129" s="13">
        <f t="shared" si="31"/>
        <v>0</v>
      </c>
      <c r="W129" s="13">
        <f t="shared" si="31"/>
        <v>1</v>
      </c>
      <c r="X129" s="13">
        <f t="shared" si="31"/>
        <v>0</v>
      </c>
      <c r="Y129" s="13">
        <f t="shared" si="31"/>
        <v>0</v>
      </c>
      <c r="Z129" s="13">
        <f t="shared" si="31"/>
        <v>0</v>
      </c>
      <c r="AA129" s="13">
        <f t="shared" si="31"/>
        <v>0</v>
      </c>
      <c r="AB129" s="13">
        <f t="shared" si="31"/>
        <v>0</v>
      </c>
      <c r="AC129" s="13">
        <f t="shared" si="31"/>
        <v>7</v>
      </c>
    </row>
    <row r="130" ht="12.75" customHeight="1">
      <c r="A130" s="24"/>
      <c r="B130" s="15"/>
      <c r="C130" s="15"/>
      <c r="D130" s="15"/>
      <c r="E130" s="16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13"/>
    </row>
    <row r="131" ht="12.75" customHeight="1">
      <c r="A131" s="30" t="s">
        <v>37</v>
      </c>
      <c r="B131" s="17" t="s">
        <v>113</v>
      </c>
      <c r="C131" s="59" t="s">
        <v>114</v>
      </c>
      <c r="D131" s="23"/>
      <c r="E131" s="19">
        <v>2.0</v>
      </c>
      <c r="F131" s="19">
        <v>0.0</v>
      </c>
      <c r="G131" s="19">
        <v>0.0</v>
      </c>
      <c r="H131" s="19">
        <v>2.0</v>
      </c>
      <c r="I131" s="19">
        <v>0.0</v>
      </c>
      <c r="J131" s="19">
        <v>5.0</v>
      </c>
      <c r="K131" s="19">
        <v>0.0</v>
      </c>
      <c r="L131" s="19">
        <v>0.0</v>
      </c>
      <c r="M131" s="19">
        <v>0.0</v>
      </c>
      <c r="N131" s="19">
        <v>0.0</v>
      </c>
      <c r="O131" s="19">
        <v>1.0</v>
      </c>
      <c r="P131" s="19">
        <v>0.0</v>
      </c>
      <c r="Q131" s="19">
        <v>0.0</v>
      </c>
      <c r="R131" s="19">
        <v>0.0</v>
      </c>
      <c r="S131" s="19">
        <v>0.0</v>
      </c>
      <c r="T131" s="19">
        <v>4.0</v>
      </c>
      <c r="U131" s="19">
        <v>0.0</v>
      </c>
      <c r="V131" s="19">
        <v>0.0</v>
      </c>
      <c r="W131" s="19">
        <v>1.0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3">
        <f t="shared" ref="AC131:AC135" si="32">SUM(E131:AB131)</f>
        <v>15</v>
      </c>
    </row>
    <row r="132" ht="12.75" customHeight="1">
      <c r="A132" s="60" t="s">
        <v>39</v>
      </c>
      <c r="B132" s="55">
        <v>1.0</v>
      </c>
      <c r="C132" s="61" t="s">
        <v>115</v>
      </c>
      <c r="D132" s="57"/>
      <c r="E132" s="74">
        <v>0.0</v>
      </c>
      <c r="F132" s="19">
        <v>0.0</v>
      </c>
      <c r="G132" s="19">
        <v>8.0</v>
      </c>
      <c r="H132" s="19">
        <v>7.0</v>
      </c>
      <c r="I132" s="19">
        <v>3.0</v>
      </c>
      <c r="J132" s="19">
        <v>3.0</v>
      </c>
      <c r="K132" s="19">
        <v>0.0</v>
      </c>
      <c r="L132" s="19">
        <v>0.0</v>
      </c>
      <c r="M132" s="19">
        <v>1.0</v>
      </c>
      <c r="N132" s="19">
        <v>0.0</v>
      </c>
      <c r="O132" s="19">
        <v>0.0</v>
      </c>
      <c r="P132" s="19">
        <v>0.0</v>
      </c>
      <c r="Q132" s="19">
        <v>0.0</v>
      </c>
      <c r="R132" s="19">
        <v>1.0</v>
      </c>
      <c r="S132" s="19">
        <v>0.0</v>
      </c>
      <c r="T132" s="19">
        <v>2.0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1.0</v>
      </c>
      <c r="AC132" s="13">
        <f t="shared" si="32"/>
        <v>26</v>
      </c>
    </row>
    <row r="133" ht="12.75" customHeight="1">
      <c r="A133" s="18"/>
      <c r="B133" s="55">
        <v>2.0</v>
      </c>
      <c r="C133" s="61" t="s">
        <v>116</v>
      </c>
      <c r="D133" s="57"/>
      <c r="E133" s="74">
        <v>0.0</v>
      </c>
      <c r="F133" s="19">
        <v>1.0</v>
      </c>
      <c r="G133" s="19">
        <v>1.0</v>
      </c>
      <c r="H133" s="19">
        <v>1.0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3">
        <f t="shared" si="32"/>
        <v>3</v>
      </c>
    </row>
    <row r="134" ht="12.75" customHeight="1">
      <c r="A134" s="18"/>
      <c r="B134" s="55">
        <v>3.0</v>
      </c>
      <c r="C134" s="61" t="s">
        <v>117</v>
      </c>
      <c r="D134" s="57"/>
      <c r="E134" s="74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1.0</v>
      </c>
      <c r="AC134" s="13">
        <f t="shared" si="32"/>
        <v>1</v>
      </c>
    </row>
    <row r="135" ht="12.75" customHeight="1">
      <c r="A135" s="18"/>
      <c r="B135" s="55">
        <v>4.0</v>
      </c>
      <c r="C135" s="61" t="s">
        <v>118</v>
      </c>
      <c r="D135" s="57"/>
      <c r="E135" s="74">
        <v>0.0</v>
      </c>
      <c r="F135" s="19">
        <v>0.0</v>
      </c>
      <c r="G135" s="19">
        <v>0.0</v>
      </c>
      <c r="H135" s="19">
        <v>0.0</v>
      </c>
      <c r="I135" s="19">
        <v>1.0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3">
        <f t="shared" si="32"/>
        <v>1</v>
      </c>
    </row>
    <row r="136" ht="12.75" customHeight="1">
      <c r="A136" s="19" t="s">
        <v>15</v>
      </c>
      <c r="B136" s="62" t="s">
        <v>47</v>
      </c>
      <c r="C136" s="44"/>
      <c r="D136" s="28"/>
      <c r="E136" s="13">
        <f t="shared" ref="E136:AC136" si="33">SUM(E131:E135)</f>
        <v>2</v>
      </c>
      <c r="F136" s="13">
        <f t="shared" si="33"/>
        <v>1</v>
      </c>
      <c r="G136" s="13">
        <f t="shared" si="33"/>
        <v>9</v>
      </c>
      <c r="H136" s="13">
        <f t="shared" si="33"/>
        <v>10</v>
      </c>
      <c r="I136" s="13">
        <f t="shared" si="33"/>
        <v>4</v>
      </c>
      <c r="J136" s="13">
        <f t="shared" si="33"/>
        <v>8</v>
      </c>
      <c r="K136" s="13">
        <f t="shared" si="33"/>
        <v>0</v>
      </c>
      <c r="L136" s="13">
        <f t="shared" si="33"/>
        <v>0</v>
      </c>
      <c r="M136" s="13">
        <f t="shared" si="33"/>
        <v>1</v>
      </c>
      <c r="N136" s="13">
        <f t="shared" si="33"/>
        <v>0</v>
      </c>
      <c r="O136" s="13">
        <f t="shared" si="33"/>
        <v>1</v>
      </c>
      <c r="P136" s="13">
        <f t="shared" si="33"/>
        <v>0</v>
      </c>
      <c r="Q136" s="13">
        <f t="shared" si="33"/>
        <v>0</v>
      </c>
      <c r="R136" s="13">
        <f t="shared" si="33"/>
        <v>1</v>
      </c>
      <c r="S136" s="13">
        <f t="shared" si="33"/>
        <v>0</v>
      </c>
      <c r="T136" s="13">
        <f t="shared" si="33"/>
        <v>6</v>
      </c>
      <c r="U136" s="13">
        <f t="shared" si="33"/>
        <v>0</v>
      </c>
      <c r="V136" s="13">
        <f t="shared" si="33"/>
        <v>0</v>
      </c>
      <c r="W136" s="13">
        <f t="shared" si="33"/>
        <v>1</v>
      </c>
      <c r="X136" s="13">
        <f t="shared" si="33"/>
        <v>0</v>
      </c>
      <c r="Y136" s="13">
        <f t="shared" si="33"/>
        <v>0</v>
      </c>
      <c r="Z136" s="13">
        <f t="shared" si="33"/>
        <v>0</v>
      </c>
      <c r="AA136" s="13">
        <f t="shared" si="33"/>
        <v>0</v>
      </c>
      <c r="AB136" s="13">
        <f t="shared" si="33"/>
        <v>2</v>
      </c>
      <c r="AC136" s="13">
        <f t="shared" si="33"/>
        <v>46</v>
      </c>
    </row>
    <row r="137" ht="12.75" customHeight="1">
      <c r="A137" s="24"/>
      <c r="B137" s="15"/>
      <c r="C137" s="15"/>
      <c r="D137" s="15"/>
      <c r="E137" s="16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</row>
    <row r="138" ht="12.75" customHeight="1">
      <c r="A138" s="30" t="s">
        <v>37</v>
      </c>
      <c r="B138" s="47" t="s">
        <v>119</v>
      </c>
      <c r="C138" s="48" t="s">
        <v>120</v>
      </c>
      <c r="D138" s="16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0.0</v>
      </c>
      <c r="N138" s="19">
        <v>0.0</v>
      </c>
      <c r="O138" s="19">
        <v>0.0</v>
      </c>
      <c r="P138" s="19">
        <v>0.0</v>
      </c>
      <c r="Q138" s="19">
        <v>0.0</v>
      </c>
      <c r="R138" s="19">
        <v>0.0</v>
      </c>
      <c r="S138" s="19">
        <v>0.0</v>
      </c>
      <c r="T138" s="19">
        <v>0.0</v>
      </c>
      <c r="U138" s="19">
        <v>0.0</v>
      </c>
      <c r="V138" s="19">
        <v>2.0</v>
      </c>
      <c r="W138" s="19">
        <v>1.0</v>
      </c>
      <c r="X138" s="19">
        <v>0.0</v>
      </c>
      <c r="Y138" s="19">
        <v>0.0</v>
      </c>
      <c r="Z138" s="19">
        <v>0.0</v>
      </c>
      <c r="AA138" s="19">
        <v>0.0</v>
      </c>
      <c r="AB138" s="19">
        <v>0.0</v>
      </c>
      <c r="AC138" s="13">
        <f t="shared" ref="AC138:AC145" si="34">SUM(E138:AB138)</f>
        <v>3</v>
      </c>
    </row>
    <row r="139" ht="12.75" customHeight="1">
      <c r="A139" s="30" t="s">
        <v>39</v>
      </c>
      <c r="B139" s="55">
        <v>1.0</v>
      </c>
      <c r="C139" s="50" t="s">
        <v>121</v>
      </c>
      <c r="D139" s="57"/>
      <c r="E139" s="19">
        <v>0.0</v>
      </c>
      <c r="F139" s="19">
        <v>0.0</v>
      </c>
      <c r="G139" s="19">
        <v>0.0</v>
      </c>
      <c r="H139" s="19">
        <v>0.0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0.0</v>
      </c>
      <c r="Q139" s="19">
        <v>0.0</v>
      </c>
      <c r="R139" s="19">
        <v>0.0</v>
      </c>
      <c r="S139" s="19">
        <v>0.0</v>
      </c>
      <c r="T139" s="19">
        <v>0.0</v>
      </c>
      <c r="U139" s="19">
        <v>0.0</v>
      </c>
      <c r="V139" s="19">
        <v>0.0</v>
      </c>
      <c r="W139" s="19">
        <v>0.0</v>
      </c>
      <c r="X139" s="19">
        <v>0.0</v>
      </c>
      <c r="Y139" s="19">
        <v>0.0</v>
      </c>
      <c r="Z139" s="19">
        <v>0.0</v>
      </c>
      <c r="AA139" s="19">
        <v>0.0</v>
      </c>
      <c r="AB139" s="19">
        <v>0.0</v>
      </c>
      <c r="AC139" s="13">
        <f t="shared" si="34"/>
        <v>0</v>
      </c>
    </row>
    <row r="140" ht="12.75" customHeight="1">
      <c r="A140" s="18"/>
      <c r="B140" s="55">
        <v>2.0</v>
      </c>
      <c r="C140" s="50" t="s">
        <v>122</v>
      </c>
      <c r="D140" s="57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9">
        <v>0.0</v>
      </c>
      <c r="S140" s="19">
        <v>0.0</v>
      </c>
      <c r="T140" s="19">
        <v>0.0</v>
      </c>
      <c r="U140" s="19">
        <v>0.0</v>
      </c>
      <c r="V140" s="19">
        <v>0.0</v>
      </c>
      <c r="W140" s="19">
        <v>0.0</v>
      </c>
      <c r="X140" s="19">
        <v>0.0</v>
      </c>
      <c r="Y140" s="19">
        <v>0.0</v>
      </c>
      <c r="Z140" s="19">
        <v>0.0</v>
      </c>
      <c r="AA140" s="19">
        <v>0.0</v>
      </c>
      <c r="AB140" s="19">
        <v>0.0</v>
      </c>
      <c r="AC140" s="13">
        <f t="shared" si="34"/>
        <v>0</v>
      </c>
    </row>
    <row r="141" ht="12.75" customHeight="1">
      <c r="A141" s="18"/>
      <c r="B141" s="55">
        <v>3.0</v>
      </c>
      <c r="C141" s="50" t="s">
        <v>123</v>
      </c>
      <c r="D141" s="57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1.0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3">
        <f t="shared" si="34"/>
        <v>1</v>
      </c>
    </row>
    <row r="142" ht="12.75" customHeight="1">
      <c r="A142" s="18"/>
      <c r="B142" s="55">
        <v>4.0</v>
      </c>
      <c r="C142" s="50" t="s">
        <v>124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3">
        <f t="shared" si="34"/>
        <v>0</v>
      </c>
    </row>
    <row r="143" ht="12.75" customHeight="1">
      <c r="A143" s="18"/>
      <c r="B143" s="55">
        <v>5.0</v>
      </c>
      <c r="C143" s="50" t="s">
        <v>125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3">
        <f t="shared" si="34"/>
        <v>0</v>
      </c>
    </row>
    <row r="144" ht="12.75" customHeight="1">
      <c r="A144" s="18"/>
      <c r="B144" s="55">
        <v>6.0</v>
      </c>
      <c r="C144" s="50" t="s">
        <v>126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3">
        <f t="shared" si="34"/>
        <v>0</v>
      </c>
    </row>
    <row r="145" ht="12.75" customHeight="1">
      <c r="A145" s="18"/>
      <c r="B145" s="55">
        <v>7.0</v>
      </c>
      <c r="C145" s="50" t="s">
        <v>127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1.0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3">
        <f t="shared" si="34"/>
        <v>1</v>
      </c>
    </row>
    <row r="146" ht="12.75" customHeight="1">
      <c r="A146" s="19" t="s">
        <v>15</v>
      </c>
      <c r="B146" s="47" t="s">
        <v>47</v>
      </c>
      <c r="C146" s="15"/>
      <c r="D146" s="16"/>
      <c r="E146" s="13">
        <f t="shared" ref="E146:AC146" si="35">SUM(E138:E145)</f>
        <v>0</v>
      </c>
      <c r="F146" s="13">
        <f t="shared" si="35"/>
        <v>0</v>
      </c>
      <c r="G146" s="13">
        <f t="shared" si="35"/>
        <v>0</v>
      </c>
      <c r="H146" s="13">
        <f t="shared" si="35"/>
        <v>0</v>
      </c>
      <c r="I146" s="13">
        <f t="shared" si="35"/>
        <v>0</v>
      </c>
      <c r="J146" s="13">
        <f t="shared" si="35"/>
        <v>0</v>
      </c>
      <c r="K146" s="13">
        <f t="shared" si="35"/>
        <v>0</v>
      </c>
      <c r="L146" s="13">
        <f t="shared" si="35"/>
        <v>0</v>
      </c>
      <c r="M146" s="13">
        <f t="shared" si="35"/>
        <v>1</v>
      </c>
      <c r="N146" s="13">
        <f t="shared" si="35"/>
        <v>0</v>
      </c>
      <c r="O146" s="13">
        <f t="shared" si="35"/>
        <v>0</v>
      </c>
      <c r="P146" s="13">
        <f t="shared" si="35"/>
        <v>0</v>
      </c>
      <c r="Q146" s="13">
        <f t="shared" si="35"/>
        <v>0</v>
      </c>
      <c r="R146" s="13">
        <f t="shared" si="35"/>
        <v>0</v>
      </c>
      <c r="S146" s="13">
        <f t="shared" si="35"/>
        <v>0</v>
      </c>
      <c r="T146" s="13">
        <f t="shared" si="35"/>
        <v>0</v>
      </c>
      <c r="U146" s="13">
        <f t="shared" si="35"/>
        <v>1</v>
      </c>
      <c r="V146" s="13">
        <f t="shared" si="35"/>
        <v>2</v>
      </c>
      <c r="W146" s="13">
        <f t="shared" si="35"/>
        <v>1</v>
      </c>
      <c r="X146" s="13">
        <f t="shared" si="35"/>
        <v>0</v>
      </c>
      <c r="Y146" s="13">
        <f t="shared" si="35"/>
        <v>0</v>
      </c>
      <c r="Z146" s="13">
        <f t="shared" si="35"/>
        <v>0</v>
      </c>
      <c r="AA146" s="13">
        <f t="shared" si="35"/>
        <v>0</v>
      </c>
      <c r="AB146" s="13">
        <f t="shared" si="35"/>
        <v>0</v>
      </c>
      <c r="AC146" s="13">
        <f t="shared" si="35"/>
        <v>5</v>
      </c>
    </row>
    <row r="147" ht="12.75" customHeight="1">
      <c r="A147" s="24"/>
      <c r="B147" s="15"/>
      <c r="C147" s="15"/>
      <c r="D147" s="15"/>
      <c r="E147" s="16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</row>
    <row r="148" ht="12.75" customHeight="1">
      <c r="A148" s="30" t="s">
        <v>37</v>
      </c>
      <c r="B148" s="47" t="s">
        <v>128</v>
      </c>
      <c r="C148" s="48" t="s">
        <v>129</v>
      </c>
      <c r="D148" s="16"/>
      <c r="E148" s="19">
        <v>0.0</v>
      </c>
      <c r="F148" s="19">
        <v>0.0</v>
      </c>
      <c r="G148" s="19">
        <v>0.0</v>
      </c>
      <c r="H148" s="19">
        <v>4.0</v>
      </c>
      <c r="I148" s="19">
        <v>3.0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1.0</v>
      </c>
      <c r="Q148" s="19">
        <v>2.0</v>
      </c>
      <c r="R148" s="19">
        <v>1.0</v>
      </c>
      <c r="S148" s="19">
        <v>0.0</v>
      </c>
      <c r="T148" s="19">
        <v>0.0</v>
      </c>
      <c r="U148" s="19">
        <v>0.0</v>
      </c>
      <c r="V148" s="19">
        <v>1.0</v>
      </c>
      <c r="W148" s="19">
        <v>1.0</v>
      </c>
      <c r="X148" s="19">
        <v>1.0</v>
      </c>
      <c r="Y148" s="19">
        <v>0.0</v>
      </c>
      <c r="Z148" s="19">
        <v>0.0</v>
      </c>
      <c r="AA148" s="19">
        <v>1.0</v>
      </c>
      <c r="AB148" s="19">
        <v>1.0</v>
      </c>
      <c r="AC148" s="13">
        <f t="shared" ref="AC148:AC155" si="36">SUM(E148:AB148)</f>
        <v>16</v>
      </c>
    </row>
    <row r="149" ht="12.75" customHeight="1">
      <c r="A149" s="30" t="s">
        <v>39</v>
      </c>
      <c r="B149" s="55">
        <v>1.0</v>
      </c>
      <c r="C149" s="50" t="s">
        <v>130</v>
      </c>
      <c r="D149" s="57"/>
      <c r="E149" s="19">
        <v>0.0</v>
      </c>
      <c r="F149" s="19">
        <v>2.0</v>
      </c>
      <c r="G149" s="19">
        <v>1.0</v>
      </c>
      <c r="H149" s="19">
        <v>0.0</v>
      </c>
      <c r="I149" s="19">
        <v>0.0</v>
      </c>
      <c r="J149" s="19">
        <v>1.0</v>
      </c>
      <c r="K149" s="19">
        <v>0.0</v>
      </c>
      <c r="L149" s="19">
        <v>3.0</v>
      </c>
      <c r="M149" s="19">
        <v>0.0</v>
      </c>
      <c r="N149" s="19">
        <v>0.0</v>
      </c>
      <c r="O149" s="19">
        <v>0.0</v>
      </c>
      <c r="P149" s="19">
        <v>0.0</v>
      </c>
      <c r="Q149" s="19">
        <v>0.0</v>
      </c>
      <c r="R149" s="19">
        <v>2.0</v>
      </c>
      <c r="S149" s="19">
        <v>0.0</v>
      </c>
      <c r="T149" s="19">
        <v>0.0</v>
      </c>
      <c r="U149" s="19">
        <v>1.0</v>
      </c>
      <c r="V149" s="19">
        <v>0.0</v>
      </c>
      <c r="W149" s="19">
        <v>0.0</v>
      </c>
      <c r="X149" s="19">
        <v>0.0</v>
      </c>
      <c r="Y149" s="19">
        <v>2.0</v>
      </c>
      <c r="Z149" s="19">
        <v>0.0</v>
      </c>
      <c r="AA149" s="19">
        <v>0.0</v>
      </c>
      <c r="AB149" s="19">
        <v>1.0</v>
      </c>
      <c r="AC149" s="13">
        <f t="shared" si="36"/>
        <v>13</v>
      </c>
    </row>
    <row r="150" ht="12.75" customHeight="1">
      <c r="A150" s="18"/>
      <c r="B150" s="55">
        <v>2.0</v>
      </c>
      <c r="C150" s="50" t="s">
        <v>131</v>
      </c>
      <c r="D150" s="57"/>
      <c r="E150" s="19">
        <v>0.0</v>
      </c>
      <c r="F150" s="19">
        <v>0.0</v>
      </c>
      <c r="G150" s="19">
        <v>0.0</v>
      </c>
      <c r="H150" s="19">
        <v>1.0</v>
      </c>
      <c r="I150" s="19">
        <v>0.0</v>
      </c>
      <c r="J150" s="19">
        <v>0.0</v>
      </c>
      <c r="K150" s="19">
        <v>1.0</v>
      </c>
      <c r="L150" s="19">
        <v>0.0</v>
      </c>
      <c r="M150" s="19">
        <v>0.0</v>
      </c>
      <c r="N150" s="19">
        <v>0.0</v>
      </c>
      <c r="O150" s="19">
        <v>0.0</v>
      </c>
      <c r="P150" s="19">
        <v>1.0</v>
      </c>
      <c r="Q150" s="19">
        <v>1.0</v>
      </c>
      <c r="R150" s="19">
        <v>2.0</v>
      </c>
      <c r="S150" s="19">
        <v>0.0</v>
      </c>
      <c r="T150" s="19">
        <v>2.0</v>
      </c>
      <c r="U150" s="19">
        <v>0.0</v>
      </c>
      <c r="V150" s="19">
        <v>1.0</v>
      </c>
      <c r="W150" s="19">
        <v>0.0</v>
      </c>
      <c r="X150" s="19">
        <v>0.0</v>
      </c>
      <c r="Y150" s="19">
        <v>0.0</v>
      </c>
      <c r="Z150" s="19">
        <v>0.0</v>
      </c>
      <c r="AA150" s="19">
        <v>0.0</v>
      </c>
      <c r="AB150" s="19">
        <v>0.0</v>
      </c>
      <c r="AC150" s="13">
        <f t="shared" si="36"/>
        <v>9</v>
      </c>
    </row>
    <row r="151" ht="12.75" customHeight="1">
      <c r="A151" s="18"/>
      <c r="B151" s="55">
        <v>3.0</v>
      </c>
      <c r="C151" s="50" t="s">
        <v>132</v>
      </c>
      <c r="D151" s="57"/>
      <c r="E151" s="19">
        <v>0.0</v>
      </c>
      <c r="F151" s="19">
        <v>0.0</v>
      </c>
      <c r="G151" s="19">
        <v>0.0</v>
      </c>
      <c r="H151" s="19">
        <v>0.0</v>
      </c>
      <c r="I151" s="19">
        <v>0.0</v>
      </c>
      <c r="J151" s="19">
        <v>1.0</v>
      </c>
      <c r="K151" s="19">
        <v>0.0</v>
      </c>
      <c r="L151" s="19">
        <v>0.0</v>
      </c>
      <c r="M151" s="19">
        <v>0.0</v>
      </c>
      <c r="N151" s="19">
        <v>0.0</v>
      </c>
      <c r="O151" s="19">
        <v>0.0</v>
      </c>
      <c r="P151" s="19">
        <v>0.0</v>
      </c>
      <c r="Q151" s="19">
        <v>0.0</v>
      </c>
      <c r="R151" s="19">
        <v>0.0</v>
      </c>
      <c r="S151" s="19">
        <v>0.0</v>
      </c>
      <c r="T151" s="19">
        <v>0.0</v>
      </c>
      <c r="U151" s="19">
        <v>0.0</v>
      </c>
      <c r="V151" s="19">
        <v>0.0</v>
      </c>
      <c r="W151" s="19">
        <v>0.0</v>
      </c>
      <c r="X151" s="19">
        <v>0.0</v>
      </c>
      <c r="Y151" s="19">
        <v>1.0</v>
      </c>
      <c r="Z151" s="19">
        <v>0.0</v>
      </c>
      <c r="AA151" s="19">
        <v>0.0</v>
      </c>
      <c r="AB151" s="19">
        <v>0.0</v>
      </c>
      <c r="AC151" s="13">
        <f t="shared" si="36"/>
        <v>2</v>
      </c>
    </row>
    <row r="152" ht="12.75" customHeight="1">
      <c r="A152" s="18"/>
      <c r="B152" s="55">
        <v>4.0</v>
      </c>
      <c r="C152" s="50" t="s">
        <v>133</v>
      </c>
      <c r="D152" s="57"/>
      <c r="E152" s="19">
        <v>0.0</v>
      </c>
      <c r="F152" s="19">
        <v>0.0</v>
      </c>
      <c r="G152" s="19">
        <v>0.0</v>
      </c>
      <c r="H152" s="19">
        <v>0.0</v>
      </c>
      <c r="I152" s="19">
        <v>0.0</v>
      </c>
      <c r="J152" s="19">
        <v>0.0</v>
      </c>
      <c r="K152" s="19">
        <v>1.0</v>
      </c>
      <c r="L152" s="19">
        <v>0.0</v>
      </c>
      <c r="M152" s="19">
        <v>0.0</v>
      </c>
      <c r="N152" s="19">
        <v>0.0</v>
      </c>
      <c r="O152" s="19">
        <v>3.0</v>
      </c>
      <c r="P152" s="19">
        <v>0.0</v>
      </c>
      <c r="Q152" s="19">
        <v>0.0</v>
      </c>
      <c r="R152" s="19">
        <v>1.0</v>
      </c>
      <c r="S152" s="19">
        <v>0.0</v>
      </c>
      <c r="T152" s="19">
        <v>0.0</v>
      </c>
      <c r="U152" s="19">
        <v>0.0</v>
      </c>
      <c r="V152" s="19">
        <v>0.0</v>
      </c>
      <c r="W152" s="19">
        <v>0.0</v>
      </c>
      <c r="X152" s="19">
        <v>1.0</v>
      </c>
      <c r="Y152" s="19">
        <v>0.0</v>
      </c>
      <c r="Z152" s="19">
        <v>0.0</v>
      </c>
      <c r="AA152" s="19">
        <v>0.0</v>
      </c>
      <c r="AB152" s="19">
        <v>0.0</v>
      </c>
      <c r="AC152" s="13">
        <f t="shared" si="36"/>
        <v>6</v>
      </c>
    </row>
    <row r="153" ht="12.75" customHeight="1">
      <c r="A153" s="18"/>
      <c r="B153" s="55">
        <v>5.0</v>
      </c>
      <c r="C153" s="50" t="s">
        <v>134</v>
      </c>
      <c r="D153" s="57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5.0</v>
      </c>
      <c r="S153" s="19">
        <v>3.0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3">
        <f t="shared" si="36"/>
        <v>8</v>
      </c>
    </row>
    <row r="154" ht="12.75" customHeight="1">
      <c r="A154" s="18"/>
      <c r="B154" s="55">
        <v>6.0</v>
      </c>
      <c r="C154" s="50" t="s">
        <v>135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1.0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1.0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1.0</v>
      </c>
      <c r="AC154" s="13">
        <f t="shared" si="36"/>
        <v>3</v>
      </c>
    </row>
    <row r="155" ht="12.75" customHeight="1">
      <c r="A155" s="18"/>
      <c r="B155" s="55">
        <v>7.0</v>
      </c>
      <c r="C155" s="50" t="s">
        <v>136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3">
        <f t="shared" si="36"/>
        <v>0</v>
      </c>
    </row>
    <row r="156" ht="12.75" customHeight="1">
      <c r="A156" s="19" t="s">
        <v>15</v>
      </c>
      <c r="B156" s="47" t="s">
        <v>47</v>
      </c>
      <c r="C156" s="15"/>
      <c r="D156" s="16"/>
      <c r="E156" s="13">
        <f t="shared" ref="E156:AC156" si="37">SUM(E148:E155)</f>
        <v>0</v>
      </c>
      <c r="F156" s="13">
        <f t="shared" si="37"/>
        <v>2</v>
      </c>
      <c r="G156" s="13">
        <f t="shared" si="37"/>
        <v>1</v>
      </c>
      <c r="H156" s="13">
        <f t="shared" si="37"/>
        <v>5</v>
      </c>
      <c r="I156" s="13">
        <f t="shared" si="37"/>
        <v>3</v>
      </c>
      <c r="J156" s="13">
        <f t="shared" si="37"/>
        <v>2</v>
      </c>
      <c r="K156" s="13">
        <f t="shared" si="37"/>
        <v>3</v>
      </c>
      <c r="L156" s="13">
        <f t="shared" si="37"/>
        <v>3</v>
      </c>
      <c r="M156" s="13">
        <f t="shared" si="37"/>
        <v>0</v>
      </c>
      <c r="N156" s="13">
        <f t="shared" si="37"/>
        <v>0</v>
      </c>
      <c r="O156" s="13">
        <f t="shared" si="37"/>
        <v>3</v>
      </c>
      <c r="P156" s="13">
        <f t="shared" si="37"/>
        <v>2</v>
      </c>
      <c r="Q156" s="13">
        <f t="shared" si="37"/>
        <v>3</v>
      </c>
      <c r="R156" s="13">
        <f t="shared" si="37"/>
        <v>12</v>
      </c>
      <c r="S156" s="13">
        <f t="shared" si="37"/>
        <v>3</v>
      </c>
      <c r="T156" s="13">
        <f t="shared" si="37"/>
        <v>2</v>
      </c>
      <c r="U156" s="13">
        <f t="shared" si="37"/>
        <v>1</v>
      </c>
      <c r="V156" s="13">
        <f t="shared" si="37"/>
        <v>2</v>
      </c>
      <c r="W156" s="13">
        <f t="shared" si="37"/>
        <v>1</v>
      </c>
      <c r="X156" s="13">
        <f t="shared" si="37"/>
        <v>2</v>
      </c>
      <c r="Y156" s="13">
        <f t="shared" si="37"/>
        <v>3</v>
      </c>
      <c r="Z156" s="13">
        <f t="shared" si="37"/>
        <v>0</v>
      </c>
      <c r="AA156" s="13">
        <f t="shared" si="37"/>
        <v>1</v>
      </c>
      <c r="AB156" s="13">
        <f t="shared" si="37"/>
        <v>3</v>
      </c>
      <c r="AC156" s="13">
        <f t="shared" si="37"/>
        <v>57</v>
      </c>
    </row>
    <row r="157" ht="12.75" customHeight="1">
      <c r="A157" s="24"/>
      <c r="B157" s="15"/>
      <c r="C157" s="15"/>
      <c r="D157" s="15"/>
      <c r="E157" s="16"/>
      <c r="F157" s="72"/>
      <c r="G157" s="72"/>
      <c r="H157" s="72"/>
      <c r="I157" s="72"/>
      <c r="J157" s="72"/>
      <c r="K157" s="72"/>
      <c r="L157" s="72"/>
      <c r="M157" s="72"/>
      <c r="N157" s="72"/>
      <c r="AC157" s="13"/>
    </row>
    <row r="158" ht="12.75" customHeight="1">
      <c r="A158" s="30" t="s">
        <v>37</v>
      </c>
      <c r="B158" s="47" t="s">
        <v>137</v>
      </c>
      <c r="C158" s="48" t="s">
        <v>138</v>
      </c>
      <c r="D158" s="16"/>
      <c r="E158" s="19">
        <v>0.0</v>
      </c>
      <c r="F158" s="19">
        <v>0.0</v>
      </c>
      <c r="G158" s="19">
        <v>0.0</v>
      </c>
      <c r="H158" s="19">
        <v>0.0</v>
      </c>
      <c r="I158" s="19">
        <v>1.0</v>
      </c>
      <c r="J158" s="19">
        <v>0.0</v>
      </c>
      <c r="K158" s="19">
        <v>0.0</v>
      </c>
      <c r="L158" s="19">
        <v>0.0</v>
      </c>
      <c r="M158" s="19">
        <v>1.0</v>
      </c>
      <c r="N158" s="19">
        <v>0.0</v>
      </c>
      <c r="O158" s="19">
        <v>0.0</v>
      </c>
      <c r="P158" s="19">
        <v>0.0</v>
      </c>
      <c r="Q158" s="19">
        <v>0.0</v>
      </c>
      <c r="R158" s="19">
        <v>0.0</v>
      </c>
      <c r="S158" s="19">
        <v>0.0</v>
      </c>
      <c r="T158" s="19">
        <v>0.0</v>
      </c>
      <c r="U158" s="19">
        <v>0.0</v>
      </c>
      <c r="V158" s="19">
        <v>0.0</v>
      </c>
      <c r="W158" s="19">
        <v>0.0</v>
      </c>
      <c r="X158" s="19">
        <v>0.0</v>
      </c>
      <c r="Y158" s="19">
        <v>0.0</v>
      </c>
      <c r="Z158" s="19">
        <v>0.0</v>
      </c>
      <c r="AA158" s="19">
        <v>1.0</v>
      </c>
      <c r="AB158" s="19">
        <v>0.0</v>
      </c>
      <c r="AC158" s="13">
        <f t="shared" ref="AC158:AC165" si="38">SUM(E158:AB158)</f>
        <v>3</v>
      </c>
    </row>
    <row r="159" ht="12.75" customHeight="1">
      <c r="A159" s="30" t="s">
        <v>39</v>
      </c>
      <c r="B159" s="55">
        <v>1.0</v>
      </c>
      <c r="C159" s="50" t="s">
        <v>139</v>
      </c>
      <c r="D159" s="57"/>
      <c r="E159" s="19">
        <v>0.0</v>
      </c>
      <c r="F159" s="19">
        <v>0.0</v>
      </c>
      <c r="G159" s="19">
        <v>0.0</v>
      </c>
      <c r="H159" s="19">
        <v>0.0</v>
      </c>
      <c r="I159" s="19">
        <v>0.0</v>
      </c>
      <c r="J159" s="19">
        <v>0.0</v>
      </c>
      <c r="K159" s="19">
        <v>0.0</v>
      </c>
      <c r="L159" s="19">
        <v>2.0</v>
      </c>
      <c r="M159" s="19">
        <v>0.0</v>
      </c>
      <c r="N159" s="19">
        <v>0.0</v>
      </c>
      <c r="O159" s="19">
        <v>0.0</v>
      </c>
      <c r="P159" s="19">
        <v>0.0</v>
      </c>
      <c r="Q159" s="19">
        <v>0.0</v>
      </c>
      <c r="R159" s="19">
        <v>0.0</v>
      </c>
      <c r="S159" s="19">
        <v>0.0</v>
      </c>
      <c r="T159" s="19">
        <v>0.0</v>
      </c>
      <c r="U159" s="19">
        <v>0.0</v>
      </c>
      <c r="V159" s="19">
        <v>0.0</v>
      </c>
      <c r="W159" s="19">
        <v>0.0</v>
      </c>
      <c r="X159" s="19">
        <v>0.0</v>
      </c>
      <c r="Y159" s="19">
        <v>0.0</v>
      </c>
      <c r="Z159" s="19">
        <v>1.0</v>
      </c>
      <c r="AA159" s="19">
        <v>0.0</v>
      </c>
      <c r="AB159" s="19">
        <v>0.0</v>
      </c>
      <c r="AC159" s="13">
        <f t="shared" si="38"/>
        <v>3</v>
      </c>
    </row>
    <row r="160" ht="12.75" customHeight="1">
      <c r="A160" s="18"/>
      <c r="B160" s="55">
        <v>2.0</v>
      </c>
      <c r="C160" s="50" t="s">
        <v>140</v>
      </c>
      <c r="D160" s="57"/>
      <c r="E160" s="19">
        <v>0.0</v>
      </c>
      <c r="F160" s="19">
        <v>0.0</v>
      </c>
      <c r="G160" s="19">
        <v>3.0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9">
        <v>0.0</v>
      </c>
      <c r="T160" s="19">
        <v>0.0</v>
      </c>
      <c r="U160" s="19">
        <v>0.0</v>
      </c>
      <c r="V160" s="19">
        <v>0.0</v>
      </c>
      <c r="W160" s="19">
        <v>0.0</v>
      </c>
      <c r="X160" s="19">
        <v>0.0</v>
      </c>
      <c r="Y160" s="19">
        <v>0.0</v>
      </c>
      <c r="Z160" s="19">
        <v>0.0</v>
      </c>
      <c r="AA160" s="19">
        <v>0.0</v>
      </c>
      <c r="AB160" s="19">
        <v>0.0</v>
      </c>
      <c r="AC160" s="13">
        <f t="shared" si="38"/>
        <v>3</v>
      </c>
    </row>
    <row r="161" ht="12.75" customHeight="1">
      <c r="A161" s="18"/>
      <c r="B161" s="55">
        <v>3.0</v>
      </c>
      <c r="C161" s="50" t="s">
        <v>141</v>
      </c>
      <c r="D161" s="57"/>
      <c r="E161" s="19">
        <v>0.0</v>
      </c>
      <c r="F161" s="19">
        <v>0.0</v>
      </c>
      <c r="G161" s="19">
        <v>0.0</v>
      </c>
      <c r="H161" s="19">
        <v>0.0</v>
      </c>
      <c r="I161" s="19">
        <v>0.0</v>
      </c>
      <c r="J161" s="19">
        <v>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1.0</v>
      </c>
      <c r="P161" s="19">
        <v>0.0</v>
      </c>
      <c r="Q161" s="19">
        <v>0.0</v>
      </c>
      <c r="R161" s="19">
        <v>0.0</v>
      </c>
      <c r="S161" s="19">
        <v>0.0</v>
      </c>
      <c r="T161" s="19">
        <v>0.0</v>
      </c>
      <c r="U161" s="19">
        <v>0.0</v>
      </c>
      <c r="V161" s="19">
        <v>0.0</v>
      </c>
      <c r="W161" s="19">
        <v>0.0</v>
      </c>
      <c r="X161" s="19">
        <v>0.0</v>
      </c>
      <c r="Y161" s="19">
        <v>0.0</v>
      </c>
      <c r="Z161" s="19">
        <v>0.0</v>
      </c>
      <c r="AA161" s="19">
        <v>0.0</v>
      </c>
      <c r="AB161" s="19">
        <v>0.0</v>
      </c>
      <c r="AC161" s="13">
        <f t="shared" si="38"/>
        <v>1</v>
      </c>
    </row>
    <row r="162" ht="12.75" customHeight="1">
      <c r="A162" s="18"/>
      <c r="B162" s="55">
        <v>4.0</v>
      </c>
      <c r="C162" s="50" t="s">
        <v>142</v>
      </c>
      <c r="D162" s="57"/>
      <c r="E162" s="19">
        <v>0.0</v>
      </c>
      <c r="F162" s="19">
        <v>0.0</v>
      </c>
      <c r="G162" s="19">
        <v>0.0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0.0</v>
      </c>
      <c r="R162" s="19">
        <v>0.0</v>
      </c>
      <c r="S162" s="19">
        <v>0.0</v>
      </c>
      <c r="T162" s="19">
        <v>0.0</v>
      </c>
      <c r="U162" s="19">
        <v>0.0</v>
      </c>
      <c r="V162" s="19">
        <v>0.0</v>
      </c>
      <c r="W162" s="19">
        <v>0.0</v>
      </c>
      <c r="X162" s="19">
        <v>0.0</v>
      </c>
      <c r="Y162" s="19">
        <v>0.0</v>
      </c>
      <c r="Z162" s="19">
        <v>0.0</v>
      </c>
      <c r="AA162" s="19">
        <v>0.0</v>
      </c>
      <c r="AB162" s="19">
        <v>0.0</v>
      </c>
      <c r="AC162" s="13">
        <f t="shared" si="38"/>
        <v>0</v>
      </c>
    </row>
    <row r="163" ht="12.75" customHeight="1">
      <c r="A163" s="18"/>
      <c r="B163" s="55">
        <v>5.0</v>
      </c>
      <c r="C163" s="50" t="s">
        <v>143</v>
      </c>
      <c r="D163" s="57"/>
      <c r="E163" s="19">
        <v>0.0</v>
      </c>
      <c r="F163" s="19">
        <v>0.0</v>
      </c>
      <c r="G163" s="19">
        <v>0.0</v>
      </c>
      <c r="H163" s="19">
        <v>0.0</v>
      </c>
      <c r="I163" s="19">
        <v>0.0</v>
      </c>
      <c r="J163" s="19">
        <v>0.0</v>
      </c>
      <c r="K163" s="19">
        <v>0.0</v>
      </c>
      <c r="L163" s="19">
        <v>0.0</v>
      </c>
      <c r="M163" s="19">
        <v>0.0</v>
      </c>
      <c r="N163" s="19">
        <v>0.0</v>
      </c>
      <c r="O163" s="19">
        <v>0.0</v>
      </c>
      <c r="P163" s="19">
        <v>0.0</v>
      </c>
      <c r="Q163" s="19">
        <v>0.0</v>
      </c>
      <c r="R163" s="19">
        <v>0.0</v>
      </c>
      <c r="S163" s="19">
        <v>0.0</v>
      </c>
      <c r="T163" s="19">
        <v>0.0</v>
      </c>
      <c r="U163" s="19">
        <v>0.0</v>
      </c>
      <c r="V163" s="19">
        <v>0.0</v>
      </c>
      <c r="W163" s="19">
        <v>0.0</v>
      </c>
      <c r="X163" s="19">
        <v>0.0</v>
      </c>
      <c r="Y163" s="19">
        <v>0.0</v>
      </c>
      <c r="Z163" s="19">
        <v>0.0</v>
      </c>
      <c r="AA163" s="19">
        <v>0.0</v>
      </c>
      <c r="AB163" s="19">
        <v>0.0</v>
      </c>
      <c r="AC163" s="13">
        <f t="shared" si="38"/>
        <v>0</v>
      </c>
    </row>
    <row r="164" ht="12.75" customHeight="1">
      <c r="A164" s="18"/>
      <c r="B164" s="55">
        <v>6.0</v>
      </c>
      <c r="C164" s="50" t="s">
        <v>144</v>
      </c>
      <c r="D164" s="57"/>
      <c r="E164" s="19">
        <v>0.0</v>
      </c>
      <c r="F164" s="19">
        <v>0.0</v>
      </c>
      <c r="G164" s="19">
        <v>0.0</v>
      </c>
      <c r="H164" s="19">
        <v>0.0</v>
      </c>
      <c r="I164" s="19">
        <v>0.0</v>
      </c>
      <c r="J164" s="19">
        <v>0.0</v>
      </c>
      <c r="K164" s="19">
        <v>0.0</v>
      </c>
      <c r="L164" s="19">
        <v>0.0</v>
      </c>
      <c r="M164" s="19">
        <v>0.0</v>
      </c>
      <c r="N164" s="19">
        <v>0.0</v>
      </c>
      <c r="O164" s="19">
        <v>0.0</v>
      </c>
      <c r="P164" s="19">
        <v>0.0</v>
      </c>
      <c r="Q164" s="19">
        <v>0.0</v>
      </c>
      <c r="R164" s="19">
        <v>0.0</v>
      </c>
      <c r="S164" s="19">
        <v>0.0</v>
      </c>
      <c r="T164" s="19">
        <v>0.0</v>
      </c>
      <c r="U164" s="19">
        <v>0.0</v>
      </c>
      <c r="V164" s="19">
        <v>0.0</v>
      </c>
      <c r="W164" s="19">
        <v>0.0</v>
      </c>
      <c r="X164" s="19">
        <v>0.0</v>
      </c>
      <c r="Y164" s="19">
        <v>0.0</v>
      </c>
      <c r="Z164" s="19">
        <v>1.0</v>
      </c>
      <c r="AA164" s="19">
        <v>0.0</v>
      </c>
      <c r="AB164" s="19">
        <v>0.0</v>
      </c>
      <c r="AC164" s="13">
        <f t="shared" si="38"/>
        <v>1</v>
      </c>
    </row>
    <row r="165" ht="12.75" customHeight="1">
      <c r="A165" s="18"/>
      <c r="B165" s="55">
        <v>7.0</v>
      </c>
      <c r="C165" s="50" t="s">
        <v>145</v>
      </c>
      <c r="D165" s="57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3">
        <f t="shared" si="38"/>
        <v>0</v>
      </c>
    </row>
    <row r="166" ht="12.75" customHeight="1">
      <c r="A166" s="19" t="s">
        <v>15</v>
      </c>
      <c r="B166" s="47" t="s">
        <v>47</v>
      </c>
      <c r="C166" s="15"/>
      <c r="D166" s="16"/>
      <c r="E166" s="13">
        <f t="shared" ref="E166:AC166" si="39">SUM(E158:E165)</f>
        <v>0</v>
      </c>
      <c r="F166" s="13">
        <f t="shared" si="39"/>
        <v>0</v>
      </c>
      <c r="G166" s="13">
        <f t="shared" si="39"/>
        <v>3</v>
      </c>
      <c r="H166" s="13">
        <f t="shared" si="39"/>
        <v>0</v>
      </c>
      <c r="I166" s="13">
        <f t="shared" si="39"/>
        <v>1</v>
      </c>
      <c r="J166" s="13">
        <f t="shared" si="39"/>
        <v>0</v>
      </c>
      <c r="K166" s="13">
        <f t="shared" si="39"/>
        <v>0</v>
      </c>
      <c r="L166" s="13">
        <f t="shared" si="39"/>
        <v>2</v>
      </c>
      <c r="M166" s="13">
        <f t="shared" si="39"/>
        <v>1</v>
      </c>
      <c r="N166" s="13">
        <f t="shared" si="39"/>
        <v>0</v>
      </c>
      <c r="O166" s="13">
        <f t="shared" si="39"/>
        <v>1</v>
      </c>
      <c r="P166" s="13">
        <f t="shared" si="39"/>
        <v>0</v>
      </c>
      <c r="Q166" s="13">
        <f t="shared" si="39"/>
        <v>0</v>
      </c>
      <c r="R166" s="13">
        <f t="shared" si="39"/>
        <v>0</v>
      </c>
      <c r="S166" s="13">
        <f t="shared" si="39"/>
        <v>0</v>
      </c>
      <c r="T166" s="13">
        <f t="shared" si="39"/>
        <v>0</v>
      </c>
      <c r="U166" s="13">
        <f t="shared" si="39"/>
        <v>0</v>
      </c>
      <c r="V166" s="13">
        <f t="shared" si="39"/>
        <v>0</v>
      </c>
      <c r="W166" s="13">
        <f t="shared" si="39"/>
        <v>0</v>
      </c>
      <c r="X166" s="13">
        <f t="shared" si="39"/>
        <v>0</v>
      </c>
      <c r="Y166" s="13">
        <f t="shared" si="39"/>
        <v>0</v>
      </c>
      <c r="Z166" s="13">
        <f t="shared" si="39"/>
        <v>2</v>
      </c>
      <c r="AA166" s="13">
        <f t="shared" si="39"/>
        <v>1</v>
      </c>
      <c r="AB166" s="13">
        <f t="shared" si="39"/>
        <v>0</v>
      </c>
      <c r="AC166" s="13">
        <f t="shared" si="39"/>
        <v>11</v>
      </c>
    </row>
    <row r="167" ht="12.75" customHeight="1">
      <c r="A167" s="24"/>
      <c r="B167" s="15"/>
      <c r="C167" s="15"/>
      <c r="D167" s="15"/>
      <c r="E167" s="16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</row>
    <row r="168" ht="12.75" customHeight="1">
      <c r="A168" s="30" t="s">
        <v>37</v>
      </c>
      <c r="B168" s="47" t="s">
        <v>146</v>
      </c>
      <c r="C168" s="48" t="s">
        <v>147</v>
      </c>
      <c r="D168" s="16"/>
      <c r="E168" s="19">
        <v>0.0</v>
      </c>
      <c r="F168" s="19">
        <v>4.0</v>
      </c>
      <c r="G168" s="19">
        <v>1.0</v>
      </c>
      <c r="H168" s="19">
        <v>1.0</v>
      </c>
      <c r="I168" s="19">
        <v>2.0</v>
      </c>
      <c r="J168" s="19">
        <v>0.0</v>
      </c>
      <c r="K168" s="19">
        <v>0.0</v>
      </c>
      <c r="L168" s="19">
        <v>5.0</v>
      </c>
      <c r="M168" s="19">
        <v>1.0</v>
      </c>
      <c r="N168" s="19">
        <v>1.0</v>
      </c>
      <c r="O168" s="19">
        <v>2.0</v>
      </c>
      <c r="P168" s="19">
        <v>0.0</v>
      </c>
      <c r="Q168" s="19">
        <v>0.0</v>
      </c>
      <c r="R168" s="19">
        <v>0.0</v>
      </c>
      <c r="S168" s="19">
        <v>1.0</v>
      </c>
      <c r="T168" s="19">
        <v>2.0</v>
      </c>
      <c r="U168" s="19">
        <v>0.0</v>
      </c>
      <c r="V168" s="19">
        <v>0.0</v>
      </c>
      <c r="W168" s="19">
        <v>1.0</v>
      </c>
      <c r="X168" s="19">
        <v>2.0</v>
      </c>
      <c r="Y168" s="19">
        <v>0.0</v>
      </c>
      <c r="Z168" s="19">
        <v>3.0</v>
      </c>
      <c r="AA168" s="19">
        <v>2.0</v>
      </c>
      <c r="AB168" s="19">
        <v>1.0</v>
      </c>
      <c r="AC168" s="13">
        <f t="shared" ref="AC168:AC175" si="40">SUM(E168:AB168)</f>
        <v>29</v>
      </c>
    </row>
    <row r="169" ht="12.75" customHeight="1">
      <c r="A169" s="30" t="s">
        <v>39</v>
      </c>
      <c r="B169" s="55">
        <v>1.0</v>
      </c>
      <c r="C169" s="50" t="s">
        <v>148</v>
      </c>
      <c r="D169" s="57"/>
      <c r="E169" s="19">
        <v>0.0</v>
      </c>
      <c r="F169" s="19">
        <v>4.0</v>
      </c>
      <c r="G169" s="19">
        <v>5.0</v>
      </c>
      <c r="H169" s="19">
        <v>0.0</v>
      </c>
      <c r="I169" s="19">
        <v>2.0</v>
      </c>
      <c r="J169" s="19">
        <v>0.0</v>
      </c>
      <c r="K169" s="19">
        <v>0.0</v>
      </c>
      <c r="L169" s="19">
        <v>0.0</v>
      </c>
      <c r="M169" s="19">
        <v>2.0</v>
      </c>
      <c r="N169" s="19">
        <v>3.0</v>
      </c>
      <c r="O169" s="19">
        <v>2.0</v>
      </c>
      <c r="P169" s="19">
        <v>1.0</v>
      </c>
      <c r="Q169" s="19">
        <v>0.0</v>
      </c>
      <c r="R169" s="19">
        <v>0.0</v>
      </c>
      <c r="S169" s="19">
        <v>1.0</v>
      </c>
      <c r="T169" s="19">
        <v>1.0</v>
      </c>
      <c r="U169" s="19">
        <v>0.0</v>
      </c>
      <c r="V169" s="19">
        <v>0.0</v>
      </c>
      <c r="W169" s="19">
        <v>0.0</v>
      </c>
      <c r="X169" s="19">
        <v>1.0</v>
      </c>
      <c r="Y169" s="19">
        <v>3.0</v>
      </c>
      <c r="Z169" s="19">
        <v>2.0</v>
      </c>
      <c r="AA169" s="19">
        <v>1.0</v>
      </c>
      <c r="AB169" s="19">
        <v>0.0</v>
      </c>
      <c r="AC169" s="13">
        <f t="shared" si="40"/>
        <v>28</v>
      </c>
    </row>
    <row r="170" ht="12.75" customHeight="1">
      <c r="A170" s="18"/>
      <c r="B170" s="55">
        <v>2.0</v>
      </c>
      <c r="C170" s="50" t="s">
        <v>149</v>
      </c>
      <c r="D170" s="57"/>
      <c r="E170" s="19">
        <v>2.0</v>
      </c>
      <c r="F170" s="19">
        <v>2.0</v>
      </c>
      <c r="G170" s="19">
        <v>2.0</v>
      </c>
      <c r="H170" s="19">
        <v>0.0</v>
      </c>
      <c r="I170" s="19">
        <v>0.0</v>
      </c>
      <c r="J170" s="19">
        <v>2.0</v>
      </c>
      <c r="K170" s="19">
        <v>0.0</v>
      </c>
      <c r="L170" s="19">
        <v>0.0</v>
      </c>
      <c r="M170" s="19">
        <v>2.0</v>
      </c>
      <c r="N170" s="19">
        <v>4.0</v>
      </c>
      <c r="O170" s="19">
        <v>4.0</v>
      </c>
      <c r="P170" s="19">
        <v>1.0</v>
      </c>
      <c r="Q170" s="19">
        <v>1.0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3">
        <f t="shared" si="40"/>
        <v>20</v>
      </c>
    </row>
    <row r="171" ht="12.75" customHeight="1">
      <c r="A171" s="18"/>
      <c r="B171" s="55">
        <v>3.0</v>
      </c>
      <c r="C171" s="50" t="s">
        <v>150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1.0</v>
      </c>
      <c r="P171" s="19">
        <v>1.0</v>
      </c>
      <c r="Q171" s="19">
        <v>1.0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3">
        <f t="shared" si="40"/>
        <v>3</v>
      </c>
    </row>
    <row r="172" ht="12.75" customHeight="1">
      <c r="A172" s="18"/>
      <c r="B172" s="55">
        <v>4.0</v>
      </c>
      <c r="C172" s="50" t="s">
        <v>151</v>
      </c>
      <c r="D172" s="57"/>
      <c r="E172" s="19">
        <v>0.0</v>
      </c>
      <c r="F172" s="19">
        <v>2.0</v>
      </c>
      <c r="G172" s="19">
        <v>3.0</v>
      </c>
      <c r="H172" s="19">
        <v>1.0</v>
      </c>
      <c r="I172" s="19">
        <v>1.0</v>
      </c>
      <c r="J172" s="19">
        <v>0.0</v>
      </c>
      <c r="K172" s="19">
        <v>0.0</v>
      </c>
      <c r="L172" s="19">
        <v>0.0</v>
      </c>
      <c r="M172" s="19">
        <v>1.0</v>
      </c>
      <c r="N172" s="19">
        <v>2.0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1.0</v>
      </c>
      <c r="V172" s="19">
        <v>0.0</v>
      </c>
      <c r="W172" s="19">
        <v>0.0</v>
      </c>
      <c r="X172" s="19">
        <v>8.0</v>
      </c>
      <c r="Y172" s="19">
        <v>0.0</v>
      </c>
      <c r="Z172" s="19">
        <v>0.0</v>
      </c>
      <c r="AA172" s="19">
        <v>16.0</v>
      </c>
      <c r="AB172" s="19">
        <v>3.0</v>
      </c>
      <c r="AC172" s="13">
        <f t="shared" si="40"/>
        <v>38</v>
      </c>
    </row>
    <row r="173" ht="12.75" customHeight="1">
      <c r="A173" s="18"/>
      <c r="B173" s="55">
        <v>5.0</v>
      </c>
      <c r="C173" s="50" t="s">
        <v>152</v>
      </c>
      <c r="D173" s="57"/>
      <c r="E173" s="19">
        <v>0.0</v>
      </c>
      <c r="F173" s="19">
        <v>1.0</v>
      </c>
      <c r="G173" s="19">
        <v>0.0</v>
      </c>
      <c r="H173" s="19">
        <v>0.0</v>
      </c>
      <c r="I173" s="19">
        <v>0.0</v>
      </c>
      <c r="J173" s="19">
        <v>0.0</v>
      </c>
      <c r="K173" s="19">
        <v>0.0</v>
      </c>
      <c r="L173" s="19">
        <v>1.0</v>
      </c>
      <c r="M173" s="19">
        <v>0.0</v>
      </c>
      <c r="N173" s="19">
        <v>0.0</v>
      </c>
      <c r="O173" s="19">
        <v>0.0</v>
      </c>
      <c r="P173" s="19">
        <v>0.0</v>
      </c>
      <c r="Q173" s="19">
        <v>0.0</v>
      </c>
      <c r="R173" s="19">
        <v>0.0</v>
      </c>
      <c r="S173" s="19">
        <v>0.0</v>
      </c>
      <c r="T173" s="19">
        <v>0.0</v>
      </c>
      <c r="U173" s="19">
        <v>1.0</v>
      </c>
      <c r="V173" s="19">
        <v>0.0</v>
      </c>
      <c r="W173" s="19">
        <v>0.0</v>
      </c>
      <c r="X173" s="19">
        <v>2.0</v>
      </c>
      <c r="Y173" s="19">
        <v>0.0</v>
      </c>
      <c r="Z173" s="19">
        <v>0.0</v>
      </c>
      <c r="AA173" s="19">
        <v>0.0</v>
      </c>
      <c r="AB173" s="19">
        <v>0.0</v>
      </c>
      <c r="AC173" s="13">
        <f t="shared" si="40"/>
        <v>5</v>
      </c>
    </row>
    <row r="174" ht="12.75" customHeight="1">
      <c r="A174" s="18"/>
      <c r="B174" s="55">
        <v>6.0</v>
      </c>
      <c r="C174" s="50" t="s">
        <v>153</v>
      </c>
      <c r="D174" s="57"/>
      <c r="E174" s="19">
        <v>1.0</v>
      </c>
      <c r="F174" s="19">
        <v>0.0</v>
      </c>
      <c r="G174" s="19">
        <v>0.0</v>
      </c>
      <c r="H174" s="19">
        <v>0.0</v>
      </c>
      <c r="I174" s="19">
        <v>0.0</v>
      </c>
      <c r="J174" s="19">
        <v>0.0</v>
      </c>
      <c r="K174" s="19">
        <v>0.0</v>
      </c>
      <c r="L174" s="19">
        <v>0.0</v>
      </c>
      <c r="M174" s="19">
        <v>0.0</v>
      </c>
      <c r="N174" s="19">
        <v>0.0</v>
      </c>
      <c r="O174" s="19">
        <v>0.0</v>
      </c>
      <c r="P174" s="19">
        <v>0.0</v>
      </c>
      <c r="Q174" s="19">
        <v>0.0</v>
      </c>
      <c r="R174" s="19">
        <v>0.0</v>
      </c>
      <c r="S174" s="19">
        <v>0.0</v>
      </c>
      <c r="T174" s="19">
        <v>0.0</v>
      </c>
      <c r="U174" s="19">
        <v>0.0</v>
      </c>
      <c r="V174" s="19">
        <v>0.0</v>
      </c>
      <c r="W174" s="19">
        <v>0.0</v>
      </c>
      <c r="X174" s="19">
        <v>0.0</v>
      </c>
      <c r="Y174" s="19">
        <v>0.0</v>
      </c>
      <c r="Z174" s="19">
        <v>0.0</v>
      </c>
      <c r="AA174" s="19">
        <v>0.0</v>
      </c>
      <c r="AB174" s="19">
        <v>0.0</v>
      </c>
      <c r="AC174" s="13">
        <f t="shared" si="40"/>
        <v>1</v>
      </c>
    </row>
    <row r="175" ht="12.75" customHeight="1">
      <c r="A175" s="18"/>
      <c r="B175" s="55">
        <v>7.0</v>
      </c>
      <c r="C175" s="50" t="s">
        <v>154</v>
      </c>
      <c r="D175" s="57"/>
      <c r="E175" s="19">
        <v>0.0</v>
      </c>
      <c r="F175" s="19">
        <v>0.0</v>
      </c>
      <c r="G175" s="19">
        <v>0.0</v>
      </c>
      <c r="H175" s="19">
        <v>0.0</v>
      </c>
      <c r="I175" s="19">
        <v>0.0</v>
      </c>
      <c r="J175" s="19">
        <v>0.0</v>
      </c>
      <c r="K175" s="19">
        <v>0.0</v>
      </c>
      <c r="L175" s="19">
        <v>0.0</v>
      </c>
      <c r="M175" s="19">
        <v>0.0</v>
      </c>
      <c r="N175" s="19">
        <v>0.0</v>
      </c>
      <c r="O175" s="19">
        <v>0.0</v>
      </c>
      <c r="P175" s="19">
        <v>0.0</v>
      </c>
      <c r="Q175" s="19">
        <v>0.0</v>
      </c>
      <c r="R175" s="19">
        <v>0.0</v>
      </c>
      <c r="S175" s="19">
        <v>0.0</v>
      </c>
      <c r="T175" s="19">
        <v>1.0</v>
      </c>
      <c r="U175" s="19">
        <v>0.0</v>
      </c>
      <c r="V175" s="19">
        <v>0.0</v>
      </c>
      <c r="W175" s="19">
        <v>1.0</v>
      </c>
      <c r="X175" s="19">
        <v>0.0</v>
      </c>
      <c r="Y175" s="19">
        <v>0.0</v>
      </c>
      <c r="Z175" s="19">
        <v>0.0</v>
      </c>
      <c r="AA175" s="19">
        <v>0.0</v>
      </c>
      <c r="AB175" s="19">
        <v>0.0</v>
      </c>
      <c r="AC175" s="13">
        <f t="shared" si="40"/>
        <v>2</v>
      </c>
    </row>
    <row r="176" ht="12.75" customHeight="1">
      <c r="A176" s="19" t="s">
        <v>15</v>
      </c>
      <c r="B176" s="47" t="s">
        <v>47</v>
      </c>
      <c r="C176" s="15"/>
      <c r="D176" s="16"/>
      <c r="E176" s="13">
        <f t="shared" ref="E176:AC176" si="41">SUM(E168:E175)</f>
        <v>3</v>
      </c>
      <c r="F176" s="13">
        <f t="shared" si="41"/>
        <v>13</v>
      </c>
      <c r="G176" s="13">
        <f t="shared" si="41"/>
        <v>11</v>
      </c>
      <c r="H176" s="13">
        <f t="shared" si="41"/>
        <v>2</v>
      </c>
      <c r="I176" s="13">
        <f t="shared" si="41"/>
        <v>5</v>
      </c>
      <c r="J176" s="13">
        <f t="shared" si="41"/>
        <v>2</v>
      </c>
      <c r="K176" s="13">
        <f t="shared" si="41"/>
        <v>0</v>
      </c>
      <c r="L176" s="13">
        <f t="shared" si="41"/>
        <v>6</v>
      </c>
      <c r="M176" s="13">
        <f t="shared" si="41"/>
        <v>6</v>
      </c>
      <c r="N176" s="13">
        <f t="shared" si="41"/>
        <v>10</v>
      </c>
      <c r="O176" s="13">
        <f t="shared" si="41"/>
        <v>9</v>
      </c>
      <c r="P176" s="13">
        <f t="shared" si="41"/>
        <v>3</v>
      </c>
      <c r="Q176" s="13">
        <f t="shared" si="41"/>
        <v>2</v>
      </c>
      <c r="R176" s="13">
        <f t="shared" si="41"/>
        <v>0</v>
      </c>
      <c r="S176" s="13">
        <f t="shared" si="41"/>
        <v>2</v>
      </c>
      <c r="T176" s="13">
        <f t="shared" si="41"/>
        <v>4</v>
      </c>
      <c r="U176" s="13">
        <f t="shared" si="41"/>
        <v>2</v>
      </c>
      <c r="V176" s="13">
        <f t="shared" si="41"/>
        <v>0</v>
      </c>
      <c r="W176" s="13">
        <f t="shared" si="41"/>
        <v>2</v>
      </c>
      <c r="X176" s="13">
        <f t="shared" si="41"/>
        <v>13</v>
      </c>
      <c r="Y176" s="13">
        <f t="shared" si="41"/>
        <v>3</v>
      </c>
      <c r="Z176" s="13">
        <f t="shared" si="41"/>
        <v>5</v>
      </c>
      <c r="AA176" s="13">
        <f t="shared" si="41"/>
        <v>19</v>
      </c>
      <c r="AB176" s="13">
        <f t="shared" si="41"/>
        <v>4</v>
      </c>
      <c r="AC176" s="13">
        <f t="shared" si="41"/>
        <v>126</v>
      </c>
    </row>
    <row r="177" ht="12.75" customHeight="1">
      <c r="A177" s="24"/>
      <c r="B177" s="15"/>
      <c r="C177" s="15"/>
      <c r="D177" s="15"/>
      <c r="E177" s="16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</row>
    <row r="178" ht="12.75" customHeight="1">
      <c r="A178" s="30" t="s">
        <v>37</v>
      </c>
      <c r="B178" s="47" t="s">
        <v>155</v>
      </c>
      <c r="C178" s="48" t="s">
        <v>156</v>
      </c>
      <c r="D178" s="16"/>
      <c r="E178" s="19">
        <v>0.0</v>
      </c>
      <c r="F178" s="19">
        <v>1.0</v>
      </c>
      <c r="G178" s="19">
        <v>0.0</v>
      </c>
      <c r="H178" s="19">
        <v>1.0</v>
      </c>
      <c r="I178" s="19">
        <v>2.0</v>
      </c>
      <c r="J178" s="19">
        <v>0.0</v>
      </c>
      <c r="K178" s="19">
        <v>1.0</v>
      </c>
      <c r="L178" s="19">
        <v>0.0</v>
      </c>
      <c r="M178" s="19">
        <v>0.0</v>
      </c>
      <c r="N178" s="19">
        <v>0.0</v>
      </c>
      <c r="O178" s="19">
        <v>1.0</v>
      </c>
      <c r="P178" s="19">
        <v>2.0</v>
      </c>
      <c r="Q178" s="19">
        <v>0.0</v>
      </c>
      <c r="R178" s="19">
        <v>1.0</v>
      </c>
      <c r="S178" s="19">
        <v>0.0</v>
      </c>
      <c r="T178" s="19">
        <v>0.0</v>
      </c>
      <c r="U178" s="19">
        <v>1.0</v>
      </c>
      <c r="V178" s="19">
        <v>2.0</v>
      </c>
      <c r="W178" s="19">
        <v>0.0</v>
      </c>
      <c r="X178" s="19">
        <v>2.0</v>
      </c>
      <c r="Y178" s="19">
        <v>1.0</v>
      </c>
      <c r="Z178" s="19">
        <v>1.0</v>
      </c>
      <c r="AA178" s="19">
        <v>3.0</v>
      </c>
      <c r="AB178" s="19">
        <v>3.0</v>
      </c>
      <c r="AC178" s="13">
        <f t="shared" ref="AC178:AC185" si="42">SUM(E178:AB178)</f>
        <v>22</v>
      </c>
    </row>
    <row r="179" ht="12.75" customHeight="1">
      <c r="A179" s="30" t="s">
        <v>39</v>
      </c>
      <c r="B179" s="55">
        <v>1.0</v>
      </c>
      <c r="C179" s="50" t="s">
        <v>157</v>
      </c>
      <c r="D179" s="56"/>
      <c r="E179" s="19">
        <v>0.0</v>
      </c>
      <c r="F179" s="19">
        <v>2.0</v>
      </c>
      <c r="G179" s="19">
        <v>2.0</v>
      </c>
      <c r="H179" s="19">
        <v>12.0</v>
      </c>
      <c r="I179" s="19">
        <v>5.0</v>
      </c>
      <c r="J179" s="19">
        <v>0.0</v>
      </c>
      <c r="K179" s="19">
        <v>2.0</v>
      </c>
      <c r="L179" s="19">
        <v>3.0</v>
      </c>
      <c r="M179" s="19">
        <v>33.0</v>
      </c>
      <c r="N179" s="19">
        <v>50.0</v>
      </c>
      <c r="O179" s="19">
        <v>34.0</v>
      </c>
      <c r="P179" s="19">
        <v>18.0</v>
      </c>
      <c r="Q179" s="19">
        <v>5.0</v>
      </c>
      <c r="R179" s="19">
        <v>21.0</v>
      </c>
      <c r="S179" s="19">
        <v>0.0</v>
      </c>
      <c r="T179" s="19">
        <v>4.0</v>
      </c>
      <c r="U179" s="19">
        <v>3.0</v>
      </c>
      <c r="V179" s="19">
        <v>0.0</v>
      </c>
      <c r="W179" s="19">
        <v>8.0</v>
      </c>
      <c r="X179" s="19">
        <v>6.0</v>
      </c>
      <c r="Y179" s="19">
        <v>2.0</v>
      </c>
      <c r="Z179" s="19">
        <v>2.0</v>
      </c>
      <c r="AA179" s="19">
        <v>1.0</v>
      </c>
      <c r="AB179" s="19">
        <v>14.0</v>
      </c>
      <c r="AC179" s="13">
        <f t="shared" si="42"/>
        <v>227</v>
      </c>
    </row>
    <row r="180" ht="12.75" customHeight="1">
      <c r="A180" s="18"/>
      <c r="B180" s="55">
        <v>2.0</v>
      </c>
      <c r="C180" s="50" t="s">
        <v>158</v>
      </c>
      <c r="D180" s="56"/>
      <c r="E180" s="19">
        <v>0.0</v>
      </c>
      <c r="F180" s="19">
        <v>1.0</v>
      </c>
      <c r="G180" s="19">
        <v>8.0</v>
      </c>
      <c r="H180" s="19">
        <v>23.0</v>
      </c>
      <c r="I180" s="19">
        <v>1.0</v>
      </c>
      <c r="J180" s="19">
        <v>0.0</v>
      </c>
      <c r="K180" s="19">
        <v>0.0</v>
      </c>
      <c r="L180" s="19">
        <v>0.0</v>
      </c>
      <c r="M180" s="19">
        <v>2.0</v>
      </c>
      <c r="N180" s="19">
        <v>1.0</v>
      </c>
      <c r="O180" s="19">
        <v>0.0</v>
      </c>
      <c r="P180" s="19">
        <v>1.0</v>
      </c>
      <c r="Q180" s="19">
        <v>0.0</v>
      </c>
      <c r="R180" s="19">
        <v>1.0</v>
      </c>
      <c r="S180" s="19">
        <v>0.0</v>
      </c>
      <c r="T180" s="19">
        <v>0.0</v>
      </c>
      <c r="U180" s="19">
        <v>15.0</v>
      </c>
      <c r="V180" s="19">
        <v>0.0</v>
      </c>
      <c r="W180" s="19">
        <v>1.0</v>
      </c>
      <c r="X180" s="19">
        <v>1.0</v>
      </c>
      <c r="Y180" s="19">
        <v>0.0</v>
      </c>
      <c r="Z180" s="19">
        <v>2.0</v>
      </c>
      <c r="AA180" s="19">
        <v>1.0</v>
      </c>
      <c r="AB180" s="19">
        <v>0.0</v>
      </c>
      <c r="AC180" s="13">
        <f t="shared" si="42"/>
        <v>58</v>
      </c>
    </row>
    <row r="181" ht="12.75" customHeight="1">
      <c r="A181" s="18"/>
      <c r="B181" s="55">
        <v>3.0</v>
      </c>
      <c r="C181" s="63" t="s">
        <v>159</v>
      </c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3">
        <f t="shared" si="42"/>
        <v>0</v>
      </c>
    </row>
    <row r="182" ht="12.75" customHeight="1">
      <c r="A182" s="18"/>
      <c r="B182" s="55">
        <v>4.0</v>
      </c>
      <c r="C182" s="50" t="s">
        <v>160</v>
      </c>
      <c r="D182" s="56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1.0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1.0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1.0</v>
      </c>
      <c r="AC182" s="13">
        <f t="shared" si="42"/>
        <v>3</v>
      </c>
    </row>
    <row r="183" ht="12.75" customHeight="1">
      <c r="A183" s="18"/>
      <c r="B183" s="55">
        <v>5.0</v>
      </c>
      <c r="C183" s="50" t="s">
        <v>161</v>
      </c>
      <c r="D183" s="56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1.0</v>
      </c>
      <c r="M183" s="19">
        <v>0.0</v>
      </c>
      <c r="N183" s="19">
        <v>1.0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3">
        <f t="shared" si="42"/>
        <v>2</v>
      </c>
    </row>
    <row r="184" ht="12.75" customHeight="1">
      <c r="A184" s="18"/>
      <c r="B184" s="55">
        <v>6.0</v>
      </c>
      <c r="C184" s="50" t="s">
        <v>162</v>
      </c>
      <c r="D184" s="56"/>
      <c r="E184" s="19">
        <v>0.0</v>
      </c>
      <c r="F184" s="19">
        <v>0.0</v>
      </c>
      <c r="G184" s="19">
        <v>0.0</v>
      </c>
      <c r="H184" s="19">
        <v>0.0</v>
      </c>
      <c r="I184" s="19">
        <v>1.0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1.0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3">
        <f t="shared" si="42"/>
        <v>2</v>
      </c>
    </row>
    <row r="185" ht="12.75" customHeight="1">
      <c r="A185" s="18"/>
      <c r="B185" s="55">
        <v>7.0</v>
      </c>
      <c r="C185" s="50" t="s">
        <v>163</v>
      </c>
      <c r="D185" s="56"/>
      <c r="E185" s="19">
        <v>0.0</v>
      </c>
      <c r="F185" s="19">
        <v>0.0</v>
      </c>
      <c r="G185" s="19">
        <v>0.0</v>
      </c>
      <c r="H185" s="19">
        <v>0.0</v>
      </c>
      <c r="I185" s="19">
        <v>0.0</v>
      </c>
      <c r="J185" s="19">
        <v>0.0</v>
      </c>
      <c r="K185" s="19">
        <v>0.0</v>
      </c>
      <c r="L185" s="19">
        <v>0.0</v>
      </c>
      <c r="M185" s="19">
        <v>0.0</v>
      </c>
      <c r="N185" s="19">
        <v>0.0</v>
      </c>
      <c r="O185" s="19">
        <v>1.0</v>
      </c>
      <c r="P185" s="19">
        <v>0.0</v>
      </c>
      <c r="Q185" s="19">
        <v>0.0</v>
      </c>
      <c r="R185" s="19">
        <v>0.0</v>
      </c>
      <c r="S185" s="19">
        <v>0.0</v>
      </c>
      <c r="T185" s="19">
        <v>0.0</v>
      </c>
      <c r="U185" s="19">
        <v>0.0</v>
      </c>
      <c r="V185" s="19">
        <v>0.0</v>
      </c>
      <c r="W185" s="19">
        <v>0.0</v>
      </c>
      <c r="X185" s="19">
        <v>0.0</v>
      </c>
      <c r="Y185" s="19">
        <v>0.0</v>
      </c>
      <c r="Z185" s="19">
        <v>0.0</v>
      </c>
      <c r="AA185" s="19">
        <v>0.0</v>
      </c>
      <c r="AB185" s="19">
        <v>0.0</v>
      </c>
      <c r="AC185" s="13">
        <f t="shared" si="42"/>
        <v>1</v>
      </c>
    </row>
    <row r="186" ht="12.75" customHeight="1">
      <c r="A186" s="19" t="s">
        <v>15</v>
      </c>
      <c r="B186" s="47" t="s">
        <v>47</v>
      </c>
      <c r="C186" s="15"/>
      <c r="D186" s="16"/>
      <c r="E186" s="13">
        <f t="shared" ref="E186:AC186" si="43">SUM(E178:E185)</f>
        <v>0</v>
      </c>
      <c r="F186" s="13">
        <f t="shared" si="43"/>
        <v>4</v>
      </c>
      <c r="G186" s="13">
        <f t="shared" si="43"/>
        <v>10</v>
      </c>
      <c r="H186" s="13">
        <f t="shared" si="43"/>
        <v>36</v>
      </c>
      <c r="I186" s="13">
        <f t="shared" si="43"/>
        <v>9</v>
      </c>
      <c r="J186" s="13">
        <f t="shared" si="43"/>
        <v>0</v>
      </c>
      <c r="K186" s="13">
        <f t="shared" si="43"/>
        <v>3</v>
      </c>
      <c r="L186" s="13">
        <f t="shared" si="43"/>
        <v>5</v>
      </c>
      <c r="M186" s="13">
        <f t="shared" si="43"/>
        <v>35</v>
      </c>
      <c r="N186" s="13">
        <f t="shared" si="43"/>
        <v>52</v>
      </c>
      <c r="O186" s="13">
        <f t="shared" si="43"/>
        <v>36</v>
      </c>
      <c r="P186" s="13">
        <f t="shared" si="43"/>
        <v>21</v>
      </c>
      <c r="Q186" s="13">
        <f t="shared" si="43"/>
        <v>5</v>
      </c>
      <c r="R186" s="13">
        <f t="shared" si="43"/>
        <v>23</v>
      </c>
      <c r="S186" s="13">
        <f t="shared" si="43"/>
        <v>1</v>
      </c>
      <c r="T186" s="13">
        <f t="shared" si="43"/>
        <v>4</v>
      </c>
      <c r="U186" s="13">
        <f t="shared" si="43"/>
        <v>20</v>
      </c>
      <c r="V186" s="13">
        <f t="shared" si="43"/>
        <v>2</v>
      </c>
      <c r="W186" s="13">
        <f t="shared" si="43"/>
        <v>9</v>
      </c>
      <c r="X186" s="13">
        <f t="shared" si="43"/>
        <v>9</v>
      </c>
      <c r="Y186" s="13">
        <f t="shared" si="43"/>
        <v>3</v>
      </c>
      <c r="Z186" s="13">
        <f t="shared" si="43"/>
        <v>5</v>
      </c>
      <c r="AA186" s="13">
        <f t="shared" si="43"/>
        <v>5</v>
      </c>
      <c r="AB186" s="13">
        <f t="shared" si="43"/>
        <v>18</v>
      </c>
      <c r="AC186" s="13">
        <f t="shared" si="43"/>
        <v>315</v>
      </c>
    </row>
    <row r="187" ht="12.75" customHeight="1">
      <c r="A187" s="24"/>
      <c r="B187" s="15"/>
      <c r="C187" s="15"/>
      <c r="D187" s="15"/>
      <c r="E187" s="16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</row>
    <row r="188" ht="12.75" customHeight="1">
      <c r="A188" s="30" t="s">
        <v>37</v>
      </c>
      <c r="B188" s="47" t="s">
        <v>164</v>
      </c>
      <c r="C188" s="48" t="s">
        <v>165</v>
      </c>
      <c r="D188" s="16"/>
      <c r="E188" s="19">
        <v>0.0</v>
      </c>
      <c r="F188" s="19">
        <v>0.0</v>
      </c>
      <c r="G188" s="19">
        <v>0.0</v>
      </c>
      <c r="H188" s="19">
        <v>0.0</v>
      </c>
      <c r="I188" s="19">
        <v>0.0</v>
      </c>
      <c r="J188" s="19">
        <v>0.0</v>
      </c>
      <c r="K188" s="19">
        <v>0.0</v>
      </c>
      <c r="L188" s="19">
        <v>1.0</v>
      </c>
      <c r="M188" s="19">
        <v>0.0</v>
      </c>
      <c r="N188" s="19">
        <v>0.0</v>
      </c>
      <c r="O188" s="19">
        <v>0.0</v>
      </c>
      <c r="P188" s="19">
        <v>0.0</v>
      </c>
      <c r="Q188" s="19">
        <v>0.0</v>
      </c>
      <c r="R188" s="19">
        <v>0.0</v>
      </c>
      <c r="S188" s="19">
        <v>0.0</v>
      </c>
      <c r="T188" s="19">
        <v>0.0</v>
      </c>
      <c r="U188" s="19">
        <v>0.0</v>
      </c>
      <c r="V188" s="19">
        <v>0.0</v>
      </c>
      <c r="W188" s="19">
        <v>0.0</v>
      </c>
      <c r="X188" s="19">
        <v>0.0</v>
      </c>
      <c r="Y188" s="19">
        <v>0.0</v>
      </c>
      <c r="Z188" s="19">
        <v>0.0</v>
      </c>
      <c r="AA188" s="19">
        <v>0.0</v>
      </c>
      <c r="AB188" s="19">
        <v>2.0</v>
      </c>
      <c r="AC188" s="13">
        <f t="shared" ref="AC188:AC195" si="44">SUM(E188:AB188)</f>
        <v>3</v>
      </c>
    </row>
    <row r="189" ht="12.75" customHeight="1">
      <c r="A189" s="30" t="s">
        <v>39</v>
      </c>
      <c r="B189" s="55">
        <v>1.0</v>
      </c>
      <c r="C189" s="50" t="s">
        <v>166</v>
      </c>
      <c r="D189" s="57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1.0</v>
      </c>
      <c r="S189" s="19">
        <v>0.0</v>
      </c>
      <c r="T189" s="19">
        <v>1.0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3">
        <f t="shared" si="44"/>
        <v>2</v>
      </c>
    </row>
    <row r="190" ht="12.75" customHeight="1">
      <c r="A190" s="18"/>
      <c r="B190" s="55">
        <v>2.0</v>
      </c>
      <c r="C190" s="50" t="s">
        <v>167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3">
        <f t="shared" si="44"/>
        <v>0</v>
      </c>
    </row>
    <row r="191" ht="12.75" customHeight="1">
      <c r="A191" s="18"/>
      <c r="B191" s="55">
        <v>3.0</v>
      </c>
      <c r="C191" s="50" t="s">
        <v>168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3">
        <f t="shared" si="44"/>
        <v>0</v>
      </c>
    </row>
    <row r="192" ht="12.75" customHeight="1">
      <c r="A192" s="18"/>
      <c r="B192" s="55">
        <v>4.0</v>
      </c>
      <c r="C192" s="50" t="s">
        <v>169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1.0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3">
        <f t="shared" si="44"/>
        <v>1</v>
      </c>
    </row>
    <row r="193" ht="12.75" customHeight="1">
      <c r="A193" s="18"/>
      <c r="B193" s="55">
        <v>5.0</v>
      </c>
      <c r="C193" s="50" t="s">
        <v>170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3">
        <f t="shared" si="44"/>
        <v>0</v>
      </c>
    </row>
    <row r="194" ht="12.75" customHeight="1">
      <c r="A194" s="18"/>
      <c r="B194" s="55">
        <v>6.0</v>
      </c>
      <c r="C194" s="50" t="s">
        <v>171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3">
        <f t="shared" si="44"/>
        <v>0</v>
      </c>
    </row>
    <row r="195" ht="12.75" customHeight="1">
      <c r="A195" s="18"/>
      <c r="B195" s="55">
        <v>7.0</v>
      </c>
      <c r="C195" s="50" t="s">
        <v>172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2.0</v>
      </c>
      <c r="AA195" s="19">
        <v>0.0</v>
      </c>
      <c r="AB195" s="19">
        <v>0.0</v>
      </c>
      <c r="AC195" s="13">
        <f t="shared" si="44"/>
        <v>2</v>
      </c>
    </row>
    <row r="196" ht="12.75" customHeight="1">
      <c r="A196" s="19" t="s">
        <v>15</v>
      </c>
      <c r="B196" s="47" t="s">
        <v>47</v>
      </c>
      <c r="C196" s="15"/>
      <c r="D196" s="16"/>
      <c r="E196" s="13">
        <f t="shared" ref="E196:AC196" si="45">SUM(E188:E195)</f>
        <v>0</v>
      </c>
      <c r="F196" s="13">
        <f t="shared" si="45"/>
        <v>0</v>
      </c>
      <c r="G196" s="13">
        <f t="shared" si="45"/>
        <v>0</v>
      </c>
      <c r="H196" s="13">
        <f t="shared" si="45"/>
        <v>0</v>
      </c>
      <c r="I196" s="13">
        <f t="shared" si="45"/>
        <v>0</v>
      </c>
      <c r="J196" s="13">
        <f t="shared" si="45"/>
        <v>0</v>
      </c>
      <c r="K196" s="13">
        <f t="shared" si="45"/>
        <v>0</v>
      </c>
      <c r="L196" s="13">
        <f t="shared" si="45"/>
        <v>1</v>
      </c>
      <c r="M196" s="13">
        <f t="shared" si="45"/>
        <v>0</v>
      </c>
      <c r="N196" s="13">
        <f t="shared" si="45"/>
        <v>0</v>
      </c>
      <c r="O196" s="13">
        <f t="shared" si="45"/>
        <v>0</v>
      </c>
      <c r="P196" s="13">
        <f t="shared" si="45"/>
        <v>0</v>
      </c>
      <c r="Q196" s="13">
        <f t="shared" si="45"/>
        <v>0</v>
      </c>
      <c r="R196" s="13">
        <f t="shared" si="45"/>
        <v>1</v>
      </c>
      <c r="S196" s="13">
        <f t="shared" si="45"/>
        <v>0</v>
      </c>
      <c r="T196" s="13">
        <f t="shared" si="45"/>
        <v>1</v>
      </c>
      <c r="U196" s="13">
        <f t="shared" si="45"/>
        <v>0</v>
      </c>
      <c r="V196" s="13">
        <f t="shared" si="45"/>
        <v>0</v>
      </c>
      <c r="W196" s="13">
        <f t="shared" si="45"/>
        <v>1</v>
      </c>
      <c r="X196" s="13">
        <f t="shared" si="45"/>
        <v>0</v>
      </c>
      <c r="Y196" s="13">
        <f t="shared" si="45"/>
        <v>0</v>
      </c>
      <c r="Z196" s="13">
        <f t="shared" si="45"/>
        <v>2</v>
      </c>
      <c r="AA196" s="13">
        <f t="shared" si="45"/>
        <v>0</v>
      </c>
      <c r="AB196" s="13">
        <f t="shared" si="45"/>
        <v>2</v>
      </c>
      <c r="AC196" s="13">
        <f t="shared" si="45"/>
        <v>8</v>
      </c>
    </row>
    <row r="197" ht="12.75" customHeight="1">
      <c r="A197" s="24"/>
      <c r="B197" s="15"/>
      <c r="C197" s="15"/>
      <c r="D197" s="15"/>
      <c r="E197" s="16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</row>
    <row r="198" ht="12.75" customHeight="1">
      <c r="A198" s="30" t="s">
        <v>37</v>
      </c>
      <c r="B198" s="47" t="s">
        <v>173</v>
      </c>
      <c r="C198" s="48" t="s">
        <v>174</v>
      </c>
      <c r="D198" s="16"/>
      <c r="E198" s="19">
        <v>0.0</v>
      </c>
      <c r="F198" s="19">
        <v>3.0</v>
      </c>
      <c r="G198" s="19">
        <v>1.0</v>
      </c>
      <c r="H198" s="19">
        <v>1.0</v>
      </c>
      <c r="I198" s="19">
        <v>1.0</v>
      </c>
      <c r="J198" s="19">
        <v>0.0</v>
      </c>
      <c r="K198" s="19">
        <v>0.0</v>
      </c>
      <c r="L198" s="19">
        <v>0.0</v>
      </c>
      <c r="M198" s="19">
        <v>0.0</v>
      </c>
      <c r="N198" s="19">
        <v>0.0</v>
      </c>
      <c r="O198" s="19">
        <v>0.0</v>
      </c>
      <c r="P198" s="19">
        <v>0.0</v>
      </c>
      <c r="Q198" s="19">
        <v>0.0</v>
      </c>
      <c r="R198" s="19">
        <v>0.0</v>
      </c>
      <c r="S198" s="19">
        <v>0.0</v>
      </c>
      <c r="T198" s="19">
        <v>0.0</v>
      </c>
      <c r="U198" s="19">
        <v>1.0</v>
      </c>
      <c r="V198" s="19">
        <v>0.0</v>
      </c>
      <c r="W198" s="19">
        <v>5.0</v>
      </c>
      <c r="X198" s="19">
        <v>2.0</v>
      </c>
      <c r="Y198" s="19">
        <v>0.0</v>
      </c>
      <c r="Z198" s="19">
        <v>1.0</v>
      </c>
      <c r="AA198" s="19">
        <v>0.0</v>
      </c>
      <c r="AB198" s="19">
        <v>1.0</v>
      </c>
      <c r="AC198" s="13">
        <f t="shared" ref="AC198:AC205" si="46">SUM(E198:AB198)</f>
        <v>16</v>
      </c>
    </row>
    <row r="199" ht="12.75" customHeight="1">
      <c r="A199" s="30" t="s">
        <v>39</v>
      </c>
      <c r="B199" s="55">
        <v>1.0</v>
      </c>
      <c r="C199" s="50" t="s">
        <v>175</v>
      </c>
      <c r="D199" s="57"/>
      <c r="E199" s="19">
        <v>1.0</v>
      </c>
      <c r="F199" s="19">
        <v>0.0</v>
      </c>
      <c r="G199" s="19">
        <v>0.0</v>
      </c>
      <c r="H199" s="19">
        <v>3.0</v>
      </c>
      <c r="I199" s="19">
        <v>1.0</v>
      </c>
      <c r="J199" s="19">
        <v>1.0</v>
      </c>
      <c r="K199" s="19">
        <v>0.0</v>
      </c>
      <c r="L199" s="19">
        <v>0.0</v>
      </c>
      <c r="M199" s="19">
        <v>2.0</v>
      </c>
      <c r="N199" s="19">
        <v>1.0</v>
      </c>
      <c r="O199" s="19">
        <v>0.0</v>
      </c>
      <c r="P199" s="19">
        <v>0.0</v>
      </c>
      <c r="Q199" s="19">
        <v>0.0</v>
      </c>
      <c r="R199" s="19">
        <v>0.0</v>
      </c>
      <c r="S199" s="19">
        <v>0.0</v>
      </c>
      <c r="T199" s="19">
        <v>1.0</v>
      </c>
      <c r="U199" s="19">
        <v>0.0</v>
      </c>
      <c r="V199" s="19">
        <v>0.0</v>
      </c>
      <c r="W199" s="19">
        <v>1.0</v>
      </c>
      <c r="X199" s="19">
        <v>3.0</v>
      </c>
      <c r="Y199" s="19">
        <v>2.0</v>
      </c>
      <c r="Z199" s="19">
        <v>0.0</v>
      </c>
      <c r="AA199" s="19">
        <v>0.0</v>
      </c>
      <c r="AB199" s="19">
        <v>0.0</v>
      </c>
      <c r="AC199" s="13">
        <f t="shared" si="46"/>
        <v>16</v>
      </c>
    </row>
    <row r="200" ht="12.75" customHeight="1">
      <c r="A200" s="18"/>
      <c r="B200" s="55">
        <v>2.0</v>
      </c>
      <c r="C200" s="50" t="s">
        <v>176</v>
      </c>
      <c r="D200" s="57"/>
      <c r="E200" s="19">
        <v>0.0</v>
      </c>
      <c r="F200" s="19">
        <v>0.0</v>
      </c>
      <c r="G200" s="19">
        <v>0.0</v>
      </c>
      <c r="H200" s="19">
        <v>0.0</v>
      </c>
      <c r="I200" s="19">
        <v>1.0</v>
      </c>
      <c r="J200" s="19">
        <v>0.0</v>
      </c>
      <c r="K200" s="19">
        <v>1.0</v>
      </c>
      <c r="L200" s="19">
        <v>1.0</v>
      </c>
      <c r="M200" s="19">
        <v>3.0</v>
      </c>
      <c r="N200" s="19">
        <v>0.0</v>
      </c>
      <c r="O200" s="19">
        <v>0.0</v>
      </c>
      <c r="P200" s="19">
        <v>0.0</v>
      </c>
      <c r="Q200" s="19">
        <v>0.0</v>
      </c>
      <c r="R200" s="19">
        <v>0.0</v>
      </c>
      <c r="S200" s="19">
        <v>0.0</v>
      </c>
      <c r="T200" s="19">
        <v>2.0</v>
      </c>
      <c r="U200" s="19">
        <v>5.0</v>
      </c>
      <c r="V200" s="19">
        <v>0.0</v>
      </c>
      <c r="W200" s="19">
        <v>2.0</v>
      </c>
      <c r="X200" s="19">
        <v>0.0</v>
      </c>
      <c r="Y200" s="19">
        <v>0.0</v>
      </c>
      <c r="Z200" s="19">
        <v>0.0</v>
      </c>
      <c r="AA200" s="19">
        <v>0.0</v>
      </c>
      <c r="AB200" s="19">
        <v>0.0</v>
      </c>
      <c r="AC200" s="13">
        <f t="shared" si="46"/>
        <v>15</v>
      </c>
    </row>
    <row r="201" ht="12.75" customHeight="1">
      <c r="A201" s="18"/>
      <c r="B201" s="55">
        <v>3.0</v>
      </c>
      <c r="C201" s="50" t="s">
        <v>177</v>
      </c>
      <c r="D201" s="57"/>
      <c r="E201" s="19">
        <v>0.0</v>
      </c>
      <c r="F201" s="19">
        <v>0.0</v>
      </c>
      <c r="G201" s="19">
        <v>0.0</v>
      </c>
      <c r="H201" s="19">
        <v>0.0</v>
      </c>
      <c r="I201" s="19">
        <v>0.0</v>
      </c>
      <c r="J201" s="19">
        <v>0.0</v>
      </c>
      <c r="K201" s="19">
        <v>0.0</v>
      </c>
      <c r="L201" s="19">
        <v>0.0</v>
      </c>
      <c r="M201" s="19">
        <v>0.0</v>
      </c>
      <c r="N201" s="19">
        <v>0.0</v>
      </c>
      <c r="O201" s="19">
        <v>0.0</v>
      </c>
      <c r="P201" s="19">
        <v>0.0</v>
      </c>
      <c r="Q201" s="19">
        <v>0.0</v>
      </c>
      <c r="R201" s="19">
        <v>1.0</v>
      </c>
      <c r="S201" s="19">
        <v>0.0</v>
      </c>
      <c r="T201" s="19">
        <v>0.0</v>
      </c>
      <c r="U201" s="19">
        <v>0.0</v>
      </c>
      <c r="V201" s="19">
        <v>0.0</v>
      </c>
      <c r="W201" s="19">
        <v>0.0</v>
      </c>
      <c r="X201" s="19">
        <v>2.0</v>
      </c>
      <c r="Y201" s="19">
        <v>0.0</v>
      </c>
      <c r="Z201" s="19">
        <v>0.0</v>
      </c>
      <c r="AA201" s="19">
        <v>0.0</v>
      </c>
      <c r="AB201" s="19">
        <v>1.0</v>
      </c>
      <c r="AC201" s="13">
        <f t="shared" si="46"/>
        <v>4</v>
      </c>
    </row>
    <row r="202" ht="12.75" customHeight="1">
      <c r="A202" s="18"/>
      <c r="B202" s="55">
        <v>4.0</v>
      </c>
      <c r="C202" s="50" t="s">
        <v>178</v>
      </c>
      <c r="D202" s="57"/>
      <c r="E202" s="19">
        <v>0.0</v>
      </c>
      <c r="F202" s="19">
        <v>0.0</v>
      </c>
      <c r="G202" s="19">
        <v>0.0</v>
      </c>
      <c r="H202" s="19">
        <v>2.0</v>
      </c>
      <c r="I202" s="19">
        <v>0.0</v>
      </c>
      <c r="J202" s="19">
        <v>0.0</v>
      </c>
      <c r="K202" s="19">
        <v>0.0</v>
      </c>
      <c r="L202" s="19">
        <v>0.0</v>
      </c>
      <c r="M202" s="19">
        <v>0.0</v>
      </c>
      <c r="N202" s="19">
        <v>0.0</v>
      </c>
      <c r="O202" s="19">
        <v>0.0</v>
      </c>
      <c r="P202" s="19">
        <v>0.0</v>
      </c>
      <c r="Q202" s="19">
        <v>0.0</v>
      </c>
      <c r="R202" s="19">
        <v>0.0</v>
      </c>
      <c r="S202" s="19">
        <v>0.0</v>
      </c>
      <c r="T202" s="19">
        <v>0.0</v>
      </c>
      <c r="U202" s="19">
        <v>0.0</v>
      </c>
      <c r="V202" s="19">
        <v>0.0</v>
      </c>
      <c r="W202" s="19">
        <v>0.0</v>
      </c>
      <c r="X202" s="19">
        <v>0.0</v>
      </c>
      <c r="Y202" s="19">
        <v>2.0</v>
      </c>
      <c r="Z202" s="19">
        <v>0.0</v>
      </c>
      <c r="AA202" s="19">
        <v>0.0</v>
      </c>
      <c r="AB202" s="19">
        <v>0.0</v>
      </c>
      <c r="AC202" s="13">
        <f t="shared" si="46"/>
        <v>4</v>
      </c>
    </row>
    <row r="203" ht="12.75" customHeight="1">
      <c r="A203" s="18"/>
      <c r="B203" s="55">
        <v>5.0</v>
      </c>
      <c r="C203" s="50" t="s">
        <v>179</v>
      </c>
      <c r="D203" s="57"/>
      <c r="E203" s="19">
        <v>0.0</v>
      </c>
      <c r="F203" s="19">
        <v>1.0</v>
      </c>
      <c r="G203" s="19">
        <v>0.0</v>
      </c>
      <c r="H203" s="19">
        <v>0.0</v>
      </c>
      <c r="I203" s="19">
        <v>0.0</v>
      </c>
      <c r="J203" s="19">
        <v>0.0</v>
      </c>
      <c r="K203" s="19">
        <v>0.0</v>
      </c>
      <c r="L203" s="19">
        <v>0.0</v>
      </c>
      <c r="M203" s="19">
        <v>0.0</v>
      </c>
      <c r="N203" s="19">
        <v>0.0</v>
      </c>
      <c r="O203" s="19">
        <v>0.0</v>
      </c>
      <c r="P203" s="19">
        <v>0.0</v>
      </c>
      <c r="Q203" s="19">
        <v>0.0</v>
      </c>
      <c r="R203" s="19">
        <v>0.0</v>
      </c>
      <c r="S203" s="19">
        <v>0.0</v>
      </c>
      <c r="T203" s="19">
        <v>1.0</v>
      </c>
      <c r="U203" s="19">
        <v>0.0</v>
      </c>
      <c r="V203" s="19">
        <v>0.0</v>
      </c>
      <c r="W203" s="19">
        <v>0.0</v>
      </c>
      <c r="X203" s="19">
        <v>0.0</v>
      </c>
      <c r="Y203" s="19">
        <v>1.0</v>
      </c>
      <c r="Z203" s="19">
        <v>0.0</v>
      </c>
      <c r="AA203" s="19">
        <v>0.0</v>
      </c>
      <c r="AB203" s="19">
        <v>0.0</v>
      </c>
      <c r="AC203" s="13">
        <f t="shared" si="46"/>
        <v>3</v>
      </c>
    </row>
    <row r="204" ht="12.75" customHeight="1">
      <c r="A204" s="18"/>
      <c r="B204" s="55">
        <v>6.0</v>
      </c>
      <c r="C204" s="50" t="s">
        <v>180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1.0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0.0</v>
      </c>
      <c r="W204" s="19">
        <v>0.0</v>
      </c>
      <c r="X204" s="19">
        <v>1.0</v>
      </c>
      <c r="Y204" s="19">
        <v>0.0</v>
      </c>
      <c r="Z204" s="19">
        <v>0.0</v>
      </c>
      <c r="AA204" s="19">
        <v>0.0</v>
      </c>
      <c r="AB204" s="19">
        <v>0.0</v>
      </c>
      <c r="AC204" s="13">
        <f t="shared" si="46"/>
        <v>2</v>
      </c>
    </row>
    <row r="205" ht="12.75" customHeight="1">
      <c r="A205" s="18"/>
      <c r="B205" s="55">
        <v>7.0</v>
      </c>
      <c r="C205" s="50" t="s">
        <v>181</v>
      </c>
      <c r="D205" s="57"/>
      <c r="E205" s="19">
        <v>3.0</v>
      </c>
      <c r="F205" s="19">
        <v>14.0</v>
      </c>
      <c r="G205" s="19">
        <v>2.0</v>
      </c>
      <c r="H205" s="19">
        <v>6.0</v>
      </c>
      <c r="I205" s="19">
        <v>5.0</v>
      </c>
      <c r="J205" s="19">
        <v>0.0</v>
      </c>
      <c r="K205" s="19">
        <v>0.0</v>
      </c>
      <c r="L205" s="19">
        <v>2.0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3.0</v>
      </c>
      <c r="U205" s="19">
        <v>0.0</v>
      </c>
      <c r="V205" s="19">
        <v>6.0</v>
      </c>
      <c r="W205" s="19">
        <v>9.0</v>
      </c>
      <c r="X205" s="19">
        <v>5.0</v>
      </c>
      <c r="Y205" s="19">
        <v>14.0</v>
      </c>
      <c r="Z205" s="19">
        <v>0.0</v>
      </c>
      <c r="AA205" s="19">
        <v>4.0</v>
      </c>
      <c r="AB205" s="19">
        <v>1.0</v>
      </c>
      <c r="AC205" s="13">
        <f t="shared" si="46"/>
        <v>74</v>
      </c>
    </row>
    <row r="206" ht="12.75" customHeight="1">
      <c r="A206" s="19" t="s">
        <v>15</v>
      </c>
      <c r="B206" s="47" t="s">
        <v>47</v>
      </c>
      <c r="C206" s="15"/>
      <c r="D206" s="16"/>
      <c r="E206" s="13">
        <f t="shared" ref="E206:AC206" si="47">SUM(E198:E205)</f>
        <v>4</v>
      </c>
      <c r="F206" s="13">
        <f t="shared" si="47"/>
        <v>18</v>
      </c>
      <c r="G206" s="13">
        <f t="shared" si="47"/>
        <v>3</v>
      </c>
      <c r="H206" s="13">
        <f t="shared" si="47"/>
        <v>12</v>
      </c>
      <c r="I206" s="13">
        <f t="shared" si="47"/>
        <v>8</v>
      </c>
      <c r="J206" s="13">
        <f t="shared" si="47"/>
        <v>2</v>
      </c>
      <c r="K206" s="13">
        <f t="shared" si="47"/>
        <v>1</v>
      </c>
      <c r="L206" s="13">
        <f t="shared" si="47"/>
        <v>3</v>
      </c>
      <c r="M206" s="13">
        <f t="shared" si="47"/>
        <v>5</v>
      </c>
      <c r="N206" s="13">
        <f t="shared" si="47"/>
        <v>1</v>
      </c>
      <c r="O206" s="13">
        <f t="shared" si="47"/>
        <v>0</v>
      </c>
      <c r="P206" s="13">
        <f t="shared" si="47"/>
        <v>0</v>
      </c>
      <c r="Q206" s="13">
        <f t="shared" si="47"/>
        <v>0</v>
      </c>
      <c r="R206" s="13">
        <f t="shared" si="47"/>
        <v>1</v>
      </c>
      <c r="S206" s="13">
        <f t="shared" si="47"/>
        <v>0</v>
      </c>
      <c r="T206" s="13">
        <f t="shared" si="47"/>
        <v>7</v>
      </c>
      <c r="U206" s="13">
        <f t="shared" si="47"/>
        <v>6</v>
      </c>
      <c r="V206" s="13">
        <f t="shared" si="47"/>
        <v>6</v>
      </c>
      <c r="W206" s="13">
        <f t="shared" si="47"/>
        <v>17</v>
      </c>
      <c r="X206" s="13">
        <f t="shared" si="47"/>
        <v>13</v>
      </c>
      <c r="Y206" s="13">
        <f t="shared" si="47"/>
        <v>19</v>
      </c>
      <c r="Z206" s="13">
        <f t="shared" si="47"/>
        <v>1</v>
      </c>
      <c r="AA206" s="13">
        <f t="shared" si="47"/>
        <v>4</v>
      </c>
      <c r="AB206" s="13">
        <f t="shared" si="47"/>
        <v>3</v>
      </c>
      <c r="AC206" s="13">
        <f t="shared" si="47"/>
        <v>134</v>
      </c>
    </row>
    <row r="207" ht="12.75" customHeight="1">
      <c r="A207" s="24"/>
      <c r="B207" s="15"/>
      <c r="C207" s="15"/>
      <c r="D207" s="15"/>
      <c r="E207" s="16"/>
    </row>
    <row r="208" ht="12.75" customHeight="1">
      <c r="A208" s="30" t="s">
        <v>37</v>
      </c>
      <c r="B208" s="47" t="s">
        <v>182</v>
      </c>
      <c r="C208" s="48" t="s">
        <v>183</v>
      </c>
      <c r="D208" s="16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  <c r="AC208" s="13">
        <f t="shared" ref="AC208:AC214" si="48">SUM(E208:AB208)</f>
        <v>0</v>
      </c>
    </row>
    <row r="209" ht="12.75" customHeight="1">
      <c r="A209" s="30" t="s">
        <v>39</v>
      </c>
      <c r="B209" s="55">
        <v>1.0</v>
      </c>
      <c r="C209" s="61" t="s">
        <v>184</v>
      </c>
      <c r="D209" s="57"/>
      <c r="E209" s="19">
        <v>0.0</v>
      </c>
      <c r="F209" s="19">
        <v>0.0</v>
      </c>
      <c r="G209" s="19">
        <v>0.0</v>
      </c>
      <c r="H209" s="19">
        <v>0.0</v>
      </c>
      <c r="I209" s="19">
        <v>0.0</v>
      </c>
      <c r="J209" s="19">
        <v>0.0</v>
      </c>
      <c r="K209" s="19">
        <v>0.0</v>
      </c>
      <c r="L209" s="19">
        <v>0.0</v>
      </c>
      <c r="M209" s="19">
        <v>0.0</v>
      </c>
      <c r="N209" s="19">
        <v>0.0</v>
      </c>
      <c r="O209" s="19">
        <v>0.0</v>
      </c>
      <c r="P209" s="19">
        <v>0.0</v>
      </c>
      <c r="Q209" s="19">
        <v>0.0</v>
      </c>
      <c r="R209" s="19">
        <v>0.0</v>
      </c>
      <c r="S209" s="19">
        <v>0.0</v>
      </c>
      <c r="T209" s="19">
        <v>0.0</v>
      </c>
      <c r="U209" s="19">
        <v>0.0</v>
      </c>
      <c r="V209" s="19">
        <v>0.0</v>
      </c>
      <c r="W209" s="19">
        <v>0.0</v>
      </c>
      <c r="X209" s="19">
        <v>0.0</v>
      </c>
      <c r="Y209" s="19">
        <v>0.0</v>
      </c>
      <c r="Z209" s="19">
        <v>0.0</v>
      </c>
      <c r="AA209" s="19">
        <v>0.0</v>
      </c>
      <c r="AB209" s="19">
        <v>0.0</v>
      </c>
      <c r="AC209" s="13">
        <f t="shared" si="48"/>
        <v>0</v>
      </c>
    </row>
    <row r="210" ht="12.75" customHeight="1">
      <c r="A210" s="18"/>
      <c r="B210" s="55">
        <v>2.0</v>
      </c>
      <c r="C210" s="61" t="s">
        <v>185</v>
      </c>
      <c r="D210" s="57"/>
      <c r="E210" s="19">
        <v>0.0</v>
      </c>
      <c r="F210" s="19">
        <v>0.0</v>
      </c>
      <c r="G210" s="19">
        <v>0.0</v>
      </c>
      <c r="H210" s="19">
        <v>0.0</v>
      </c>
      <c r="I210" s="19">
        <v>0.0</v>
      </c>
      <c r="J210" s="19">
        <v>0.0</v>
      </c>
      <c r="K210" s="19">
        <v>0.0</v>
      </c>
      <c r="L210" s="19">
        <v>0.0</v>
      </c>
      <c r="M210" s="19">
        <v>0.0</v>
      </c>
      <c r="N210" s="19">
        <v>0.0</v>
      </c>
      <c r="O210" s="19">
        <v>0.0</v>
      </c>
      <c r="P210" s="19">
        <v>0.0</v>
      </c>
      <c r="Q210" s="19">
        <v>0.0</v>
      </c>
      <c r="R210" s="19">
        <v>0.0</v>
      </c>
      <c r="S210" s="19">
        <v>0.0</v>
      </c>
      <c r="T210" s="19">
        <v>0.0</v>
      </c>
      <c r="U210" s="19">
        <v>0.0</v>
      </c>
      <c r="V210" s="19">
        <v>0.0</v>
      </c>
      <c r="W210" s="19">
        <v>0.0</v>
      </c>
      <c r="X210" s="19">
        <v>0.0</v>
      </c>
      <c r="Y210" s="19">
        <v>0.0</v>
      </c>
      <c r="Z210" s="19">
        <v>0.0</v>
      </c>
      <c r="AA210" s="19">
        <v>0.0</v>
      </c>
      <c r="AB210" s="19">
        <v>0.0</v>
      </c>
      <c r="AC210" s="13">
        <f t="shared" si="48"/>
        <v>0</v>
      </c>
    </row>
    <row r="211" ht="12.75" customHeight="1">
      <c r="A211" s="18"/>
      <c r="B211" s="55">
        <v>3.0</v>
      </c>
      <c r="C211" s="61" t="s">
        <v>186</v>
      </c>
      <c r="D211" s="57"/>
      <c r="E211" s="19">
        <v>0.0</v>
      </c>
      <c r="F211" s="19">
        <v>0.0</v>
      </c>
      <c r="G211" s="19">
        <v>0.0</v>
      </c>
      <c r="H211" s="19">
        <v>0.0</v>
      </c>
      <c r="I211" s="19">
        <v>0.0</v>
      </c>
      <c r="J211" s="19">
        <v>0.0</v>
      </c>
      <c r="K211" s="19">
        <v>0.0</v>
      </c>
      <c r="L211" s="19">
        <v>0.0</v>
      </c>
      <c r="M211" s="19">
        <v>0.0</v>
      </c>
      <c r="N211" s="19">
        <v>0.0</v>
      </c>
      <c r="O211" s="19">
        <v>0.0</v>
      </c>
      <c r="P211" s="19">
        <v>0.0</v>
      </c>
      <c r="Q211" s="19">
        <v>0.0</v>
      </c>
      <c r="R211" s="19">
        <v>0.0</v>
      </c>
      <c r="S211" s="19">
        <v>0.0</v>
      </c>
      <c r="T211" s="19">
        <v>0.0</v>
      </c>
      <c r="U211" s="19">
        <v>0.0</v>
      </c>
      <c r="V211" s="19">
        <v>0.0</v>
      </c>
      <c r="W211" s="19">
        <v>0.0</v>
      </c>
      <c r="X211" s="19">
        <v>0.0</v>
      </c>
      <c r="Y211" s="19">
        <v>0.0</v>
      </c>
      <c r="Z211" s="19">
        <v>0.0</v>
      </c>
      <c r="AA211" s="19">
        <v>0.0</v>
      </c>
      <c r="AB211" s="19">
        <v>0.0</v>
      </c>
      <c r="AC211" s="13">
        <f t="shared" si="48"/>
        <v>0</v>
      </c>
    </row>
    <row r="212" ht="12.75" customHeight="1">
      <c r="A212" s="18"/>
      <c r="B212" s="55">
        <v>4.0</v>
      </c>
      <c r="C212" s="61" t="s">
        <v>187</v>
      </c>
      <c r="D212" s="57"/>
      <c r="E212" s="19">
        <v>0.0</v>
      </c>
      <c r="F212" s="19">
        <v>0.0</v>
      </c>
      <c r="G212" s="19">
        <v>0.0</v>
      </c>
      <c r="H212" s="19">
        <v>0.0</v>
      </c>
      <c r="I212" s="19">
        <v>0.0</v>
      </c>
      <c r="J212" s="19">
        <v>0.0</v>
      </c>
      <c r="K212" s="19">
        <v>0.0</v>
      </c>
      <c r="L212" s="19">
        <v>0.0</v>
      </c>
      <c r="M212" s="19">
        <v>0.0</v>
      </c>
      <c r="N212" s="19">
        <v>0.0</v>
      </c>
      <c r="O212" s="19">
        <v>0.0</v>
      </c>
      <c r="P212" s="19">
        <v>0.0</v>
      </c>
      <c r="Q212" s="19">
        <v>0.0</v>
      </c>
      <c r="R212" s="19">
        <v>0.0</v>
      </c>
      <c r="S212" s="19">
        <v>0.0</v>
      </c>
      <c r="T212" s="19">
        <v>0.0</v>
      </c>
      <c r="U212" s="19">
        <v>0.0</v>
      </c>
      <c r="V212" s="19">
        <v>0.0</v>
      </c>
      <c r="W212" s="19">
        <v>0.0</v>
      </c>
      <c r="X212" s="19">
        <v>0.0</v>
      </c>
      <c r="Y212" s="19">
        <v>0.0</v>
      </c>
      <c r="Z212" s="19">
        <v>0.0</v>
      </c>
      <c r="AA212" s="19">
        <v>0.0</v>
      </c>
      <c r="AB212" s="19">
        <v>1.0</v>
      </c>
      <c r="AC212" s="13">
        <f t="shared" si="48"/>
        <v>1</v>
      </c>
    </row>
    <row r="213" ht="12.75" customHeight="1">
      <c r="A213" s="18"/>
      <c r="B213" s="55">
        <v>5.0</v>
      </c>
      <c r="C213" s="61" t="s">
        <v>188</v>
      </c>
      <c r="D213" s="57"/>
      <c r="E213" s="19">
        <v>0.0</v>
      </c>
      <c r="F213" s="19">
        <v>0.0</v>
      </c>
      <c r="G213" s="19">
        <v>0.0</v>
      </c>
      <c r="H213" s="19">
        <v>0.0</v>
      </c>
      <c r="I213" s="19">
        <v>1.0</v>
      </c>
      <c r="J213" s="19">
        <v>0.0</v>
      </c>
      <c r="K213" s="19">
        <v>0.0</v>
      </c>
      <c r="L213" s="19">
        <v>0.0</v>
      </c>
      <c r="M213" s="19">
        <v>0.0</v>
      </c>
      <c r="N213" s="19">
        <v>0.0</v>
      </c>
      <c r="O213" s="19">
        <v>1.0</v>
      </c>
      <c r="P213" s="19">
        <v>0.0</v>
      </c>
      <c r="Q213" s="19">
        <v>0.0</v>
      </c>
      <c r="R213" s="19">
        <v>1.0</v>
      </c>
      <c r="S213" s="19">
        <v>0.0</v>
      </c>
      <c r="T213" s="19">
        <v>1.0</v>
      </c>
      <c r="U213" s="19">
        <v>0.0</v>
      </c>
      <c r="V213" s="19">
        <v>0.0</v>
      </c>
      <c r="W213" s="19">
        <v>0.0</v>
      </c>
      <c r="X213" s="19">
        <v>0.0</v>
      </c>
      <c r="Y213" s="19">
        <v>0.0</v>
      </c>
      <c r="Z213" s="19">
        <v>0.0</v>
      </c>
      <c r="AA213" s="19">
        <v>0.0</v>
      </c>
      <c r="AB213" s="19">
        <v>0.0</v>
      </c>
      <c r="AC213" s="13">
        <f t="shared" si="48"/>
        <v>4</v>
      </c>
    </row>
    <row r="214" ht="12.75" customHeight="1">
      <c r="A214" s="18"/>
      <c r="B214" s="55">
        <v>6.0</v>
      </c>
      <c r="C214" s="61" t="s">
        <v>189</v>
      </c>
      <c r="D214" s="57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0.0</v>
      </c>
      <c r="Q214" s="19">
        <v>0.0</v>
      </c>
      <c r="R214" s="19">
        <v>1.0</v>
      </c>
      <c r="S214" s="19">
        <v>0.0</v>
      </c>
      <c r="T214" s="19">
        <v>0.0</v>
      </c>
      <c r="U214" s="19">
        <v>0.0</v>
      </c>
      <c r="V214" s="19">
        <v>0.0</v>
      </c>
      <c r="W214" s="19">
        <v>0.0</v>
      </c>
      <c r="X214" s="19">
        <v>0.0</v>
      </c>
      <c r="Y214" s="19">
        <v>0.0</v>
      </c>
      <c r="Z214" s="19">
        <v>0.0</v>
      </c>
      <c r="AA214" s="19">
        <v>0.0</v>
      </c>
      <c r="AB214" s="19">
        <v>0.0</v>
      </c>
      <c r="AC214" s="13">
        <f t="shared" si="48"/>
        <v>1</v>
      </c>
    </row>
    <row r="215" ht="12.75" customHeight="1">
      <c r="A215" s="19" t="s">
        <v>15</v>
      </c>
      <c r="B215" s="47" t="s">
        <v>47</v>
      </c>
      <c r="C215" s="15"/>
      <c r="D215" s="16"/>
      <c r="E215" s="13">
        <f t="shared" ref="E215:AC215" si="49">SUM(E208:E214)</f>
        <v>0</v>
      </c>
      <c r="F215" s="13">
        <f t="shared" si="49"/>
        <v>0</v>
      </c>
      <c r="G215" s="13">
        <f t="shared" si="49"/>
        <v>0</v>
      </c>
      <c r="H215" s="13">
        <f t="shared" si="49"/>
        <v>0</v>
      </c>
      <c r="I215" s="13">
        <f t="shared" si="49"/>
        <v>1</v>
      </c>
      <c r="J215" s="13">
        <f t="shared" si="49"/>
        <v>0</v>
      </c>
      <c r="K215" s="13">
        <f t="shared" si="49"/>
        <v>0</v>
      </c>
      <c r="L215" s="13">
        <f t="shared" si="49"/>
        <v>0</v>
      </c>
      <c r="M215" s="13">
        <f t="shared" si="49"/>
        <v>0</v>
      </c>
      <c r="N215" s="13">
        <f t="shared" si="49"/>
        <v>0</v>
      </c>
      <c r="O215" s="13">
        <f t="shared" si="49"/>
        <v>1</v>
      </c>
      <c r="P215" s="13">
        <f t="shared" si="49"/>
        <v>0</v>
      </c>
      <c r="Q215" s="13">
        <f t="shared" si="49"/>
        <v>0</v>
      </c>
      <c r="R215" s="13">
        <f t="shared" si="49"/>
        <v>2</v>
      </c>
      <c r="S215" s="13">
        <f t="shared" si="49"/>
        <v>0</v>
      </c>
      <c r="T215" s="13">
        <f t="shared" si="49"/>
        <v>1</v>
      </c>
      <c r="U215" s="13">
        <f t="shared" si="49"/>
        <v>0</v>
      </c>
      <c r="V215" s="13">
        <f t="shared" si="49"/>
        <v>0</v>
      </c>
      <c r="W215" s="13">
        <f t="shared" si="49"/>
        <v>0</v>
      </c>
      <c r="X215" s="13">
        <f t="shared" si="49"/>
        <v>0</v>
      </c>
      <c r="Y215" s="13">
        <f t="shared" si="49"/>
        <v>0</v>
      </c>
      <c r="Z215" s="13">
        <f t="shared" si="49"/>
        <v>0</v>
      </c>
      <c r="AA215" s="13">
        <f t="shared" si="49"/>
        <v>0</v>
      </c>
      <c r="AB215" s="13">
        <f t="shared" si="49"/>
        <v>1</v>
      </c>
      <c r="AC215" s="13">
        <f t="shared" si="49"/>
        <v>6</v>
      </c>
    </row>
    <row r="216" ht="12.75" customHeight="1"/>
    <row r="217" ht="12.75" customHeight="1">
      <c r="A217" s="42" t="s">
        <v>190</v>
      </c>
      <c r="B217" s="14" t="s">
        <v>191</v>
      </c>
      <c r="C217" s="15"/>
      <c r="D217" s="16"/>
      <c r="E217" s="13"/>
      <c r="F217" s="13"/>
      <c r="G217" s="13"/>
      <c r="H217" s="13"/>
      <c r="I217" s="13"/>
      <c r="J217" s="13"/>
      <c r="K217" s="13"/>
      <c r="L217" s="13"/>
      <c r="M217" s="13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13"/>
    </row>
    <row r="218" ht="12.75" customHeight="1">
      <c r="A218" s="42"/>
      <c r="B218" s="64" t="s">
        <v>192</v>
      </c>
      <c r="C218" s="65" t="s">
        <v>193</v>
      </c>
      <c r="D218" s="16"/>
      <c r="E218" s="19">
        <f t="shared" ref="E218:AB218" si="50">E53+E63+E73+E83+E93+E103+E109+E119+E129+E136+E146+E156+E166+E176+E186+E196+E206+E215</f>
        <v>123</v>
      </c>
      <c r="F218" s="19">
        <f t="shared" si="50"/>
        <v>171</v>
      </c>
      <c r="G218" s="19">
        <f t="shared" si="50"/>
        <v>196</v>
      </c>
      <c r="H218" s="19">
        <f t="shared" si="50"/>
        <v>156</v>
      </c>
      <c r="I218" s="19">
        <f t="shared" si="50"/>
        <v>224</v>
      </c>
      <c r="J218" s="19">
        <f t="shared" si="50"/>
        <v>211</v>
      </c>
      <c r="K218" s="19">
        <f t="shared" si="50"/>
        <v>229</v>
      </c>
      <c r="L218" s="19">
        <f t="shared" si="50"/>
        <v>222</v>
      </c>
      <c r="M218" s="19">
        <f t="shared" si="50"/>
        <v>194</v>
      </c>
      <c r="N218" s="19">
        <f t="shared" si="50"/>
        <v>195</v>
      </c>
      <c r="O218" s="19">
        <f t="shared" si="50"/>
        <v>207</v>
      </c>
      <c r="P218" s="19">
        <f t="shared" si="50"/>
        <v>219</v>
      </c>
      <c r="Q218" s="19">
        <f t="shared" si="50"/>
        <v>202</v>
      </c>
      <c r="R218" s="19">
        <f t="shared" si="50"/>
        <v>203</v>
      </c>
      <c r="S218" s="19">
        <f t="shared" si="50"/>
        <v>158</v>
      </c>
      <c r="T218" s="19">
        <f t="shared" si="50"/>
        <v>216</v>
      </c>
      <c r="U218" s="19">
        <f t="shared" si="50"/>
        <v>235</v>
      </c>
      <c r="V218" s="19">
        <f t="shared" si="50"/>
        <v>226</v>
      </c>
      <c r="W218" s="19">
        <f t="shared" si="50"/>
        <v>199</v>
      </c>
      <c r="X218" s="19">
        <f t="shared" si="50"/>
        <v>189</v>
      </c>
      <c r="Y218" s="19">
        <f t="shared" si="50"/>
        <v>195</v>
      </c>
      <c r="Z218" s="19">
        <f t="shared" si="50"/>
        <v>146</v>
      </c>
      <c r="AA218" s="19">
        <f t="shared" si="50"/>
        <v>189</v>
      </c>
      <c r="AB218" s="19">
        <f t="shared" si="50"/>
        <v>177</v>
      </c>
      <c r="AC218" s="13">
        <f t="shared" ref="AC218:AC220" si="51">SUM(E218:AB218)</f>
        <v>4682</v>
      </c>
    </row>
    <row r="219" ht="12.75" customHeight="1">
      <c r="A219" s="35"/>
      <c r="B219" s="64" t="s">
        <v>194</v>
      </c>
      <c r="C219" s="65" t="s">
        <v>195</v>
      </c>
      <c r="D219" s="16"/>
      <c r="E219" s="19">
        <v>15.0</v>
      </c>
      <c r="F219" s="19">
        <v>25.0</v>
      </c>
      <c r="G219" s="19">
        <v>25.0</v>
      </c>
      <c r="H219" s="19">
        <v>22.0</v>
      </c>
      <c r="I219" s="19">
        <v>16.0</v>
      </c>
      <c r="J219" s="19">
        <v>34.0</v>
      </c>
      <c r="K219" s="19">
        <v>20.0</v>
      </c>
      <c r="L219" s="19">
        <v>31.0</v>
      </c>
      <c r="M219" s="19">
        <v>11.0</v>
      </c>
      <c r="N219" s="19">
        <v>9.0</v>
      </c>
      <c r="O219" s="19">
        <v>21.0</v>
      </c>
      <c r="P219" s="19">
        <v>30.0</v>
      </c>
      <c r="Q219" s="19">
        <v>28.0</v>
      </c>
      <c r="R219" s="19">
        <v>35.0</v>
      </c>
      <c r="S219" s="19">
        <v>31.0</v>
      </c>
      <c r="T219" s="19">
        <v>28.0</v>
      </c>
      <c r="U219" s="19">
        <v>7.0</v>
      </c>
      <c r="V219" s="19">
        <v>20.0</v>
      </c>
      <c r="W219" s="19">
        <v>38.0</v>
      </c>
      <c r="X219" s="19">
        <v>38.0</v>
      </c>
      <c r="Y219" s="19">
        <v>22.0</v>
      </c>
      <c r="Z219" s="19">
        <v>30.0</v>
      </c>
      <c r="AA219" s="19">
        <v>30.0</v>
      </c>
      <c r="AB219" s="19">
        <v>19.0</v>
      </c>
      <c r="AC219" s="13">
        <f t="shared" si="51"/>
        <v>585</v>
      </c>
    </row>
    <row r="220" ht="12.75" customHeight="1">
      <c r="A220" s="41"/>
      <c r="B220" s="64" t="s">
        <v>196</v>
      </c>
      <c r="C220" s="65" t="s">
        <v>197</v>
      </c>
      <c r="D220" s="16"/>
      <c r="E220" s="13">
        <f t="shared" ref="E220:AB220" si="52">SUM(E218:E219)</f>
        <v>138</v>
      </c>
      <c r="F220" s="13">
        <f t="shared" si="52"/>
        <v>196</v>
      </c>
      <c r="G220" s="13">
        <f t="shared" si="52"/>
        <v>221</v>
      </c>
      <c r="H220" s="13">
        <f t="shared" si="52"/>
        <v>178</v>
      </c>
      <c r="I220" s="13">
        <f t="shared" si="52"/>
        <v>240</v>
      </c>
      <c r="J220" s="13">
        <f t="shared" si="52"/>
        <v>245</v>
      </c>
      <c r="K220" s="13">
        <f t="shared" si="52"/>
        <v>249</v>
      </c>
      <c r="L220" s="13">
        <f t="shared" si="52"/>
        <v>253</v>
      </c>
      <c r="M220" s="13">
        <f t="shared" si="52"/>
        <v>205</v>
      </c>
      <c r="N220" s="13">
        <f t="shared" si="52"/>
        <v>204</v>
      </c>
      <c r="O220" s="13">
        <f t="shared" si="52"/>
        <v>228</v>
      </c>
      <c r="P220" s="13">
        <f t="shared" si="52"/>
        <v>249</v>
      </c>
      <c r="Q220" s="13">
        <f t="shared" si="52"/>
        <v>230</v>
      </c>
      <c r="R220" s="13">
        <f t="shared" si="52"/>
        <v>238</v>
      </c>
      <c r="S220" s="13">
        <f t="shared" si="52"/>
        <v>189</v>
      </c>
      <c r="T220" s="13">
        <f t="shared" si="52"/>
        <v>244</v>
      </c>
      <c r="U220" s="13">
        <f t="shared" si="52"/>
        <v>242</v>
      </c>
      <c r="V220" s="13">
        <f t="shared" si="52"/>
        <v>246</v>
      </c>
      <c r="W220" s="13">
        <f t="shared" si="52"/>
        <v>237</v>
      </c>
      <c r="X220" s="13">
        <f t="shared" si="52"/>
        <v>227</v>
      </c>
      <c r="Y220" s="13">
        <f t="shared" si="52"/>
        <v>217</v>
      </c>
      <c r="Z220" s="13">
        <f t="shared" si="52"/>
        <v>176</v>
      </c>
      <c r="AA220" s="13">
        <f t="shared" si="52"/>
        <v>219</v>
      </c>
      <c r="AB220" s="13">
        <f t="shared" si="52"/>
        <v>196</v>
      </c>
      <c r="AC220" s="13">
        <f t="shared" si="51"/>
        <v>5267</v>
      </c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63:D63"/>
    <mergeCell ref="A64:E64"/>
    <mergeCell ref="C65:D65"/>
    <mergeCell ref="B73:D73"/>
    <mergeCell ref="A74:E74"/>
    <mergeCell ref="C75:D75"/>
    <mergeCell ref="B83:D83"/>
    <mergeCell ref="A84:E84"/>
    <mergeCell ref="C85:D85"/>
    <mergeCell ref="B93:D93"/>
    <mergeCell ref="A94:E94"/>
    <mergeCell ref="C95:D95"/>
    <mergeCell ref="B103:D103"/>
    <mergeCell ref="A104:E104"/>
    <mergeCell ref="C105:D105"/>
    <mergeCell ref="B109:D109"/>
    <mergeCell ref="A110:E110"/>
    <mergeCell ref="C111:D111"/>
    <mergeCell ref="B119:D119"/>
    <mergeCell ref="A120:E120"/>
    <mergeCell ref="C121:D121"/>
    <mergeCell ref="B129:D129"/>
    <mergeCell ref="A130:E130"/>
    <mergeCell ref="C131:D131"/>
    <mergeCell ref="B136:D136"/>
    <mergeCell ref="A137:E137"/>
    <mergeCell ref="C138:D138"/>
    <mergeCell ref="B146:D146"/>
    <mergeCell ref="A147:E147"/>
    <mergeCell ref="C148:D148"/>
    <mergeCell ref="B156:D156"/>
    <mergeCell ref="A157:E157"/>
    <mergeCell ref="C158:D158"/>
    <mergeCell ref="B166:D166"/>
    <mergeCell ref="A167:E167"/>
    <mergeCell ref="C168:D168"/>
    <mergeCell ref="B176:D176"/>
    <mergeCell ref="A177:E177"/>
    <mergeCell ref="C178:D178"/>
    <mergeCell ref="B186:D186"/>
    <mergeCell ref="A187:E187"/>
    <mergeCell ref="C188:D188"/>
    <mergeCell ref="B217:D217"/>
    <mergeCell ref="C218:D218"/>
    <mergeCell ref="C219:D219"/>
    <mergeCell ref="C220:D220"/>
    <mergeCell ref="B196:D196"/>
    <mergeCell ref="A197:E197"/>
    <mergeCell ref="C198:D198"/>
    <mergeCell ref="B206:D206"/>
    <mergeCell ref="A207:E207"/>
    <mergeCell ref="C208:D208"/>
    <mergeCell ref="B215:D215"/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3:D53"/>
    <mergeCell ref="A54:E54"/>
    <mergeCell ref="C55:D55"/>
    <mergeCell ref="C46:D46"/>
    <mergeCell ref="C47:D47"/>
    <mergeCell ref="C48:D48"/>
    <mergeCell ref="C49:D49"/>
    <mergeCell ref="C50:D50"/>
    <mergeCell ref="C51:D51"/>
    <mergeCell ref="C52:D52"/>
  </mergeCells>
  <conditionalFormatting sqref="E34:T34 Y34:AB34">
    <cfRule type="expression" dxfId="1" priority="1">
      <formula>E34&lt;&gt;E62</formula>
    </cfRule>
  </conditionalFormatting>
  <conditionalFormatting sqref="E14:AB15">
    <cfRule type="containsBlanks" dxfId="0" priority="2">
      <formula>LEN(TRIM(E14))=0</formula>
    </cfRule>
  </conditionalFormatting>
  <conditionalFormatting sqref="E19:AB20">
    <cfRule type="containsBlanks" dxfId="0" priority="3">
      <formula>LEN(TRIM(E19))=0</formula>
    </cfRule>
  </conditionalFormatting>
  <conditionalFormatting sqref="E22:AB23 E25:AB26 E33:AB33 E35:AB35 E39:AB40">
    <cfRule type="containsBlanks" dxfId="0" priority="4">
      <formula>LEN(TRIM(E22))=0</formula>
    </cfRule>
  </conditionalFormatting>
  <conditionalFormatting sqref="E30:AB30">
    <cfRule type="expression" dxfId="1" priority="5">
      <formula>E30&lt;&gt;E47</formula>
    </cfRule>
  </conditionalFormatting>
  <conditionalFormatting sqref="E30:AB30">
    <cfRule type="expression" dxfId="1" priority="6">
      <formula>E30&lt;&gt;E34</formula>
    </cfRule>
  </conditionalFormatting>
  <conditionalFormatting sqref="E34:AB34">
    <cfRule type="expression" dxfId="2" priority="7">
      <formula>E30&lt;&gt;E34</formula>
    </cfRule>
  </conditionalFormatting>
  <conditionalFormatting sqref="E34:AB34">
    <cfRule type="expression" dxfId="3" priority="8">
      <formula>E30=E34</formula>
    </cfRule>
  </conditionalFormatting>
  <conditionalFormatting sqref="E34:AB34">
    <cfRule type="expression" dxfId="1" priority="9">
      <formula>E34&lt;&gt;E30</formula>
    </cfRule>
  </conditionalFormatting>
  <conditionalFormatting sqref="E45:AB52">
    <cfRule type="containsBlanks" dxfId="0" priority="10">
      <formula>LEN(TRIM(E45))=0</formula>
    </cfRule>
  </conditionalFormatting>
  <conditionalFormatting sqref="E55:AB62">
    <cfRule type="containsBlanks" dxfId="0" priority="11">
      <formula>LEN(TRIM(E55))=0</formula>
    </cfRule>
  </conditionalFormatting>
  <conditionalFormatting sqref="E65:AB72">
    <cfRule type="containsBlanks" dxfId="0" priority="12">
      <formula>LEN(TRIM(E65))=0</formula>
    </cfRule>
  </conditionalFormatting>
  <conditionalFormatting sqref="E75:AB82">
    <cfRule type="containsBlanks" dxfId="0" priority="13">
      <formula>LEN(TRIM(E75))=0</formula>
    </cfRule>
  </conditionalFormatting>
  <conditionalFormatting sqref="E85:AB92">
    <cfRule type="containsBlanks" dxfId="0" priority="14">
      <formula>LEN(TRIM(E85))=0</formula>
    </cfRule>
  </conditionalFormatting>
  <conditionalFormatting sqref="E95:AB102">
    <cfRule type="containsBlanks" dxfId="0" priority="15">
      <formula>LEN(TRIM(E95))=0</formula>
    </cfRule>
  </conditionalFormatting>
  <conditionalFormatting sqref="E105:AB108">
    <cfRule type="containsBlanks" dxfId="0" priority="16">
      <formula>LEN(TRIM(E105))=0</formula>
    </cfRule>
  </conditionalFormatting>
  <conditionalFormatting sqref="E111:AB118">
    <cfRule type="containsBlanks" dxfId="0" priority="17">
      <formula>LEN(TRIM(E111))=0</formula>
    </cfRule>
  </conditionalFormatting>
  <conditionalFormatting sqref="E121:AB128">
    <cfRule type="containsBlanks" dxfId="0" priority="18">
      <formula>LEN(TRIM(E121))=0</formula>
    </cfRule>
  </conditionalFormatting>
  <conditionalFormatting sqref="E131:AB135">
    <cfRule type="containsBlanks" dxfId="0" priority="19">
      <formula>LEN(TRIM(E131))=0</formula>
    </cfRule>
  </conditionalFormatting>
  <conditionalFormatting sqref="E138:AB145">
    <cfRule type="containsBlanks" dxfId="0" priority="20">
      <formula>LEN(TRIM(E138))=0</formula>
    </cfRule>
  </conditionalFormatting>
  <conditionalFormatting sqref="E148:AB155">
    <cfRule type="containsBlanks" dxfId="0" priority="21">
      <formula>LEN(TRIM(E148))=0</formula>
    </cfRule>
  </conditionalFormatting>
  <conditionalFormatting sqref="E158:AB165">
    <cfRule type="containsBlanks" dxfId="0" priority="22">
      <formula>LEN(TRIM(E158))=0</formula>
    </cfRule>
  </conditionalFormatting>
  <conditionalFormatting sqref="E168:AB175">
    <cfRule type="containsBlanks" dxfId="0" priority="23">
      <formula>LEN(TRIM(E168))=0</formula>
    </cfRule>
  </conditionalFormatting>
  <conditionalFormatting sqref="E178:AB185">
    <cfRule type="containsBlanks" dxfId="0" priority="24">
      <formula>LEN(TRIM(E178))=0</formula>
    </cfRule>
  </conditionalFormatting>
  <conditionalFormatting sqref="E188:AB195">
    <cfRule type="containsBlanks" dxfId="0" priority="25">
      <formula>LEN(TRIM(E188))=0</formula>
    </cfRule>
  </conditionalFormatting>
  <conditionalFormatting sqref="E198:AB205">
    <cfRule type="containsBlanks" dxfId="0" priority="26">
      <formula>LEN(TRIM(E198))=0</formula>
    </cfRule>
  </conditionalFormatting>
  <conditionalFormatting sqref="E208:AB214">
    <cfRule type="containsBlanks" dxfId="0" priority="27">
      <formula>LEN(TRIM(E208))=0</formula>
    </cfRule>
  </conditionalFormatting>
  <conditionalFormatting sqref="E218:AB219">
    <cfRule type="containsBlanks" dxfId="0" priority="28">
      <formula>LEN(TRIM(E218))=0</formula>
    </cfRule>
  </conditionalFormatting>
  <conditionalFormatting sqref="U34:X34">
    <cfRule type="expression" dxfId="1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3" width="8.71"/>
    <col customWidth="1" min="44" max="44" width="13.29"/>
  </cols>
  <sheetData>
    <row r="1" ht="12.75" customHeight="1"/>
    <row r="2" ht="12.75" customHeight="1">
      <c r="C2" s="8" t="s">
        <v>0</v>
      </c>
      <c r="D2" s="8" t="s">
        <v>198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199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V11" s="1"/>
      <c r="W11" s="1"/>
      <c r="X11" s="1"/>
      <c r="Y11" s="1"/>
      <c r="Z11" s="1"/>
      <c r="AA11" s="1"/>
      <c r="AB11" s="1"/>
      <c r="AC11" s="1"/>
      <c r="AD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201</v>
      </c>
      <c r="F13" s="13" t="s">
        <v>202</v>
      </c>
      <c r="G13" s="13" t="s">
        <v>203</v>
      </c>
      <c r="H13" s="13" t="s">
        <v>204</v>
      </c>
      <c r="I13" s="13" t="s">
        <v>205</v>
      </c>
      <c r="J13" s="13" t="s">
        <v>206</v>
      </c>
      <c r="K13" s="13" t="s">
        <v>207</v>
      </c>
      <c r="L13" s="13" t="s">
        <v>208</v>
      </c>
      <c r="M13" s="13" t="s">
        <v>209</v>
      </c>
      <c r="N13" s="13" t="s">
        <v>210</v>
      </c>
      <c r="O13" s="13" t="s">
        <v>211</v>
      </c>
      <c r="P13" s="13" t="s">
        <v>212</v>
      </c>
      <c r="Q13" s="13" t="s">
        <v>213</v>
      </c>
      <c r="R13" s="13" t="s">
        <v>214</v>
      </c>
      <c r="S13" s="13" t="s">
        <v>215</v>
      </c>
      <c r="T13" s="13" t="s">
        <v>216</v>
      </c>
      <c r="U13" s="13" t="s">
        <v>217</v>
      </c>
      <c r="V13" s="13" t="s">
        <v>218</v>
      </c>
      <c r="W13" s="13" t="s">
        <v>219</v>
      </c>
      <c r="X13" s="13" t="s">
        <v>220</v>
      </c>
      <c r="Y13" s="13" t="s">
        <v>221</v>
      </c>
      <c r="Z13" s="13" t="s">
        <v>222</v>
      </c>
      <c r="AA13" s="13" t="s">
        <v>223</v>
      </c>
      <c r="AB13" s="13" t="s">
        <v>224</v>
      </c>
      <c r="AC13" s="13" t="s">
        <v>227</v>
      </c>
      <c r="AD13" s="13" t="s">
        <v>228</v>
      </c>
      <c r="AE13" s="13" t="s">
        <v>229</v>
      </c>
      <c r="AF13" s="13" t="s">
        <v>230</v>
      </c>
      <c r="AG13" s="13" t="s">
        <v>231</v>
      </c>
      <c r="AH13" s="13" t="s">
        <v>232</v>
      </c>
      <c r="AI13" s="13" t="s">
        <v>233</v>
      </c>
      <c r="AJ13" s="13" t="s">
        <v>234</v>
      </c>
      <c r="AK13" s="13" t="s">
        <v>235</v>
      </c>
      <c r="AL13" s="13" t="s">
        <v>236</v>
      </c>
      <c r="AM13" s="13" t="s">
        <v>237</v>
      </c>
      <c r="AN13" s="13" t="s">
        <v>238</v>
      </c>
      <c r="AO13" s="13" t="s">
        <v>239</v>
      </c>
      <c r="AP13" s="13" t="s">
        <v>240</v>
      </c>
      <c r="AQ13" s="13" t="s">
        <v>241</v>
      </c>
      <c r="AR13" s="36"/>
    </row>
    <row r="14" ht="12.75" customHeight="1">
      <c r="A14" s="18"/>
      <c r="B14" s="22" t="s">
        <v>11</v>
      </c>
      <c r="C14" s="23"/>
      <c r="D14" s="19" t="s">
        <v>12</v>
      </c>
      <c r="E14" s="19">
        <v>137.0</v>
      </c>
      <c r="F14" s="19">
        <v>141.0</v>
      </c>
      <c r="G14" s="19">
        <v>136.0</v>
      </c>
      <c r="H14" s="19">
        <v>135.0</v>
      </c>
      <c r="I14" s="19">
        <v>156.0</v>
      </c>
      <c r="J14" s="19">
        <v>147.0</v>
      </c>
      <c r="K14" s="19">
        <v>145.0</v>
      </c>
      <c r="L14" s="19">
        <v>147.0</v>
      </c>
      <c r="M14" s="19">
        <v>140.0</v>
      </c>
      <c r="N14" s="19">
        <v>141.0</v>
      </c>
      <c r="O14" s="19">
        <v>145.0</v>
      </c>
      <c r="P14" s="19">
        <v>134.0</v>
      </c>
      <c r="Q14" s="19">
        <v>148.0</v>
      </c>
      <c r="R14" s="19">
        <v>147.0</v>
      </c>
      <c r="S14" s="19">
        <v>139.0</v>
      </c>
      <c r="T14" s="19">
        <v>147.0</v>
      </c>
      <c r="U14" s="19">
        <v>138.0</v>
      </c>
      <c r="V14" s="19">
        <v>143.0</v>
      </c>
      <c r="W14" s="19">
        <v>133.0</v>
      </c>
      <c r="X14" s="19">
        <v>141.0</v>
      </c>
      <c r="Y14" s="19">
        <v>122.0</v>
      </c>
      <c r="Z14" s="19">
        <v>145.0</v>
      </c>
      <c r="AA14" s="19">
        <v>126.0</v>
      </c>
      <c r="AB14" s="19">
        <v>144.0</v>
      </c>
      <c r="AC14" s="19">
        <v>145.0</v>
      </c>
      <c r="AD14" s="19">
        <v>155.0</v>
      </c>
      <c r="AE14" s="19">
        <v>155.0</v>
      </c>
      <c r="AF14" s="19">
        <v>149.0</v>
      </c>
      <c r="AG14" s="19">
        <v>145.0</v>
      </c>
      <c r="AH14" s="19">
        <v>141.0</v>
      </c>
      <c r="AI14" s="19">
        <v>143.0</v>
      </c>
      <c r="AJ14" s="19">
        <v>135.0</v>
      </c>
      <c r="AK14" s="19">
        <v>145.0</v>
      </c>
      <c r="AL14" s="19">
        <v>147.0</v>
      </c>
      <c r="AM14" s="19">
        <v>132.0</v>
      </c>
      <c r="AN14" s="19">
        <v>147.0</v>
      </c>
      <c r="AO14" s="19">
        <v>136.0</v>
      </c>
      <c r="AP14" s="19">
        <v>150.0</v>
      </c>
      <c r="AQ14" s="19">
        <v>134.0</v>
      </c>
      <c r="AR14" s="13">
        <f t="shared" ref="AR14:AR16" si="1">SUM(E14:AQ14)</f>
        <v>5536</v>
      </c>
    </row>
    <row r="15" ht="12.75" customHeight="1">
      <c r="A15" s="18"/>
      <c r="B15" s="26"/>
      <c r="C15" s="27"/>
      <c r="D15" s="19" t="s">
        <v>13</v>
      </c>
      <c r="E15" s="19">
        <v>157.0</v>
      </c>
      <c r="F15" s="19">
        <v>146.0</v>
      </c>
      <c r="G15" s="19">
        <v>131.0</v>
      </c>
      <c r="H15" s="19">
        <v>154.0</v>
      </c>
      <c r="I15" s="19">
        <v>140.0</v>
      </c>
      <c r="J15" s="19">
        <v>146.0</v>
      </c>
      <c r="K15" s="19">
        <v>148.0</v>
      </c>
      <c r="L15" s="19">
        <v>151.0</v>
      </c>
      <c r="M15" s="19">
        <v>135.0</v>
      </c>
      <c r="N15" s="19">
        <v>158.0</v>
      </c>
      <c r="O15" s="19">
        <v>154.0</v>
      </c>
      <c r="P15" s="19">
        <v>124.0</v>
      </c>
      <c r="Q15" s="19">
        <v>150.0</v>
      </c>
      <c r="R15" s="19">
        <v>149.0</v>
      </c>
      <c r="S15" s="19">
        <v>156.0</v>
      </c>
      <c r="T15" s="19">
        <v>151.0</v>
      </c>
      <c r="U15" s="19">
        <v>158.0</v>
      </c>
      <c r="V15" s="19">
        <v>153.0</v>
      </c>
      <c r="W15" s="19">
        <v>158.0</v>
      </c>
      <c r="X15" s="19">
        <v>157.0</v>
      </c>
      <c r="Y15" s="19">
        <v>143.0</v>
      </c>
      <c r="Z15" s="19">
        <v>142.0</v>
      </c>
      <c r="AA15" s="19">
        <v>156.0</v>
      </c>
      <c r="AB15" s="19">
        <v>154.0</v>
      </c>
      <c r="AC15" s="19">
        <v>149.0</v>
      </c>
      <c r="AD15" s="19">
        <v>143.0</v>
      </c>
      <c r="AE15" s="19">
        <v>144.0</v>
      </c>
      <c r="AF15" s="19">
        <v>143.0</v>
      </c>
      <c r="AG15" s="19">
        <v>142.0</v>
      </c>
      <c r="AH15" s="19">
        <v>137.0</v>
      </c>
      <c r="AI15" s="19">
        <v>150.0</v>
      </c>
      <c r="AJ15" s="19">
        <v>157.0</v>
      </c>
      <c r="AK15" s="19">
        <v>149.0</v>
      </c>
      <c r="AL15" s="19">
        <v>147.0</v>
      </c>
      <c r="AM15" s="19">
        <v>123.0</v>
      </c>
      <c r="AN15" s="19">
        <v>147.0</v>
      </c>
      <c r="AO15" s="19">
        <v>143.0</v>
      </c>
      <c r="AP15" s="19">
        <v>147.0</v>
      </c>
      <c r="AQ15" s="19">
        <v>149.0</v>
      </c>
      <c r="AR15" s="13">
        <f t="shared" si="1"/>
        <v>5741</v>
      </c>
    </row>
    <row r="16" ht="12.75" customHeight="1">
      <c r="A16" s="25"/>
      <c r="B16" s="21"/>
      <c r="C16" s="28"/>
      <c r="D16" s="13" t="s">
        <v>14</v>
      </c>
      <c r="E16" s="13">
        <f t="shared" ref="E16:AQ16" si="2">SUM(E14:E15)</f>
        <v>294</v>
      </c>
      <c r="F16" s="13">
        <f t="shared" si="2"/>
        <v>287</v>
      </c>
      <c r="G16" s="13">
        <f t="shared" si="2"/>
        <v>267</v>
      </c>
      <c r="H16" s="13">
        <f t="shared" si="2"/>
        <v>289</v>
      </c>
      <c r="I16" s="13">
        <f t="shared" si="2"/>
        <v>296</v>
      </c>
      <c r="J16" s="13">
        <f t="shared" si="2"/>
        <v>293</v>
      </c>
      <c r="K16" s="13">
        <f t="shared" si="2"/>
        <v>293</v>
      </c>
      <c r="L16" s="13">
        <f t="shared" si="2"/>
        <v>298</v>
      </c>
      <c r="M16" s="13">
        <f t="shared" si="2"/>
        <v>275</v>
      </c>
      <c r="N16" s="13">
        <f t="shared" si="2"/>
        <v>299</v>
      </c>
      <c r="O16" s="13">
        <f t="shared" si="2"/>
        <v>299</v>
      </c>
      <c r="P16" s="13">
        <f t="shared" si="2"/>
        <v>258</v>
      </c>
      <c r="Q16" s="13">
        <f t="shared" si="2"/>
        <v>298</v>
      </c>
      <c r="R16" s="13">
        <f t="shared" si="2"/>
        <v>296</v>
      </c>
      <c r="S16" s="13">
        <f t="shared" si="2"/>
        <v>295</v>
      </c>
      <c r="T16" s="13">
        <f t="shared" si="2"/>
        <v>298</v>
      </c>
      <c r="U16" s="13">
        <f t="shared" si="2"/>
        <v>296</v>
      </c>
      <c r="V16" s="13">
        <f t="shared" si="2"/>
        <v>296</v>
      </c>
      <c r="W16" s="13">
        <f t="shared" si="2"/>
        <v>291</v>
      </c>
      <c r="X16" s="13">
        <f t="shared" si="2"/>
        <v>298</v>
      </c>
      <c r="Y16" s="13">
        <f t="shared" si="2"/>
        <v>265</v>
      </c>
      <c r="Z16" s="13">
        <f t="shared" si="2"/>
        <v>287</v>
      </c>
      <c r="AA16" s="13">
        <f t="shared" si="2"/>
        <v>282</v>
      </c>
      <c r="AB16" s="13">
        <f t="shared" si="2"/>
        <v>298</v>
      </c>
      <c r="AC16" s="13">
        <f t="shared" si="2"/>
        <v>294</v>
      </c>
      <c r="AD16" s="13">
        <f t="shared" si="2"/>
        <v>298</v>
      </c>
      <c r="AE16" s="13">
        <f t="shared" si="2"/>
        <v>299</v>
      </c>
      <c r="AF16" s="13">
        <f t="shared" si="2"/>
        <v>292</v>
      </c>
      <c r="AG16" s="13">
        <f t="shared" si="2"/>
        <v>287</v>
      </c>
      <c r="AH16" s="13">
        <f t="shared" si="2"/>
        <v>278</v>
      </c>
      <c r="AI16" s="13">
        <f t="shared" si="2"/>
        <v>293</v>
      </c>
      <c r="AJ16" s="13">
        <f t="shared" si="2"/>
        <v>292</v>
      </c>
      <c r="AK16" s="13">
        <f t="shared" si="2"/>
        <v>294</v>
      </c>
      <c r="AL16" s="13">
        <f t="shared" si="2"/>
        <v>294</v>
      </c>
      <c r="AM16" s="13">
        <f t="shared" si="2"/>
        <v>255</v>
      </c>
      <c r="AN16" s="13">
        <f t="shared" si="2"/>
        <v>294</v>
      </c>
      <c r="AO16" s="13">
        <f t="shared" si="2"/>
        <v>279</v>
      </c>
      <c r="AP16" s="13">
        <f t="shared" si="2"/>
        <v>297</v>
      </c>
      <c r="AQ16" s="13">
        <f t="shared" si="2"/>
        <v>283</v>
      </c>
      <c r="AR16" s="13">
        <f t="shared" si="1"/>
        <v>11277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69"/>
      <c r="P17" s="69"/>
      <c r="Q17" s="69"/>
      <c r="R17" s="69"/>
      <c r="S17" s="69"/>
      <c r="T17" s="69"/>
      <c r="U17" s="69"/>
      <c r="V17" s="19"/>
      <c r="W17" s="19"/>
      <c r="X17" s="19"/>
      <c r="Y17" s="19"/>
      <c r="Z17" s="19"/>
      <c r="AA17" s="19"/>
      <c r="AB17" s="19"/>
      <c r="AC17" s="1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7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69"/>
      <c r="P18" s="69"/>
      <c r="Q18" s="69"/>
      <c r="R18" s="69"/>
      <c r="S18" s="69"/>
      <c r="T18" s="69"/>
      <c r="U18" s="69"/>
      <c r="V18" s="19"/>
      <c r="W18" s="19"/>
      <c r="X18" s="19"/>
      <c r="Y18" s="19"/>
      <c r="Z18" s="19"/>
      <c r="AA18" s="19"/>
      <c r="AB18" s="19"/>
      <c r="AC18" s="1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7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107.0</v>
      </c>
      <c r="F19" s="19">
        <v>105.0</v>
      </c>
      <c r="G19" s="19">
        <v>71.0</v>
      </c>
      <c r="H19" s="19">
        <v>91.0</v>
      </c>
      <c r="I19" s="19">
        <v>100.0</v>
      </c>
      <c r="J19" s="19">
        <v>84.0</v>
      </c>
      <c r="K19" s="19">
        <v>104.0</v>
      </c>
      <c r="L19" s="19">
        <v>108.0</v>
      </c>
      <c r="M19" s="19">
        <v>106.0</v>
      </c>
      <c r="N19" s="19">
        <v>101.0</v>
      </c>
      <c r="O19" s="19">
        <v>104.0</v>
      </c>
      <c r="P19" s="19">
        <v>103.0</v>
      </c>
      <c r="Q19" s="19">
        <v>113.0</v>
      </c>
      <c r="R19" s="19">
        <v>108.0</v>
      </c>
      <c r="S19" s="19">
        <v>105.0</v>
      </c>
      <c r="T19" s="19">
        <v>122.0</v>
      </c>
      <c r="U19" s="19">
        <v>89.0</v>
      </c>
      <c r="V19" s="19">
        <v>122.0</v>
      </c>
      <c r="W19" s="19">
        <v>95.0</v>
      </c>
      <c r="X19" s="19">
        <v>96.0</v>
      </c>
      <c r="Y19" s="19">
        <v>98.0</v>
      </c>
      <c r="Z19" s="19">
        <v>104.0</v>
      </c>
      <c r="AA19" s="19">
        <v>94.0</v>
      </c>
      <c r="AB19" s="19">
        <v>132.0</v>
      </c>
      <c r="AC19" s="19">
        <v>109.0</v>
      </c>
      <c r="AD19" s="19">
        <v>138.0</v>
      </c>
      <c r="AE19" s="19">
        <v>116.0</v>
      </c>
      <c r="AF19" s="19">
        <v>131.0</v>
      </c>
      <c r="AG19" s="19">
        <v>109.0</v>
      </c>
      <c r="AH19" s="19">
        <v>107.0</v>
      </c>
      <c r="AI19" s="19">
        <v>114.0</v>
      </c>
      <c r="AJ19" s="19">
        <v>110.0</v>
      </c>
      <c r="AK19" s="19">
        <v>111.0</v>
      </c>
      <c r="AL19" s="19">
        <v>127.0</v>
      </c>
      <c r="AM19" s="19">
        <v>107.0</v>
      </c>
      <c r="AN19" s="19">
        <v>123.0</v>
      </c>
      <c r="AO19" s="19">
        <v>101.0</v>
      </c>
      <c r="AP19" s="19">
        <v>131.0</v>
      </c>
      <c r="AQ19" s="19">
        <v>101.0</v>
      </c>
      <c r="AR19" s="13">
        <f t="shared" ref="AR19:AR30" si="3">SUM(E19:AQ19)</f>
        <v>4197</v>
      </c>
    </row>
    <row r="20" ht="12.75" customHeight="1">
      <c r="A20" s="33"/>
      <c r="B20" s="27"/>
      <c r="C20" s="34"/>
      <c r="D20" s="19" t="s">
        <v>13</v>
      </c>
      <c r="E20" s="19">
        <v>128.0</v>
      </c>
      <c r="F20" s="19">
        <v>117.0</v>
      </c>
      <c r="G20" s="19">
        <v>90.0</v>
      </c>
      <c r="H20" s="19">
        <v>101.0</v>
      </c>
      <c r="I20" s="19">
        <v>104.0</v>
      </c>
      <c r="J20" s="19">
        <v>99.0</v>
      </c>
      <c r="K20" s="19">
        <v>108.0</v>
      </c>
      <c r="L20" s="19">
        <v>126.0</v>
      </c>
      <c r="M20" s="19">
        <v>102.0</v>
      </c>
      <c r="N20" s="19">
        <v>116.0</v>
      </c>
      <c r="O20" s="19">
        <v>132.0</v>
      </c>
      <c r="P20" s="19">
        <v>109.0</v>
      </c>
      <c r="Q20" s="19">
        <v>122.0</v>
      </c>
      <c r="R20" s="19">
        <v>125.0</v>
      </c>
      <c r="S20" s="19">
        <v>120.0</v>
      </c>
      <c r="T20" s="19">
        <v>130.0</v>
      </c>
      <c r="U20" s="19">
        <v>111.0</v>
      </c>
      <c r="V20" s="19">
        <v>116.0</v>
      </c>
      <c r="W20" s="19">
        <v>125.0</v>
      </c>
      <c r="X20" s="19">
        <v>126.0</v>
      </c>
      <c r="Y20" s="19">
        <v>102.0</v>
      </c>
      <c r="Z20" s="19">
        <v>107.0</v>
      </c>
      <c r="AA20" s="19">
        <v>121.0</v>
      </c>
      <c r="AB20" s="19">
        <v>124.0</v>
      </c>
      <c r="AC20" s="19">
        <v>127.0</v>
      </c>
      <c r="AD20" s="19">
        <v>127.0</v>
      </c>
      <c r="AE20" s="19">
        <v>117.0</v>
      </c>
      <c r="AF20" s="19">
        <v>134.0</v>
      </c>
      <c r="AG20" s="19">
        <v>114.0</v>
      </c>
      <c r="AH20" s="19">
        <v>103.0</v>
      </c>
      <c r="AI20" s="19">
        <v>120.0</v>
      </c>
      <c r="AJ20" s="19">
        <v>123.0</v>
      </c>
      <c r="AK20" s="19">
        <v>109.0</v>
      </c>
      <c r="AL20" s="19">
        <v>126.0</v>
      </c>
      <c r="AM20" s="19">
        <v>107.0</v>
      </c>
      <c r="AN20" s="19">
        <v>116.0</v>
      </c>
      <c r="AO20" s="19">
        <v>96.0</v>
      </c>
      <c r="AP20" s="19">
        <v>122.0</v>
      </c>
      <c r="AQ20" s="19">
        <v>99.0</v>
      </c>
      <c r="AR20" s="13">
        <f t="shared" si="3"/>
        <v>4501</v>
      </c>
    </row>
    <row r="21" ht="12.75" customHeight="1">
      <c r="A21" s="35"/>
      <c r="B21" s="28"/>
      <c r="C21" s="36"/>
      <c r="D21" s="13" t="s">
        <v>14</v>
      </c>
      <c r="E21" s="13">
        <f t="shared" ref="E21:AQ21" si="4">SUM(E19:E20)</f>
        <v>235</v>
      </c>
      <c r="F21" s="13">
        <f t="shared" si="4"/>
        <v>222</v>
      </c>
      <c r="G21" s="13">
        <f t="shared" si="4"/>
        <v>161</v>
      </c>
      <c r="H21" s="13">
        <f t="shared" si="4"/>
        <v>192</v>
      </c>
      <c r="I21" s="13">
        <f t="shared" si="4"/>
        <v>204</v>
      </c>
      <c r="J21" s="13">
        <f t="shared" si="4"/>
        <v>183</v>
      </c>
      <c r="K21" s="13">
        <f t="shared" si="4"/>
        <v>212</v>
      </c>
      <c r="L21" s="13">
        <f t="shared" si="4"/>
        <v>234</v>
      </c>
      <c r="M21" s="13">
        <f t="shared" si="4"/>
        <v>208</v>
      </c>
      <c r="N21" s="13">
        <f t="shared" si="4"/>
        <v>217</v>
      </c>
      <c r="O21" s="13">
        <f t="shared" si="4"/>
        <v>236</v>
      </c>
      <c r="P21" s="13">
        <f t="shared" si="4"/>
        <v>212</v>
      </c>
      <c r="Q21" s="13">
        <f t="shared" si="4"/>
        <v>235</v>
      </c>
      <c r="R21" s="13">
        <f t="shared" si="4"/>
        <v>233</v>
      </c>
      <c r="S21" s="13">
        <f t="shared" si="4"/>
        <v>225</v>
      </c>
      <c r="T21" s="13">
        <f t="shared" si="4"/>
        <v>252</v>
      </c>
      <c r="U21" s="13">
        <f t="shared" si="4"/>
        <v>200</v>
      </c>
      <c r="V21" s="13">
        <f t="shared" si="4"/>
        <v>238</v>
      </c>
      <c r="W21" s="13">
        <f t="shared" si="4"/>
        <v>220</v>
      </c>
      <c r="X21" s="13">
        <f t="shared" si="4"/>
        <v>222</v>
      </c>
      <c r="Y21" s="13">
        <f t="shared" si="4"/>
        <v>200</v>
      </c>
      <c r="Z21" s="13">
        <f t="shared" si="4"/>
        <v>211</v>
      </c>
      <c r="AA21" s="13">
        <f t="shared" si="4"/>
        <v>215</v>
      </c>
      <c r="AB21" s="13">
        <f t="shared" si="4"/>
        <v>256</v>
      </c>
      <c r="AC21" s="13">
        <f t="shared" si="4"/>
        <v>236</v>
      </c>
      <c r="AD21" s="13">
        <f t="shared" si="4"/>
        <v>265</v>
      </c>
      <c r="AE21" s="13">
        <f t="shared" si="4"/>
        <v>233</v>
      </c>
      <c r="AF21" s="13">
        <f t="shared" si="4"/>
        <v>265</v>
      </c>
      <c r="AG21" s="13">
        <f t="shared" si="4"/>
        <v>223</v>
      </c>
      <c r="AH21" s="13">
        <f t="shared" si="4"/>
        <v>210</v>
      </c>
      <c r="AI21" s="13">
        <f t="shared" si="4"/>
        <v>234</v>
      </c>
      <c r="AJ21" s="13">
        <f t="shared" si="4"/>
        <v>233</v>
      </c>
      <c r="AK21" s="13">
        <f t="shared" si="4"/>
        <v>220</v>
      </c>
      <c r="AL21" s="13">
        <f t="shared" si="4"/>
        <v>253</v>
      </c>
      <c r="AM21" s="13">
        <f t="shared" si="4"/>
        <v>214</v>
      </c>
      <c r="AN21" s="13">
        <f t="shared" si="4"/>
        <v>239</v>
      </c>
      <c r="AO21" s="13">
        <f t="shared" si="4"/>
        <v>197</v>
      </c>
      <c r="AP21" s="13">
        <f t="shared" si="4"/>
        <v>253</v>
      </c>
      <c r="AQ21" s="13">
        <f t="shared" si="4"/>
        <v>200</v>
      </c>
      <c r="AR21" s="13">
        <f t="shared" si="3"/>
        <v>8698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3.0</v>
      </c>
      <c r="H22" s="19">
        <v>0.0</v>
      </c>
      <c r="I22" s="19">
        <v>1.0</v>
      </c>
      <c r="J22" s="19">
        <v>2.0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0.0</v>
      </c>
      <c r="Q22" s="19">
        <v>2.0</v>
      </c>
      <c r="R22" s="19">
        <v>1.0</v>
      </c>
      <c r="S22" s="19">
        <v>0.0</v>
      </c>
      <c r="T22" s="19">
        <v>1.0</v>
      </c>
      <c r="U22" s="19">
        <v>1.0</v>
      </c>
      <c r="V22" s="19">
        <v>0.0</v>
      </c>
      <c r="W22" s="19">
        <v>1.0</v>
      </c>
      <c r="X22" s="19">
        <v>0.0</v>
      </c>
      <c r="Y22" s="19">
        <v>0.0</v>
      </c>
      <c r="Z22" s="19">
        <v>1.0</v>
      </c>
      <c r="AA22" s="19">
        <v>0.0</v>
      </c>
      <c r="AB22" s="19">
        <v>1.0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1.0</v>
      </c>
      <c r="AL22" s="19">
        <v>1.0</v>
      </c>
      <c r="AM22" s="19">
        <v>0.0</v>
      </c>
      <c r="AN22" s="19">
        <v>0.0</v>
      </c>
      <c r="AO22" s="19">
        <v>0.0</v>
      </c>
      <c r="AP22" s="19">
        <v>0.0</v>
      </c>
      <c r="AQ22" s="19">
        <v>1.0</v>
      </c>
      <c r="AR22" s="13">
        <f t="shared" si="3"/>
        <v>18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1.0</v>
      </c>
      <c r="H23" s="19">
        <v>0.0</v>
      </c>
      <c r="I23" s="19">
        <v>0.0</v>
      </c>
      <c r="J23" s="19">
        <v>0.0</v>
      </c>
      <c r="K23" s="19">
        <v>1.0</v>
      </c>
      <c r="L23" s="19">
        <v>1.0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1.0</v>
      </c>
      <c r="T23" s="19">
        <v>1.0</v>
      </c>
      <c r="U23" s="19">
        <v>0.0</v>
      </c>
      <c r="V23" s="19">
        <v>0.0</v>
      </c>
      <c r="W23" s="19">
        <v>0.0</v>
      </c>
      <c r="X23" s="19">
        <v>1.0</v>
      </c>
      <c r="Y23" s="19">
        <v>0.0</v>
      </c>
      <c r="Z23" s="19">
        <v>0.0</v>
      </c>
      <c r="AA23" s="19">
        <v>1.0</v>
      </c>
      <c r="AB23" s="19">
        <v>1.0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1.0</v>
      </c>
      <c r="AJ23" s="19">
        <v>0.0</v>
      </c>
      <c r="AK23" s="19">
        <v>0.0</v>
      </c>
      <c r="AL23" s="19">
        <v>0.0</v>
      </c>
      <c r="AM23" s="19">
        <v>1.0</v>
      </c>
      <c r="AN23" s="19">
        <v>0.0</v>
      </c>
      <c r="AO23" s="19">
        <v>0.0</v>
      </c>
      <c r="AP23" s="19">
        <v>0.0</v>
      </c>
      <c r="AQ23" s="19">
        <v>0.0</v>
      </c>
      <c r="AR23" s="13">
        <f t="shared" si="3"/>
        <v>11</v>
      </c>
    </row>
    <row r="24" ht="12.75" customHeight="1">
      <c r="A24" s="35"/>
      <c r="B24" s="28"/>
      <c r="C24" s="36"/>
      <c r="D24" s="13" t="s">
        <v>14</v>
      </c>
      <c r="E24" s="13">
        <f t="shared" ref="E24:AQ24" si="5">SUM(E22:E23)</f>
        <v>0</v>
      </c>
      <c r="F24" s="13">
        <f t="shared" si="5"/>
        <v>1</v>
      </c>
      <c r="G24" s="13">
        <f t="shared" si="5"/>
        <v>4</v>
      </c>
      <c r="H24" s="13">
        <f t="shared" si="5"/>
        <v>0</v>
      </c>
      <c r="I24" s="13">
        <f t="shared" si="5"/>
        <v>1</v>
      </c>
      <c r="J24" s="13">
        <f t="shared" si="5"/>
        <v>2</v>
      </c>
      <c r="K24" s="13">
        <f t="shared" si="5"/>
        <v>1</v>
      </c>
      <c r="L24" s="13">
        <f t="shared" si="5"/>
        <v>2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2</v>
      </c>
      <c r="R24" s="13">
        <f t="shared" si="5"/>
        <v>1</v>
      </c>
      <c r="S24" s="13">
        <f t="shared" si="5"/>
        <v>1</v>
      </c>
      <c r="T24" s="13">
        <f t="shared" si="5"/>
        <v>2</v>
      </c>
      <c r="U24" s="13">
        <f t="shared" si="5"/>
        <v>1</v>
      </c>
      <c r="V24" s="13">
        <f t="shared" si="5"/>
        <v>0</v>
      </c>
      <c r="W24" s="13">
        <f t="shared" si="5"/>
        <v>1</v>
      </c>
      <c r="X24" s="13">
        <f t="shared" si="5"/>
        <v>1</v>
      </c>
      <c r="Y24" s="13">
        <f t="shared" si="5"/>
        <v>0</v>
      </c>
      <c r="Z24" s="13">
        <f t="shared" si="5"/>
        <v>1</v>
      </c>
      <c r="AA24" s="13">
        <f t="shared" si="5"/>
        <v>1</v>
      </c>
      <c r="AB24" s="13">
        <f t="shared" si="5"/>
        <v>2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1</v>
      </c>
      <c r="AJ24" s="13">
        <f t="shared" si="5"/>
        <v>0</v>
      </c>
      <c r="AK24" s="13">
        <f t="shared" si="5"/>
        <v>1</v>
      </c>
      <c r="AL24" s="13">
        <f t="shared" si="5"/>
        <v>1</v>
      </c>
      <c r="AM24" s="13">
        <f t="shared" si="5"/>
        <v>1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1</v>
      </c>
      <c r="AR24" s="13">
        <f t="shared" si="3"/>
        <v>29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7.0</v>
      </c>
      <c r="G25" s="19">
        <v>1.0</v>
      </c>
      <c r="H25" s="19">
        <v>0.0</v>
      </c>
      <c r="I25" s="19">
        <v>2.0</v>
      </c>
      <c r="J25" s="19">
        <v>2.0</v>
      </c>
      <c r="K25" s="19">
        <v>4.0</v>
      </c>
      <c r="L25" s="19">
        <v>3.0</v>
      </c>
      <c r="M25" s="19">
        <v>2.0</v>
      </c>
      <c r="N25" s="19">
        <v>2.0</v>
      </c>
      <c r="O25" s="19">
        <v>2.0</v>
      </c>
      <c r="P25" s="19">
        <v>2.0</v>
      </c>
      <c r="Q25" s="19">
        <v>1.0</v>
      </c>
      <c r="R25" s="19">
        <v>0.0</v>
      </c>
      <c r="S25" s="19">
        <v>0.0</v>
      </c>
      <c r="T25" s="19">
        <v>3.0</v>
      </c>
      <c r="U25" s="19">
        <v>0.0</v>
      </c>
      <c r="V25" s="19">
        <v>9.0</v>
      </c>
      <c r="W25" s="19">
        <v>1.0</v>
      </c>
      <c r="X25" s="19">
        <v>7.0</v>
      </c>
      <c r="Y25" s="19">
        <v>1.0</v>
      </c>
      <c r="Z25" s="19">
        <v>1.0</v>
      </c>
      <c r="AA25" s="19">
        <v>0.0</v>
      </c>
      <c r="AB25" s="19">
        <v>2.0</v>
      </c>
      <c r="AC25" s="19">
        <v>1.0</v>
      </c>
      <c r="AD25" s="19">
        <v>3.0</v>
      </c>
      <c r="AE25" s="19">
        <v>3.0</v>
      </c>
      <c r="AF25" s="19">
        <v>0.0</v>
      </c>
      <c r="AG25" s="19">
        <v>2.0</v>
      </c>
      <c r="AH25" s="19">
        <v>6.0</v>
      </c>
      <c r="AI25" s="19">
        <v>4.0</v>
      </c>
      <c r="AJ25" s="19">
        <v>5.0</v>
      </c>
      <c r="AK25" s="19">
        <v>5.0</v>
      </c>
      <c r="AL25" s="19">
        <v>1.0</v>
      </c>
      <c r="AM25" s="19">
        <v>6.0</v>
      </c>
      <c r="AN25" s="19">
        <v>15.0</v>
      </c>
      <c r="AO25" s="19">
        <v>4.0</v>
      </c>
      <c r="AP25" s="19">
        <v>0.0</v>
      </c>
      <c r="AQ25" s="19">
        <v>0.0</v>
      </c>
      <c r="AR25" s="13">
        <f t="shared" si="3"/>
        <v>108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1.0</v>
      </c>
      <c r="H26" s="19">
        <v>1.0</v>
      </c>
      <c r="I26" s="19">
        <v>3.0</v>
      </c>
      <c r="J26" s="19">
        <v>8.0</v>
      </c>
      <c r="K26" s="19">
        <v>2.0</v>
      </c>
      <c r="L26" s="19">
        <v>2.0</v>
      </c>
      <c r="M26" s="19">
        <v>3.0</v>
      </c>
      <c r="N26" s="19">
        <v>1.0</v>
      </c>
      <c r="O26" s="19">
        <v>3.0</v>
      </c>
      <c r="P26" s="19">
        <v>2.0</v>
      </c>
      <c r="Q26" s="19">
        <v>2.0</v>
      </c>
      <c r="R26" s="19">
        <v>1.0</v>
      </c>
      <c r="S26" s="19">
        <v>5.0</v>
      </c>
      <c r="T26" s="19">
        <v>4.0</v>
      </c>
      <c r="U26" s="19">
        <v>0.0</v>
      </c>
      <c r="V26" s="19">
        <v>10.0</v>
      </c>
      <c r="W26" s="19">
        <v>0.0</v>
      </c>
      <c r="X26" s="19">
        <v>6.0</v>
      </c>
      <c r="Y26" s="19">
        <v>1.0</v>
      </c>
      <c r="Z26" s="19">
        <v>4.0</v>
      </c>
      <c r="AA26" s="19">
        <v>0.0</v>
      </c>
      <c r="AB26" s="19">
        <v>0.0</v>
      </c>
      <c r="AC26" s="19">
        <v>2.0</v>
      </c>
      <c r="AD26" s="19">
        <v>6.0</v>
      </c>
      <c r="AE26" s="19">
        <v>6.0</v>
      </c>
      <c r="AF26" s="19">
        <v>1.0</v>
      </c>
      <c r="AG26" s="19">
        <v>3.0</v>
      </c>
      <c r="AH26" s="19">
        <v>3.0</v>
      </c>
      <c r="AI26" s="19">
        <v>7.0</v>
      </c>
      <c r="AJ26" s="19">
        <v>6.0</v>
      </c>
      <c r="AK26" s="19">
        <v>8.0</v>
      </c>
      <c r="AL26" s="19">
        <v>2.0</v>
      </c>
      <c r="AM26" s="19">
        <v>5.0</v>
      </c>
      <c r="AN26" s="19">
        <v>15.0</v>
      </c>
      <c r="AO26" s="19">
        <v>4.0</v>
      </c>
      <c r="AP26" s="19">
        <v>0.0</v>
      </c>
      <c r="AQ26" s="19">
        <v>1.0</v>
      </c>
      <c r="AR26" s="13">
        <f t="shared" si="3"/>
        <v>128</v>
      </c>
    </row>
    <row r="27" ht="12.75" customHeight="1">
      <c r="A27" s="35"/>
      <c r="B27" s="28"/>
      <c r="C27" s="36"/>
      <c r="D27" s="13" t="s">
        <v>14</v>
      </c>
      <c r="E27" s="13">
        <f t="shared" ref="E27:AQ27" si="6">SUM(E25:E26)</f>
        <v>1</v>
      </c>
      <c r="F27" s="13">
        <f t="shared" si="6"/>
        <v>7</v>
      </c>
      <c r="G27" s="13">
        <f t="shared" si="6"/>
        <v>2</v>
      </c>
      <c r="H27" s="13">
        <f t="shared" si="6"/>
        <v>1</v>
      </c>
      <c r="I27" s="13">
        <f t="shared" si="6"/>
        <v>5</v>
      </c>
      <c r="J27" s="13">
        <f t="shared" si="6"/>
        <v>10</v>
      </c>
      <c r="K27" s="13">
        <f t="shared" si="6"/>
        <v>6</v>
      </c>
      <c r="L27" s="13">
        <f t="shared" si="6"/>
        <v>5</v>
      </c>
      <c r="M27" s="13">
        <f t="shared" si="6"/>
        <v>5</v>
      </c>
      <c r="N27" s="13">
        <f t="shared" si="6"/>
        <v>3</v>
      </c>
      <c r="O27" s="13">
        <f t="shared" si="6"/>
        <v>5</v>
      </c>
      <c r="P27" s="13">
        <f t="shared" si="6"/>
        <v>4</v>
      </c>
      <c r="Q27" s="13">
        <f t="shared" si="6"/>
        <v>3</v>
      </c>
      <c r="R27" s="13">
        <f t="shared" si="6"/>
        <v>1</v>
      </c>
      <c r="S27" s="13">
        <f t="shared" si="6"/>
        <v>5</v>
      </c>
      <c r="T27" s="13">
        <f t="shared" si="6"/>
        <v>7</v>
      </c>
      <c r="U27" s="13">
        <f t="shared" si="6"/>
        <v>0</v>
      </c>
      <c r="V27" s="13">
        <f t="shared" si="6"/>
        <v>19</v>
      </c>
      <c r="W27" s="13">
        <f t="shared" si="6"/>
        <v>1</v>
      </c>
      <c r="X27" s="13">
        <f t="shared" si="6"/>
        <v>13</v>
      </c>
      <c r="Y27" s="13">
        <f t="shared" si="6"/>
        <v>2</v>
      </c>
      <c r="Z27" s="13">
        <f t="shared" si="6"/>
        <v>5</v>
      </c>
      <c r="AA27" s="13">
        <f t="shared" si="6"/>
        <v>0</v>
      </c>
      <c r="AB27" s="13">
        <f t="shared" si="6"/>
        <v>2</v>
      </c>
      <c r="AC27" s="13">
        <f t="shared" si="6"/>
        <v>3</v>
      </c>
      <c r="AD27" s="13">
        <f t="shared" si="6"/>
        <v>9</v>
      </c>
      <c r="AE27" s="13">
        <f t="shared" si="6"/>
        <v>9</v>
      </c>
      <c r="AF27" s="13">
        <f t="shared" si="6"/>
        <v>1</v>
      </c>
      <c r="AG27" s="13">
        <f t="shared" si="6"/>
        <v>5</v>
      </c>
      <c r="AH27" s="13">
        <f t="shared" si="6"/>
        <v>9</v>
      </c>
      <c r="AI27" s="13">
        <f t="shared" si="6"/>
        <v>11</v>
      </c>
      <c r="AJ27" s="13">
        <f t="shared" si="6"/>
        <v>11</v>
      </c>
      <c r="AK27" s="13">
        <f t="shared" si="6"/>
        <v>13</v>
      </c>
      <c r="AL27" s="13">
        <f t="shared" si="6"/>
        <v>3</v>
      </c>
      <c r="AM27" s="13">
        <f t="shared" si="6"/>
        <v>11</v>
      </c>
      <c r="AN27" s="13">
        <f t="shared" si="6"/>
        <v>30</v>
      </c>
      <c r="AO27" s="13">
        <f t="shared" si="6"/>
        <v>8</v>
      </c>
      <c r="AP27" s="13">
        <f t="shared" si="6"/>
        <v>0</v>
      </c>
      <c r="AQ27" s="13">
        <f t="shared" si="6"/>
        <v>1</v>
      </c>
      <c r="AR27" s="13">
        <f t="shared" si="3"/>
        <v>236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Q28" si="7">SUM(E19,E22,E25)</f>
        <v>108</v>
      </c>
      <c r="F28" s="13">
        <f t="shared" si="7"/>
        <v>112</v>
      </c>
      <c r="G28" s="13">
        <f t="shared" si="7"/>
        <v>75</v>
      </c>
      <c r="H28" s="13">
        <f t="shared" si="7"/>
        <v>91</v>
      </c>
      <c r="I28" s="13">
        <f t="shared" si="7"/>
        <v>103</v>
      </c>
      <c r="J28" s="13">
        <f t="shared" si="7"/>
        <v>88</v>
      </c>
      <c r="K28" s="13">
        <f t="shared" si="7"/>
        <v>108</v>
      </c>
      <c r="L28" s="13">
        <f t="shared" si="7"/>
        <v>112</v>
      </c>
      <c r="M28" s="13">
        <f t="shared" si="7"/>
        <v>108</v>
      </c>
      <c r="N28" s="13">
        <f t="shared" si="7"/>
        <v>103</v>
      </c>
      <c r="O28" s="13">
        <f t="shared" si="7"/>
        <v>106</v>
      </c>
      <c r="P28" s="13">
        <f t="shared" si="7"/>
        <v>105</v>
      </c>
      <c r="Q28" s="13">
        <f t="shared" si="7"/>
        <v>116</v>
      </c>
      <c r="R28" s="13">
        <f t="shared" si="7"/>
        <v>109</v>
      </c>
      <c r="S28" s="13">
        <f t="shared" si="7"/>
        <v>105</v>
      </c>
      <c r="T28" s="13">
        <f t="shared" si="7"/>
        <v>126</v>
      </c>
      <c r="U28" s="13">
        <f t="shared" si="7"/>
        <v>90</v>
      </c>
      <c r="V28" s="13">
        <f t="shared" si="7"/>
        <v>131</v>
      </c>
      <c r="W28" s="13">
        <f t="shared" si="7"/>
        <v>97</v>
      </c>
      <c r="X28" s="13">
        <f t="shared" si="7"/>
        <v>103</v>
      </c>
      <c r="Y28" s="13">
        <f t="shared" si="7"/>
        <v>99</v>
      </c>
      <c r="Z28" s="13">
        <f t="shared" si="7"/>
        <v>106</v>
      </c>
      <c r="AA28" s="13">
        <f t="shared" si="7"/>
        <v>94</v>
      </c>
      <c r="AB28" s="13">
        <f t="shared" si="7"/>
        <v>135</v>
      </c>
      <c r="AC28" s="13">
        <f t="shared" si="7"/>
        <v>110</v>
      </c>
      <c r="AD28" s="13">
        <f t="shared" si="7"/>
        <v>141</v>
      </c>
      <c r="AE28" s="13">
        <f t="shared" si="7"/>
        <v>119</v>
      </c>
      <c r="AF28" s="13">
        <f t="shared" si="7"/>
        <v>131</v>
      </c>
      <c r="AG28" s="13">
        <f t="shared" si="7"/>
        <v>111</v>
      </c>
      <c r="AH28" s="13">
        <f t="shared" si="7"/>
        <v>113</v>
      </c>
      <c r="AI28" s="13">
        <f t="shared" si="7"/>
        <v>118</v>
      </c>
      <c r="AJ28" s="13">
        <f t="shared" si="7"/>
        <v>115</v>
      </c>
      <c r="AK28" s="13">
        <f t="shared" si="7"/>
        <v>117</v>
      </c>
      <c r="AL28" s="13">
        <f t="shared" si="7"/>
        <v>129</v>
      </c>
      <c r="AM28" s="13">
        <f t="shared" si="7"/>
        <v>113</v>
      </c>
      <c r="AN28" s="13">
        <f t="shared" si="7"/>
        <v>138</v>
      </c>
      <c r="AO28" s="13">
        <f t="shared" si="7"/>
        <v>105</v>
      </c>
      <c r="AP28" s="13">
        <f t="shared" si="7"/>
        <v>131</v>
      </c>
      <c r="AQ28" s="13">
        <f t="shared" si="7"/>
        <v>102</v>
      </c>
      <c r="AR28" s="13">
        <f t="shared" si="3"/>
        <v>4323</v>
      </c>
    </row>
    <row r="29" ht="12.75" customHeight="1">
      <c r="A29" s="35"/>
      <c r="B29" s="27"/>
      <c r="C29" s="34"/>
      <c r="D29" s="13" t="s">
        <v>13</v>
      </c>
      <c r="E29" s="13">
        <f t="shared" ref="E29:AQ29" si="8">SUM(E20,E23,E26)</f>
        <v>128</v>
      </c>
      <c r="F29" s="13">
        <f t="shared" si="8"/>
        <v>118</v>
      </c>
      <c r="G29" s="13">
        <f t="shared" si="8"/>
        <v>92</v>
      </c>
      <c r="H29" s="13">
        <f t="shared" si="8"/>
        <v>102</v>
      </c>
      <c r="I29" s="13">
        <f t="shared" si="8"/>
        <v>107</v>
      </c>
      <c r="J29" s="13">
        <f t="shared" si="8"/>
        <v>107</v>
      </c>
      <c r="K29" s="13">
        <f t="shared" si="8"/>
        <v>111</v>
      </c>
      <c r="L29" s="13">
        <f t="shared" si="8"/>
        <v>129</v>
      </c>
      <c r="M29" s="13">
        <f t="shared" si="8"/>
        <v>105</v>
      </c>
      <c r="N29" s="13">
        <f t="shared" si="8"/>
        <v>117</v>
      </c>
      <c r="O29" s="13">
        <f t="shared" si="8"/>
        <v>135</v>
      </c>
      <c r="P29" s="13">
        <f t="shared" si="8"/>
        <v>111</v>
      </c>
      <c r="Q29" s="13">
        <f t="shared" si="8"/>
        <v>124</v>
      </c>
      <c r="R29" s="13">
        <f t="shared" si="8"/>
        <v>126</v>
      </c>
      <c r="S29" s="13">
        <f t="shared" si="8"/>
        <v>126</v>
      </c>
      <c r="T29" s="13">
        <f t="shared" si="8"/>
        <v>135</v>
      </c>
      <c r="U29" s="13">
        <f t="shared" si="8"/>
        <v>111</v>
      </c>
      <c r="V29" s="13">
        <f t="shared" si="8"/>
        <v>126</v>
      </c>
      <c r="W29" s="13">
        <f t="shared" si="8"/>
        <v>125</v>
      </c>
      <c r="X29" s="13">
        <f t="shared" si="8"/>
        <v>133</v>
      </c>
      <c r="Y29" s="13">
        <f t="shared" si="8"/>
        <v>103</v>
      </c>
      <c r="Z29" s="13">
        <f t="shared" si="8"/>
        <v>111</v>
      </c>
      <c r="AA29" s="13">
        <f t="shared" si="8"/>
        <v>122</v>
      </c>
      <c r="AB29" s="13">
        <f t="shared" si="8"/>
        <v>125</v>
      </c>
      <c r="AC29" s="13">
        <f t="shared" si="8"/>
        <v>129</v>
      </c>
      <c r="AD29" s="13">
        <f t="shared" si="8"/>
        <v>133</v>
      </c>
      <c r="AE29" s="13">
        <f t="shared" si="8"/>
        <v>123</v>
      </c>
      <c r="AF29" s="13">
        <f t="shared" si="8"/>
        <v>135</v>
      </c>
      <c r="AG29" s="13">
        <f t="shared" si="8"/>
        <v>117</v>
      </c>
      <c r="AH29" s="13">
        <f t="shared" si="8"/>
        <v>106</v>
      </c>
      <c r="AI29" s="13">
        <f t="shared" si="8"/>
        <v>128</v>
      </c>
      <c r="AJ29" s="13">
        <f t="shared" si="8"/>
        <v>129</v>
      </c>
      <c r="AK29" s="13">
        <f t="shared" si="8"/>
        <v>117</v>
      </c>
      <c r="AL29" s="13">
        <f t="shared" si="8"/>
        <v>128</v>
      </c>
      <c r="AM29" s="13">
        <f t="shared" si="8"/>
        <v>113</v>
      </c>
      <c r="AN29" s="13">
        <f t="shared" si="8"/>
        <v>131</v>
      </c>
      <c r="AO29" s="13">
        <f t="shared" si="8"/>
        <v>100</v>
      </c>
      <c r="AP29" s="13">
        <f t="shared" si="8"/>
        <v>122</v>
      </c>
      <c r="AQ29" s="13">
        <f t="shared" si="8"/>
        <v>100</v>
      </c>
      <c r="AR29" s="13">
        <f t="shared" si="3"/>
        <v>4640</v>
      </c>
    </row>
    <row r="30" ht="12.75" customHeight="1">
      <c r="A30" s="35"/>
      <c r="B30" s="28"/>
      <c r="C30" s="36"/>
      <c r="D30" s="13" t="s">
        <v>14</v>
      </c>
      <c r="E30" s="13">
        <f t="shared" ref="E30:AQ30" si="9">SUM(E28:E29)</f>
        <v>236</v>
      </c>
      <c r="F30" s="13">
        <f t="shared" si="9"/>
        <v>230</v>
      </c>
      <c r="G30" s="13">
        <f t="shared" si="9"/>
        <v>167</v>
      </c>
      <c r="H30" s="13">
        <f t="shared" si="9"/>
        <v>193</v>
      </c>
      <c r="I30" s="13">
        <f t="shared" si="9"/>
        <v>210</v>
      </c>
      <c r="J30" s="13">
        <f t="shared" si="9"/>
        <v>195</v>
      </c>
      <c r="K30" s="13">
        <f t="shared" si="9"/>
        <v>219</v>
      </c>
      <c r="L30" s="13">
        <f t="shared" si="9"/>
        <v>241</v>
      </c>
      <c r="M30" s="13">
        <f t="shared" si="9"/>
        <v>213</v>
      </c>
      <c r="N30" s="13">
        <f t="shared" si="9"/>
        <v>220</v>
      </c>
      <c r="O30" s="13">
        <f t="shared" si="9"/>
        <v>241</v>
      </c>
      <c r="P30" s="13">
        <f t="shared" si="9"/>
        <v>216</v>
      </c>
      <c r="Q30" s="13">
        <f t="shared" si="9"/>
        <v>240</v>
      </c>
      <c r="R30" s="13">
        <f t="shared" si="9"/>
        <v>235</v>
      </c>
      <c r="S30" s="13">
        <f t="shared" si="9"/>
        <v>231</v>
      </c>
      <c r="T30" s="13">
        <f t="shared" si="9"/>
        <v>261</v>
      </c>
      <c r="U30" s="13">
        <f t="shared" si="9"/>
        <v>201</v>
      </c>
      <c r="V30" s="13">
        <f t="shared" si="9"/>
        <v>257</v>
      </c>
      <c r="W30" s="13">
        <f t="shared" si="9"/>
        <v>222</v>
      </c>
      <c r="X30" s="13">
        <f t="shared" si="9"/>
        <v>236</v>
      </c>
      <c r="Y30" s="13">
        <f t="shared" si="9"/>
        <v>202</v>
      </c>
      <c r="Z30" s="13">
        <f t="shared" si="9"/>
        <v>217</v>
      </c>
      <c r="AA30" s="13">
        <f t="shared" si="9"/>
        <v>216</v>
      </c>
      <c r="AB30" s="13">
        <f t="shared" si="9"/>
        <v>260</v>
      </c>
      <c r="AC30" s="13">
        <f t="shared" si="9"/>
        <v>239</v>
      </c>
      <c r="AD30" s="13">
        <f t="shared" si="9"/>
        <v>274</v>
      </c>
      <c r="AE30" s="13">
        <f t="shared" si="9"/>
        <v>242</v>
      </c>
      <c r="AF30" s="13">
        <f t="shared" si="9"/>
        <v>266</v>
      </c>
      <c r="AG30" s="13">
        <f t="shared" si="9"/>
        <v>228</v>
      </c>
      <c r="AH30" s="13">
        <f t="shared" si="9"/>
        <v>219</v>
      </c>
      <c r="AI30" s="13">
        <f t="shared" si="9"/>
        <v>246</v>
      </c>
      <c r="AJ30" s="13">
        <f t="shared" si="9"/>
        <v>244</v>
      </c>
      <c r="AK30" s="13">
        <f t="shared" si="9"/>
        <v>234</v>
      </c>
      <c r="AL30" s="13">
        <f t="shared" si="9"/>
        <v>257</v>
      </c>
      <c r="AM30" s="13">
        <f t="shared" si="9"/>
        <v>226</v>
      </c>
      <c r="AN30" s="13">
        <f t="shared" si="9"/>
        <v>269</v>
      </c>
      <c r="AO30" s="13">
        <f t="shared" si="9"/>
        <v>205</v>
      </c>
      <c r="AP30" s="13">
        <f t="shared" si="9"/>
        <v>253</v>
      </c>
      <c r="AQ30" s="13">
        <f t="shared" si="9"/>
        <v>202</v>
      </c>
      <c r="AR30" s="13">
        <f t="shared" si="3"/>
        <v>8963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69"/>
      <c r="P31" s="69"/>
      <c r="Q31" s="69"/>
      <c r="R31" s="69"/>
      <c r="S31" s="69"/>
      <c r="T31" s="69"/>
      <c r="U31" s="69"/>
      <c r="V31" s="19"/>
      <c r="W31" s="19"/>
      <c r="X31" s="19"/>
      <c r="Y31" s="19"/>
      <c r="Z31" s="19"/>
      <c r="AA31" s="19"/>
      <c r="AB31" s="19"/>
      <c r="AC31" s="1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7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1"/>
      <c r="O32" s="71"/>
      <c r="P32" s="71"/>
      <c r="Q32" s="71"/>
      <c r="R32" s="71"/>
      <c r="S32" s="71"/>
      <c r="T32" s="71"/>
      <c r="U32" s="71"/>
      <c r="V32" s="13"/>
      <c r="W32" s="13"/>
      <c r="X32" s="13"/>
      <c r="Y32" s="13"/>
      <c r="Z32" s="13"/>
      <c r="AA32" s="13"/>
      <c r="AB32" s="13"/>
      <c r="AC32" s="13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0"/>
    </row>
    <row r="33" ht="12.75" customHeight="1">
      <c r="A33" s="19">
        <v>1.0</v>
      </c>
      <c r="B33" s="20" t="s">
        <v>27</v>
      </c>
      <c r="C33" s="15"/>
      <c r="D33" s="16"/>
      <c r="E33" s="19">
        <v>300.0</v>
      </c>
      <c r="F33" s="19">
        <v>293.0</v>
      </c>
      <c r="G33" s="19">
        <v>273.0</v>
      </c>
      <c r="H33" s="19">
        <v>295.0</v>
      </c>
      <c r="I33" s="19">
        <v>302.0</v>
      </c>
      <c r="J33" s="19">
        <v>299.0</v>
      </c>
      <c r="K33" s="19">
        <v>299.0</v>
      </c>
      <c r="L33" s="19">
        <v>293.0</v>
      </c>
      <c r="M33" s="19">
        <v>271.0</v>
      </c>
      <c r="N33" s="19">
        <v>305.0</v>
      </c>
      <c r="O33" s="19">
        <v>305.0</v>
      </c>
      <c r="P33" s="19">
        <v>265.0</v>
      </c>
      <c r="Q33" s="19">
        <v>304.0</v>
      </c>
      <c r="R33" s="19">
        <v>301.0</v>
      </c>
      <c r="S33" s="19">
        <v>301.0</v>
      </c>
      <c r="T33" s="19">
        <v>305.0</v>
      </c>
      <c r="U33" s="19">
        <v>299.0</v>
      </c>
      <c r="V33" s="19">
        <v>301.0</v>
      </c>
      <c r="W33" s="19">
        <v>297.0</v>
      </c>
      <c r="X33" s="19">
        <v>304.0</v>
      </c>
      <c r="Y33" s="19">
        <v>271.0</v>
      </c>
      <c r="Z33" s="19">
        <v>293.0</v>
      </c>
      <c r="AA33" s="19">
        <v>268.0</v>
      </c>
      <c r="AB33" s="19">
        <v>305.0</v>
      </c>
      <c r="AC33" s="19">
        <v>301.0</v>
      </c>
      <c r="AD33" s="19">
        <v>304.0</v>
      </c>
      <c r="AE33" s="19">
        <v>305.0</v>
      </c>
      <c r="AF33" s="19">
        <v>288.0</v>
      </c>
      <c r="AG33" s="19">
        <v>293.0</v>
      </c>
      <c r="AH33" s="19">
        <v>284.0</v>
      </c>
      <c r="AI33" s="19">
        <v>296.0</v>
      </c>
      <c r="AJ33" s="19">
        <v>300.0</v>
      </c>
      <c r="AK33" s="19">
        <v>292.0</v>
      </c>
      <c r="AL33" s="19">
        <v>300.0</v>
      </c>
      <c r="AM33" s="19">
        <v>262.0</v>
      </c>
      <c r="AN33" s="19">
        <v>302.0</v>
      </c>
      <c r="AO33" s="19">
        <v>285.0</v>
      </c>
      <c r="AP33" s="19">
        <v>303.0</v>
      </c>
      <c r="AQ33" s="19">
        <v>289.0</v>
      </c>
      <c r="AR33" s="13">
        <f t="shared" ref="AR33:AR36" si="10">SUM(E33:AQ33)</f>
        <v>11453</v>
      </c>
    </row>
    <row r="34" ht="12.75" customHeight="1">
      <c r="A34" s="19">
        <v>2.0</v>
      </c>
      <c r="B34" s="20" t="s">
        <v>28</v>
      </c>
      <c r="C34" s="15"/>
      <c r="D34" s="16"/>
      <c r="E34" s="13">
        <v>236.0</v>
      </c>
      <c r="F34" s="13">
        <v>230.0</v>
      </c>
      <c r="G34" s="13">
        <v>167.0</v>
      </c>
      <c r="H34" s="13">
        <v>193.0</v>
      </c>
      <c r="I34" s="13">
        <v>210.0</v>
      </c>
      <c r="J34" s="13">
        <v>195.0</v>
      </c>
      <c r="K34" s="13">
        <v>219.0</v>
      </c>
      <c r="L34" s="13">
        <v>241.0</v>
      </c>
      <c r="M34" s="13">
        <v>213.0</v>
      </c>
      <c r="N34" s="13">
        <v>220.0</v>
      </c>
      <c r="O34" s="13">
        <v>241.0</v>
      </c>
      <c r="P34" s="13">
        <v>216.0</v>
      </c>
      <c r="Q34" s="13">
        <v>240.0</v>
      </c>
      <c r="R34" s="13">
        <v>235.0</v>
      </c>
      <c r="S34" s="13">
        <v>231.0</v>
      </c>
      <c r="T34" s="13">
        <v>261.0</v>
      </c>
      <c r="U34" s="13">
        <v>201.0</v>
      </c>
      <c r="V34" s="13">
        <v>257.0</v>
      </c>
      <c r="W34" s="13">
        <v>222.0</v>
      </c>
      <c r="X34" s="13">
        <v>236.0</v>
      </c>
      <c r="Y34" s="13">
        <v>202.0</v>
      </c>
      <c r="Z34" s="13">
        <v>217.0</v>
      </c>
      <c r="AA34" s="13">
        <v>216.0</v>
      </c>
      <c r="AB34" s="13">
        <v>260.0</v>
      </c>
      <c r="AC34" s="13">
        <v>239.0</v>
      </c>
      <c r="AD34" s="13">
        <v>274.0</v>
      </c>
      <c r="AE34" s="13">
        <v>242.0</v>
      </c>
      <c r="AF34" s="13">
        <v>266.0</v>
      </c>
      <c r="AG34" s="13">
        <v>228.0</v>
      </c>
      <c r="AH34" s="13">
        <v>219.0</v>
      </c>
      <c r="AI34" s="13">
        <v>246.0</v>
      </c>
      <c r="AJ34" s="13">
        <v>244.0</v>
      </c>
      <c r="AK34" s="13">
        <v>234.0</v>
      </c>
      <c r="AL34" s="13">
        <v>257.0</v>
      </c>
      <c r="AM34" s="13">
        <v>226.0</v>
      </c>
      <c r="AN34" s="13">
        <v>269.0</v>
      </c>
      <c r="AO34" s="13">
        <v>205.0</v>
      </c>
      <c r="AP34" s="13">
        <v>253.0</v>
      </c>
      <c r="AQ34" s="13">
        <v>202.0</v>
      </c>
      <c r="AR34" s="13">
        <f t="shared" si="10"/>
        <v>8963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0.0</v>
      </c>
      <c r="N35" s="19">
        <v>0.0</v>
      </c>
      <c r="O35" s="19">
        <v>2.0</v>
      </c>
      <c r="P35" s="19">
        <v>0.0</v>
      </c>
      <c r="Q35" s="19">
        <v>2.0</v>
      </c>
      <c r="R35" s="19">
        <v>1.0</v>
      </c>
      <c r="S35" s="19">
        <v>0.0</v>
      </c>
      <c r="T35" s="19">
        <v>2.0</v>
      </c>
      <c r="U35" s="19">
        <v>1.0</v>
      </c>
      <c r="V35" s="19">
        <v>0.0</v>
      </c>
      <c r="W35" s="19">
        <v>0.0</v>
      </c>
      <c r="X35" s="19">
        <v>0.0</v>
      </c>
      <c r="Y35" s="19">
        <v>0.0</v>
      </c>
      <c r="Z35" s="19">
        <v>1.0</v>
      </c>
      <c r="AA35" s="19">
        <v>0.0</v>
      </c>
      <c r="AB35" s="19">
        <v>0.0</v>
      </c>
      <c r="AC35" s="19">
        <v>1.0</v>
      </c>
      <c r="AD35" s="19">
        <v>1.0</v>
      </c>
      <c r="AE35" s="19"/>
      <c r="AF35" s="19"/>
      <c r="AG35" s="19"/>
      <c r="AH35" s="19"/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2.0</v>
      </c>
      <c r="AP35" s="19">
        <v>0.0</v>
      </c>
      <c r="AQ35" s="19">
        <v>0.0</v>
      </c>
      <c r="AR35" s="13">
        <f t="shared" si="10"/>
        <v>14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Q36" si="11">E33-(E34+E35)</f>
        <v>64</v>
      </c>
      <c r="F36" s="13">
        <f t="shared" si="11"/>
        <v>63</v>
      </c>
      <c r="G36" s="13">
        <f t="shared" si="11"/>
        <v>106</v>
      </c>
      <c r="H36" s="13">
        <f t="shared" si="11"/>
        <v>102</v>
      </c>
      <c r="I36" s="13">
        <f t="shared" si="11"/>
        <v>92</v>
      </c>
      <c r="J36" s="13">
        <f t="shared" si="11"/>
        <v>103</v>
      </c>
      <c r="K36" s="13">
        <f t="shared" si="11"/>
        <v>80</v>
      </c>
      <c r="L36" s="13">
        <f t="shared" si="11"/>
        <v>52</v>
      </c>
      <c r="M36" s="13">
        <f t="shared" si="11"/>
        <v>58</v>
      </c>
      <c r="N36" s="13">
        <f t="shared" si="11"/>
        <v>85</v>
      </c>
      <c r="O36" s="13">
        <f t="shared" si="11"/>
        <v>62</v>
      </c>
      <c r="P36" s="13">
        <f t="shared" si="11"/>
        <v>49</v>
      </c>
      <c r="Q36" s="13">
        <f t="shared" si="11"/>
        <v>62</v>
      </c>
      <c r="R36" s="13">
        <f t="shared" si="11"/>
        <v>65</v>
      </c>
      <c r="S36" s="13">
        <f t="shared" si="11"/>
        <v>70</v>
      </c>
      <c r="T36" s="13">
        <f t="shared" si="11"/>
        <v>42</v>
      </c>
      <c r="U36" s="13">
        <f t="shared" si="11"/>
        <v>97</v>
      </c>
      <c r="V36" s="13">
        <f t="shared" si="11"/>
        <v>44</v>
      </c>
      <c r="W36" s="13">
        <f t="shared" si="11"/>
        <v>75</v>
      </c>
      <c r="X36" s="13">
        <f t="shared" si="11"/>
        <v>68</v>
      </c>
      <c r="Y36" s="13">
        <f t="shared" si="11"/>
        <v>69</v>
      </c>
      <c r="Z36" s="13">
        <f t="shared" si="11"/>
        <v>75</v>
      </c>
      <c r="AA36" s="13">
        <f t="shared" si="11"/>
        <v>52</v>
      </c>
      <c r="AB36" s="13">
        <f t="shared" si="11"/>
        <v>45</v>
      </c>
      <c r="AC36" s="13">
        <f t="shared" si="11"/>
        <v>61</v>
      </c>
      <c r="AD36" s="13">
        <f t="shared" si="11"/>
        <v>29</v>
      </c>
      <c r="AE36" s="13">
        <f t="shared" si="11"/>
        <v>63</v>
      </c>
      <c r="AF36" s="13">
        <f t="shared" si="11"/>
        <v>22</v>
      </c>
      <c r="AG36" s="13">
        <f t="shared" si="11"/>
        <v>65</v>
      </c>
      <c r="AH36" s="13">
        <f t="shared" si="11"/>
        <v>65</v>
      </c>
      <c r="AI36" s="13">
        <f t="shared" si="11"/>
        <v>50</v>
      </c>
      <c r="AJ36" s="13">
        <f t="shared" si="11"/>
        <v>56</v>
      </c>
      <c r="AK36" s="13">
        <f t="shared" si="11"/>
        <v>58</v>
      </c>
      <c r="AL36" s="13">
        <f t="shared" si="11"/>
        <v>43</v>
      </c>
      <c r="AM36" s="13">
        <f t="shared" si="11"/>
        <v>36</v>
      </c>
      <c r="AN36" s="13">
        <f t="shared" si="11"/>
        <v>33</v>
      </c>
      <c r="AO36" s="13">
        <f t="shared" si="11"/>
        <v>78</v>
      </c>
      <c r="AP36" s="13">
        <f t="shared" si="11"/>
        <v>50</v>
      </c>
      <c r="AQ36" s="13">
        <f t="shared" si="11"/>
        <v>87</v>
      </c>
      <c r="AR36" s="13">
        <f t="shared" si="10"/>
        <v>2476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6"/>
      <c r="Z37" s="19"/>
      <c r="AA37" s="19"/>
      <c r="AB37" s="19"/>
      <c r="AC37" s="19"/>
      <c r="AD37" s="69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1"/>
      <c r="O38" s="71"/>
      <c r="P38" s="71"/>
      <c r="Q38" s="71"/>
      <c r="R38" s="71"/>
      <c r="S38" s="71"/>
      <c r="T38" s="71"/>
      <c r="U38" s="71"/>
      <c r="V38" s="13"/>
      <c r="W38" s="13"/>
      <c r="X38" s="13"/>
      <c r="Y38" s="13"/>
      <c r="Z38" s="13"/>
      <c r="AA38" s="13"/>
      <c r="AB38" s="13"/>
      <c r="AC38" s="13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0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1.0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2.0</v>
      </c>
      <c r="T39" s="19">
        <v>1.0</v>
      </c>
      <c r="U39" s="19">
        <v>0.0</v>
      </c>
      <c r="V39" s="19">
        <v>0.0</v>
      </c>
      <c r="W39" s="19">
        <v>2.0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3.0</v>
      </c>
      <c r="AD39" s="19">
        <v>3.0</v>
      </c>
      <c r="AE39" s="19">
        <v>0.0</v>
      </c>
      <c r="AF39" s="19">
        <v>0.0</v>
      </c>
      <c r="AG39" s="19">
        <v>0.0</v>
      </c>
      <c r="AH39" s="19">
        <v>1.0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1.0</v>
      </c>
      <c r="AR39" s="13">
        <f t="shared" ref="AR39:AR41" si="12">SUM(E39:AQ39)</f>
        <v>16</v>
      </c>
    </row>
    <row r="40" ht="12.75" customHeight="1">
      <c r="A40" s="33"/>
      <c r="C40" s="27"/>
      <c r="D40" s="19" t="s">
        <v>13</v>
      </c>
      <c r="E40" s="19">
        <v>2.0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3.0</v>
      </c>
      <c r="T40" s="19">
        <v>0.0</v>
      </c>
      <c r="U40" s="19">
        <v>2.0</v>
      </c>
      <c r="V40" s="19">
        <v>0.0</v>
      </c>
      <c r="W40" s="19">
        <v>1.0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4.0</v>
      </c>
      <c r="AD40" s="19">
        <v>1.0</v>
      </c>
      <c r="AE40" s="19">
        <v>0.0</v>
      </c>
      <c r="AF40" s="19">
        <v>0.0</v>
      </c>
      <c r="AG40" s="19">
        <v>1.0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3">
        <f t="shared" si="12"/>
        <v>14</v>
      </c>
    </row>
    <row r="41" ht="12.75" customHeight="1">
      <c r="A41" s="41"/>
      <c r="B41" s="44"/>
      <c r="C41" s="28"/>
      <c r="D41" s="13" t="s">
        <v>14</v>
      </c>
      <c r="E41" s="13">
        <f t="shared" ref="E41:AQ41" si="13">SUM(E39:E40)</f>
        <v>3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5</v>
      </c>
      <c r="T41" s="13">
        <f t="shared" si="13"/>
        <v>1</v>
      </c>
      <c r="U41" s="13">
        <f t="shared" si="13"/>
        <v>2</v>
      </c>
      <c r="V41" s="13">
        <f t="shared" si="13"/>
        <v>0</v>
      </c>
      <c r="W41" s="13">
        <f t="shared" si="13"/>
        <v>3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7</v>
      </c>
      <c r="AD41" s="13">
        <f t="shared" si="13"/>
        <v>4</v>
      </c>
      <c r="AE41" s="13">
        <f t="shared" si="13"/>
        <v>0</v>
      </c>
      <c r="AF41" s="13">
        <f t="shared" si="13"/>
        <v>0</v>
      </c>
      <c r="AG41" s="13">
        <f t="shared" si="13"/>
        <v>1</v>
      </c>
      <c r="AH41" s="13">
        <f t="shared" si="13"/>
        <v>1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1</v>
      </c>
      <c r="AR41" s="13">
        <f t="shared" si="12"/>
        <v>30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6"/>
      <c r="Z42" s="19"/>
      <c r="AA42" s="19"/>
      <c r="AB42" s="19"/>
      <c r="AC42" s="19"/>
      <c r="AD42" s="69"/>
      <c r="AE42" s="19"/>
      <c r="AF42" s="69"/>
      <c r="AG42" s="19"/>
      <c r="AH42" s="69"/>
      <c r="AI42" s="19"/>
      <c r="AJ42" s="69"/>
      <c r="AK42" s="19"/>
      <c r="AL42" s="19"/>
      <c r="AM42" s="69"/>
      <c r="AN42" s="19"/>
      <c r="AO42" s="69"/>
      <c r="AP42" s="19"/>
      <c r="AQ42" s="69"/>
      <c r="AR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1"/>
      <c r="O43" s="13"/>
      <c r="P43" s="71"/>
      <c r="Q43" s="13"/>
      <c r="R43" s="71"/>
      <c r="S43" s="13"/>
      <c r="T43" s="71"/>
      <c r="U43" s="13"/>
      <c r="V43" s="13"/>
      <c r="W43" s="13"/>
      <c r="X43" s="13"/>
      <c r="Y43" s="13"/>
      <c r="Z43" s="13"/>
      <c r="AA43" s="13"/>
      <c r="AB43" s="13"/>
      <c r="AC43" s="13"/>
      <c r="AD43" s="71"/>
      <c r="AE43" s="13"/>
      <c r="AF43" s="71"/>
      <c r="AG43" s="13"/>
      <c r="AH43" s="71"/>
      <c r="AI43" s="13"/>
      <c r="AJ43" s="71"/>
      <c r="AK43" s="13"/>
      <c r="AL43" s="13"/>
      <c r="AM43" s="71"/>
      <c r="AN43" s="13"/>
      <c r="AO43" s="71"/>
      <c r="AP43" s="13"/>
      <c r="AQ43" s="71"/>
      <c r="AR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9"/>
      <c r="O44" s="19"/>
      <c r="P44" s="69"/>
      <c r="Q44" s="19"/>
      <c r="R44" s="69"/>
      <c r="S44" s="19"/>
      <c r="T44" s="69"/>
      <c r="U44" s="19"/>
      <c r="V44" s="19"/>
      <c r="W44" s="19"/>
      <c r="X44" s="19"/>
      <c r="Y44" s="19"/>
      <c r="Z44" s="19"/>
      <c r="AA44" s="19"/>
      <c r="AB44" s="19"/>
      <c r="AC44" s="19"/>
      <c r="AD44" s="69"/>
      <c r="AE44" s="19"/>
      <c r="AF44" s="69"/>
      <c r="AG44" s="19"/>
      <c r="AH44" s="69"/>
      <c r="AI44" s="19"/>
      <c r="AJ44" s="69"/>
      <c r="AK44" s="19"/>
      <c r="AL44" s="19"/>
      <c r="AM44" s="69"/>
      <c r="AN44" s="19"/>
      <c r="AO44" s="69"/>
      <c r="AP44" s="19"/>
      <c r="AQ44" s="69"/>
      <c r="AR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8.0</v>
      </c>
      <c r="G45" s="19">
        <v>1.0</v>
      </c>
      <c r="H45" s="19">
        <v>5.0</v>
      </c>
      <c r="I45" s="19">
        <v>6.0</v>
      </c>
      <c r="J45" s="19">
        <v>6.0</v>
      </c>
      <c r="K45" s="19">
        <v>8.0</v>
      </c>
      <c r="L45" s="19">
        <v>9.0</v>
      </c>
      <c r="M45" s="19">
        <v>3.0</v>
      </c>
      <c r="N45" s="19">
        <v>15.0</v>
      </c>
      <c r="O45" s="19">
        <v>7.0</v>
      </c>
      <c r="P45" s="19">
        <v>13.0</v>
      </c>
      <c r="Q45" s="19">
        <v>8.0</v>
      </c>
      <c r="R45" s="19">
        <v>7.0</v>
      </c>
      <c r="S45" s="19">
        <v>6.0</v>
      </c>
      <c r="T45" s="19">
        <v>15.0</v>
      </c>
      <c r="U45" s="19">
        <v>5.0</v>
      </c>
      <c r="V45" s="19">
        <v>15.0</v>
      </c>
      <c r="W45" s="19">
        <v>4.0</v>
      </c>
      <c r="X45" s="19">
        <v>8.0</v>
      </c>
      <c r="Y45" s="19">
        <v>10.0</v>
      </c>
      <c r="Z45" s="19">
        <v>7.0</v>
      </c>
      <c r="AA45" s="19">
        <v>27.0</v>
      </c>
      <c r="AB45" s="19">
        <v>21.0</v>
      </c>
      <c r="AC45" s="19">
        <v>13.0</v>
      </c>
      <c r="AD45" s="19">
        <v>1.0</v>
      </c>
      <c r="AE45" s="19">
        <v>2.0</v>
      </c>
      <c r="AF45" s="19">
        <v>13.0</v>
      </c>
      <c r="AG45" s="19">
        <v>14.0</v>
      </c>
      <c r="AH45" s="19">
        <v>17.0</v>
      </c>
      <c r="AI45" s="19">
        <v>18.0</v>
      </c>
      <c r="AJ45" s="19">
        <v>12.0</v>
      </c>
      <c r="AK45" s="19">
        <v>14.0</v>
      </c>
      <c r="AL45" s="19">
        <v>30.0</v>
      </c>
      <c r="AM45" s="19">
        <v>18.0</v>
      </c>
      <c r="AN45" s="19">
        <v>20.0</v>
      </c>
      <c r="AO45" s="19">
        <v>16.0</v>
      </c>
      <c r="AP45" s="19">
        <v>17.0</v>
      </c>
      <c r="AQ45" s="19">
        <v>0.0</v>
      </c>
      <c r="AR45" s="13">
        <f t="shared" ref="AR45:AR52" si="14">SUM(E45:AQ45)</f>
        <v>424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6.0</v>
      </c>
      <c r="F46" s="19">
        <v>15.0</v>
      </c>
      <c r="G46" s="19">
        <v>17.0</v>
      </c>
      <c r="H46" s="19">
        <v>18.0</v>
      </c>
      <c r="I46" s="19">
        <v>10.0</v>
      </c>
      <c r="J46" s="19">
        <v>9.0</v>
      </c>
      <c r="K46" s="19">
        <v>42.0</v>
      </c>
      <c r="L46" s="19">
        <v>72.0</v>
      </c>
      <c r="M46" s="19">
        <v>57.0</v>
      </c>
      <c r="N46" s="19">
        <v>49.0</v>
      </c>
      <c r="O46" s="19">
        <v>53.0</v>
      </c>
      <c r="P46" s="19">
        <v>48.0</v>
      </c>
      <c r="Q46" s="19">
        <v>55.0</v>
      </c>
      <c r="R46" s="19">
        <v>18.0</v>
      </c>
      <c r="S46" s="19">
        <v>30.0</v>
      </c>
      <c r="T46" s="19">
        <v>96.0</v>
      </c>
      <c r="U46" s="19">
        <v>24.0</v>
      </c>
      <c r="V46" s="19">
        <v>13.0</v>
      </c>
      <c r="W46" s="19">
        <v>13.0</v>
      </c>
      <c r="X46" s="19">
        <v>15.0</v>
      </c>
      <c r="Y46" s="19">
        <v>31.0</v>
      </c>
      <c r="Z46" s="19">
        <v>43.0</v>
      </c>
      <c r="AA46" s="19">
        <v>41.0</v>
      </c>
      <c r="AB46" s="19">
        <v>31.0</v>
      </c>
      <c r="AC46" s="19">
        <v>24.0</v>
      </c>
      <c r="AD46" s="19">
        <v>6.0</v>
      </c>
      <c r="AE46" s="19">
        <v>7.0</v>
      </c>
      <c r="AF46" s="19">
        <v>21.0</v>
      </c>
      <c r="AG46" s="19">
        <v>21.0</v>
      </c>
      <c r="AH46" s="19">
        <v>33.0</v>
      </c>
      <c r="AI46" s="19">
        <v>36.0</v>
      </c>
      <c r="AJ46" s="19">
        <v>41.0</v>
      </c>
      <c r="AK46" s="19">
        <v>30.0</v>
      </c>
      <c r="AL46" s="19">
        <v>32.0</v>
      </c>
      <c r="AM46" s="19">
        <v>20.0</v>
      </c>
      <c r="AN46" s="19">
        <v>39.0</v>
      </c>
      <c r="AO46" s="19">
        <v>48.0</v>
      </c>
      <c r="AP46" s="19">
        <v>69.0</v>
      </c>
      <c r="AQ46" s="19">
        <v>8.0</v>
      </c>
      <c r="AR46" s="13">
        <f t="shared" si="14"/>
        <v>1241</v>
      </c>
    </row>
    <row r="47" ht="12.75" customHeight="1">
      <c r="A47" s="18"/>
      <c r="B47" s="55">
        <v>2.0</v>
      </c>
      <c r="C47" s="50" t="s">
        <v>41</v>
      </c>
      <c r="D47" s="16"/>
      <c r="E47" s="19">
        <v>3.0</v>
      </c>
      <c r="F47" s="19">
        <v>1.0</v>
      </c>
      <c r="G47" s="19">
        <v>3.0</v>
      </c>
      <c r="H47" s="19">
        <v>4.0</v>
      </c>
      <c r="I47" s="19">
        <v>2.0</v>
      </c>
      <c r="J47" s="19">
        <v>1.0</v>
      </c>
      <c r="K47" s="19">
        <v>5.0</v>
      </c>
      <c r="L47" s="19">
        <v>2.0</v>
      </c>
      <c r="M47" s="19">
        <v>4.0</v>
      </c>
      <c r="N47" s="19">
        <v>1.0</v>
      </c>
      <c r="O47" s="19">
        <v>8.0</v>
      </c>
      <c r="P47" s="19">
        <v>0.0</v>
      </c>
      <c r="Q47" s="19">
        <v>2.0</v>
      </c>
      <c r="R47" s="19">
        <v>3.0</v>
      </c>
      <c r="S47" s="19">
        <v>2.0</v>
      </c>
      <c r="T47" s="19">
        <v>3.0</v>
      </c>
      <c r="U47" s="19">
        <v>3.0</v>
      </c>
      <c r="V47" s="19">
        <v>4.0</v>
      </c>
      <c r="W47" s="19">
        <v>1.0</v>
      </c>
      <c r="X47" s="19">
        <v>0.0</v>
      </c>
      <c r="Y47" s="19">
        <v>3.0</v>
      </c>
      <c r="Z47" s="19">
        <v>8.0</v>
      </c>
      <c r="AA47" s="19">
        <v>6.0</v>
      </c>
      <c r="AB47" s="19">
        <v>8.0</v>
      </c>
      <c r="AC47" s="19">
        <v>17.0</v>
      </c>
      <c r="AD47" s="19">
        <v>3.0</v>
      </c>
      <c r="AE47" s="19">
        <v>4.0</v>
      </c>
      <c r="AF47" s="19">
        <v>0.0</v>
      </c>
      <c r="AG47" s="19">
        <v>25.0</v>
      </c>
      <c r="AH47" s="19">
        <v>4.0</v>
      </c>
      <c r="AI47" s="19">
        <v>10.0</v>
      </c>
      <c r="AJ47" s="19">
        <v>8.0</v>
      </c>
      <c r="AK47" s="19">
        <v>4.0</v>
      </c>
      <c r="AL47" s="19">
        <v>12.0</v>
      </c>
      <c r="AM47" s="19">
        <v>10.0</v>
      </c>
      <c r="AN47" s="19">
        <v>7.0</v>
      </c>
      <c r="AO47" s="19">
        <v>31.0</v>
      </c>
      <c r="AP47" s="19">
        <v>8.0</v>
      </c>
      <c r="AQ47" s="19">
        <v>0.0</v>
      </c>
      <c r="AR47" s="13">
        <f t="shared" si="14"/>
        <v>220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1.0</v>
      </c>
      <c r="G48" s="19">
        <v>0.0</v>
      </c>
      <c r="H48" s="19">
        <v>1.0</v>
      </c>
      <c r="I48" s="19">
        <v>0.0</v>
      </c>
      <c r="J48" s="19">
        <v>0.0</v>
      </c>
      <c r="K48" s="19">
        <v>0.0</v>
      </c>
      <c r="L48" s="19">
        <v>1.0</v>
      </c>
      <c r="M48" s="19">
        <v>3.0</v>
      </c>
      <c r="N48" s="19">
        <v>0.0</v>
      </c>
      <c r="O48" s="19">
        <v>0.0</v>
      </c>
      <c r="P48" s="19">
        <v>0.0</v>
      </c>
      <c r="Q48" s="19">
        <v>1.0</v>
      </c>
      <c r="R48" s="19">
        <v>0.0</v>
      </c>
      <c r="S48" s="19">
        <v>2.0</v>
      </c>
      <c r="T48" s="19">
        <v>1.0</v>
      </c>
      <c r="U48" s="19">
        <v>2.0</v>
      </c>
      <c r="V48" s="19">
        <v>0.0</v>
      </c>
      <c r="W48" s="19">
        <v>0.0</v>
      </c>
      <c r="X48" s="19">
        <v>1.0</v>
      </c>
      <c r="Y48" s="19">
        <v>1.0</v>
      </c>
      <c r="Z48" s="19">
        <v>1.0</v>
      </c>
      <c r="AA48" s="19">
        <v>0.0</v>
      </c>
      <c r="AB48" s="19">
        <v>0.0</v>
      </c>
      <c r="AC48" s="19">
        <v>1.0</v>
      </c>
      <c r="AD48" s="19">
        <v>0.0</v>
      </c>
      <c r="AE48" s="19">
        <v>0.0</v>
      </c>
      <c r="AF48" s="19">
        <v>1.0</v>
      </c>
      <c r="AG48" s="19">
        <v>3.0</v>
      </c>
      <c r="AH48" s="19">
        <v>0.0</v>
      </c>
      <c r="AI48" s="19">
        <v>1.0</v>
      </c>
      <c r="AJ48" s="19">
        <v>1.0</v>
      </c>
      <c r="AK48" s="19">
        <v>0.0</v>
      </c>
      <c r="AL48" s="19">
        <v>0.0</v>
      </c>
      <c r="AM48" s="19">
        <v>0.0</v>
      </c>
      <c r="AN48" s="19">
        <v>0.0</v>
      </c>
      <c r="AO48" s="19">
        <v>1.0</v>
      </c>
      <c r="AP48" s="19">
        <v>1.0</v>
      </c>
      <c r="AQ48" s="19">
        <v>0.0</v>
      </c>
      <c r="AR48" s="13">
        <f t="shared" si="14"/>
        <v>24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2.0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0.0</v>
      </c>
      <c r="N49" s="19">
        <v>0.0</v>
      </c>
      <c r="O49" s="19">
        <v>1.0</v>
      </c>
      <c r="P49" s="19">
        <v>0.0</v>
      </c>
      <c r="Q49" s="19">
        <v>0.0</v>
      </c>
      <c r="R49" s="19">
        <v>1.0</v>
      </c>
      <c r="S49" s="19">
        <v>0.0</v>
      </c>
      <c r="T49" s="19">
        <v>0.0</v>
      </c>
      <c r="U49" s="19">
        <v>0.0</v>
      </c>
      <c r="V49" s="19">
        <v>0.0</v>
      </c>
      <c r="W49" s="19">
        <v>1.0</v>
      </c>
      <c r="X49" s="19">
        <v>0.0</v>
      </c>
      <c r="Y49" s="19">
        <v>1.0</v>
      </c>
      <c r="Z49" s="19">
        <v>0.0</v>
      </c>
      <c r="AA49" s="19">
        <v>1.0</v>
      </c>
      <c r="AB49" s="19">
        <v>0.0</v>
      </c>
      <c r="AC49" s="19">
        <v>0.0</v>
      </c>
      <c r="AD49" s="19">
        <v>0.0</v>
      </c>
      <c r="AE49" s="19">
        <v>0.0</v>
      </c>
      <c r="AF49" s="19">
        <v>0.0</v>
      </c>
      <c r="AG49" s="19">
        <v>0.0</v>
      </c>
      <c r="AH49" s="19">
        <v>0.0</v>
      </c>
      <c r="AI49" s="19">
        <v>1.0</v>
      </c>
      <c r="AJ49" s="19">
        <v>1.0</v>
      </c>
      <c r="AK49" s="19">
        <v>0.0</v>
      </c>
      <c r="AL49" s="19">
        <v>0.0</v>
      </c>
      <c r="AM49" s="19">
        <v>1.0</v>
      </c>
      <c r="AN49" s="19">
        <v>1.0</v>
      </c>
      <c r="AO49" s="19">
        <v>1.0</v>
      </c>
      <c r="AP49" s="19">
        <v>0.0</v>
      </c>
      <c r="AQ49" s="19">
        <v>0.0</v>
      </c>
      <c r="AR49" s="13">
        <f t="shared" si="14"/>
        <v>12</v>
      </c>
    </row>
    <row r="50" ht="12.75" customHeight="1">
      <c r="A50" s="18"/>
      <c r="B50" s="55">
        <v>5.0</v>
      </c>
      <c r="C50" s="50" t="s">
        <v>44</v>
      </c>
      <c r="D50" s="16"/>
      <c r="E50" s="19">
        <v>2.0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1.0</v>
      </c>
      <c r="R50" s="19">
        <v>0.0</v>
      </c>
      <c r="S50" s="19">
        <v>0.0</v>
      </c>
      <c r="T50" s="19">
        <v>0.0</v>
      </c>
      <c r="U50" s="19">
        <v>0.0</v>
      </c>
      <c r="V50" s="19">
        <v>1.0</v>
      </c>
      <c r="W50" s="19">
        <v>0.0</v>
      </c>
      <c r="X50" s="19">
        <v>1.0</v>
      </c>
      <c r="Y50" s="19">
        <v>0.0</v>
      </c>
      <c r="Z50" s="19">
        <v>0.0</v>
      </c>
      <c r="AA50" s="19">
        <v>0.0</v>
      </c>
      <c r="AB50" s="19">
        <v>0.0</v>
      </c>
      <c r="AC50" s="19">
        <v>0.0</v>
      </c>
      <c r="AD50" s="19">
        <v>0.0</v>
      </c>
      <c r="AE50" s="19">
        <v>1.0</v>
      </c>
      <c r="AF50" s="19">
        <v>0.0</v>
      </c>
      <c r="AG50" s="19">
        <v>1.0</v>
      </c>
      <c r="AH50" s="19">
        <v>1.0</v>
      </c>
      <c r="AI50" s="19">
        <v>2.0</v>
      </c>
      <c r="AJ50" s="19">
        <v>2.0</v>
      </c>
      <c r="AK50" s="19">
        <v>0.0</v>
      </c>
      <c r="AL50" s="19">
        <v>2.0</v>
      </c>
      <c r="AM50" s="19">
        <v>2.0</v>
      </c>
      <c r="AN50" s="19">
        <v>0.0</v>
      </c>
      <c r="AO50" s="19">
        <v>0.0</v>
      </c>
      <c r="AP50" s="19">
        <v>0.0</v>
      </c>
      <c r="AQ50" s="19">
        <v>0.0</v>
      </c>
      <c r="AR50" s="13">
        <f t="shared" si="14"/>
        <v>16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1.0</v>
      </c>
      <c r="O51" s="19">
        <v>0.0</v>
      </c>
      <c r="P51" s="19">
        <v>0.0</v>
      </c>
      <c r="Q51" s="19">
        <v>0.0</v>
      </c>
      <c r="R51" s="19">
        <v>0.0</v>
      </c>
      <c r="S51" s="19">
        <v>1.0</v>
      </c>
      <c r="T51" s="19">
        <v>1.0</v>
      </c>
      <c r="U51" s="19">
        <v>0.0</v>
      </c>
      <c r="V51" s="19">
        <v>0.0</v>
      </c>
      <c r="W51" s="19">
        <v>0.0</v>
      </c>
      <c r="X51" s="19">
        <v>1.0</v>
      </c>
      <c r="Y51" s="19">
        <v>1.0</v>
      </c>
      <c r="Z51" s="19">
        <v>0.0</v>
      </c>
      <c r="AA51" s="19">
        <v>0.0</v>
      </c>
      <c r="AB51" s="19">
        <v>0.0</v>
      </c>
      <c r="AC51" s="19">
        <v>0.0</v>
      </c>
      <c r="AD51" s="19">
        <v>0.0</v>
      </c>
      <c r="AE51" s="19">
        <v>0.0</v>
      </c>
      <c r="AF51" s="19">
        <v>0.0</v>
      </c>
      <c r="AG51" s="19">
        <v>0.0</v>
      </c>
      <c r="AH51" s="19">
        <v>0.0</v>
      </c>
      <c r="AI51" s="19">
        <v>0.0</v>
      </c>
      <c r="AJ51" s="19">
        <v>1.0</v>
      </c>
      <c r="AK51" s="19">
        <v>1.0</v>
      </c>
      <c r="AL51" s="19">
        <v>0.0</v>
      </c>
      <c r="AM51" s="19">
        <v>0.0</v>
      </c>
      <c r="AN51" s="19">
        <v>0.0</v>
      </c>
      <c r="AO51" s="19">
        <v>0.0</v>
      </c>
      <c r="AP51" s="19">
        <v>0.0</v>
      </c>
      <c r="AQ51" s="19">
        <v>0.0</v>
      </c>
      <c r="AR51" s="13">
        <f t="shared" si="14"/>
        <v>7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1.0</v>
      </c>
      <c r="H52" s="19">
        <v>0.0</v>
      </c>
      <c r="I52" s="19">
        <v>0.0</v>
      </c>
      <c r="J52" s="19">
        <v>0.0</v>
      </c>
      <c r="K52" s="19">
        <v>0.0</v>
      </c>
      <c r="L52" s="19">
        <v>1.0</v>
      </c>
      <c r="M52" s="19">
        <v>0.0</v>
      </c>
      <c r="N52" s="19">
        <v>1.0</v>
      </c>
      <c r="O52" s="19">
        <v>1.0</v>
      </c>
      <c r="P52" s="19">
        <v>0.0</v>
      </c>
      <c r="Q52" s="19">
        <v>0.0</v>
      </c>
      <c r="R52" s="19">
        <v>0.0</v>
      </c>
      <c r="S52" s="19">
        <v>1.0</v>
      </c>
      <c r="T52" s="19">
        <v>0.0</v>
      </c>
      <c r="U52" s="19">
        <v>1.0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1.0</v>
      </c>
      <c r="AD52" s="19">
        <v>0.0</v>
      </c>
      <c r="AE52" s="19">
        <v>0.0</v>
      </c>
      <c r="AF52" s="19">
        <v>0.0</v>
      </c>
      <c r="AG52" s="19">
        <v>1.0</v>
      </c>
      <c r="AH52" s="19">
        <v>0.0</v>
      </c>
      <c r="AI52" s="19">
        <v>0.0</v>
      </c>
      <c r="AJ52" s="19">
        <v>0.0</v>
      </c>
      <c r="AK52" s="19">
        <v>0.0</v>
      </c>
      <c r="AL52" s="19">
        <v>0.0</v>
      </c>
      <c r="AM52" s="19">
        <v>1.0</v>
      </c>
      <c r="AN52" s="19">
        <v>0.0</v>
      </c>
      <c r="AO52" s="19">
        <v>0.0</v>
      </c>
      <c r="AP52" s="19">
        <v>1.0</v>
      </c>
      <c r="AQ52" s="19">
        <v>0.0</v>
      </c>
      <c r="AR52" s="13">
        <f t="shared" si="14"/>
        <v>10</v>
      </c>
    </row>
    <row r="53" ht="12.75" customHeight="1">
      <c r="A53" s="19" t="s">
        <v>15</v>
      </c>
      <c r="B53" s="47" t="s">
        <v>47</v>
      </c>
      <c r="C53" s="15"/>
      <c r="D53" s="16"/>
      <c r="E53" s="13">
        <f t="shared" ref="E53:AR53" si="15">SUM(E45:E52)</f>
        <v>16</v>
      </c>
      <c r="F53" s="13">
        <f t="shared" si="15"/>
        <v>25</v>
      </c>
      <c r="G53" s="13">
        <f t="shared" si="15"/>
        <v>24</v>
      </c>
      <c r="H53" s="13">
        <f t="shared" si="15"/>
        <v>28</v>
      </c>
      <c r="I53" s="13">
        <f t="shared" si="15"/>
        <v>18</v>
      </c>
      <c r="J53" s="13">
        <f t="shared" si="15"/>
        <v>16</v>
      </c>
      <c r="K53" s="13">
        <f t="shared" si="15"/>
        <v>55</v>
      </c>
      <c r="L53" s="13">
        <f t="shared" si="15"/>
        <v>85</v>
      </c>
      <c r="M53" s="13">
        <f t="shared" si="15"/>
        <v>67</v>
      </c>
      <c r="N53" s="13">
        <f t="shared" si="15"/>
        <v>67</v>
      </c>
      <c r="O53" s="13">
        <f t="shared" si="15"/>
        <v>70</v>
      </c>
      <c r="P53" s="13">
        <f t="shared" si="15"/>
        <v>61</v>
      </c>
      <c r="Q53" s="13">
        <f t="shared" si="15"/>
        <v>67</v>
      </c>
      <c r="R53" s="13">
        <f t="shared" si="15"/>
        <v>29</v>
      </c>
      <c r="S53" s="13">
        <f t="shared" si="15"/>
        <v>42</v>
      </c>
      <c r="T53" s="13">
        <f t="shared" si="15"/>
        <v>116</v>
      </c>
      <c r="U53" s="13">
        <f t="shared" si="15"/>
        <v>35</v>
      </c>
      <c r="V53" s="13">
        <f t="shared" si="15"/>
        <v>33</v>
      </c>
      <c r="W53" s="13">
        <f t="shared" si="15"/>
        <v>19</v>
      </c>
      <c r="X53" s="13">
        <f t="shared" si="15"/>
        <v>26</v>
      </c>
      <c r="Y53" s="13">
        <f t="shared" si="15"/>
        <v>47</v>
      </c>
      <c r="Z53" s="13">
        <f t="shared" si="15"/>
        <v>59</v>
      </c>
      <c r="AA53" s="13">
        <f t="shared" si="15"/>
        <v>75</v>
      </c>
      <c r="AB53" s="13">
        <f t="shared" si="15"/>
        <v>60</v>
      </c>
      <c r="AC53" s="13">
        <f t="shared" si="15"/>
        <v>56</v>
      </c>
      <c r="AD53" s="13">
        <f t="shared" si="15"/>
        <v>10</v>
      </c>
      <c r="AE53" s="13">
        <f t="shared" si="15"/>
        <v>14</v>
      </c>
      <c r="AF53" s="13">
        <f t="shared" si="15"/>
        <v>35</v>
      </c>
      <c r="AG53" s="13">
        <f t="shared" si="15"/>
        <v>65</v>
      </c>
      <c r="AH53" s="13">
        <f t="shared" si="15"/>
        <v>55</v>
      </c>
      <c r="AI53" s="13">
        <f t="shared" si="15"/>
        <v>68</v>
      </c>
      <c r="AJ53" s="13">
        <f t="shared" si="15"/>
        <v>66</v>
      </c>
      <c r="AK53" s="13">
        <f t="shared" si="15"/>
        <v>49</v>
      </c>
      <c r="AL53" s="13">
        <f t="shared" si="15"/>
        <v>76</v>
      </c>
      <c r="AM53" s="13">
        <f t="shared" si="15"/>
        <v>52</v>
      </c>
      <c r="AN53" s="13">
        <f t="shared" si="15"/>
        <v>67</v>
      </c>
      <c r="AO53" s="13">
        <f t="shared" si="15"/>
        <v>97</v>
      </c>
      <c r="AP53" s="13">
        <f t="shared" si="15"/>
        <v>96</v>
      </c>
      <c r="AQ53" s="13">
        <f t="shared" si="15"/>
        <v>8</v>
      </c>
      <c r="AR53" s="13">
        <f t="shared" si="15"/>
        <v>1954</v>
      </c>
    </row>
    <row r="54" ht="12.75" customHeight="1">
      <c r="A54" s="45"/>
      <c r="B54" s="44"/>
      <c r="C54" s="44"/>
      <c r="D54" s="44"/>
      <c r="E54" s="44"/>
      <c r="AR54" s="13"/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16.0</v>
      </c>
      <c r="F55" s="19">
        <v>13.0</v>
      </c>
      <c r="G55" s="19">
        <v>16.0</v>
      </c>
      <c r="H55" s="19">
        <v>10.0</v>
      </c>
      <c r="I55" s="19">
        <v>10.0</v>
      </c>
      <c r="J55" s="19">
        <v>4.0</v>
      </c>
      <c r="K55" s="19">
        <v>18.0</v>
      </c>
      <c r="L55" s="19">
        <v>13.0</v>
      </c>
      <c r="M55" s="19">
        <v>8.0</v>
      </c>
      <c r="N55" s="19">
        <v>8.0</v>
      </c>
      <c r="O55" s="19">
        <v>10.0</v>
      </c>
      <c r="P55" s="19">
        <v>12.0</v>
      </c>
      <c r="Q55" s="19">
        <v>20.0</v>
      </c>
      <c r="R55" s="19">
        <v>14.0</v>
      </c>
      <c r="S55" s="19">
        <v>17.0</v>
      </c>
      <c r="T55" s="19">
        <v>3.0</v>
      </c>
      <c r="U55" s="19">
        <v>10.0</v>
      </c>
      <c r="V55" s="19">
        <v>7.0</v>
      </c>
      <c r="W55" s="19">
        <v>5.0</v>
      </c>
      <c r="X55" s="19">
        <v>13.0</v>
      </c>
      <c r="Y55" s="19">
        <v>7.0</v>
      </c>
      <c r="Z55" s="19">
        <v>5.0</v>
      </c>
      <c r="AA55" s="19">
        <v>7.0</v>
      </c>
      <c r="AB55" s="19">
        <v>9.0</v>
      </c>
      <c r="AC55" s="19">
        <v>5.0</v>
      </c>
      <c r="AD55" s="19">
        <v>2.0</v>
      </c>
      <c r="AE55" s="19">
        <v>11.0</v>
      </c>
      <c r="AF55" s="19">
        <v>4.0</v>
      </c>
      <c r="AG55" s="19">
        <v>7.0</v>
      </c>
      <c r="AH55" s="19">
        <v>9.0</v>
      </c>
      <c r="AI55" s="19">
        <v>8.0</v>
      </c>
      <c r="AJ55" s="19">
        <v>4.0</v>
      </c>
      <c r="AK55" s="19">
        <v>7.0</v>
      </c>
      <c r="AL55" s="19">
        <v>11.0</v>
      </c>
      <c r="AM55" s="19">
        <v>12.0</v>
      </c>
      <c r="AN55" s="19">
        <v>1.0</v>
      </c>
      <c r="AO55" s="19">
        <v>6.0</v>
      </c>
      <c r="AP55" s="19">
        <v>8.0</v>
      </c>
      <c r="AQ55" s="19">
        <v>5.0</v>
      </c>
      <c r="AR55" s="13">
        <f t="shared" ref="AR55:AR62" si="16">SUM(E55:AQ55)</f>
        <v>355</v>
      </c>
    </row>
    <row r="56" ht="12.75" customHeight="1">
      <c r="A56" s="30" t="s">
        <v>39</v>
      </c>
      <c r="B56" s="55">
        <v>1.0</v>
      </c>
      <c r="C56" s="50" t="s">
        <v>49</v>
      </c>
      <c r="D56" s="56"/>
      <c r="E56" s="19">
        <v>23.0</v>
      </c>
      <c r="F56" s="19">
        <v>26.0</v>
      </c>
      <c r="G56" s="19">
        <v>20.0</v>
      </c>
      <c r="H56" s="19">
        <v>22.0</v>
      </c>
      <c r="I56" s="19">
        <v>16.0</v>
      </c>
      <c r="J56" s="19">
        <v>8.0</v>
      </c>
      <c r="K56" s="19">
        <v>18.0</v>
      </c>
      <c r="L56" s="19">
        <v>31.0</v>
      </c>
      <c r="M56" s="19">
        <v>28.0</v>
      </c>
      <c r="N56" s="19">
        <v>25.0</v>
      </c>
      <c r="O56" s="19">
        <v>16.0</v>
      </c>
      <c r="P56" s="19">
        <v>15.0</v>
      </c>
      <c r="Q56" s="19">
        <v>23.0</v>
      </c>
      <c r="R56" s="19">
        <v>24.0</v>
      </c>
      <c r="S56" s="19">
        <v>20.0</v>
      </c>
      <c r="T56" s="19">
        <v>13.0</v>
      </c>
      <c r="U56" s="19">
        <v>31.0</v>
      </c>
      <c r="V56" s="19">
        <v>23.0</v>
      </c>
      <c r="W56" s="19">
        <v>30.0</v>
      </c>
      <c r="X56" s="19">
        <v>15.0</v>
      </c>
      <c r="Y56" s="19">
        <v>21.0</v>
      </c>
      <c r="Z56" s="19">
        <v>6.0</v>
      </c>
      <c r="AA56" s="19">
        <v>6.0</v>
      </c>
      <c r="AB56" s="19">
        <v>23.0</v>
      </c>
      <c r="AC56" s="19">
        <v>5.0</v>
      </c>
      <c r="AD56" s="19">
        <v>4.0</v>
      </c>
      <c r="AE56" s="19">
        <v>6.0</v>
      </c>
      <c r="AF56" s="19">
        <v>4.0</v>
      </c>
      <c r="AG56" s="19">
        <v>3.0</v>
      </c>
      <c r="AH56" s="19">
        <v>9.0</v>
      </c>
      <c r="AI56" s="19">
        <v>6.0</v>
      </c>
      <c r="AJ56" s="19">
        <v>17.0</v>
      </c>
      <c r="AK56" s="19">
        <v>4.0</v>
      </c>
      <c r="AL56" s="19">
        <v>8.0</v>
      </c>
      <c r="AM56" s="19">
        <v>9.0</v>
      </c>
      <c r="AN56" s="19">
        <v>2.0</v>
      </c>
      <c r="AO56" s="19">
        <v>2.0</v>
      </c>
      <c r="AP56" s="19">
        <v>8.0</v>
      </c>
      <c r="AQ56" s="19">
        <v>5.0</v>
      </c>
      <c r="AR56" s="13">
        <f t="shared" si="16"/>
        <v>575</v>
      </c>
    </row>
    <row r="57" ht="12.75" customHeight="1">
      <c r="A57" s="18"/>
      <c r="B57" s="55">
        <v>2.0</v>
      </c>
      <c r="C57" s="50" t="s">
        <v>50</v>
      </c>
      <c r="D57" s="56"/>
      <c r="E57" s="19">
        <v>2.0</v>
      </c>
      <c r="F57" s="19">
        <v>4.0</v>
      </c>
      <c r="G57" s="19">
        <v>1.0</v>
      </c>
      <c r="H57" s="19">
        <v>5.0</v>
      </c>
      <c r="I57" s="19">
        <v>2.0</v>
      </c>
      <c r="J57" s="19">
        <v>1.0</v>
      </c>
      <c r="K57" s="19">
        <v>3.0</v>
      </c>
      <c r="L57" s="19">
        <v>2.0</v>
      </c>
      <c r="M57" s="19">
        <v>1.0</v>
      </c>
      <c r="N57" s="19">
        <v>5.0</v>
      </c>
      <c r="O57" s="19">
        <v>3.0</v>
      </c>
      <c r="P57" s="19">
        <v>1.0</v>
      </c>
      <c r="Q57" s="19">
        <v>2.0</v>
      </c>
      <c r="R57" s="19">
        <v>2.0</v>
      </c>
      <c r="S57" s="19">
        <v>7.0</v>
      </c>
      <c r="T57" s="19">
        <v>1.0</v>
      </c>
      <c r="U57" s="19">
        <v>3.0</v>
      </c>
      <c r="V57" s="19">
        <v>0.0</v>
      </c>
      <c r="W57" s="19">
        <v>1.0</v>
      </c>
      <c r="X57" s="19">
        <v>5.0</v>
      </c>
      <c r="Y57" s="19">
        <v>2.0</v>
      </c>
      <c r="Z57" s="19">
        <v>6.0</v>
      </c>
      <c r="AA57" s="19">
        <v>2.0</v>
      </c>
      <c r="AB57" s="19">
        <v>3.0</v>
      </c>
      <c r="AC57" s="19">
        <v>2.0</v>
      </c>
      <c r="AD57" s="19">
        <v>7.0</v>
      </c>
      <c r="AE57" s="19">
        <v>2.0</v>
      </c>
      <c r="AF57" s="19">
        <v>0.0</v>
      </c>
      <c r="AG57" s="19">
        <v>2.0</v>
      </c>
      <c r="AH57" s="19">
        <v>3.0</v>
      </c>
      <c r="AI57" s="19">
        <v>2.0</v>
      </c>
      <c r="AJ57" s="19">
        <v>6.0</v>
      </c>
      <c r="AK57" s="19">
        <v>3.0</v>
      </c>
      <c r="AL57" s="19">
        <v>2.0</v>
      </c>
      <c r="AM57" s="19">
        <v>0.0</v>
      </c>
      <c r="AN57" s="19">
        <v>0.0</v>
      </c>
      <c r="AO57" s="19">
        <v>3.0</v>
      </c>
      <c r="AP57" s="19">
        <v>3.0</v>
      </c>
      <c r="AQ57" s="19">
        <v>2.0</v>
      </c>
      <c r="AR57" s="13">
        <f t="shared" si="16"/>
        <v>101</v>
      </c>
    </row>
    <row r="58" ht="12.75" customHeight="1">
      <c r="A58" s="18"/>
      <c r="B58" s="55">
        <v>3.0</v>
      </c>
      <c r="C58" s="50" t="s">
        <v>51</v>
      </c>
      <c r="D58" s="56"/>
      <c r="E58" s="19">
        <v>2.0</v>
      </c>
      <c r="F58" s="19">
        <v>0.0</v>
      </c>
      <c r="G58" s="19">
        <v>1.0</v>
      </c>
      <c r="H58" s="19">
        <v>0.0</v>
      </c>
      <c r="I58" s="19">
        <v>2.0</v>
      </c>
      <c r="J58" s="19">
        <v>0.0</v>
      </c>
      <c r="K58" s="19">
        <v>3.0</v>
      </c>
      <c r="L58" s="19">
        <v>0.0</v>
      </c>
      <c r="M58" s="19">
        <v>1.0</v>
      </c>
      <c r="N58" s="19">
        <v>0.0</v>
      </c>
      <c r="O58" s="19">
        <v>1.0</v>
      </c>
      <c r="P58" s="19">
        <v>1.0</v>
      </c>
      <c r="Q58" s="19">
        <v>3.0</v>
      </c>
      <c r="R58" s="19">
        <v>1.0</v>
      </c>
      <c r="S58" s="19">
        <v>0.0</v>
      </c>
      <c r="T58" s="19">
        <v>0.0</v>
      </c>
      <c r="U58" s="19">
        <v>1.0</v>
      </c>
      <c r="V58" s="19">
        <v>1.0</v>
      </c>
      <c r="W58" s="19">
        <v>0.0</v>
      </c>
      <c r="X58" s="19">
        <v>0.0</v>
      </c>
      <c r="Y58" s="19">
        <v>0.0</v>
      </c>
      <c r="Z58" s="19">
        <v>1.0</v>
      </c>
      <c r="AA58" s="19">
        <v>0.0</v>
      </c>
      <c r="AB58" s="19">
        <v>0.0</v>
      </c>
      <c r="AC58" s="19">
        <v>0.0</v>
      </c>
      <c r="AD58" s="19">
        <v>0.0</v>
      </c>
      <c r="AE58" s="19">
        <v>0.0</v>
      </c>
      <c r="AF58" s="19">
        <v>0.0</v>
      </c>
      <c r="AG58" s="19">
        <v>0.0</v>
      </c>
      <c r="AH58" s="19">
        <v>0.0</v>
      </c>
      <c r="AI58" s="19">
        <v>1.0</v>
      </c>
      <c r="AJ58" s="19">
        <v>1.0</v>
      </c>
      <c r="AK58" s="19">
        <v>0.0</v>
      </c>
      <c r="AL58" s="19">
        <v>0.0</v>
      </c>
      <c r="AM58" s="19">
        <v>0.0</v>
      </c>
      <c r="AN58" s="19">
        <v>0.0</v>
      </c>
      <c r="AO58" s="19">
        <v>0.0</v>
      </c>
      <c r="AP58" s="19">
        <v>0.0</v>
      </c>
      <c r="AQ58" s="19">
        <v>0.0</v>
      </c>
      <c r="AR58" s="13">
        <f t="shared" si="16"/>
        <v>20</v>
      </c>
    </row>
    <row r="59" ht="12.75" customHeight="1">
      <c r="A59" s="18"/>
      <c r="B59" s="55">
        <v>4.0</v>
      </c>
      <c r="C59" s="50" t="s">
        <v>52</v>
      </c>
      <c r="D59" s="56"/>
      <c r="E59" s="19">
        <v>3.0</v>
      </c>
      <c r="F59" s="19">
        <v>3.0</v>
      </c>
      <c r="G59" s="19">
        <v>3.0</v>
      </c>
      <c r="H59" s="19">
        <v>3.0</v>
      </c>
      <c r="I59" s="19">
        <v>2.0</v>
      </c>
      <c r="J59" s="19">
        <v>0.0</v>
      </c>
      <c r="K59" s="19">
        <v>4.0</v>
      </c>
      <c r="L59" s="19">
        <v>2.0</v>
      </c>
      <c r="M59" s="19">
        <v>2.0</v>
      </c>
      <c r="N59" s="19">
        <v>2.0</v>
      </c>
      <c r="O59" s="19">
        <v>1.0</v>
      </c>
      <c r="P59" s="19">
        <v>1.0</v>
      </c>
      <c r="Q59" s="19">
        <v>3.0</v>
      </c>
      <c r="R59" s="19">
        <v>0.0</v>
      </c>
      <c r="S59" s="19">
        <v>3.0</v>
      </c>
      <c r="T59" s="19">
        <v>0.0</v>
      </c>
      <c r="U59" s="19">
        <v>4.0</v>
      </c>
      <c r="V59" s="19">
        <v>0.0</v>
      </c>
      <c r="W59" s="19">
        <v>1.0</v>
      </c>
      <c r="X59" s="19">
        <v>2.0</v>
      </c>
      <c r="Y59" s="19">
        <v>2.0</v>
      </c>
      <c r="Z59" s="19">
        <v>1.0</v>
      </c>
      <c r="AA59" s="19">
        <v>2.0</v>
      </c>
      <c r="AB59" s="19">
        <v>1.0</v>
      </c>
      <c r="AC59" s="19">
        <v>1.0</v>
      </c>
      <c r="AD59" s="19">
        <v>0.0</v>
      </c>
      <c r="AE59" s="19">
        <v>1.0</v>
      </c>
      <c r="AF59" s="19">
        <v>0.0</v>
      </c>
      <c r="AG59" s="19">
        <v>0.0</v>
      </c>
      <c r="AH59" s="19">
        <v>1.0</v>
      </c>
      <c r="AI59" s="19">
        <v>2.0</v>
      </c>
      <c r="AJ59" s="19">
        <v>0.0</v>
      </c>
      <c r="AK59" s="19">
        <v>0.0</v>
      </c>
      <c r="AL59" s="19">
        <v>0.0</v>
      </c>
      <c r="AM59" s="19">
        <v>0.0</v>
      </c>
      <c r="AN59" s="19">
        <v>1.0</v>
      </c>
      <c r="AO59" s="19">
        <v>0.0</v>
      </c>
      <c r="AP59" s="19">
        <v>0.0</v>
      </c>
      <c r="AQ59" s="19">
        <v>0.0</v>
      </c>
      <c r="AR59" s="13">
        <f t="shared" si="16"/>
        <v>51</v>
      </c>
    </row>
    <row r="60" ht="12.75" customHeight="1">
      <c r="A60" s="18"/>
      <c r="B60" s="55">
        <v>5.0</v>
      </c>
      <c r="C60" s="50" t="s">
        <v>53</v>
      </c>
      <c r="D60" s="56"/>
      <c r="E60" s="19">
        <v>0.0</v>
      </c>
      <c r="F60" s="19">
        <v>2.0</v>
      </c>
      <c r="G60" s="19">
        <v>1.0</v>
      </c>
      <c r="H60" s="19">
        <v>1.0</v>
      </c>
      <c r="I60" s="19">
        <v>0.0</v>
      </c>
      <c r="J60" s="19">
        <v>0.0</v>
      </c>
      <c r="K60" s="19">
        <v>0.0</v>
      </c>
      <c r="L60" s="19">
        <v>1.0</v>
      </c>
      <c r="M60" s="19">
        <v>0.0</v>
      </c>
      <c r="N60" s="19">
        <v>0.0</v>
      </c>
      <c r="O60" s="19">
        <v>0.0</v>
      </c>
      <c r="P60" s="19">
        <v>0.0</v>
      </c>
      <c r="Q60" s="19">
        <v>0.0</v>
      </c>
      <c r="R60" s="19">
        <v>0.0</v>
      </c>
      <c r="S60" s="19">
        <v>1.0</v>
      </c>
      <c r="T60" s="19">
        <v>1.0</v>
      </c>
      <c r="U60" s="19">
        <v>3.0</v>
      </c>
      <c r="V60" s="19">
        <v>1.0</v>
      </c>
      <c r="W60" s="19">
        <v>0.0</v>
      </c>
      <c r="X60" s="19">
        <v>1.0</v>
      </c>
      <c r="Y60" s="19">
        <v>0.0</v>
      </c>
      <c r="Z60" s="19">
        <v>0.0</v>
      </c>
      <c r="AA60" s="19">
        <v>0.0</v>
      </c>
      <c r="AB60" s="19">
        <v>1.0</v>
      </c>
      <c r="AC60" s="19">
        <v>0.0</v>
      </c>
      <c r="AD60" s="19">
        <v>0.0</v>
      </c>
      <c r="AE60" s="19">
        <v>0.0</v>
      </c>
      <c r="AF60" s="19">
        <v>0.0</v>
      </c>
      <c r="AG60" s="19">
        <v>0.0</v>
      </c>
      <c r="AH60" s="19">
        <v>0.0</v>
      </c>
      <c r="AI60" s="19">
        <v>0.0</v>
      </c>
      <c r="AJ60" s="19">
        <v>0.0</v>
      </c>
      <c r="AK60" s="19">
        <v>0.0</v>
      </c>
      <c r="AL60" s="19">
        <v>1.0</v>
      </c>
      <c r="AM60" s="19">
        <v>0.0</v>
      </c>
      <c r="AN60" s="19">
        <v>0.0</v>
      </c>
      <c r="AO60" s="19">
        <v>0.0</v>
      </c>
      <c r="AP60" s="19">
        <v>0.0</v>
      </c>
      <c r="AQ60" s="19">
        <v>1.0</v>
      </c>
      <c r="AR60" s="13">
        <f t="shared" si="16"/>
        <v>15</v>
      </c>
    </row>
    <row r="61" ht="12.75" customHeight="1">
      <c r="A61" s="18"/>
      <c r="B61" s="55">
        <v>6.0</v>
      </c>
      <c r="C61" s="50" t="s">
        <v>54</v>
      </c>
      <c r="D61" s="57"/>
      <c r="E61" s="19">
        <v>0.0</v>
      </c>
      <c r="F61" s="19">
        <v>1.0</v>
      </c>
      <c r="G61" s="19">
        <v>2.0</v>
      </c>
      <c r="H61" s="19">
        <v>2.0</v>
      </c>
      <c r="I61" s="19">
        <v>2.0</v>
      </c>
      <c r="J61" s="19">
        <v>0.0</v>
      </c>
      <c r="K61" s="19">
        <v>3.0</v>
      </c>
      <c r="L61" s="19">
        <v>1.0</v>
      </c>
      <c r="M61" s="19">
        <v>1.0</v>
      </c>
      <c r="N61" s="19">
        <v>1.0</v>
      </c>
      <c r="O61" s="19">
        <v>2.0</v>
      </c>
      <c r="P61" s="19">
        <v>0.0</v>
      </c>
      <c r="Q61" s="19">
        <v>1.0</v>
      </c>
      <c r="R61" s="19">
        <v>1.0</v>
      </c>
      <c r="S61" s="19">
        <v>1.0</v>
      </c>
      <c r="T61" s="19">
        <v>1.0</v>
      </c>
      <c r="U61" s="19">
        <v>1.0</v>
      </c>
      <c r="V61" s="19">
        <v>0.0</v>
      </c>
      <c r="W61" s="19">
        <v>1.0</v>
      </c>
      <c r="X61" s="19">
        <v>1.0</v>
      </c>
      <c r="Y61" s="19">
        <v>0.0</v>
      </c>
      <c r="Z61" s="19">
        <v>0.0</v>
      </c>
      <c r="AA61" s="19">
        <v>1.0</v>
      </c>
      <c r="AB61" s="19">
        <v>0.0</v>
      </c>
      <c r="AC61" s="19">
        <v>0.0</v>
      </c>
      <c r="AD61" s="19">
        <v>0.0</v>
      </c>
      <c r="AE61" s="19">
        <v>0.0</v>
      </c>
      <c r="AF61" s="19">
        <v>0.0</v>
      </c>
      <c r="AG61" s="19">
        <v>1.0</v>
      </c>
      <c r="AH61" s="19">
        <v>0.0</v>
      </c>
      <c r="AI61" s="19">
        <v>0.0</v>
      </c>
      <c r="AJ61" s="19">
        <v>0.0</v>
      </c>
      <c r="AK61" s="19">
        <v>0.0</v>
      </c>
      <c r="AL61" s="19">
        <v>1.0</v>
      </c>
      <c r="AM61" s="19">
        <v>1.0</v>
      </c>
      <c r="AN61" s="19">
        <v>1.0</v>
      </c>
      <c r="AO61" s="19">
        <v>0.0</v>
      </c>
      <c r="AP61" s="19">
        <v>1.0</v>
      </c>
      <c r="AQ61" s="19">
        <v>0.0</v>
      </c>
      <c r="AR61" s="13">
        <f t="shared" si="16"/>
        <v>28</v>
      </c>
    </row>
    <row r="62" ht="12.75" customHeight="1">
      <c r="A62" s="18"/>
      <c r="B62" s="55">
        <v>7.0</v>
      </c>
      <c r="C62" s="50" t="s">
        <v>55</v>
      </c>
      <c r="D62" s="56"/>
      <c r="E62" s="19">
        <v>1.0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2.0</v>
      </c>
      <c r="L62" s="19">
        <v>0.0</v>
      </c>
      <c r="M62" s="19">
        <v>0.0</v>
      </c>
      <c r="N62" s="19">
        <v>0.0</v>
      </c>
      <c r="O62" s="19">
        <v>1.0</v>
      </c>
      <c r="P62" s="19">
        <v>0.0</v>
      </c>
      <c r="Q62" s="19">
        <v>0.0</v>
      </c>
      <c r="R62" s="19">
        <v>0.0</v>
      </c>
      <c r="S62" s="19">
        <v>2.0</v>
      </c>
      <c r="T62" s="19">
        <v>0.0</v>
      </c>
      <c r="U62" s="19">
        <v>0.0</v>
      </c>
      <c r="V62" s="19">
        <v>0.0</v>
      </c>
      <c r="W62" s="19">
        <v>0.0</v>
      </c>
      <c r="X62" s="19">
        <v>1.0</v>
      </c>
      <c r="Y62" s="19">
        <v>0.0</v>
      </c>
      <c r="Z62" s="19">
        <v>0.0</v>
      </c>
      <c r="AA62" s="19">
        <v>0.0</v>
      </c>
      <c r="AB62" s="19">
        <v>0.0</v>
      </c>
      <c r="AC62" s="19">
        <v>0.0</v>
      </c>
      <c r="AD62" s="19">
        <v>0.0</v>
      </c>
      <c r="AE62" s="19">
        <v>0.0</v>
      </c>
      <c r="AF62" s="19">
        <v>0.0</v>
      </c>
      <c r="AG62" s="19">
        <v>0.0</v>
      </c>
      <c r="AH62" s="19">
        <v>0.0</v>
      </c>
      <c r="AI62" s="19">
        <v>1.0</v>
      </c>
      <c r="AJ62" s="19">
        <v>0.0</v>
      </c>
      <c r="AK62" s="19">
        <v>0.0</v>
      </c>
      <c r="AL62" s="19">
        <v>0.0</v>
      </c>
      <c r="AM62" s="19">
        <v>0.0</v>
      </c>
      <c r="AN62" s="19">
        <v>0.0</v>
      </c>
      <c r="AO62" s="19">
        <v>0.0</v>
      </c>
      <c r="AP62" s="19">
        <v>0.0</v>
      </c>
      <c r="AQ62" s="19">
        <v>0.0</v>
      </c>
      <c r="AR62" s="13">
        <f t="shared" si="16"/>
        <v>8</v>
      </c>
    </row>
    <row r="63" ht="12.75" customHeight="1">
      <c r="A63" s="19" t="s">
        <v>15</v>
      </c>
      <c r="B63" s="47" t="s">
        <v>47</v>
      </c>
      <c r="C63" s="15"/>
      <c r="D63" s="16"/>
      <c r="E63" s="13">
        <f t="shared" ref="E63:AR63" si="17">SUM(E55:E62)</f>
        <v>47</v>
      </c>
      <c r="F63" s="13">
        <f t="shared" si="17"/>
        <v>49</v>
      </c>
      <c r="G63" s="13">
        <f t="shared" si="17"/>
        <v>44</v>
      </c>
      <c r="H63" s="13">
        <f t="shared" si="17"/>
        <v>43</v>
      </c>
      <c r="I63" s="13">
        <f t="shared" si="17"/>
        <v>34</v>
      </c>
      <c r="J63" s="13">
        <f t="shared" si="17"/>
        <v>13</v>
      </c>
      <c r="K63" s="13">
        <f t="shared" si="17"/>
        <v>51</v>
      </c>
      <c r="L63" s="13">
        <f t="shared" si="17"/>
        <v>50</v>
      </c>
      <c r="M63" s="13">
        <f t="shared" si="17"/>
        <v>41</v>
      </c>
      <c r="N63" s="13">
        <f t="shared" si="17"/>
        <v>41</v>
      </c>
      <c r="O63" s="13">
        <f t="shared" si="17"/>
        <v>34</v>
      </c>
      <c r="P63" s="13">
        <f t="shared" si="17"/>
        <v>30</v>
      </c>
      <c r="Q63" s="13">
        <f t="shared" si="17"/>
        <v>52</v>
      </c>
      <c r="R63" s="13">
        <f t="shared" si="17"/>
        <v>42</v>
      </c>
      <c r="S63" s="13">
        <f t="shared" si="17"/>
        <v>51</v>
      </c>
      <c r="T63" s="13">
        <f t="shared" si="17"/>
        <v>19</v>
      </c>
      <c r="U63" s="13">
        <f t="shared" si="17"/>
        <v>53</v>
      </c>
      <c r="V63" s="13">
        <f t="shared" si="17"/>
        <v>32</v>
      </c>
      <c r="W63" s="13">
        <f t="shared" si="17"/>
        <v>38</v>
      </c>
      <c r="X63" s="13">
        <f t="shared" si="17"/>
        <v>38</v>
      </c>
      <c r="Y63" s="13">
        <f t="shared" si="17"/>
        <v>32</v>
      </c>
      <c r="Z63" s="13">
        <f t="shared" si="17"/>
        <v>19</v>
      </c>
      <c r="AA63" s="13">
        <f t="shared" si="17"/>
        <v>18</v>
      </c>
      <c r="AB63" s="13">
        <f t="shared" si="17"/>
        <v>37</v>
      </c>
      <c r="AC63" s="13">
        <f t="shared" si="17"/>
        <v>13</v>
      </c>
      <c r="AD63" s="13">
        <f t="shared" si="17"/>
        <v>13</v>
      </c>
      <c r="AE63" s="13">
        <f t="shared" si="17"/>
        <v>20</v>
      </c>
      <c r="AF63" s="13">
        <f t="shared" si="17"/>
        <v>8</v>
      </c>
      <c r="AG63" s="13">
        <f t="shared" si="17"/>
        <v>13</v>
      </c>
      <c r="AH63" s="13">
        <f t="shared" si="17"/>
        <v>22</v>
      </c>
      <c r="AI63" s="13">
        <f t="shared" si="17"/>
        <v>20</v>
      </c>
      <c r="AJ63" s="13">
        <f t="shared" si="17"/>
        <v>28</v>
      </c>
      <c r="AK63" s="13">
        <f t="shared" si="17"/>
        <v>14</v>
      </c>
      <c r="AL63" s="13">
        <f t="shared" si="17"/>
        <v>23</v>
      </c>
      <c r="AM63" s="13">
        <f t="shared" si="17"/>
        <v>22</v>
      </c>
      <c r="AN63" s="13">
        <f t="shared" si="17"/>
        <v>5</v>
      </c>
      <c r="AO63" s="13">
        <f t="shared" si="17"/>
        <v>11</v>
      </c>
      <c r="AP63" s="13">
        <f t="shared" si="17"/>
        <v>20</v>
      </c>
      <c r="AQ63" s="13">
        <f t="shared" si="17"/>
        <v>13</v>
      </c>
      <c r="AR63" s="13">
        <f t="shared" si="17"/>
        <v>1153</v>
      </c>
    </row>
    <row r="64" ht="12.75" customHeight="1">
      <c r="A64" s="45"/>
      <c r="B64" s="44"/>
      <c r="C64" s="44"/>
      <c r="D64" s="44"/>
      <c r="E64" s="44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9.0</v>
      </c>
      <c r="F65" s="19">
        <v>8.0</v>
      </c>
      <c r="G65" s="19">
        <v>3.0</v>
      </c>
      <c r="H65" s="19">
        <v>5.0</v>
      </c>
      <c r="I65" s="19">
        <v>7.0</v>
      </c>
      <c r="J65" s="19">
        <v>3.0</v>
      </c>
      <c r="K65" s="19">
        <v>6.0</v>
      </c>
      <c r="L65" s="19">
        <v>0.0</v>
      </c>
      <c r="M65" s="19">
        <v>4.0</v>
      </c>
      <c r="N65" s="19">
        <v>6.0</v>
      </c>
      <c r="O65" s="19">
        <v>2.0</v>
      </c>
      <c r="P65" s="19">
        <v>1.0</v>
      </c>
      <c r="Q65" s="19">
        <v>1.0</v>
      </c>
      <c r="R65" s="19">
        <v>5.0</v>
      </c>
      <c r="S65" s="19">
        <v>5.0</v>
      </c>
      <c r="T65" s="19">
        <v>3.0</v>
      </c>
      <c r="U65" s="19">
        <v>5.0</v>
      </c>
      <c r="V65" s="19">
        <v>6.0</v>
      </c>
      <c r="W65" s="19">
        <v>2.0</v>
      </c>
      <c r="X65" s="19">
        <v>2.0</v>
      </c>
      <c r="Y65" s="19">
        <v>16.0</v>
      </c>
      <c r="Z65" s="19">
        <v>3.0</v>
      </c>
      <c r="AA65" s="19">
        <v>8.0</v>
      </c>
      <c r="AB65" s="19">
        <v>9.0</v>
      </c>
      <c r="AC65" s="19">
        <v>5.0</v>
      </c>
      <c r="AD65" s="19">
        <v>1.0</v>
      </c>
      <c r="AE65" s="19">
        <v>6.0</v>
      </c>
      <c r="AF65" s="19">
        <v>11.0</v>
      </c>
      <c r="AG65" s="19">
        <v>1.0</v>
      </c>
      <c r="AH65" s="19">
        <v>14.0</v>
      </c>
      <c r="AI65" s="19">
        <v>14.0</v>
      </c>
      <c r="AJ65" s="19">
        <v>8.0</v>
      </c>
      <c r="AK65" s="19">
        <v>10.0</v>
      </c>
      <c r="AL65" s="19">
        <v>5.0</v>
      </c>
      <c r="AM65" s="19">
        <v>15.0</v>
      </c>
      <c r="AN65" s="19">
        <v>11.0</v>
      </c>
      <c r="AO65" s="19">
        <v>10.0</v>
      </c>
      <c r="AP65" s="19">
        <v>6.0</v>
      </c>
      <c r="AQ65" s="19">
        <v>0.0</v>
      </c>
      <c r="AR65" s="13">
        <f t="shared" ref="AR65:AR72" si="18">SUM(E65:AQ65)</f>
        <v>236</v>
      </c>
    </row>
    <row r="66" ht="12.75" customHeight="1">
      <c r="A66" s="30" t="s">
        <v>39</v>
      </c>
      <c r="B66" s="55">
        <v>1.0</v>
      </c>
      <c r="C66" s="50" t="s">
        <v>57</v>
      </c>
      <c r="D66" s="57"/>
      <c r="E66" s="19">
        <v>26.0</v>
      </c>
      <c r="F66" s="19">
        <v>8.0</v>
      </c>
      <c r="G66" s="19">
        <v>10.0</v>
      </c>
      <c r="H66" s="19">
        <v>4.0</v>
      </c>
      <c r="I66" s="19">
        <v>9.0</v>
      </c>
      <c r="J66" s="19">
        <v>2.0</v>
      </c>
      <c r="K66" s="19">
        <v>9.0</v>
      </c>
      <c r="L66" s="19">
        <v>12.0</v>
      </c>
      <c r="M66" s="19">
        <v>9.0</v>
      </c>
      <c r="N66" s="19">
        <v>3.0</v>
      </c>
      <c r="O66" s="19">
        <v>1.0</v>
      </c>
      <c r="P66" s="19">
        <v>5.0</v>
      </c>
      <c r="Q66" s="19">
        <v>4.0</v>
      </c>
      <c r="R66" s="19">
        <v>2.0</v>
      </c>
      <c r="S66" s="19">
        <v>8.0</v>
      </c>
      <c r="T66" s="19">
        <v>5.0</v>
      </c>
      <c r="U66" s="19">
        <v>4.0</v>
      </c>
      <c r="V66" s="19">
        <v>12.0</v>
      </c>
      <c r="W66" s="19">
        <v>3.0</v>
      </c>
      <c r="X66" s="19">
        <v>11.0</v>
      </c>
      <c r="Y66" s="19">
        <v>26.0</v>
      </c>
      <c r="Z66" s="19">
        <v>54.0</v>
      </c>
      <c r="AA66" s="19">
        <v>7.0</v>
      </c>
      <c r="AB66" s="19">
        <v>12.0</v>
      </c>
      <c r="AC66" s="19">
        <v>54.0</v>
      </c>
      <c r="AD66" s="19">
        <v>8.0</v>
      </c>
      <c r="AE66" s="19">
        <v>7.0</v>
      </c>
      <c r="AF66" s="19">
        <v>9.0</v>
      </c>
      <c r="AG66" s="19">
        <v>6.0</v>
      </c>
      <c r="AH66" s="19">
        <v>15.0</v>
      </c>
      <c r="AI66" s="19">
        <v>32.0</v>
      </c>
      <c r="AJ66" s="19">
        <v>21.0</v>
      </c>
      <c r="AK66" s="19">
        <v>13.0</v>
      </c>
      <c r="AL66" s="19">
        <v>28.0</v>
      </c>
      <c r="AM66" s="19">
        <v>26.0</v>
      </c>
      <c r="AN66" s="19">
        <v>14.0</v>
      </c>
      <c r="AO66" s="19">
        <v>10.0</v>
      </c>
      <c r="AP66" s="19">
        <v>16.0</v>
      </c>
      <c r="AQ66" s="19">
        <v>7.0</v>
      </c>
      <c r="AR66" s="13">
        <f t="shared" si="18"/>
        <v>512</v>
      </c>
    </row>
    <row r="67" ht="12.75" customHeight="1">
      <c r="A67" s="18"/>
      <c r="B67" s="55">
        <v>2.0</v>
      </c>
      <c r="C67" s="50" t="s">
        <v>58</v>
      </c>
      <c r="D67" s="57"/>
      <c r="E67" s="19">
        <v>2.0</v>
      </c>
      <c r="F67" s="19">
        <v>2.0</v>
      </c>
      <c r="G67" s="19">
        <v>11.0</v>
      </c>
      <c r="H67" s="19">
        <v>11.0</v>
      </c>
      <c r="I67" s="19">
        <v>17.0</v>
      </c>
      <c r="J67" s="19">
        <v>4.0</v>
      </c>
      <c r="K67" s="19">
        <v>2.0</v>
      </c>
      <c r="L67" s="19">
        <v>2.0</v>
      </c>
      <c r="M67" s="19">
        <v>6.0</v>
      </c>
      <c r="N67" s="19">
        <v>14.0</v>
      </c>
      <c r="O67" s="19">
        <v>27.0</v>
      </c>
      <c r="P67" s="19">
        <v>7.0</v>
      </c>
      <c r="Q67" s="19">
        <v>6.0</v>
      </c>
      <c r="R67" s="19">
        <v>5.0</v>
      </c>
      <c r="S67" s="19">
        <v>10.0</v>
      </c>
      <c r="T67" s="19">
        <v>0.0</v>
      </c>
      <c r="U67" s="19">
        <v>6.0</v>
      </c>
      <c r="V67" s="19">
        <v>7.0</v>
      </c>
      <c r="W67" s="19">
        <v>3.0</v>
      </c>
      <c r="X67" s="19">
        <v>8.0</v>
      </c>
      <c r="Y67" s="19">
        <v>16.0</v>
      </c>
      <c r="Z67" s="19">
        <v>24.0</v>
      </c>
      <c r="AA67" s="19">
        <v>17.0</v>
      </c>
      <c r="AB67" s="19">
        <v>23.0</v>
      </c>
      <c r="AC67" s="19">
        <v>24.0</v>
      </c>
      <c r="AD67" s="19">
        <v>22.0</v>
      </c>
      <c r="AE67" s="19">
        <v>4.0</v>
      </c>
      <c r="AF67" s="19">
        <v>23.0</v>
      </c>
      <c r="AG67" s="19">
        <v>16.0</v>
      </c>
      <c r="AH67" s="19">
        <v>32.0</v>
      </c>
      <c r="AI67" s="19">
        <v>13.0</v>
      </c>
      <c r="AJ67" s="19">
        <v>20.0</v>
      </c>
      <c r="AK67" s="19">
        <v>25.0</v>
      </c>
      <c r="AL67" s="19">
        <v>11.0</v>
      </c>
      <c r="AM67" s="19">
        <v>4.0</v>
      </c>
      <c r="AN67" s="19">
        <v>10.0</v>
      </c>
      <c r="AO67" s="19">
        <v>17.0</v>
      </c>
      <c r="AP67" s="19">
        <v>19.0</v>
      </c>
      <c r="AQ67" s="19">
        <v>3.0</v>
      </c>
      <c r="AR67" s="13">
        <f t="shared" si="18"/>
        <v>473</v>
      </c>
    </row>
    <row r="68" ht="12.75" customHeight="1">
      <c r="A68" s="18"/>
      <c r="B68" s="55">
        <v>3.0</v>
      </c>
      <c r="C68" s="50" t="s">
        <v>59</v>
      </c>
      <c r="D68" s="57"/>
      <c r="E68" s="19">
        <v>0.0</v>
      </c>
      <c r="F68" s="19">
        <v>2.0</v>
      </c>
      <c r="G68" s="19">
        <v>1.0</v>
      </c>
      <c r="H68" s="19">
        <v>1.0</v>
      </c>
      <c r="I68" s="19">
        <v>8.0</v>
      </c>
      <c r="J68" s="19">
        <v>3.0</v>
      </c>
      <c r="K68" s="19">
        <v>2.0</v>
      </c>
      <c r="L68" s="19">
        <v>2.0</v>
      </c>
      <c r="M68" s="19">
        <v>3.0</v>
      </c>
      <c r="N68" s="19">
        <v>3.0</v>
      </c>
      <c r="O68" s="19">
        <v>0.0</v>
      </c>
      <c r="P68" s="19">
        <v>0.0</v>
      </c>
      <c r="Q68" s="19">
        <v>0.0</v>
      </c>
      <c r="R68" s="19">
        <v>1.0</v>
      </c>
      <c r="S68" s="19">
        <v>2.0</v>
      </c>
      <c r="T68" s="19">
        <v>2.0</v>
      </c>
      <c r="U68" s="19">
        <v>3.0</v>
      </c>
      <c r="V68" s="19">
        <v>2.0</v>
      </c>
      <c r="W68" s="19">
        <v>1.0</v>
      </c>
      <c r="X68" s="19">
        <v>4.0</v>
      </c>
      <c r="Y68" s="19">
        <v>2.0</v>
      </c>
      <c r="Z68" s="19">
        <v>1.0</v>
      </c>
      <c r="AA68" s="19">
        <v>0.0</v>
      </c>
      <c r="AB68" s="19">
        <v>1.0</v>
      </c>
      <c r="AC68" s="19">
        <v>2.0</v>
      </c>
      <c r="AD68" s="19">
        <v>3.0</v>
      </c>
      <c r="AE68" s="19">
        <v>3.0</v>
      </c>
      <c r="AF68" s="19">
        <v>4.0</v>
      </c>
      <c r="AG68" s="19">
        <v>1.0</v>
      </c>
      <c r="AH68" s="19">
        <v>1.0</v>
      </c>
      <c r="AI68" s="19">
        <v>2.0</v>
      </c>
      <c r="AJ68" s="19">
        <v>2.0</v>
      </c>
      <c r="AK68" s="19">
        <v>2.0</v>
      </c>
      <c r="AL68" s="19">
        <v>5.0</v>
      </c>
      <c r="AM68" s="19">
        <v>1.0</v>
      </c>
      <c r="AN68" s="19">
        <v>1.0</v>
      </c>
      <c r="AO68" s="19">
        <v>1.0</v>
      </c>
      <c r="AP68" s="19">
        <v>0.0</v>
      </c>
      <c r="AQ68" s="19">
        <v>1.0</v>
      </c>
      <c r="AR68" s="13">
        <f t="shared" si="18"/>
        <v>73</v>
      </c>
    </row>
    <row r="69" ht="12.75" customHeight="1">
      <c r="A69" s="18"/>
      <c r="B69" s="55">
        <v>4.0</v>
      </c>
      <c r="C69" s="50" t="s">
        <v>60</v>
      </c>
      <c r="D69" s="57"/>
      <c r="E69" s="19">
        <v>1.0</v>
      </c>
      <c r="F69" s="19">
        <v>1.0</v>
      </c>
      <c r="G69" s="19">
        <v>0.0</v>
      </c>
      <c r="H69" s="19">
        <v>0.0</v>
      </c>
      <c r="I69" s="19">
        <v>1.0</v>
      </c>
      <c r="J69" s="19">
        <v>0.0</v>
      </c>
      <c r="K69" s="19">
        <v>0.0</v>
      </c>
      <c r="L69" s="19">
        <v>1.0</v>
      </c>
      <c r="M69" s="19">
        <v>0.0</v>
      </c>
      <c r="N69" s="19">
        <v>0.0</v>
      </c>
      <c r="O69" s="19">
        <v>3.0</v>
      </c>
      <c r="P69" s="19">
        <v>0.0</v>
      </c>
      <c r="Q69" s="19">
        <v>0.0</v>
      </c>
      <c r="R69" s="19">
        <v>0.0</v>
      </c>
      <c r="S69" s="19">
        <v>0.0</v>
      </c>
      <c r="T69" s="19">
        <v>0.0</v>
      </c>
      <c r="U69" s="19">
        <v>0.0</v>
      </c>
      <c r="V69" s="19">
        <v>1.0</v>
      </c>
      <c r="W69" s="19">
        <v>1.0</v>
      </c>
      <c r="X69" s="19">
        <v>1.0</v>
      </c>
      <c r="Y69" s="19">
        <v>2.0</v>
      </c>
      <c r="Z69" s="19">
        <v>2.0</v>
      </c>
      <c r="AA69" s="19">
        <v>0.0</v>
      </c>
      <c r="AB69" s="19">
        <v>2.0</v>
      </c>
      <c r="AC69" s="19">
        <v>0.0</v>
      </c>
      <c r="AD69" s="19">
        <v>0.0</v>
      </c>
      <c r="AE69" s="19">
        <v>0.0</v>
      </c>
      <c r="AF69" s="19">
        <v>0.0</v>
      </c>
      <c r="AG69" s="19">
        <v>0.0</v>
      </c>
      <c r="AH69" s="19">
        <v>1.0</v>
      </c>
      <c r="AI69" s="19">
        <v>0.0</v>
      </c>
      <c r="AJ69" s="19">
        <v>2.0</v>
      </c>
      <c r="AK69" s="19">
        <v>1.0</v>
      </c>
      <c r="AL69" s="19">
        <v>1.0</v>
      </c>
      <c r="AM69" s="19">
        <v>2.0</v>
      </c>
      <c r="AN69" s="19">
        <v>0.0</v>
      </c>
      <c r="AO69" s="19">
        <v>2.0</v>
      </c>
      <c r="AP69" s="19">
        <v>1.0</v>
      </c>
      <c r="AQ69" s="19">
        <v>0.0</v>
      </c>
      <c r="AR69" s="13">
        <f t="shared" si="18"/>
        <v>26</v>
      </c>
    </row>
    <row r="70" ht="12.75" customHeight="1">
      <c r="A70" s="18"/>
      <c r="B70" s="55">
        <v>5.0</v>
      </c>
      <c r="C70" s="50" t="s">
        <v>61</v>
      </c>
      <c r="D70" s="57"/>
      <c r="E70" s="19">
        <v>8.0</v>
      </c>
      <c r="F70" s="19">
        <v>7.0</v>
      </c>
      <c r="G70" s="19">
        <v>8.0</v>
      </c>
      <c r="H70" s="19">
        <v>14.0</v>
      </c>
      <c r="I70" s="19">
        <v>6.0</v>
      </c>
      <c r="J70" s="19">
        <v>3.0</v>
      </c>
      <c r="K70" s="19">
        <v>7.0</v>
      </c>
      <c r="L70" s="19">
        <v>1.0</v>
      </c>
      <c r="M70" s="19">
        <v>5.0</v>
      </c>
      <c r="N70" s="19">
        <v>1.0</v>
      </c>
      <c r="O70" s="19">
        <v>7.0</v>
      </c>
      <c r="P70" s="19">
        <v>3.0</v>
      </c>
      <c r="Q70" s="19">
        <v>3.0</v>
      </c>
      <c r="R70" s="19">
        <v>12.0</v>
      </c>
      <c r="S70" s="19">
        <v>8.0</v>
      </c>
      <c r="T70" s="19">
        <v>4.0</v>
      </c>
      <c r="U70" s="19">
        <v>1.0</v>
      </c>
      <c r="V70" s="19">
        <v>3.0</v>
      </c>
      <c r="W70" s="19">
        <v>2.0</v>
      </c>
      <c r="X70" s="19">
        <v>2.0</v>
      </c>
      <c r="Y70" s="19">
        <v>0.0</v>
      </c>
      <c r="Z70" s="19">
        <v>0.0</v>
      </c>
      <c r="AA70" s="19">
        <v>3.0</v>
      </c>
      <c r="AB70" s="19">
        <v>0.0</v>
      </c>
      <c r="AC70" s="19">
        <v>1.0</v>
      </c>
      <c r="AD70" s="19">
        <v>0.0</v>
      </c>
      <c r="AE70" s="19">
        <v>3.0</v>
      </c>
      <c r="AF70" s="19">
        <v>1.0</v>
      </c>
      <c r="AG70" s="19">
        <v>1.0</v>
      </c>
      <c r="AH70" s="19">
        <v>0.0</v>
      </c>
      <c r="AI70" s="19">
        <v>2.0</v>
      </c>
      <c r="AJ70" s="19">
        <v>2.0</v>
      </c>
      <c r="AK70" s="19">
        <v>1.0</v>
      </c>
      <c r="AL70" s="19">
        <v>1.0</v>
      </c>
      <c r="AM70" s="19">
        <v>3.0</v>
      </c>
      <c r="AN70" s="19">
        <v>2.0</v>
      </c>
      <c r="AO70" s="19">
        <v>1.0</v>
      </c>
      <c r="AP70" s="19">
        <v>0.0</v>
      </c>
      <c r="AQ70" s="19">
        <v>0.0</v>
      </c>
      <c r="AR70" s="13">
        <f t="shared" si="18"/>
        <v>126</v>
      </c>
    </row>
    <row r="71" ht="12.75" customHeight="1">
      <c r="A71" s="18"/>
      <c r="B71" s="55">
        <v>6.0</v>
      </c>
      <c r="C71" s="50" t="s">
        <v>62</v>
      </c>
      <c r="D71" s="57"/>
      <c r="E71" s="19">
        <v>0.0</v>
      </c>
      <c r="F71" s="19">
        <v>0.0</v>
      </c>
      <c r="G71" s="19">
        <v>0.0</v>
      </c>
      <c r="H71" s="19">
        <v>0.0</v>
      </c>
      <c r="I71" s="19">
        <v>0.0</v>
      </c>
      <c r="J71" s="19">
        <v>0.0</v>
      </c>
      <c r="K71" s="19">
        <v>0.0</v>
      </c>
      <c r="L71" s="19">
        <v>0.0</v>
      </c>
      <c r="M71" s="19">
        <v>0.0</v>
      </c>
      <c r="N71" s="19">
        <v>0.0</v>
      </c>
      <c r="O71" s="19">
        <v>0.0</v>
      </c>
      <c r="P71" s="19">
        <v>0.0</v>
      </c>
      <c r="Q71" s="19">
        <v>0.0</v>
      </c>
      <c r="R71" s="19">
        <v>0.0</v>
      </c>
      <c r="S71" s="19">
        <v>0.0</v>
      </c>
      <c r="T71" s="19">
        <v>0.0</v>
      </c>
      <c r="U71" s="19">
        <v>0.0</v>
      </c>
      <c r="V71" s="19">
        <v>1.0</v>
      </c>
      <c r="W71" s="19">
        <v>0.0</v>
      </c>
      <c r="X71" s="19">
        <v>0.0</v>
      </c>
      <c r="Y71" s="19">
        <v>0.0</v>
      </c>
      <c r="Z71" s="19">
        <v>0.0</v>
      </c>
      <c r="AA71" s="19">
        <v>1.0</v>
      </c>
      <c r="AB71" s="19">
        <v>0.0</v>
      </c>
      <c r="AC71" s="19">
        <v>1.0</v>
      </c>
      <c r="AD71" s="19">
        <v>0.0</v>
      </c>
      <c r="AE71" s="19">
        <v>0.0</v>
      </c>
      <c r="AF71" s="19">
        <v>0.0</v>
      </c>
      <c r="AG71" s="19">
        <v>0.0</v>
      </c>
      <c r="AH71" s="19">
        <v>0.0</v>
      </c>
      <c r="AI71" s="19">
        <v>0.0</v>
      </c>
      <c r="AJ71" s="19">
        <v>0.0</v>
      </c>
      <c r="AK71" s="19">
        <v>0.0</v>
      </c>
      <c r="AL71" s="19">
        <v>0.0</v>
      </c>
      <c r="AM71" s="19">
        <v>0.0</v>
      </c>
      <c r="AN71" s="19">
        <v>2.0</v>
      </c>
      <c r="AO71" s="19">
        <v>0.0</v>
      </c>
      <c r="AP71" s="19">
        <v>0.0</v>
      </c>
      <c r="AQ71" s="19">
        <v>0.0</v>
      </c>
      <c r="AR71" s="13">
        <f t="shared" si="18"/>
        <v>5</v>
      </c>
    </row>
    <row r="72" ht="12.75" customHeight="1">
      <c r="A72" s="18"/>
      <c r="B72" s="55">
        <v>7.0</v>
      </c>
      <c r="C72" s="50" t="s">
        <v>63</v>
      </c>
      <c r="D72" s="57"/>
      <c r="E72" s="19">
        <v>1.0</v>
      </c>
      <c r="F72" s="19">
        <v>0.0</v>
      </c>
      <c r="G72" s="19">
        <v>1.0</v>
      </c>
      <c r="H72" s="19">
        <v>2.0</v>
      </c>
      <c r="I72" s="19">
        <v>2.0</v>
      </c>
      <c r="J72" s="19">
        <v>0.0</v>
      </c>
      <c r="K72" s="19">
        <v>0.0</v>
      </c>
      <c r="L72" s="19">
        <v>0.0</v>
      </c>
      <c r="M72" s="19">
        <v>0.0</v>
      </c>
      <c r="N72" s="19">
        <v>0.0</v>
      </c>
      <c r="O72" s="19">
        <v>0.0</v>
      </c>
      <c r="P72" s="19">
        <v>0.0</v>
      </c>
      <c r="Q72" s="19">
        <v>0.0</v>
      </c>
      <c r="R72" s="19">
        <v>1.0</v>
      </c>
      <c r="S72" s="19">
        <v>0.0</v>
      </c>
      <c r="T72" s="19">
        <v>0.0</v>
      </c>
      <c r="U72" s="19">
        <v>0.0</v>
      </c>
      <c r="V72" s="19">
        <v>6.0</v>
      </c>
      <c r="W72" s="19">
        <v>5.0</v>
      </c>
      <c r="X72" s="19">
        <v>1.0</v>
      </c>
      <c r="Y72" s="19">
        <v>1.0</v>
      </c>
      <c r="Z72" s="19">
        <v>2.0</v>
      </c>
      <c r="AA72" s="19">
        <v>2.0</v>
      </c>
      <c r="AB72" s="19">
        <v>14.0</v>
      </c>
      <c r="AC72" s="19">
        <v>13.0</v>
      </c>
      <c r="AD72" s="19">
        <v>1.0</v>
      </c>
      <c r="AE72" s="19">
        <v>0.0</v>
      </c>
      <c r="AF72" s="19">
        <v>0.0</v>
      </c>
      <c r="AG72" s="19">
        <v>1.0</v>
      </c>
      <c r="AH72" s="19">
        <v>0.0</v>
      </c>
      <c r="AI72" s="19">
        <v>5.0</v>
      </c>
      <c r="AJ72" s="19">
        <v>12.0</v>
      </c>
      <c r="AK72" s="19">
        <v>3.0</v>
      </c>
      <c r="AL72" s="19">
        <v>1.0</v>
      </c>
      <c r="AM72" s="19">
        <v>3.0</v>
      </c>
      <c r="AN72" s="19">
        <v>37.0</v>
      </c>
      <c r="AO72" s="19">
        <v>0.0</v>
      </c>
      <c r="AP72" s="19">
        <v>2.0</v>
      </c>
      <c r="AQ72" s="19">
        <v>140.0</v>
      </c>
      <c r="AR72" s="13">
        <f t="shared" si="18"/>
        <v>256</v>
      </c>
    </row>
    <row r="73" ht="12.75" customHeight="1">
      <c r="A73" s="19" t="s">
        <v>15</v>
      </c>
      <c r="B73" s="47" t="s">
        <v>47</v>
      </c>
      <c r="C73" s="15"/>
      <c r="D73" s="16"/>
      <c r="E73" s="13">
        <f t="shared" ref="E73:AR73" si="19">SUM(E65:E72)</f>
        <v>47</v>
      </c>
      <c r="F73" s="13">
        <f t="shared" si="19"/>
        <v>28</v>
      </c>
      <c r="G73" s="13">
        <f t="shared" si="19"/>
        <v>34</v>
      </c>
      <c r="H73" s="13">
        <f t="shared" si="19"/>
        <v>37</v>
      </c>
      <c r="I73" s="13">
        <f t="shared" si="19"/>
        <v>50</v>
      </c>
      <c r="J73" s="13">
        <f t="shared" si="19"/>
        <v>15</v>
      </c>
      <c r="K73" s="13">
        <f t="shared" si="19"/>
        <v>26</v>
      </c>
      <c r="L73" s="13">
        <f t="shared" si="19"/>
        <v>18</v>
      </c>
      <c r="M73" s="13">
        <f t="shared" si="19"/>
        <v>27</v>
      </c>
      <c r="N73" s="13">
        <f t="shared" si="19"/>
        <v>27</v>
      </c>
      <c r="O73" s="13">
        <f t="shared" si="19"/>
        <v>40</v>
      </c>
      <c r="P73" s="13">
        <f t="shared" si="19"/>
        <v>16</v>
      </c>
      <c r="Q73" s="13">
        <f t="shared" si="19"/>
        <v>14</v>
      </c>
      <c r="R73" s="13">
        <f t="shared" si="19"/>
        <v>26</v>
      </c>
      <c r="S73" s="13">
        <f t="shared" si="19"/>
        <v>33</v>
      </c>
      <c r="T73" s="13">
        <f t="shared" si="19"/>
        <v>14</v>
      </c>
      <c r="U73" s="13">
        <f t="shared" si="19"/>
        <v>19</v>
      </c>
      <c r="V73" s="13">
        <f t="shared" si="19"/>
        <v>38</v>
      </c>
      <c r="W73" s="13">
        <f t="shared" si="19"/>
        <v>17</v>
      </c>
      <c r="X73" s="13">
        <f t="shared" si="19"/>
        <v>29</v>
      </c>
      <c r="Y73" s="13">
        <f t="shared" si="19"/>
        <v>63</v>
      </c>
      <c r="Z73" s="13">
        <f t="shared" si="19"/>
        <v>86</v>
      </c>
      <c r="AA73" s="13">
        <f t="shared" si="19"/>
        <v>38</v>
      </c>
      <c r="AB73" s="13">
        <f t="shared" si="19"/>
        <v>61</v>
      </c>
      <c r="AC73" s="13">
        <f t="shared" si="19"/>
        <v>100</v>
      </c>
      <c r="AD73" s="13">
        <f t="shared" si="19"/>
        <v>35</v>
      </c>
      <c r="AE73" s="13">
        <f t="shared" si="19"/>
        <v>23</v>
      </c>
      <c r="AF73" s="13">
        <f t="shared" si="19"/>
        <v>48</v>
      </c>
      <c r="AG73" s="13">
        <f t="shared" si="19"/>
        <v>26</v>
      </c>
      <c r="AH73" s="13">
        <f t="shared" si="19"/>
        <v>63</v>
      </c>
      <c r="AI73" s="13">
        <f t="shared" si="19"/>
        <v>68</v>
      </c>
      <c r="AJ73" s="13">
        <f t="shared" si="19"/>
        <v>67</v>
      </c>
      <c r="AK73" s="13">
        <f t="shared" si="19"/>
        <v>55</v>
      </c>
      <c r="AL73" s="13">
        <f t="shared" si="19"/>
        <v>52</v>
      </c>
      <c r="AM73" s="13">
        <f t="shared" si="19"/>
        <v>54</v>
      </c>
      <c r="AN73" s="13">
        <f t="shared" si="19"/>
        <v>77</v>
      </c>
      <c r="AO73" s="13">
        <f t="shared" si="19"/>
        <v>41</v>
      </c>
      <c r="AP73" s="13">
        <f t="shared" si="19"/>
        <v>44</v>
      </c>
      <c r="AQ73" s="13">
        <f t="shared" si="19"/>
        <v>151</v>
      </c>
      <c r="AR73" s="13">
        <f t="shared" si="19"/>
        <v>1707</v>
      </c>
    </row>
    <row r="74" ht="12.75" customHeight="1">
      <c r="A74" s="45"/>
      <c r="B74" s="44"/>
      <c r="C74" s="44"/>
      <c r="D74" s="44"/>
      <c r="E74" s="44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16.0</v>
      </c>
      <c r="F75" s="19">
        <v>4.0</v>
      </c>
      <c r="G75" s="19">
        <v>1.0</v>
      </c>
      <c r="H75" s="19">
        <v>2.0</v>
      </c>
      <c r="I75" s="19">
        <v>8.0</v>
      </c>
      <c r="J75" s="19">
        <v>13.0</v>
      </c>
      <c r="K75" s="19">
        <v>3.0</v>
      </c>
      <c r="L75" s="19">
        <v>1.0</v>
      </c>
      <c r="M75" s="19">
        <v>2.0</v>
      </c>
      <c r="N75" s="19">
        <v>1.0</v>
      </c>
      <c r="O75" s="19">
        <v>2.0</v>
      </c>
      <c r="P75" s="19">
        <v>4.0</v>
      </c>
      <c r="Q75" s="19">
        <v>7.0</v>
      </c>
      <c r="R75" s="19">
        <v>12.0</v>
      </c>
      <c r="S75" s="19">
        <v>4.0</v>
      </c>
      <c r="T75" s="19">
        <v>17.0</v>
      </c>
      <c r="U75" s="19">
        <v>8.0</v>
      </c>
      <c r="V75" s="19">
        <v>16.0</v>
      </c>
      <c r="W75" s="19">
        <v>1.0</v>
      </c>
      <c r="X75" s="19">
        <v>16.0</v>
      </c>
      <c r="Y75" s="19">
        <v>0.0</v>
      </c>
      <c r="Z75" s="19">
        <v>0.0</v>
      </c>
      <c r="AA75" s="19">
        <v>9.0</v>
      </c>
      <c r="AB75" s="19">
        <v>4.0</v>
      </c>
      <c r="AC75" s="19">
        <v>6.0</v>
      </c>
      <c r="AD75" s="19">
        <v>1.0</v>
      </c>
      <c r="AE75" s="19">
        <v>6.0</v>
      </c>
      <c r="AF75" s="19">
        <v>1.0</v>
      </c>
      <c r="AG75" s="19">
        <v>6.0</v>
      </c>
      <c r="AH75" s="19">
        <v>5.0</v>
      </c>
      <c r="AI75" s="19">
        <v>9.0</v>
      </c>
      <c r="AJ75" s="19">
        <v>7.0</v>
      </c>
      <c r="AK75" s="19">
        <v>5.0</v>
      </c>
      <c r="AL75" s="19">
        <v>1.0</v>
      </c>
      <c r="AM75" s="19">
        <v>0.0</v>
      </c>
      <c r="AN75" s="19">
        <v>2.0</v>
      </c>
      <c r="AO75" s="19">
        <v>3.0</v>
      </c>
      <c r="AP75" s="19">
        <v>0.0</v>
      </c>
      <c r="AQ75" s="19">
        <v>0.0</v>
      </c>
      <c r="AR75" s="13">
        <f t="shared" ref="AR75:AR82" si="20">SUM(E75:AQ75)</f>
        <v>203</v>
      </c>
    </row>
    <row r="76" ht="12.75" customHeight="1">
      <c r="A76" s="30" t="s">
        <v>39</v>
      </c>
      <c r="B76" s="55">
        <v>1.0</v>
      </c>
      <c r="C76" s="50" t="s">
        <v>65</v>
      </c>
      <c r="D76" s="57"/>
      <c r="E76" s="19">
        <v>11.0</v>
      </c>
      <c r="F76" s="19">
        <v>4.0</v>
      </c>
      <c r="G76" s="19">
        <v>6.0</v>
      </c>
      <c r="H76" s="19">
        <v>5.0</v>
      </c>
      <c r="I76" s="19">
        <v>16.0</v>
      </c>
      <c r="J76" s="19">
        <v>93.0</v>
      </c>
      <c r="K76" s="19">
        <v>2.0</v>
      </c>
      <c r="L76" s="19">
        <v>2.0</v>
      </c>
      <c r="M76" s="19">
        <v>4.0</v>
      </c>
      <c r="N76" s="19">
        <v>1.0</v>
      </c>
      <c r="O76" s="19">
        <v>7.0</v>
      </c>
      <c r="P76" s="19">
        <v>0.0</v>
      </c>
      <c r="Q76" s="19">
        <v>4.0</v>
      </c>
      <c r="R76" s="19">
        <v>55.0</v>
      </c>
      <c r="S76" s="19">
        <v>4.0</v>
      </c>
      <c r="T76" s="19">
        <v>30.0</v>
      </c>
      <c r="U76" s="19">
        <v>17.0</v>
      </c>
      <c r="V76" s="19">
        <v>104.0</v>
      </c>
      <c r="W76" s="19">
        <v>79.0</v>
      </c>
      <c r="X76" s="19">
        <v>25.0</v>
      </c>
      <c r="Y76" s="19">
        <v>0.0</v>
      </c>
      <c r="Z76" s="19">
        <v>4.0</v>
      </c>
      <c r="AA76" s="19">
        <v>13.0</v>
      </c>
      <c r="AB76" s="19">
        <v>21.0</v>
      </c>
      <c r="AC76" s="19">
        <v>4.0</v>
      </c>
      <c r="AD76" s="19">
        <v>1.0</v>
      </c>
      <c r="AE76" s="19">
        <v>4.0</v>
      </c>
      <c r="AF76" s="19">
        <v>5.0</v>
      </c>
      <c r="AG76" s="19">
        <v>35.0</v>
      </c>
      <c r="AH76" s="19">
        <v>14.0</v>
      </c>
      <c r="AI76" s="19">
        <v>29.0</v>
      </c>
      <c r="AJ76" s="19">
        <v>11.0</v>
      </c>
      <c r="AK76" s="19">
        <v>9.0</v>
      </c>
      <c r="AL76" s="19">
        <v>10.0</v>
      </c>
      <c r="AM76" s="19">
        <v>8.0</v>
      </c>
      <c r="AN76" s="19">
        <v>41.0</v>
      </c>
      <c r="AO76" s="19">
        <v>1.0</v>
      </c>
      <c r="AP76" s="19">
        <v>5.0</v>
      </c>
      <c r="AQ76" s="19">
        <v>1.0</v>
      </c>
      <c r="AR76" s="13">
        <f t="shared" si="20"/>
        <v>685</v>
      </c>
    </row>
    <row r="77" ht="12.75" customHeight="1">
      <c r="A77" s="18"/>
      <c r="B77" s="55">
        <v>2.0</v>
      </c>
      <c r="C77" s="50" t="s">
        <v>66</v>
      </c>
      <c r="D77" s="57"/>
      <c r="E77" s="19">
        <v>3.0</v>
      </c>
      <c r="F77" s="19">
        <v>1.0</v>
      </c>
      <c r="G77" s="19">
        <v>0.0</v>
      </c>
      <c r="H77" s="19">
        <v>6.0</v>
      </c>
      <c r="I77" s="19">
        <v>11.0</v>
      </c>
      <c r="J77" s="19">
        <v>1.0</v>
      </c>
      <c r="K77" s="19">
        <v>1.0</v>
      </c>
      <c r="L77" s="19">
        <v>0.0</v>
      </c>
      <c r="M77" s="19">
        <v>1.0</v>
      </c>
      <c r="N77" s="19">
        <v>0.0</v>
      </c>
      <c r="O77" s="19">
        <v>1.0</v>
      </c>
      <c r="P77" s="19">
        <v>0.0</v>
      </c>
      <c r="Q77" s="19">
        <v>2.0</v>
      </c>
      <c r="R77" s="19">
        <v>2.0</v>
      </c>
      <c r="S77" s="19">
        <v>5.0</v>
      </c>
      <c r="T77" s="19">
        <v>3.0</v>
      </c>
      <c r="U77" s="19">
        <v>3.0</v>
      </c>
      <c r="V77" s="19">
        <v>0.0</v>
      </c>
      <c r="W77" s="19">
        <v>4.0</v>
      </c>
      <c r="X77" s="19">
        <v>0.0</v>
      </c>
      <c r="Y77" s="19">
        <v>2.0</v>
      </c>
      <c r="Z77" s="19">
        <v>0.0</v>
      </c>
      <c r="AA77" s="19">
        <v>1.0</v>
      </c>
      <c r="AB77" s="19">
        <v>4.0</v>
      </c>
      <c r="AC77" s="19">
        <v>1.0</v>
      </c>
      <c r="AD77" s="19">
        <v>1.0</v>
      </c>
      <c r="AE77" s="19">
        <v>8.0</v>
      </c>
      <c r="AF77" s="19">
        <v>0.0</v>
      </c>
      <c r="AG77" s="19">
        <v>2.0</v>
      </c>
      <c r="AH77" s="19">
        <v>3.0</v>
      </c>
      <c r="AI77" s="19">
        <v>5.0</v>
      </c>
      <c r="AJ77" s="19">
        <v>3.0</v>
      </c>
      <c r="AK77" s="19">
        <v>7.0</v>
      </c>
      <c r="AL77" s="19">
        <v>0.0</v>
      </c>
      <c r="AM77" s="19">
        <v>4.0</v>
      </c>
      <c r="AN77" s="19">
        <v>1.0</v>
      </c>
      <c r="AO77" s="19">
        <v>0.0</v>
      </c>
      <c r="AP77" s="19">
        <v>1.0</v>
      </c>
      <c r="AQ77" s="19">
        <v>0.0</v>
      </c>
      <c r="AR77" s="13">
        <f t="shared" si="20"/>
        <v>87</v>
      </c>
    </row>
    <row r="78" ht="12.75" customHeight="1">
      <c r="A78" s="18"/>
      <c r="B78" s="55">
        <v>3.0</v>
      </c>
      <c r="C78" s="50" t="s">
        <v>67</v>
      </c>
      <c r="D78" s="57"/>
      <c r="E78" s="19">
        <v>0.0</v>
      </c>
      <c r="F78" s="19">
        <v>1.0</v>
      </c>
      <c r="G78" s="19">
        <v>0.0</v>
      </c>
      <c r="H78" s="19">
        <v>1.0</v>
      </c>
      <c r="I78" s="19">
        <v>1.0</v>
      </c>
      <c r="J78" s="19">
        <v>2.0</v>
      </c>
      <c r="K78" s="19">
        <v>1.0</v>
      </c>
      <c r="L78" s="19">
        <v>0.0</v>
      </c>
      <c r="M78" s="19">
        <v>0.0</v>
      </c>
      <c r="N78" s="19">
        <v>0.0</v>
      </c>
      <c r="O78" s="19">
        <v>0.0</v>
      </c>
      <c r="P78" s="19">
        <v>0.0</v>
      </c>
      <c r="Q78" s="19">
        <v>1.0</v>
      </c>
      <c r="R78" s="19">
        <v>1.0</v>
      </c>
      <c r="S78" s="19">
        <v>1.0</v>
      </c>
      <c r="T78" s="19">
        <v>1.0</v>
      </c>
      <c r="U78" s="19">
        <v>1.0</v>
      </c>
      <c r="V78" s="19">
        <v>0.0</v>
      </c>
      <c r="W78" s="19">
        <v>0.0</v>
      </c>
      <c r="X78" s="19">
        <v>2.0</v>
      </c>
      <c r="Y78" s="19">
        <v>1.0</v>
      </c>
      <c r="Z78" s="19">
        <v>0.0</v>
      </c>
      <c r="AA78" s="19">
        <v>0.0</v>
      </c>
      <c r="AB78" s="19">
        <v>2.0</v>
      </c>
      <c r="AC78" s="19">
        <v>2.0</v>
      </c>
      <c r="AD78" s="19">
        <v>0.0</v>
      </c>
      <c r="AE78" s="19">
        <v>1.0</v>
      </c>
      <c r="AF78" s="19">
        <v>0.0</v>
      </c>
      <c r="AG78" s="19">
        <v>0.0</v>
      </c>
      <c r="AH78" s="19">
        <v>0.0</v>
      </c>
      <c r="AI78" s="19">
        <v>1.0</v>
      </c>
      <c r="AJ78" s="19">
        <v>0.0</v>
      </c>
      <c r="AK78" s="19">
        <v>0.0</v>
      </c>
      <c r="AL78" s="19">
        <v>0.0</v>
      </c>
      <c r="AM78" s="19">
        <v>2.0</v>
      </c>
      <c r="AN78" s="19">
        <v>0.0</v>
      </c>
      <c r="AO78" s="19">
        <v>0.0</v>
      </c>
      <c r="AP78" s="19">
        <v>0.0</v>
      </c>
      <c r="AQ78" s="19">
        <v>0.0</v>
      </c>
      <c r="AR78" s="13">
        <f t="shared" si="20"/>
        <v>22</v>
      </c>
    </row>
    <row r="79" ht="12.75" customHeight="1">
      <c r="A79" s="18"/>
      <c r="B79" s="55">
        <v>4.0</v>
      </c>
      <c r="C79" s="50" t="s">
        <v>68</v>
      </c>
      <c r="D79" s="57"/>
      <c r="E79" s="19">
        <v>3.0</v>
      </c>
      <c r="F79" s="19">
        <v>2.0</v>
      </c>
      <c r="G79" s="19">
        <v>1.0</v>
      </c>
      <c r="H79" s="19">
        <v>0.0</v>
      </c>
      <c r="I79" s="19">
        <v>1.0</v>
      </c>
      <c r="J79" s="19">
        <v>2.0</v>
      </c>
      <c r="K79" s="19">
        <v>1.0</v>
      </c>
      <c r="L79" s="19">
        <v>7.0</v>
      </c>
      <c r="M79" s="19">
        <v>0.0</v>
      </c>
      <c r="N79" s="19">
        <v>1.0</v>
      </c>
      <c r="O79" s="19">
        <v>1.0</v>
      </c>
      <c r="P79" s="19">
        <v>0.0</v>
      </c>
      <c r="Q79" s="19">
        <v>0.0</v>
      </c>
      <c r="R79" s="19">
        <v>1.0</v>
      </c>
      <c r="S79" s="19">
        <v>0.0</v>
      </c>
      <c r="T79" s="19">
        <v>0.0</v>
      </c>
      <c r="U79" s="19">
        <v>0.0</v>
      </c>
      <c r="V79" s="19">
        <v>0.0</v>
      </c>
      <c r="W79" s="19">
        <v>0.0</v>
      </c>
      <c r="X79" s="19">
        <v>0.0</v>
      </c>
      <c r="Y79" s="19">
        <v>0.0</v>
      </c>
      <c r="Z79" s="19">
        <v>0.0</v>
      </c>
      <c r="AA79" s="19">
        <v>1.0</v>
      </c>
      <c r="AB79" s="19">
        <v>0.0</v>
      </c>
      <c r="AC79" s="19">
        <v>0.0</v>
      </c>
      <c r="AD79" s="19">
        <v>0.0</v>
      </c>
      <c r="AE79" s="19">
        <v>0.0</v>
      </c>
      <c r="AF79" s="19">
        <v>0.0</v>
      </c>
      <c r="AG79" s="19">
        <v>0.0</v>
      </c>
      <c r="AH79" s="19">
        <v>0.0</v>
      </c>
      <c r="AI79" s="19">
        <v>0.0</v>
      </c>
      <c r="AJ79" s="19">
        <v>1.0</v>
      </c>
      <c r="AK79" s="19">
        <v>0.0</v>
      </c>
      <c r="AL79" s="19">
        <v>0.0</v>
      </c>
      <c r="AM79" s="19">
        <v>0.0</v>
      </c>
      <c r="AN79" s="19">
        <v>0.0</v>
      </c>
      <c r="AO79" s="19">
        <v>1.0</v>
      </c>
      <c r="AP79" s="19">
        <v>0.0</v>
      </c>
      <c r="AQ79" s="19">
        <v>0.0</v>
      </c>
      <c r="AR79" s="13">
        <f t="shared" si="20"/>
        <v>23</v>
      </c>
    </row>
    <row r="80" ht="12.75" customHeight="1">
      <c r="A80" s="18"/>
      <c r="B80" s="55">
        <v>5.0</v>
      </c>
      <c r="C80" s="50" t="s">
        <v>69</v>
      </c>
      <c r="D80" s="57"/>
      <c r="E80" s="19">
        <v>30.0</v>
      </c>
      <c r="F80" s="19">
        <v>0.0</v>
      </c>
      <c r="G80" s="19">
        <v>0.0</v>
      </c>
      <c r="H80" s="19">
        <v>1.0</v>
      </c>
      <c r="I80" s="19">
        <v>0.0</v>
      </c>
      <c r="J80" s="19">
        <v>0.0</v>
      </c>
      <c r="K80" s="19">
        <v>1.0</v>
      </c>
      <c r="L80" s="19">
        <v>2.0</v>
      </c>
      <c r="M80" s="19">
        <v>0.0</v>
      </c>
      <c r="N80" s="19">
        <v>0.0</v>
      </c>
      <c r="O80" s="19">
        <v>1.0</v>
      </c>
      <c r="P80" s="19">
        <v>1.0</v>
      </c>
      <c r="Q80" s="19">
        <v>0.0</v>
      </c>
      <c r="R80" s="19">
        <v>0.0</v>
      </c>
      <c r="S80" s="19">
        <v>3.0</v>
      </c>
      <c r="T80" s="19">
        <v>1.0</v>
      </c>
      <c r="U80" s="19">
        <v>2.0</v>
      </c>
      <c r="V80" s="19">
        <v>1.0</v>
      </c>
      <c r="W80" s="19">
        <v>1.0</v>
      </c>
      <c r="X80" s="19">
        <v>1.0</v>
      </c>
      <c r="Y80" s="19">
        <v>0.0</v>
      </c>
      <c r="Z80" s="19">
        <v>1.0</v>
      </c>
      <c r="AA80" s="19">
        <v>1.0</v>
      </c>
      <c r="AB80" s="19">
        <v>1.0</v>
      </c>
      <c r="AC80" s="19">
        <v>0.0</v>
      </c>
      <c r="AD80" s="19">
        <v>1.0</v>
      </c>
      <c r="AE80" s="19">
        <v>0.0</v>
      </c>
      <c r="AF80" s="19">
        <v>1.0</v>
      </c>
      <c r="AG80" s="19">
        <v>2.0</v>
      </c>
      <c r="AH80" s="19">
        <v>15.0</v>
      </c>
      <c r="AI80" s="19">
        <v>0.0</v>
      </c>
      <c r="AJ80" s="19">
        <v>0.0</v>
      </c>
      <c r="AK80" s="19">
        <v>0.0</v>
      </c>
      <c r="AL80" s="19">
        <v>0.0</v>
      </c>
      <c r="AM80" s="19">
        <v>0.0</v>
      </c>
      <c r="AN80" s="19">
        <v>0.0</v>
      </c>
      <c r="AO80" s="19">
        <v>0.0</v>
      </c>
      <c r="AP80" s="19">
        <v>0.0</v>
      </c>
      <c r="AQ80" s="19">
        <v>0.0</v>
      </c>
      <c r="AR80" s="13">
        <f t="shared" si="20"/>
        <v>67</v>
      </c>
    </row>
    <row r="81" ht="12.75" customHeight="1">
      <c r="A81" s="18"/>
      <c r="B81" s="55">
        <v>6.0</v>
      </c>
      <c r="C81" s="50" t="s">
        <v>70</v>
      </c>
      <c r="D81" s="57"/>
      <c r="E81" s="19">
        <v>1.0</v>
      </c>
      <c r="F81" s="19">
        <v>0.0</v>
      </c>
      <c r="G81" s="19">
        <v>0.0</v>
      </c>
      <c r="H81" s="19">
        <v>1.0</v>
      </c>
      <c r="I81" s="19">
        <v>0.0</v>
      </c>
      <c r="J81" s="19">
        <v>0.0</v>
      </c>
      <c r="K81" s="19">
        <v>0.0</v>
      </c>
      <c r="L81" s="19">
        <v>0.0</v>
      </c>
      <c r="M81" s="19">
        <v>0.0</v>
      </c>
      <c r="N81" s="19">
        <v>0.0</v>
      </c>
      <c r="O81" s="19">
        <v>0.0</v>
      </c>
      <c r="P81" s="19">
        <v>0.0</v>
      </c>
      <c r="Q81" s="19">
        <v>0.0</v>
      </c>
      <c r="R81" s="19">
        <v>0.0</v>
      </c>
      <c r="S81" s="19">
        <v>0.0</v>
      </c>
      <c r="T81" s="19">
        <v>1.0</v>
      </c>
      <c r="U81" s="19">
        <v>0.0</v>
      </c>
      <c r="V81" s="19">
        <v>0.0</v>
      </c>
      <c r="W81" s="19">
        <v>1.0</v>
      </c>
      <c r="X81" s="19">
        <v>0.0</v>
      </c>
      <c r="Y81" s="19">
        <v>0.0</v>
      </c>
      <c r="Z81" s="19">
        <v>0.0</v>
      </c>
      <c r="AA81" s="19">
        <v>0.0</v>
      </c>
      <c r="AB81" s="19">
        <v>0.0</v>
      </c>
      <c r="AC81" s="19">
        <v>1.0</v>
      </c>
      <c r="AD81" s="19">
        <v>0.0</v>
      </c>
      <c r="AE81" s="19">
        <v>0.0</v>
      </c>
      <c r="AF81" s="19">
        <v>0.0</v>
      </c>
      <c r="AG81" s="19">
        <v>0.0</v>
      </c>
      <c r="AH81" s="19">
        <v>0.0</v>
      </c>
      <c r="AI81" s="19">
        <v>0.0</v>
      </c>
      <c r="AJ81" s="19">
        <v>0.0</v>
      </c>
      <c r="AK81" s="19">
        <v>0.0</v>
      </c>
      <c r="AL81" s="19">
        <v>0.0</v>
      </c>
      <c r="AM81" s="19">
        <v>0.0</v>
      </c>
      <c r="AN81" s="19">
        <v>0.0</v>
      </c>
      <c r="AO81" s="19">
        <v>0.0</v>
      </c>
      <c r="AP81" s="19">
        <v>0.0</v>
      </c>
      <c r="AQ81" s="19">
        <v>0.0</v>
      </c>
      <c r="AR81" s="13">
        <f t="shared" si="20"/>
        <v>5</v>
      </c>
    </row>
    <row r="82" ht="12.75" customHeight="1">
      <c r="A82" s="18"/>
      <c r="B82" s="55">
        <v>7.0</v>
      </c>
      <c r="C82" s="50" t="s">
        <v>71</v>
      </c>
      <c r="D82" s="57"/>
      <c r="E82" s="19">
        <v>0.0</v>
      </c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19">
        <v>0.0</v>
      </c>
      <c r="L82" s="19">
        <v>0.0</v>
      </c>
      <c r="M82" s="19">
        <v>0.0</v>
      </c>
      <c r="N82" s="19">
        <v>0.0</v>
      </c>
      <c r="O82" s="19">
        <v>0.0</v>
      </c>
      <c r="P82" s="19">
        <v>0.0</v>
      </c>
      <c r="Q82" s="19">
        <v>0.0</v>
      </c>
      <c r="R82" s="19">
        <v>0.0</v>
      </c>
      <c r="S82" s="19">
        <v>0.0</v>
      </c>
      <c r="T82" s="19">
        <v>0.0</v>
      </c>
      <c r="U82" s="19">
        <v>0.0</v>
      </c>
      <c r="V82" s="19">
        <v>0.0</v>
      </c>
      <c r="W82" s="19">
        <v>0.0</v>
      </c>
      <c r="X82" s="19">
        <v>1.0</v>
      </c>
      <c r="Y82" s="19">
        <v>0.0</v>
      </c>
      <c r="Z82" s="19">
        <v>0.0</v>
      </c>
      <c r="AA82" s="19">
        <v>0.0</v>
      </c>
      <c r="AB82" s="19">
        <v>0.0</v>
      </c>
      <c r="AC82" s="19">
        <v>0.0</v>
      </c>
      <c r="AD82" s="19">
        <v>0.0</v>
      </c>
      <c r="AE82" s="19">
        <v>0.0</v>
      </c>
      <c r="AF82" s="19">
        <v>0.0</v>
      </c>
      <c r="AG82" s="19">
        <v>0.0</v>
      </c>
      <c r="AH82" s="19">
        <v>0.0</v>
      </c>
      <c r="AI82" s="19">
        <v>0.0</v>
      </c>
      <c r="AJ82" s="19">
        <v>0.0</v>
      </c>
      <c r="AK82" s="19">
        <v>0.0</v>
      </c>
      <c r="AL82" s="19">
        <v>1.0</v>
      </c>
      <c r="AM82" s="19">
        <v>0.0</v>
      </c>
      <c r="AN82" s="19">
        <v>0.0</v>
      </c>
      <c r="AO82" s="19">
        <v>0.0</v>
      </c>
      <c r="AP82" s="19">
        <v>0.0</v>
      </c>
      <c r="AQ82" s="19">
        <v>0.0</v>
      </c>
      <c r="AR82" s="13">
        <f t="shared" si="20"/>
        <v>2</v>
      </c>
    </row>
    <row r="83" ht="12.75" customHeight="1">
      <c r="A83" s="19" t="s">
        <v>15</v>
      </c>
      <c r="B83" s="47" t="s">
        <v>47</v>
      </c>
      <c r="C83" s="15"/>
      <c r="D83" s="16"/>
      <c r="E83" s="13">
        <f t="shared" ref="E83:AR83" si="21">SUM(E75:E82)</f>
        <v>64</v>
      </c>
      <c r="F83" s="13">
        <f t="shared" si="21"/>
        <v>12</v>
      </c>
      <c r="G83" s="13">
        <f t="shared" si="21"/>
        <v>8</v>
      </c>
      <c r="H83" s="13">
        <f t="shared" si="21"/>
        <v>16</v>
      </c>
      <c r="I83" s="13">
        <f t="shared" si="21"/>
        <v>37</v>
      </c>
      <c r="J83" s="13">
        <f t="shared" si="21"/>
        <v>111</v>
      </c>
      <c r="K83" s="13">
        <f t="shared" si="21"/>
        <v>9</v>
      </c>
      <c r="L83" s="13">
        <f t="shared" si="21"/>
        <v>12</v>
      </c>
      <c r="M83" s="13">
        <f t="shared" si="21"/>
        <v>7</v>
      </c>
      <c r="N83" s="13">
        <f t="shared" si="21"/>
        <v>3</v>
      </c>
      <c r="O83" s="13">
        <f t="shared" si="21"/>
        <v>12</v>
      </c>
      <c r="P83" s="13">
        <f t="shared" si="21"/>
        <v>5</v>
      </c>
      <c r="Q83" s="13">
        <f t="shared" si="21"/>
        <v>14</v>
      </c>
      <c r="R83" s="13">
        <f t="shared" si="21"/>
        <v>71</v>
      </c>
      <c r="S83" s="13">
        <f t="shared" si="21"/>
        <v>17</v>
      </c>
      <c r="T83" s="13">
        <f t="shared" si="21"/>
        <v>53</v>
      </c>
      <c r="U83" s="13">
        <f t="shared" si="21"/>
        <v>31</v>
      </c>
      <c r="V83" s="13">
        <f t="shared" si="21"/>
        <v>121</v>
      </c>
      <c r="W83" s="13">
        <f t="shared" si="21"/>
        <v>86</v>
      </c>
      <c r="X83" s="13">
        <f t="shared" si="21"/>
        <v>45</v>
      </c>
      <c r="Y83" s="13">
        <f t="shared" si="21"/>
        <v>3</v>
      </c>
      <c r="Z83" s="13">
        <f t="shared" si="21"/>
        <v>5</v>
      </c>
      <c r="AA83" s="13">
        <f t="shared" si="21"/>
        <v>25</v>
      </c>
      <c r="AB83" s="13">
        <f t="shared" si="21"/>
        <v>32</v>
      </c>
      <c r="AC83" s="13">
        <f t="shared" si="21"/>
        <v>14</v>
      </c>
      <c r="AD83" s="13">
        <f t="shared" si="21"/>
        <v>4</v>
      </c>
      <c r="AE83" s="13">
        <f t="shared" si="21"/>
        <v>19</v>
      </c>
      <c r="AF83" s="13">
        <f t="shared" si="21"/>
        <v>7</v>
      </c>
      <c r="AG83" s="13">
        <f t="shared" si="21"/>
        <v>45</v>
      </c>
      <c r="AH83" s="13">
        <f t="shared" si="21"/>
        <v>37</v>
      </c>
      <c r="AI83" s="13">
        <f t="shared" si="21"/>
        <v>44</v>
      </c>
      <c r="AJ83" s="13">
        <f t="shared" si="21"/>
        <v>22</v>
      </c>
      <c r="AK83" s="13">
        <f t="shared" si="21"/>
        <v>21</v>
      </c>
      <c r="AL83" s="13">
        <f t="shared" si="21"/>
        <v>12</v>
      </c>
      <c r="AM83" s="13">
        <f t="shared" si="21"/>
        <v>14</v>
      </c>
      <c r="AN83" s="13">
        <f t="shared" si="21"/>
        <v>44</v>
      </c>
      <c r="AO83" s="13">
        <f t="shared" si="21"/>
        <v>5</v>
      </c>
      <c r="AP83" s="13">
        <f t="shared" si="21"/>
        <v>6</v>
      </c>
      <c r="AQ83" s="13">
        <f t="shared" si="21"/>
        <v>1</v>
      </c>
      <c r="AR83" s="13">
        <f t="shared" si="21"/>
        <v>1094</v>
      </c>
    </row>
    <row r="84" ht="12.75" customHeight="1">
      <c r="A84" s="45"/>
      <c r="B84" s="44"/>
      <c r="C84" s="44"/>
      <c r="D84" s="44"/>
      <c r="E84" s="44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3.0</v>
      </c>
      <c r="F85" s="19">
        <v>1.0</v>
      </c>
      <c r="G85" s="19">
        <v>1.0</v>
      </c>
      <c r="H85" s="19">
        <v>0.0</v>
      </c>
      <c r="I85" s="19">
        <v>4.0</v>
      </c>
      <c r="J85" s="19">
        <v>1.0</v>
      </c>
      <c r="K85" s="19">
        <v>1.0</v>
      </c>
      <c r="L85" s="19">
        <v>1.0</v>
      </c>
      <c r="M85" s="19">
        <v>2.0</v>
      </c>
      <c r="N85" s="19">
        <v>1.0</v>
      </c>
      <c r="O85" s="19">
        <v>1.0</v>
      </c>
      <c r="P85" s="19">
        <v>1.0</v>
      </c>
      <c r="Q85" s="19">
        <v>5.0</v>
      </c>
      <c r="R85" s="19">
        <v>2.0</v>
      </c>
      <c r="S85" s="19">
        <v>5.0</v>
      </c>
      <c r="T85" s="19">
        <v>4.0</v>
      </c>
      <c r="U85" s="19">
        <v>1.0</v>
      </c>
      <c r="V85" s="19">
        <v>2.0</v>
      </c>
      <c r="W85" s="19">
        <v>6.0</v>
      </c>
      <c r="X85" s="19">
        <v>2.0</v>
      </c>
      <c r="Y85" s="19">
        <v>5.0</v>
      </c>
      <c r="Z85" s="19">
        <v>3.0</v>
      </c>
      <c r="AA85" s="19">
        <v>3.0</v>
      </c>
      <c r="AB85" s="19">
        <v>3.0</v>
      </c>
      <c r="AC85" s="19">
        <v>3.0</v>
      </c>
      <c r="AD85" s="19">
        <v>5.0</v>
      </c>
      <c r="AE85" s="19">
        <v>1.0</v>
      </c>
      <c r="AF85" s="19">
        <v>1.0</v>
      </c>
      <c r="AG85" s="19">
        <v>2.0</v>
      </c>
      <c r="AH85" s="19">
        <v>1.0</v>
      </c>
      <c r="AI85" s="19">
        <v>1.0</v>
      </c>
      <c r="AJ85" s="19">
        <v>0.0</v>
      </c>
      <c r="AK85" s="19">
        <v>4.0</v>
      </c>
      <c r="AL85" s="19">
        <v>0.0</v>
      </c>
      <c r="AM85" s="19">
        <v>2.0</v>
      </c>
      <c r="AN85" s="19">
        <v>1.0</v>
      </c>
      <c r="AO85" s="19">
        <v>1.0</v>
      </c>
      <c r="AP85" s="19">
        <v>4.0</v>
      </c>
      <c r="AQ85" s="19">
        <v>0.0</v>
      </c>
      <c r="AR85" s="13">
        <f t="shared" ref="AR85:AR92" si="22">SUM(E85:AQ85)</f>
        <v>84</v>
      </c>
    </row>
    <row r="86" ht="12.75" customHeight="1">
      <c r="A86" s="30" t="s">
        <v>39</v>
      </c>
      <c r="B86" s="55">
        <v>1.0</v>
      </c>
      <c r="C86" s="50" t="s">
        <v>74</v>
      </c>
      <c r="D86" s="57"/>
      <c r="E86" s="19">
        <v>1.0</v>
      </c>
      <c r="F86" s="19">
        <v>13.0</v>
      </c>
      <c r="G86" s="19">
        <v>1.0</v>
      </c>
      <c r="H86" s="19">
        <v>2.0</v>
      </c>
      <c r="I86" s="19">
        <v>1.0</v>
      </c>
      <c r="J86" s="19">
        <v>1.0</v>
      </c>
      <c r="K86" s="19">
        <v>11.0</v>
      </c>
      <c r="L86" s="19">
        <v>13.0</v>
      </c>
      <c r="M86" s="19">
        <v>4.0</v>
      </c>
      <c r="N86" s="19">
        <v>3.0</v>
      </c>
      <c r="O86" s="19">
        <v>10.0</v>
      </c>
      <c r="P86" s="19">
        <v>10.0</v>
      </c>
      <c r="Q86" s="19">
        <v>4.0</v>
      </c>
      <c r="R86" s="19">
        <v>1.0</v>
      </c>
      <c r="S86" s="19">
        <v>7.0</v>
      </c>
      <c r="T86" s="19">
        <v>2.0</v>
      </c>
      <c r="U86" s="19">
        <v>8.0</v>
      </c>
      <c r="V86" s="19">
        <v>4.0</v>
      </c>
      <c r="W86" s="19">
        <v>7.0</v>
      </c>
      <c r="X86" s="19">
        <v>20.0</v>
      </c>
      <c r="Y86" s="19">
        <v>20.0</v>
      </c>
      <c r="Z86" s="19">
        <v>15.0</v>
      </c>
      <c r="AA86" s="19">
        <v>3.0</v>
      </c>
      <c r="AB86" s="19">
        <v>23.0</v>
      </c>
      <c r="AC86" s="19">
        <v>21.0</v>
      </c>
      <c r="AD86" s="19">
        <v>20.0</v>
      </c>
      <c r="AE86" s="19">
        <v>12.0</v>
      </c>
      <c r="AF86" s="19">
        <v>10.0</v>
      </c>
      <c r="AG86" s="19">
        <v>4.0</v>
      </c>
      <c r="AH86" s="19">
        <v>1.0</v>
      </c>
      <c r="AI86" s="19">
        <v>4.0</v>
      </c>
      <c r="AJ86" s="19">
        <v>0.0</v>
      </c>
      <c r="AK86" s="19">
        <v>26.0</v>
      </c>
      <c r="AL86" s="19">
        <v>8.0</v>
      </c>
      <c r="AM86" s="19">
        <v>2.0</v>
      </c>
      <c r="AN86" s="19">
        <v>4.0</v>
      </c>
      <c r="AO86" s="19">
        <v>2.0</v>
      </c>
      <c r="AP86" s="19">
        <v>13.0</v>
      </c>
      <c r="AQ86" s="19">
        <v>1.0</v>
      </c>
      <c r="AR86" s="13">
        <f t="shared" si="22"/>
        <v>312</v>
      </c>
    </row>
    <row r="87" ht="12.75" customHeight="1">
      <c r="A87" s="18"/>
      <c r="B87" s="55">
        <v>2.0</v>
      </c>
      <c r="C87" s="50" t="s">
        <v>75</v>
      </c>
      <c r="D87" s="57"/>
      <c r="E87" s="19">
        <v>0.0</v>
      </c>
      <c r="F87" s="19">
        <v>0.0</v>
      </c>
      <c r="G87" s="19">
        <v>0.0</v>
      </c>
      <c r="H87" s="19">
        <v>2.0</v>
      </c>
      <c r="I87" s="19">
        <v>0.0</v>
      </c>
      <c r="J87" s="19">
        <v>0.0</v>
      </c>
      <c r="K87" s="19">
        <v>1.0</v>
      </c>
      <c r="L87" s="19">
        <v>0.0</v>
      </c>
      <c r="M87" s="19">
        <v>0.0</v>
      </c>
      <c r="N87" s="19">
        <v>0.0</v>
      </c>
      <c r="O87" s="19">
        <v>17.0</v>
      </c>
      <c r="P87" s="19">
        <v>0.0</v>
      </c>
      <c r="Q87" s="19">
        <v>0.0</v>
      </c>
      <c r="R87" s="19">
        <v>0.0</v>
      </c>
      <c r="S87" s="19">
        <v>7.0</v>
      </c>
      <c r="T87" s="19">
        <v>1.0</v>
      </c>
      <c r="U87" s="19">
        <v>0.0</v>
      </c>
      <c r="V87" s="19">
        <v>0.0</v>
      </c>
      <c r="W87" s="19">
        <v>7.0</v>
      </c>
      <c r="X87" s="19">
        <v>1.0</v>
      </c>
      <c r="Y87" s="19">
        <v>0.0</v>
      </c>
      <c r="Z87" s="19">
        <v>2.0</v>
      </c>
      <c r="AA87" s="19">
        <v>7.0</v>
      </c>
      <c r="AB87" s="19">
        <v>0.0</v>
      </c>
      <c r="AC87" s="19">
        <v>1.0</v>
      </c>
      <c r="AD87" s="19">
        <v>4.0</v>
      </c>
      <c r="AE87" s="19">
        <v>5.0</v>
      </c>
      <c r="AF87" s="19">
        <v>1.0</v>
      </c>
      <c r="AG87" s="19">
        <v>0.0</v>
      </c>
      <c r="AH87" s="19">
        <v>0.0</v>
      </c>
      <c r="AI87" s="19">
        <v>4.0</v>
      </c>
      <c r="AJ87" s="19">
        <v>0.0</v>
      </c>
      <c r="AK87" s="19">
        <v>1.0</v>
      </c>
      <c r="AL87" s="19">
        <v>0.0</v>
      </c>
      <c r="AM87" s="19">
        <v>0.0</v>
      </c>
      <c r="AN87" s="19">
        <v>0.0</v>
      </c>
      <c r="AO87" s="19">
        <v>0.0</v>
      </c>
      <c r="AP87" s="19">
        <v>4.0</v>
      </c>
      <c r="AQ87" s="19">
        <v>0.0</v>
      </c>
      <c r="AR87" s="13">
        <f t="shared" si="22"/>
        <v>65</v>
      </c>
    </row>
    <row r="88" ht="12.75" customHeight="1">
      <c r="A88" s="18"/>
      <c r="B88" s="55">
        <v>3.0</v>
      </c>
      <c r="C88" s="50" t="s">
        <v>76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3.0</v>
      </c>
      <c r="J88" s="19">
        <v>1.0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1.0</v>
      </c>
      <c r="U88" s="19">
        <v>0.0</v>
      </c>
      <c r="V88" s="19">
        <v>1.0</v>
      </c>
      <c r="W88" s="19">
        <v>0.0</v>
      </c>
      <c r="X88" s="19">
        <v>0.0</v>
      </c>
      <c r="Y88" s="19">
        <v>1.0</v>
      </c>
      <c r="Z88" s="19">
        <v>0.0</v>
      </c>
      <c r="AA88" s="19">
        <v>0.0</v>
      </c>
      <c r="AB88" s="19">
        <v>1.0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9">
        <v>0.0</v>
      </c>
      <c r="AQ88" s="19">
        <v>0.0</v>
      </c>
      <c r="AR88" s="13">
        <f t="shared" si="22"/>
        <v>8</v>
      </c>
    </row>
    <row r="89" ht="12.75" customHeight="1">
      <c r="A89" s="18"/>
      <c r="B89" s="55">
        <v>4.0</v>
      </c>
      <c r="C89" s="50" t="s">
        <v>77</v>
      </c>
      <c r="D89" s="57"/>
      <c r="E89" s="19">
        <v>0.0</v>
      </c>
      <c r="F89" s="19">
        <v>0.0</v>
      </c>
      <c r="G89" s="19">
        <v>0.0</v>
      </c>
      <c r="H89" s="19">
        <v>0.0</v>
      </c>
      <c r="I89" s="19">
        <v>0.0</v>
      </c>
      <c r="J89" s="19">
        <v>0.0</v>
      </c>
      <c r="K89" s="19">
        <v>0.0</v>
      </c>
      <c r="L89" s="19">
        <v>0.0</v>
      </c>
      <c r="M89" s="19">
        <v>0.0</v>
      </c>
      <c r="N89" s="19">
        <v>0.0</v>
      </c>
      <c r="O89" s="19">
        <v>0.0</v>
      </c>
      <c r="P89" s="19">
        <v>0.0</v>
      </c>
      <c r="Q89" s="19">
        <v>1.0</v>
      </c>
      <c r="R89" s="19">
        <v>0.0</v>
      </c>
      <c r="S89" s="19">
        <v>0.0</v>
      </c>
      <c r="T89" s="19">
        <v>0.0</v>
      </c>
      <c r="U89" s="19">
        <v>0.0</v>
      </c>
      <c r="V89" s="19">
        <v>0.0</v>
      </c>
      <c r="W89" s="19">
        <v>1.0</v>
      </c>
      <c r="X89" s="19">
        <v>0.0</v>
      </c>
      <c r="Y89" s="19">
        <v>0.0</v>
      </c>
      <c r="Z89" s="19">
        <v>0.0</v>
      </c>
      <c r="AA89" s="19">
        <v>0.0</v>
      </c>
      <c r="AB89" s="19">
        <v>0.0</v>
      </c>
      <c r="AC89" s="19">
        <v>0.0</v>
      </c>
      <c r="AD89" s="19">
        <v>0.0</v>
      </c>
      <c r="AE89" s="19">
        <v>0.0</v>
      </c>
      <c r="AF89" s="19">
        <v>0.0</v>
      </c>
      <c r="AG89" s="19">
        <v>0.0</v>
      </c>
      <c r="AH89" s="19">
        <v>1.0</v>
      </c>
      <c r="AI89" s="19">
        <v>0.0</v>
      </c>
      <c r="AJ89" s="19">
        <v>0.0</v>
      </c>
      <c r="AK89" s="19">
        <v>0.0</v>
      </c>
      <c r="AL89" s="19">
        <v>0.0</v>
      </c>
      <c r="AM89" s="19">
        <v>0.0</v>
      </c>
      <c r="AN89" s="19">
        <v>0.0</v>
      </c>
      <c r="AO89" s="19">
        <v>0.0</v>
      </c>
      <c r="AP89" s="19">
        <v>0.0</v>
      </c>
      <c r="AQ89" s="19">
        <v>0.0</v>
      </c>
      <c r="AR89" s="13">
        <f t="shared" si="22"/>
        <v>3</v>
      </c>
    </row>
    <row r="90" ht="12.75" customHeight="1">
      <c r="A90" s="18"/>
      <c r="B90" s="55">
        <v>5.0</v>
      </c>
      <c r="C90" s="50" t="s">
        <v>78</v>
      </c>
      <c r="D90" s="57"/>
      <c r="E90" s="19">
        <v>6.0</v>
      </c>
      <c r="F90" s="19">
        <v>0.0</v>
      </c>
      <c r="G90" s="19">
        <v>0.0</v>
      </c>
      <c r="H90" s="19">
        <v>1.0</v>
      </c>
      <c r="I90" s="19">
        <v>0.0</v>
      </c>
      <c r="J90" s="19">
        <v>2.0</v>
      </c>
      <c r="K90" s="19">
        <v>0.0</v>
      </c>
      <c r="L90" s="19">
        <v>0.0</v>
      </c>
      <c r="M90" s="19">
        <v>0.0</v>
      </c>
      <c r="N90" s="19">
        <v>0.0</v>
      </c>
      <c r="O90" s="19">
        <v>0.0</v>
      </c>
      <c r="P90" s="19">
        <v>1.0</v>
      </c>
      <c r="Q90" s="19">
        <v>0.0</v>
      </c>
      <c r="R90" s="19">
        <v>0.0</v>
      </c>
      <c r="S90" s="19">
        <v>0.0</v>
      </c>
      <c r="T90" s="19">
        <v>0.0</v>
      </c>
      <c r="U90" s="19">
        <v>0.0</v>
      </c>
      <c r="V90" s="19">
        <v>0.0</v>
      </c>
      <c r="W90" s="19">
        <v>0.0</v>
      </c>
      <c r="X90" s="19">
        <v>0.0</v>
      </c>
      <c r="Y90" s="19">
        <v>0.0</v>
      </c>
      <c r="Z90" s="19">
        <v>0.0</v>
      </c>
      <c r="AA90" s="19">
        <v>0.0</v>
      </c>
      <c r="AB90" s="19">
        <v>0.0</v>
      </c>
      <c r="AC90" s="19">
        <v>1.0</v>
      </c>
      <c r="AD90" s="19">
        <v>0.0</v>
      </c>
      <c r="AE90" s="19">
        <v>0.0</v>
      </c>
      <c r="AF90" s="19">
        <v>0.0</v>
      </c>
      <c r="AG90" s="19">
        <v>0.0</v>
      </c>
      <c r="AH90" s="19">
        <v>0.0</v>
      </c>
      <c r="AI90" s="19">
        <v>1.0</v>
      </c>
      <c r="AJ90" s="19">
        <v>0.0</v>
      </c>
      <c r="AK90" s="19">
        <v>2.0</v>
      </c>
      <c r="AL90" s="19">
        <v>0.0</v>
      </c>
      <c r="AM90" s="19">
        <v>0.0</v>
      </c>
      <c r="AN90" s="19">
        <v>0.0</v>
      </c>
      <c r="AO90" s="19">
        <v>0.0</v>
      </c>
      <c r="AP90" s="19">
        <v>1.0</v>
      </c>
      <c r="AQ90" s="19">
        <v>0.0</v>
      </c>
      <c r="AR90" s="13">
        <f t="shared" si="22"/>
        <v>15</v>
      </c>
    </row>
    <row r="91" ht="12.75" customHeight="1">
      <c r="A91" s="18"/>
      <c r="B91" s="55">
        <v>6.0</v>
      </c>
      <c r="C91" s="50" t="s">
        <v>79</v>
      </c>
      <c r="D91" s="57"/>
      <c r="E91" s="19">
        <v>0.0</v>
      </c>
      <c r="F91" s="19">
        <v>2.0</v>
      </c>
      <c r="G91" s="19">
        <v>0.0</v>
      </c>
      <c r="H91" s="19">
        <v>0.0</v>
      </c>
      <c r="I91" s="19">
        <v>0.0</v>
      </c>
      <c r="J91" s="19">
        <v>1.0</v>
      </c>
      <c r="K91" s="19">
        <v>0.0</v>
      </c>
      <c r="L91" s="19">
        <v>0.0</v>
      </c>
      <c r="M91" s="19">
        <v>0.0</v>
      </c>
      <c r="N91" s="19">
        <v>0.0</v>
      </c>
      <c r="O91" s="19">
        <v>0.0</v>
      </c>
      <c r="P91" s="19">
        <v>0.0</v>
      </c>
      <c r="Q91" s="19">
        <v>0.0</v>
      </c>
      <c r="R91" s="19">
        <v>0.0</v>
      </c>
      <c r="S91" s="19">
        <v>0.0</v>
      </c>
      <c r="T91" s="19">
        <v>3.0</v>
      </c>
      <c r="U91" s="19">
        <v>1.0</v>
      </c>
      <c r="V91" s="19">
        <v>0.0</v>
      </c>
      <c r="W91" s="19">
        <v>0.0</v>
      </c>
      <c r="X91" s="19">
        <v>0.0</v>
      </c>
      <c r="Y91" s="19">
        <v>1.0</v>
      </c>
      <c r="Z91" s="19">
        <v>0.0</v>
      </c>
      <c r="AA91" s="19">
        <v>1.0</v>
      </c>
      <c r="AB91" s="19">
        <v>1.0</v>
      </c>
      <c r="AC91" s="19">
        <v>0.0</v>
      </c>
      <c r="AD91" s="19">
        <v>2.0</v>
      </c>
      <c r="AE91" s="19">
        <v>0.0</v>
      </c>
      <c r="AF91" s="19">
        <v>0.0</v>
      </c>
      <c r="AG91" s="19">
        <v>0.0</v>
      </c>
      <c r="AH91" s="19">
        <v>1.0</v>
      </c>
      <c r="AI91" s="19">
        <v>1.0</v>
      </c>
      <c r="AJ91" s="19">
        <v>0.0</v>
      </c>
      <c r="AK91" s="19">
        <v>0.0</v>
      </c>
      <c r="AL91" s="19">
        <v>0.0</v>
      </c>
      <c r="AM91" s="19">
        <v>1.0</v>
      </c>
      <c r="AN91" s="19">
        <v>0.0</v>
      </c>
      <c r="AO91" s="19">
        <v>0.0</v>
      </c>
      <c r="AP91" s="19">
        <v>1.0</v>
      </c>
      <c r="AQ91" s="19">
        <v>0.0</v>
      </c>
      <c r="AR91" s="13">
        <f t="shared" si="22"/>
        <v>16</v>
      </c>
    </row>
    <row r="92" ht="12.75" customHeight="1">
      <c r="A92" s="18"/>
      <c r="B92" s="55">
        <v>7.0</v>
      </c>
      <c r="C92" s="50" t="s">
        <v>80</v>
      </c>
      <c r="D92" s="57"/>
      <c r="E92" s="19">
        <v>0.0</v>
      </c>
      <c r="F92" s="19">
        <v>1.0</v>
      </c>
      <c r="G92" s="19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0.0</v>
      </c>
      <c r="N92" s="19">
        <v>2.0</v>
      </c>
      <c r="O92" s="19">
        <v>0.0</v>
      </c>
      <c r="P92" s="19">
        <v>0.0</v>
      </c>
      <c r="Q92" s="19">
        <v>3.0</v>
      </c>
      <c r="R92" s="19">
        <v>0.0</v>
      </c>
      <c r="S92" s="19">
        <v>0.0</v>
      </c>
      <c r="T92" s="19">
        <v>2.0</v>
      </c>
      <c r="U92" s="19">
        <v>0.0</v>
      </c>
      <c r="V92" s="19">
        <v>0.0</v>
      </c>
      <c r="W92" s="19">
        <v>0.0</v>
      </c>
      <c r="X92" s="19">
        <v>0.0</v>
      </c>
      <c r="Y92" s="19">
        <v>0.0</v>
      </c>
      <c r="Z92" s="19">
        <v>0.0</v>
      </c>
      <c r="AA92" s="19">
        <v>0.0</v>
      </c>
      <c r="AB92" s="19">
        <v>0.0</v>
      </c>
      <c r="AC92" s="19">
        <v>0.0</v>
      </c>
      <c r="AD92" s="19">
        <v>0.0</v>
      </c>
      <c r="AE92" s="19">
        <v>0.0</v>
      </c>
      <c r="AF92" s="19">
        <v>0.0</v>
      </c>
      <c r="AG92" s="19">
        <v>0.0</v>
      </c>
      <c r="AH92" s="19">
        <v>0.0</v>
      </c>
      <c r="AI92" s="19">
        <v>0.0</v>
      </c>
      <c r="AJ92" s="19">
        <v>0.0</v>
      </c>
      <c r="AK92" s="19">
        <v>0.0</v>
      </c>
      <c r="AL92" s="19">
        <v>0.0</v>
      </c>
      <c r="AM92" s="19">
        <v>0.0</v>
      </c>
      <c r="AN92" s="19">
        <v>0.0</v>
      </c>
      <c r="AO92" s="19">
        <v>0.0</v>
      </c>
      <c r="AP92" s="19">
        <v>0.0</v>
      </c>
      <c r="AQ92" s="19">
        <v>0.0</v>
      </c>
      <c r="AR92" s="13">
        <f t="shared" si="22"/>
        <v>8</v>
      </c>
    </row>
    <row r="93" ht="12.75" customHeight="1">
      <c r="A93" s="19" t="s">
        <v>15</v>
      </c>
      <c r="B93" s="47" t="s">
        <v>47</v>
      </c>
      <c r="C93" s="15"/>
      <c r="D93" s="16"/>
      <c r="E93" s="13">
        <f t="shared" ref="E93:AR93" si="23">SUM(E85:E92)</f>
        <v>10</v>
      </c>
      <c r="F93" s="13">
        <f t="shared" si="23"/>
        <v>17</v>
      </c>
      <c r="G93" s="13">
        <f t="shared" si="23"/>
        <v>2</v>
      </c>
      <c r="H93" s="13">
        <f t="shared" si="23"/>
        <v>5</v>
      </c>
      <c r="I93" s="13">
        <f t="shared" si="23"/>
        <v>8</v>
      </c>
      <c r="J93" s="13">
        <f t="shared" si="23"/>
        <v>6</v>
      </c>
      <c r="K93" s="13">
        <f t="shared" si="23"/>
        <v>13</v>
      </c>
      <c r="L93" s="13">
        <f t="shared" si="23"/>
        <v>14</v>
      </c>
      <c r="M93" s="13">
        <f t="shared" si="23"/>
        <v>6</v>
      </c>
      <c r="N93" s="13">
        <f t="shared" si="23"/>
        <v>6</v>
      </c>
      <c r="O93" s="13">
        <f t="shared" si="23"/>
        <v>28</v>
      </c>
      <c r="P93" s="13">
        <f t="shared" si="23"/>
        <v>12</v>
      </c>
      <c r="Q93" s="13">
        <f t="shared" si="23"/>
        <v>13</v>
      </c>
      <c r="R93" s="13">
        <f t="shared" si="23"/>
        <v>3</v>
      </c>
      <c r="S93" s="13">
        <f t="shared" si="23"/>
        <v>19</v>
      </c>
      <c r="T93" s="13">
        <f t="shared" si="23"/>
        <v>13</v>
      </c>
      <c r="U93" s="13">
        <f t="shared" si="23"/>
        <v>10</v>
      </c>
      <c r="V93" s="13">
        <f t="shared" si="23"/>
        <v>7</v>
      </c>
      <c r="W93" s="13">
        <f t="shared" si="23"/>
        <v>21</v>
      </c>
      <c r="X93" s="13">
        <f t="shared" si="23"/>
        <v>23</v>
      </c>
      <c r="Y93" s="13">
        <f t="shared" si="23"/>
        <v>27</v>
      </c>
      <c r="Z93" s="13">
        <f t="shared" si="23"/>
        <v>20</v>
      </c>
      <c r="AA93" s="13">
        <f t="shared" si="23"/>
        <v>14</v>
      </c>
      <c r="AB93" s="13">
        <f t="shared" si="23"/>
        <v>28</v>
      </c>
      <c r="AC93" s="13">
        <f t="shared" si="23"/>
        <v>26</v>
      </c>
      <c r="AD93" s="13">
        <f t="shared" si="23"/>
        <v>31</v>
      </c>
      <c r="AE93" s="13">
        <f t="shared" si="23"/>
        <v>18</v>
      </c>
      <c r="AF93" s="13">
        <f t="shared" si="23"/>
        <v>12</v>
      </c>
      <c r="AG93" s="13">
        <f t="shared" si="23"/>
        <v>6</v>
      </c>
      <c r="AH93" s="13">
        <f t="shared" si="23"/>
        <v>4</v>
      </c>
      <c r="AI93" s="13">
        <f t="shared" si="23"/>
        <v>11</v>
      </c>
      <c r="AJ93" s="13">
        <f t="shared" si="23"/>
        <v>0</v>
      </c>
      <c r="AK93" s="13">
        <f t="shared" si="23"/>
        <v>33</v>
      </c>
      <c r="AL93" s="13">
        <f t="shared" si="23"/>
        <v>8</v>
      </c>
      <c r="AM93" s="13">
        <f t="shared" si="23"/>
        <v>5</v>
      </c>
      <c r="AN93" s="13">
        <f t="shared" si="23"/>
        <v>5</v>
      </c>
      <c r="AO93" s="13">
        <f t="shared" si="23"/>
        <v>3</v>
      </c>
      <c r="AP93" s="13">
        <f t="shared" si="23"/>
        <v>23</v>
      </c>
      <c r="AQ93" s="13">
        <f t="shared" si="23"/>
        <v>1</v>
      </c>
      <c r="AR93" s="13">
        <f t="shared" si="23"/>
        <v>511</v>
      </c>
    </row>
    <row r="94" ht="12.75" customHeight="1">
      <c r="A94" s="45"/>
      <c r="B94" s="44"/>
      <c r="C94" s="44"/>
      <c r="D94" s="44"/>
      <c r="E94" s="44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>
        <v>0.0</v>
      </c>
      <c r="F95" s="19">
        <v>2.0</v>
      </c>
      <c r="G95" s="19">
        <v>0.0</v>
      </c>
      <c r="H95" s="19">
        <v>0.0</v>
      </c>
      <c r="I95" s="19">
        <v>0.0</v>
      </c>
      <c r="J95" s="19">
        <v>2.0</v>
      </c>
      <c r="K95" s="19">
        <v>2.0</v>
      </c>
      <c r="L95" s="19">
        <v>1.0</v>
      </c>
      <c r="M95" s="19">
        <v>0.0</v>
      </c>
      <c r="N95" s="19">
        <v>0.0</v>
      </c>
      <c r="O95" s="19">
        <v>0.0</v>
      </c>
      <c r="P95" s="19">
        <v>0.0</v>
      </c>
      <c r="Q95" s="19">
        <v>1.0</v>
      </c>
      <c r="R95" s="19">
        <v>1.0</v>
      </c>
      <c r="S95" s="19">
        <v>8.0</v>
      </c>
      <c r="T95" s="19">
        <v>0.0</v>
      </c>
      <c r="U95" s="19">
        <v>2.0</v>
      </c>
      <c r="V95" s="19">
        <v>0.0</v>
      </c>
      <c r="W95" s="19">
        <v>0.0</v>
      </c>
      <c r="X95" s="19">
        <v>4.0</v>
      </c>
      <c r="Y95" s="19">
        <v>0.0</v>
      </c>
      <c r="Z95" s="19">
        <v>0.0</v>
      </c>
      <c r="AA95" s="19">
        <v>4.0</v>
      </c>
      <c r="AB95" s="19">
        <v>1.0</v>
      </c>
      <c r="AC95" s="19">
        <v>0.0</v>
      </c>
      <c r="AD95" s="19">
        <v>1.0</v>
      </c>
      <c r="AE95" s="19">
        <v>0.0</v>
      </c>
      <c r="AF95" s="19">
        <v>1.0</v>
      </c>
      <c r="AG95" s="19">
        <v>0.0</v>
      </c>
      <c r="AH95" s="19">
        <v>0.0</v>
      </c>
      <c r="AI95" s="19">
        <v>0.0</v>
      </c>
      <c r="AJ95" s="19">
        <v>0.0</v>
      </c>
      <c r="AK95" s="19">
        <v>0.0</v>
      </c>
      <c r="AL95" s="19">
        <v>1.0</v>
      </c>
      <c r="AM95" s="19">
        <v>0.0</v>
      </c>
      <c r="AN95" s="19">
        <v>0.0</v>
      </c>
      <c r="AO95" s="19">
        <v>0.0</v>
      </c>
      <c r="AP95" s="19">
        <v>1.0</v>
      </c>
      <c r="AQ95" s="19">
        <v>0.0</v>
      </c>
      <c r="AR95" s="13">
        <f t="shared" ref="AR95:AR102" si="24">SUM(E95:AQ95)</f>
        <v>32</v>
      </c>
    </row>
    <row r="96" ht="12.75" customHeight="1">
      <c r="A96" s="30" t="s">
        <v>39</v>
      </c>
      <c r="B96" s="55">
        <v>1.0</v>
      </c>
      <c r="C96" s="50" t="s">
        <v>83</v>
      </c>
      <c r="D96" s="57"/>
      <c r="E96" s="19">
        <v>0.0</v>
      </c>
      <c r="F96" s="19">
        <v>0.0</v>
      </c>
      <c r="G96" s="19">
        <v>0.0</v>
      </c>
      <c r="H96" s="19">
        <v>2.0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1.0</v>
      </c>
      <c r="V96" s="19">
        <v>0.0</v>
      </c>
      <c r="W96" s="19">
        <v>0.0</v>
      </c>
      <c r="X96" s="19">
        <v>1.0</v>
      </c>
      <c r="Y96" s="19">
        <v>1.0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0.0</v>
      </c>
      <c r="AG96" s="19">
        <v>0.0</v>
      </c>
      <c r="AH96" s="19">
        <v>0.0</v>
      </c>
      <c r="AI96" s="19">
        <v>0.0</v>
      </c>
      <c r="AJ96" s="19">
        <v>0.0</v>
      </c>
      <c r="AK96" s="19">
        <v>0.0</v>
      </c>
      <c r="AL96" s="19">
        <v>1.0</v>
      </c>
      <c r="AM96" s="19">
        <v>0.0</v>
      </c>
      <c r="AN96" s="19">
        <v>0.0</v>
      </c>
      <c r="AO96" s="19">
        <v>0.0</v>
      </c>
      <c r="AP96" s="19">
        <v>1.0</v>
      </c>
      <c r="AQ96" s="19">
        <v>0.0</v>
      </c>
      <c r="AR96" s="13">
        <f t="shared" si="24"/>
        <v>7</v>
      </c>
    </row>
    <row r="97" ht="12.75" customHeight="1">
      <c r="A97" s="18"/>
      <c r="B97" s="55">
        <v>2.0</v>
      </c>
      <c r="C97" s="50" t="s">
        <v>84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1.0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9">
        <v>1.0</v>
      </c>
      <c r="V97" s="19">
        <v>0.0</v>
      </c>
      <c r="W97" s="19">
        <v>0.0</v>
      </c>
      <c r="X97" s="19">
        <v>1.0</v>
      </c>
      <c r="Y97" s="19">
        <v>0.0</v>
      </c>
      <c r="Z97" s="19">
        <v>0.0</v>
      </c>
      <c r="AA97" s="19">
        <v>0.0</v>
      </c>
      <c r="AB97" s="19">
        <v>0.0</v>
      </c>
      <c r="AC97" s="19">
        <v>0.0</v>
      </c>
      <c r="AD97" s="19">
        <v>0.0</v>
      </c>
      <c r="AE97" s="19">
        <v>1.0</v>
      </c>
      <c r="AF97" s="19">
        <v>0.0</v>
      </c>
      <c r="AG97" s="19">
        <v>0.0</v>
      </c>
      <c r="AH97" s="19">
        <v>0.0</v>
      </c>
      <c r="AI97" s="19">
        <v>0.0</v>
      </c>
      <c r="AJ97" s="19">
        <v>0.0</v>
      </c>
      <c r="AK97" s="19">
        <v>0.0</v>
      </c>
      <c r="AL97" s="19">
        <v>1.0</v>
      </c>
      <c r="AM97" s="19">
        <v>1.0</v>
      </c>
      <c r="AN97" s="19">
        <v>1.0</v>
      </c>
      <c r="AO97" s="19">
        <v>0.0</v>
      </c>
      <c r="AP97" s="19">
        <v>1.0</v>
      </c>
      <c r="AQ97" s="19">
        <v>0.0</v>
      </c>
      <c r="AR97" s="13">
        <f t="shared" si="24"/>
        <v>8</v>
      </c>
    </row>
    <row r="98" ht="12.75" customHeight="1">
      <c r="A98" s="18"/>
      <c r="B98" s="55">
        <v>3.0</v>
      </c>
      <c r="C98" s="50" t="s">
        <v>85</v>
      </c>
      <c r="D98" s="57"/>
      <c r="E98" s="73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1.0</v>
      </c>
      <c r="L98" s="19">
        <v>0.0</v>
      </c>
      <c r="M98" s="19">
        <v>0.0</v>
      </c>
      <c r="N98" s="19">
        <v>1.0</v>
      </c>
      <c r="O98" s="19">
        <v>0.0</v>
      </c>
      <c r="P98" s="19">
        <v>1.0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0.0</v>
      </c>
      <c r="AK98" s="19">
        <v>0.0</v>
      </c>
      <c r="AL98" s="19">
        <v>0.0</v>
      </c>
      <c r="AM98" s="19">
        <v>1.0</v>
      </c>
      <c r="AN98" s="19">
        <v>0.0</v>
      </c>
      <c r="AO98" s="19">
        <v>0.0</v>
      </c>
      <c r="AP98" s="19">
        <v>0.0</v>
      </c>
      <c r="AQ98" s="19">
        <v>0.0</v>
      </c>
      <c r="AR98" s="13">
        <f t="shared" si="24"/>
        <v>4</v>
      </c>
    </row>
    <row r="99" ht="12.75" customHeight="1">
      <c r="A99" s="18"/>
      <c r="B99" s="55">
        <v>4.0</v>
      </c>
      <c r="C99" s="50" t="s">
        <v>86</v>
      </c>
      <c r="D99" s="57"/>
      <c r="E99" s="73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1.0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0.0</v>
      </c>
      <c r="AK99" s="19">
        <v>0.0</v>
      </c>
      <c r="AL99" s="19">
        <v>0.0</v>
      </c>
      <c r="AM99" s="19">
        <v>0.0</v>
      </c>
      <c r="AN99" s="19">
        <v>0.0</v>
      </c>
      <c r="AO99" s="19">
        <v>0.0</v>
      </c>
      <c r="AP99" s="19">
        <v>0.0</v>
      </c>
      <c r="AQ99" s="19">
        <v>0.0</v>
      </c>
      <c r="AR99" s="13">
        <f t="shared" si="24"/>
        <v>1</v>
      </c>
    </row>
    <row r="100" ht="12.75" customHeight="1">
      <c r="A100" s="18"/>
      <c r="B100" s="55">
        <v>5.0</v>
      </c>
      <c r="C100" s="50" t="s">
        <v>87</v>
      </c>
      <c r="D100" s="57"/>
      <c r="E100" s="73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9">
        <v>0.0</v>
      </c>
      <c r="AL100" s="19">
        <v>0.0</v>
      </c>
      <c r="AM100" s="19">
        <v>0.0</v>
      </c>
      <c r="AN100" s="19">
        <v>0.0</v>
      </c>
      <c r="AO100" s="19">
        <v>0.0</v>
      </c>
      <c r="AP100" s="19">
        <v>0.0</v>
      </c>
      <c r="AQ100" s="19">
        <v>0.0</v>
      </c>
      <c r="AR100" s="13">
        <f t="shared" si="24"/>
        <v>0</v>
      </c>
    </row>
    <row r="101" ht="12.75" customHeight="1">
      <c r="A101" s="18"/>
      <c r="B101" s="55">
        <v>6.0</v>
      </c>
      <c r="C101" s="50" t="s">
        <v>88</v>
      </c>
      <c r="D101" s="57"/>
      <c r="E101" s="73">
        <v>0.0</v>
      </c>
      <c r="F101" s="19">
        <v>0.0</v>
      </c>
      <c r="G101" s="19">
        <v>0.0</v>
      </c>
      <c r="H101" s="19">
        <v>0.0</v>
      </c>
      <c r="I101" s="19">
        <v>0.0</v>
      </c>
      <c r="J101" s="19">
        <v>0.0</v>
      </c>
      <c r="K101" s="19">
        <v>0.0</v>
      </c>
      <c r="L101" s="19">
        <v>0.0</v>
      </c>
      <c r="M101" s="19">
        <v>0.0</v>
      </c>
      <c r="N101" s="19">
        <v>0.0</v>
      </c>
      <c r="O101" s="19">
        <v>0.0</v>
      </c>
      <c r="P101" s="19">
        <v>0.0</v>
      </c>
      <c r="Q101" s="19">
        <v>0.0</v>
      </c>
      <c r="R101" s="19">
        <v>1.0</v>
      </c>
      <c r="S101" s="19">
        <v>0.0</v>
      </c>
      <c r="T101" s="19">
        <v>0.0</v>
      </c>
      <c r="U101" s="19">
        <v>0.0</v>
      </c>
      <c r="V101" s="19">
        <v>0.0</v>
      </c>
      <c r="W101" s="19">
        <v>0.0</v>
      </c>
      <c r="X101" s="19">
        <v>1.0</v>
      </c>
      <c r="Y101" s="19">
        <v>0.0</v>
      </c>
      <c r="Z101" s="19">
        <v>0.0</v>
      </c>
      <c r="AA101" s="19">
        <v>0.0</v>
      </c>
      <c r="AB101" s="19">
        <v>0.0</v>
      </c>
      <c r="AC101" s="19">
        <v>0.0</v>
      </c>
      <c r="AD101" s="19">
        <v>0.0</v>
      </c>
      <c r="AE101" s="19">
        <v>0.0</v>
      </c>
      <c r="AF101" s="19">
        <v>0.0</v>
      </c>
      <c r="AG101" s="19">
        <v>1.0</v>
      </c>
      <c r="AH101" s="19">
        <v>0.0</v>
      </c>
      <c r="AI101" s="19">
        <v>0.0</v>
      </c>
      <c r="AJ101" s="19">
        <v>0.0</v>
      </c>
      <c r="AK101" s="19">
        <v>0.0</v>
      </c>
      <c r="AL101" s="19">
        <v>1.0</v>
      </c>
      <c r="AM101" s="19">
        <v>0.0</v>
      </c>
      <c r="AN101" s="19">
        <v>0.0</v>
      </c>
      <c r="AO101" s="19">
        <v>0.0</v>
      </c>
      <c r="AP101" s="19">
        <v>0.0</v>
      </c>
      <c r="AQ101" s="19">
        <v>0.0</v>
      </c>
      <c r="AR101" s="13">
        <f t="shared" si="24"/>
        <v>4</v>
      </c>
    </row>
    <row r="102" ht="12.75" customHeight="1">
      <c r="A102" s="18"/>
      <c r="B102" s="55">
        <v>7.0</v>
      </c>
      <c r="C102" s="50" t="s">
        <v>89</v>
      </c>
      <c r="D102" s="57"/>
      <c r="E102" s="73">
        <v>1.0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0.0</v>
      </c>
      <c r="R102" s="19">
        <v>0.0</v>
      </c>
      <c r="S102" s="19">
        <v>0.0</v>
      </c>
      <c r="T102" s="19">
        <v>0.0</v>
      </c>
      <c r="U102" s="19">
        <v>0.0</v>
      </c>
      <c r="V102" s="19">
        <v>0.0</v>
      </c>
      <c r="W102" s="19">
        <v>0.0</v>
      </c>
      <c r="X102" s="19">
        <v>0.0</v>
      </c>
      <c r="Y102" s="19">
        <v>0.0</v>
      </c>
      <c r="Z102" s="19">
        <v>0.0</v>
      </c>
      <c r="AA102" s="19">
        <v>0.0</v>
      </c>
      <c r="AB102" s="19">
        <v>0.0</v>
      </c>
      <c r="AC102" s="19">
        <v>0.0</v>
      </c>
      <c r="AD102" s="19">
        <v>0.0</v>
      </c>
      <c r="AE102" s="19">
        <v>0.0</v>
      </c>
      <c r="AF102" s="19">
        <v>0.0</v>
      </c>
      <c r="AG102" s="19">
        <v>0.0</v>
      </c>
      <c r="AH102" s="19">
        <v>0.0</v>
      </c>
      <c r="AI102" s="19">
        <v>0.0</v>
      </c>
      <c r="AJ102" s="19">
        <v>1.0</v>
      </c>
      <c r="AK102" s="19">
        <v>0.0</v>
      </c>
      <c r="AL102" s="19">
        <v>0.0</v>
      </c>
      <c r="AM102" s="19">
        <v>0.0</v>
      </c>
      <c r="AN102" s="19">
        <v>0.0</v>
      </c>
      <c r="AO102" s="19">
        <v>0.0</v>
      </c>
      <c r="AP102" s="19">
        <v>0.0</v>
      </c>
      <c r="AQ102" s="19">
        <v>0.0</v>
      </c>
      <c r="AR102" s="13">
        <f t="shared" si="24"/>
        <v>2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R103" si="25">SUM(E95:E102)</f>
        <v>1</v>
      </c>
      <c r="F103" s="13">
        <f t="shared" si="25"/>
        <v>2</v>
      </c>
      <c r="G103" s="13">
        <f t="shared" si="25"/>
        <v>0</v>
      </c>
      <c r="H103" s="13">
        <f t="shared" si="25"/>
        <v>2</v>
      </c>
      <c r="I103" s="13">
        <f t="shared" si="25"/>
        <v>0</v>
      </c>
      <c r="J103" s="13">
        <f t="shared" si="25"/>
        <v>2</v>
      </c>
      <c r="K103" s="13">
        <f t="shared" si="25"/>
        <v>3</v>
      </c>
      <c r="L103" s="13">
        <f t="shared" si="25"/>
        <v>3</v>
      </c>
      <c r="M103" s="13">
        <f t="shared" si="25"/>
        <v>0</v>
      </c>
      <c r="N103" s="13">
        <f t="shared" si="25"/>
        <v>1</v>
      </c>
      <c r="O103" s="13">
        <f t="shared" si="25"/>
        <v>0</v>
      </c>
      <c r="P103" s="13">
        <f t="shared" si="25"/>
        <v>1</v>
      </c>
      <c r="Q103" s="13">
        <f t="shared" si="25"/>
        <v>1</v>
      </c>
      <c r="R103" s="13">
        <f t="shared" si="25"/>
        <v>2</v>
      </c>
      <c r="S103" s="13">
        <f t="shared" si="25"/>
        <v>8</v>
      </c>
      <c r="T103" s="13">
        <f t="shared" si="25"/>
        <v>0</v>
      </c>
      <c r="U103" s="13">
        <f t="shared" si="25"/>
        <v>4</v>
      </c>
      <c r="V103" s="13">
        <f t="shared" si="25"/>
        <v>0</v>
      </c>
      <c r="W103" s="13">
        <f t="shared" si="25"/>
        <v>0</v>
      </c>
      <c r="X103" s="13">
        <f t="shared" si="25"/>
        <v>7</v>
      </c>
      <c r="Y103" s="13">
        <f t="shared" si="25"/>
        <v>1</v>
      </c>
      <c r="Z103" s="13">
        <f t="shared" si="25"/>
        <v>0</v>
      </c>
      <c r="AA103" s="13">
        <f t="shared" si="25"/>
        <v>4</v>
      </c>
      <c r="AB103" s="13">
        <f t="shared" si="25"/>
        <v>1</v>
      </c>
      <c r="AC103" s="13">
        <f t="shared" si="25"/>
        <v>0</v>
      </c>
      <c r="AD103" s="13">
        <f t="shared" si="25"/>
        <v>1</v>
      </c>
      <c r="AE103" s="13">
        <f t="shared" si="25"/>
        <v>1</v>
      </c>
      <c r="AF103" s="13">
        <f t="shared" si="25"/>
        <v>1</v>
      </c>
      <c r="AG103" s="13">
        <f t="shared" si="25"/>
        <v>1</v>
      </c>
      <c r="AH103" s="13">
        <f t="shared" si="25"/>
        <v>0</v>
      </c>
      <c r="AI103" s="13">
        <f t="shared" si="25"/>
        <v>0</v>
      </c>
      <c r="AJ103" s="13">
        <f t="shared" si="25"/>
        <v>1</v>
      </c>
      <c r="AK103" s="13">
        <f t="shared" si="25"/>
        <v>0</v>
      </c>
      <c r="AL103" s="13">
        <f t="shared" si="25"/>
        <v>4</v>
      </c>
      <c r="AM103" s="13">
        <f t="shared" si="25"/>
        <v>2</v>
      </c>
      <c r="AN103" s="13">
        <f t="shared" si="25"/>
        <v>1</v>
      </c>
      <c r="AO103" s="13">
        <f t="shared" si="25"/>
        <v>0</v>
      </c>
      <c r="AP103" s="13">
        <f t="shared" si="25"/>
        <v>3</v>
      </c>
      <c r="AQ103" s="13">
        <f t="shared" si="25"/>
        <v>0</v>
      </c>
      <c r="AR103" s="13">
        <f t="shared" si="25"/>
        <v>58</v>
      </c>
    </row>
    <row r="104" ht="12.75" customHeight="1">
      <c r="A104" s="24"/>
      <c r="B104" s="15"/>
      <c r="C104" s="15"/>
      <c r="D104" s="15"/>
      <c r="E104" s="16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13"/>
    </row>
    <row r="105" ht="12.75" customHeight="1">
      <c r="A105" s="30" t="s">
        <v>37</v>
      </c>
      <c r="B105" s="47" t="s">
        <v>90</v>
      </c>
      <c r="C105" s="48" t="s">
        <v>91</v>
      </c>
      <c r="D105" s="16"/>
      <c r="E105" s="19">
        <v>0.0</v>
      </c>
      <c r="F105" s="19">
        <v>2.0</v>
      </c>
      <c r="G105" s="19">
        <v>0.0</v>
      </c>
      <c r="H105" s="19">
        <v>0.0</v>
      </c>
      <c r="I105" s="19">
        <v>0.0</v>
      </c>
      <c r="J105" s="19">
        <v>0.0</v>
      </c>
      <c r="K105" s="19">
        <v>1.0</v>
      </c>
      <c r="L105" s="19">
        <v>1.0</v>
      </c>
      <c r="M105" s="19">
        <v>1.0</v>
      </c>
      <c r="N105" s="19">
        <v>0.0</v>
      </c>
      <c r="O105" s="19">
        <v>0.0</v>
      </c>
      <c r="P105" s="19">
        <v>0.0</v>
      </c>
      <c r="Q105" s="19">
        <v>3.0</v>
      </c>
      <c r="R105" s="19">
        <v>0.0</v>
      </c>
      <c r="S105" s="19">
        <v>1.0</v>
      </c>
      <c r="T105" s="19">
        <v>1.0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1.0</v>
      </c>
      <c r="AA105" s="19">
        <v>0.0</v>
      </c>
      <c r="AB105" s="19">
        <v>1.0</v>
      </c>
      <c r="AC105" s="19">
        <v>0.0</v>
      </c>
      <c r="AD105" s="19">
        <v>0.0</v>
      </c>
      <c r="AE105" s="19">
        <v>1.0</v>
      </c>
      <c r="AF105" s="19">
        <v>0.0</v>
      </c>
      <c r="AG105" s="19">
        <v>0.0</v>
      </c>
      <c r="AH105" s="19">
        <v>2.0</v>
      </c>
      <c r="AI105" s="19">
        <v>0.0</v>
      </c>
      <c r="AJ105" s="19">
        <v>1.0</v>
      </c>
      <c r="AK105" s="19">
        <v>0.0</v>
      </c>
      <c r="AL105" s="19">
        <v>0.0</v>
      </c>
      <c r="AM105" s="19">
        <v>1.0</v>
      </c>
      <c r="AN105" s="19">
        <v>6.0</v>
      </c>
      <c r="AO105" s="19">
        <v>3.0</v>
      </c>
      <c r="AP105" s="19">
        <v>1.0</v>
      </c>
      <c r="AQ105" s="19">
        <v>2.0</v>
      </c>
      <c r="AR105" s="13">
        <f t="shared" ref="AR105:AR108" si="26">SUM(E105:AQ105)</f>
        <v>29</v>
      </c>
    </row>
    <row r="106" ht="12.75" customHeight="1">
      <c r="A106" s="30" t="s">
        <v>39</v>
      </c>
      <c r="B106" s="55">
        <v>1.0</v>
      </c>
      <c r="C106" s="50" t="s">
        <v>92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2.0</v>
      </c>
      <c r="M106" s="19">
        <v>1.0</v>
      </c>
      <c r="N106" s="19">
        <v>0.0</v>
      </c>
      <c r="O106" s="19">
        <v>0.0</v>
      </c>
      <c r="P106" s="19">
        <v>0.0</v>
      </c>
      <c r="Q106" s="19">
        <v>1.0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1.0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9">
        <v>0.0</v>
      </c>
      <c r="AG106" s="19">
        <v>0.0</v>
      </c>
      <c r="AH106" s="19">
        <v>0.0</v>
      </c>
      <c r="AI106" s="19">
        <v>0.0</v>
      </c>
      <c r="AJ106" s="19">
        <v>0.0</v>
      </c>
      <c r="AK106" s="19">
        <v>0.0</v>
      </c>
      <c r="AL106" s="19">
        <v>3.0</v>
      </c>
      <c r="AM106" s="19">
        <v>1.0</v>
      </c>
      <c r="AN106" s="19">
        <v>1.0</v>
      </c>
      <c r="AO106" s="19">
        <v>1.0</v>
      </c>
      <c r="AP106" s="19">
        <v>0.0</v>
      </c>
      <c r="AQ106" s="19">
        <v>1.0</v>
      </c>
      <c r="AR106" s="13">
        <f t="shared" si="26"/>
        <v>12</v>
      </c>
    </row>
    <row r="107" ht="12.75" customHeight="1">
      <c r="A107" s="18"/>
      <c r="B107" s="55">
        <v>2.0</v>
      </c>
      <c r="C107" s="50" t="s">
        <v>93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1.0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1.0</v>
      </c>
      <c r="S107" s="19">
        <v>0.0</v>
      </c>
      <c r="T107" s="19">
        <v>0.0</v>
      </c>
      <c r="U107" s="19">
        <v>0.0</v>
      </c>
      <c r="V107" s="19">
        <v>1.0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2.0</v>
      </c>
      <c r="AJ107" s="19">
        <v>0.0</v>
      </c>
      <c r="AK107" s="19">
        <v>0.0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0.0</v>
      </c>
      <c r="AQ107" s="19">
        <v>0.0</v>
      </c>
      <c r="AR107" s="13">
        <f t="shared" si="26"/>
        <v>5</v>
      </c>
    </row>
    <row r="108" ht="12.75" customHeight="1">
      <c r="A108" s="18"/>
      <c r="B108" s="55">
        <v>3.0</v>
      </c>
      <c r="C108" s="50" t="s">
        <v>94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1.0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1.0</v>
      </c>
      <c r="AO108" s="19">
        <v>0.0</v>
      </c>
      <c r="AP108" s="19">
        <v>0.0</v>
      </c>
      <c r="AQ108" s="19">
        <v>0.0</v>
      </c>
      <c r="AR108" s="13">
        <f t="shared" si="26"/>
        <v>2</v>
      </c>
    </row>
    <row r="109" ht="12.75" customHeight="1">
      <c r="A109" s="19" t="s">
        <v>15</v>
      </c>
      <c r="B109" s="47" t="s">
        <v>47</v>
      </c>
      <c r="C109" s="15"/>
      <c r="D109" s="16"/>
      <c r="E109" s="13">
        <f t="shared" ref="E109:AR109" si="27">SUM(E105:E108)</f>
        <v>0</v>
      </c>
      <c r="F109" s="13">
        <f t="shared" si="27"/>
        <v>2</v>
      </c>
      <c r="G109" s="13">
        <f t="shared" si="27"/>
        <v>0</v>
      </c>
      <c r="H109" s="13">
        <f t="shared" si="27"/>
        <v>0</v>
      </c>
      <c r="I109" s="13">
        <f t="shared" si="27"/>
        <v>0</v>
      </c>
      <c r="J109" s="13">
        <f t="shared" si="27"/>
        <v>0</v>
      </c>
      <c r="K109" s="13">
        <f t="shared" si="27"/>
        <v>1</v>
      </c>
      <c r="L109" s="13">
        <f t="shared" si="27"/>
        <v>4</v>
      </c>
      <c r="M109" s="13">
        <f t="shared" si="27"/>
        <v>2</v>
      </c>
      <c r="N109" s="13">
        <f t="shared" si="27"/>
        <v>0</v>
      </c>
      <c r="O109" s="13">
        <f t="shared" si="27"/>
        <v>0</v>
      </c>
      <c r="P109" s="13">
        <f t="shared" si="27"/>
        <v>0</v>
      </c>
      <c r="Q109" s="13">
        <f t="shared" si="27"/>
        <v>4</v>
      </c>
      <c r="R109" s="13">
        <f t="shared" si="27"/>
        <v>1</v>
      </c>
      <c r="S109" s="13">
        <f t="shared" si="27"/>
        <v>1</v>
      </c>
      <c r="T109" s="13">
        <f t="shared" si="27"/>
        <v>1</v>
      </c>
      <c r="U109" s="13">
        <f t="shared" si="27"/>
        <v>0</v>
      </c>
      <c r="V109" s="13">
        <f t="shared" si="27"/>
        <v>1</v>
      </c>
      <c r="W109" s="13">
        <f t="shared" si="27"/>
        <v>0</v>
      </c>
      <c r="X109" s="13">
        <f t="shared" si="27"/>
        <v>0</v>
      </c>
      <c r="Y109" s="13">
        <f t="shared" si="27"/>
        <v>0</v>
      </c>
      <c r="Z109" s="13">
        <f t="shared" si="27"/>
        <v>2</v>
      </c>
      <c r="AA109" s="13">
        <f t="shared" si="27"/>
        <v>0</v>
      </c>
      <c r="AB109" s="13">
        <f t="shared" si="27"/>
        <v>1</v>
      </c>
      <c r="AC109" s="13">
        <f t="shared" si="27"/>
        <v>0</v>
      </c>
      <c r="AD109" s="13">
        <f t="shared" si="27"/>
        <v>0</v>
      </c>
      <c r="AE109" s="13">
        <f t="shared" si="27"/>
        <v>1</v>
      </c>
      <c r="AF109" s="13">
        <f t="shared" si="27"/>
        <v>0</v>
      </c>
      <c r="AG109" s="13">
        <f t="shared" si="27"/>
        <v>0</v>
      </c>
      <c r="AH109" s="13">
        <f t="shared" si="27"/>
        <v>3</v>
      </c>
      <c r="AI109" s="13">
        <f t="shared" si="27"/>
        <v>2</v>
      </c>
      <c r="AJ109" s="13">
        <f t="shared" si="27"/>
        <v>1</v>
      </c>
      <c r="AK109" s="13">
        <f t="shared" si="27"/>
        <v>0</v>
      </c>
      <c r="AL109" s="13">
        <f t="shared" si="27"/>
        <v>3</v>
      </c>
      <c r="AM109" s="13">
        <f t="shared" si="27"/>
        <v>2</v>
      </c>
      <c r="AN109" s="13">
        <f t="shared" si="27"/>
        <v>8</v>
      </c>
      <c r="AO109" s="13">
        <f t="shared" si="27"/>
        <v>4</v>
      </c>
      <c r="AP109" s="13">
        <f t="shared" si="27"/>
        <v>1</v>
      </c>
      <c r="AQ109" s="13">
        <f t="shared" si="27"/>
        <v>3</v>
      </c>
      <c r="AR109" s="13">
        <f t="shared" si="27"/>
        <v>48</v>
      </c>
    </row>
    <row r="110" ht="12.75" customHeight="1">
      <c r="A110" s="24"/>
      <c r="B110" s="15"/>
      <c r="C110" s="15"/>
      <c r="D110" s="15"/>
      <c r="E110" s="16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</row>
    <row r="111" ht="12.75" customHeight="1">
      <c r="A111" s="30" t="s">
        <v>37</v>
      </c>
      <c r="B111" s="47" t="s">
        <v>95</v>
      </c>
      <c r="C111" s="48" t="s">
        <v>96</v>
      </c>
      <c r="D111" s="16"/>
      <c r="E111" s="19">
        <v>0.0</v>
      </c>
      <c r="F111" s="19">
        <v>1.0</v>
      </c>
      <c r="G111" s="19">
        <v>2.0</v>
      </c>
      <c r="H111" s="19">
        <v>2.0</v>
      </c>
      <c r="I111" s="19">
        <v>6.0</v>
      </c>
      <c r="J111" s="19">
        <v>1.0</v>
      </c>
      <c r="K111" s="19">
        <v>0.0</v>
      </c>
      <c r="L111" s="19">
        <v>1.0</v>
      </c>
      <c r="M111" s="19">
        <v>0.0</v>
      </c>
      <c r="N111" s="19">
        <v>0.0</v>
      </c>
      <c r="O111" s="19">
        <v>0.0</v>
      </c>
      <c r="P111" s="19">
        <v>1.0</v>
      </c>
      <c r="Q111" s="19">
        <v>1.0</v>
      </c>
      <c r="R111" s="19">
        <v>1.0</v>
      </c>
      <c r="S111" s="19">
        <v>1.0</v>
      </c>
      <c r="T111" s="19">
        <v>0.0</v>
      </c>
      <c r="U111" s="19">
        <v>2.0</v>
      </c>
      <c r="V111" s="19">
        <v>0.0</v>
      </c>
      <c r="W111" s="19">
        <v>0.0</v>
      </c>
      <c r="X111" s="19">
        <v>1.0</v>
      </c>
      <c r="Y111" s="19">
        <v>2.0</v>
      </c>
      <c r="Z111" s="19">
        <v>0.0</v>
      </c>
      <c r="AA111" s="19">
        <v>2.0</v>
      </c>
      <c r="AB111" s="19">
        <v>0.0</v>
      </c>
      <c r="AC111" s="19">
        <v>1.0</v>
      </c>
      <c r="AD111" s="19">
        <v>0.0</v>
      </c>
      <c r="AE111" s="19">
        <v>1.0</v>
      </c>
      <c r="AF111" s="19">
        <v>2.0</v>
      </c>
      <c r="AG111" s="19">
        <v>0.0</v>
      </c>
      <c r="AH111" s="19">
        <v>0.0</v>
      </c>
      <c r="AI111" s="19">
        <v>2.0</v>
      </c>
      <c r="AJ111" s="19">
        <v>0.0</v>
      </c>
      <c r="AK111" s="19">
        <v>0.0</v>
      </c>
      <c r="AL111" s="19">
        <v>1.0</v>
      </c>
      <c r="AM111" s="19">
        <v>8.0</v>
      </c>
      <c r="AN111" s="19">
        <v>9.0</v>
      </c>
      <c r="AO111" s="19">
        <v>6.0</v>
      </c>
      <c r="AP111" s="19">
        <v>1.0</v>
      </c>
      <c r="AQ111" s="19">
        <v>0.0</v>
      </c>
      <c r="AR111" s="13">
        <f t="shared" ref="AR111:AR118" si="28">SUM(E111:AQ111)</f>
        <v>55</v>
      </c>
    </row>
    <row r="112" ht="12.75" customHeight="1">
      <c r="A112" s="30" t="s">
        <v>39</v>
      </c>
      <c r="B112" s="55">
        <v>1.0</v>
      </c>
      <c r="C112" s="50" t="s">
        <v>97</v>
      </c>
      <c r="D112" s="56"/>
      <c r="E112" s="19">
        <v>7.0</v>
      </c>
      <c r="F112" s="19">
        <v>1.0</v>
      </c>
      <c r="G112" s="19">
        <v>3.0</v>
      </c>
      <c r="H112" s="19">
        <v>1.0</v>
      </c>
      <c r="I112" s="19">
        <v>5.0</v>
      </c>
      <c r="J112" s="19">
        <v>2.0</v>
      </c>
      <c r="K112" s="19">
        <v>1.0</v>
      </c>
      <c r="L112" s="19">
        <v>1.0</v>
      </c>
      <c r="M112" s="19">
        <v>0.0</v>
      </c>
      <c r="N112" s="19">
        <v>3.0</v>
      </c>
      <c r="O112" s="19">
        <v>0.0</v>
      </c>
      <c r="P112" s="19">
        <v>1.0</v>
      </c>
      <c r="Q112" s="19">
        <v>3.0</v>
      </c>
      <c r="R112" s="19">
        <v>3.0</v>
      </c>
      <c r="S112" s="19">
        <v>1.0</v>
      </c>
      <c r="T112" s="19">
        <v>0.0</v>
      </c>
      <c r="U112" s="19">
        <v>2.0</v>
      </c>
      <c r="V112" s="19">
        <v>3.0</v>
      </c>
      <c r="W112" s="19">
        <v>4.0</v>
      </c>
      <c r="X112" s="19">
        <v>0.0</v>
      </c>
      <c r="Y112" s="19">
        <v>1.0</v>
      </c>
      <c r="Z112" s="19">
        <v>0.0</v>
      </c>
      <c r="AA112" s="19">
        <v>1.0</v>
      </c>
      <c r="AB112" s="19">
        <v>1.0</v>
      </c>
      <c r="AC112" s="19">
        <v>0.0</v>
      </c>
      <c r="AD112" s="19">
        <v>7.0</v>
      </c>
      <c r="AE112" s="19">
        <v>5.0</v>
      </c>
      <c r="AF112" s="19">
        <v>5.0</v>
      </c>
      <c r="AG112" s="19">
        <v>0.0</v>
      </c>
      <c r="AH112" s="19">
        <v>0.0</v>
      </c>
      <c r="AI112" s="19">
        <v>1.0</v>
      </c>
      <c r="AJ112" s="19">
        <v>0.0</v>
      </c>
      <c r="AK112" s="19">
        <v>5.0</v>
      </c>
      <c r="AL112" s="19">
        <v>1.0</v>
      </c>
      <c r="AM112" s="19">
        <v>8.0</v>
      </c>
      <c r="AN112" s="19">
        <v>9.0</v>
      </c>
      <c r="AO112" s="19">
        <v>12.0</v>
      </c>
      <c r="AP112" s="19">
        <v>4.0</v>
      </c>
      <c r="AQ112" s="19">
        <v>0.0</v>
      </c>
      <c r="AR112" s="13">
        <f t="shared" si="28"/>
        <v>101</v>
      </c>
    </row>
    <row r="113" ht="12.75" customHeight="1">
      <c r="A113" s="18"/>
      <c r="B113" s="55">
        <v>2.0</v>
      </c>
      <c r="C113" s="50" t="s">
        <v>98</v>
      </c>
      <c r="D113" s="56"/>
      <c r="E113" s="19">
        <v>1.0</v>
      </c>
      <c r="F113" s="19">
        <v>1.0</v>
      </c>
      <c r="G113" s="19">
        <v>3.0</v>
      </c>
      <c r="H113" s="19">
        <v>2.0</v>
      </c>
      <c r="I113" s="19">
        <v>0.0</v>
      </c>
      <c r="J113" s="19">
        <v>3.0</v>
      </c>
      <c r="K113" s="19">
        <v>2.0</v>
      </c>
      <c r="L113" s="19">
        <v>0.0</v>
      </c>
      <c r="M113" s="19">
        <v>0.0</v>
      </c>
      <c r="N113" s="19">
        <v>1.0</v>
      </c>
      <c r="O113" s="19">
        <v>2.0</v>
      </c>
      <c r="P113" s="19">
        <v>2.0</v>
      </c>
      <c r="Q113" s="19">
        <v>1.0</v>
      </c>
      <c r="R113" s="19">
        <v>3.0</v>
      </c>
      <c r="S113" s="19">
        <v>1.0</v>
      </c>
      <c r="T113" s="19">
        <v>0.0</v>
      </c>
      <c r="U113" s="19">
        <v>0.0</v>
      </c>
      <c r="V113" s="19">
        <v>0.0</v>
      </c>
      <c r="W113" s="19">
        <v>5.0</v>
      </c>
      <c r="X113" s="19">
        <v>2.0</v>
      </c>
      <c r="Y113" s="19">
        <v>0.0</v>
      </c>
      <c r="Z113" s="19">
        <v>0.0</v>
      </c>
      <c r="AA113" s="19">
        <v>0.0</v>
      </c>
      <c r="AB113" s="19">
        <v>0.0</v>
      </c>
      <c r="AC113" s="19">
        <v>0.0</v>
      </c>
      <c r="AD113" s="19">
        <v>1.0</v>
      </c>
      <c r="AE113" s="19">
        <v>2.0</v>
      </c>
      <c r="AF113" s="19">
        <v>0.0</v>
      </c>
      <c r="AG113" s="19">
        <v>0.0</v>
      </c>
      <c r="AH113" s="19">
        <v>0.0</v>
      </c>
      <c r="AI113" s="19">
        <v>0.0</v>
      </c>
      <c r="AJ113" s="19">
        <v>0.0</v>
      </c>
      <c r="AK113" s="19">
        <v>0.0</v>
      </c>
      <c r="AL113" s="19">
        <v>0.0</v>
      </c>
      <c r="AM113" s="19">
        <v>3.0</v>
      </c>
      <c r="AN113" s="19">
        <v>4.0</v>
      </c>
      <c r="AO113" s="19">
        <v>1.0</v>
      </c>
      <c r="AP113" s="19">
        <v>0.0</v>
      </c>
      <c r="AQ113" s="19">
        <v>0.0</v>
      </c>
      <c r="AR113" s="13">
        <f t="shared" si="28"/>
        <v>40</v>
      </c>
    </row>
    <row r="114" ht="12.75" customHeight="1">
      <c r="A114" s="18"/>
      <c r="B114" s="55">
        <v>3.0</v>
      </c>
      <c r="C114" s="50" t="s">
        <v>99</v>
      </c>
      <c r="D114" s="56"/>
      <c r="E114" s="19">
        <v>0.0</v>
      </c>
      <c r="F114" s="19">
        <v>0.0</v>
      </c>
      <c r="G114" s="19">
        <v>0.0</v>
      </c>
      <c r="H114" s="19">
        <v>0.0</v>
      </c>
      <c r="I114" s="19">
        <v>1.0</v>
      </c>
      <c r="J114" s="19">
        <v>2.0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1.0</v>
      </c>
      <c r="R114" s="19">
        <v>0.0</v>
      </c>
      <c r="S114" s="19">
        <v>0.0</v>
      </c>
      <c r="T114" s="19">
        <v>0.0</v>
      </c>
      <c r="U114" s="19">
        <v>0.0</v>
      </c>
      <c r="V114" s="19">
        <v>0.0</v>
      </c>
      <c r="W114" s="19">
        <v>0.0</v>
      </c>
      <c r="X114" s="19">
        <v>1.0</v>
      </c>
      <c r="Y114" s="19">
        <v>0.0</v>
      </c>
      <c r="Z114" s="19">
        <v>0.0</v>
      </c>
      <c r="AA114" s="19">
        <v>0.0</v>
      </c>
      <c r="AB114" s="19">
        <v>0.0</v>
      </c>
      <c r="AC114" s="19">
        <v>0.0</v>
      </c>
      <c r="AD114" s="19">
        <v>0.0</v>
      </c>
      <c r="AE114" s="19">
        <v>0.0</v>
      </c>
      <c r="AF114" s="19">
        <v>0.0</v>
      </c>
      <c r="AG114" s="19">
        <v>0.0</v>
      </c>
      <c r="AH114" s="19">
        <v>1.0</v>
      </c>
      <c r="AI114" s="19">
        <v>0.0</v>
      </c>
      <c r="AJ114" s="19">
        <v>0.0</v>
      </c>
      <c r="AK114" s="19">
        <v>0.0</v>
      </c>
      <c r="AL114" s="19">
        <v>0.0</v>
      </c>
      <c r="AM114" s="19">
        <v>2.0</v>
      </c>
      <c r="AN114" s="19">
        <v>0.0</v>
      </c>
      <c r="AO114" s="19">
        <v>1.0</v>
      </c>
      <c r="AP114" s="19">
        <v>0.0</v>
      </c>
      <c r="AQ114" s="19">
        <v>0.0</v>
      </c>
      <c r="AR114" s="13">
        <f t="shared" si="28"/>
        <v>9</v>
      </c>
    </row>
    <row r="115" ht="12.75" customHeight="1">
      <c r="A115" s="18"/>
      <c r="B115" s="55">
        <v>4.0</v>
      </c>
      <c r="C115" s="50" t="s">
        <v>100</v>
      </c>
      <c r="D115" s="56"/>
      <c r="E115" s="19">
        <v>0.0</v>
      </c>
      <c r="F115" s="19">
        <v>0.0</v>
      </c>
      <c r="G115" s="19">
        <v>1.0</v>
      </c>
      <c r="H115" s="19">
        <v>0.0</v>
      </c>
      <c r="I115" s="19">
        <v>0.0</v>
      </c>
      <c r="J115" s="19">
        <v>1.0</v>
      </c>
      <c r="K115" s="19">
        <v>0.0</v>
      </c>
      <c r="L115" s="19">
        <v>0.0</v>
      </c>
      <c r="M115" s="19">
        <v>0.0</v>
      </c>
      <c r="N115" s="19">
        <v>1.0</v>
      </c>
      <c r="O115" s="19">
        <v>0.0</v>
      </c>
      <c r="P115" s="19">
        <v>0.0</v>
      </c>
      <c r="Q115" s="19">
        <v>0.0</v>
      </c>
      <c r="R115" s="19">
        <v>0.0</v>
      </c>
      <c r="S115" s="19">
        <v>0.0</v>
      </c>
      <c r="T115" s="19">
        <v>0.0</v>
      </c>
      <c r="U115" s="19">
        <v>0.0</v>
      </c>
      <c r="V115" s="19">
        <v>0.0</v>
      </c>
      <c r="W115" s="19">
        <v>0.0</v>
      </c>
      <c r="X115" s="19">
        <v>0.0</v>
      </c>
      <c r="Y115" s="19">
        <v>0.0</v>
      </c>
      <c r="Z115" s="19">
        <v>0.0</v>
      </c>
      <c r="AA115" s="19">
        <v>0.0</v>
      </c>
      <c r="AB115" s="19">
        <v>0.0</v>
      </c>
      <c r="AC115" s="19">
        <v>0.0</v>
      </c>
      <c r="AD115" s="19">
        <v>0.0</v>
      </c>
      <c r="AE115" s="19">
        <v>0.0</v>
      </c>
      <c r="AF115" s="19">
        <v>0.0</v>
      </c>
      <c r="AG115" s="19">
        <v>0.0</v>
      </c>
      <c r="AH115" s="19">
        <v>0.0</v>
      </c>
      <c r="AI115" s="19">
        <v>0.0</v>
      </c>
      <c r="AJ115" s="19">
        <v>1.0</v>
      </c>
      <c r="AK115" s="19">
        <v>0.0</v>
      </c>
      <c r="AL115" s="19">
        <v>0.0</v>
      </c>
      <c r="AM115" s="19">
        <v>0.0</v>
      </c>
      <c r="AN115" s="19">
        <v>0.0</v>
      </c>
      <c r="AO115" s="19">
        <v>0.0</v>
      </c>
      <c r="AP115" s="19">
        <v>0.0</v>
      </c>
      <c r="AQ115" s="19">
        <v>0.0</v>
      </c>
      <c r="AR115" s="13">
        <f t="shared" si="28"/>
        <v>4</v>
      </c>
    </row>
    <row r="116" ht="12.75" customHeight="1">
      <c r="A116" s="18"/>
      <c r="B116" s="55">
        <v>5.0</v>
      </c>
      <c r="C116" s="50" t="s">
        <v>101</v>
      </c>
      <c r="D116" s="56"/>
      <c r="E116" s="19">
        <v>0.0</v>
      </c>
      <c r="F116" s="19">
        <v>0.0</v>
      </c>
      <c r="G116" s="19">
        <v>0.0</v>
      </c>
      <c r="H116" s="19">
        <v>0.0</v>
      </c>
      <c r="I116" s="19">
        <v>0.0</v>
      </c>
      <c r="J116" s="19">
        <v>0.0</v>
      </c>
      <c r="K116" s="19">
        <v>0.0</v>
      </c>
      <c r="L116" s="19">
        <v>0.0</v>
      </c>
      <c r="M116" s="19">
        <v>0.0</v>
      </c>
      <c r="N116" s="19">
        <v>0.0</v>
      </c>
      <c r="O116" s="19">
        <v>0.0</v>
      </c>
      <c r="P116" s="19">
        <v>0.0</v>
      </c>
      <c r="Q116" s="19">
        <v>0.0</v>
      </c>
      <c r="R116" s="19">
        <v>0.0</v>
      </c>
      <c r="S116" s="19">
        <v>0.0</v>
      </c>
      <c r="T116" s="19">
        <v>0.0</v>
      </c>
      <c r="U116" s="19">
        <v>0.0</v>
      </c>
      <c r="V116" s="19">
        <v>0.0</v>
      </c>
      <c r="W116" s="19">
        <v>0.0</v>
      </c>
      <c r="X116" s="19">
        <v>0.0</v>
      </c>
      <c r="Y116" s="19">
        <v>0.0</v>
      </c>
      <c r="Z116" s="19">
        <v>0.0</v>
      </c>
      <c r="AA116" s="19">
        <v>0.0</v>
      </c>
      <c r="AB116" s="19">
        <v>0.0</v>
      </c>
      <c r="AC116" s="19">
        <v>0.0</v>
      </c>
      <c r="AD116" s="19">
        <v>0.0</v>
      </c>
      <c r="AE116" s="19">
        <v>0.0</v>
      </c>
      <c r="AF116" s="19">
        <v>0.0</v>
      </c>
      <c r="AG116" s="19">
        <v>0.0</v>
      </c>
      <c r="AH116" s="19">
        <v>0.0</v>
      </c>
      <c r="AI116" s="19">
        <v>0.0</v>
      </c>
      <c r="AJ116" s="19">
        <v>0.0</v>
      </c>
      <c r="AK116" s="19">
        <v>0.0</v>
      </c>
      <c r="AL116" s="19">
        <v>0.0</v>
      </c>
      <c r="AM116" s="19">
        <v>0.0</v>
      </c>
      <c r="AN116" s="19">
        <v>0.0</v>
      </c>
      <c r="AO116" s="19">
        <v>0.0</v>
      </c>
      <c r="AP116" s="19">
        <v>0.0</v>
      </c>
      <c r="AQ116" s="19">
        <v>0.0</v>
      </c>
      <c r="AR116" s="13">
        <f t="shared" si="28"/>
        <v>0</v>
      </c>
    </row>
    <row r="117" ht="12.75" customHeight="1">
      <c r="A117" s="18"/>
      <c r="B117" s="55">
        <v>6.0</v>
      </c>
      <c r="C117" s="50" t="s">
        <v>102</v>
      </c>
      <c r="D117" s="57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0.0</v>
      </c>
      <c r="AD117" s="19">
        <v>0.0</v>
      </c>
      <c r="AE117" s="19">
        <v>0.0</v>
      </c>
      <c r="AF117" s="19">
        <v>0.0</v>
      </c>
      <c r="AG117" s="19">
        <v>0.0</v>
      </c>
      <c r="AH117" s="19">
        <v>0.0</v>
      </c>
      <c r="AI117" s="19">
        <v>0.0</v>
      </c>
      <c r="AJ117" s="19">
        <v>0.0</v>
      </c>
      <c r="AK117" s="19">
        <v>0.0</v>
      </c>
      <c r="AL117" s="19">
        <v>0.0</v>
      </c>
      <c r="AM117" s="19">
        <v>0.0</v>
      </c>
      <c r="AN117" s="19">
        <v>0.0</v>
      </c>
      <c r="AO117" s="19">
        <v>0.0</v>
      </c>
      <c r="AP117" s="19">
        <v>0.0</v>
      </c>
      <c r="AQ117" s="19">
        <v>0.0</v>
      </c>
      <c r="AR117" s="13">
        <f t="shared" si="28"/>
        <v>0</v>
      </c>
    </row>
    <row r="118" ht="12.75" customHeight="1">
      <c r="A118" s="18"/>
      <c r="B118" s="55">
        <v>7.0</v>
      </c>
      <c r="C118" s="50" t="s">
        <v>103</v>
      </c>
      <c r="D118" s="56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0.0</v>
      </c>
      <c r="AK118" s="19">
        <v>0.0</v>
      </c>
      <c r="AL118" s="19">
        <v>0.0</v>
      </c>
      <c r="AM118" s="19">
        <v>0.0</v>
      </c>
      <c r="AN118" s="19">
        <v>0.0</v>
      </c>
      <c r="AO118" s="19">
        <v>0.0</v>
      </c>
      <c r="AP118" s="19">
        <v>0.0</v>
      </c>
      <c r="AQ118" s="19">
        <v>0.0</v>
      </c>
      <c r="AR118" s="13">
        <f t="shared" si="28"/>
        <v>0</v>
      </c>
    </row>
    <row r="119" ht="12.75" customHeight="1">
      <c r="A119" s="19" t="s">
        <v>15</v>
      </c>
      <c r="B119" s="47" t="s">
        <v>47</v>
      </c>
      <c r="C119" s="15"/>
      <c r="D119" s="16"/>
      <c r="E119" s="13">
        <f t="shared" ref="E119:AR119" si="29">SUM(E111:E118)</f>
        <v>8</v>
      </c>
      <c r="F119" s="13">
        <f t="shared" si="29"/>
        <v>3</v>
      </c>
      <c r="G119" s="13">
        <f t="shared" si="29"/>
        <v>9</v>
      </c>
      <c r="H119" s="13">
        <f t="shared" si="29"/>
        <v>5</v>
      </c>
      <c r="I119" s="13">
        <f t="shared" si="29"/>
        <v>12</v>
      </c>
      <c r="J119" s="13">
        <f t="shared" si="29"/>
        <v>9</v>
      </c>
      <c r="K119" s="13">
        <f t="shared" si="29"/>
        <v>3</v>
      </c>
      <c r="L119" s="13">
        <f t="shared" si="29"/>
        <v>2</v>
      </c>
      <c r="M119" s="13">
        <f t="shared" si="29"/>
        <v>0</v>
      </c>
      <c r="N119" s="13">
        <f t="shared" si="29"/>
        <v>5</v>
      </c>
      <c r="O119" s="13">
        <f t="shared" si="29"/>
        <v>2</v>
      </c>
      <c r="P119" s="13">
        <f t="shared" si="29"/>
        <v>4</v>
      </c>
      <c r="Q119" s="13">
        <f t="shared" si="29"/>
        <v>6</v>
      </c>
      <c r="R119" s="13">
        <f t="shared" si="29"/>
        <v>7</v>
      </c>
      <c r="S119" s="13">
        <f t="shared" si="29"/>
        <v>3</v>
      </c>
      <c r="T119" s="13">
        <f t="shared" si="29"/>
        <v>0</v>
      </c>
      <c r="U119" s="13">
        <f t="shared" si="29"/>
        <v>4</v>
      </c>
      <c r="V119" s="13">
        <f t="shared" si="29"/>
        <v>3</v>
      </c>
      <c r="W119" s="13">
        <f t="shared" si="29"/>
        <v>9</v>
      </c>
      <c r="X119" s="13">
        <f t="shared" si="29"/>
        <v>4</v>
      </c>
      <c r="Y119" s="13">
        <f t="shared" si="29"/>
        <v>3</v>
      </c>
      <c r="Z119" s="13">
        <f t="shared" si="29"/>
        <v>0</v>
      </c>
      <c r="AA119" s="13">
        <f t="shared" si="29"/>
        <v>3</v>
      </c>
      <c r="AB119" s="13">
        <f t="shared" si="29"/>
        <v>1</v>
      </c>
      <c r="AC119" s="13">
        <f t="shared" si="29"/>
        <v>1</v>
      </c>
      <c r="AD119" s="13">
        <f t="shared" si="29"/>
        <v>8</v>
      </c>
      <c r="AE119" s="13">
        <f t="shared" si="29"/>
        <v>8</v>
      </c>
      <c r="AF119" s="13">
        <f t="shared" si="29"/>
        <v>7</v>
      </c>
      <c r="AG119" s="13">
        <f t="shared" si="29"/>
        <v>0</v>
      </c>
      <c r="AH119" s="13">
        <f t="shared" si="29"/>
        <v>1</v>
      </c>
      <c r="AI119" s="13">
        <f t="shared" si="29"/>
        <v>3</v>
      </c>
      <c r="AJ119" s="13">
        <f t="shared" si="29"/>
        <v>1</v>
      </c>
      <c r="AK119" s="13">
        <f t="shared" si="29"/>
        <v>5</v>
      </c>
      <c r="AL119" s="13">
        <f t="shared" si="29"/>
        <v>2</v>
      </c>
      <c r="AM119" s="13">
        <f t="shared" si="29"/>
        <v>21</v>
      </c>
      <c r="AN119" s="13">
        <f t="shared" si="29"/>
        <v>22</v>
      </c>
      <c r="AO119" s="13">
        <f t="shared" si="29"/>
        <v>20</v>
      </c>
      <c r="AP119" s="13">
        <f t="shared" si="29"/>
        <v>5</v>
      </c>
      <c r="AQ119" s="13">
        <f t="shared" si="29"/>
        <v>0</v>
      </c>
      <c r="AR119" s="13">
        <f t="shared" si="29"/>
        <v>209</v>
      </c>
    </row>
    <row r="120" ht="12.75" customHeight="1">
      <c r="A120" s="24"/>
      <c r="B120" s="15"/>
      <c r="C120" s="15"/>
      <c r="D120" s="15"/>
      <c r="E120" s="16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</row>
    <row r="121" ht="12.75" customHeight="1">
      <c r="A121" s="30" t="s">
        <v>37</v>
      </c>
      <c r="B121" s="47" t="s">
        <v>104</v>
      </c>
      <c r="C121" s="48" t="s">
        <v>105</v>
      </c>
      <c r="D121" s="16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1.0</v>
      </c>
      <c r="S121" s="19">
        <v>0.0</v>
      </c>
      <c r="T121" s="19">
        <v>0.0</v>
      </c>
      <c r="U121" s="19">
        <v>0.0</v>
      </c>
      <c r="V121" s="19">
        <v>0.0</v>
      </c>
      <c r="W121" s="19">
        <v>0.0</v>
      </c>
      <c r="X121" s="19">
        <v>0.0</v>
      </c>
      <c r="Y121" s="19">
        <v>0.0</v>
      </c>
      <c r="Z121" s="19">
        <v>0.0</v>
      </c>
      <c r="AA121" s="19">
        <v>0.0</v>
      </c>
      <c r="AB121" s="19">
        <v>0.0</v>
      </c>
      <c r="AC121" s="19">
        <v>1.0</v>
      </c>
      <c r="AD121" s="19">
        <v>0.0</v>
      </c>
      <c r="AE121" s="19">
        <v>0.0</v>
      </c>
      <c r="AF121" s="19">
        <v>0.0</v>
      </c>
      <c r="AG121" s="19">
        <v>0.0</v>
      </c>
      <c r="AH121" s="19">
        <v>0.0</v>
      </c>
      <c r="AI121" s="19">
        <v>0.0</v>
      </c>
      <c r="AJ121" s="19">
        <v>0.0</v>
      </c>
      <c r="AK121" s="19">
        <v>0.0</v>
      </c>
      <c r="AL121" s="19">
        <v>1.0</v>
      </c>
      <c r="AM121" s="19">
        <v>0.0</v>
      </c>
      <c r="AN121" s="19">
        <v>0.0</v>
      </c>
      <c r="AO121" s="19">
        <v>0.0</v>
      </c>
      <c r="AP121" s="19">
        <v>1.0</v>
      </c>
      <c r="AQ121" s="19">
        <v>0.0</v>
      </c>
      <c r="AR121" s="13">
        <f t="shared" ref="AR121:AR128" si="30">SUM(E121:AQ121)</f>
        <v>4</v>
      </c>
    </row>
    <row r="122" ht="12.75" customHeight="1">
      <c r="A122" s="30" t="s">
        <v>39</v>
      </c>
      <c r="B122" s="55">
        <v>1.0</v>
      </c>
      <c r="C122" s="50" t="s">
        <v>106</v>
      </c>
      <c r="D122" s="57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1.0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9">
        <v>0.0</v>
      </c>
      <c r="T122" s="19">
        <v>0.0</v>
      </c>
      <c r="U122" s="19">
        <v>0.0</v>
      </c>
      <c r="V122" s="19">
        <v>0.0</v>
      </c>
      <c r="W122" s="19">
        <v>0.0</v>
      </c>
      <c r="X122" s="19">
        <v>0.0</v>
      </c>
      <c r="Y122" s="19">
        <v>0.0</v>
      </c>
      <c r="Z122" s="19">
        <v>0.0</v>
      </c>
      <c r="AA122" s="19">
        <v>0.0</v>
      </c>
      <c r="AB122" s="19">
        <v>0.0</v>
      </c>
      <c r="AC122" s="19">
        <v>0.0</v>
      </c>
      <c r="AD122" s="19">
        <v>0.0</v>
      </c>
      <c r="AE122" s="19">
        <v>0.0</v>
      </c>
      <c r="AF122" s="19">
        <v>0.0</v>
      </c>
      <c r="AG122" s="19">
        <v>0.0</v>
      </c>
      <c r="AH122" s="19">
        <v>0.0</v>
      </c>
      <c r="AI122" s="19">
        <v>0.0</v>
      </c>
      <c r="AJ122" s="19">
        <v>1.0</v>
      </c>
      <c r="AK122" s="19">
        <v>0.0</v>
      </c>
      <c r="AL122" s="19">
        <v>0.0</v>
      </c>
      <c r="AM122" s="19">
        <v>0.0</v>
      </c>
      <c r="AN122" s="19">
        <v>0.0</v>
      </c>
      <c r="AO122" s="19">
        <v>0.0</v>
      </c>
      <c r="AP122" s="19">
        <v>0.0</v>
      </c>
      <c r="AQ122" s="19">
        <v>0.0</v>
      </c>
      <c r="AR122" s="13">
        <f t="shared" si="30"/>
        <v>2</v>
      </c>
    </row>
    <row r="123" ht="12.75" customHeight="1">
      <c r="A123" s="18"/>
      <c r="B123" s="55">
        <v>2.0</v>
      </c>
      <c r="C123" s="50" t="s">
        <v>107</v>
      </c>
      <c r="D123" s="57"/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1.0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9">
        <v>0.0</v>
      </c>
      <c r="W123" s="19">
        <v>0.0</v>
      </c>
      <c r="X123" s="19">
        <v>0.0</v>
      </c>
      <c r="Y123" s="19">
        <v>0.0</v>
      </c>
      <c r="Z123" s="19">
        <v>0.0</v>
      </c>
      <c r="AA123" s="19">
        <v>0.0</v>
      </c>
      <c r="AB123" s="19">
        <v>0.0</v>
      </c>
      <c r="AC123" s="19">
        <v>0.0</v>
      </c>
      <c r="AD123" s="19">
        <v>0.0</v>
      </c>
      <c r="AE123" s="19">
        <v>0.0</v>
      </c>
      <c r="AF123" s="19">
        <v>0.0</v>
      </c>
      <c r="AG123" s="19">
        <v>0.0</v>
      </c>
      <c r="AH123" s="19">
        <v>0.0</v>
      </c>
      <c r="AI123" s="19">
        <v>0.0</v>
      </c>
      <c r="AJ123" s="19">
        <v>0.0</v>
      </c>
      <c r="AK123" s="19">
        <v>0.0</v>
      </c>
      <c r="AL123" s="19">
        <v>0.0</v>
      </c>
      <c r="AM123" s="19">
        <v>0.0</v>
      </c>
      <c r="AN123" s="19">
        <v>0.0</v>
      </c>
      <c r="AO123" s="19">
        <v>0.0</v>
      </c>
      <c r="AP123" s="19">
        <v>0.0</v>
      </c>
      <c r="AQ123" s="19">
        <v>0.0</v>
      </c>
      <c r="AR123" s="13">
        <f t="shared" si="30"/>
        <v>1</v>
      </c>
    </row>
    <row r="124" ht="12.75" customHeight="1">
      <c r="A124" s="18"/>
      <c r="B124" s="55">
        <v>3.0</v>
      </c>
      <c r="C124" s="50" t="s">
        <v>108</v>
      </c>
      <c r="D124" s="57"/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9">
        <v>0.0</v>
      </c>
      <c r="S124" s="19">
        <v>0.0</v>
      </c>
      <c r="T124" s="19">
        <v>0.0</v>
      </c>
      <c r="U124" s="19">
        <v>0.0</v>
      </c>
      <c r="V124" s="19">
        <v>0.0</v>
      </c>
      <c r="W124" s="19">
        <v>0.0</v>
      </c>
      <c r="X124" s="19">
        <v>0.0</v>
      </c>
      <c r="Y124" s="19">
        <v>0.0</v>
      </c>
      <c r="Z124" s="19">
        <v>0.0</v>
      </c>
      <c r="AA124" s="19">
        <v>1.0</v>
      </c>
      <c r="AB124" s="19">
        <v>0.0</v>
      </c>
      <c r="AC124" s="19">
        <v>0.0</v>
      </c>
      <c r="AD124" s="19">
        <v>1.0</v>
      </c>
      <c r="AE124" s="19">
        <v>0.0</v>
      </c>
      <c r="AF124" s="19">
        <v>0.0</v>
      </c>
      <c r="AG124" s="19">
        <v>0.0</v>
      </c>
      <c r="AH124" s="19">
        <v>0.0</v>
      </c>
      <c r="AI124" s="19">
        <v>0.0</v>
      </c>
      <c r="AJ124" s="19">
        <v>0.0</v>
      </c>
      <c r="AK124" s="19">
        <v>0.0</v>
      </c>
      <c r="AL124" s="19">
        <v>0.0</v>
      </c>
      <c r="AM124" s="19">
        <v>0.0</v>
      </c>
      <c r="AN124" s="19">
        <v>0.0</v>
      </c>
      <c r="AO124" s="19">
        <v>0.0</v>
      </c>
      <c r="AP124" s="19">
        <v>0.0</v>
      </c>
      <c r="AQ124" s="19">
        <v>0.0</v>
      </c>
      <c r="AR124" s="13">
        <f t="shared" si="30"/>
        <v>2</v>
      </c>
    </row>
    <row r="125" ht="12.75" customHeight="1">
      <c r="A125" s="18"/>
      <c r="B125" s="55">
        <v>4.0</v>
      </c>
      <c r="C125" s="50" t="s">
        <v>109</v>
      </c>
      <c r="D125" s="57"/>
      <c r="E125" s="19">
        <v>0.0</v>
      </c>
      <c r="F125" s="19">
        <v>0.0</v>
      </c>
      <c r="G125" s="19">
        <v>0.0</v>
      </c>
      <c r="H125" s="19">
        <v>0.0</v>
      </c>
      <c r="I125" s="19">
        <v>0.0</v>
      </c>
      <c r="J125" s="19">
        <v>0.0</v>
      </c>
      <c r="K125" s="19">
        <v>0.0</v>
      </c>
      <c r="L125" s="19">
        <v>0.0</v>
      </c>
      <c r="M125" s="19">
        <v>0.0</v>
      </c>
      <c r="N125" s="19">
        <v>0.0</v>
      </c>
      <c r="O125" s="19">
        <v>0.0</v>
      </c>
      <c r="P125" s="19">
        <v>0.0</v>
      </c>
      <c r="Q125" s="19">
        <v>0.0</v>
      </c>
      <c r="R125" s="19">
        <v>0.0</v>
      </c>
      <c r="S125" s="19">
        <v>0.0</v>
      </c>
      <c r="T125" s="19">
        <v>0.0</v>
      </c>
      <c r="U125" s="19">
        <v>0.0</v>
      </c>
      <c r="V125" s="19">
        <v>0.0</v>
      </c>
      <c r="W125" s="19">
        <v>0.0</v>
      </c>
      <c r="X125" s="19">
        <v>0.0</v>
      </c>
      <c r="Y125" s="19">
        <v>0.0</v>
      </c>
      <c r="Z125" s="19">
        <v>0.0</v>
      </c>
      <c r="AA125" s="19">
        <v>0.0</v>
      </c>
      <c r="AB125" s="19">
        <v>0.0</v>
      </c>
      <c r="AC125" s="19">
        <v>0.0</v>
      </c>
      <c r="AD125" s="19">
        <v>0.0</v>
      </c>
      <c r="AE125" s="19">
        <v>0.0</v>
      </c>
      <c r="AF125" s="19">
        <v>0.0</v>
      </c>
      <c r="AG125" s="19">
        <v>0.0</v>
      </c>
      <c r="AH125" s="19">
        <v>0.0</v>
      </c>
      <c r="AI125" s="19">
        <v>0.0</v>
      </c>
      <c r="AJ125" s="19">
        <v>0.0</v>
      </c>
      <c r="AK125" s="19">
        <v>0.0</v>
      </c>
      <c r="AL125" s="19">
        <v>0.0</v>
      </c>
      <c r="AM125" s="19">
        <v>0.0</v>
      </c>
      <c r="AN125" s="19">
        <v>0.0</v>
      </c>
      <c r="AO125" s="19">
        <v>0.0</v>
      </c>
      <c r="AP125" s="19">
        <v>0.0</v>
      </c>
      <c r="AQ125" s="19">
        <v>0.0</v>
      </c>
      <c r="AR125" s="13">
        <f t="shared" si="30"/>
        <v>0</v>
      </c>
    </row>
    <row r="126" ht="12.75" customHeight="1">
      <c r="A126" s="18"/>
      <c r="B126" s="55">
        <v>5.0</v>
      </c>
      <c r="C126" s="50" t="s">
        <v>110</v>
      </c>
      <c r="D126" s="57"/>
      <c r="E126" s="19">
        <v>0.0</v>
      </c>
      <c r="F126" s="19">
        <v>0.0</v>
      </c>
      <c r="G126" s="19">
        <v>0.0</v>
      </c>
      <c r="H126" s="19">
        <v>0.0</v>
      </c>
      <c r="I126" s="19">
        <v>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0.0</v>
      </c>
      <c r="Q126" s="19">
        <v>0.0</v>
      </c>
      <c r="R126" s="19">
        <v>0.0</v>
      </c>
      <c r="S126" s="19">
        <v>0.0</v>
      </c>
      <c r="T126" s="19">
        <v>0.0</v>
      </c>
      <c r="U126" s="19">
        <v>0.0</v>
      </c>
      <c r="V126" s="19">
        <v>0.0</v>
      </c>
      <c r="W126" s="19">
        <v>0.0</v>
      </c>
      <c r="X126" s="19">
        <v>0.0</v>
      </c>
      <c r="Y126" s="19">
        <v>0.0</v>
      </c>
      <c r="Z126" s="19">
        <v>0.0</v>
      </c>
      <c r="AA126" s="19">
        <v>0.0</v>
      </c>
      <c r="AB126" s="19">
        <v>0.0</v>
      </c>
      <c r="AC126" s="19">
        <v>0.0</v>
      </c>
      <c r="AD126" s="19">
        <v>0.0</v>
      </c>
      <c r="AE126" s="19">
        <v>0.0</v>
      </c>
      <c r="AF126" s="19">
        <v>0.0</v>
      </c>
      <c r="AG126" s="19">
        <v>0.0</v>
      </c>
      <c r="AH126" s="19">
        <v>0.0</v>
      </c>
      <c r="AI126" s="19">
        <v>0.0</v>
      </c>
      <c r="AJ126" s="19">
        <v>0.0</v>
      </c>
      <c r="AK126" s="19">
        <v>0.0</v>
      </c>
      <c r="AL126" s="19">
        <v>0.0</v>
      </c>
      <c r="AM126" s="19">
        <v>0.0</v>
      </c>
      <c r="AN126" s="19">
        <v>0.0</v>
      </c>
      <c r="AO126" s="19">
        <v>0.0</v>
      </c>
      <c r="AP126" s="19">
        <v>0.0</v>
      </c>
      <c r="AQ126" s="19">
        <v>0.0</v>
      </c>
      <c r="AR126" s="13">
        <f t="shared" si="30"/>
        <v>0</v>
      </c>
    </row>
    <row r="127" ht="12.75" customHeight="1">
      <c r="A127" s="18"/>
      <c r="B127" s="55">
        <v>6.0</v>
      </c>
      <c r="C127" s="50" t="s">
        <v>111</v>
      </c>
      <c r="D127" s="57"/>
      <c r="E127" s="19">
        <v>0.0</v>
      </c>
      <c r="F127" s="19">
        <v>0.0</v>
      </c>
      <c r="G127" s="19">
        <v>0.0</v>
      </c>
      <c r="H127" s="19">
        <v>0.0</v>
      </c>
      <c r="I127" s="19">
        <v>0.0</v>
      </c>
      <c r="J127" s="19">
        <v>0.0</v>
      </c>
      <c r="K127" s="19">
        <v>0.0</v>
      </c>
      <c r="L127" s="19">
        <v>0.0</v>
      </c>
      <c r="M127" s="19">
        <v>0.0</v>
      </c>
      <c r="N127" s="19">
        <v>0.0</v>
      </c>
      <c r="O127" s="19">
        <v>0.0</v>
      </c>
      <c r="P127" s="19">
        <v>0.0</v>
      </c>
      <c r="Q127" s="19">
        <v>0.0</v>
      </c>
      <c r="R127" s="19">
        <v>0.0</v>
      </c>
      <c r="S127" s="19">
        <v>0.0</v>
      </c>
      <c r="T127" s="19">
        <v>0.0</v>
      </c>
      <c r="U127" s="19">
        <v>0.0</v>
      </c>
      <c r="V127" s="19">
        <v>0.0</v>
      </c>
      <c r="W127" s="19">
        <v>0.0</v>
      </c>
      <c r="X127" s="19">
        <v>0.0</v>
      </c>
      <c r="Y127" s="19">
        <v>0.0</v>
      </c>
      <c r="Z127" s="19">
        <v>0.0</v>
      </c>
      <c r="AA127" s="19">
        <v>0.0</v>
      </c>
      <c r="AB127" s="19">
        <v>0.0</v>
      </c>
      <c r="AC127" s="19">
        <v>0.0</v>
      </c>
      <c r="AD127" s="19">
        <v>0.0</v>
      </c>
      <c r="AE127" s="19">
        <v>0.0</v>
      </c>
      <c r="AF127" s="19">
        <v>0.0</v>
      </c>
      <c r="AG127" s="19">
        <v>0.0</v>
      </c>
      <c r="AH127" s="19">
        <v>0.0</v>
      </c>
      <c r="AI127" s="19">
        <v>0.0</v>
      </c>
      <c r="AJ127" s="19">
        <v>0.0</v>
      </c>
      <c r="AK127" s="19">
        <v>0.0</v>
      </c>
      <c r="AL127" s="19">
        <v>0.0</v>
      </c>
      <c r="AM127" s="19">
        <v>0.0</v>
      </c>
      <c r="AN127" s="19">
        <v>0.0</v>
      </c>
      <c r="AO127" s="19">
        <v>0.0</v>
      </c>
      <c r="AP127" s="19">
        <v>0.0</v>
      </c>
      <c r="AQ127" s="19">
        <v>0.0</v>
      </c>
      <c r="AR127" s="13">
        <f t="shared" si="30"/>
        <v>0</v>
      </c>
    </row>
    <row r="128" ht="12.75" customHeight="1">
      <c r="A128" s="18"/>
      <c r="B128" s="55">
        <v>7.0</v>
      </c>
      <c r="C128" s="50" t="s">
        <v>112</v>
      </c>
      <c r="D128" s="57"/>
      <c r="E128" s="19">
        <v>0.0</v>
      </c>
      <c r="F128" s="19">
        <v>0.0</v>
      </c>
      <c r="G128" s="19">
        <v>0.0</v>
      </c>
      <c r="H128" s="19">
        <v>0.0</v>
      </c>
      <c r="I128" s="19">
        <v>0.0</v>
      </c>
      <c r="J128" s="19">
        <v>0.0</v>
      </c>
      <c r="K128" s="19">
        <v>0.0</v>
      </c>
      <c r="L128" s="19">
        <v>0.0</v>
      </c>
      <c r="M128" s="19">
        <v>0.0</v>
      </c>
      <c r="N128" s="19">
        <v>0.0</v>
      </c>
      <c r="O128" s="19">
        <v>0.0</v>
      </c>
      <c r="P128" s="19">
        <v>0.0</v>
      </c>
      <c r="Q128" s="19">
        <v>0.0</v>
      </c>
      <c r="R128" s="19">
        <v>0.0</v>
      </c>
      <c r="S128" s="19">
        <v>0.0</v>
      </c>
      <c r="T128" s="19">
        <v>0.0</v>
      </c>
      <c r="U128" s="19">
        <v>0.0</v>
      </c>
      <c r="V128" s="19">
        <v>0.0</v>
      </c>
      <c r="W128" s="19">
        <v>0.0</v>
      </c>
      <c r="X128" s="19">
        <v>0.0</v>
      </c>
      <c r="Y128" s="19">
        <v>0.0</v>
      </c>
      <c r="Z128" s="19">
        <v>0.0</v>
      </c>
      <c r="AA128" s="19">
        <v>0.0</v>
      </c>
      <c r="AB128" s="19">
        <v>0.0</v>
      </c>
      <c r="AC128" s="19">
        <v>0.0</v>
      </c>
      <c r="AD128" s="19">
        <v>0.0</v>
      </c>
      <c r="AE128" s="19">
        <v>0.0</v>
      </c>
      <c r="AF128" s="19">
        <v>0.0</v>
      </c>
      <c r="AG128" s="19">
        <v>0.0</v>
      </c>
      <c r="AH128" s="19">
        <v>0.0</v>
      </c>
      <c r="AI128" s="19">
        <v>0.0</v>
      </c>
      <c r="AJ128" s="19">
        <v>0.0</v>
      </c>
      <c r="AK128" s="19">
        <v>0.0</v>
      </c>
      <c r="AL128" s="19">
        <v>0.0</v>
      </c>
      <c r="AM128" s="19">
        <v>0.0</v>
      </c>
      <c r="AN128" s="19">
        <v>0.0</v>
      </c>
      <c r="AO128" s="19">
        <v>0.0</v>
      </c>
      <c r="AP128" s="19">
        <v>0.0</v>
      </c>
      <c r="AQ128" s="19">
        <v>0.0</v>
      </c>
      <c r="AR128" s="13">
        <f t="shared" si="30"/>
        <v>0</v>
      </c>
    </row>
    <row r="129" ht="12.75" customHeight="1">
      <c r="A129" s="19" t="s">
        <v>15</v>
      </c>
      <c r="B129" s="47" t="s">
        <v>47</v>
      </c>
      <c r="C129" s="15"/>
      <c r="D129" s="16"/>
      <c r="E129" s="13">
        <f t="shared" ref="E129:AR129" si="31">SUM(E121:E128)</f>
        <v>0</v>
      </c>
      <c r="F129" s="13">
        <f t="shared" si="31"/>
        <v>0</v>
      </c>
      <c r="G129" s="13">
        <f t="shared" si="31"/>
        <v>0</v>
      </c>
      <c r="H129" s="13">
        <f t="shared" si="31"/>
        <v>0</v>
      </c>
      <c r="I129" s="13">
        <f t="shared" si="31"/>
        <v>0</v>
      </c>
      <c r="J129" s="13">
        <f t="shared" si="31"/>
        <v>0</v>
      </c>
      <c r="K129" s="13">
        <f t="shared" si="31"/>
        <v>0</v>
      </c>
      <c r="L129" s="13">
        <f t="shared" si="31"/>
        <v>0</v>
      </c>
      <c r="M129" s="13">
        <f t="shared" si="31"/>
        <v>1</v>
      </c>
      <c r="N129" s="13">
        <f t="shared" si="31"/>
        <v>0</v>
      </c>
      <c r="O129" s="13">
        <f t="shared" si="31"/>
        <v>0</v>
      </c>
      <c r="P129" s="13">
        <f t="shared" si="31"/>
        <v>1</v>
      </c>
      <c r="Q129" s="13">
        <f t="shared" si="31"/>
        <v>0</v>
      </c>
      <c r="R129" s="13">
        <f t="shared" si="31"/>
        <v>1</v>
      </c>
      <c r="S129" s="13">
        <f t="shared" si="31"/>
        <v>0</v>
      </c>
      <c r="T129" s="13">
        <f t="shared" si="31"/>
        <v>0</v>
      </c>
      <c r="U129" s="13">
        <f t="shared" si="31"/>
        <v>0</v>
      </c>
      <c r="V129" s="13">
        <f t="shared" si="31"/>
        <v>0</v>
      </c>
      <c r="W129" s="13">
        <f t="shared" si="31"/>
        <v>0</v>
      </c>
      <c r="X129" s="13">
        <f t="shared" si="31"/>
        <v>0</v>
      </c>
      <c r="Y129" s="13">
        <f t="shared" si="31"/>
        <v>0</v>
      </c>
      <c r="Z129" s="13">
        <f t="shared" si="31"/>
        <v>0</v>
      </c>
      <c r="AA129" s="13">
        <f t="shared" si="31"/>
        <v>1</v>
      </c>
      <c r="AB129" s="13">
        <f t="shared" si="31"/>
        <v>0</v>
      </c>
      <c r="AC129" s="13">
        <f t="shared" si="31"/>
        <v>1</v>
      </c>
      <c r="AD129" s="13">
        <f t="shared" si="31"/>
        <v>1</v>
      </c>
      <c r="AE129" s="13">
        <f t="shared" si="31"/>
        <v>0</v>
      </c>
      <c r="AF129" s="13">
        <f t="shared" si="31"/>
        <v>0</v>
      </c>
      <c r="AG129" s="13">
        <f t="shared" si="31"/>
        <v>0</v>
      </c>
      <c r="AH129" s="13">
        <f t="shared" si="31"/>
        <v>0</v>
      </c>
      <c r="AI129" s="13">
        <f t="shared" si="31"/>
        <v>0</v>
      </c>
      <c r="AJ129" s="13">
        <f t="shared" si="31"/>
        <v>1</v>
      </c>
      <c r="AK129" s="13">
        <f t="shared" si="31"/>
        <v>0</v>
      </c>
      <c r="AL129" s="13">
        <f t="shared" si="31"/>
        <v>1</v>
      </c>
      <c r="AM129" s="13">
        <f t="shared" si="31"/>
        <v>0</v>
      </c>
      <c r="AN129" s="13">
        <f t="shared" si="31"/>
        <v>0</v>
      </c>
      <c r="AO129" s="13">
        <f t="shared" si="31"/>
        <v>0</v>
      </c>
      <c r="AP129" s="13">
        <f t="shared" si="31"/>
        <v>1</v>
      </c>
      <c r="AQ129" s="13">
        <f t="shared" si="31"/>
        <v>0</v>
      </c>
      <c r="AR129" s="13">
        <f t="shared" si="31"/>
        <v>9</v>
      </c>
    </row>
    <row r="130" ht="12.75" customHeight="1">
      <c r="A130" s="24"/>
      <c r="B130" s="15"/>
      <c r="C130" s="15"/>
      <c r="D130" s="15"/>
      <c r="E130" s="16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13"/>
    </row>
    <row r="131" ht="12.75" customHeight="1">
      <c r="A131" s="30" t="s">
        <v>37</v>
      </c>
      <c r="B131" s="17" t="s">
        <v>113</v>
      </c>
      <c r="C131" s="59" t="s">
        <v>114</v>
      </c>
      <c r="D131" s="23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1.0</v>
      </c>
      <c r="M131" s="19">
        <v>3.0</v>
      </c>
      <c r="N131" s="19">
        <v>6.0</v>
      </c>
      <c r="O131" s="19">
        <v>1.0</v>
      </c>
      <c r="P131" s="19">
        <v>5.0</v>
      </c>
      <c r="Q131" s="19">
        <v>2.0</v>
      </c>
      <c r="R131" s="19">
        <v>0.0</v>
      </c>
      <c r="S131" s="19">
        <v>1.0</v>
      </c>
      <c r="T131" s="19">
        <v>0.0</v>
      </c>
      <c r="U131" s="19">
        <v>0.0</v>
      </c>
      <c r="V131" s="19">
        <v>0.0</v>
      </c>
      <c r="W131" s="19">
        <v>0.0</v>
      </c>
      <c r="X131" s="19">
        <v>2.0</v>
      </c>
      <c r="Y131" s="19">
        <v>2.0</v>
      </c>
      <c r="Z131" s="19">
        <v>1.0</v>
      </c>
      <c r="AA131" s="19">
        <v>1.0</v>
      </c>
      <c r="AB131" s="19">
        <v>0.0</v>
      </c>
      <c r="AC131" s="19">
        <v>1.0</v>
      </c>
      <c r="AD131" s="19">
        <v>0.0</v>
      </c>
      <c r="AE131" s="19">
        <v>0.0</v>
      </c>
      <c r="AF131" s="19">
        <v>0.0</v>
      </c>
      <c r="AG131" s="19">
        <v>1.0</v>
      </c>
      <c r="AH131" s="19">
        <v>0.0</v>
      </c>
      <c r="AI131" s="19">
        <v>0.0</v>
      </c>
      <c r="AJ131" s="19">
        <v>3.0</v>
      </c>
      <c r="AK131" s="19">
        <v>3.0</v>
      </c>
      <c r="AL131" s="19">
        <v>5.0</v>
      </c>
      <c r="AM131" s="19">
        <v>0.0</v>
      </c>
      <c r="AN131" s="19">
        <v>3.0</v>
      </c>
      <c r="AO131" s="19">
        <v>0.0</v>
      </c>
      <c r="AP131" s="19">
        <v>6.0</v>
      </c>
      <c r="AQ131" s="19">
        <v>1.0</v>
      </c>
      <c r="AR131" s="13">
        <f t="shared" ref="AR131:AR135" si="32">SUM(E131:AQ131)</f>
        <v>48</v>
      </c>
    </row>
    <row r="132" ht="12.75" customHeight="1">
      <c r="A132" s="60" t="s">
        <v>39</v>
      </c>
      <c r="B132" s="55">
        <v>1.0</v>
      </c>
      <c r="C132" s="61" t="s">
        <v>115</v>
      </c>
      <c r="D132" s="57"/>
      <c r="E132" s="74">
        <v>0.0</v>
      </c>
      <c r="F132" s="19">
        <v>2.0</v>
      </c>
      <c r="G132" s="19">
        <v>0.0</v>
      </c>
      <c r="H132" s="19">
        <v>1.0</v>
      </c>
      <c r="I132" s="19">
        <v>0.0</v>
      </c>
      <c r="J132" s="19">
        <v>0.0</v>
      </c>
      <c r="K132" s="19">
        <v>0.0</v>
      </c>
      <c r="L132" s="19">
        <v>5.0</v>
      </c>
      <c r="M132" s="19">
        <v>5.0</v>
      </c>
      <c r="N132" s="19">
        <v>5.0</v>
      </c>
      <c r="O132" s="19">
        <v>0.0</v>
      </c>
      <c r="P132" s="19">
        <v>1.0</v>
      </c>
      <c r="Q132" s="19">
        <v>8.0</v>
      </c>
      <c r="R132" s="19">
        <v>2.0</v>
      </c>
      <c r="S132" s="19">
        <v>3.0</v>
      </c>
      <c r="T132" s="19">
        <v>0.0</v>
      </c>
      <c r="U132" s="19">
        <v>1.0</v>
      </c>
      <c r="V132" s="19">
        <v>0.0</v>
      </c>
      <c r="W132" s="19">
        <v>6.0</v>
      </c>
      <c r="X132" s="19">
        <v>4.0</v>
      </c>
      <c r="Y132" s="19">
        <v>1.0</v>
      </c>
      <c r="Z132" s="19">
        <v>4.0</v>
      </c>
      <c r="AA132" s="19">
        <v>0.0</v>
      </c>
      <c r="AB132" s="19">
        <v>1.0</v>
      </c>
      <c r="AC132" s="19">
        <v>1.0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2.0</v>
      </c>
      <c r="AJ132" s="19">
        <v>5.0</v>
      </c>
      <c r="AK132" s="19">
        <v>1.0</v>
      </c>
      <c r="AL132" s="19">
        <v>6.0</v>
      </c>
      <c r="AM132" s="19">
        <v>0.0</v>
      </c>
      <c r="AN132" s="19">
        <v>2.0</v>
      </c>
      <c r="AO132" s="19">
        <v>0.0</v>
      </c>
      <c r="AP132" s="19">
        <v>5.0</v>
      </c>
      <c r="AQ132" s="19">
        <v>4.0</v>
      </c>
      <c r="AR132" s="13">
        <f t="shared" si="32"/>
        <v>75</v>
      </c>
    </row>
    <row r="133" ht="12.75" customHeight="1">
      <c r="A133" s="18"/>
      <c r="B133" s="55">
        <v>2.0</v>
      </c>
      <c r="C133" s="61" t="s">
        <v>116</v>
      </c>
      <c r="D133" s="57"/>
      <c r="E133" s="74">
        <v>0.0</v>
      </c>
      <c r="F133" s="19">
        <v>0.0</v>
      </c>
      <c r="G133" s="19">
        <v>0.0</v>
      </c>
      <c r="H133" s="19">
        <v>1.0</v>
      </c>
      <c r="I133" s="19">
        <v>0.0</v>
      </c>
      <c r="J133" s="19">
        <v>0.0</v>
      </c>
      <c r="K133" s="19">
        <v>2.0</v>
      </c>
      <c r="L133" s="19">
        <v>1.0</v>
      </c>
      <c r="M133" s="19">
        <v>0.0</v>
      </c>
      <c r="N133" s="19">
        <v>2.0</v>
      </c>
      <c r="O133" s="19">
        <v>0.0</v>
      </c>
      <c r="P133" s="19">
        <v>0.0</v>
      </c>
      <c r="Q133" s="19">
        <v>1.0</v>
      </c>
      <c r="R133" s="19">
        <v>0.0</v>
      </c>
      <c r="S133" s="19">
        <v>0.0</v>
      </c>
      <c r="T133" s="19">
        <v>1.0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1.0</v>
      </c>
      <c r="AI133" s="19">
        <v>0.0</v>
      </c>
      <c r="AJ133" s="19">
        <v>4.0</v>
      </c>
      <c r="AK133" s="19">
        <v>0.0</v>
      </c>
      <c r="AL133" s="19">
        <v>0.0</v>
      </c>
      <c r="AM133" s="19">
        <v>7.0</v>
      </c>
      <c r="AN133" s="19">
        <v>0.0</v>
      </c>
      <c r="AO133" s="19">
        <v>1.0</v>
      </c>
      <c r="AP133" s="19">
        <v>0.0</v>
      </c>
      <c r="AQ133" s="19">
        <v>0.0</v>
      </c>
      <c r="AR133" s="13">
        <f t="shared" si="32"/>
        <v>21</v>
      </c>
    </row>
    <row r="134" ht="12.75" customHeight="1">
      <c r="A134" s="18"/>
      <c r="B134" s="55">
        <v>3.0</v>
      </c>
      <c r="C134" s="61" t="s">
        <v>117</v>
      </c>
      <c r="D134" s="57"/>
      <c r="E134" s="74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1.0</v>
      </c>
      <c r="N134" s="19">
        <v>1.0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1.0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1.0</v>
      </c>
      <c r="AQ134" s="19">
        <v>0.0</v>
      </c>
      <c r="AR134" s="13">
        <f t="shared" si="32"/>
        <v>4</v>
      </c>
    </row>
    <row r="135" ht="12.75" customHeight="1">
      <c r="A135" s="18"/>
      <c r="B135" s="55">
        <v>4.0</v>
      </c>
      <c r="C135" s="61" t="s">
        <v>118</v>
      </c>
      <c r="D135" s="57"/>
      <c r="E135" s="74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1.0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1.0</v>
      </c>
      <c r="AQ135" s="19">
        <v>0.0</v>
      </c>
      <c r="AR135" s="13">
        <f t="shared" si="32"/>
        <v>2</v>
      </c>
    </row>
    <row r="136" ht="12.75" customHeight="1">
      <c r="A136" s="19" t="s">
        <v>15</v>
      </c>
      <c r="B136" s="62" t="s">
        <v>47</v>
      </c>
      <c r="C136" s="44"/>
      <c r="D136" s="28"/>
      <c r="E136" s="13">
        <f t="shared" ref="E136:AR136" si="33">SUM(E131:E135)</f>
        <v>0</v>
      </c>
      <c r="F136" s="13">
        <f t="shared" si="33"/>
        <v>2</v>
      </c>
      <c r="G136" s="13">
        <f t="shared" si="33"/>
        <v>0</v>
      </c>
      <c r="H136" s="13">
        <f t="shared" si="33"/>
        <v>2</v>
      </c>
      <c r="I136" s="13">
        <f t="shared" si="33"/>
        <v>0</v>
      </c>
      <c r="J136" s="13">
        <f t="shared" si="33"/>
        <v>0</v>
      </c>
      <c r="K136" s="13">
        <f t="shared" si="33"/>
        <v>2</v>
      </c>
      <c r="L136" s="13">
        <f t="shared" si="33"/>
        <v>7</v>
      </c>
      <c r="M136" s="13">
        <f t="shared" si="33"/>
        <v>9</v>
      </c>
      <c r="N136" s="13">
        <f t="shared" si="33"/>
        <v>14</v>
      </c>
      <c r="O136" s="13">
        <f t="shared" si="33"/>
        <v>1</v>
      </c>
      <c r="P136" s="13">
        <f t="shared" si="33"/>
        <v>6</v>
      </c>
      <c r="Q136" s="13">
        <f t="shared" si="33"/>
        <v>11</v>
      </c>
      <c r="R136" s="13">
        <f t="shared" si="33"/>
        <v>2</v>
      </c>
      <c r="S136" s="13">
        <f t="shared" si="33"/>
        <v>5</v>
      </c>
      <c r="T136" s="13">
        <f t="shared" si="33"/>
        <v>1</v>
      </c>
      <c r="U136" s="13">
        <f t="shared" si="33"/>
        <v>2</v>
      </c>
      <c r="V136" s="13">
        <f t="shared" si="33"/>
        <v>0</v>
      </c>
      <c r="W136" s="13">
        <f t="shared" si="33"/>
        <v>6</v>
      </c>
      <c r="X136" s="13">
        <f t="shared" si="33"/>
        <v>6</v>
      </c>
      <c r="Y136" s="13">
        <f t="shared" si="33"/>
        <v>3</v>
      </c>
      <c r="Z136" s="13">
        <f t="shared" si="33"/>
        <v>5</v>
      </c>
      <c r="AA136" s="13">
        <f t="shared" si="33"/>
        <v>1</v>
      </c>
      <c r="AB136" s="13">
        <f t="shared" si="33"/>
        <v>1</v>
      </c>
      <c r="AC136" s="13">
        <f t="shared" si="33"/>
        <v>2</v>
      </c>
      <c r="AD136" s="13">
        <f t="shared" si="33"/>
        <v>0</v>
      </c>
      <c r="AE136" s="13">
        <f t="shared" si="33"/>
        <v>0</v>
      </c>
      <c r="AF136" s="13">
        <f t="shared" si="33"/>
        <v>0</v>
      </c>
      <c r="AG136" s="13">
        <f t="shared" si="33"/>
        <v>1</v>
      </c>
      <c r="AH136" s="13">
        <f t="shared" si="33"/>
        <v>1</v>
      </c>
      <c r="AI136" s="13">
        <f t="shared" si="33"/>
        <v>2</v>
      </c>
      <c r="AJ136" s="13">
        <f t="shared" si="33"/>
        <v>12</v>
      </c>
      <c r="AK136" s="13">
        <f t="shared" si="33"/>
        <v>4</v>
      </c>
      <c r="AL136" s="13">
        <f t="shared" si="33"/>
        <v>11</v>
      </c>
      <c r="AM136" s="13">
        <f t="shared" si="33"/>
        <v>7</v>
      </c>
      <c r="AN136" s="13">
        <f t="shared" si="33"/>
        <v>5</v>
      </c>
      <c r="AO136" s="13">
        <f t="shared" si="33"/>
        <v>1</v>
      </c>
      <c r="AP136" s="13">
        <f t="shared" si="33"/>
        <v>13</v>
      </c>
      <c r="AQ136" s="13">
        <f t="shared" si="33"/>
        <v>5</v>
      </c>
      <c r="AR136" s="13">
        <f t="shared" si="33"/>
        <v>150</v>
      </c>
    </row>
    <row r="137" ht="12.75" customHeight="1">
      <c r="A137" s="24"/>
      <c r="B137" s="15"/>
      <c r="C137" s="15"/>
      <c r="D137" s="15"/>
      <c r="E137" s="16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</row>
    <row r="138" ht="12.75" customHeight="1">
      <c r="A138" s="30" t="s">
        <v>37</v>
      </c>
      <c r="B138" s="47" t="s">
        <v>119</v>
      </c>
      <c r="C138" s="48" t="s">
        <v>120</v>
      </c>
      <c r="D138" s="16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0.0</v>
      </c>
      <c r="N138" s="19">
        <v>1.0</v>
      </c>
      <c r="O138" s="19">
        <v>0.0</v>
      </c>
      <c r="P138" s="19">
        <v>0.0</v>
      </c>
      <c r="Q138" s="19">
        <v>0.0</v>
      </c>
      <c r="R138" s="19">
        <v>0.0</v>
      </c>
      <c r="S138" s="19">
        <v>1.0</v>
      </c>
      <c r="T138" s="19">
        <v>0.0</v>
      </c>
      <c r="U138" s="19">
        <v>0.0</v>
      </c>
      <c r="V138" s="19">
        <v>0.0</v>
      </c>
      <c r="W138" s="19">
        <v>0.0</v>
      </c>
      <c r="X138" s="19">
        <v>0.0</v>
      </c>
      <c r="Y138" s="19">
        <v>0.0</v>
      </c>
      <c r="Z138" s="19">
        <v>0.0</v>
      </c>
      <c r="AA138" s="19">
        <v>1.0</v>
      </c>
      <c r="AB138" s="19">
        <v>0.0</v>
      </c>
      <c r="AC138" s="19">
        <v>0.0</v>
      </c>
      <c r="AD138" s="19">
        <v>0.0</v>
      </c>
      <c r="AE138" s="19">
        <v>0.0</v>
      </c>
      <c r="AF138" s="19">
        <v>0.0</v>
      </c>
      <c r="AG138" s="19">
        <v>0.0</v>
      </c>
      <c r="AH138" s="19">
        <v>0.0</v>
      </c>
      <c r="AI138" s="19">
        <v>1.0</v>
      </c>
      <c r="AJ138" s="19">
        <v>1.0</v>
      </c>
      <c r="AK138" s="19">
        <v>1.0</v>
      </c>
      <c r="AL138" s="19">
        <v>0.0</v>
      </c>
      <c r="AM138" s="19">
        <v>0.0</v>
      </c>
      <c r="AN138" s="19">
        <v>1.0</v>
      </c>
      <c r="AO138" s="19">
        <v>0.0</v>
      </c>
      <c r="AP138" s="19">
        <v>0.0</v>
      </c>
      <c r="AQ138" s="19">
        <v>0.0</v>
      </c>
      <c r="AR138" s="13">
        <f t="shared" ref="AR138:AR145" si="34">SUM(E138:AQ138)</f>
        <v>7</v>
      </c>
    </row>
    <row r="139" ht="12.75" customHeight="1">
      <c r="A139" s="30" t="s">
        <v>39</v>
      </c>
      <c r="B139" s="55">
        <v>1.0</v>
      </c>
      <c r="C139" s="50" t="s">
        <v>121</v>
      </c>
      <c r="D139" s="57"/>
      <c r="E139" s="19">
        <v>0.0</v>
      </c>
      <c r="F139" s="19">
        <v>0.0</v>
      </c>
      <c r="G139" s="19">
        <v>0.0</v>
      </c>
      <c r="H139" s="19">
        <v>1.0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1.0</v>
      </c>
      <c r="O139" s="19">
        <v>0.0</v>
      </c>
      <c r="P139" s="19">
        <v>0.0</v>
      </c>
      <c r="Q139" s="19">
        <v>0.0</v>
      </c>
      <c r="R139" s="19">
        <v>0.0</v>
      </c>
      <c r="S139" s="19">
        <v>0.0</v>
      </c>
      <c r="T139" s="19">
        <v>0.0</v>
      </c>
      <c r="U139" s="19">
        <v>0.0</v>
      </c>
      <c r="V139" s="19">
        <v>0.0</v>
      </c>
      <c r="W139" s="19">
        <v>1.0</v>
      </c>
      <c r="X139" s="19">
        <v>0.0</v>
      </c>
      <c r="Y139" s="19">
        <v>0.0</v>
      </c>
      <c r="Z139" s="19">
        <v>1.0</v>
      </c>
      <c r="AA139" s="19">
        <v>0.0</v>
      </c>
      <c r="AB139" s="19">
        <v>0.0</v>
      </c>
      <c r="AC139" s="19">
        <v>0.0</v>
      </c>
      <c r="AD139" s="19">
        <v>0.0</v>
      </c>
      <c r="AE139" s="19">
        <v>0.0</v>
      </c>
      <c r="AF139" s="19">
        <v>0.0</v>
      </c>
      <c r="AG139" s="19">
        <v>1.0</v>
      </c>
      <c r="AH139" s="19">
        <v>0.0</v>
      </c>
      <c r="AI139" s="19">
        <v>0.0</v>
      </c>
      <c r="AJ139" s="19">
        <v>0.0</v>
      </c>
      <c r="AK139" s="19">
        <v>0.0</v>
      </c>
      <c r="AL139" s="19">
        <v>0.0</v>
      </c>
      <c r="AM139" s="19">
        <v>0.0</v>
      </c>
      <c r="AN139" s="19">
        <v>0.0</v>
      </c>
      <c r="AO139" s="19">
        <v>0.0</v>
      </c>
      <c r="AP139" s="19">
        <v>0.0</v>
      </c>
      <c r="AQ139" s="19">
        <v>0.0</v>
      </c>
      <c r="AR139" s="13">
        <f t="shared" si="34"/>
        <v>5</v>
      </c>
    </row>
    <row r="140" ht="12.75" customHeight="1">
      <c r="A140" s="18"/>
      <c r="B140" s="55">
        <v>2.0</v>
      </c>
      <c r="C140" s="50" t="s">
        <v>122</v>
      </c>
      <c r="D140" s="57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9">
        <v>0.0</v>
      </c>
      <c r="S140" s="19">
        <v>0.0</v>
      </c>
      <c r="T140" s="19">
        <v>0.0</v>
      </c>
      <c r="U140" s="19">
        <v>0.0</v>
      </c>
      <c r="V140" s="19">
        <v>0.0</v>
      </c>
      <c r="W140" s="19">
        <v>0.0</v>
      </c>
      <c r="X140" s="19">
        <v>0.0</v>
      </c>
      <c r="Y140" s="19">
        <v>0.0</v>
      </c>
      <c r="Z140" s="19">
        <v>0.0</v>
      </c>
      <c r="AA140" s="19">
        <v>0.0</v>
      </c>
      <c r="AB140" s="19">
        <v>0.0</v>
      </c>
      <c r="AC140" s="19">
        <v>0.0</v>
      </c>
      <c r="AD140" s="19">
        <v>1.0</v>
      </c>
      <c r="AE140" s="19">
        <v>0.0</v>
      </c>
      <c r="AF140" s="19">
        <v>0.0</v>
      </c>
      <c r="AG140" s="19">
        <v>0.0</v>
      </c>
      <c r="AH140" s="19">
        <v>0.0</v>
      </c>
      <c r="AI140" s="19">
        <v>0.0</v>
      </c>
      <c r="AJ140" s="19">
        <v>0.0</v>
      </c>
      <c r="AK140" s="19">
        <v>0.0</v>
      </c>
      <c r="AL140" s="19">
        <v>0.0</v>
      </c>
      <c r="AM140" s="19">
        <v>0.0</v>
      </c>
      <c r="AN140" s="19">
        <v>0.0</v>
      </c>
      <c r="AO140" s="19">
        <v>0.0</v>
      </c>
      <c r="AP140" s="19">
        <v>0.0</v>
      </c>
      <c r="AQ140" s="19">
        <v>0.0</v>
      </c>
      <c r="AR140" s="13">
        <f t="shared" si="34"/>
        <v>1</v>
      </c>
    </row>
    <row r="141" ht="12.75" customHeight="1">
      <c r="A141" s="18"/>
      <c r="B141" s="55">
        <v>3.0</v>
      </c>
      <c r="C141" s="50" t="s">
        <v>123</v>
      </c>
      <c r="D141" s="57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1.0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0.0</v>
      </c>
      <c r="AL141" s="19">
        <v>0.0</v>
      </c>
      <c r="AM141" s="19">
        <v>0.0</v>
      </c>
      <c r="AN141" s="19">
        <v>0.0</v>
      </c>
      <c r="AO141" s="19">
        <v>0.0</v>
      </c>
      <c r="AP141" s="19">
        <v>0.0</v>
      </c>
      <c r="AQ141" s="19">
        <v>0.0</v>
      </c>
      <c r="AR141" s="13">
        <f t="shared" si="34"/>
        <v>1</v>
      </c>
    </row>
    <row r="142" ht="12.75" customHeight="1">
      <c r="A142" s="18"/>
      <c r="B142" s="55">
        <v>4.0</v>
      </c>
      <c r="C142" s="50" t="s">
        <v>124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1.0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1.0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3">
        <f t="shared" si="34"/>
        <v>2</v>
      </c>
    </row>
    <row r="143" ht="12.75" customHeight="1">
      <c r="A143" s="18"/>
      <c r="B143" s="55">
        <v>5.0</v>
      </c>
      <c r="C143" s="50" t="s">
        <v>125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0.0</v>
      </c>
      <c r="AR143" s="13">
        <f t="shared" si="34"/>
        <v>0</v>
      </c>
    </row>
    <row r="144" ht="12.75" customHeight="1">
      <c r="A144" s="18"/>
      <c r="B144" s="55">
        <v>6.0</v>
      </c>
      <c r="C144" s="50" t="s">
        <v>126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1.0</v>
      </c>
      <c r="AL144" s="19">
        <v>0.0</v>
      </c>
      <c r="AM144" s="19">
        <v>0.0</v>
      </c>
      <c r="AN144" s="19">
        <v>0.0</v>
      </c>
      <c r="AO144" s="19">
        <v>0.0</v>
      </c>
      <c r="AP144" s="19">
        <v>0.0</v>
      </c>
      <c r="AQ144" s="19">
        <v>0.0</v>
      </c>
      <c r="AR144" s="13">
        <f t="shared" si="34"/>
        <v>1</v>
      </c>
    </row>
    <row r="145" ht="12.75" customHeight="1">
      <c r="A145" s="18"/>
      <c r="B145" s="55">
        <v>7.0</v>
      </c>
      <c r="C145" s="50" t="s">
        <v>127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3">
        <f t="shared" si="34"/>
        <v>0</v>
      </c>
    </row>
    <row r="146" ht="12.75" customHeight="1">
      <c r="A146" s="19" t="s">
        <v>15</v>
      </c>
      <c r="B146" s="47" t="s">
        <v>47</v>
      </c>
      <c r="C146" s="15"/>
      <c r="D146" s="16"/>
      <c r="E146" s="13">
        <f t="shared" ref="E146:AR146" si="35">SUM(E138:E145)</f>
        <v>0</v>
      </c>
      <c r="F146" s="13">
        <f t="shared" si="35"/>
        <v>0</v>
      </c>
      <c r="G146" s="13">
        <f t="shared" si="35"/>
        <v>0</v>
      </c>
      <c r="H146" s="13">
        <f t="shared" si="35"/>
        <v>1</v>
      </c>
      <c r="I146" s="13">
        <f t="shared" si="35"/>
        <v>0</v>
      </c>
      <c r="J146" s="13">
        <f t="shared" si="35"/>
        <v>0</v>
      </c>
      <c r="K146" s="13">
        <f t="shared" si="35"/>
        <v>0</v>
      </c>
      <c r="L146" s="13">
        <f t="shared" si="35"/>
        <v>0</v>
      </c>
      <c r="M146" s="13">
        <f t="shared" si="35"/>
        <v>0</v>
      </c>
      <c r="N146" s="13">
        <f t="shared" si="35"/>
        <v>3</v>
      </c>
      <c r="O146" s="13">
        <f t="shared" si="35"/>
        <v>0</v>
      </c>
      <c r="P146" s="13">
        <f t="shared" si="35"/>
        <v>0</v>
      </c>
      <c r="Q146" s="13">
        <f t="shared" si="35"/>
        <v>0</v>
      </c>
      <c r="R146" s="13">
        <f t="shared" si="35"/>
        <v>0</v>
      </c>
      <c r="S146" s="13">
        <f t="shared" si="35"/>
        <v>2</v>
      </c>
      <c r="T146" s="13">
        <f t="shared" si="35"/>
        <v>0</v>
      </c>
      <c r="U146" s="13">
        <f t="shared" si="35"/>
        <v>1</v>
      </c>
      <c r="V146" s="13">
        <f t="shared" si="35"/>
        <v>0</v>
      </c>
      <c r="W146" s="13">
        <f t="shared" si="35"/>
        <v>1</v>
      </c>
      <c r="X146" s="13">
        <f t="shared" si="35"/>
        <v>0</v>
      </c>
      <c r="Y146" s="13">
        <f t="shared" si="35"/>
        <v>0</v>
      </c>
      <c r="Z146" s="13">
        <f t="shared" si="35"/>
        <v>1</v>
      </c>
      <c r="AA146" s="13">
        <f t="shared" si="35"/>
        <v>1</v>
      </c>
      <c r="AB146" s="13">
        <f t="shared" si="35"/>
        <v>0</v>
      </c>
      <c r="AC146" s="13">
        <f t="shared" si="35"/>
        <v>0</v>
      </c>
      <c r="AD146" s="13">
        <f t="shared" si="35"/>
        <v>1</v>
      </c>
      <c r="AE146" s="13">
        <f t="shared" si="35"/>
        <v>0</v>
      </c>
      <c r="AF146" s="13">
        <f t="shared" si="35"/>
        <v>0</v>
      </c>
      <c r="AG146" s="13">
        <f t="shared" si="35"/>
        <v>1</v>
      </c>
      <c r="AH146" s="13">
        <f t="shared" si="35"/>
        <v>0</v>
      </c>
      <c r="AI146" s="13">
        <f t="shared" si="35"/>
        <v>1</v>
      </c>
      <c r="AJ146" s="13">
        <f t="shared" si="35"/>
        <v>1</v>
      </c>
      <c r="AK146" s="13">
        <f t="shared" si="35"/>
        <v>2</v>
      </c>
      <c r="AL146" s="13">
        <f t="shared" si="35"/>
        <v>0</v>
      </c>
      <c r="AM146" s="13">
        <f t="shared" si="35"/>
        <v>0</v>
      </c>
      <c r="AN146" s="13">
        <f t="shared" si="35"/>
        <v>1</v>
      </c>
      <c r="AO146" s="13">
        <f t="shared" si="35"/>
        <v>0</v>
      </c>
      <c r="AP146" s="13">
        <f t="shared" si="35"/>
        <v>0</v>
      </c>
      <c r="AQ146" s="13">
        <f t="shared" si="35"/>
        <v>0</v>
      </c>
      <c r="AR146" s="13">
        <f t="shared" si="35"/>
        <v>17</v>
      </c>
    </row>
    <row r="147" ht="12.75" customHeight="1">
      <c r="A147" s="24"/>
      <c r="B147" s="15"/>
      <c r="C147" s="15"/>
      <c r="D147" s="15"/>
      <c r="E147" s="16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</row>
    <row r="148" ht="12.75" customHeight="1">
      <c r="A148" s="30" t="s">
        <v>37</v>
      </c>
      <c r="B148" s="47" t="s">
        <v>128</v>
      </c>
      <c r="C148" s="48" t="s">
        <v>129</v>
      </c>
      <c r="D148" s="16"/>
      <c r="E148" s="19">
        <v>1.0</v>
      </c>
      <c r="F148" s="19">
        <v>2.0</v>
      </c>
      <c r="G148" s="19">
        <v>1.0</v>
      </c>
      <c r="H148" s="19">
        <v>2.0</v>
      </c>
      <c r="I148" s="19">
        <v>0.0</v>
      </c>
      <c r="J148" s="19">
        <v>0.0</v>
      </c>
      <c r="K148" s="19">
        <v>3.0</v>
      </c>
      <c r="L148" s="19">
        <v>0.0</v>
      </c>
      <c r="M148" s="19">
        <v>1.0</v>
      </c>
      <c r="N148" s="19">
        <v>0.0</v>
      </c>
      <c r="O148" s="19">
        <v>0.0</v>
      </c>
      <c r="P148" s="19">
        <v>0.0</v>
      </c>
      <c r="Q148" s="19">
        <v>1.0</v>
      </c>
      <c r="R148" s="19">
        <v>1.0</v>
      </c>
      <c r="S148" s="19">
        <v>1.0</v>
      </c>
      <c r="T148" s="19">
        <v>0.0</v>
      </c>
      <c r="U148" s="19">
        <v>2.0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1.0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1.0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9">
        <v>0.0</v>
      </c>
      <c r="AN148" s="19">
        <v>0.0</v>
      </c>
      <c r="AO148" s="19">
        <v>0.0</v>
      </c>
      <c r="AP148" s="19">
        <v>0.0</v>
      </c>
      <c r="AQ148" s="19">
        <v>0.0</v>
      </c>
      <c r="AR148" s="13">
        <f t="shared" ref="AR148:AR155" si="36">SUM(E148:AQ148)</f>
        <v>17</v>
      </c>
    </row>
    <row r="149" ht="12.75" customHeight="1">
      <c r="A149" s="30" t="s">
        <v>39</v>
      </c>
      <c r="B149" s="55">
        <v>1.0</v>
      </c>
      <c r="C149" s="50" t="s">
        <v>130</v>
      </c>
      <c r="D149" s="57"/>
      <c r="E149" s="19">
        <v>0.0</v>
      </c>
      <c r="F149" s="19">
        <v>1.0</v>
      </c>
      <c r="G149" s="19">
        <v>1.0</v>
      </c>
      <c r="H149" s="19">
        <v>2.0</v>
      </c>
      <c r="I149" s="19">
        <v>1.0</v>
      </c>
      <c r="J149" s="19">
        <v>0.0</v>
      </c>
      <c r="K149" s="19">
        <v>2.0</v>
      </c>
      <c r="L149" s="19">
        <v>0.0</v>
      </c>
      <c r="M149" s="19">
        <v>2.0</v>
      </c>
      <c r="N149" s="19">
        <v>1.0</v>
      </c>
      <c r="O149" s="19">
        <v>0.0</v>
      </c>
      <c r="P149" s="19">
        <v>1.0</v>
      </c>
      <c r="Q149" s="19">
        <v>0.0</v>
      </c>
      <c r="R149" s="19">
        <v>1.0</v>
      </c>
      <c r="S149" s="19">
        <v>0.0</v>
      </c>
      <c r="T149" s="19">
        <v>1.0</v>
      </c>
      <c r="U149" s="19">
        <v>0.0</v>
      </c>
      <c r="V149" s="19">
        <v>2.0</v>
      </c>
      <c r="W149" s="19">
        <v>0.0</v>
      </c>
      <c r="X149" s="19">
        <v>1.0</v>
      </c>
      <c r="Y149" s="19">
        <v>0.0</v>
      </c>
      <c r="Z149" s="19">
        <v>0.0</v>
      </c>
      <c r="AA149" s="19">
        <v>0.0</v>
      </c>
      <c r="AB149" s="19">
        <v>1.0</v>
      </c>
      <c r="AC149" s="19">
        <v>0.0</v>
      </c>
      <c r="AD149" s="19">
        <v>0.0</v>
      </c>
      <c r="AE149" s="19">
        <v>0.0</v>
      </c>
      <c r="AF149" s="19">
        <v>0.0</v>
      </c>
      <c r="AG149" s="19">
        <v>0.0</v>
      </c>
      <c r="AH149" s="19">
        <v>1.0</v>
      </c>
      <c r="AI149" s="19">
        <v>0.0</v>
      </c>
      <c r="AJ149" s="19">
        <v>0.0</v>
      </c>
      <c r="AK149" s="19">
        <v>1.0</v>
      </c>
      <c r="AL149" s="19">
        <v>0.0</v>
      </c>
      <c r="AM149" s="19">
        <v>0.0</v>
      </c>
      <c r="AN149" s="19">
        <v>0.0</v>
      </c>
      <c r="AO149" s="19">
        <v>1.0</v>
      </c>
      <c r="AP149" s="19">
        <v>1.0</v>
      </c>
      <c r="AQ149" s="19">
        <v>0.0</v>
      </c>
      <c r="AR149" s="13">
        <f t="shared" si="36"/>
        <v>21</v>
      </c>
    </row>
    <row r="150" ht="12.75" customHeight="1">
      <c r="A150" s="18"/>
      <c r="B150" s="55">
        <v>2.0</v>
      </c>
      <c r="C150" s="50" t="s">
        <v>131</v>
      </c>
      <c r="D150" s="57"/>
      <c r="E150" s="19">
        <v>1.0</v>
      </c>
      <c r="F150" s="19">
        <v>1.0</v>
      </c>
      <c r="G150" s="19">
        <v>2.0</v>
      </c>
      <c r="H150" s="19">
        <v>0.0</v>
      </c>
      <c r="I150" s="19">
        <v>0.0</v>
      </c>
      <c r="J150" s="19">
        <v>1.0</v>
      </c>
      <c r="K150" s="19">
        <v>0.0</v>
      </c>
      <c r="L150" s="19">
        <v>0.0</v>
      </c>
      <c r="M150" s="19">
        <v>0.0</v>
      </c>
      <c r="N150" s="19">
        <v>0.0</v>
      </c>
      <c r="O150" s="19">
        <v>1.0</v>
      </c>
      <c r="P150" s="19">
        <v>0.0</v>
      </c>
      <c r="Q150" s="19">
        <v>0.0</v>
      </c>
      <c r="R150" s="19">
        <v>0.0</v>
      </c>
      <c r="S150" s="19">
        <v>0.0</v>
      </c>
      <c r="T150" s="19">
        <v>0.0</v>
      </c>
      <c r="U150" s="19">
        <v>0.0</v>
      </c>
      <c r="V150" s="19">
        <v>0.0</v>
      </c>
      <c r="W150" s="19">
        <v>0.0</v>
      </c>
      <c r="X150" s="19">
        <v>0.0</v>
      </c>
      <c r="Y150" s="19">
        <v>0.0</v>
      </c>
      <c r="Z150" s="19">
        <v>0.0</v>
      </c>
      <c r="AA150" s="19">
        <v>0.0</v>
      </c>
      <c r="AB150" s="19">
        <v>0.0</v>
      </c>
      <c r="AC150" s="19">
        <v>1.0</v>
      </c>
      <c r="AD150" s="19">
        <v>0.0</v>
      </c>
      <c r="AE150" s="19">
        <v>0.0</v>
      </c>
      <c r="AF150" s="19">
        <v>0.0</v>
      </c>
      <c r="AG150" s="19">
        <v>0.0</v>
      </c>
      <c r="AH150" s="19">
        <v>0.0</v>
      </c>
      <c r="AI150" s="19">
        <v>0.0</v>
      </c>
      <c r="AJ150" s="19">
        <v>1.0</v>
      </c>
      <c r="AK150" s="19">
        <v>0.0</v>
      </c>
      <c r="AL150" s="19">
        <v>0.0</v>
      </c>
      <c r="AM150" s="19">
        <v>1.0</v>
      </c>
      <c r="AN150" s="19">
        <v>0.0</v>
      </c>
      <c r="AO150" s="19">
        <v>0.0</v>
      </c>
      <c r="AP150" s="19">
        <v>0.0</v>
      </c>
      <c r="AQ150" s="19">
        <v>0.0</v>
      </c>
      <c r="AR150" s="13">
        <f t="shared" si="36"/>
        <v>9</v>
      </c>
    </row>
    <row r="151" ht="12.75" customHeight="1">
      <c r="A151" s="18"/>
      <c r="B151" s="55">
        <v>3.0</v>
      </c>
      <c r="C151" s="50" t="s">
        <v>132</v>
      </c>
      <c r="D151" s="57"/>
      <c r="E151" s="19">
        <v>0.0</v>
      </c>
      <c r="F151" s="19">
        <v>0.0</v>
      </c>
      <c r="G151" s="19">
        <v>0.0</v>
      </c>
      <c r="H151" s="19">
        <v>0.0</v>
      </c>
      <c r="I151" s="19">
        <v>0.0</v>
      </c>
      <c r="J151" s="19">
        <v>1.0</v>
      </c>
      <c r="K151" s="19">
        <v>0.0</v>
      </c>
      <c r="L151" s="19">
        <v>0.0</v>
      </c>
      <c r="M151" s="19">
        <v>0.0</v>
      </c>
      <c r="N151" s="19">
        <v>0.0</v>
      </c>
      <c r="O151" s="19">
        <v>0.0</v>
      </c>
      <c r="P151" s="19">
        <v>2.0</v>
      </c>
      <c r="Q151" s="19">
        <v>0.0</v>
      </c>
      <c r="R151" s="19">
        <v>0.0</v>
      </c>
      <c r="S151" s="19">
        <v>0.0</v>
      </c>
      <c r="T151" s="19">
        <v>0.0</v>
      </c>
      <c r="U151" s="19">
        <v>0.0</v>
      </c>
      <c r="V151" s="19">
        <v>0.0</v>
      </c>
      <c r="W151" s="19">
        <v>0.0</v>
      </c>
      <c r="X151" s="19">
        <v>0.0</v>
      </c>
      <c r="Y151" s="19">
        <v>0.0</v>
      </c>
      <c r="Z151" s="19">
        <v>0.0</v>
      </c>
      <c r="AA151" s="19">
        <v>0.0</v>
      </c>
      <c r="AB151" s="19">
        <v>0.0</v>
      </c>
      <c r="AC151" s="19">
        <v>0.0</v>
      </c>
      <c r="AD151" s="19">
        <v>0.0</v>
      </c>
      <c r="AE151" s="19">
        <v>0.0</v>
      </c>
      <c r="AF151" s="19">
        <v>0.0</v>
      </c>
      <c r="AG151" s="19">
        <v>0.0</v>
      </c>
      <c r="AH151" s="19">
        <v>0.0</v>
      </c>
      <c r="AI151" s="19">
        <v>0.0</v>
      </c>
      <c r="AJ151" s="19">
        <v>0.0</v>
      </c>
      <c r="AK151" s="19">
        <v>0.0</v>
      </c>
      <c r="AL151" s="19">
        <v>0.0</v>
      </c>
      <c r="AM151" s="19">
        <v>1.0</v>
      </c>
      <c r="AN151" s="19">
        <v>0.0</v>
      </c>
      <c r="AO151" s="19">
        <v>0.0</v>
      </c>
      <c r="AP151" s="19">
        <v>0.0</v>
      </c>
      <c r="AQ151" s="19">
        <v>0.0</v>
      </c>
      <c r="AR151" s="13">
        <f t="shared" si="36"/>
        <v>4</v>
      </c>
    </row>
    <row r="152" ht="12.75" customHeight="1">
      <c r="A152" s="18"/>
      <c r="B152" s="55">
        <v>4.0</v>
      </c>
      <c r="C152" s="50" t="s">
        <v>133</v>
      </c>
      <c r="D152" s="57"/>
      <c r="E152" s="19">
        <v>0.0</v>
      </c>
      <c r="F152" s="19">
        <v>0.0</v>
      </c>
      <c r="G152" s="19">
        <v>0.0</v>
      </c>
      <c r="H152" s="19">
        <v>0.0</v>
      </c>
      <c r="I152" s="19">
        <v>0.0</v>
      </c>
      <c r="J152" s="19">
        <v>0.0</v>
      </c>
      <c r="K152" s="19">
        <v>0.0</v>
      </c>
      <c r="L152" s="19">
        <v>0.0</v>
      </c>
      <c r="M152" s="19">
        <v>0.0</v>
      </c>
      <c r="N152" s="19">
        <v>0.0</v>
      </c>
      <c r="O152" s="19">
        <v>0.0</v>
      </c>
      <c r="P152" s="19">
        <v>1.0</v>
      </c>
      <c r="Q152" s="19">
        <v>1.0</v>
      </c>
      <c r="R152" s="19">
        <v>1.0</v>
      </c>
      <c r="S152" s="19">
        <v>0.0</v>
      </c>
      <c r="T152" s="19">
        <v>0.0</v>
      </c>
      <c r="U152" s="19">
        <v>0.0</v>
      </c>
      <c r="V152" s="19">
        <v>0.0</v>
      </c>
      <c r="W152" s="19">
        <v>0.0</v>
      </c>
      <c r="X152" s="19">
        <v>0.0</v>
      </c>
      <c r="Y152" s="19">
        <v>0.0</v>
      </c>
      <c r="Z152" s="19">
        <v>0.0</v>
      </c>
      <c r="AA152" s="19">
        <v>0.0</v>
      </c>
      <c r="AB152" s="19">
        <v>0.0</v>
      </c>
      <c r="AC152" s="19">
        <v>0.0</v>
      </c>
      <c r="AD152" s="19">
        <v>0.0</v>
      </c>
      <c r="AE152" s="19">
        <v>0.0</v>
      </c>
      <c r="AF152" s="19">
        <v>1.0</v>
      </c>
      <c r="AG152" s="19">
        <v>0.0</v>
      </c>
      <c r="AH152" s="19">
        <v>0.0</v>
      </c>
      <c r="AI152" s="19">
        <v>0.0</v>
      </c>
      <c r="AJ152" s="19">
        <v>0.0</v>
      </c>
      <c r="AK152" s="19">
        <v>0.0</v>
      </c>
      <c r="AL152" s="19">
        <v>0.0</v>
      </c>
      <c r="AM152" s="19">
        <v>1.0</v>
      </c>
      <c r="AN152" s="19">
        <v>0.0</v>
      </c>
      <c r="AO152" s="19">
        <v>0.0</v>
      </c>
      <c r="AP152" s="19">
        <v>0.0</v>
      </c>
      <c r="AQ152" s="19">
        <v>1.0</v>
      </c>
      <c r="AR152" s="13">
        <f t="shared" si="36"/>
        <v>6</v>
      </c>
    </row>
    <row r="153" ht="12.75" customHeight="1">
      <c r="A153" s="18"/>
      <c r="B153" s="55">
        <v>5.0</v>
      </c>
      <c r="C153" s="50" t="s">
        <v>134</v>
      </c>
      <c r="D153" s="57"/>
      <c r="E153" s="19">
        <v>0.0</v>
      </c>
      <c r="F153" s="19">
        <v>0.0</v>
      </c>
      <c r="G153" s="19">
        <v>0.0</v>
      </c>
      <c r="H153" s="19">
        <v>0.0</v>
      </c>
      <c r="I153" s="19">
        <v>1.0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1.0</v>
      </c>
      <c r="P153" s="19">
        <v>2.0</v>
      </c>
      <c r="Q153" s="19">
        <v>3.0</v>
      </c>
      <c r="R153" s="19">
        <v>7.0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1.0</v>
      </c>
      <c r="Y153" s="19">
        <v>0.0</v>
      </c>
      <c r="Z153" s="19">
        <v>1.0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0.0</v>
      </c>
      <c r="AJ153" s="19">
        <v>0.0</v>
      </c>
      <c r="AK153" s="19">
        <v>0.0</v>
      </c>
      <c r="AL153" s="19">
        <v>0.0</v>
      </c>
      <c r="AM153" s="19">
        <v>0.0</v>
      </c>
      <c r="AN153" s="19">
        <v>0.0</v>
      </c>
      <c r="AO153" s="19">
        <v>0.0</v>
      </c>
      <c r="AP153" s="19">
        <v>0.0</v>
      </c>
      <c r="AQ153" s="19">
        <v>0.0</v>
      </c>
      <c r="AR153" s="13">
        <f t="shared" si="36"/>
        <v>16</v>
      </c>
    </row>
    <row r="154" ht="12.75" customHeight="1">
      <c r="A154" s="18"/>
      <c r="B154" s="55">
        <v>6.0</v>
      </c>
      <c r="C154" s="50" t="s">
        <v>135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1.0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0.0</v>
      </c>
      <c r="AL154" s="19">
        <v>0.0</v>
      </c>
      <c r="AM154" s="19">
        <v>0.0</v>
      </c>
      <c r="AN154" s="19">
        <v>0.0</v>
      </c>
      <c r="AO154" s="19">
        <v>0.0</v>
      </c>
      <c r="AP154" s="19">
        <v>0.0</v>
      </c>
      <c r="AQ154" s="19">
        <v>0.0</v>
      </c>
      <c r="AR154" s="13">
        <f t="shared" si="36"/>
        <v>1</v>
      </c>
    </row>
    <row r="155" ht="12.75" customHeight="1">
      <c r="A155" s="18"/>
      <c r="B155" s="55">
        <v>7.0</v>
      </c>
      <c r="C155" s="50" t="s">
        <v>136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1.0</v>
      </c>
      <c r="K155" s="19">
        <v>2.0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0.0</v>
      </c>
      <c r="AK155" s="19">
        <v>5.0</v>
      </c>
      <c r="AL155" s="19">
        <v>0.0</v>
      </c>
      <c r="AM155" s="19">
        <v>0.0</v>
      </c>
      <c r="AN155" s="19">
        <v>0.0</v>
      </c>
      <c r="AO155" s="19">
        <v>0.0</v>
      </c>
      <c r="AP155" s="19">
        <v>2.0</v>
      </c>
      <c r="AQ155" s="19">
        <v>0.0</v>
      </c>
      <c r="AR155" s="13">
        <f t="shared" si="36"/>
        <v>10</v>
      </c>
    </row>
    <row r="156" ht="12.75" customHeight="1">
      <c r="A156" s="19" t="s">
        <v>15</v>
      </c>
      <c r="B156" s="47" t="s">
        <v>47</v>
      </c>
      <c r="C156" s="15"/>
      <c r="D156" s="16"/>
      <c r="E156" s="13">
        <f t="shared" ref="E156:AR156" si="37">SUM(E148:E155)</f>
        <v>2</v>
      </c>
      <c r="F156" s="13">
        <f t="shared" si="37"/>
        <v>4</v>
      </c>
      <c r="G156" s="13">
        <f t="shared" si="37"/>
        <v>4</v>
      </c>
      <c r="H156" s="13">
        <f t="shared" si="37"/>
        <v>4</v>
      </c>
      <c r="I156" s="13">
        <f t="shared" si="37"/>
        <v>2</v>
      </c>
      <c r="J156" s="13">
        <f t="shared" si="37"/>
        <v>3</v>
      </c>
      <c r="K156" s="13">
        <f t="shared" si="37"/>
        <v>7</v>
      </c>
      <c r="L156" s="13">
        <f t="shared" si="37"/>
        <v>0</v>
      </c>
      <c r="M156" s="13">
        <f t="shared" si="37"/>
        <v>3</v>
      </c>
      <c r="N156" s="13">
        <f t="shared" si="37"/>
        <v>1</v>
      </c>
      <c r="O156" s="13">
        <f t="shared" si="37"/>
        <v>2</v>
      </c>
      <c r="P156" s="13">
        <f t="shared" si="37"/>
        <v>6</v>
      </c>
      <c r="Q156" s="13">
        <f t="shared" si="37"/>
        <v>6</v>
      </c>
      <c r="R156" s="13">
        <f t="shared" si="37"/>
        <v>10</v>
      </c>
      <c r="S156" s="13">
        <f t="shared" si="37"/>
        <v>1</v>
      </c>
      <c r="T156" s="13">
        <f t="shared" si="37"/>
        <v>1</v>
      </c>
      <c r="U156" s="13">
        <f t="shared" si="37"/>
        <v>2</v>
      </c>
      <c r="V156" s="13">
        <f t="shared" si="37"/>
        <v>2</v>
      </c>
      <c r="W156" s="13">
        <f t="shared" si="37"/>
        <v>0</v>
      </c>
      <c r="X156" s="13">
        <f t="shared" si="37"/>
        <v>2</v>
      </c>
      <c r="Y156" s="13">
        <f t="shared" si="37"/>
        <v>0</v>
      </c>
      <c r="Z156" s="13">
        <f t="shared" si="37"/>
        <v>1</v>
      </c>
      <c r="AA156" s="13">
        <f t="shared" si="37"/>
        <v>1</v>
      </c>
      <c r="AB156" s="13">
        <f t="shared" si="37"/>
        <v>1</v>
      </c>
      <c r="AC156" s="13">
        <f t="shared" si="37"/>
        <v>1</v>
      </c>
      <c r="AD156" s="13">
        <f t="shared" si="37"/>
        <v>0</v>
      </c>
      <c r="AE156" s="13">
        <f t="shared" si="37"/>
        <v>0</v>
      </c>
      <c r="AF156" s="13">
        <f t="shared" si="37"/>
        <v>2</v>
      </c>
      <c r="AG156" s="13">
        <f t="shared" si="37"/>
        <v>0</v>
      </c>
      <c r="AH156" s="13">
        <f t="shared" si="37"/>
        <v>1</v>
      </c>
      <c r="AI156" s="13">
        <f t="shared" si="37"/>
        <v>0</v>
      </c>
      <c r="AJ156" s="13">
        <f t="shared" si="37"/>
        <v>1</v>
      </c>
      <c r="AK156" s="13">
        <f t="shared" si="37"/>
        <v>6</v>
      </c>
      <c r="AL156" s="13">
        <f t="shared" si="37"/>
        <v>0</v>
      </c>
      <c r="AM156" s="13">
        <f t="shared" si="37"/>
        <v>3</v>
      </c>
      <c r="AN156" s="13">
        <f t="shared" si="37"/>
        <v>0</v>
      </c>
      <c r="AO156" s="13">
        <f t="shared" si="37"/>
        <v>1</v>
      </c>
      <c r="AP156" s="13">
        <f t="shared" si="37"/>
        <v>3</v>
      </c>
      <c r="AQ156" s="13">
        <f t="shared" si="37"/>
        <v>1</v>
      </c>
      <c r="AR156" s="13">
        <f t="shared" si="37"/>
        <v>84</v>
      </c>
    </row>
    <row r="157" ht="12.75" customHeight="1">
      <c r="A157" s="24"/>
      <c r="B157" s="15"/>
      <c r="C157" s="15"/>
      <c r="D157" s="15"/>
      <c r="E157" s="16"/>
      <c r="F157" s="72"/>
      <c r="G157" s="72"/>
      <c r="H157" s="72"/>
      <c r="I157" s="72"/>
      <c r="J157" s="72"/>
      <c r="K157" s="72"/>
      <c r="L157" s="72"/>
      <c r="M157" s="72"/>
      <c r="N157" s="72"/>
      <c r="V157" s="72"/>
      <c r="W157" s="72"/>
      <c r="X157" s="72"/>
      <c r="Y157" s="72"/>
      <c r="Z157" s="72"/>
      <c r="AA157" s="72"/>
      <c r="AB157" s="72"/>
      <c r="AC157" s="72"/>
      <c r="AD157" s="72"/>
      <c r="AR157" s="13"/>
    </row>
    <row r="158" ht="12.75" customHeight="1">
      <c r="A158" s="30" t="s">
        <v>37</v>
      </c>
      <c r="B158" s="47" t="s">
        <v>137</v>
      </c>
      <c r="C158" s="48" t="s">
        <v>138</v>
      </c>
      <c r="D158" s="16"/>
      <c r="E158" s="19">
        <v>0.0</v>
      </c>
      <c r="F158" s="19">
        <v>0.0</v>
      </c>
      <c r="G158" s="19">
        <v>0.0</v>
      </c>
      <c r="H158" s="19">
        <v>0.0</v>
      </c>
      <c r="I158" s="19">
        <v>2.0</v>
      </c>
      <c r="J158" s="19">
        <v>0.0</v>
      </c>
      <c r="K158" s="19">
        <v>0.0</v>
      </c>
      <c r="L158" s="19">
        <v>0.0</v>
      </c>
      <c r="M158" s="19">
        <v>0.0</v>
      </c>
      <c r="N158" s="19">
        <v>0.0</v>
      </c>
      <c r="O158" s="19">
        <v>0.0</v>
      </c>
      <c r="P158" s="19">
        <v>0.0</v>
      </c>
      <c r="Q158" s="19">
        <v>0.0</v>
      </c>
      <c r="R158" s="19">
        <v>0.0</v>
      </c>
      <c r="S158" s="19">
        <v>0.0</v>
      </c>
      <c r="T158" s="19">
        <v>0.0</v>
      </c>
      <c r="U158" s="19">
        <v>0.0</v>
      </c>
      <c r="V158" s="19">
        <v>0.0</v>
      </c>
      <c r="W158" s="19">
        <v>0.0</v>
      </c>
      <c r="X158" s="19">
        <v>0.0</v>
      </c>
      <c r="Y158" s="19">
        <v>0.0</v>
      </c>
      <c r="Z158" s="19">
        <v>0.0</v>
      </c>
      <c r="AA158" s="19">
        <v>0.0</v>
      </c>
      <c r="AB158" s="19">
        <v>0.0</v>
      </c>
      <c r="AC158" s="19">
        <v>0.0</v>
      </c>
      <c r="AD158" s="19">
        <v>1.0</v>
      </c>
      <c r="AE158" s="19">
        <v>0.0</v>
      </c>
      <c r="AF158" s="19">
        <v>0.0</v>
      </c>
      <c r="AG158" s="19">
        <v>0.0</v>
      </c>
      <c r="AH158" s="19">
        <v>0.0</v>
      </c>
      <c r="AI158" s="19">
        <v>0.0</v>
      </c>
      <c r="AJ158" s="19">
        <v>0.0</v>
      </c>
      <c r="AK158" s="19">
        <v>0.0</v>
      </c>
      <c r="AL158" s="19">
        <v>0.0</v>
      </c>
      <c r="AM158" s="19">
        <v>1.0</v>
      </c>
      <c r="AN158" s="19">
        <v>0.0</v>
      </c>
      <c r="AO158" s="19">
        <v>0.0</v>
      </c>
      <c r="AP158" s="19">
        <v>0.0</v>
      </c>
      <c r="AQ158" s="19">
        <v>0.0</v>
      </c>
      <c r="AR158" s="13">
        <f t="shared" ref="AR158:AR165" si="38">SUM(E158:AQ158)</f>
        <v>4</v>
      </c>
    </row>
    <row r="159" ht="12.75" customHeight="1">
      <c r="A159" s="30" t="s">
        <v>39</v>
      </c>
      <c r="B159" s="55">
        <v>1.0</v>
      </c>
      <c r="C159" s="50" t="s">
        <v>139</v>
      </c>
      <c r="D159" s="57"/>
      <c r="E159" s="19">
        <v>0.0</v>
      </c>
      <c r="F159" s="19">
        <v>0.0</v>
      </c>
      <c r="G159" s="19">
        <v>0.0</v>
      </c>
      <c r="H159" s="19">
        <v>0.0</v>
      </c>
      <c r="I159" s="19">
        <v>1.0</v>
      </c>
      <c r="J159" s="19">
        <v>0.0</v>
      </c>
      <c r="K159" s="19">
        <v>0.0</v>
      </c>
      <c r="L159" s="19">
        <v>0.0</v>
      </c>
      <c r="M159" s="19">
        <v>0.0</v>
      </c>
      <c r="N159" s="19">
        <v>0.0</v>
      </c>
      <c r="O159" s="19">
        <v>1.0</v>
      </c>
      <c r="P159" s="19">
        <v>0.0</v>
      </c>
      <c r="Q159" s="19">
        <v>0.0</v>
      </c>
      <c r="R159" s="19">
        <v>0.0</v>
      </c>
      <c r="S159" s="19">
        <v>1.0</v>
      </c>
      <c r="T159" s="19">
        <v>0.0</v>
      </c>
      <c r="U159" s="19">
        <v>0.0</v>
      </c>
      <c r="V159" s="19">
        <v>0.0</v>
      </c>
      <c r="W159" s="19">
        <v>0.0</v>
      </c>
      <c r="X159" s="19">
        <v>0.0</v>
      </c>
      <c r="Y159" s="19">
        <v>0.0</v>
      </c>
      <c r="Z159" s="19">
        <v>0.0</v>
      </c>
      <c r="AA159" s="19">
        <v>0.0</v>
      </c>
      <c r="AB159" s="19">
        <v>0.0</v>
      </c>
      <c r="AC159" s="19">
        <v>0.0</v>
      </c>
      <c r="AD159" s="19">
        <v>1.0</v>
      </c>
      <c r="AE159" s="19">
        <v>0.0</v>
      </c>
      <c r="AF159" s="19">
        <v>1.0</v>
      </c>
      <c r="AG159" s="19">
        <v>0.0</v>
      </c>
      <c r="AH159" s="19">
        <v>0.0</v>
      </c>
      <c r="AI159" s="19">
        <v>0.0</v>
      </c>
      <c r="AJ159" s="19">
        <v>0.0</v>
      </c>
      <c r="AK159" s="19">
        <v>1.0</v>
      </c>
      <c r="AL159" s="19">
        <v>0.0</v>
      </c>
      <c r="AM159" s="19">
        <v>1.0</v>
      </c>
      <c r="AN159" s="19">
        <v>0.0</v>
      </c>
      <c r="AO159" s="19">
        <v>0.0</v>
      </c>
      <c r="AP159" s="19">
        <v>0.0</v>
      </c>
      <c r="AQ159" s="19">
        <v>0.0</v>
      </c>
      <c r="AR159" s="13">
        <f t="shared" si="38"/>
        <v>7</v>
      </c>
    </row>
    <row r="160" ht="12.75" customHeight="1">
      <c r="A160" s="18"/>
      <c r="B160" s="55">
        <v>2.0</v>
      </c>
      <c r="C160" s="50" t="s">
        <v>140</v>
      </c>
      <c r="D160" s="57"/>
      <c r="E160" s="19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9">
        <v>0.0</v>
      </c>
      <c r="T160" s="19">
        <v>0.0</v>
      </c>
      <c r="U160" s="19">
        <v>0.0</v>
      </c>
      <c r="V160" s="19">
        <v>0.0</v>
      </c>
      <c r="W160" s="19">
        <v>0.0</v>
      </c>
      <c r="X160" s="19">
        <v>0.0</v>
      </c>
      <c r="Y160" s="19">
        <v>0.0</v>
      </c>
      <c r="Z160" s="19">
        <v>0.0</v>
      </c>
      <c r="AA160" s="19">
        <v>0.0</v>
      </c>
      <c r="AB160" s="19">
        <v>0.0</v>
      </c>
      <c r="AC160" s="19">
        <v>0.0</v>
      </c>
      <c r="AD160" s="19">
        <v>1.0</v>
      </c>
      <c r="AE160" s="19">
        <v>1.0</v>
      </c>
      <c r="AF160" s="19">
        <v>1.0</v>
      </c>
      <c r="AG160" s="19">
        <v>0.0</v>
      </c>
      <c r="AH160" s="19">
        <v>0.0</v>
      </c>
      <c r="AI160" s="19">
        <v>1.0</v>
      </c>
      <c r="AJ160" s="19">
        <v>0.0</v>
      </c>
      <c r="AK160" s="19">
        <v>0.0</v>
      </c>
      <c r="AL160" s="19">
        <v>0.0</v>
      </c>
      <c r="AM160" s="19">
        <v>0.0</v>
      </c>
      <c r="AN160" s="19">
        <v>0.0</v>
      </c>
      <c r="AO160" s="19">
        <v>0.0</v>
      </c>
      <c r="AP160" s="19">
        <v>1.0</v>
      </c>
      <c r="AQ160" s="19">
        <v>0.0</v>
      </c>
      <c r="AR160" s="13">
        <f t="shared" si="38"/>
        <v>5</v>
      </c>
    </row>
    <row r="161" ht="12.75" customHeight="1">
      <c r="A161" s="18"/>
      <c r="B161" s="55">
        <v>3.0</v>
      </c>
      <c r="C161" s="50" t="s">
        <v>141</v>
      </c>
      <c r="D161" s="57"/>
      <c r="E161" s="19">
        <v>0.0</v>
      </c>
      <c r="F161" s="19">
        <v>0.0</v>
      </c>
      <c r="G161" s="19">
        <v>0.0</v>
      </c>
      <c r="H161" s="19">
        <v>0.0</v>
      </c>
      <c r="I161" s="19">
        <v>0.0</v>
      </c>
      <c r="J161" s="19">
        <v>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0.0</v>
      </c>
      <c r="P161" s="19">
        <v>0.0</v>
      </c>
      <c r="Q161" s="19">
        <v>0.0</v>
      </c>
      <c r="R161" s="19">
        <v>0.0</v>
      </c>
      <c r="S161" s="19">
        <v>0.0</v>
      </c>
      <c r="T161" s="19">
        <v>0.0</v>
      </c>
      <c r="U161" s="19">
        <v>0.0</v>
      </c>
      <c r="V161" s="19">
        <v>0.0</v>
      </c>
      <c r="W161" s="19">
        <v>0.0</v>
      </c>
      <c r="X161" s="19">
        <v>0.0</v>
      </c>
      <c r="Y161" s="19">
        <v>0.0</v>
      </c>
      <c r="Z161" s="19">
        <v>0.0</v>
      </c>
      <c r="AA161" s="19">
        <v>0.0</v>
      </c>
      <c r="AB161" s="19">
        <v>0.0</v>
      </c>
      <c r="AC161" s="19">
        <v>0.0</v>
      </c>
      <c r="AD161" s="19">
        <v>0.0</v>
      </c>
      <c r="AE161" s="19">
        <v>0.0</v>
      </c>
      <c r="AF161" s="19">
        <v>0.0</v>
      </c>
      <c r="AG161" s="19">
        <v>0.0</v>
      </c>
      <c r="AH161" s="19">
        <v>0.0</v>
      </c>
      <c r="AI161" s="19">
        <v>0.0</v>
      </c>
      <c r="AJ161" s="19">
        <v>0.0</v>
      </c>
      <c r="AK161" s="19">
        <v>0.0</v>
      </c>
      <c r="AL161" s="19">
        <v>0.0</v>
      </c>
      <c r="AM161" s="19">
        <v>0.0</v>
      </c>
      <c r="AN161" s="19">
        <v>0.0</v>
      </c>
      <c r="AO161" s="19">
        <v>0.0</v>
      </c>
      <c r="AP161" s="19">
        <v>0.0</v>
      </c>
      <c r="AQ161" s="19">
        <v>0.0</v>
      </c>
      <c r="AR161" s="13">
        <f t="shared" si="38"/>
        <v>0</v>
      </c>
    </row>
    <row r="162" ht="12.75" customHeight="1">
      <c r="A162" s="18"/>
      <c r="B162" s="55">
        <v>4.0</v>
      </c>
      <c r="C162" s="50" t="s">
        <v>142</v>
      </c>
      <c r="D162" s="57"/>
      <c r="E162" s="19">
        <v>0.0</v>
      </c>
      <c r="F162" s="19">
        <v>1.0</v>
      </c>
      <c r="G162" s="19">
        <v>0.0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0.0</v>
      </c>
      <c r="R162" s="19">
        <v>0.0</v>
      </c>
      <c r="S162" s="19">
        <v>0.0</v>
      </c>
      <c r="T162" s="19">
        <v>0.0</v>
      </c>
      <c r="U162" s="19">
        <v>1.0</v>
      </c>
      <c r="V162" s="19">
        <v>0.0</v>
      </c>
      <c r="W162" s="19">
        <v>0.0</v>
      </c>
      <c r="X162" s="19">
        <v>0.0</v>
      </c>
      <c r="Y162" s="19">
        <v>0.0</v>
      </c>
      <c r="Z162" s="19">
        <v>0.0</v>
      </c>
      <c r="AA162" s="19">
        <v>0.0</v>
      </c>
      <c r="AB162" s="19">
        <v>0.0</v>
      </c>
      <c r="AC162" s="19">
        <v>0.0</v>
      </c>
      <c r="AD162" s="19">
        <v>0.0</v>
      </c>
      <c r="AE162" s="19">
        <v>0.0</v>
      </c>
      <c r="AF162" s="19">
        <v>0.0</v>
      </c>
      <c r="AG162" s="19">
        <v>0.0</v>
      </c>
      <c r="AH162" s="19">
        <v>0.0</v>
      </c>
      <c r="AI162" s="19">
        <v>0.0</v>
      </c>
      <c r="AJ162" s="19">
        <v>0.0</v>
      </c>
      <c r="AK162" s="19">
        <v>0.0</v>
      </c>
      <c r="AL162" s="19">
        <v>0.0</v>
      </c>
      <c r="AM162" s="19">
        <v>0.0</v>
      </c>
      <c r="AN162" s="19">
        <v>0.0</v>
      </c>
      <c r="AO162" s="19">
        <v>0.0</v>
      </c>
      <c r="AP162" s="19">
        <v>0.0</v>
      </c>
      <c r="AQ162" s="19">
        <v>0.0</v>
      </c>
      <c r="AR162" s="13">
        <f t="shared" si="38"/>
        <v>2</v>
      </c>
    </row>
    <row r="163" ht="12.75" customHeight="1">
      <c r="A163" s="18"/>
      <c r="B163" s="55">
        <v>5.0</v>
      </c>
      <c r="C163" s="50" t="s">
        <v>143</v>
      </c>
      <c r="D163" s="57"/>
      <c r="E163" s="19">
        <v>0.0</v>
      </c>
      <c r="F163" s="19">
        <v>0.0</v>
      </c>
      <c r="G163" s="19">
        <v>0.0</v>
      </c>
      <c r="H163" s="19">
        <v>0.0</v>
      </c>
      <c r="I163" s="19">
        <v>0.0</v>
      </c>
      <c r="J163" s="19">
        <v>0.0</v>
      </c>
      <c r="K163" s="19">
        <v>0.0</v>
      </c>
      <c r="L163" s="19">
        <v>0.0</v>
      </c>
      <c r="M163" s="19">
        <v>0.0</v>
      </c>
      <c r="N163" s="19">
        <v>0.0</v>
      </c>
      <c r="O163" s="19">
        <v>0.0</v>
      </c>
      <c r="P163" s="19">
        <v>0.0</v>
      </c>
      <c r="Q163" s="19">
        <v>0.0</v>
      </c>
      <c r="R163" s="19">
        <v>0.0</v>
      </c>
      <c r="S163" s="19">
        <v>0.0</v>
      </c>
      <c r="T163" s="19">
        <v>0.0</v>
      </c>
      <c r="U163" s="19">
        <v>0.0</v>
      </c>
      <c r="V163" s="19">
        <v>0.0</v>
      </c>
      <c r="W163" s="19">
        <v>0.0</v>
      </c>
      <c r="X163" s="19">
        <v>0.0</v>
      </c>
      <c r="Y163" s="19">
        <v>0.0</v>
      </c>
      <c r="Z163" s="19">
        <v>0.0</v>
      </c>
      <c r="AA163" s="19">
        <v>0.0</v>
      </c>
      <c r="AB163" s="19">
        <v>0.0</v>
      </c>
      <c r="AC163" s="19">
        <v>0.0</v>
      </c>
      <c r="AD163" s="19">
        <v>0.0</v>
      </c>
      <c r="AE163" s="19">
        <v>0.0</v>
      </c>
      <c r="AF163" s="19">
        <v>0.0</v>
      </c>
      <c r="AG163" s="19">
        <v>0.0</v>
      </c>
      <c r="AH163" s="19">
        <v>0.0</v>
      </c>
      <c r="AI163" s="19">
        <v>0.0</v>
      </c>
      <c r="AJ163" s="19">
        <v>0.0</v>
      </c>
      <c r="AK163" s="19">
        <v>0.0</v>
      </c>
      <c r="AL163" s="19">
        <v>0.0</v>
      </c>
      <c r="AM163" s="19">
        <v>0.0</v>
      </c>
      <c r="AN163" s="19">
        <v>0.0</v>
      </c>
      <c r="AO163" s="19">
        <v>0.0</v>
      </c>
      <c r="AP163" s="19">
        <v>1.0</v>
      </c>
      <c r="AQ163" s="19">
        <v>0.0</v>
      </c>
      <c r="AR163" s="13">
        <f t="shared" si="38"/>
        <v>1</v>
      </c>
    </row>
    <row r="164" ht="12.75" customHeight="1">
      <c r="A164" s="18"/>
      <c r="B164" s="55">
        <v>6.0</v>
      </c>
      <c r="C164" s="50" t="s">
        <v>144</v>
      </c>
      <c r="D164" s="57"/>
      <c r="E164" s="19">
        <v>0.0</v>
      </c>
      <c r="F164" s="19">
        <v>0.0</v>
      </c>
      <c r="G164" s="19">
        <v>0.0</v>
      </c>
      <c r="H164" s="19">
        <v>0.0</v>
      </c>
      <c r="I164" s="19">
        <v>0.0</v>
      </c>
      <c r="J164" s="19">
        <v>0.0</v>
      </c>
      <c r="K164" s="19">
        <v>0.0</v>
      </c>
      <c r="L164" s="19">
        <v>0.0</v>
      </c>
      <c r="M164" s="19">
        <v>0.0</v>
      </c>
      <c r="N164" s="19">
        <v>0.0</v>
      </c>
      <c r="O164" s="19">
        <v>0.0</v>
      </c>
      <c r="P164" s="19">
        <v>0.0</v>
      </c>
      <c r="Q164" s="19">
        <v>0.0</v>
      </c>
      <c r="R164" s="19">
        <v>0.0</v>
      </c>
      <c r="S164" s="19">
        <v>0.0</v>
      </c>
      <c r="T164" s="19">
        <v>0.0</v>
      </c>
      <c r="U164" s="19">
        <v>0.0</v>
      </c>
      <c r="V164" s="19">
        <v>0.0</v>
      </c>
      <c r="W164" s="19">
        <v>0.0</v>
      </c>
      <c r="X164" s="19">
        <v>0.0</v>
      </c>
      <c r="Y164" s="19">
        <v>0.0</v>
      </c>
      <c r="Z164" s="19">
        <v>0.0</v>
      </c>
      <c r="AA164" s="19">
        <v>0.0</v>
      </c>
      <c r="AB164" s="19">
        <v>0.0</v>
      </c>
      <c r="AC164" s="19">
        <v>0.0</v>
      </c>
      <c r="AD164" s="19">
        <v>0.0</v>
      </c>
      <c r="AE164" s="19">
        <v>0.0</v>
      </c>
      <c r="AF164" s="19">
        <v>0.0</v>
      </c>
      <c r="AG164" s="19">
        <v>0.0</v>
      </c>
      <c r="AH164" s="19">
        <v>0.0</v>
      </c>
      <c r="AI164" s="19">
        <v>0.0</v>
      </c>
      <c r="AJ164" s="19">
        <v>0.0</v>
      </c>
      <c r="AK164" s="19">
        <v>0.0</v>
      </c>
      <c r="AL164" s="19">
        <v>0.0</v>
      </c>
      <c r="AM164" s="19">
        <v>0.0</v>
      </c>
      <c r="AN164" s="19">
        <v>0.0</v>
      </c>
      <c r="AO164" s="19">
        <v>0.0</v>
      </c>
      <c r="AP164" s="19">
        <v>0.0</v>
      </c>
      <c r="AQ164" s="19">
        <v>0.0</v>
      </c>
      <c r="AR164" s="13">
        <f t="shared" si="38"/>
        <v>0</v>
      </c>
    </row>
    <row r="165" ht="12.75" customHeight="1">
      <c r="A165" s="18"/>
      <c r="B165" s="55">
        <v>7.0</v>
      </c>
      <c r="C165" s="50" t="s">
        <v>145</v>
      </c>
      <c r="D165" s="57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1.0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0.0</v>
      </c>
      <c r="AK165" s="19">
        <v>0.0</v>
      </c>
      <c r="AL165" s="19">
        <v>0.0</v>
      </c>
      <c r="AM165" s="19">
        <v>0.0</v>
      </c>
      <c r="AN165" s="19">
        <v>0.0</v>
      </c>
      <c r="AO165" s="19">
        <v>0.0</v>
      </c>
      <c r="AP165" s="19">
        <v>0.0</v>
      </c>
      <c r="AQ165" s="19">
        <v>0.0</v>
      </c>
      <c r="AR165" s="13">
        <f t="shared" si="38"/>
        <v>1</v>
      </c>
    </row>
    <row r="166" ht="12.75" customHeight="1">
      <c r="A166" s="19" t="s">
        <v>15</v>
      </c>
      <c r="B166" s="47" t="s">
        <v>47</v>
      </c>
      <c r="C166" s="15"/>
      <c r="D166" s="16"/>
      <c r="E166" s="13">
        <f t="shared" ref="E166:AR166" si="39">SUM(E158:E165)</f>
        <v>0</v>
      </c>
      <c r="F166" s="13">
        <f t="shared" si="39"/>
        <v>1</v>
      </c>
      <c r="G166" s="13">
        <f t="shared" si="39"/>
        <v>0</v>
      </c>
      <c r="H166" s="13">
        <f t="shared" si="39"/>
        <v>0</v>
      </c>
      <c r="I166" s="13">
        <f t="shared" si="39"/>
        <v>3</v>
      </c>
      <c r="J166" s="13">
        <f t="shared" si="39"/>
        <v>0</v>
      </c>
      <c r="K166" s="13">
        <f t="shared" si="39"/>
        <v>0</v>
      </c>
      <c r="L166" s="13">
        <f t="shared" si="39"/>
        <v>0</v>
      </c>
      <c r="M166" s="13">
        <f t="shared" si="39"/>
        <v>0</v>
      </c>
      <c r="N166" s="13">
        <f t="shared" si="39"/>
        <v>1</v>
      </c>
      <c r="O166" s="13">
        <f t="shared" si="39"/>
        <v>1</v>
      </c>
      <c r="P166" s="13">
        <f t="shared" si="39"/>
        <v>0</v>
      </c>
      <c r="Q166" s="13">
        <f t="shared" si="39"/>
        <v>0</v>
      </c>
      <c r="R166" s="13">
        <f t="shared" si="39"/>
        <v>0</v>
      </c>
      <c r="S166" s="13">
        <f t="shared" si="39"/>
        <v>1</v>
      </c>
      <c r="T166" s="13">
        <f t="shared" si="39"/>
        <v>0</v>
      </c>
      <c r="U166" s="13">
        <f t="shared" si="39"/>
        <v>1</v>
      </c>
      <c r="V166" s="13">
        <f t="shared" si="39"/>
        <v>0</v>
      </c>
      <c r="W166" s="13">
        <f t="shared" si="39"/>
        <v>0</v>
      </c>
      <c r="X166" s="13">
        <f t="shared" si="39"/>
        <v>0</v>
      </c>
      <c r="Y166" s="13">
        <f t="shared" si="39"/>
        <v>0</v>
      </c>
      <c r="Z166" s="13">
        <f t="shared" si="39"/>
        <v>0</v>
      </c>
      <c r="AA166" s="13">
        <f t="shared" si="39"/>
        <v>0</v>
      </c>
      <c r="AB166" s="13">
        <f t="shared" si="39"/>
        <v>0</v>
      </c>
      <c r="AC166" s="13">
        <f t="shared" si="39"/>
        <v>0</v>
      </c>
      <c r="AD166" s="13">
        <f t="shared" si="39"/>
        <v>3</v>
      </c>
      <c r="AE166" s="13">
        <f t="shared" si="39"/>
        <v>1</v>
      </c>
      <c r="AF166" s="13">
        <f t="shared" si="39"/>
        <v>2</v>
      </c>
      <c r="AG166" s="13">
        <f t="shared" si="39"/>
        <v>0</v>
      </c>
      <c r="AH166" s="13">
        <f t="shared" si="39"/>
        <v>0</v>
      </c>
      <c r="AI166" s="13">
        <f t="shared" si="39"/>
        <v>1</v>
      </c>
      <c r="AJ166" s="13">
        <f t="shared" si="39"/>
        <v>0</v>
      </c>
      <c r="AK166" s="13">
        <f t="shared" si="39"/>
        <v>1</v>
      </c>
      <c r="AL166" s="13">
        <f t="shared" si="39"/>
        <v>0</v>
      </c>
      <c r="AM166" s="13">
        <f t="shared" si="39"/>
        <v>2</v>
      </c>
      <c r="AN166" s="13">
        <f t="shared" si="39"/>
        <v>0</v>
      </c>
      <c r="AO166" s="13">
        <f t="shared" si="39"/>
        <v>0</v>
      </c>
      <c r="AP166" s="13">
        <f t="shared" si="39"/>
        <v>2</v>
      </c>
      <c r="AQ166" s="13">
        <f t="shared" si="39"/>
        <v>0</v>
      </c>
      <c r="AR166" s="13">
        <f t="shared" si="39"/>
        <v>20</v>
      </c>
    </row>
    <row r="167" ht="12.75" customHeight="1">
      <c r="A167" s="24"/>
      <c r="B167" s="15"/>
      <c r="C167" s="15"/>
      <c r="D167" s="15"/>
      <c r="E167" s="16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</row>
    <row r="168" ht="12.75" customHeight="1">
      <c r="A168" s="30" t="s">
        <v>37</v>
      </c>
      <c r="B168" s="47" t="s">
        <v>146</v>
      </c>
      <c r="C168" s="48" t="s">
        <v>147</v>
      </c>
      <c r="D168" s="16"/>
      <c r="E168" s="19">
        <v>0.0</v>
      </c>
      <c r="F168" s="19">
        <v>3.0</v>
      </c>
      <c r="G168" s="19">
        <v>0.0</v>
      </c>
      <c r="H168" s="19">
        <v>4.0</v>
      </c>
      <c r="I168" s="19">
        <v>5.0</v>
      </c>
      <c r="J168" s="19">
        <v>0.0</v>
      </c>
      <c r="K168" s="19">
        <v>1.0</v>
      </c>
      <c r="L168" s="19">
        <v>1.0</v>
      </c>
      <c r="M168" s="19">
        <v>0.0</v>
      </c>
      <c r="N168" s="19">
        <v>2.0</v>
      </c>
      <c r="O168" s="19">
        <v>4.0</v>
      </c>
      <c r="P168" s="19">
        <v>1.0</v>
      </c>
      <c r="Q168" s="19">
        <v>3.0</v>
      </c>
      <c r="R168" s="19">
        <v>3.0</v>
      </c>
      <c r="S168" s="19">
        <v>1.0</v>
      </c>
      <c r="T168" s="19">
        <v>3.0</v>
      </c>
      <c r="U168" s="19">
        <v>2.0</v>
      </c>
      <c r="V168" s="19">
        <v>0.0</v>
      </c>
      <c r="W168" s="19">
        <v>2.0</v>
      </c>
      <c r="X168" s="19">
        <v>4.0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3.0</v>
      </c>
      <c r="AE168" s="19">
        <v>3.0</v>
      </c>
      <c r="AF168" s="19">
        <v>0.0</v>
      </c>
      <c r="AG168" s="19">
        <v>0.0</v>
      </c>
      <c r="AH168" s="19">
        <v>0.0</v>
      </c>
      <c r="AI168" s="19">
        <v>2.0</v>
      </c>
      <c r="AJ168" s="19">
        <v>2.0</v>
      </c>
      <c r="AK168" s="19">
        <v>2.0</v>
      </c>
      <c r="AL168" s="19">
        <v>1.0</v>
      </c>
      <c r="AM168" s="19">
        <v>1.0</v>
      </c>
      <c r="AN168" s="19">
        <v>0.0</v>
      </c>
      <c r="AO168" s="19">
        <v>0.0</v>
      </c>
      <c r="AP168" s="19">
        <v>0.0</v>
      </c>
      <c r="AQ168" s="19">
        <v>0.0</v>
      </c>
      <c r="AR168" s="13">
        <f t="shared" ref="AR168:AR175" si="40">SUM(E168:AQ168)</f>
        <v>53</v>
      </c>
    </row>
    <row r="169" ht="12.75" customHeight="1">
      <c r="A169" s="30" t="s">
        <v>39</v>
      </c>
      <c r="B169" s="55">
        <v>1.0</v>
      </c>
      <c r="C169" s="50" t="s">
        <v>148</v>
      </c>
      <c r="D169" s="57"/>
      <c r="E169" s="19">
        <v>3.0</v>
      </c>
      <c r="F169" s="19">
        <v>8.0</v>
      </c>
      <c r="G169" s="19">
        <v>4.0</v>
      </c>
      <c r="H169" s="19">
        <v>5.0</v>
      </c>
      <c r="I169" s="19">
        <v>5.0</v>
      </c>
      <c r="J169" s="19">
        <v>0.0</v>
      </c>
      <c r="K169" s="19">
        <v>2.0</v>
      </c>
      <c r="L169" s="19">
        <v>4.0</v>
      </c>
      <c r="M169" s="19">
        <v>3.0</v>
      </c>
      <c r="N169" s="19">
        <v>4.0</v>
      </c>
      <c r="O169" s="19">
        <v>3.0</v>
      </c>
      <c r="P169" s="19">
        <v>1.0</v>
      </c>
      <c r="Q169" s="19">
        <v>1.0</v>
      </c>
      <c r="R169" s="19">
        <v>2.0</v>
      </c>
      <c r="S169" s="19">
        <v>2.0</v>
      </c>
      <c r="T169" s="19">
        <v>0.0</v>
      </c>
      <c r="U169" s="19">
        <v>1.0</v>
      </c>
      <c r="V169" s="19">
        <v>1.0</v>
      </c>
      <c r="W169" s="19">
        <v>0.0</v>
      </c>
      <c r="X169" s="19">
        <v>1.0</v>
      </c>
      <c r="Y169" s="19">
        <v>0.0</v>
      </c>
      <c r="Z169" s="19">
        <v>3.0</v>
      </c>
      <c r="AA169" s="19">
        <v>0.0</v>
      </c>
      <c r="AB169" s="19">
        <v>2.0</v>
      </c>
      <c r="AC169" s="19">
        <v>0.0</v>
      </c>
      <c r="AD169" s="19">
        <v>2.0</v>
      </c>
      <c r="AE169" s="19">
        <v>1.0</v>
      </c>
      <c r="AF169" s="19">
        <v>0.0</v>
      </c>
      <c r="AG169" s="19">
        <v>0.0</v>
      </c>
      <c r="AH169" s="19">
        <v>2.0</v>
      </c>
      <c r="AI169" s="19">
        <v>0.0</v>
      </c>
      <c r="AJ169" s="19">
        <v>1.0</v>
      </c>
      <c r="AK169" s="19">
        <v>3.0</v>
      </c>
      <c r="AL169" s="19">
        <v>0.0</v>
      </c>
      <c r="AM169" s="19">
        <v>1.0</v>
      </c>
      <c r="AN169" s="19">
        <v>0.0</v>
      </c>
      <c r="AO169" s="19">
        <v>0.0</v>
      </c>
      <c r="AP169" s="19">
        <v>1.0</v>
      </c>
      <c r="AQ169" s="19">
        <v>1.0</v>
      </c>
      <c r="AR169" s="13">
        <f t="shared" si="40"/>
        <v>67</v>
      </c>
    </row>
    <row r="170" ht="12.75" customHeight="1">
      <c r="A170" s="18"/>
      <c r="B170" s="55">
        <v>2.0</v>
      </c>
      <c r="C170" s="50" t="s">
        <v>149</v>
      </c>
      <c r="D170" s="57"/>
      <c r="E170" s="19">
        <v>1.0</v>
      </c>
      <c r="F170" s="19">
        <v>5.0</v>
      </c>
      <c r="G170" s="19">
        <v>2.0</v>
      </c>
      <c r="H170" s="19">
        <v>2.0</v>
      </c>
      <c r="I170" s="19">
        <v>2.0</v>
      </c>
      <c r="J170" s="19">
        <v>0.0</v>
      </c>
      <c r="K170" s="19">
        <v>1.0</v>
      </c>
      <c r="L170" s="19">
        <v>0.0</v>
      </c>
      <c r="M170" s="19">
        <v>0.0</v>
      </c>
      <c r="N170" s="19">
        <v>2.0</v>
      </c>
      <c r="O170" s="19">
        <v>1.0</v>
      </c>
      <c r="P170" s="19">
        <v>0.0</v>
      </c>
      <c r="Q170" s="19">
        <v>1.0</v>
      </c>
      <c r="R170" s="19">
        <v>0.0</v>
      </c>
      <c r="S170" s="19">
        <v>3.0</v>
      </c>
      <c r="T170" s="19">
        <v>1.0</v>
      </c>
      <c r="U170" s="19">
        <v>1.0</v>
      </c>
      <c r="V170" s="19">
        <v>0.0</v>
      </c>
      <c r="W170" s="19">
        <v>3.0</v>
      </c>
      <c r="X170" s="19">
        <v>1.0</v>
      </c>
      <c r="Y170" s="19">
        <v>2.0</v>
      </c>
      <c r="Z170" s="19">
        <v>3.0</v>
      </c>
      <c r="AA170" s="19">
        <v>0.0</v>
      </c>
      <c r="AB170" s="19">
        <v>2.0</v>
      </c>
      <c r="AC170" s="19">
        <v>0.0</v>
      </c>
      <c r="AD170" s="19">
        <v>3.0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1.0</v>
      </c>
      <c r="AJ170" s="19">
        <v>0.0</v>
      </c>
      <c r="AK170" s="19">
        <v>1.0</v>
      </c>
      <c r="AL170" s="19">
        <v>1.0</v>
      </c>
      <c r="AM170" s="19">
        <v>1.0</v>
      </c>
      <c r="AN170" s="19">
        <v>0.0</v>
      </c>
      <c r="AO170" s="19">
        <v>0.0</v>
      </c>
      <c r="AP170" s="19">
        <v>0.0</v>
      </c>
      <c r="AQ170" s="19">
        <v>0.0</v>
      </c>
      <c r="AR170" s="13">
        <f t="shared" si="40"/>
        <v>40</v>
      </c>
    </row>
    <row r="171" ht="12.75" customHeight="1">
      <c r="A171" s="18"/>
      <c r="B171" s="55">
        <v>3.0</v>
      </c>
      <c r="C171" s="50" t="s">
        <v>150</v>
      </c>
      <c r="D171" s="57"/>
      <c r="E171" s="19">
        <v>1.0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1.0</v>
      </c>
      <c r="M171" s="19">
        <v>0.0</v>
      </c>
      <c r="N171" s="19">
        <v>3.0</v>
      </c>
      <c r="O171" s="19">
        <v>2.0</v>
      </c>
      <c r="P171" s="19">
        <v>1.0</v>
      </c>
      <c r="Q171" s="19">
        <v>0.0</v>
      </c>
      <c r="R171" s="19">
        <v>0.0</v>
      </c>
      <c r="S171" s="19">
        <v>1.0</v>
      </c>
      <c r="T171" s="19">
        <v>0.0</v>
      </c>
      <c r="U171" s="19">
        <v>1.0</v>
      </c>
      <c r="V171" s="19">
        <v>0.0</v>
      </c>
      <c r="W171" s="19">
        <v>1.0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2.0</v>
      </c>
      <c r="AD171" s="19">
        <v>0.0</v>
      </c>
      <c r="AE171" s="19">
        <v>0.0</v>
      </c>
      <c r="AF171" s="19">
        <v>1.0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3">
        <f t="shared" si="40"/>
        <v>14</v>
      </c>
    </row>
    <row r="172" ht="12.75" customHeight="1">
      <c r="A172" s="18"/>
      <c r="B172" s="55">
        <v>4.0</v>
      </c>
      <c r="C172" s="50" t="s">
        <v>151</v>
      </c>
      <c r="D172" s="57"/>
      <c r="E172" s="19">
        <v>8.0</v>
      </c>
      <c r="F172" s="19">
        <v>18.0</v>
      </c>
      <c r="G172" s="19">
        <v>1.0</v>
      </c>
      <c r="H172" s="19">
        <v>0.0</v>
      </c>
      <c r="I172" s="19">
        <v>1.0</v>
      </c>
      <c r="J172" s="19">
        <v>0.0</v>
      </c>
      <c r="K172" s="19">
        <v>3.0</v>
      </c>
      <c r="L172" s="19">
        <v>0.0</v>
      </c>
      <c r="M172" s="19">
        <v>3.0</v>
      </c>
      <c r="N172" s="19">
        <v>0.0</v>
      </c>
      <c r="O172" s="19">
        <v>0.0</v>
      </c>
      <c r="P172" s="19">
        <v>1.0</v>
      </c>
      <c r="Q172" s="19">
        <v>10.0</v>
      </c>
      <c r="R172" s="19">
        <v>3.0</v>
      </c>
      <c r="S172" s="19">
        <v>2.0</v>
      </c>
      <c r="T172" s="19">
        <v>1.0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1.0</v>
      </c>
      <c r="AA172" s="19">
        <v>0.0</v>
      </c>
      <c r="AB172" s="19">
        <v>0.0</v>
      </c>
      <c r="AC172" s="19">
        <v>2.0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0.0</v>
      </c>
      <c r="AM172" s="19">
        <v>0.0</v>
      </c>
      <c r="AN172" s="19">
        <v>0.0</v>
      </c>
      <c r="AO172" s="19">
        <v>0.0</v>
      </c>
      <c r="AP172" s="19">
        <v>0.0</v>
      </c>
      <c r="AQ172" s="19">
        <v>0.0</v>
      </c>
      <c r="AR172" s="13">
        <f t="shared" si="40"/>
        <v>54</v>
      </c>
    </row>
    <row r="173" ht="12.75" customHeight="1">
      <c r="A173" s="18"/>
      <c r="B173" s="55">
        <v>5.0</v>
      </c>
      <c r="C173" s="50" t="s">
        <v>152</v>
      </c>
      <c r="D173" s="57"/>
      <c r="E173" s="19">
        <v>0.0</v>
      </c>
      <c r="F173" s="19">
        <v>0.0</v>
      </c>
      <c r="G173" s="19">
        <v>0.0</v>
      </c>
      <c r="H173" s="19">
        <v>1.0</v>
      </c>
      <c r="I173" s="19">
        <v>1.0</v>
      </c>
      <c r="J173" s="19">
        <v>0.0</v>
      </c>
      <c r="K173" s="19">
        <v>0.0</v>
      </c>
      <c r="L173" s="19">
        <v>1.0</v>
      </c>
      <c r="M173" s="19">
        <v>0.0</v>
      </c>
      <c r="N173" s="19">
        <v>0.0</v>
      </c>
      <c r="O173" s="19">
        <v>0.0</v>
      </c>
      <c r="P173" s="19">
        <v>0.0</v>
      </c>
      <c r="Q173" s="19">
        <v>1.0</v>
      </c>
      <c r="R173" s="19">
        <v>0.0</v>
      </c>
      <c r="S173" s="19">
        <v>0.0</v>
      </c>
      <c r="T173" s="19">
        <v>0.0</v>
      </c>
      <c r="U173" s="19">
        <v>0.0</v>
      </c>
      <c r="V173" s="19">
        <v>0.0</v>
      </c>
      <c r="W173" s="19">
        <v>0.0</v>
      </c>
      <c r="X173" s="19">
        <v>1.0</v>
      </c>
      <c r="Y173" s="19">
        <v>0.0</v>
      </c>
      <c r="Z173" s="19">
        <v>0.0</v>
      </c>
      <c r="AA173" s="19">
        <v>0.0</v>
      </c>
      <c r="AB173" s="19">
        <v>0.0</v>
      </c>
      <c r="AC173" s="19">
        <v>0.0</v>
      </c>
      <c r="AD173" s="19">
        <v>0.0</v>
      </c>
      <c r="AE173" s="19">
        <v>0.0</v>
      </c>
      <c r="AF173" s="19">
        <v>0.0</v>
      </c>
      <c r="AG173" s="19">
        <v>0.0</v>
      </c>
      <c r="AH173" s="19">
        <v>0.0</v>
      </c>
      <c r="AI173" s="19">
        <v>0.0</v>
      </c>
      <c r="AJ173" s="19">
        <v>0.0</v>
      </c>
      <c r="AK173" s="19">
        <v>0.0</v>
      </c>
      <c r="AL173" s="19">
        <v>0.0</v>
      </c>
      <c r="AM173" s="19">
        <v>0.0</v>
      </c>
      <c r="AN173" s="19">
        <v>0.0</v>
      </c>
      <c r="AO173" s="19">
        <v>0.0</v>
      </c>
      <c r="AP173" s="19">
        <v>0.0</v>
      </c>
      <c r="AQ173" s="19">
        <v>0.0</v>
      </c>
      <c r="AR173" s="13">
        <f t="shared" si="40"/>
        <v>5</v>
      </c>
    </row>
    <row r="174" ht="12.75" customHeight="1">
      <c r="A174" s="18"/>
      <c r="B174" s="55">
        <v>6.0</v>
      </c>
      <c r="C174" s="50" t="s">
        <v>153</v>
      </c>
      <c r="D174" s="57"/>
      <c r="E174" s="19">
        <v>0.0</v>
      </c>
      <c r="F174" s="19">
        <v>0.0</v>
      </c>
      <c r="G174" s="19">
        <v>0.0</v>
      </c>
      <c r="H174" s="19">
        <v>3.0</v>
      </c>
      <c r="I174" s="19">
        <v>0.0</v>
      </c>
      <c r="J174" s="19">
        <v>0.0</v>
      </c>
      <c r="K174" s="19">
        <v>0.0</v>
      </c>
      <c r="L174" s="19">
        <v>0.0</v>
      </c>
      <c r="M174" s="19">
        <v>0.0</v>
      </c>
      <c r="N174" s="19">
        <v>3.0</v>
      </c>
      <c r="O174" s="19">
        <v>0.0</v>
      </c>
      <c r="P174" s="19">
        <v>0.0</v>
      </c>
      <c r="Q174" s="19">
        <v>0.0</v>
      </c>
      <c r="R174" s="19">
        <v>0.0</v>
      </c>
      <c r="S174" s="19">
        <v>0.0</v>
      </c>
      <c r="T174" s="19">
        <v>0.0</v>
      </c>
      <c r="U174" s="19">
        <v>0.0</v>
      </c>
      <c r="V174" s="19">
        <v>0.0</v>
      </c>
      <c r="W174" s="19">
        <v>0.0</v>
      </c>
      <c r="X174" s="19">
        <v>0.0</v>
      </c>
      <c r="Y174" s="19">
        <v>0.0</v>
      </c>
      <c r="Z174" s="19">
        <v>1.0</v>
      </c>
      <c r="AA174" s="19">
        <v>0.0</v>
      </c>
      <c r="AB174" s="19">
        <v>0.0</v>
      </c>
      <c r="AC174" s="19">
        <v>0.0</v>
      </c>
      <c r="AD174" s="19">
        <v>0.0</v>
      </c>
      <c r="AE174" s="19">
        <v>1.0</v>
      </c>
      <c r="AF174" s="19">
        <v>0.0</v>
      </c>
      <c r="AG174" s="19">
        <v>0.0</v>
      </c>
      <c r="AH174" s="19">
        <v>0.0</v>
      </c>
      <c r="AI174" s="19">
        <v>0.0</v>
      </c>
      <c r="AJ174" s="19">
        <v>0.0</v>
      </c>
      <c r="AK174" s="19">
        <v>0.0</v>
      </c>
      <c r="AL174" s="19">
        <v>0.0</v>
      </c>
      <c r="AM174" s="19">
        <v>0.0</v>
      </c>
      <c r="AN174" s="19">
        <v>0.0</v>
      </c>
      <c r="AO174" s="19">
        <v>0.0</v>
      </c>
      <c r="AP174" s="19">
        <v>0.0</v>
      </c>
      <c r="AQ174" s="19">
        <v>0.0</v>
      </c>
      <c r="AR174" s="13">
        <f t="shared" si="40"/>
        <v>8</v>
      </c>
    </row>
    <row r="175" ht="12.75" customHeight="1">
      <c r="A175" s="18"/>
      <c r="B175" s="55">
        <v>7.0</v>
      </c>
      <c r="C175" s="50" t="s">
        <v>154</v>
      </c>
      <c r="D175" s="57"/>
      <c r="E175" s="19">
        <v>0.0</v>
      </c>
      <c r="F175" s="19">
        <v>1.0</v>
      </c>
      <c r="G175" s="19">
        <v>0.0</v>
      </c>
      <c r="H175" s="19">
        <v>0.0</v>
      </c>
      <c r="I175" s="19">
        <v>0.0</v>
      </c>
      <c r="J175" s="19">
        <v>0.0</v>
      </c>
      <c r="K175" s="19">
        <v>0.0</v>
      </c>
      <c r="L175" s="19">
        <v>0.0</v>
      </c>
      <c r="M175" s="19">
        <v>1.0</v>
      </c>
      <c r="N175" s="19">
        <v>0.0</v>
      </c>
      <c r="O175" s="19">
        <v>1.0</v>
      </c>
      <c r="P175" s="19">
        <v>0.0</v>
      </c>
      <c r="Q175" s="19">
        <v>0.0</v>
      </c>
      <c r="R175" s="19">
        <v>1.0</v>
      </c>
      <c r="S175" s="19">
        <v>0.0</v>
      </c>
      <c r="T175" s="19">
        <v>0.0</v>
      </c>
      <c r="U175" s="19">
        <v>0.0</v>
      </c>
      <c r="V175" s="19">
        <v>0.0</v>
      </c>
      <c r="W175" s="19">
        <v>1.0</v>
      </c>
      <c r="X175" s="19">
        <v>0.0</v>
      </c>
      <c r="Y175" s="19">
        <v>0.0</v>
      </c>
      <c r="Z175" s="19">
        <v>0.0</v>
      </c>
      <c r="AA175" s="19">
        <v>0.0</v>
      </c>
      <c r="AB175" s="19">
        <v>0.0</v>
      </c>
      <c r="AC175" s="19">
        <v>0.0</v>
      </c>
      <c r="AD175" s="19">
        <v>0.0</v>
      </c>
      <c r="AE175" s="19">
        <v>0.0</v>
      </c>
      <c r="AF175" s="19">
        <v>0.0</v>
      </c>
      <c r="AG175" s="19">
        <v>0.0</v>
      </c>
      <c r="AH175" s="19">
        <v>1.0</v>
      </c>
      <c r="AI175" s="19">
        <v>0.0</v>
      </c>
      <c r="AJ175" s="19">
        <v>0.0</v>
      </c>
      <c r="AK175" s="19">
        <v>0.0</v>
      </c>
      <c r="AL175" s="19">
        <v>0.0</v>
      </c>
      <c r="AM175" s="19">
        <v>0.0</v>
      </c>
      <c r="AN175" s="19">
        <v>0.0</v>
      </c>
      <c r="AO175" s="19">
        <v>0.0</v>
      </c>
      <c r="AP175" s="19">
        <v>0.0</v>
      </c>
      <c r="AQ175" s="19">
        <v>0.0</v>
      </c>
      <c r="AR175" s="13">
        <f t="shared" si="40"/>
        <v>6</v>
      </c>
    </row>
    <row r="176" ht="12.75" customHeight="1">
      <c r="A176" s="19" t="s">
        <v>15</v>
      </c>
      <c r="B176" s="47" t="s">
        <v>47</v>
      </c>
      <c r="C176" s="15"/>
      <c r="D176" s="16"/>
      <c r="E176" s="13">
        <f t="shared" ref="E176:AR176" si="41">SUM(E168:E175)</f>
        <v>13</v>
      </c>
      <c r="F176" s="13">
        <f t="shared" si="41"/>
        <v>35</v>
      </c>
      <c r="G176" s="13">
        <f t="shared" si="41"/>
        <v>7</v>
      </c>
      <c r="H176" s="13">
        <f t="shared" si="41"/>
        <v>15</v>
      </c>
      <c r="I176" s="13">
        <f t="shared" si="41"/>
        <v>14</v>
      </c>
      <c r="J176" s="13">
        <f t="shared" si="41"/>
        <v>0</v>
      </c>
      <c r="K176" s="13">
        <f t="shared" si="41"/>
        <v>7</v>
      </c>
      <c r="L176" s="13">
        <f t="shared" si="41"/>
        <v>7</v>
      </c>
      <c r="M176" s="13">
        <f t="shared" si="41"/>
        <v>7</v>
      </c>
      <c r="N176" s="13">
        <f t="shared" si="41"/>
        <v>14</v>
      </c>
      <c r="O176" s="13">
        <f t="shared" si="41"/>
        <v>11</v>
      </c>
      <c r="P176" s="13">
        <f t="shared" si="41"/>
        <v>4</v>
      </c>
      <c r="Q176" s="13">
        <f t="shared" si="41"/>
        <v>16</v>
      </c>
      <c r="R176" s="13">
        <f t="shared" si="41"/>
        <v>9</v>
      </c>
      <c r="S176" s="13">
        <f t="shared" si="41"/>
        <v>9</v>
      </c>
      <c r="T176" s="13">
        <f t="shared" si="41"/>
        <v>5</v>
      </c>
      <c r="U176" s="13">
        <f t="shared" si="41"/>
        <v>5</v>
      </c>
      <c r="V176" s="13">
        <f t="shared" si="41"/>
        <v>1</v>
      </c>
      <c r="W176" s="13">
        <f t="shared" si="41"/>
        <v>7</v>
      </c>
      <c r="X176" s="13">
        <f t="shared" si="41"/>
        <v>7</v>
      </c>
      <c r="Y176" s="13">
        <f t="shared" si="41"/>
        <v>2</v>
      </c>
      <c r="Z176" s="13">
        <f t="shared" si="41"/>
        <v>8</v>
      </c>
      <c r="AA176" s="13">
        <f t="shared" si="41"/>
        <v>0</v>
      </c>
      <c r="AB176" s="13">
        <f t="shared" si="41"/>
        <v>4</v>
      </c>
      <c r="AC176" s="13">
        <f t="shared" si="41"/>
        <v>4</v>
      </c>
      <c r="AD176" s="13">
        <f t="shared" si="41"/>
        <v>8</v>
      </c>
      <c r="AE176" s="13">
        <f t="shared" si="41"/>
        <v>5</v>
      </c>
      <c r="AF176" s="13">
        <f t="shared" si="41"/>
        <v>1</v>
      </c>
      <c r="AG176" s="13">
        <f t="shared" si="41"/>
        <v>0</v>
      </c>
      <c r="AH176" s="13">
        <f t="shared" si="41"/>
        <v>3</v>
      </c>
      <c r="AI176" s="13">
        <f t="shared" si="41"/>
        <v>3</v>
      </c>
      <c r="AJ176" s="13">
        <f t="shared" si="41"/>
        <v>3</v>
      </c>
      <c r="AK176" s="13">
        <f t="shared" si="41"/>
        <v>6</v>
      </c>
      <c r="AL176" s="13">
        <f t="shared" si="41"/>
        <v>2</v>
      </c>
      <c r="AM176" s="13">
        <f t="shared" si="41"/>
        <v>3</v>
      </c>
      <c r="AN176" s="13">
        <f t="shared" si="41"/>
        <v>0</v>
      </c>
      <c r="AO176" s="13">
        <f t="shared" si="41"/>
        <v>0</v>
      </c>
      <c r="AP176" s="13">
        <f t="shared" si="41"/>
        <v>1</v>
      </c>
      <c r="AQ176" s="13">
        <f t="shared" si="41"/>
        <v>1</v>
      </c>
      <c r="AR176" s="13">
        <f t="shared" si="41"/>
        <v>247</v>
      </c>
    </row>
    <row r="177" ht="12.75" customHeight="1">
      <c r="A177" s="24"/>
      <c r="B177" s="15"/>
      <c r="C177" s="15"/>
      <c r="D177" s="15"/>
      <c r="E177" s="16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</row>
    <row r="178" ht="12.75" customHeight="1">
      <c r="A178" s="30" t="s">
        <v>37</v>
      </c>
      <c r="B178" s="47" t="s">
        <v>155</v>
      </c>
      <c r="C178" s="48" t="s">
        <v>156</v>
      </c>
      <c r="D178" s="16"/>
      <c r="E178" s="19">
        <v>0.0</v>
      </c>
      <c r="F178" s="19">
        <v>4.0</v>
      </c>
      <c r="G178" s="19">
        <v>2.0</v>
      </c>
      <c r="H178" s="19">
        <v>6.0</v>
      </c>
      <c r="I178" s="19">
        <v>1.0</v>
      </c>
      <c r="J178" s="19">
        <v>1.0</v>
      </c>
      <c r="K178" s="19">
        <v>1.0</v>
      </c>
      <c r="L178" s="19">
        <v>0.0</v>
      </c>
      <c r="M178" s="19">
        <v>0.0</v>
      </c>
      <c r="N178" s="19">
        <v>0.0</v>
      </c>
      <c r="O178" s="19">
        <v>0.0</v>
      </c>
      <c r="P178" s="19">
        <v>1.0</v>
      </c>
      <c r="Q178" s="19">
        <v>0.0</v>
      </c>
      <c r="R178" s="19">
        <v>2.0</v>
      </c>
      <c r="S178" s="19">
        <v>1.0</v>
      </c>
      <c r="T178" s="19">
        <v>1.0</v>
      </c>
      <c r="U178" s="19">
        <v>0.0</v>
      </c>
      <c r="V178" s="19">
        <v>0.0</v>
      </c>
      <c r="W178" s="19">
        <v>1.0</v>
      </c>
      <c r="X178" s="19">
        <v>2.0</v>
      </c>
      <c r="Y178" s="19">
        <v>0.0</v>
      </c>
      <c r="Z178" s="19">
        <v>0.0</v>
      </c>
      <c r="AA178" s="19">
        <v>3.0</v>
      </c>
      <c r="AB178" s="19">
        <v>1.0</v>
      </c>
      <c r="AC178" s="19">
        <v>0.0</v>
      </c>
      <c r="AD178" s="19">
        <v>1.0</v>
      </c>
      <c r="AE178" s="19">
        <v>0.0</v>
      </c>
      <c r="AF178" s="19">
        <v>0.0</v>
      </c>
      <c r="AG178" s="19">
        <v>4.0</v>
      </c>
      <c r="AH178" s="19">
        <v>1.0</v>
      </c>
      <c r="AI178" s="19">
        <v>3.0</v>
      </c>
      <c r="AJ178" s="19">
        <v>1.0</v>
      </c>
      <c r="AK178" s="19">
        <v>2.0</v>
      </c>
      <c r="AL178" s="19">
        <v>3.0</v>
      </c>
      <c r="AM178" s="19">
        <v>2.0</v>
      </c>
      <c r="AN178" s="19">
        <v>1.0</v>
      </c>
      <c r="AO178" s="19">
        <v>1.0</v>
      </c>
      <c r="AP178" s="19">
        <v>1.0</v>
      </c>
      <c r="AQ178" s="19">
        <v>0.0</v>
      </c>
      <c r="AR178" s="13">
        <f t="shared" ref="AR178:AR185" si="42">SUM(E178:AQ178)</f>
        <v>47</v>
      </c>
    </row>
    <row r="179" ht="12.75" customHeight="1">
      <c r="A179" s="30" t="s">
        <v>39</v>
      </c>
      <c r="B179" s="55">
        <v>1.0</v>
      </c>
      <c r="C179" s="50" t="s">
        <v>157</v>
      </c>
      <c r="D179" s="56"/>
      <c r="E179" s="19">
        <v>0.0</v>
      </c>
      <c r="F179" s="19">
        <v>5.0</v>
      </c>
      <c r="G179" s="19">
        <v>3.0</v>
      </c>
      <c r="H179" s="19">
        <v>3.0</v>
      </c>
      <c r="I179" s="19">
        <v>3.0</v>
      </c>
      <c r="J179" s="19">
        <v>1.0</v>
      </c>
      <c r="K179" s="19">
        <v>0.0</v>
      </c>
      <c r="L179" s="19">
        <v>2.0</v>
      </c>
      <c r="M179" s="19">
        <v>1.0</v>
      </c>
      <c r="N179" s="19">
        <v>0.0</v>
      </c>
      <c r="O179" s="19">
        <v>0.0</v>
      </c>
      <c r="P179" s="19">
        <v>3.0</v>
      </c>
      <c r="Q179" s="19">
        <v>1.0</v>
      </c>
      <c r="R179" s="19">
        <v>0.0</v>
      </c>
      <c r="S179" s="19">
        <v>1.0</v>
      </c>
      <c r="T179" s="19">
        <v>2.0</v>
      </c>
      <c r="U179" s="19">
        <v>2.0</v>
      </c>
      <c r="V179" s="19">
        <v>0.0</v>
      </c>
      <c r="W179" s="19">
        <v>0.0</v>
      </c>
      <c r="X179" s="19">
        <v>3.0</v>
      </c>
      <c r="Y179" s="19">
        <v>2.0</v>
      </c>
      <c r="Z179" s="19">
        <v>0.0</v>
      </c>
      <c r="AA179" s="19">
        <v>10.0</v>
      </c>
      <c r="AB179" s="19">
        <v>2.0</v>
      </c>
      <c r="AC179" s="19">
        <v>0.0</v>
      </c>
      <c r="AD179" s="19">
        <v>3.0</v>
      </c>
      <c r="AE179" s="19">
        <v>1.0</v>
      </c>
      <c r="AF179" s="19">
        <v>4.0</v>
      </c>
      <c r="AG179" s="19">
        <v>37.0</v>
      </c>
      <c r="AH179" s="19">
        <v>2.0</v>
      </c>
      <c r="AI179" s="19">
        <v>2.0</v>
      </c>
      <c r="AJ179" s="19">
        <v>8.0</v>
      </c>
      <c r="AK179" s="19">
        <v>14.0</v>
      </c>
      <c r="AL179" s="19">
        <v>30.0</v>
      </c>
      <c r="AM179" s="19">
        <v>4.0</v>
      </c>
      <c r="AN179" s="19">
        <v>2.0</v>
      </c>
      <c r="AO179" s="19">
        <v>1.0</v>
      </c>
      <c r="AP179" s="19">
        <v>1.0</v>
      </c>
      <c r="AQ179" s="19">
        <v>0.0</v>
      </c>
      <c r="AR179" s="13">
        <f t="shared" si="42"/>
        <v>153</v>
      </c>
    </row>
    <row r="180" ht="12.75" customHeight="1">
      <c r="A180" s="18"/>
      <c r="B180" s="55">
        <v>2.0</v>
      </c>
      <c r="C180" s="50" t="s">
        <v>158</v>
      </c>
      <c r="D180" s="56"/>
      <c r="E180" s="19">
        <v>1.0</v>
      </c>
      <c r="F180" s="19">
        <v>1.0</v>
      </c>
      <c r="G180" s="19">
        <v>0.0</v>
      </c>
      <c r="H180" s="19">
        <v>2.0</v>
      </c>
      <c r="I180" s="19">
        <v>1.0</v>
      </c>
      <c r="J180" s="19">
        <v>0.0</v>
      </c>
      <c r="K180" s="19">
        <v>2.0</v>
      </c>
      <c r="L180" s="19">
        <v>5.0</v>
      </c>
      <c r="M180" s="19">
        <v>4.0</v>
      </c>
      <c r="N180" s="19">
        <v>6.0</v>
      </c>
      <c r="O180" s="19">
        <v>0.0</v>
      </c>
      <c r="P180" s="19">
        <v>4.0</v>
      </c>
      <c r="Q180" s="19">
        <v>0.0</v>
      </c>
      <c r="R180" s="19">
        <v>0.0</v>
      </c>
      <c r="S180" s="19">
        <v>0.0</v>
      </c>
      <c r="T180" s="19">
        <v>2.0</v>
      </c>
      <c r="U180" s="19">
        <v>0.0</v>
      </c>
      <c r="V180" s="19">
        <v>1.0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1.0</v>
      </c>
      <c r="AB180" s="19">
        <v>0.0</v>
      </c>
      <c r="AC180" s="19">
        <v>2.0</v>
      </c>
      <c r="AD180" s="19">
        <v>0.0</v>
      </c>
      <c r="AE180" s="19">
        <v>1.0</v>
      </c>
      <c r="AF180" s="19">
        <v>1.0</v>
      </c>
      <c r="AG180" s="19">
        <v>2.0</v>
      </c>
      <c r="AH180" s="19">
        <v>0.0</v>
      </c>
      <c r="AI180" s="19">
        <v>0.0</v>
      </c>
      <c r="AJ180" s="19">
        <v>0.0</v>
      </c>
      <c r="AK180" s="19">
        <v>0.0</v>
      </c>
      <c r="AL180" s="19">
        <v>0.0</v>
      </c>
      <c r="AM180" s="19">
        <v>1.0</v>
      </c>
      <c r="AN180" s="19">
        <v>0.0</v>
      </c>
      <c r="AO180" s="19">
        <v>0.0</v>
      </c>
      <c r="AP180" s="19">
        <v>0.0</v>
      </c>
      <c r="AQ180" s="19">
        <v>0.0</v>
      </c>
      <c r="AR180" s="13">
        <f t="shared" si="42"/>
        <v>37</v>
      </c>
    </row>
    <row r="181" ht="12.75" customHeight="1">
      <c r="A181" s="18"/>
      <c r="B181" s="55">
        <v>3.0</v>
      </c>
      <c r="C181" s="63" t="s">
        <v>159</v>
      </c>
      <c r="E181" s="19">
        <v>0.0</v>
      </c>
      <c r="F181" s="19">
        <v>0.0</v>
      </c>
      <c r="G181" s="19">
        <v>1.0</v>
      </c>
      <c r="H181" s="19">
        <v>0.0</v>
      </c>
      <c r="I181" s="19">
        <v>2.0</v>
      </c>
      <c r="J181" s="19">
        <v>1.0</v>
      </c>
      <c r="K181" s="19">
        <v>0.0</v>
      </c>
      <c r="L181" s="19">
        <v>0.0</v>
      </c>
      <c r="M181" s="19">
        <v>1.0</v>
      </c>
      <c r="N181" s="19">
        <v>0.0</v>
      </c>
      <c r="O181" s="19">
        <v>1.0</v>
      </c>
      <c r="P181" s="19">
        <v>0.0</v>
      </c>
      <c r="Q181" s="19">
        <v>0.0</v>
      </c>
      <c r="R181" s="19">
        <v>0.0</v>
      </c>
      <c r="S181" s="19">
        <v>1.0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0.0</v>
      </c>
      <c r="AI181" s="19">
        <v>0.0</v>
      </c>
      <c r="AJ181" s="19">
        <v>0.0</v>
      </c>
      <c r="AK181" s="19">
        <v>0.0</v>
      </c>
      <c r="AL181" s="19">
        <v>0.0</v>
      </c>
      <c r="AM181" s="19">
        <v>0.0</v>
      </c>
      <c r="AN181" s="19">
        <v>0.0</v>
      </c>
      <c r="AO181" s="19">
        <v>0.0</v>
      </c>
      <c r="AP181" s="19">
        <v>0.0</v>
      </c>
      <c r="AQ181" s="19">
        <v>0.0</v>
      </c>
      <c r="AR181" s="13">
        <f t="shared" si="42"/>
        <v>7</v>
      </c>
    </row>
    <row r="182" ht="12.75" customHeight="1">
      <c r="A182" s="18"/>
      <c r="B182" s="55">
        <v>4.0</v>
      </c>
      <c r="C182" s="50" t="s">
        <v>160</v>
      </c>
      <c r="D182" s="56"/>
      <c r="E182" s="19">
        <v>0.0</v>
      </c>
      <c r="F182" s="19">
        <v>0.0</v>
      </c>
      <c r="G182" s="19">
        <v>0.0</v>
      </c>
      <c r="H182" s="19">
        <v>0.0</v>
      </c>
      <c r="I182" s="19">
        <v>1.0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1.0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1.0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0.0</v>
      </c>
      <c r="AO182" s="19">
        <v>0.0</v>
      </c>
      <c r="AP182" s="19">
        <v>0.0</v>
      </c>
      <c r="AQ182" s="19">
        <v>0.0</v>
      </c>
      <c r="AR182" s="13">
        <f t="shared" si="42"/>
        <v>3</v>
      </c>
    </row>
    <row r="183" ht="12.75" customHeight="1">
      <c r="A183" s="18"/>
      <c r="B183" s="55">
        <v>5.0</v>
      </c>
      <c r="C183" s="50" t="s">
        <v>161</v>
      </c>
      <c r="D183" s="56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1.0</v>
      </c>
      <c r="O183" s="19">
        <v>1.0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9">
        <v>0.0</v>
      </c>
      <c r="AN183" s="19">
        <v>0.0</v>
      </c>
      <c r="AO183" s="19">
        <v>0.0</v>
      </c>
      <c r="AP183" s="19">
        <v>0.0</v>
      </c>
      <c r="AQ183" s="19">
        <v>0.0</v>
      </c>
      <c r="AR183" s="13">
        <f t="shared" si="42"/>
        <v>2</v>
      </c>
    </row>
    <row r="184" ht="12.75" customHeight="1">
      <c r="A184" s="18"/>
      <c r="B184" s="55">
        <v>6.0</v>
      </c>
      <c r="C184" s="50" t="s">
        <v>162</v>
      </c>
      <c r="D184" s="56"/>
      <c r="E184" s="19">
        <v>0.0</v>
      </c>
      <c r="F184" s="19">
        <v>0.0</v>
      </c>
      <c r="G184" s="19">
        <v>1.0</v>
      </c>
      <c r="H184" s="19">
        <v>1.0</v>
      </c>
      <c r="I184" s="19">
        <v>0.0</v>
      </c>
      <c r="J184" s="19">
        <v>0.0</v>
      </c>
      <c r="K184" s="19">
        <v>0.0</v>
      </c>
      <c r="L184" s="19">
        <v>1.0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9">
        <v>0.0</v>
      </c>
      <c r="AN184" s="19">
        <v>0.0</v>
      </c>
      <c r="AO184" s="19">
        <v>0.0</v>
      </c>
      <c r="AP184" s="19">
        <v>0.0</v>
      </c>
      <c r="AQ184" s="19">
        <v>0.0</v>
      </c>
      <c r="AR184" s="13">
        <f t="shared" si="42"/>
        <v>3</v>
      </c>
    </row>
    <row r="185" ht="12.75" customHeight="1">
      <c r="A185" s="18"/>
      <c r="B185" s="55">
        <v>7.0</v>
      </c>
      <c r="C185" s="50" t="s">
        <v>163</v>
      </c>
      <c r="D185" s="56"/>
      <c r="E185" s="19">
        <v>0.0</v>
      </c>
      <c r="F185" s="19">
        <v>1.0</v>
      </c>
      <c r="G185" s="19">
        <v>0.0</v>
      </c>
      <c r="H185" s="19">
        <v>0.0</v>
      </c>
      <c r="I185" s="19">
        <v>0.0</v>
      </c>
      <c r="J185" s="19">
        <v>0.0</v>
      </c>
      <c r="K185" s="19">
        <v>0.0</v>
      </c>
      <c r="L185" s="19">
        <v>0.0</v>
      </c>
      <c r="M185" s="19">
        <v>0.0</v>
      </c>
      <c r="N185" s="19">
        <v>0.0</v>
      </c>
      <c r="O185" s="19">
        <v>0.0</v>
      </c>
      <c r="P185" s="19">
        <v>0.0</v>
      </c>
      <c r="Q185" s="19">
        <v>0.0</v>
      </c>
      <c r="R185" s="19">
        <v>0.0</v>
      </c>
      <c r="S185" s="19">
        <v>0.0</v>
      </c>
      <c r="T185" s="19">
        <v>0.0</v>
      </c>
      <c r="U185" s="19">
        <v>0.0</v>
      </c>
      <c r="V185" s="19">
        <v>0.0</v>
      </c>
      <c r="W185" s="19">
        <v>0.0</v>
      </c>
      <c r="X185" s="19">
        <v>0.0</v>
      </c>
      <c r="Y185" s="19">
        <v>0.0</v>
      </c>
      <c r="Z185" s="19">
        <v>0.0</v>
      </c>
      <c r="AA185" s="19">
        <v>0.0</v>
      </c>
      <c r="AB185" s="19">
        <v>0.0</v>
      </c>
      <c r="AC185" s="19">
        <v>1.0</v>
      </c>
      <c r="AD185" s="19">
        <v>0.0</v>
      </c>
      <c r="AE185" s="19">
        <v>0.0</v>
      </c>
      <c r="AF185" s="19">
        <v>0.0</v>
      </c>
      <c r="AG185" s="19">
        <v>0.0</v>
      </c>
      <c r="AH185" s="19">
        <v>0.0</v>
      </c>
      <c r="AI185" s="19">
        <v>0.0</v>
      </c>
      <c r="AJ185" s="19">
        <v>0.0</v>
      </c>
      <c r="AK185" s="19">
        <v>0.0</v>
      </c>
      <c r="AL185" s="19">
        <v>0.0</v>
      </c>
      <c r="AM185" s="19">
        <v>0.0</v>
      </c>
      <c r="AN185" s="19">
        <v>0.0</v>
      </c>
      <c r="AO185" s="19">
        <v>0.0</v>
      </c>
      <c r="AP185" s="19">
        <v>0.0</v>
      </c>
      <c r="AQ185" s="19">
        <v>0.0</v>
      </c>
      <c r="AR185" s="13">
        <f t="shared" si="42"/>
        <v>2</v>
      </c>
    </row>
    <row r="186" ht="12.75" customHeight="1">
      <c r="A186" s="19" t="s">
        <v>15</v>
      </c>
      <c r="B186" s="47" t="s">
        <v>47</v>
      </c>
      <c r="C186" s="15"/>
      <c r="D186" s="16"/>
      <c r="E186" s="13">
        <f t="shared" ref="E186:AR186" si="43">SUM(E178:E185)</f>
        <v>1</v>
      </c>
      <c r="F186" s="13">
        <f t="shared" si="43"/>
        <v>11</v>
      </c>
      <c r="G186" s="13">
        <f t="shared" si="43"/>
        <v>7</v>
      </c>
      <c r="H186" s="13">
        <f t="shared" si="43"/>
        <v>12</v>
      </c>
      <c r="I186" s="13">
        <f t="shared" si="43"/>
        <v>8</v>
      </c>
      <c r="J186" s="13">
        <f t="shared" si="43"/>
        <v>3</v>
      </c>
      <c r="K186" s="13">
        <f t="shared" si="43"/>
        <v>3</v>
      </c>
      <c r="L186" s="13">
        <f t="shared" si="43"/>
        <v>8</v>
      </c>
      <c r="M186" s="13">
        <f t="shared" si="43"/>
        <v>6</v>
      </c>
      <c r="N186" s="13">
        <f t="shared" si="43"/>
        <v>7</v>
      </c>
      <c r="O186" s="13">
        <f t="shared" si="43"/>
        <v>3</v>
      </c>
      <c r="P186" s="13">
        <f t="shared" si="43"/>
        <v>8</v>
      </c>
      <c r="Q186" s="13">
        <f t="shared" si="43"/>
        <v>1</v>
      </c>
      <c r="R186" s="13">
        <f t="shared" si="43"/>
        <v>2</v>
      </c>
      <c r="S186" s="13">
        <f t="shared" si="43"/>
        <v>3</v>
      </c>
      <c r="T186" s="13">
        <f t="shared" si="43"/>
        <v>5</v>
      </c>
      <c r="U186" s="13">
        <f t="shared" si="43"/>
        <v>2</v>
      </c>
      <c r="V186" s="13">
        <f t="shared" si="43"/>
        <v>1</v>
      </c>
      <c r="W186" s="13">
        <f t="shared" si="43"/>
        <v>1</v>
      </c>
      <c r="X186" s="13">
        <f t="shared" si="43"/>
        <v>5</v>
      </c>
      <c r="Y186" s="13">
        <f t="shared" si="43"/>
        <v>2</v>
      </c>
      <c r="Z186" s="13">
        <f t="shared" si="43"/>
        <v>0</v>
      </c>
      <c r="AA186" s="13">
        <f t="shared" si="43"/>
        <v>15</v>
      </c>
      <c r="AB186" s="13">
        <f t="shared" si="43"/>
        <v>3</v>
      </c>
      <c r="AC186" s="13">
        <f t="shared" si="43"/>
        <v>3</v>
      </c>
      <c r="AD186" s="13">
        <f t="shared" si="43"/>
        <v>4</v>
      </c>
      <c r="AE186" s="13">
        <f t="shared" si="43"/>
        <v>2</v>
      </c>
      <c r="AF186" s="13">
        <f t="shared" si="43"/>
        <v>5</v>
      </c>
      <c r="AG186" s="13">
        <f t="shared" si="43"/>
        <v>43</v>
      </c>
      <c r="AH186" s="13">
        <f t="shared" si="43"/>
        <v>3</v>
      </c>
      <c r="AI186" s="13">
        <f t="shared" si="43"/>
        <v>5</v>
      </c>
      <c r="AJ186" s="13">
        <f t="shared" si="43"/>
        <v>9</v>
      </c>
      <c r="AK186" s="13">
        <f t="shared" si="43"/>
        <v>16</v>
      </c>
      <c r="AL186" s="13">
        <f t="shared" si="43"/>
        <v>33</v>
      </c>
      <c r="AM186" s="13">
        <f t="shared" si="43"/>
        <v>7</v>
      </c>
      <c r="AN186" s="13">
        <f t="shared" si="43"/>
        <v>3</v>
      </c>
      <c r="AO186" s="13">
        <f t="shared" si="43"/>
        <v>2</v>
      </c>
      <c r="AP186" s="13">
        <f t="shared" si="43"/>
        <v>2</v>
      </c>
      <c r="AQ186" s="13">
        <f t="shared" si="43"/>
        <v>0</v>
      </c>
      <c r="AR186" s="13">
        <f t="shared" si="43"/>
        <v>254</v>
      </c>
    </row>
    <row r="187" ht="12.75" customHeight="1">
      <c r="A187" s="24"/>
      <c r="B187" s="15"/>
      <c r="C187" s="15"/>
      <c r="D187" s="15"/>
      <c r="E187" s="16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</row>
    <row r="188" ht="12.75" customHeight="1">
      <c r="A188" s="30" t="s">
        <v>37</v>
      </c>
      <c r="B188" s="47" t="s">
        <v>164</v>
      </c>
      <c r="C188" s="48" t="s">
        <v>165</v>
      </c>
      <c r="D188" s="16"/>
      <c r="E188" s="19">
        <v>1.0</v>
      </c>
      <c r="F188" s="19">
        <v>1.0</v>
      </c>
      <c r="G188" s="19">
        <v>0.0</v>
      </c>
      <c r="H188" s="19">
        <v>0.0</v>
      </c>
      <c r="I188" s="19">
        <v>0.0</v>
      </c>
      <c r="J188" s="19">
        <v>0.0</v>
      </c>
      <c r="K188" s="19">
        <v>0.0</v>
      </c>
      <c r="L188" s="19">
        <v>0.0</v>
      </c>
      <c r="M188" s="19">
        <v>0.0</v>
      </c>
      <c r="N188" s="19">
        <v>0.0</v>
      </c>
      <c r="O188" s="19">
        <v>0.0</v>
      </c>
      <c r="P188" s="19">
        <v>0.0</v>
      </c>
      <c r="Q188" s="19">
        <v>1.0</v>
      </c>
      <c r="R188" s="19">
        <v>0.0</v>
      </c>
      <c r="S188" s="19">
        <v>1.0</v>
      </c>
      <c r="T188" s="19">
        <v>0.0</v>
      </c>
      <c r="U188" s="19">
        <v>0.0</v>
      </c>
      <c r="V188" s="19">
        <v>0.0</v>
      </c>
      <c r="W188" s="19">
        <v>0.0</v>
      </c>
      <c r="X188" s="19">
        <v>0.0</v>
      </c>
      <c r="Y188" s="19">
        <v>0.0</v>
      </c>
      <c r="Z188" s="19">
        <v>0.0</v>
      </c>
      <c r="AA188" s="19">
        <v>0.0</v>
      </c>
      <c r="AB188" s="19">
        <v>0.0</v>
      </c>
      <c r="AC188" s="19">
        <v>0.0</v>
      </c>
      <c r="AD188" s="19">
        <v>0.0</v>
      </c>
      <c r="AE188" s="19">
        <v>0.0</v>
      </c>
      <c r="AF188" s="19">
        <v>0.0</v>
      </c>
      <c r="AG188" s="19">
        <v>0.0</v>
      </c>
      <c r="AH188" s="19">
        <v>0.0</v>
      </c>
      <c r="AI188" s="19">
        <v>0.0</v>
      </c>
      <c r="AJ188" s="19">
        <v>0.0</v>
      </c>
      <c r="AK188" s="19">
        <v>0.0</v>
      </c>
      <c r="AL188" s="19">
        <v>1.0</v>
      </c>
      <c r="AM188" s="19">
        <v>0.0</v>
      </c>
      <c r="AN188" s="19">
        <v>0.0</v>
      </c>
      <c r="AO188" s="19">
        <v>0.0</v>
      </c>
      <c r="AP188" s="19">
        <v>0.0</v>
      </c>
      <c r="AQ188" s="19">
        <v>0.0</v>
      </c>
      <c r="AR188" s="13">
        <f t="shared" ref="AR188:AR195" si="44">SUM(E188:AQ188)</f>
        <v>5</v>
      </c>
    </row>
    <row r="189" ht="12.75" customHeight="1">
      <c r="A189" s="30" t="s">
        <v>39</v>
      </c>
      <c r="B189" s="55">
        <v>1.0</v>
      </c>
      <c r="C189" s="50" t="s">
        <v>166</v>
      </c>
      <c r="D189" s="57"/>
      <c r="E189" s="19">
        <v>0.0</v>
      </c>
      <c r="F189" s="19">
        <v>2.0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1.0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3.0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1.0</v>
      </c>
      <c r="AG189" s="19">
        <v>0.0</v>
      </c>
      <c r="AH189" s="19">
        <v>0.0</v>
      </c>
      <c r="AI189" s="19">
        <v>0.0</v>
      </c>
      <c r="AJ189" s="19">
        <v>0.0</v>
      </c>
      <c r="AK189" s="19">
        <v>0.0</v>
      </c>
      <c r="AL189" s="19">
        <v>0.0</v>
      </c>
      <c r="AM189" s="19">
        <v>0.0</v>
      </c>
      <c r="AN189" s="19">
        <v>0.0</v>
      </c>
      <c r="AO189" s="19">
        <v>0.0</v>
      </c>
      <c r="AP189" s="19">
        <v>0.0</v>
      </c>
      <c r="AQ189" s="19">
        <v>0.0</v>
      </c>
      <c r="AR189" s="13">
        <f t="shared" si="44"/>
        <v>7</v>
      </c>
    </row>
    <row r="190" ht="12.75" customHeight="1">
      <c r="A190" s="18"/>
      <c r="B190" s="55">
        <v>2.0</v>
      </c>
      <c r="C190" s="50" t="s">
        <v>167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1.0</v>
      </c>
      <c r="Q190" s="19">
        <v>0.0</v>
      </c>
      <c r="R190" s="19">
        <v>0.0</v>
      </c>
      <c r="S190" s="19">
        <v>0.0</v>
      </c>
      <c r="T190" s="19">
        <v>0.0</v>
      </c>
      <c r="U190" s="19">
        <v>1.0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0.0</v>
      </c>
      <c r="AL190" s="19">
        <v>0.0</v>
      </c>
      <c r="AM190" s="19">
        <v>0.0</v>
      </c>
      <c r="AN190" s="19">
        <v>0.0</v>
      </c>
      <c r="AO190" s="19">
        <v>0.0</v>
      </c>
      <c r="AP190" s="19">
        <v>0.0</v>
      </c>
      <c r="AQ190" s="19">
        <v>0.0</v>
      </c>
      <c r="AR190" s="13">
        <f t="shared" si="44"/>
        <v>2</v>
      </c>
    </row>
    <row r="191" ht="12.75" customHeight="1">
      <c r="A191" s="18"/>
      <c r="B191" s="55">
        <v>3.0</v>
      </c>
      <c r="C191" s="50" t="s">
        <v>168</v>
      </c>
      <c r="D191" s="57"/>
      <c r="E191" s="19">
        <v>0.0</v>
      </c>
      <c r="F191" s="19">
        <v>1.0</v>
      </c>
      <c r="G191" s="19">
        <v>1.0</v>
      </c>
      <c r="H191" s="19">
        <v>1.0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1.0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0.0</v>
      </c>
      <c r="AM191" s="19">
        <v>0.0</v>
      </c>
      <c r="AN191" s="19">
        <v>0.0</v>
      </c>
      <c r="AO191" s="19">
        <v>1.0</v>
      </c>
      <c r="AP191" s="19">
        <v>0.0</v>
      </c>
      <c r="AQ191" s="19">
        <v>0.0</v>
      </c>
      <c r="AR191" s="13">
        <f t="shared" si="44"/>
        <v>5</v>
      </c>
    </row>
    <row r="192" ht="12.75" customHeight="1">
      <c r="A192" s="18"/>
      <c r="B192" s="55">
        <v>4.0</v>
      </c>
      <c r="C192" s="50" t="s">
        <v>169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9">
        <v>0.0</v>
      </c>
      <c r="AN192" s="19">
        <v>0.0</v>
      </c>
      <c r="AO192" s="19">
        <v>0.0</v>
      </c>
      <c r="AP192" s="19">
        <v>0.0</v>
      </c>
      <c r="AQ192" s="19">
        <v>0.0</v>
      </c>
      <c r="AR192" s="13">
        <f t="shared" si="44"/>
        <v>0</v>
      </c>
    </row>
    <row r="193" ht="12.75" customHeight="1">
      <c r="A193" s="18"/>
      <c r="B193" s="55">
        <v>5.0</v>
      </c>
      <c r="C193" s="50" t="s">
        <v>170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1.0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3">
        <f t="shared" si="44"/>
        <v>1</v>
      </c>
    </row>
    <row r="194" ht="12.75" customHeight="1">
      <c r="A194" s="18"/>
      <c r="B194" s="55">
        <v>6.0</v>
      </c>
      <c r="C194" s="50" t="s">
        <v>171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0.0</v>
      </c>
      <c r="AN194" s="19">
        <v>0.0</v>
      </c>
      <c r="AO194" s="19">
        <v>0.0</v>
      </c>
      <c r="AP194" s="19">
        <v>0.0</v>
      </c>
      <c r="AQ194" s="19">
        <v>0.0</v>
      </c>
      <c r="AR194" s="13">
        <f t="shared" si="44"/>
        <v>0</v>
      </c>
    </row>
    <row r="195" ht="12.75" customHeight="1">
      <c r="A195" s="18"/>
      <c r="B195" s="55">
        <v>7.0</v>
      </c>
      <c r="C195" s="50" t="s">
        <v>172</v>
      </c>
      <c r="D195" s="57"/>
      <c r="E195" s="19">
        <v>0.0</v>
      </c>
      <c r="F195" s="19">
        <v>1.0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1.0</v>
      </c>
      <c r="O195" s="19">
        <v>1.0</v>
      </c>
      <c r="P195" s="19">
        <v>0.0</v>
      </c>
      <c r="Q195" s="19">
        <v>0.0</v>
      </c>
      <c r="R195" s="19">
        <v>1.0</v>
      </c>
      <c r="S195" s="19">
        <v>2.0</v>
      </c>
      <c r="T195" s="19">
        <v>0.0</v>
      </c>
      <c r="U195" s="19">
        <v>3.0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1.0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0.0</v>
      </c>
      <c r="AN195" s="19">
        <v>0.0</v>
      </c>
      <c r="AO195" s="19">
        <v>0.0</v>
      </c>
      <c r="AP195" s="19">
        <v>0.0</v>
      </c>
      <c r="AQ195" s="19">
        <v>0.0</v>
      </c>
      <c r="AR195" s="13">
        <f t="shared" si="44"/>
        <v>10</v>
      </c>
    </row>
    <row r="196" ht="12.75" customHeight="1">
      <c r="A196" s="19" t="s">
        <v>15</v>
      </c>
      <c r="B196" s="47" t="s">
        <v>47</v>
      </c>
      <c r="C196" s="15"/>
      <c r="D196" s="16"/>
      <c r="E196" s="13">
        <f t="shared" ref="E196:AR196" si="45">SUM(E188:E195)</f>
        <v>1</v>
      </c>
      <c r="F196" s="13">
        <f t="shared" si="45"/>
        <v>5</v>
      </c>
      <c r="G196" s="13">
        <f t="shared" si="45"/>
        <v>1</v>
      </c>
      <c r="H196" s="13">
        <f t="shared" si="45"/>
        <v>1</v>
      </c>
      <c r="I196" s="13">
        <f t="shared" si="45"/>
        <v>0</v>
      </c>
      <c r="J196" s="13">
        <f t="shared" si="45"/>
        <v>0</v>
      </c>
      <c r="K196" s="13">
        <f t="shared" si="45"/>
        <v>0</v>
      </c>
      <c r="L196" s="13">
        <f t="shared" si="45"/>
        <v>0</v>
      </c>
      <c r="M196" s="13">
        <f t="shared" si="45"/>
        <v>0</v>
      </c>
      <c r="N196" s="13">
        <f t="shared" si="45"/>
        <v>1</v>
      </c>
      <c r="O196" s="13">
        <f t="shared" si="45"/>
        <v>1</v>
      </c>
      <c r="P196" s="13">
        <f t="shared" si="45"/>
        <v>1</v>
      </c>
      <c r="Q196" s="13">
        <f t="shared" si="45"/>
        <v>1</v>
      </c>
      <c r="R196" s="13">
        <f t="shared" si="45"/>
        <v>1</v>
      </c>
      <c r="S196" s="13">
        <f t="shared" si="45"/>
        <v>4</v>
      </c>
      <c r="T196" s="13">
        <f t="shared" si="45"/>
        <v>1</v>
      </c>
      <c r="U196" s="13">
        <f t="shared" si="45"/>
        <v>4</v>
      </c>
      <c r="V196" s="13">
        <f t="shared" si="45"/>
        <v>0</v>
      </c>
      <c r="W196" s="13">
        <f t="shared" si="45"/>
        <v>0</v>
      </c>
      <c r="X196" s="13">
        <f t="shared" si="45"/>
        <v>0</v>
      </c>
      <c r="Y196" s="13">
        <f t="shared" si="45"/>
        <v>0</v>
      </c>
      <c r="Z196" s="13">
        <f t="shared" si="45"/>
        <v>0</v>
      </c>
      <c r="AA196" s="13">
        <f t="shared" si="45"/>
        <v>4</v>
      </c>
      <c r="AB196" s="13">
        <f t="shared" si="45"/>
        <v>0</v>
      </c>
      <c r="AC196" s="13">
        <f t="shared" si="45"/>
        <v>0</v>
      </c>
      <c r="AD196" s="13">
        <f t="shared" si="45"/>
        <v>0</v>
      </c>
      <c r="AE196" s="13">
        <f t="shared" si="45"/>
        <v>0</v>
      </c>
      <c r="AF196" s="13">
        <f t="shared" si="45"/>
        <v>1</v>
      </c>
      <c r="AG196" s="13">
        <f t="shared" si="45"/>
        <v>0</v>
      </c>
      <c r="AH196" s="13">
        <f t="shared" si="45"/>
        <v>1</v>
      </c>
      <c r="AI196" s="13">
        <f t="shared" si="45"/>
        <v>0</v>
      </c>
      <c r="AJ196" s="13">
        <f t="shared" si="45"/>
        <v>0</v>
      </c>
      <c r="AK196" s="13">
        <f t="shared" si="45"/>
        <v>0</v>
      </c>
      <c r="AL196" s="13">
        <f t="shared" si="45"/>
        <v>1</v>
      </c>
      <c r="AM196" s="13">
        <f t="shared" si="45"/>
        <v>0</v>
      </c>
      <c r="AN196" s="13">
        <f t="shared" si="45"/>
        <v>0</v>
      </c>
      <c r="AO196" s="13">
        <f t="shared" si="45"/>
        <v>1</v>
      </c>
      <c r="AP196" s="13">
        <f t="shared" si="45"/>
        <v>0</v>
      </c>
      <c r="AQ196" s="13">
        <f t="shared" si="45"/>
        <v>0</v>
      </c>
      <c r="AR196" s="13">
        <f t="shared" si="45"/>
        <v>30</v>
      </c>
    </row>
    <row r="197" ht="12.75" customHeight="1">
      <c r="A197" s="24"/>
      <c r="B197" s="15"/>
      <c r="C197" s="15"/>
      <c r="D197" s="15"/>
      <c r="E197" s="16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</row>
    <row r="198" ht="12.75" customHeight="1">
      <c r="A198" s="30" t="s">
        <v>37</v>
      </c>
      <c r="B198" s="47" t="s">
        <v>173</v>
      </c>
      <c r="C198" s="48" t="s">
        <v>174</v>
      </c>
      <c r="D198" s="16"/>
      <c r="E198" s="19">
        <v>0.0</v>
      </c>
      <c r="F198" s="19">
        <v>0.0</v>
      </c>
      <c r="G198" s="19">
        <v>0.0</v>
      </c>
      <c r="H198" s="19">
        <v>1.0</v>
      </c>
      <c r="I198" s="19">
        <v>0.0</v>
      </c>
      <c r="J198" s="19">
        <v>2.0</v>
      </c>
      <c r="K198" s="19">
        <v>0.0</v>
      </c>
      <c r="L198" s="19">
        <v>1.0</v>
      </c>
      <c r="M198" s="19">
        <v>0.0</v>
      </c>
      <c r="N198" s="19">
        <v>1.0</v>
      </c>
      <c r="O198" s="19">
        <v>1.0</v>
      </c>
      <c r="P198" s="19">
        <v>0.0</v>
      </c>
      <c r="Q198" s="19">
        <v>1.0</v>
      </c>
      <c r="R198" s="19">
        <v>1.0</v>
      </c>
      <c r="S198" s="19">
        <v>0.0</v>
      </c>
      <c r="T198" s="19">
        <v>0.0</v>
      </c>
      <c r="U198" s="19">
        <v>0.0</v>
      </c>
      <c r="V198" s="19">
        <v>0.0</v>
      </c>
      <c r="W198" s="19">
        <v>0.0</v>
      </c>
      <c r="X198" s="19">
        <v>0.0</v>
      </c>
      <c r="Y198" s="19">
        <v>1.0</v>
      </c>
      <c r="Z198" s="19">
        <v>0.0</v>
      </c>
      <c r="AA198" s="19">
        <v>0.0</v>
      </c>
      <c r="AB198" s="19">
        <v>0.0</v>
      </c>
      <c r="AC198" s="19">
        <v>0.0</v>
      </c>
      <c r="AD198" s="19">
        <v>7.0</v>
      </c>
      <c r="AE198" s="19">
        <v>4.0</v>
      </c>
      <c r="AF198" s="19">
        <v>4.0</v>
      </c>
      <c r="AG198" s="19">
        <v>2.0</v>
      </c>
      <c r="AH198" s="19">
        <v>0.0</v>
      </c>
      <c r="AI198" s="19">
        <v>1.0</v>
      </c>
      <c r="AJ198" s="19">
        <v>0.0</v>
      </c>
      <c r="AK198" s="19">
        <v>0.0</v>
      </c>
      <c r="AL198" s="19">
        <v>2.0</v>
      </c>
      <c r="AM198" s="19">
        <v>0.0</v>
      </c>
      <c r="AN198" s="19">
        <v>1.0</v>
      </c>
      <c r="AO198" s="19">
        <v>0.0</v>
      </c>
      <c r="AP198" s="19">
        <v>0.0</v>
      </c>
      <c r="AQ198" s="19">
        <v>3.0</v>
      </c>
      <c r="AR198" s="13">
        <f t="shared" ref="AR198:AR205" si="46">SUM(E198:AQ198)</f>
        <v>33</v>
      </c>
    </row>
    <row r="199" ht="12.75" customHeight="1">
      <c r="A199" s="30" t="s">
        <v>39</v>
      </c>
      <c r="B199" s="55">
        <v>1.0</v>
      </c>
      <c r="C199" s="50" t="s">
        <v>175</v>
      </c>
      <c r="D199" s="57"/>
      <c r="E199" s="19">
        <v>0.0</v>
      </c>
      <c r="F199" s="19">
        <v>0.0</v>
      </c>
      <c r="G199" s="19">
        <v>0.0</v>
      </c>
      <c r="H199" s="19">
        <v>0.0</v>
      </c>
      <c r="I199" s="19">
        <v>0.0</v>
      </c>
      <c r="J199" s="19">
        <v>1.0</v>
      </c>
      <c r="K199" s="19">
        <v>0.0</v>
      </c>
      <c r="L199" s="19">
        <v>0.0</v>
      </c>
      <c r="M199" s="19">
        <v>0.0</v>
      </c>
      <c r="N199" s="19">
        <v>0.0</v>
      </c>
      <c r="O199" s="19">
        <v>2.0</v>
      </c>
      <c r="P199" s="19">
        <v>1.0</v>
      </c>
      <c r="Q199" s="19">
        <v>0.0</v>
      </c>
      <c r="R199" s="19">
        <v>0.0</v>
      </c>
      <c r="S199" s="19">
        <v>1.0</v>
      </c>
      <c r="T199" s="19">
        <v>0.0</v>
      </c>
      <c r="U199" s="19">
        <v>0.0</v>
      </c>
      <c r="V199" s="19">
        <v>0.0</v>
      </c>
      <c r="W199" s="19">
        <v>2.0</v>
      </c>
      <c r="X199" s="19">
        <v>1.0</v>
      </c>
      <c r="Y199" s="19">
        <v>1.0</v>
      </c>
      <c r="Z199" s="19">
        <v>1.0</v>
      </c>
      <c r="AA199" s="19">
        <v>0.0</v>
      </c>
      <c r="AB199" s="19">
        <v>1.0</v>
      </c>
      <c r="AC199" s="19">
        <v>2.0</v>
      </c>
      <c r="AD199" s="19">
        <v>7.0</v>
      </c>
      <c r="AE199" s="19">
        <v>4.0</v>
      </c>
      <c r="AF199" s="19">
        <v>6.0</v>
      </c>
      <c r="AG199" s="19">
        <v>1.0</v>
      </c>
      <c r="AH199" s="19">
        <v>2.0</v>
      </c>
      <c r="AI199" s="19">
        <v>0.0</v>
      </c>
      <c r="AJ199" s="19">
        <v>5.0</v>
      </c>
      <c r="AK199" s="19">
        <v>0.0</v>
      </c>
      <c r="AL199" s="19">
        <v>5.0</v>
      </c>
      <c r="AM199" s="19">
        <v>0.0</v>
      </c>
      <c r="AN199" s="19">
        <v>1.0</v>
      </c>
      <c r="AO199" s="19">
        <v>0.0</v>
      </c>
      <c r="AP199" s="19">
        <v>7.0</v>
      </c>
      <c r="AQ199" s="19">
        <v>7.0</v>
      </c>
      <c r="AR199" s="13">
        <f t="shared" si="46"/>
        <v>58</v>
      </c>
    </row>
    <row r="200" ht="12.75" customHeight="1">
      <c r="A200" s="18"/>
      <c r="B200" s="55">
        <v>2.0</v>
      </c>
      <c r="C200" s="50" t="s">
        <v>176</v>
      </c>
      <c r="D200" s="57"/>
      <c r="E200" s="19">
        <v>0.0</v>
      </c>
      <c r="F200" s="19">
        <v>5.0</v>
      </c>
      <c r="G200" s="19">
        <v>1.0</v>
      </c>
      <c r="H200" s="19">
        <v>1.0</v>
      </c>
      <c r="I200" s="19">
        <v>2.0</v>
      </c>
      <c r="J200" s="19">
        <v>0.0</v>
      </c>
      <c r="K200" s="19">
        <v>0.0</v>
      </c>
      <c r="L200" s="19">
        <v>1.0</v>
      </c>
      <c r="M200" s="19">
        <v>3.0</v>
      </c>
      <c r="N200" s="19">
        <v>0.0</v>
      </c>
      <c r="O200" s="19">
        <v>4.0</v>
      </c>
      <c r="P200" s="19">
        <v>3.0</v>
      </c>
      <c r="Q200" s="19">
        <v>1.0</v>
      </c>
      <c r="R200" s="19">
        <v>2.0</v>
      </c>
      <c r="S200" s="19">
        <v>0.0</v>
      </c>
      <c r="T200" s="19">
        <v>2.0</v>
      </c>
      <c r="U200" s="19">
        <v>0.0</v>
      </c>
      <c r="V200" s="19">
        <v>1.0</v>
      </c>
      <c r="W200" s="19">
        <v>0.0</v>
      </c>
      <c r="X200" s="19">
        <v>1.0</v>
      </c>
      <c r="Y200" s="19">
        <v>0.0</v>
      </c>
      <c r="Z200" s="19">
        <v>0.0</v>
      </c>
      <c r="AA200" s="19">
        <v>2.0</v>
      </c>
      <c r="AB200" s="19">
        <v>2.0</v>
      </c>
      <c r="AC200" s="19">
        <v>2.0</v>
      </c>
      <c r="AD200" s="19">
        <v>120.0</v>
      </c>
      <c r="AE200" s="19">
        <v>114.0</v>
      </c>
      <c r="AF200" s="19">
        <v>105.0</v>
      </c>
      <c r="AG200" s="19">
        <v>1.0</v>
      </c>
      <c r="AH200" s="19">
        <v>1.0</v>
      </c>
      <c r="AI200" s="19">
        <v>1.0</v>
      </c>
      <c r="AJ200" s="19">
        <v>3.0</v>
      </c>
      <c r="AK200" s="19">
        <v>0.0</v>
      </c>
      <c r="AL200" s="19">
        <v>1.0</v>
      </c>
      <c r="AM200" s="19">
        <v>0.0</v>
      </c>
      <c r="AN200" s="19">
        <v>0.0</v>
      </c>
      <c r="AO200" s="19">
        <v>0.0</v>
      </c>
      <c r="AP200" s="19">
        <v>1.0</v>
      </c>
      <c r="AQ200" s="19">
        <v>0.0</v>
      </c>
      <c r="AR200" s="13">
        <f t="shared" si="46"/>
        <v>380</v>
      </c>
    </row>
    <row r="201" ht="12.75" customHeight="1">
      <c r="A201" s="18"/>
      <c r="B201" s="55">
        <v>3.0</v>
      </c>
      <c r="C201" s="50" t="s">
        <v>177</v>
      </c>
      <c r="D201" s="57"/>
      <c r="E201" s="19">
        <v>0.0</v>
      </c>
      <c r="F201" s="19">
        <v>0.0</v>
      </c>
      <c r="G201" s="19">
        <v>0.0</v>
      </c>
      <c r="H201" s="19">
        <v>0.0</v>
      </c>
      <c r="I201" s="19">
        <v>0.0</v>
      </c>
      <c r="J201" s="19">
        <v>0.0</v>
      </c>
      <c r="K201" s="19">
        <v>0.0</v>
      </c>
      <c r="L201" s="19">
        <v>1.0</v>
      </c>
      <c r="M201" s="19">
        <v>1.0</v>
      </c>
      <c r="N201" s="19">
        <v>0.0</v>
      </c>
      <c r="O201" s="19">
        <v>0.0</v>
      </c>
      <c r="P201" s="19">
        <v>0.0</v>
      </c>
      <c r="Q201" s="19">
        <v>0.0</v>
      </c>
      <c r="R201" s="19">
        <v>0.0</v>
      </c>
      <c r="S201" s="19">
        <v>0.0</v>
      </c>
      <c r="T201" s="19">
        <v>0.0</v>
      </c>
      <c r="U201" s="19">
        <v>0.0</v>
      </c>
      <c r="V201" s="19">
        <v>0.0</v>
      </c>
      <c r="W201" s="19">
        <v>0.0</v>
      </c>
      <c r="X201" s="19">
        <v>0.0</v>
      </c>
      <c r="Y201" s="19">
        <v>0.0</v>
      </c>
      <c r="Z201" s="19">
        <v>0.0</v>
      </c>
      <c r="AA201" s="19">
        <v>0.0</v>
      </c>
      <c r="AB201" s="19">
        <v>0.0</v>
      </c>
      <c r="AC201" s="19">
        <v>0.0</v>
      </c>
      <c r="AD201" s="19">
        <v>0.0</v>
      </c>
      <c r="AE201" s="19">
        <v>0.0</v>
      </c>
      <c r="AF201" s="19">
        <v>1.0</v>
      </c>
      <c r="AG201" s="19">
        <v>1.0</v>
      </c>
      <c r="AH201" s="19">
        <v>0.0</v>
      </c>
      <c r="AI201" s="19">
        <v>1.0</v>
      </c>
      <c r="AJ201" s="19">
        <v>0.0</v>
      </c>
      <c r="AK201" s="19">
        <v>0.0</v>
      </c>
      <c r="AL201" s="19">
        <v>0.0</v>
      </c>
      <c r="AM201" s="19">
        <v>0.0</v>
      </c>
      <c r="AN201" s="19">
        <v>0.0</v>
      </c>
      <c r="AO201" s="19">
        <v>1.0</v>
      </c>
      <c r="AP201" s="19">
        <v>0.0</v>
      </c>
      <c r="AQ201" s="19">
        <v>0.0</v>
      </c>
      <c r="AR201" s="13">
        <f t="shared" si="46"/>
        <v>6</v>
      </c>
    </row>
    <row r="202" ht="12.75" customHeight="1">
      <c r="A202" s="18"/>
      <c r="B202" s="55">
        <v>4.0</v>
      </c>
      <c r="C202" s="50" t="s">
        <v>178</v>
      </c>
      <c r="D202" s="57"/>
      <c r="E202" s="19">
        <v>0.0</v>
      </c>
      <c r="F202" s="19">
        <v>0.0</v>
      </c>
      <c r="G202" s="19">
        <v>0.0</v>
      </c>
      <c r="H202" s="19">
        <v>0.0</v>
      </c>
      <c r="I202" s="19">
        <v>0.0</v>
      </c>
      <c r="J202" s="19">
        <v>0.0</v>
      </c>
      <c r="K202" s="19">
        <v>0.0</v>
      </c>
      <c r="L202" s="19">
        <v>1.0</v>
      </c>
      <c r="M202" s="19">
        <v>1.0</v>
      </c>
      <c r="N202" s="19">
        <v>0.0</v>
      </c>
      <c r="O202" s="19">
        <v>5.0</v>
      </c>
      <c r="P202" s="19">
        <v>1.0</v>
      </c>
      <c r="Q202" s="19">
        <v>0.0</v>
      </c>
      <c r="R202" s="19">
        <v>1.0</v>
      </c>
      <c r="S202" s="19">
        <v>0.0</v>
      </c>
      <c r="T202" s="19">
        <v>0.0</v>
      </c>
      <c r="U202" s="19">
        <v>0.0</v>
      </c>
      <c r="V202" s="19">
        <v>0.0</v>
      </c>
      <c r="W202" s="19">
        <v>0.0</v>
      </c>
      <c r="X202" s="19">
        <v>0.0</v>
      </c>
      <c r="Y202" s="19">
        <v>1.0</v>
      </c>
      <c r="Z202" s="19">
        <v>2.0</v>
      </c>
      <c r="AA202" s="19">
        <v>0.0</v>
      </c>
      <c r="AB202" s="19">
        <v>5.0</v>
      </c>
      <c r="AC202" s="19">
        <v>3.0</v>
      </c>
      <c r="AD202" s="19">
        <v>0.0</v>
      </c>
      <c r="AE202" s="19">
        <v>0.0</v>
      </c>
      <c r="AF202" s="19">
        <v>5.0</v>
      </c>
      <c r="AG202" s="19">
        <v>0.0</v>
      </c>
      <c r="AH202" s="19">
        <v>2.0</v>
      </c>
      <c r="AI202" s="19">
        <v>0.0</v>
      </c>
      <c r="AJ202" s="19">
        <v>0.0</v>
      </c>
      <c r="AK202" s="19">
        <v>1.0</v>
      </c>
      <c r="AL202" s="19">
        <v>4.0</v>
      </c>
      <c r="AM202" s="19">
        <v>0.0</v>
      </c>
      <c r="AN202" s="19">
        <v>0.0</v>
      </c>
      <c r="AO202" s="19">
        <v>1.0</v>
      </c>
      <c r="AP202" s="19">
        <v>1.0</v>
      </c>
      <c r="AQ202" s="19">
        <v>0.0</v>
      </c>
      <c r="AR202" s="13">
        <f t="shared" si="46"/>
        <v>34</v>
      </c>
    </row>
    <row r="203" ht="12.75" customHeight="1">
      <c r="A203" s="18"/>
      <c r="B203" s="55">
        <v>5.0</v>
      </c>
      <c r="C203" s="50" t="s">
        <v>179</v>
      </c>
      <c r="D203" s="57"/>
      <c r="E203" s="19">
        <v>0.0</v>
      </c>
      <c r="F203" s="19">
        <v>0.0</v>
      </c>
      <c r="G203" s="19">
        <v>0.0</v>
      </c>
      <c r="H203" s="19">
        <v>0.0</v>
      </c>
      <c r="I203" s="19">
        <v>0.0</v>
      </c>
      <c r="J203" s="19">
        <v>0.0</v>
      </c>
      <c r="K203" s="19">
        <v>0.0</v>
      </c>
      <c r="L203" s="19">
        <v>0.0</v>
      </c>
      <c r="M203" s="19">
        <v>0.0</v>
      </c>
      <c r="N203" s="19">
        <v>0.0</v>
      </c>
      <c r="O203" s="19">
        <v>0.0</v>
      </c>
      <c r="P203" s="19">
        <v>0.0</v>
      </c>
      <c r="Q203" s="19">
        <v>0.0</v>
      </c>
      <c r="R203" s="19">
        <v>0.0</v>
      </c>
      <c r="S203" s="19">
        <v>0.0</v>
      </c>
      <c r="T203" s="19">
        <v>0.0</v>
      </c>
      <c r="U203" s="19">
        <v>0.0</v>
      </c>
      <c r="V203" s="19">
        <v>0.0</v>
      </c>
      <c r="W203" s="19">
        <v>0.0</v>
      </c>
      <c r="X203" s="19">
        <v>0.0</v>
      </c>
      <c r="Y203" s="19">
        <v>0.0</v>
      </c>
      <c r="Z203" s="19">
        <v>0.0</v>
      </c>
      <c r="AA203" s="19">
        <v>0.0</v>
      </c>
      <c r="AB203" s="19">
        <v>0.0</v>
      </c>
      <c r="AC203" s="19">
        <v>0.0</v>
      </c>
      <c r="AD203" s="19">
        <v>0.0</v>
      </c>
      <c r="AE203" s="19">
        <v>0.0</v>
      </c>
      <c r="AF203" s="19">
        <v>0.0</v>
      </c>
      <c r="AG203" s="19">
        <v>0.0</v>
      </c>
      <c r="AH203" s="19">
        <v>0.0</v>
      </c>
      <c r="AI203" s="19">
        <v>0.0</v>
      </c>
      <c r="AJ203" s="19">
        <v>0.0</v>
      </c>
      <c r="AK203" s="19">
        <v>0.0</v>
      </c>
      <c r="AL203" s="19">
        <v>0.0</v>
      </c>
      <c r="AM203" s="19">
        <v>0.0</v>
      </c>
      <c r="AN203" s="19">
        <v>0.0</v>
      </c>
      <c r="AO203" s="19">
        <v>0.0</v>
      </c>
      <c r="AP203" s="19">
        <v>0.0</v>
      </c>
      <c r="AQ203" s="19">
        <v>0.0</v>
      </c>
      <c r="AR203" s="13">
        <f t="shared" si="46"/>
        <v>0</v>
      </c>
    </row>
    <row r="204" ht="12.75" customHeight="1">
      <c r="A204" s="18"/>
      <c r="B204" s="55">
        <v>6.0</v>
      </c>
      <c r="C204" s="50" t="s">
        <v>180</v>
      </c>
      <c r="D204" s="57"/>
      <c r="E204" s="19">
        <v>0.0</v>
      </c>
      <c r="F204" s="19">
        <v>1.0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0.0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0.0</v>
      </c>
      <c r="AB204" s="19">
        <v>0.0</v>
      </c>
      <c r="AC204" s="19">
        <v>0.0</v>
      </c>
      <c r="AD204" s="19">
        <v>1.0</v>
      </c>
      <c r="AE204" s="19">
        <v>0.0</v>
      </c>
      <c r="AF204" s="19">
        <v>0.0</v>
      </c>
      <c r="AG204" s="19">
        <v>0.0</v>
      </c>
      <c r="AH204" s="19">
        <v>0.0</v>
      </c>
      <c r="AI204" s="19">
        <v>0.0</v>
      </c>
      <c r="AJ204" s="19">
        <v>0.0</v>
      </c>
      <c r="AK204" s="19">
        <v>1.0</v>
      </c>
      <c r="AL204" s="19">
        <v>1.0</v>
      </c>
      <c r="AM204" s="19">
        <v>0.0</v>
      </c>
      <c r="AN204" s="19">
        <v>0.0</v>
      </c>
      <c r="AO204" s="19">
        <v>0.0</v>
      </c>
      <c r="AP204" s="19">
        <v>0.0</v>
      </c>
      <c r="AQ204" s="19">
        <v>0.0</v>
      </c>
      <c r="AR204" s="13">
        <f t="shared" si="46"/>
        <v>4</v>
      </c>
    </row>
    <row r="205" ht="12.75" customHeight="1">
      <c r="A205" s="18"/>
      <c r="B205" s="55">
        <v>7.0</v>
      </c>
      <c r="C205" s="50" t="s">
        <v>181</v>
      </c>
      <c r="D205" s="57"/>
      <c r="E205" s="19">
        <v>0.0</v>
      </c>
      <c r="F205" s="19">
        <v>0.0</v>
      </c>
      <c r="G205" s="19">
        <v>3.0</v>
      </c>
      <c r="H205" s="19">
        <v>2.0</v>
      </c>
      <c r="I205" s="19">
        <v>0.0</v>
      </c>
      <c r="J205" s="19">
        <v>0.0</v>
      </c>
      <c r="K205" s="19">
        <v>2.0</v>
      </c>
      <c r="L205" s="19">
        <v>3.0</v>
      </c>
      <c r="M205" s="19">
        <v>2.0</v>
      </c>
      <c r="N205" s="19">
        <v>5.0</v>
      </c>
      <c r="O205" s="19">
        <v>3.0</v>
      </c>
      <c r="P205" s="19">
        <v>37.0</v>
      </c>
      <c r="Q205" s="19">
        <v>7.0</v>
      </c>
      <c r="R205" s="19">
        <v>6.0</v>
      </c>
      <c r="S205" s="19">
        <v>5.0</v>
      </c>
      <c r="T205" s="19">
        <v>5.0</v>
      </c>
      <c r="U205" s="19">
        <v>3.0</v>
      </c>
      <c r="V205" s="19">
        <v>0.0</v>
      </c>
      <c r="W205" s="19">
        <v>3.0</v>
      </c>
      <c r="X205" s="19">
        <v>1.0</v>
      </c>
      <c r="Y205" s="19">
        <v>0.0</v>
      </c>
      <c r="Z205" s="19">
        <v>4.0</v>
      </c>
      <c r="AA205" s="19">
        <v>0.0</v>
      </c>
      <c r="AB205" s="19">
        <v>10.0</v>
      </c>
      <c r="AC205" s="19">
        <v>0.0</v>
      </c>
      <c r="AD205" s="19">
        <v>1.0</v>
      </c>
      <c r="AE205" s="19">
        <v>0.0</v>
      </c>
      <c r="AF205" s="19">
        <v>2.0</v>
      </c>
      <c r="AG205" s="19">
        <v>9.0</v>
      </c>
      <c r="AH205" s="19">
        <v>1.0</v>
      </c>
      <c r="AI205" s="19">
        <v>0.0</v>
      </c>
      <c r="AJ205" s="19">
        <v>0.0</v>
      </c>
      <c r="AK205" s="19">
        <v>0.0</v>
      </c>
      <c r="AL205" s="19">
        <v>1.0</v>
      </c>
      <c r="AM205" s="19">
        <v>0.0</v>
      </c>
      <c r="AN205" s="19">
        <v>0.0</v>
      </c>
      <c r="AO205" s="19">
        <v>0.0</v>
      </c>
      <c r="AP205" s="19">
        <v>0.0</v>
      </c>
      <c r="AQ205" s="19">
        <v>0.0</v>
      </c>
      <c r="AR205" s="13">
        <f t="shared" si="46"/>
        <v>115</v>
      </c>
    </row>
    <row r="206" ht="12.75" customHeight="1">
      <c r="A206" s="19" t="s">
        <v>15</v>
      </c>
      <c r="B206" s="47" t="s">
        <v>47</v>
      </c>
      <c r="C206" s="15"/>
      <c r="D206" s="16"/>
      <c r="E206" s="13">
        <f t="shared" ref="E206:AR206" si="47">SUM(E198:E205)</f>
        <v>0</v>
      </c>
      <c r="F206" s="13">
        <f t="shared" si="47"/>
        <v>6</v>
      </c>
      <c r="G206" s="13">
        <f t="shared" si="47"/>
        <v>4</v>
      </c>
      <c r="H206" s="13">
        <f t="shared" si="47"/>
        <v>4</v>
      </c>
      <c r="I206" s="13">
        <f t="shared" si="47"/>
        <v>2</v>
      </c>
      <c r="J206" s="13">
        <f t="shared" si="47"/>
        <v>3</v>
      </c>
      <c r="K206" s="13">
        <f t="shared" si="47"/>
        <v>2</v>
      </c>
      <c r="L206" s="13">
        <f t="shared" si="47"/>
        <v>7</v>
      </c>
      <c r="M206" s="13">
        <f t="shared" si="47"/>
        <v>7</v>
      </c>
      <c r="N206" s="13">
        <f t="shared" si="47"/>
        <v>6</v>
      </c>
      <c r="O206" s="13">
        <f t="shared" si="47"/>
        <v>15</v>
      </c>
      <c r="P206" s="13">
        <f t="shared" si="47"/>
        <v>42</v>
      </c>
      <c r="Q206" s="13">
        <f t="shared" si="47"/>
        <v>9</v>
      </c>
      <c r="R206" s="13">
        <f t="shared" si="47"/>
        <v>10</v>
      </c>
      <c r="S206" s="13">
        <f t="shared" si="47"/>
        <v>6</v>
      </c>
      <c r="T206" s="13">
        <f t="shared" si="47"/>
        <v>7</v>
      </c>
      <c r="U206" s="13">
        <f t="shared" si="47"/>
        <v>3</v>
      </c>
      <c r="V206" s="13">
        <f t="shared" si="47"/>
        <v>1</v>
      </c>
      <c r="W206" s="13">
        <f t="shared" si="47"/>
        <v>5</v>
      </c>
      <c r="X206" s="13">
        <f t="shared" si="47"/>
        <v>3</v>
      </c>
      <c r="Y206" s="13">
        <f t="shared" si="47"/>
        <v>3</v>
      </c>
      <c r="Z206" s="13">
        <f t="shared" si="47"/>
        <v>7</v>
      </c>
      <c r="AA206" s="13">
        <f t="shared" si="47"/>
        <v>2</v>
      </c>
      <c r="AB206" s="13">
        <f t="shared" si="47"/>
        <v>18</v>
      </c>
      <c r="AC206" s="13">
        <f t="shared" si="47"/>
        <v>7</v>
      </c>
      <c r="AD206" s="13">
        <f t="shared" si="47"/>
        <v>136</v>
      </c>
      <c r="AE206" s="13">
        <f t="shared" si="47"/>
        <v>122</v>
      </c>
      <c r="AF206" s="13">
        <f t="shared" si="47"/>
        <v>123</v>
      </c>
      <c r="AG206" s="13">
        <f t="shared" si="47"/>
        <v>14</v>
      </c>
      <c r="AH206" s="13">
        <f t="shared" si="47"/>
        <v>6</v>
      </c>
      <c r="AI206" s="13">
        <f t="shared" si="47"/>
        <v>3</v>
      </c>
      <c r="AJ206" s="13">
        <f t="shared" si="47"/>
        <v>8</v>
      </c>
      <c r="AK206" s="13">
        <f t="shared" si="47"/>
        <v>2</v>
      </c>
      <c r="AL206" s="13">
        <f t="shared" si="47"/>
        <v>14</v>
      </c>
      <c r="AM206" s="13">
        <f t="shared" si="47"/>
        <v>0</v>
      </c>
      <c r="AN206" s="13">
        <f t="shared" si="47"/>
        <v>2</v>
      </c>
      <c r="AO206" s="13">
        <f t="shared" si="47"/>
        <v>2</v>
      </c>
      <c r="AP206" s="13">
        <f t="shared" si="47"/>
        <v>9</v>
      </c>
      <c r="AQ206" s="13">
        <f t="shared" si="47"/>
        <v>10</v>
      </c>
      <c r="AR206" s="13">
        <f t="shared" si="47"/>
        <v>630</v>
      </c>
    </row>
    <row r="207" ht="12.75" customHeight="1">
      <c r="A207" s="24"/>
      <c r="B207" s="15"/>
      <c r="C207" s="15"/>
      <c r="D207" s="15"/>
      <c r="E207" s="16"/>
    </row>
    <row r="208" ht="12.75" customHeight="1">
      <c r="A208" s="30" t="s">
        <v>37</v>
      </c>
      <c r="B208" s="47" t="s">
        <v>182</v>
      </c>
      <c r="C208" s="48" t="s">
        <v>183</v>
      </c>
      <c r="D208" s="16"/>
      <c r="E208" s="19">
        <v>0.0</v>
      </c>
      <c r="F208" s="19">
        <v>0.0</v>
      </c>
      <c r="G208" s="19">
        <v>2.0</v>
      </c>
      <c r="H208" s="19">
        <v>1.0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1.0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0.0</v>
      </c>
      <c r="AF208" s="19">
        <v>1.0</v>
      </c>
      <c r="AG208" s="19">
        <v>0.0</v>
      </c>
      <c r="AH208" s="19">
        <v>0.0</v>
      </c>
      <c r="AI208" s="19">
        <v>0.0</v>
      </c>
      <c r="AJ208" s="19">
        <v>0.0</v>
      </c>
      <c r="AK208" s="19">
        <v>0.0</v>
      </c>
      <c r="AL208" s="19">
        <v>0.0</v>
      </c>
      <c r="AM208" s="19">
        <v>0.0</v>
      </c>
      <c r="AN208" s="19">
        <v>0.0</v>
      </c>
      <c r="AO208" s="19">
        <v>0.0</v>
      </c>
      <c r="AP208" s="19">
        <v>0.0</v>
      </c>
      <c r="AQ208" s="19">
        <v>0.0</v>
      </c>
      <c r="AR208" s="13">
        <f t="shared" ref="AR208:AR214" si="48">SUM(E208:AQ208)</f>
        <v>5</v>
      </c>
    </row>
    <row r="209" ht="12.75" customHeight="1">
      <c r="A209" s="30" t="s">
        <v>39</v>
      </c>
      <c r="B209" s="55">
        <v>1.0</v>
      </c>
      <c r="C209" s="61" t="s">
        <v>184</v>
      </c>
      <c r="D209" s="57"/>
      <c r="E209" s="19">
        <v>0.0</v>
      </c>
      <c r="F209" s="19">
        <v>0.0</v>
      </c>
      <c r="G209" s="19">
        <v>0.0</v>
      </c>
      <c r="H209" s="19">
        <v>0.0</v>
      </c>
      <c r="I209" s="19">
        <v>0.0</v>
      </c>
      <c r="J209" s="19">
        <v>0.0</v>
      </c>
      <c r="K209" s="19">
        <v>3.0</v>
      </c>
      <c r="L209" s="19">
        <v>2.0</v>
      </c>
      <c r="M209" s="19">
        <v>0.0</v>
      </c>
      <c r="N209" s="19">
        <v>0.0</v>
      </c>
      <c r="O209" s="19">
        <v>0.0</v>
      </c>
      <c r="P209" s="19">
        <v>2.0</v>
      </c>
      <c r="Q209" s="19">
        <v>1.0</v>
      </c>
      <c r="R209" s="19">
        <v>0.0</v>
      </c>
      <c r="S209" s="19">
        <v>0.0</v>
      </c>
      <c r="T209" s="19">
        <v>0.0</v>
      </c>
      <c r="U209" s="19">
        <v>0.0</v>
      </c>
      <c r="V209" s="19">
        <v>1.0</v>
      </c>
      <c r="W209" s="19">
        <v>0.0</v>
      </c>
      <c r="X209" s="19">
        <v>0.0</v>
      </c>
      <c r="Y209" s="19">
        <v>0.0</v>
      </c>
      <c r="Z209" s="19">
        <v>0.0</v>
      </c>
      <c r="AA209" s="19">
        <v>0.0</v>
      </c>
      <c r="AB209" s="19">
        <v>0.0</v>
      </c>
      <c r="AC209" s="19">
        <v>1.0</v>
      </c>
      <c r="AD209" s="19">
        <v>0.0</v>
      </c>
      <c r="AE209" s="19">
        <v>0.0</v>
      </c>
      <c r="AF209" s="19">
        <v>0.0</v>
      </c>
      <c r="AG209" s="19">
        <v>0.0</v>
      </c>
      <c r="AH209" s="19">
        <v>0.0</v>
      </c>
      <c r="AI209" s="19">
        <v>0.0</v>
      </c>
      <c r="AJ209" s="19">
        <v>0.0</v>
      </c>
      <c r="AK209" s="19">
        <v>0.0</v>
      </c>
      <c r="AL209" s="19">
        <v>0.0</v>
      </c>
      <c r="AM209" s="19">
        <v>0.0</v>
      </c>
      <c r="AN209" s="19">
        <v>0.0</v>
      </c>
      <c r="AO209" s="19">
        <v>0.0</v>
      </c>
      <c r="AP209" s="19">
        <v>0.0</v>
      </c>
      <c r="AQ209" s="19">
        <v>0.0</v>
      </c>
      <c r="AR209" s="13">
        <f t="shared" si="48"/>
        <v>10</v>
      </c>
    </row>
    <row r="210" ht="12.75" customHeight="1">
      <c r="A210" s="18"/>
      <c r="B210" s="55">
        <v>2.0</v>
      </c>
      <c r="C210" s="61" t="s">
        <v>185</v>
      </c>
      <c r="D210" s="57"/>
      <c r="E210" s="19">
        <v>0.0</v>
      </c>
      <c r="F210" s="19">
        <v>0.0</v>
      </c>
      <c r="G210" s="19">
        <v>0.0</v>
      </c>
      <c r="H210" s="19">
        <v>0.0</v>
      </c>
      <c r="I210" s="19">
        <v>0.0</v>
      </c>
      <c r="J210" s="19">
        <v>0.0</v>
      </c>
      <c r="K210" s="19">
        <v>4.0</v>
      </c>
      <c r="L210" s="19">
        <v>0.0</v>
      </c>
      <c r="M210" s="19">
        <v>0.0</v>
      </c>
      <c r="N210" s="19">
        <v>0.0</v>
      </c>
      <c r="O210" s="19">
        <v>0.0</v>
      </c>
      <c r="P210" s="19">
        <v>0.0</v>
      </c>
      <c r="Q210" s="19">
        <v>0.0</v>
      </c>
      <c r="R210" s="19">
        <v>0.0</v>
      </c>
      <c r="S210" s="19">
        <v>0.0</v>
      </c>
      <c r="T210" s="19">
        <v>0.0</v>
      </c>
      <c r="U210" s="19">
        <v>0.0</v>
      </c>
      <c r="V210" s="19">
        <v>0.0</v>
      </c>
      <c r="W210" s="19">
        <v>0.0</v>
      </c>
      <c r="X210" s="19">
        <v>0.0</v>
      </c>
      <c r="Y210" s="19">
        <v>0.0</v>
      </c>
      <c r="Z210" s="19">
        <v>0.0</v>
      </c>
      <c r="AA210" s="19">
        <v>0.0</v>
      </c>
      <c r="AB210" s="19">
        <v>0.0</v>
      </c>
      <c r="AC210" s="19">
        <v>0.0</v>
      </c>
      <c r="AD210" s="19">
        <v>0.0</v>
      </c>
      <c r="AE210" s="19">
        <v>0.0</v>
      </c>
      <c r="AF210" s="19">
        <v>0.0</v>
      </c>
      <c r="AG210" s="19">
        <v>0.0</v>
      </c>
      <c r="AH210" s="19">
        <v>0.0</v>
      </c>
      <c r="AI210" s="19">
        <v>0.0</v>
      </c>
      <c r="AJ210" s="19">
        <v>0.0</v>
      </c>
      <c r="AK210" s="19">
        <v>0.0</v>
      </c>
      <c r="AL210" s="19">
        <v>1.0</v>
      </c>
      <c r="AM210" s="19">
        <v>0.0</v>
      </c>
      <c r="AN210" s="19">
        <v>0.0</v>
      </c>
      <c r="AO210" s="19">
        <v>0.0</v>
      </c>
      <c r="AP210" s="19">
        <v>0.0</v>
      </c>
      <c r="AQ210" s="19">
        <v>0.0</v>
      </c>
      <c r="AR210" s="13">
        <f t="shared" si="48"/>
        <v>5</v>
      </c>
    </row>
    <row r="211" ht="12.75" customHeight="1">
      <c r="A211" s="18"/>
      <c r="B211" s="55">
        <v>3.0</v>
      </c>
      <c r="C211" s="61" t="s">
        <v>186</v>
      </c>
      <c r="D211" s="57"/>
      <c r="E211" s="19">
        <v>0.0</v>
      </c>
      <c r="F211" s="19">
        <v>0.0</v>
      </c>
      <c r="G211" s="19">
        <v>0.0</v>
      </c>
      <c r="H211" s="19">
        <v>0.0</v>
      </c>
      <c r="I211" s="19">
        <v>0.0</v>
      </c>
      <c r="J211" s="19">
        <v>0.0</v>
      </c>
      <c r="K211" s="19">
        <v>0.0</v>
      </c>
      <c r="L211" s="19">
        <v>0.0</v>
      </c>
      <c r="M211" s="19">
        <v>0.0</v>
      </c>
      <c r="N211" s="19">
        <v>0.0</v>
      </c>
      <c r="O211" s="19">
        <v>0.0</v>
      </c>
      <c r="P211" s="19">
        <v>0.0</v>
      </c>
      <c r="Q211" s="19">
        <v>0.0</v>
      </c>
      <c r="R211" s="19">
        <v>0.0</v>
      </c>
      <c r="S211" s="19">
        <v>0.0</v>
      </c>
      <c r="T211" s="19">
        <v>0.0</v>
      </c>
      <c r="U211" s="19">
        <v>0.0</v>
      </c>
      <c r="V211" s="19">
        <v>0.0</v>
      </c>
      <c r="W211" s="19">
        <v>0.0</v>
      </c>
      <c r="X211" s="19">
        <v>0.0</v>
      </c>
      <c r="Y211" s="19">
        <v>0.0</v>
      </c>
      <c r="Z211" s="19">
        <v>0.0</v>
      </c>
      <c r="AA211" s="19">
        <v>0.0</v>
      </c>
      <c r="AB211" s="19">
        <v>0.0</v>
      </c>
      <c r="AC211" s="19">
        <v>0.0</v>
      </c>
      <c r="AD211" s="19">
        <v>0.0</v>
      </c>
      <c r="AE211" s="19">
        <v>0.0</v>
      </c>
      <c r="AF211" s="19">
        <v>0.0</v>
      </c>
      <c r="AG211" s="19">
        <v>0.0</v>
      </c>
      <c r="AH211" s="19">
        <v>0.0</v>
      </c>
      <c r="AI211" s="19">
        <v>0.0</v>
      </c>
      <c r="AJ211" s="19">
        <v>0.0</v>
      </c>
      <c r="AK211" s="19">
        <v>0.0</v>
      </c>
      <c r="AL211" s="19">
        <v>0.0</v>
      </c>
      <c r="AM211" s="19">
        <v>0.0</v>
      </c>
      <c r="AN211" s="19">
        <v>0.0</v>
      </c>
      <c r="AO211" s="19">
        <v>0.0</v>
      </c>
      <c r="AP211" s="19">
        <v>0.0</v>
      </c>
      <c r="AQ211" s="19">
        <v>0.0</v>
      </c>
      <c r="AR211" s="13">
        <f t="shared" si="48"/>
        <v>0</v>
      </c>
    </row>
    <row r="212" ht="12.75" customHeight="1">
      <c r="A212" s="18"/>
      <c r="B212" s="55">
        <v>4.0</v>
      </c>
      <c r="C212" s="61" t="s">
        <v>187</v>
      </c>
      <c r="D212" s="57"/>
      <c r="E212" s="19">
        <v>0.0</v>
      </c>
      <c r="F212" s="19">
        <v>0.0</v>
      </c>
      <c r="G212" s="19">
        <v>0.0</v>
      </c>
      <c r="H212" s="19">
        <v>0.0</v>
      </c>
      <c r="I212" s="19">
        <v>0.0</v>
      </c>
      <c r="J212" s="19">
        <v>0.0</v>
      </c>
      <c r="K212" s="19">
        <v>0.0</v>
      </c>
      <c r="L212" s="19">
        <v>0.0</v>
      </c>
      <c r="M212" s="19">
        <v>0.0</v>
      </c>
      <c r="N212" s="19">
        <v>0.0</v>
      </c>
      <c r="O212" s="19">
        <v>0.0</v>
      </c>
      <c r="P212" s="19">
        <v>0.0</v>
      </c>
      <c r="Q212" s="19">
        <v>0.0</v>
      </c>
      <c r="R212" s="19">
        <v>1.0</v>
      </c>
      <c r="S212" s="19">
        <v>0.0</v>
      </c>
      <c r="T212" s="19">
        <v>0.0</v>
      </c>
      <c r="U212" s="19">
        <v>0.0</v>
      </c>
      <c r="V212" s="19">
        <v>0.0</v>
      </c>
      <c r="W212" s="19">
        <v>0.0</v>
      </c>
      <c r="X212" s="19">
        <v>0.0</v>
      </c>
      <c r="Y212" s="19">
        <v>0.0</v>
      </c>
      <c r="Z212" s="19">
        <v>0.0</v>
      </c>
      <c r="AA212" s="19">
        <v>0.0</v>
      </c>
      <c r="AB212" s="19">
        <v>0.0</v>
      </c>
      <c r="AC212" s="19">
        <v>0.0</v>
      </c>
      <c r="AD212" s="19">
        <v>0.0</v>
      </c>
      <c r="AE212" s="19">
        <v>0.0</v>
      </c>
      <c r="AF212" s="19">
        <v>0.0</v>
      </c>
      <c r="AG212" s="19">
        <v>0.0</v>
      </c>
      <c r="AH212" s="19">
        <v>0.0</v>
      </c>
      <c r="AI212" s="19">
        <v>0.0</v>
      </c>
      <c r="AJ212" s="19">
        <v>0.0</v>
      </c>
      <c r="AK212" s="19">
        <v>0.0</v>
      </c>
      <c r="AL212" s="19">
        <v>0.0</v>
      </c>
      <c r="AM212" s="19">
        <v>0.0</v>
      </c>
      <c r="AN212" s="19">
        <v>0.0</v>
      </c>
      <c r="AO212" s="19">
        <v>0.0</v>
      </c>
      <c r="AP212" s="19">
        <v>0.0</v>
      </c>
      <c r="AQ212" s="19">
        <v>0.0</v>
      </c>
      <c r="AR212" s="13">
        <f t="shared" si="48"/>
        <v>1</v>
      </c>
    </row>
    <row r="213" ht="12.75" customHeight="1">
      <c r="A213" s="18"/>
      <c r="B213" s="55">
        <v>5.0</v>
      </c>
      <c r="C213" s="61" t="s">
        <v>188</v>
      </c>
      <c r="D213" s="57"/>
      <c r="E213" s="19">
        <v>0.0</v>
      </c>
      <c r="F213" s="19">
        <v>1.0</v>
      </c>
      <c r="G213" s="19">
        <v>0.0</v>
      </c>
      <c r="H213" s="19">
        <v>0.0</v>
      </c>
      <c r="I213" s="19">
        <v>0.0</v>
      </c>
      <c r="J213" s="19">
        <v>0.0</v>
      </c>
      <c r="K213" s="19">
        <v>0.0</v>
      </c>
      <c r="L213" s="19">
        <v>0.0</v>
      </c>
      <c r="M213" s="19">
        <v>0.0</v>
      </c>
      <c r="N213" s="19">
        <v>0.0</v>
      </c>
      <c r="O213" s="19">
        <v>0.0</v>
      </c>
      <c r="P213" s="19">
        <v>0.0</v>
      </c>
      <c r="Q213" s="19">
        <v>0.0</v>
      </c>
      <c r="R213" s="19">
        <v>0.0</v>
      </c>
      <c r="S213" s="19">
        <v>0.0</v>
      </c>
      <c r="T213" s="19">
        <v>0.0</v>
      </c>
      <c r="U213" s="19">
        <v>0.0</v>
      </c>
      <c r="V213" s="19">
        <v>0.0</v>
      </c>
      <c r="W213" s="19">
        <v>0.0</v>
      </c>
      <c r="X213" s="19">
        <v>0.0</v>
      </c>
      <c r="Y213" s="19">
        <v>0.0</v>
      </c>
      <c r="Z213" s="19">
        <v>0.0</v>
      </c>
      <c r="AA213" s="19">
        <v>0.0</v>
      </c>
      <c r="AB213" s="19">
        <v>0.0</v>
      </c>
      <c r="AC213" s="19">
        <v>0.0</v>
      </c>
      <c r="AD213" s="19">
        <v>0.0</v>
      </c>
      <c r="AE213" s="19">
        <v>0.0</v>
      </c>
      <c r="AF213" s="19">
        <v>0.0</v>
      </c>
      <c r="AG213" s="19">
        <v>0.0</v>
      </c>
      <c r="AH213" s="19">
        <v>0.0</v>
      </c>
      <c r="AI213" s="19">
        <v>0.0</v>
      </c>
      <c r="AJ213" s="19">
        <v>0.0</v>
      </c>
      <c r="AK213" s="19">
        <v>0.0</v>
      </c>
      <c r="AL213" s="19">
        <v>0.0</v>
      </c>
      <c r="AM213" s="19">
        <v>0.0</v>
      </c>
      <c r="AN213" s="19">
        <v>0.0</v>
      </c>
      <c r="AO213" s="19">
        <v>0.0</v>
      </c>
      <c r="AP213" s="19">
        <v>0.0</v>
      </c>
      <c r="AQ213" s="19">
        <v>0.0</v>
      </c>
      <c r="AR213" s="13">
        <f t="shared" si="48"/>
        <v>1</v>
      </c>
    </row>
    <row r="214" ht="12.75" customHeight="1">
      <c r="A214" s="18"/>
      <c r="B214" s="55">
        <v>6.0</v>
      </c>
      <c r="C214" s="61" t="s">
        <v>189</v>
      </c>
      <c r="D214" s="57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1.0</v>
      </c>
      <c r="L214" s="19">
        <v>0.0</v>
      </c>
      <c r="M214" s="19">
        <v>0.0</v>
      </c>
      <c r="N214" s="19">
        <v>0.0</v>
      </c>
      <c r="O214" s="19">
        <v>0.0</v>
      </c>
      <c r="P214" s="19">
        <v>0.0</v>
      </c>
      <c r="Q214" s="19">
        <v>0.0</v>
      </c>
      <c r="R214" s="19">
        <v>0.0</v>
      </c>
      <c r="S214" s="19">
        <v>0.0</v>
      </c>
      <c r="T214" s="19">
        <v>0.0</v>
      </c>
      <c r="U214" s="19">
        <v>0.0</v>
      </c>
      <c r="V214" s="19">
        <v>0.0</v>
      </c>
      <c r="W214" s="19">
        <v>0.0</v>
      </c>
      <c r="X214" s="19">
        <v>0.0</v>
      </c>
      <c r="Y214" s="19">
        <v>1.0</v>
      </c>
      <c r="Z214" s="19">
        <v>0.0</v>
      </c>
      <c r="AA214" s="19">
        <v>0.0</v>
      </c>
      <c r="AB214" s="19">
        <v>0.0</v>
      </c>
      <c r="AC214" s="19">
        <v>0.0</v>
      </c>
      <c r="AD214" s="19">
        <v>0.0</v>
      </c>
      <c r="AE214" s="19">
        <v>0.0</v>
      </c>
      <c r="AF214" s="19">
        <v>0.0</v>
      </c>
      <c r="AG214" s="19">
        <v>0.0</v>
      </c>
      <c r="AH214" s="19">
        <v>0.0</v>
      </c>
      <c r="AI214" s="19">
        <v>0.0</v>
      </c>
      <c r="AJ214" s="19">
        <v>0.0</v>
      </c>
      <c r="AK214" s="19">
        <v>0.0</v>
      </c>
      <c r="AL214" s="19">
        <v>0.0</v>
      </c>
      <c r="AM214" s="19">
        <v>0.0</v>
      </c>
      <c r="AN214" s="19">
        <v>0.0</v>
      </c>
      <c r="AO214" s="19">
        <v>0.0</v>
      </c>
      <c r="AP214" s="19">
        <v>0.0</v>
      </c>
      <c r="AQ214" s="19">
        <v>0.0</v>
      </c>
      <c r="AR214" s="13">
        <f t="shared" si="48"/>
        <v>2</v>
      </c>
    </row>
    <row r="215" ht="12.75" customHeight="1">
      <c r="A215" s="19" t="s">
        <v>15</v>
      </c>
      <c r="B215" s="47" t="s">
        <v>47</v>
      </c>
      <c r="C215" s="15"/>
      <c r="D215" s="16"/>
      <c r="E215" s="13">
        <f t="shared" ref="E215:AR215" si="49">SUM(E208:E214)</f>
        <v>0</v>
      </c>
      <c r="F215" s="13">
        <f t="shared" si="49"/>
        <v>1</v>
      </c>
      <c r="G215" s="13">
        <f t="shared" si="49"/>
        <v>2</v>
      </c>
      <c r="H215" s="13">
        <f t="shared" si="49"/>
        <v>1</v>
      </c>
      <c r="I215" s="13">
        <f t="shared" si="49"/>
        <v>0</v>
      </c>
      <c r="J215" s="13">
        <f t="shared" si="49"/>
        <v>0</v>
      </c>
      <c r="K215" s="13">
        <f t="shared" si="49"/>
        <v>8</v>
      </c>
      <c r="L215" s="13">
        <f t="shared" si="49"/>
        <v>2</v>
      </c>
      <c r="M215" s="13">
        <f t="shared" si="49"/>
        <v>0</v>
      </c>
      <c r="N215" s="13">
        <f t="shared" si="49"/>
        <v>0</v>
      </c>
      <c r="O215" s="13">
        <f t="shared" si="49"/>
        <v>0</v>
      </c>
      <c r="P215" s="13">
        <f t="shared" si="49"/>
        <v>2</v>
      </c>
      <c r="Q215" s="13">
        <f t="shared" si="49"/>
        <v>1</v>
      </c>
      <c r="R215" s="13">
        <f t="shared" si="49"/>
        <v>1</v>
      </c>
      <c r="S215" s="13">
        <f t="shared" si="49"/>
        <v>0</v>
      </c>
      <c r="T215" s="13">
        <f t="shared" si="49"/>
        <v>0</v>
      </c>
      <c r="U215" s="13">
        <f t="shared" si="49"/>
        <v>0</v>
      </c>
      <c r="V215" s="13">
        <f t="shared" si="49"/>
        <v>2</v>
      </c>
      <c r="W215" s="13">
        <f t="shared" si="49"/>
        <v>0</v>
      </c>
      <c r="X215" s="13">
        <f t="shared" si="49"/>
        <v>0</v>
      </c>
      <c r="Y215" s="13">
        <f t="shared" si="49"/>
        <v>1</v>
      </c>
      <c r="Z215" s="13">
        <f t="shared" si="49"/>
        <v>0</v>
      </c>
      <c r="AA215" s="13">
        <f t="shared" si="49"/>
        <v>0</v>
      </c>
      <c r="AB215" s="13">
        <f t="shared" si="49"/>
        <v>0</v>
      </c>
      <c r="AC215" s="13">
        <f t="shared" si="49"/>
        <v>1</v>
      </c>
      <c r="AD215" s="13">
        <f t="shared" si="49"/>
        <v>0</v>
      </c>
      <c r="AE215" s="13">
        <f t="shared" si="49"/>
        <v>0</v>
      </c>
      <c r="AF215" s="13">
        <f t="shared" si="49"/>
        <v>1</v>
      </c>
      <c r="AG215" s="13">
        <f t="shared" si="49"/>
        <v>0</v>
      </c>
      <c r="AH215" s="13">
        <f t="shared" si="49"/>
        <v>0</v>
      </c>
      <c r="AI215" s="13">
        <f t="shared" si="49"/>
        <v>0</v>
      </c>
      <c r="AJ215" s="13">
        <f t="shared" si="49"/>
        <v>0</v>
      </c>
      <c r="AK215" s="13">
        <f t="shared" si="49"/>
        <v>0</v>
      </c>
      <c r="AL215" s="13">
        <f t="shared" si="49"/>
        <v>1</v>
      </c>
      <c r="AM215" s="13">
        <f t="shared" si="49"/>
        <v>0</v>
      </c>
      <c r="AN215" s="13">
        <f t="shared" si="49"/>
        <v>0</v>
      </c>
      <c r="AO215" s="13">
        <f t="shared" si="49"/>
        <v>0</v>
      </c>
      <c r="AP215" s="13">
        <f t="shared" si="49"/>
        <v>0</v>
      </c>
      <c r="AQ215" s="13">
        <f t="shared" si="49"/>
        <v>0</v>
      </c>
      <c r="AR215" s="13">
        <f t="shared" si="49"/>
        <v>24</v>
      </c>
    </row>
    <row r="216" ht="12.75" customHeight="1"/>
    <row r="217" ht="12.75" customHeight="1">
      <c r="A217" s="42" t="s">
        <v>190</v>
      </c>
      <c r="B217" s="14" t="s">
        <v>191</v>
      </c>
      <c r="C217" s="15"/>
      <c r="D217" s="16"/>
      <c r="E217" s="13"/>
      <c r="F217" s="13"/>
      <c r="G217" s="13"/>
      <c r="H217" s="13"/>
      <c r="I217" s="13"/>
      <c r="J217" s="13"/>
      <c r="K217" s="13"/>
      <c r="L217" s="13"/>
      <c r="M217" s="13"/>
      <c r="N217" s="71"/>
      <c r="O217" s="71"/>
      <c r="P217" s="71"/>
      <c r="Q217" s="71"/>
      <c r="R217" s="71"/>
      <c r="S217" s="71"/>
      <c r="T217" s="71"/>
      <c r="U217" s="71"/>
      <c r="V217" s="13"/>
      <c r="W217" s="13"/>
      <c r="X217" s="13"/>
      <c r="Y217" s="13"/>
      <c r="Z217" s="13"/>
      <c r="AA217" s="13"/>
      <c r="AB217" s="13"/>
      <c r="AC217" s="13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1"/>
      <c r="AQ217" s="71"/>
      <c r="AR217" s="13"/>
    </row>
    <row r="218" ht="12.75" customHeight="1">
      <c r="A218" s="42"/>
      <c r="B218" s="64" t="s">
        <v>192</v>
      </c>
      <c r="C218" s="65" t="s">
        <v>193</v>
      </c>
      <c r="D218" s="16"/>
      <c r="E218" s="19">
        <f t="shared" ref="E218:AQ218" si="50">E53+E63+E73+E83+E93+E103+E109+E119+E129+E136+E146+E156+E166+E176+E186+E196+E206+E215</f>
        <v>210</v>
      </c>
      <c r="F218" s="19">
        <f t="shared" si="50"/>
        <v>203</v>
      </c>
      <c r="G218" s="19">
        <f t="shared" si="50"/>
        <v>146</v>
      </c>
      <c r="H218" s="19">
        <f t="shared" si="50"/>
        <v>176</v>
      </c>
      <c r="I218" s="19">
        <f t="shared" si="50"/>
        <v>188</v>
      </c>
      <c r="J218" s="19">
        <f t="shared" si="50"/>
        <v>181</v>
      </c>
      <c r="K218" s="19">
        <f t="shared" si="50"/>
        <v>190</v>
      </c>
      <c r="L218" s="19">
        <f t="shared" si="50"/>
        <v>219</v>
      </c>
      <c r="M218" s="19">
        <f t="shared" si="50"/>
        <v>183</v>
      </c>
      <c r="N218" s="19">
        <f t="shared" si="50"/>
        <v>197</v>
      </c>
      <c r="O218" s="19">
        <f t="shared" si="50"/>
        <v>220</v>
      </c>
      <c r="P218" s="19">
        <f t="shared" si="50"/>
        <v>199</v>
      </c>
      <c r="Q218" s="19">
        <f t="shared" si="50"/>
        <v>216</v>
      </c>
      <c r="R218" s="19">
        <f t="shared" si="50"/>
        <v>217</v>
      </c>
      <c r="S218" s="19">
        <f t="shared" si="50"/>
        <v>205</v>
      </c>
      <c r="T218" s="19">
        <f t="shared" si="50"/>
        <v>236</v>
      </c>
      <c r="U218" s="19">
        <f t="shared" si="50"/>
        <v>176</v>
      </c>
      <c r="V218" s="19">
        <f t="shared" si="50"/>
        <v>242</v>
      </c>
      <c r="W218" s="19">
        <f t="shared" si="50"/>
        <v>210</v>
      </c>
      <c r="X218" s="19">
        <f t="shared" si="50"/>
        <v>195</v>
      </c>
      <c r="Y218" s="19">
        <f t="shared" si="50"/>
        <v>187</v>
      </c>
      <c r="Z218" s="19">
        <f t="shared" si="50"/>
        <v>213</v>
      </c>
      <c r="AA218" s="19">
        <f t="shared" si="50"/>
        <v>202</v>
      </c>
      <c r="AB218" s="19">
        <f t="shared" si="50"/>
        <v>248</v>
      </c>
      <c r="AC218" s="19">
        <f t="shared" si="50"/>
        <v>229</v>
      </c>
      <c r="AD218" s="19">
        <f t="shared" si="50"/>
        <v>255</v>
      </c>
      <c r="AE218" s="19">
        <f t="shared" si="50"/>
        <v>234</v>
      </c>
      <c r="AF218" s="19">
        <f t="shared" si="50"/>
        <v>253</v>
      </c>
      <c r="AG218" s="19">
        <f t="shared" si="50"/>
        <v>215</v>
      </c>
      <c r="AH218" s="19">
        <f t="shared" si="50"/>
        <v>200</v>
      </c>
      <c r="AI218" s="19">
        <f t="shared" si="50"/>
        <v>231</v>
      </c>
      <c r="AJ218" s="19">
        <f t="shared" si="50"/>
        <v>221</v>
      </c>
      <c r="AK218" s="19">
        <f t="shared" si="50"/>
        <v>214</v>
      </c>
      <c r="AL218" s="19">
        <f t="shared" si="50"/>
        <v>243</v>
      </c>
      <c r="AM218" s="19">
        <f t="shared" si="50"/>
        <v>194</v>
      </c>
      <c r="AN218" s="19">
        <f t="shared" si="50"/>
        <v>240</v>
      </c>
      <c r="AO218" s="19">
        <f t="shared" si="50"/>
        <v>188</v>
      </c>
      <c r="AP218" s="19">
        <f t="shared" si="50"/>
        <v>229</v>
      </c>
      <c r="AQ218" s="19">
        <f t="shared" si="50"/>
        <v>194</v>
      </c>
      <c r="AR218" s="13">
        <f t="shared" ref="AR218:AR220" si="51">SUM(E218:AQ218)</f>
        <v>8199</v>
      </c>
    </row>
    <row r="219" ht="12.75" customHeight="1">
      <c r="A219" s="35"/>
      <c r="B219" s="64" t="s">
        <v>194</v>
      </c>
      <c r="C219" s="65" t="s">
        <v>195</v>
      </c>
      <c r="D219" s="16"/>
      <c r="E219" s="19">
        <v>26.0</v>
      </c>
      <c r="F219" s="19">
        <v>27.0</v>
      </c>
      <c r="G219" s="19">
        <v>21.0</v>
      </c>
      <c r="H219" s="19">
        <v>17.0</v>
      </c>
      <c r="I219" s="19">
        <v>22.0</v>
      </c>
      <c r="J219" s="19">
        <v>14.0</v>
      </c>
      <c r="K219" s="19">
        <v>29.0</v>
      </c>
      <c r="L219" s="19">
        <v>22.0</v>
      </c>
      <c r="M219" s="19">
        <v>30.0</v>
      </c>
      <c r="N219" s="19">
        <v>23.0</v>
      </c>
      <c r="O219" s="19">
        <v>21.0</v>
      </c>
      <c r="P219" s="19">
        <v>17.0</v>
      </c>
      <c r="Q219" s="19">
        <v>24.0</v>
      </c>
      <c r="R219" s="19">
        <v>18.0</v>
      </c>
      <c r="S219" s="19">
        <v>26.0</v>
      </c>
      <c r="T219" s="19">
        <v>25.0</v>
      </c>
      <c r="U219" s="19">
        <v>25.0</v>
      </c>
      <c r="V219" s="19">
        <v>15.0</v>
      </c>
      <c r="W219" s="19">
        <v>12.0</v>
      </c>
      <c r="X219" s="19">
        <v>41.0</v>
      </c>
      <c r="Y219" s="19">
        <v>15.0</v>
      </c>
      <c r="Z219" s="19">
        <v>4.0</v>
      </c>
      <c r="AA219" s="19">
        <v>14.0</v>
      </c>
      <c r="AB219" s="19">
        <v>12.0</v>
      </c>
      <c r="AC219" s="19">
        <v>9.0</v>
      </c>
      <c r="AD219" s="19">
        <v>19.0</v>
      </c>
      <c r="AE219" s="19">
        <v>8.0</v>
      </c>
      <c r="AF219" s="19">
        <v>14.0</v>
      </c>
      <c r="AG219" s="19">
        <v>13.0</v>
      </c>
      <c r="AH219" s="19">
        <v>19.0</v>
      </c>
      <c r="AI219" s="19">
        <v>15.0</v>
      </c>
      <c r="AJ219" s="19">
        <v>23.0</v>
      </c>
      <c r="AK219" s="19">
        <v>20.0</v>
      </c>
      <c r="AL219" s="19">
        <v>14.0</v>
      </c>
      <c r="AM219" s="19">
        <v>32.0</v>
      </c>
      <c r="AN219" s="19">
        <v>29.0</v>
      </c>
      <c r="AO219" s="19">
        <v>17.0</v>
      </c>
      <c r="AP219" s="19">
        <v>24.0</v>
      </c>
      <c r="AQ219" s="19">
        <v>8.0</v>
      </c>
      <c r="AR219" s="13">
        <f t="shared" si="51"/>
        <v>764</v>
      </c>
    </row>
    <row r="220" ht="12.75" customHeight="1">
      <c r="A220" s="41"/>
      <c r="B220" s="64" t="s">
        <v>196</v>
      </c>
      <c r="C220" s="65" t="s">
        <v>197</v>
      </c>
      <c r="D220" s="16"/>
      <c r="E220" s="13">
        <f t="shared" ref="E220:AQ220" si="52">SUM(E218:E219)</f>
        <v>236</v>
      </c>
      <c r="F220" s="13">
        <f t="shared" si="52"/>
        <v>230</v>
      </c>
      <c r="G220" s="13">
        <f t="shared" si="52"/>
        <v>167</v>
      </c>
      <c r="H220" s="13">
        <f t="shared" si="52"/>
        <v>193</v>
      </c>
      <c r="I220" s="13">
        <f t="shared" si="52"/>
        <v>210</v>
      </c>
      <c r="J220" s="13">
        <f t="shared" si="52"/>
        <v>195</v>
      </c>
      <c r="K220" s="13">
        <f t="shared" si="52"/>
        <v>219</v>
      </c>
      <c r="L220" s="13">
        <f t="shared" si="52"/>
        <v>241</v>
      </c>
      <c r="M220" s="13">
        <f t="shared" si="52"/>
        <v>213</v>
      </c>
      <c r="N220" s="13">
        <f t="shared" si="52"/>
        <v>220</v>
      </c>
      <c r="O220" s="13">
        <f t="shared" si="52"/>
        <v>241</v>
      </c>
      <c r="P220" s="13">
        <f t="shared" si="52"/>
        <v>216</v>
      </c>
      <c r="Q220" s="13">
        <f t="shared" si="52"/>
        <v>240</v>
      </c>
      <c r="R220" s="13">
        <f t="shared" si="52"/>
        <v>235</v>
      </c>
      <c r="S220" s="13">
        <f t="shared" si="52"/>
        <v>231</v>
      </c>
      <c r="T220" s="13">
        <f t="shared" si="52"/>
        <v>261</v>
      </c>
      <c r="U220" s="13">
        <f t="shared" si="52"/>
        <v>201</v>
      </c>
      <c r="V220" s="13">
        <f t="shared" si="52"/>
        <v>257</v>
      </c>
      <c r="W220" s="13">
        <f t="shared" si="52"/>
        <v>222</v>
      </c>
      <c r="X220" s="13">
        <f t="shared" si="52"/>
        <v>236</v>
      </c>
      <c r="Y220" s="13">
        <f t="shared" si="52"/>
        <v>202</v>
      </c>
      <c r="Z220" s="13">
        <f t="shared" si="52"/>
        <v>217</v>
      </c>
      <c r="AA220" s="13">
        <f t="shared" si="52"/>
        <v>216</v>
      </c>
      <c r="AB220" s="13">
        <f t="shared" si="52"/>
        <v>260</v>
      </c>
      <c r="AC220" s="13">
        <f t="shared" si="52"/>
        <v>238</v>
      </c>
      <c r="AD220" s="13">
        <f t="shared" si="52"/>
        <v>274</v>
      </c>
      <c r="AE220" s="13">
        <f t="shared" si="52"/>
        <v>242</v>
      </c>
      <c r="AF220" s="13">
        <f t="shared" si="52"/>
        <v>267</v>
      </c>
      <c r="AG220" s="13">
        <f t="shared" si="52"/>
        <v>228</v>
      </c>
      <c r="AH220" s="13">
        <f t="shared" si="52"/>
        <v>219</v>
      </c>
      <c r="AI220" s="13">
        <f t="shared" si="52"/>
        <v>246</v>
      </c>
      <c r="AJ220" s="13">
        <f t="shared" si="52"/>
        <v>244</v>
      </c>
      <c r="AK220" s="13">
        <f t="shared" si="52"/>
        <v>234</v>
      </c>
      <c r="AL220" s="13">
        <f t="shared" si="52"/>
        <v>257</v>
      </c>
      <c r="AM220" s="13">
        <f t="shared" si="52"/>
        <v>226</v>
      </c>
      <c r="AN220" s="13">
        <f t="shared" si="52"/>
        <v>269</v>
      </c>
      <c r="AO220" s="13">
        <f t="shared" si="52"/>
        <v>205</v>
      </c>
      <c r="AP220" s="13">
        <f t="shared" si="52"/>
        <v>253</v>
      </c>
      <c r="AQ220" s="13">
        <f t="shared" si="52"/>
        <v>202</v>
      </c>
      <c r="AR220" s="13">
        <f t="shared" si="51"/>
        <v>8963</v>
      </c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63:D63"/>
    <mergeCell ref="A64:E64"/>
    <mergeCell ref="C65:D65"/>
    <mergeCell ref="B73:D73"/>
    <mergeCell ref="A74:E74"/>
    <mergeCell ref="C75:D75"/>
    <mergeCell ref="B83:D83"/>
    <mergeCell ref="A84:E84"/>
    <mergeCell ref="C85:D85"/>
    <mergeCell ref="B93:D93"/>
    <mergeCell ref="A94:E94"/>
    <mergeCell ref="C95:D95"/>
    <mergeCell ref="B103:D103"/>
    <mergeCell ref="A104:E104"/>
    <mergeCell ref="C105:D105"/>
    <mergeCell ref="B109:D109"/>
    <mergeCell ref="A110:E110"/>
    <mergeCell ref="C111:D111"/>
    <mergeCell ref="B119:D119"/>
    <mergeCell ref="A120:E120"/>
    <mergeCell ref="C121:D121"/>
    <mergeCell ref="B129:D129"/>
    <mergeCell ref="A130:E130"/>
    <mergeCell ref="C131:D131"/>
    <mergeCell ref="B136:D136"/>
    <mergeCell ref="A137:E137"/>
    <mergeCell ref="C138:D138"/>
    <mergeCell ref="B146:D146"/>
    <mergeCell ref="A147:E147"/>
    <mergeCell ref="C148:D148"/>
    <mergeCell ref="B156:D156"/>
    <mergeCell ref="A157:E157"/>
    <mergeCell ref="C158:D158"/>
    <mergeCell ref="B166:D166"/>
    <mergeCell ref="A167:E167"/>
    <mergeCell ref="C168:D168"/>
    <mergeCell ref="B176:D176"/>
    <mergeCell ref="A177:E177"/>
    <mergeCell ref="C178:D178"/>
    <mergeCell ref="B186:D186"/>
    <mergeCell ref="A187:E187"/>
    <mergeCell ref="C188:D188"/>
    <mergeCell ref="B217:D217"/>
    <mergeCell ref="C218:D218"/>
    <mergeCell ref="C219:D219"/>
    <mergeCell ref="C220:D220"/>
    <mergeCell ref="B196:D196"/>
    <mergeCell ref="A197:E197"/>
    <mergeCell ref="C198:D198"/>
    <mergeCell ref="B206:D206"/>
    <mergeCell ref="A207:E207"/>
    <mergeCell ref="C208:D208"/>
    <mergeCell ref="B215:D215"/>
    <mergeCell ref="B12:D12"/>
    <mergeCell ref="E12:AQ12"/>
    <mergeCell ref="AR12:A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Y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Y42"/>
    <mergeCell ref="B43:D43"/>
    <mergeCell ref="A44:D44"/>
    <mergeCell ref="C45:D45"/>
    <mergeCell ref="B53:D53"/>
    <mergeCell ref="A54:E54"/>
    <mergeCell ref="C55:D55"/>
    <mergeCell ref="C46:D46"/>
    <mergeCell ref="C47:D47"/>
    <mergeCell ref="C48:D48"/>
    <mergeCell ref="C49:D49"/>
    <mergeCell ref="C50:D50"/>
    <mergeCell ref="C51:D51"/>
    <mergeCell ref="C52:D52"/>
  </mergeCells>
  <conditionalFormatting sqref="E34:T34 V34:AJ34 AL34:AO34">
    <cfRule type="expression" dxfId="1" priority="1">
      <formula>E34&lt;&gt;E62</formula>
    </cfRule>
  </conditionalFormatting>
  <conditionalFormatting sqref="E14:AQ15">
    <cfRule type="containsBlanks" dxfId="0" priority="2">
      <formula>LEN(TRIM(E14))=0</formula>
    </cfRule>
  </conditionalFormatting>
  <conditionalFormatting sqref="E19:AQ20">
    <cfRule type="containsBlanks" dxfId="0" priority="3">
      <formula>LEN(TRIM(E19))=0</formula>
    </cfRule>
  </conditionalFormatting>
  <conditionalFormatting sqref="E22:AQ23 E25:AQ26 E33:AQ33 E35:AQ35 E39:AQ40">
    <cfRule type="containsBlanks" dxfId="0" priority="4">
      <formula>LEN(TRIM(E22))=0</formula>
    </cfRule>
  </conditionalFormatting>
  <conditionalFormatting sqref="E30:AQ30">
    <cfRule type="expression" dxfId="1" priority="5">
      <formula>E30&lt;&gt;E47</formula>
    </cfRule>
  </conditionalFormatting>
  <conditionalFormatting sqref="E30:AQ30">
    <cfRule type="expression" dxfId="1" priority="6">
      <formula>E30&lt;&gt;E34</formula>
    </cfRule>
  </conditionalFormatting>
  <conditionalFormatting sqref="E34:AQ34">
    <cfRule type="expression" dxfId="2" priority="7">
      <formula>E30&lt;&gt;E34</formula>
    </cfRule>
  </conditionalFormatting>
  <conditionalFormatting sqref="E34:AQ34">
    <cfRule type="expression" dxfId="3" priority="8">
      <formula>E30=E34</formula>
    </cfRule>
  </conditionalFormatting>
  <conditionalFormatting sqref="E34:AQ34">
    <cfRule type="expression" dxfId="1" priority="9">
      <formula>E34&lt;&gt;E30</formula>
    </cfRule>
  </conditionalFormatting>
  <conditionalFormatting sqref="E45:AQ52">
    <cfRule type="containsBlanks" dxfId="0" priority="10">
      <formula>LEN(TRIM(E45))=0</formula>
    </cfRule>
  </conditionalFormatting>
  <conditionalFormatting sqref="E55:AQ62">
    <cfRule type="containsBlanks" dxfId="0" priority="11">
      <formula>LEN(TRIM(E55))=0</formula>
    </cfRule>
  </conditionalFormatting>
  <conditionalFormatting sqref="E65:AQ72">
    <cfRule type="containsBlanks" dxfId="0" priority="12">
      <formula>LEN(TRIM(E65))=0</formula>
    </cfRule>
  </conditionalFormatting>
  <conditionalFormatting sqref="E75:AQ82">
    <cfRule type="containsBlanks" dxfId="0" priority="13">
      <formula>LEN(TRIM(E75))=0</formula>
    </cfRule>
  </conditionalFormatting>
  <conditionalFormatting sqref="E85:AQ92">
    <cfRule type="containsBlanks" dxfId="0" priority="14">
      <formula>LEN(TRIM(E85))=0</formula>
    </cfRule>
  </conditionalFormatting>
  <conditionalFormatting sqref="E95:AQ102">
    <cfRule type="containsBlanks" dxfId="0" priority="15">
      <formula>LEN(TRIM(E95))=0</formula>
    </cfRule>
  </conditionalFormatting>
  <conditionalFormatting sqref="E105:AQ108">
    <cfRule type="containsBlanks" dxfId="0" priority="16">
      <formula>LEN(TRIM(E105))=0</formula>
    </cfRule>
  </conditionalFormatting>
  <conditionalFormatting sqref="E111:AQ118">
    <cfRule type="containsBlanks" dxfId="0" priority="17">
      <formula>LEN(TRIM(E111))=0</formula>
    </cfRule>
  </conditionalFormatting>
  <conditionalFormatting sqref="E121:AQ128">
    <cfRule type="containsBlanks" dxfId="0" priority="18">
      <formula>LEN(TRIM(E121))=0</formula>
    </cfRule>
  </conditionalFormatting>
  <conditionalFormatting sqref="E131:AQ135">
    <cfRule type="containsBlanks" dxfId="0" priority="19">
      <formula>LEN(TRIM(E131))=0</formula>
    </cfRule>
  </conditionalFormatting>
  <conditionalFormatting sqref="E138:AQ145">
    <cfRule type="containsBlanks" dxfId="0" priority="20">
      <formula>LEN(TRIM(E138))=0</formula>
    </cfRule>
  </conditionalFormatting>
  <conditionalFormatting sqref="E148:AQ155">
    <cfRule type="containsBlanks" dxfId="0" priority="21">
      <formula>LEN(TRIM(E148))=0</formula>
    </cfRule>
  </conditionalFormatting>
  <conditionalFormatting sqref="E158:AQ165">
    <cfRule type="containsBlanks" dxfId="0" priority="22">
      <formula>LEN(TRIM(E158))=0</formula>
    </cfRule>
  </conditionalFormatting>
  <conditionalFormatting sqref="E168:AQ175">
    <cfRule type="containsBlanks" dxfId="0" priority="23">
      <formula>LEN(TRIM(E168))=0</formula>
    </cfRule>
  </conditionalFormatting>
  <conditionalFormatting sqref="E178:AQ185">
    <cfRule type="containsBlanks" dxfId="0" priority="24">
      <formula>LEN(TRIM(E178))=0</formula>
    </cfRule>
  </conditionalFormatting>
  <conditionalFormatting sqref="E188:AQ195">
    <cfRule type="containsBlanks" dxfId="0" priority="25">
      <formula>LEN(TRIM(E188))=0</formula>
    </cfRule>
  </conditionalFormatting>
  <conditionalFormatting sqref="E198:AQ205">
    <cfRule type="containsBlanks" dxfId="0" priority="26">
      <formula>LEN(TRIM(E198))=0</formula>
    </cfRule>
  </conditionalFormatting>
  <conditionalFormatting sqref="E208:AQ214">
    <cfRule type="containsBlanks" dxfId="0" priority="27">
      <formula>LEN(TRIM(E208))=0</formula>
    </cfRule>
  </conditionalFormatting>
  <conditionalFormatting sqref="E218:AQ219">
    <cfRule type="containsBlanks" dxfId="0" priority="28">
      <formula>LEN(TRIM(E218))=0</formula>
    </cfRule>
  </conditionalFormatting>
  <conditionalFormatting sqref="AP34:AQ34">
    <cfRule type="expression" dxfId="1" priority="29">
      <formula>AP34&lt;&gt;AP47</formula>
    </cfRule>
  </conditionalFormatting>
  <conditionalFormatting sqref="U34">
    <cfRule type="expression" dxfId="1" priority="30">
      <formula>U34&lt;&gt;U47</formula>
    </cfRule>
  </conditionalFormatting>
  <conditionalFormatting sqref="AK34">
    <cfRule type="expression" dxfId="1" priority="31">
      <formula>AK34&lt;&gt;AK47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6" width="8.71"/>
  </cols>
  <sheetData>
    <row r="1" ht="12.75" customHeight="1"/>
    <row r="2" ht="12.75" customHeight="1">
      <c r="C2" s="8" t="s">
        <v>0</v>
      </c>
      <c r="D2" s="8" t="s">
        <v>198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199</v>
      </c>
      <c r="D9" s="8" t="s">
        <v>242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201</v>
      </c>
      <c r="F13" s="13" t="s">
        <v>202</v>
      </c>
      <c r="G13" s="13" t="s">
        <v>203</v>
      </c>
      <c r="H13" s="13" t="s">
        <v>204</v>
      </c>
      <c r="I13" s="13" t="s">
        <v>205</v>
      </c>
      <c r="J13" s="13" t="s">
        <v>206</v>
      </c>
      <c r="K13" s="13" t="s">
        <v>207</v>
      </c>
      <c r="L13" s="13" t="s">
        <v>208</v>
      </c>
      <c r="M13" s="13" t="s">
        <v>209</v>
      </c>
      <c r="N13" s="13" t="s">
        <v>210</v>
      </c>
      <c r="O13" s="13" t="s">
        <v>211</v>
      </c>
      <c r="P13" s="13" t="s">
        <v>212</v>
      </c>
      <c r="Q13" s="13" t="s">
        <v>213</v>
      </c>
      <c r="R13" s="13" t="s">
        <v>214</v>
      </c>
      <c r="S13" s="13" t="s">
        <v>215</v>
      </c>
      <c r="T13" s="13" t="s">
        <v>216</v>
      </c>
      <c r="U13" s="13" t="s">
        <v>217</v>
      </c>
      <c r="V13" s="13" t="s">
        <v>218</v>
      </c>
      <c r="W13" s="36"/>
    </row>
    <row r="14" ht="12.75" customHeight="1">
      <c r="A14" s="18"/>
      <c r="B14" s="22" t="s">
        <v>11</v>
      </c>
      <c r="C14" s="23"/>
      <c r="D14" s="19" t="s">
        <v>12</v>
      </c>
      <c r="E14" s="19">
        <v>124.0</v>
      </c>
      <c r="F14" s="19">
        <v>130.0</v>
      </c>
      <c r="G14" s="19">
        <v>115.0</v>
      </c>
      <c r="H14" s="19">
        <v>131.0</v>
      </c>
      <c r="I14" s="19">
        <v>128.0</v>
      </c>
      <c r="J14" s="19">
        <v>128.0</v>
      </c>
      <c r="K14" s="19">
        <v>73.0</v>
      </c>
      <c r="L14" s="19">
        <v>128.0</v>
      </c>
      <c r="M14" s="19">
        <v>117.0</v>
      </c>
      <c r="N14" s="19">
        <v>117.0</v>
      </c>
      <c r="O14" s="19">
        <v>93.0</v>
      </c>
      <c r="P14" s="19">
        <v>139.0</v>
      </c>
      <c r="Q14" s="19">
        <v>152.0</v>
      </c>
      <c r="R14" s="19">
        <v>142.0</v>
      </c>
      <c r="S14" s="19">
        <v>132.0</v>
      </c>
      <c r="T14" s="19">
        <v>122.0</v>
      </c>
      <c r="U14" s="19">
        <v>115.0</v>
      </c>
      <c r="V14" s="19">
        <v>117.0</v>
      </c>
      <c r="W14" s="13">
        <f t="shared" ref="W14:W16" si="1">SUM(E14:V14)</f>
        <v>2203</v>
      </c>
    </row>
    <row r="15" ht="12.75" customHeight="1">
      <c r="A15" s="18"/>
      <c r="B15" s="26"/>
      <c r="C15" s="27"/>
      <c r="D15" s="19" t="s">
        <v>13</v>
      </c>
      <c r="E15" s="19">
        <v>141.0</v>
      </c>
      <c r="F15" s="19">
        <v>140.0</v>
      </c>
      <c r="G15" s="19">
        <v>124.0</v>
      </c>
      <c r="H15" s="19">
        <v>131.0</v>
      </c>
      <c r="I15" s="19">
        <v>131.0</v>
      </c>
      <c r="J15" s="19">
        <v>141.0</v>
      </c>
      <c r="K15" s="19">
        <v>85.0</v>
      </c>
      <c r="L15" s="19">
        <v>136.0</v>
      </c>
      <c r="M15" s="19">
        <v>113.0</v>
      </c>
      <c r="N15" s="19">
        <v>133.0</v>
      </c>
      <c r="O15" s="19">
        <v>83.0</v>
      </c>
      <c r="P15" s="19">
        <v>148.0</v>
      </c>
      <c r="Q15" s="19">
        <v>136.0</v>
      </c>
      <c r="R15" s="19">
        <v>134.0</v>
      </c>
      <c r="S15" s="19">
        <v>139.0</v>
      </c>
      <c r="T15" s="19">
        <v>136.0</v>
      </c>
      <c r="U15" s="19">
        <v>122.0</v>
      </c>
      <c r="V15" s="19">
        <v>125.0</v>
      </c>
      <c r="W15" s="13">
        <f t="shared" si="1"/>
        <v>2298</v>
      </c>
    </row>
    <row r="16" ht="12.75" customHeight="1">
      <c r="A16" s="25"/>
      <c r="B16" s="21"/>
      <c r="C16" s="28"/>
      <c r="D16" s="13" t="s">
        <v>14</v>
      </c>
      <c r="E16" s="13">
        <f t="shared" ref="E16:V16" si="2">SUM(E14:E15)</f>
        <v>265</v>
      </c>
      <c r="F16" s="13">
        <f t="shared" si="2"/>
        <v>270</v>
      </c>
      <c r="G16" s="13">
        <f t="shared" si="2"/>
        <v>239</v>
      </c>
      <c r="H16" s="13">
        <f t="shared" si="2"/>
        <v>262</v>
      </c>
      <c r="I16" s="13">
        <f t="shared" si="2"/>
        <v>259</v>
      </c>
      <c r="J16" s="13">
        <f t="shared" si="2"/>
        <v>269</v>
      </c>
      <c r="K16" s="13">
        <f t="shared" si="2"/>
        <v>158</v>
      </c>
      <c r="L16" s="13">
        <f t="shared" si="2"/>
        <v>264</v>
      </c>
      <c r="M16" s="13">
        <f t="shared" si="2"/>
        <v>230</v>
      </c>
      <c r="N16" s="13">
        <f t="shared" si="2"/>
        <v>250</v>
      </c>
      <c r="O16" s="13">
        <f t="shared" si="2"/>
        <v>176</v>
      </c>
      <c r="P16" s="13">
        <f t="shared" si="2"/>
        <v>287</v>
      </c>
      <c r="Q16" s="13">
        <f t="shared" si="2"/>
        <v>288</v>
      </c>
      <c r="R16" s="13">
        <f t="shared" si="2"/>
        <v>276</v>
      </c>
      <c r="S16" s="13">
        <f t="shared" si="2"/>
        <v>271</v>
      </c>
      <c r="T16" s="13">
        <f t="shared" si="2"/>
        <v>258</v>
      </c>
      <c r="U16" s="13">
        <f t="shared" si="2"/>
        <v>237</v>
      </c>
      <c r="V16" s="13">
        <f t="shared" si="2"/>
        <v>242</v>
      </c>
      <c r="W16" s="13">
        <f t="shared" si="1"/>
        <v>4501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69"/>
      <c r="P17" s="69"/>
      <c r="Q17" s="69"/>
      <c r="R17" s="19"/>
      <c r="S17" s="19"/>
      <c r="T17" s="69"/>
      <c r="U17" s="69"/>
      <c r="V17" s="69"/>
      <c r="W17" s="7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69"/>
      <c r="P18" s="69"/>
      <c r="Q18" s="69"/>
      <c r="R18" s="19"/>
      <c r="S18" s="19"/>
      <c r="T18" s="69"/>
      <c r="U18" s="69"/>
      <c r="V18" s="69"/>
      <c r="W18" s="7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106.0</v>
      </c>
      <c r="F19" s="19">
        <v>108.0</v>
      </c>
      <c r="G19" s="19">
        <v>96.0</v>
      </c>
      <c r="H19" s="19">
        <v>104.0</v>
      </c>
      <c r="I19" s="19">
        <v>100.0</v>
      </c>
      <c r="J19" s="19">
        <v>106.0</v>
      </c>
      <c r="K19" s="19">
        <v>52.0</v>
      </c>
      <c r="L19" s="19">
        <v>112.0</v>
      </c>
      <c r="M19" s="19">
        <v>92.0</v>
      </c>
      <c r="N19" s="19">
        <v>96.0</v>
      </c>
      <c r="O19" s="19">
        <v>72.0</v>
      </c>
      <c r="P19" s="19">
        <v>108.0</v>
      </c>
      <c r="Q19" s="19">
        <v>117.0</v>
      </c>
      <c r="R19" s="19">
        <v>108.0</v>
      </c>
      <c r="S19" s="19">
        <v>109.0</v>
      </c>
      <c r="T19" s="19">
        <v>104.0</v>
      </c>
      <c r="U19" s="19">
        <v>100.0</v>
      </c>
      <c r="V19" s="19">
        <v>82.0</v>
      </c>
      <c r="W19" s="13">
        <f t="shared" ref="W19:W30" si="3">SUM(E19:V19)</f>
        <v>1772</v>
      </c>
    </row>
    <row r="20" ht="12.75" customHeight="1">
      <c r="A20" s="33"/>
      <c r="B20" s="27"/>
      <c r="C20" s="34"/>
      <c r="D20" s="19" t="s">
        <v>13</v>
      </c>
      <c r="E20" s="19">
        <v>119.0</v>
      </c>
      <c r="F20" s="19">
        <v>120.0</v>
      </c>
      <c r="G20" s="19">
        <v>108.0</v>
      </c>
      <c r="H20" s="19">
        <v>108.0</v>
      </c>
      <c r="I20" s="19">
        <v>106.0</v>
      </c>
      <c r="J20" s="19">
        <v>119.0</v>
      </c>
      <c r="K20" s="19">
        <v>70.0</v>
      </c>
      <c r="L20" s="19">
        <v>115.0</v>
      </c>
      <c r="M20" s="19">
        <v>101.0</v>
      </c>
      <c r="N20" s="19">
        <v>121.0</v>
      </c>
      <c r="O20" s="19">
        <v>63.0</v>
      </c>
      <c r="P20" s="19">
        <v>130.0</v>
      </c>
      <c r="Q20" s="19">
        <v>111.0</v>
      </c>
      <c r="R20" s="19">
        <v>119.0</v>
      </c>
      <c r="S20" s="19">
        <v>118.0</v>
      </c>
      <c r="T20" s="19">
        <v>117.0</v>
      </c>
      <c r="U20" s="19">
        <v>103.0</v>
      </c>
      <c r="V20" s="19">
        <v>93.0</v>
      </c>
      <c r="W20" s="13">
        <f t="shared" si="3"/>
        <v>1941</v>
      </c>
    </row>
    <row r="21" ht="12.75" customHeight="1">
      <c r="A21" s="35"/>
      <c r="B21" s="28"/>
      <c r="C21" s="36"/>
      <c r="D21" s="13" t="s">
        <v>14</v>
      </c>
      <c r="E21" s="13">
        <f t="shared" ref="E21:V21" si="4">SUM(E19:E20)</f>
        <v>225</v>
      </c>
      <c r="F21" s="13">
        <f t="shared" si="4"/>
        <v>228</v>
      </c>
      <c r="G21" s="13">
        <f t="shared" si="4"/>
        <v>204</v>
      </c>
      <c r="H21" s="13">
        <f t="shared" si="4"/>
        <v>212</v>
      </c>
      <c r="I21" s="13">
        <f t="shared" si="4"/>
        <v>206</v>
      </c>
      <c r="J21" s="13">
        <f t="shared" si="4"/>
        <v>225</v>
      </c>
      <c r="K21" s="13">
        <f t="shared" si="4"/>
        <v>122</v>
      </c>
      <c r="L21" s="13">
        <f t="shared" si="4"/>
        <v>227</v>
      </c>
      <c r="M21" s="13">
        <f t="shared" si="4"/>
        <v>193</v>
      </c>
      <c r="N21" s="13">
        <f t="shared" si="4"/>
        <v>217</v>
      </c>
      <c r="O21" s="13">
        <f t="shared" si="4"/>
        <v>135</v>
      </c>
      <c r="P21" s="13">
        <f t="shared" si="4"/>
        <v>238</v>
      </c>
      <c r="Q21" s="13">
        <f t="shared" si="4"/>
        <v>228</v>
      </c>
      <c r="R21" s="13">
        <f t="shared" si="4"/>
        <v>227</v>
      </c>
      <c r="S21" s="13">
        <f t="shared" si="4"/>
        <v>227</v>
      </c>
      <c r="T21" s="13">
        <f t="shared" si="4"/>
        <v>221</v>
      </c>
      <c r="U21" s="13">
        <f t="shared" si="4"/>
        <v>203</v>
      </c>
      <c r="V21" s="13">
        <f t="shared" si="4"/>
        <v>175</v>
      </c>
      <c r="W21" s="13">
        <f t="shared" si="3"/>
        <v>3713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1.0</v>
      </c>
      <c r="J22" s="19">
        <v>0.0</v>
      </c>
      <c r="K22" s="19">
        <v>1.0</v>
      </c>
      <c r="L22" s="19">
        <v>1.0</v>
      </c>
      <c r="M22" s="19">
        <v>0.0</v>
      </c>
      <c r="N22" s="19">
        <v>0.0</v>
      </c>
      <c r="O22" s="19">
        <v>1.0</v>
      </c>
      <c r="P22" s="19">
        <v>0.0</v>
      </c>
      <c r="Q22" s="19">
        <v>0.0</v>
      </c>
      <c r="R22" s="19">
        <v>0.0</v>
      </c>
      <c r="S22" s="19">
        <v>1.0</v>
      </c>
      <c r="T22" s="19">
        <v>0.0</v>
      </c>
      <c r="U22" s="19">
        <v>1.0</v>
      </c>
      <c r="V22" s="19">
        <v>0.0</v>
      </c>
      <c r="W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1.0</v>
      </c>
      <c r="I23" s="19">
        <v>0.0</v>
      </c>
      <c r="J23" s="19">
        <v>1.0</v>
      </c>
      <c r="K23" s="19">
        <v>0.0</v>
      </c>
      <c r="L23" s="19">
        <v>0.0</v>
      </c>
      <c r="M23" s="19">
        <v>0.0</v>
      </c>
      <c r="N23" s="19">
        <v>2.0</v>
      </c>
      <c r="O23" s="19">
        <v>0.0</v>
      </c>
      <c r="P23" s="19">
        <v>1.0</v>
      </c>
      <c r="Q23" s="19">
        <v>0.0</v>
      </c>
      <c r="R23" s="19">
        <v>1.0</v>
      </c>
      <c r="S23" s="19">
        <v>0.0</v>
      </c>
      <c r="T23" s="19">
        <v>1.0</v>
      </c>
      <c r="U23" s="19">
        <v>2.0</v>
      </c>
      <c r="V23" s="19">
        <v>0.0</v>
      </c>
      <c r="W23" s="13">
        <f t="shared" si="3"/>
        <v>10</v>
      </c>
    </row>
    <row r="24" ht="12.75" customHeight="1">
      <c r="A24" s="35"/>
      <c r="B24" s="28"/>
      <c r="C24" s="36"/>
      <c r="D24" s="13" t="s">
        <v>14</v>
      </c>
      <c r="E24" s="13">
        <f t="shared" ref="E24:V24" si="5">SUM(E22:E23)</f>
        <v>0</v>
      </c>
      <c r="F24" s="13">
        <f t="shared" si="5"/>
        <v>1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0</v>
      </c>
      <c r="N24" s="13">
        <f t="shared" si="5"/>
        <v>2</v>
      </c>
      <c r="O24" s="13">
        <f t="shared" si="5"/>
        <v>1</v>
      </c>
      <c r="P24" s="13">
        <f t="shared" si="5"/>
        <v>1</v>
      </c>
      <c r="Q24" s="13">
        <f t="shared" si="5"/>
        <v>0</v>
      </c>
      <c r="R24" s="13">
        <f t="shared" si="5"/>
        <v>1</v>
      </c>
      <c r="S24" s="13">
        <f t="shared" si="5"/>
        <v>1</v>
      </c>
      <c r="T24" s="13">
        <f t="shared" si="5"/>
        <v>1</v>
      </c>
      <c r="U24" s="13">
        <f t="shared" si="5"/>
        <v>3</v>
      </c>
      <c r="V24" s="13">
        <f t="shared" si="5"/>
        <v>0</v>
      </c>
      <c r="W24" s="13">
        <f t="shared" si="3"/>
        <v>17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1.0</v>
      </c>
      <c r="H25" s="19">
        <v>1.0</v>
      </c>
      <c r="I25" s="19">
        <v>0.0</v>
      </c>
      <c r="J25" s="19">
        <v>2.0</v>
      </c>
      <c r="K25" s="19">
        <v>4.0</v>
      </c>
      <c r="L25" s="19">
        <v>0.0</v>
      </c>
      <c r="M25" s="19">
        <v>0.0</v>
      </c>
      <c r="N25" s="19">
        <v>1.0</v>
      </c>
      <c r="O25" s="19">
        <v>2.0</v>
      </c>
      <c r="P25" s="19">
        <v>4.0</v>
      </c>
      <c r="Q25" s="19">
        <v>0.0</v>
      </c>
      <c r="R25" s="19">
        <v>0.0</v>
      </c>
      <c r="S25" s="19">
        <v>0.0</v>
      </c>
      <c r="T25" s="19">
        <v>0.0</v>
      </c>
      <c r="U25" s="19">
        <v>1.0</v>
      </c>
      <c r="V25" s="19">
        <v>7.0</v>
      </c>
      <c r="W25" s="13">
        <f t="shared" si="3"/>
        <v>25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2.0</v>
      </c>
      <c r="G26" s="19">
        <v>1.0</v>
      </c>
      <c r="H26" s="19">
        <v>1.0</v>
      </c>
      <c r="I26" s="19">
        <v>1.0</v>
      </c>
      <c r="J26" s="19">
        <v>1.0</v>
      </c>
      <c r="K26" s="19">
        <v>3.0</v>
      </c>
      <c r="L26" s="19">
        <v>0.0</v>
      </c>
      <c r="M26" s="19">
        <v>0.0</v>
      </c>
      <c r="N26" s="19">
        <v>1.0</v>
      </c>
      <c r="O26" s="19">
        <v>2.0</v>
      </c>
      <c r="P26" s="19">
        <v>7.0</v>
      </c>
      <c r="Q26" s="19">
        <v>1.0</v>
      </c>
      <c r="R26" s="19">
        <v>0.0</v>
      </c>
      <c r="S26" s="19">
        <v>1.0</v>
      </c>
      <c r="T26" s="19">
        <v>2.0</v>
      </c>
      <c r="U26" s="19">
        <v>3.0</v>
      </c>
      <c r="V26" s="19">
        <v>6.0</v>
      </c>
      <c r="W26" s="13">
        <f t="shared" si="3"/>
        <v>34</v>
      </c>
    </row>
    <row r="27" ht="12.75" customHeight="1">
      <c r="A27" s="35"/>
      <c r="B27" s="28"/>
      <c r="C27" s="36"/>
      <c r="D27" s="13" t="s">
        <v>14</v>
      </c>
      <c r="E27" s="13">
        <f t="shared" ref="E27:V27" si="6">SUM(E25:E26)</f>
        <v>3</v>
      </c>
      <c r="F27" s="13">
        <f t="shared" si="6"/>
        <v>3</v>
      </c>
      <c r="G27" s="13">
        <f t="shared" si="6"/>
        <v>2</v>
      </c>
      <c r="H27" s="13">
        <f t="shared" si="6"/>
        <v>2</v>
      </c>
      <c r="I27" s="13">
        <f t="shared" si="6"/>
        <v>1</v>
      </c>
      <c r="J27" s="13">
        <f t="shared" si="6"/>
        <v>3</v>
      </c>
      <c r="K27" s="13">
        <f t="shared" si="6"/>
        <v>7</v>
      </c>
      <c r="L27" s="13">
        <f t="shared" si="6"/>
        <v>0</v>
      </c>
      <c r="M27" s="13">
        <f t="shared" si="6"/>
        <v>0</v>
      </c>
      <c r="N27" s="13">
        <f t="shared" si="6"/>
        <v>2</v>
      </c>
      <c r="O27" s="13">
        <f t="shared" si="6"/>
        <v>4</v>
      </c>
      <c r="P27" s="13">
        <f t="shared" si="6"/>
        <v>11</v>
      </c>
      <c r="Q27" s="13">
        <f t="shared" si="6"/>
        <v>1</v>
      </c>
      <c r="R27" s="13">
        <f t="shared" si="6"/>
        <v>0</v>
      </c>
      <c r="S27" s="13">
        <f t="shared" si="6"/>
        <v>1</v>
      </c>
      <c r="T27" s="13">
        <f t="shared" si="6"/>
        <v>2</v>
      </c>
      <c r="U27" s="13">
        <f t="shared" si="6"/>
        <v>4</v>
      </c>
      <c r="V27" s="13">
        <f t="shared" si="6"/>
        <v>13</v>
      </c>
      <c r="W27" s="13">
        <f t="shared" si="3"/>
        <v>59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V28" si="7">SUM(E19,E22,E25)</f>
        <v>107</v>
      </c>
      <c r="F28" s="13">
        <f t="shared" si="7"/>
        <v>109</v>
      </c>
      <c r="G28" s="13">
        <f t="shared" si="7"/>
        <v>98</v>
      </c>
      <c r="H28" s="13">
        <f t="shared" si="7"/>
        <v>105</v>
      </c>
      <c r="I28" s="13">
        <f t="shared" si="7"/>
        <v>101</v>
      </c>
      <c r="J28" s="13">
        <f t="shared" si="7"/>
        <v>108</v>
      </c>
      <c r="K28" s="13">
        <f t="shared" si="7"/>
        <v>57</v>
      </c>
      <c r="L28" s="13">
        <f t="shared" si="7"/>
        <v>113</v>
      </c>
      <c r="M28" s="13">
        <f t="shared" si="7"/>
        <v>92</v>
      </c>
      <c r="N28" s="13">
        <f t="shared" si="7"/>
        <v>97</v>
      </c>
      <c r="O28" s="13">
        <f t="shared" si="7"/>
        <v>75</v>
      </c>
      <c r="P28" s="13">
        <f t="shared" si="7"/>
        <v>112</v>
      </c>
      <c r="Q28" s="13">
        <f t="shared" si="7"/>
        <v>117</v>
      </c>
      <c r="R28" s="13">
        <f t="shared" si="7"/>
        <v>108</v>
      </c>
      <c r="S28" s="13">
        <f t="shared" si="7"/>
        <v>110</v>
      </c>
      <c r="T28" s="13">
        <f t="shared" si="7"/>
        <v>104</v>
      </c>
      <c r="U28" s="13">
        <f t="shared" si="7"/>
        <v>102</v>
      </c>
      <c r="V28" s="13">
        <f t="shared" si="7"/>
        <v>89</v>
      </c>
      <c r="W28" s="13">
        <f t="shared" si="3"/>
        <v>1804</v>
      </c>
    </row>
    <row r="29" ht="12.75" customHeight="1">
      <c r="A29" s="35"/>
      <c r="B29" s="27"/>
      <c r="C29" s="34"/>
      <c r="D29" s="13" t="s">
        <v>13</v>
      </c>
      <c r="E29" s="13">
        <f t="shared" ref="E29:V29" si="8">SUM(E20,E23,E26)</f>
        <v>121</v>
      </c>
      <c r="F29" s="13">
        <f t="shared" si="8"/>
        <v>123</v>
      </c>
      <c r="G29" s="13">
        <f t="shared" si="8"/>
        <v>109</v>
      </c>
      <c r="H29" s="13">
        <f t="shared" si="8"/>
        <v>110</v>
      </c>
      <c r="I29" s="13">
        <f t="shared" si="8"/>
        <v>107</v>
      </c>
      <c r="J29" s="13">
        <f t="shared" si="8"/>
        <v>121</v>
      </c>
      <c r="K29" s="13">
        <f t="shared" si="8"/>
        <v>73</v>
      </c>
      <c r="L29" s="13">
        <f t="shared" si="8"/>
        <v>115</v>
      </c>
      <c r="M29" s="13">
        <f t="shared" si="8"/>
        <v>101</v>
      </c>
      <c r="N29" s="13">
        <f t="shared" si="8"/>
        <v>124</v>
      </c>
      <c r="O29" s="13">
        <f t="shared" si="8"/>
        <v>65</v>
      </c>
      <c r="P29" s="13">
        <f t="shared" si="8"/>
        <v>138</v>
      </c>
      <c r="Q29" s="13">
        <f t="shared" si="8"/>
        <v>112</v>
      </c>
      <c r="R29" s="13">
        <f t="shared" si="8"/>
        <v>120</v>
      </c>
      <c r="S29" s="13">
        <f t="shared" si="8"/>
        <v>119</v>
      </c>
      <c r="T29" s="13">
        <f t="shared" si="8"/>
        <v>120</v>
      </c>
      <c r="U29" s="13">
        <f t="shared" si="8"/>
        <v>108</v>
      </c>
      <c r="V29" s="13">
        <f t="shared" si="8"/>
        <v>99</v>
      </c>
      <c r="W29" s="13">
        <f t="shared" si="3"/>
        <v>1985</v>
      </c>
    </row>
    <row r="30" ht="12.75" customHeight="1">
      <c r="A30" s="35"/>
      <c r="B30" s="28"/>
      <c r="C30" s="36"/>
      <c r="D30" s="13" t="s">
        <v>14</v>
      </c>
      <c r="E30" s="13">
        <f t="shared" ref="E30:V30" si="9">SUM(E28:E29)</f>
        <v>228</v>
      </c>
      <c r="F30" s="13">
        <f t="shared" si="9"/>
        <v>232</v>
      </c>
      <c r="G30" s="13">
        <f t="shared" si="9"/>
        <v>207</v>
      </c>
      <c r="H30" s="13">
        <f t="shared" si="9"/>
        <v>215</v>
      </c>
      <c r="I30" s="13">
        <f t="shared" si="9"/>
        <v>208</v>
      </c>
      <c r="J30" s="13">
        <f t="shared" si="9"/>
        <v>229</v>
      </c>
      <c r="K30" s="13">
        <f t="shared" si="9"/>
        <v>130</v>
      </c>
      <c r="L30" s="13">
        <f t="shared" si="9"/>
        <v>228</v>
      </c>
      <c r="M30" s="13">
        <f t="shared" si="9"/>
        <v>193</v>
      </c>
      <c r="N30" s="13">
        <f t="shared" si="9"/>
        <v>221</v>
      </c>
      <c r="O30" s="13">
        <f t="shared" si="9"/>
        <v>140</v>
      </c>
      <c r="P30" s="13">
        <f t="shared" si="9"/>
        <v>250</v>
      </c>
      <c r="Q30" s="13">
        <f t="shared" si="9"/>
        <v>229</v>
      </c>
      <c r="R30" s="13">
        <f t="shared" si="9"/>
        <v>228</v>
      </c>
      <c r="S30" s="13">
        <f t="shared" si="9"/>
        <v>229</v>
      </c>
      <c r="T30" s="13">
        <f t="shared" si="9"/>
        <v>224</v>
      </c>
      <c r="U30" s="13">
        <f t="shared" si="9"/>
        <v>210</v>
      </c>
      <c r="V30" s="13">
        <f t="shared" si="9"/>
        <v>188</v>
      </c>
      <c r="W30" s="13">
        <f t="shared" si="3"/>
        <v>3789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69"/>
      <c r="P31" s="69"/>
      <c r="Q31" s="69"/>
      <c r="R31" s="19"/>
      <c r="S31" s="19"/>
      <c r="T31" s="69"/>
      <c r="U31" s="69"/>
      <c r="V31" s="69"/>
      <c r="W31" s="7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1"/>
      <c r="O32" s="71"/>
      <c r="P32" s="71"/>
      <c r="Q32" s="71"/>
      <c r="R32" s="13"/>
      <c r="S32" s="13"/>
      <c r="T32" s="71"/>
      <c r="U32" s="71"/>
      <c r="V32" s="71"/>
      <c r="W32" s="70"/>
    </row>
    <row r="33" ht="12.75" customHeight="1">
      <c r="A33" s="19">
        <v>1.0</v>
      </c>
      <c r="B33" s="20" t="s">
        <v>27</v>
      </c>
      <c r="C33" s="15"/>
      <c r="D33" s="16"/>
      <c r="E33" s="19">
        <v>271.0</v>
      </c>
      <c r="F33" s="19">
        <v>276.0</v>
      </c>
      <c r="G33" s="19">
        <v>243.0</v>
      </c>
      <c r="H33" s="19">
        <v>268.0</v>
      </c>
      <c r="I33" s="19">
        <v>264.0</v>
      </c>
      <c r="J33" s="19">
        <v>275.0</v>
      </c>
      <c r="K33" s="19">
        <v>162.0</v>
      </c>
      <c r="L33" s="19">
        <v>270.0</v>
      </c>
      <c r="M33" s="19">
        <v>233.0</v>
      </c>
      <c r="N33" s="19">
        <v>255.0</v>
      </c>
      <c r="O33" s="19">
        <v>180.0</v>
      </c>
      <c r="P33" s="19">
        <v>293.0</v>
      </c>
      <c r="Q33" s="19">
        <v>294.0</v>
      </c>
      <c r="R33" s="19">
        <v>283.0</v>
      </c>
      <c r="S33" s="19">
        <v>277.0</v>
      </c>
      <c r="T33" s="19">
        <v>264.0</v>
      </c>
      <c r="U33" s="19">
        <v>241.0</v>
      </c>
      <c r="V33" s="19">
        <v>247.0</v>
      </c>
      <c r="W33" s="13">
        <f t="shared" ref="W33:W36" si="10">SUM(E33:V33)</f>
        <v>4596</v>
      </c>
    </row>
    <row r="34" ht="12.75" customHeight="1">
      <c r="A34" s="19">
        <v>2.0</v>
      </c>
      <c r="B34" s="20" t="s">
        <v>28</v>
      </c>
      <c r="C34" s="15"/>
      <c r="D34" s="16"/>
      <c r="E34" s="13">
        <v>228.0</v>
      </c>
      <c r="F34" s="13">
        <v>232.0</v>
      </c>
      <c r="G34" s="13">
        <v>207.0</v>
      </c>
      <c r="H34" s="13">
        <v>215.0</v>
      </c>
      <c r="I34" s="13">
        <v>208.0</v>
      </c>
      <c r="J34" s="13">
        <v>229.0</v>
      </c>
      <c r="K34" s="13">
        <v>130.0</v>
      </c>
      <c r="L34" s="13">
        <v>228.0</v>
      </c>
      <c r="M34" s="13">
        <v>193.0</v>
      </c>
      <c r="N34" s="13">
        <v>221.0</v>
      </c>
      <c r="O34" s="13">
        <v>140.0</v>
      </c>
      <c r="P34" s="13">
        <v>250.0</v>
      </c>
      <c r="Q34" s="13">
        <v>229.0</v>
      </c>
      <c r="R34" s="13">
        <v>228.0</v>
      </c>
      <c r="S34" s="13">
        <v>229.0</v>
      </c>
      <c r="T34" s="13">
        <v>224.0</v>
      </c>
      <c r="U34" s="13">
        <v>210.0</v>
      </c>
      <c r="V34" s="13">
        <v>188.0</v>
      </c>
      <c r="W34" s="13">
        <f t="shared" si="10"/>
        <v>3789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>
        <v>1.0</v>
      </c>
      <c r="H35" s="19"/>
      <c r="I35" s="19"/>
      <c r="J35" s="19"/>
      <c r="K35" s="19"/>
      <c r="L35" s="19"/>
      <c r="M35" s="19"/>
      <c r="N35" s="19"/>
      <c r="O35" s="19">
        <v>1.0</v>
      </c>
      <c r="P35" s="19"/>
      <c r="Q35" s="19"/>
      <c r="R35" s="19"/>
      <c r="S35" s="19"/>
      <c r="T35" s="19"/>
      <c r="U35" s="19">
        <v>1.0</v>
      </c>
      <c r="V35" s="19">
        <v>1.0</v>
      </c>
      <c r="W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V36" si="11">E33-(E34+E35)</f>
        <v>43</v>
      </c>
      <c r="F36" s="13">
        <f t="shared" si="11"/>
        <v>44</v>
      </c>
      <c r="G36" s="13">
        <f t="shared" si="11"/>
        <v>35</v>
      </c>
      <c r="H36" s="13">
        <f t="shared" si="11"/>
        <v>53</v>
      </c>
      <c r="I36" s="13">
        <f t="shared" si="11"/>
        <v>56</v>
      </c>
      <c r="J36" s="13">
        <f t="shared" si="11"/>
        <v>46</v>
      </c>
      <c r="K36" s="13">
        <f t="shared" si="11"/>
        <v>32</v>
      </c>
      <c r="L36" s="13">
        <f t="shared" si="11"/>
        <v>42</v>
      </c>
      <c r="M36" s="13">
        <f t="shared" si="11"/>
        <v>40</v>
      </c>
      <c r="N36" s="13">
        <f t="shared" si="11"/>
        <v>34</v>
      </c>
      <c r="O36" s="13">
        <f t="shared" si="11"/>
        <v>39</v>
      </c>
      <c r="P36" s="13">
        <f t="shared" si="11"/>
        <v>43</v>
      </c>
      <c r="Q36" s="13">
        <f t="shared" si="11"/>
        <v>65</v>
      </c>
      <c r="R36" s="13">
        <f t="shared" si="11"/>
        <v>55</v>
      </c>
      <c r="S36" s="13">
        <f t="shared" si="11"/>
        <v>48</v>
      </c>
      <c r="T36" s="13">
        <f t="shared" si="11"/>
        <v>40</v>
      </c>
      <c r="U36" s="13">
        <f t="shared" si="11"/>
        <v>30</v>
      </c>
      <c r="V36" s="13">
        <f t="shared" si="11"/>
        <v>58</v>
      </c>
      <c r="W36" s="13">
        <f t="shared" si="10"/>
        <v>803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9"/>
      <c r="O37" s="75"/>
      <c r="P37" s="75"/>
      <c r="Q37" s="75"/>
      <c r="R37" s="19"/>
      <c r="S37" s="19"/>
      <c r="T37" s="69"/>
      <c r="U37" s="75"/>
      <c r="V37" s="75"/>
      <c r="W37" s="7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1"/>
      <c r="O38" s="71"/>
      <c r="P38" s="71"/>
      <c r="Q38" s="71"/>
      <c r="R38" s="13"/>
      <c r="S38" s="13"/>
      <c r="T38" s="71"/>
      <c r="U38" s="71"/>
      <c r="V38" s="71"/>
      <c r="W38" s="70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>
        <v>1.0</v>
      </c>
      <c r="P39" s="19"/>
      <c r="Q39" s="19"/>
      <c r="R39" s="19"/>
      <c r="S39" s="19"/>
      <c r="T39" s="19"/>
      <c r="U39" s="19"/>
      <c r="V39" s="19"/>
      <c r="W39" s="13">
        <f t="shared" ref="W39:W41" si="12">SUM(E39:V39)</f>
        <v>1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>
        <v>1.0</v>
      </c>
      <c r="W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V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1</v>
      </c>
      <c r="W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9"/>
      <c r="O42" s="19"/>
      <c r="P42" s="69"/>
      <c r="Q42" s="19"/>
      <c r="R42" s="19"/>
      <c r="S42" s="19"/>
      <c r="T42" s="69"/>
      <c r="U42" s="19"/>
      <c r="V42" s="69"/>
      <c r="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1"/>
      <c r="O43" s="13"/>
      <c r="P43" s="71"/>
      <c r="Q43" s="13"/>
      <c r="R43" s="13"/>
      <c r="S43" s="13"/>
      <c r="T43" s="71"/>
      <c r="U43" s="13"/>
      <c r="V43" s="71"/>
      <c r="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9"/>
      <c r="O44" s="19"/>
      <c r="P44" s="69"/>
      <c r="Q44" s="19"/>
      <c r="R44" s="19"/>
      <c r="S44" s="19"/>
      <c r="T44" s="69"/>
      <c r="U44" s="19"/>
      <c r="V44" s="69"/>
      <c r="W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12.0</v>
      </c>
      <c r="F45" s="19">
        <v>6.0</v>
      </c>
      <c r="G45" s="19">
        <v>9.0</v>
      </c>
      <c r="H45" s="19">
        <v>5.0</v>
      </c>
      <c r="I45" s="19">
        <v>5.0</v>
      </c>
      <c r="J45" s="19">
        <v>12.0</v>
      </c>
      <c r="K45" s="19">
        <v>6.0</v>
      </c>
      <c r="L45" s="19">
        <v>10.0</v>
      </c>
      <c r="M45" s="19">
        <v>14.0</v>
      </c>
      <c r="N45" s="19">
        <v>10.0</v>
      </c>
      <c r="O45" s="19">
        <v>4.0</v>
      </c>
      <c r="P45" s="19">
        <v>16.0</v>
      </c>
      <c r="Q45" s="19">
        <v>13.0</v>
      </c>
      <c r="R45" s="19">
        <v>10.0</v>
      </c>
      <c r="S45" s="19">
        <v>17.0</v>
      </c>
      <c r="T45" s="19">
        <v>6.0</v>
      </c>
      <c r="U45" s="19">
        <v>9.0</v>
      </c>
      <c r="V45" s="19">
        <v>2.0</v>
      </c>
      <c r="W45" s="13">
        <f t="shared" ref="W45:W52" si="14">SUM(E45:V45)</f>
        <v>166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35.0</v>
      </c>
      <c r="F46" s="19">
        <v>29.0</v>
      </c>
      <c r="G46" s="19">
        <v>23.0</v>
      </c>
      <c r="H46" s="19">
        <v>24.0</v>
      </c>
      <c r="I46" s="19">
        <v>17.0</v>
      </c>
      <c r="J46" s="19">
        <v>17.0</v>
      </c>
      <c r="K46" s="19">
        <v>7.0</v>
      </c>
      <c r="L46" s="19">
        <v>23.0</v>
      </c>
      <c r="M46" s="19">
        <v>24.0</v>
      </c>
      <c r="N46" s="19">
        <v>45.0</v>
      </c>
      <c r="O46" s="19">
        <v>29.0</v>
      </c>
      <c r="P46" s="19">
        <v>55.0</v>
      </c>
      <c r="Q46" s="19">
        <v>62.0</v>
      </c>
      <c r="R46" s="19">
        <v>21.0</v>
      </c>
      <c r="S46" s="19">
        <v>31.0</v>
      </c>
      <c r="T46" s="19">
        <v>15.0</v>
      </c>
      <c r="U46" s="19">
        <v>35.0</v>
      </c>
      <c r="V46" s="19">
        <v>9.0</v>
      </c>
      <c r="W46" s="13">
        <f t="shared" si="14"/>
        <v>501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3.0</v>
      </c>
      <c r="G47" s="19">
        <v>1.0</v>
      </c>
      <c r="H47" s="19">
        <v>5.0</v>
      </c>
      <c r="I47" s="19">
        <v>2.0</v>
      </c>
      <c r="J47" s="19">
        <v>0.0</v>
      </c>
      <c r="K47" s="19">
        <v>0.0</v>
      </c>
      <c r="L47" s="19">
        <v>1.0</v>
      </c>
      <c r="M47" s="19">
        <v>1.0</v>
      </c>
      <c r="N47" s="19">
        <v>0.0</v>
      </c>
      <c r="O47" s="19">
        <v>2.0</v>
      </c>
      <c r="P47" s="19">
        <v>1.0</v>
      </c>
      <c r="Q47" s="19">
        <v>0.0</v>
      </c>
      <c r="R47" s="19">
        <v>3.0</v>
      </c>
      <c r="S47" s="19">
        <v>4.0</v>
      </c>
      <c r="T47" s="19">
        <v>2.0</v>
      </c>
      <c r="U47" s="19">
        <v>1.0</v>
      </c>
      <c r="V47" s="19">
        <v>0.0</v>
      </c>
      <c r="W47" s="13">
        <f t="shared" si="14"/>
        <v>27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1.0</v>
      </c>
      <c r="G48" s="19">
        <v>0.0</v>
      </c>
      <c r="H48" s="19">
        <v>0.0</v>
      </c>
      <c r="I48" s="19">
        <v>3.0</v>
      </c>
      <c r="J48" s="19">
        <v>1.0</v>
      </c>
      <c r="K48" s="19">
        <v>0.0</v>
      </c>
      <c r="L48" s="19">
        <v>0.0</v>
      </c>
      <c r="M48" s="19">
        <v>1.0</v>
      </c>
      <c r="N48" s="19">
        <v>1.0</v>
      </c>
      <c r="O48" s="19">
        <v>0.0</v>
      </c>
      <c r="P48" s="19">
        <v>0.0</v>
      </c>
      <c r="Q48" s="19">
        <v>4.0</v>
      </c>
      <c r="R48" s="19">
        <v>0.0</v>
      </c>
      <c r="S48" s="19">
        <v>1.0</v>
      </c>
      <c r="T48" s="19">
        <v>0.0</v>
      </c>
      <c r="U48" s="19">
        <v>0.0</v>
      </c>
      <c r="V48" s="19">
        <v>0.0</v>
      </c>
      <c r="W48" s="13">
        <f t="shared" si="14"/>
        <v>13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1.0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0.0</v>
      </c>
      <c r="N49" s="19">
        <v>2.0</v>
      </c>
      <c r="O49" s="19">
        <v>0.0</v>
      </c>
      <c r="P49" s="19">
        <v>1.0</v>
      </c>
      <c r="Q49" s="19">
        <v>0.0</v>
      </c>
      <c r="R49" s="19">
        <v>0.0</v>
      </c>
      <c r="S49" s="19">
        <v>1.0</v>
      </c>
      <c r="T49" s="19">
        <v>0.0</v>
      </c>
      <c r="U49" s="19">
        <v>1.0</v>
      </c>
      <c r="V49" s="19">
        <v>1.0</v>
      </c>
      <c r="W49" s="13">
        <f t="shared" si="14"/>
        <v>7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2.0</v>
      </c>
      <c r="J50" s="19">
        <v>1.0</v>
      </c>
      <c r="K50" s="19">
        <v>1.0</v>
      </c>
      <c r="L50" s="19">
        <v>0.0</v>
      </c>
      <c r="M50" s="19">
        <v>1.0</v>
      </c>
      <c r="N50" s="19">
        <v>1.0</v>
      </c>
      <c r="O50" s="19">
        <v>1.0</v>
      </c>
      <c r="P50" s="19">
        <v>0.0</v>
      </c>
      <c r="Q50" s="19">
        <v>2.0</v>
      </c>
      <c r="R50" s="19">
        <v>0.0</v>
      </c>
      <c r="S50" s="19">
        <v>0.0</v>
      </c>
      <c r="T50" s="19">
        <v>1.0</v>
      </c>
      <c r="U50" s="19">
        <v>0.0</v>
      </c>
      <c r="V50" s="19">
        <v>0.0</v>
      </c>
      <c r="W50" s="13">
        <f t="shared" si="14"/>
        <v>10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2.0</v>
      </c>
      <c r="K51" s="19">
        <v>0.0</v>
      </c>
      <c r="L51" s="19">
        <v>0.0</v>
      </c>
      <c r="M51" s="19">
        <v>0.0</v>
      </c>
      <c r="N51" s="19">
        <v>0.0</v>
      </c>
      <c r="O51" s="19">
        <v>1.0</v>
      </c>
      <c r="P51" s="19">
        <v>1.0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3">
        <f t="shared" si="14"/>
        <v>4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1.0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1.0</v>
      </c>
      <c r="Q52" s="19">
        <v>0.0</v>
      </c>
      <c r="R52" s="19">
        <v>0.0</v>
      </c>
      <c r="S52" s="19">
        <v>0.0</v>
      </c>
      <c r="T52" s="19">
        <v>1.0</v>
      </c>
      <c r="U52" s="19">
        <v>1.0</v>
      </c>
      <c r="V52" s="19">
        <v>0.0</v>
      </c>
      <c r="W52" s="13">
        <f t="shared" si="14"/>
        <v>4</v>
      </c>
    </row>
    <row r="53" ht="12.75" customHeight="1">
      <c r="A53" s="19" t="s">
        <v>15</v>
      </c>
      <c r="B53" s="47" t="s">
        <v>47</v>
      </c>
      <c r="C53" s="15"/>
      <c r="D53" s="16"/>
      <c r="E53" s="13">
        <f t="shared" ref="E53:W53" si="15">SUM(E45:E52)</f>
        <v>49</v>
      </c>
      <c r="F53" s="13">
        <f t="shared" si="15"/>
        <v>40</v>
      </c>
      <c r="G53" s="13">
        <f t="shared" si="15"/>
        <v>33</v>
      </c>
      <c r="H53" s="13">
        <f t="shared" si="15"/>
        <v>34</v>
      </c>
      <c r="I53" s="13">
        <f t="shared" si="15"/>
        <v>30</v>
      </c>
      <c r="J53" s="13">
        <f t="shared" si="15"/>
        <v>33</v>
      </c>
      <c r="K53" s="13">
        <f t="shared" si="15"/>
        <v>14</v>
      </c>
      <c r="L53" s="13">
        <f t="shared" si="15"/>
        <v>34</v>
      </c>
      <c r="M53" s="13">
        <f t="shared" si="15"/>
        <v>41</v>
      </c>
      <c r="N53" s="13">
        <f t="shared" si="15"/>
        <v>59</v>
      </c>
      <c r="O53" s="13">
        <f t="shared" si="15"/>
        <v>37</v>
      </c>
      <c r="P53" s="13">
        <f t="shared" si="15"/>
        <v>75</v>
      </c>
      <c r="Q53" s="13">
        <f t="shared" si="15"/>
        <v>81</v>
      </c>
      <c r="R53" s="13">
        <f t="shared" si="15"/>
        <v>34</v>
      </c>
      <c r="S53" s="13">
        <f t="shared" si="15"/>
        <v>54</v>
      </c>
      <c r="T53" s="13">
        <f t="shared" si="15"/>
        <v>25</v>
      </c>
      <c r="U53" s="13">
        <f t="shared" si="15"/>
        <v>47</v>
      </c>
      <c r="V53" s="13">
        <f t="shared" si="15"/>
        <v>12</v>
      </c>
      <c r="W53" s="13">
        <f t="shared" si="15"/>
        <v>732</v>
      </c>
    </row>
    <row r="54" ht="12.75" customHeight="1">
      <c r="A54" s="45"/>
      <c r="B54" s="44"/>
      <c r="C54" s="44"/>
      <c r="D54" s="44"/>
      <c r="E54" s="44"/>
      <c r="W54" s="13"/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11.0</v>
      </c>
      <c r="F55" s="19">
        <v>7.0</v>
      </c>
      <c r="G55" s="19">
        <v>8.0</v>
      </c>
      <c r="H55" s="19">
        <v>14.0</v>
      </c>
      <c r="I55" s="19">
        <v>7.0</v>
      </c>
      <c r="J55" s="19">
        <v>10.0</v>
      </c>
      <c r="K55" s="19">
        <v>10.0</v>
      </c>
      <c r="L55" s="19">
        <v>5.0</v>
      </c>
      <c r="M55" s="19">
        <v>9.0</v>
      </c>
      <c r="N55" s="19">
        <v>7.0</v>
      </c>
      <c r="O55" s="19">
        <v>2.0</v>
      </c>
      <c r="P55" s="19">
        <v>8.0</v>
      </c>
      <c r="Q55" s="19">
        <v>6.0</v>
      </c>
      <c r="R55" s="19">
        <v>9.0</v>
      </c>
      <c r="S55" s="19">
        <v>11.0</v>
      </c>
      <c r="T55" s="19">
        <v>12.0</v>
      </c>
      <c r="U55" s="19">
        <v>4.0</v>
      </c>
      <c r="V55" s="19">
        <v>4.0</v>
      </c>
      <c r="W55" s="13">
        <f t="shared" ref="W55:W62" si="16">SUM(E55:V55)</f>
        <v>144</v>
      </c>
    </row>
    <row r="56" ht="12.75" customHeight="1">
      <c r="A56" s="30" t="s">
        <v>39</v>
      </c>
      <c r="B56" s="55">
        <v>1.0</v>
      </c>
      <c r="C56" s="50" t="s">
        <v>49</v>
      </c>
      <c r="D56" s="56"/>
      <c r="E56" s="19">
        <v>13.0</v>
      </c>
      <c r="F56" s="19">
        <v>14.0</v>
      </c>
      <c r="G56" s="19">
        <v>7.0</v>
      </c>
      <c r="H56" s="19">
        <v>26.0</v>
      </c>
      <c r="I56" s="19">
        <v>11.0</v>
      </c>
      <c r="J56" s="19">
        <v>7.0</v>
      </c>
      <c r="K56" s="19">
        <v>6.0</v>
      </c>
      <c r="L56" s="19">
        <v>2.0</v>
      </c>
      <c r="M56" s="19">
        <v>22.0</v>
      </c>
      <c r="N56" s="19">
        <v>8.0</v>
      </c>
      <c r="O56" s="19">
        <v>6.0</v>
      </c>
      <c r="P56" s="19">
        <v>6.0</v>
      </c>
      <c r="Q56" s="19">
        <v>5.0</v>
      </c>
      <c r="R56" s="19">
        <v>10.0</v>
      </c>
      <c r="S56" s="19">
        <v>9.0</v>
      </c>
      <c r="T56" s="19">
        <v>17.0</v>
      </c>
      <c r="U56" s="19">
        <v>5.0</v>
      </c>
      <c r="V56" s="19">
        <v>5.0</v>
      </c>
      <c r="W56" s="13">
        <f t="shared" si="16"/>
        <v>179</v>
      </c>
    </row>
    <row r="57" ht="12.75" customHeight="1">
      <c r="A57" s="18"/>
      <c r="B57" s="55">
        <v>2.0</v>
      </c>
      <c r="C57" s="50" t="s">
        <v>50</v>
      </c>
      <c r="D57" s="56"/>
      <c r="E57" s="19">
        <v>3.0</v>
      </c>
      <c r="F57" s="19">
        <v>2.0</v>
      </c>
      <c r="G57" s="19">
        <v>1.0</v>
      </c>
      <c r="H57" s="19">
        <v>4.0</v>
      </c>
      <c r="I57" s="19">
        <v>1.0</v>
      </c>
      <c r="J57" s="19">
        <v>0.0</v>
      </c>
      <c r="K57" s="19">
        <v>2.0</v>
      </c>
      <c r="L57" s="19">
        <v>1.0</v>
      </c>
      <c r="M57" s="19">
        <v>1.0</v>
      </c>
      <c r="N57" s="19">
        <v>0.0</v>
      </c>
      <c r="O57" s="19">
        <v>2.0</v>
      </c>
      <c r="P57" s="19">
        <v>2.0</v>
      </c>
      <c r="Q57" s="19">
        <v>1.0</v>
      </c>
      <c r="R57" s="19">
        <v>6.0</v>
      </c>
      <c r="S57" s="19">
        <v>1.0</v>
      </c>
      <c r="T57" s="19">
        <v>2.0</v>
      </c>
      <c r="U57" s="19">
        <v>1.0</v>
      </c>
      <c r="V57" s="19">
        <v>1.0</v>
      </c>
      <c r="W57" s="13">
        <f t="shared" si="16"/>
        <v>31</v>
      </c>
    </row>
    <row r="58" ht="12.75" customHeight="1">
      <c r="A58" s="18"/>
      <c r="B58" s="55">
        <v>3.0</v>
      </c>
      <c r="C58" s="50" t="s">
        <v>51</v>
      </c>
      <c r="D58" s="56"/>
      <c r="E58" s="19">
        <v>12.0</v>
      </c>
      <c r="F58" s="19">
        <v>6.0</v>
      </c>
      <c r="G58" s="19">
        <v>1.0</v>
      </c>
      <c r="H58" s="19">
        <v>1.0</v>
      </c>
      <c r="I58" s="19">
        <v>1.0</v>
      </c>
      <c r="J58" s="19">
        <v>0.0</v>
      </c>
      <c r="K58" s="19">
        <v>1.0</v>
      </c>
      <c r="L58" s="19">
        <v>1.0</v>
      </c>
      <c r="M58" s="19">
        <v>0.0</v>
      </c>
      <c r="N58" s="19">
        <v>1.0</v>
      </c>
      <c r="O58" s="19">
        <v>0.0</v>
      </c>
      <c r="P58" s="19">
        <v>0.0</v>
      </c>
      <c r="Q58" s="19">
        <v>0.0</v>
      </c>
      <c r="R58" s="19">
        <v>1.0</v>
      </c>
      <c r="S58" s="19">
        <v>0.0</v>
      </c>
      <c r="T58" s="19">
        <v>0.0</v>
      </c>
      <c r="U58" s="19">
        <v>0.0</v>
      </c>
      <c r="V58" s="19">
        <v>0.0</v>
      </c>
      <c r="W58" s="13">
        <f t="shared" si="16"/>
        <v>25</v>
      </c>
    </row>
    <row r="59" ht="12.75" customHeight="1">
      <c r="A59" s="18"/>
      <c r="B59" s="55">
        <v>4.0</v>
      </c>
      <c r="C59" s="50" t="s">
        <v>52</v>
      </c>
      <c r="D59" s="56"/>
      <c r="E59" s="19">
        <v>0.0</v>
      </c>
      <c r="F59" s="19">
        <v>0.0</v>
      </c>
      <c r="G59" s="19">
        <v>0.0</v>
      </c>
      <c r="H59" s="19">
        <v>0.0</v>
      </c>
      <c r="I59" s="19">
        <v>0.0</v>
      </c>
      <c r="J59" s="19">
        <v>0.0</v>
      </c>
      <c r="K59" s="19">
        <v>0.0</v>
      </c>
      <c r="L59" s="19">
        <v>0.0</v>
      </c>
      <c r="M59" s="19">
        <v>1.0</v>
      </c>
      <c r="N59" s="19">
        <v>1.0</v>
      </c>
      <c r="O59" s="19">
        <v>0.0</v>
      </c>
      <c r="P59" s="19">
        <v>0.0</v>
      </c>
      <c r="Q59" s="19">
        <v>1.0</v>
      </c>
      <c r="R59" s="19">
        <v>2.0</v>
      </c>
      <c r="S59" s="19">
        <v>2.0</v>
      </c>
      <c r="T59" s="19">
        <v>2.0</v>
      </c>
      <c r="U59" s="19">
        <v>1.0</v>
      </c>
      <c r="V59" s="19">
        <v>1.0</v>
      </c>
      <c r="W59" s="13">
        <f t="shared" si="16"/>
        <v>11</v>
      </c>
    </row>
    <row r="60" ht="12.75" customHeight="1">
      <c r="A60" s="18"/>
      <c r="B60" s="55">
        <v>5.0</v>
      </c>
      <c r="C60" s="50" t="s">
        <v>53</v>
      </c>
      <c r="D60" s="56"/>
      <c r="E60" s="19">
        <v>0.0</v>
      </c>
      <c r="F60" s="19">
        <v>0.0</v>
      </c>
      <c r="G60" s="19">
        <v>0.0</v>
      </c>
      <c r="H60" s="19">
        <v>1.0</v>
      </c>
      <c r="I60" s="19">
        <v>0.0</v>
      </c>
      <c r="J60" s="19">
        <v>0.0</v>
      </c>
      <c r="K60" s="19">
        <v>0.0</v>
      </c>
      <c r="L60" s="19">
        <v>0.0</v>
      </c>
      <c r="M60" s="19">
        <v>0.0</v>
      </c>
      <c r="N60" s="19">
        <v>0.0</v>
      </c>
      <c r="O60" s="19">
        <v>0.0</v>
      </c>
      <c r="P60" s="19">
        <v>0.0</v>
      </c>
      <c r="Q60" s="19">
        <v>0.0</v>
      </c>
      <c r="R60" s="19">
        <v>1.0</v>
      </c>
      <c r="S60" s="19">
        <v>1.0</v>
      </c>
      <c r="T60" s="19">
        <v>0.0</v>
      </c>
      <c r="U60" s="19">
        <v>0.0</v>
      </c>
      <c r="V60" s="19">
        <v>1.0</v>
      </c>
      <c r="W60" s="13">
        <f t="shared" si="16"/>
        <v>4</v>
      </c>
    </row>
    <row r="61" ht="12.75" customHeight="1">
      <c r="A61" s="18"/>
      <c r="B61" s="55">
        <v>6.0</v>
      </c>
      <c r="C61" s="50" t="s">
        <v>54</v>
      </c>
      <c r="D61" s="57"/>
      <c r="E61" s="19">
        <v>1.0</v>
      </c>
      <c r="F61" s="19">
        <v>0.0</v>
      </c>
      <c r="G61" s="19">
        <v>0.0</v>
      </c>
      <c r="H61" s="19">
        <v>1.0</v>
      </c>
      <c r="I61" s="19">
        <v>0.0</v>
      </c>
      <c r="J61" s="19">
        <v>1.0</v>
      </c>
      <c r="K61" s="19">
        <v>2.0</v>
      </c>
      <c r="L61" s="19">
        <v>0.0</v>
      </c>
      <c r="M61" s="19">
        <v>0.0</v>
      </c>
      <c r="N61" s="19">
        <v>0.0</v>
      </c>
      <c r="O61" s="19">
        <v>1.0</v>
      </c>
      <c r="P61" s="19">
        <v>0.0</v>
      </c>
      <c r="Q61" s="19">
        <v>1.0</v>
      </c>
      <c r="R61" s="19">
        <v>0.0</v>
      </c>
      <c r="S61" s="19">
        <v>2.0</v>
      </c>
      <c r="T61" s="19">
        <v>0.0</v>
      </c>
      <c r="U61" s="19">
        <v>0.0</v>
      </c>
      <c r="V61" s="19">
        <v>1.0</v>
      </c>
      <c r="W61" s="13">
        <f t="shared" si="16"/>
        <v>10</v>
      </c>
    </row>
    <row r="62" ht="12.75" customHeight="1">
      <c r="A62" s="18"/>
      <c r="B62" s="55">
        <v>7.0</v>
      </c>
      <c r="C62" s="50" t="s">
        <v>55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3">
        <f t="shared" si="16"/>
        <v>0</v>
      </c>
    </row>
    <row r="63" ht="12.75" customHeight="1">
      <c r="A63" s="19" t="s">
        <v>15</v>
      </c>
      <c r="B63" s="47" t="s">
        <v>47</v>
      </c>
      <c r="C63" s="15"/>
      <c r="D63" s="16"/>
      <c r="E63" s="13">
        <f t="shared" ref="E63:W63" si="17">SUM(E55:E62)</f>
        <v>40</v>
      </c>
      <c r="F63" s="13">
        <f t="shared" si="17"/>
        <v>29</v>
      </c>
      <c r="G63" s="13">
        <f t="shared" si="17"/>
        <v>17</v>
      </c>
      <c r="H63" s="13">
        <f t="shared" si="17"/>
        <v>47</v>
      </c>
      <c r="I63" s="13">
        <f t="shared" si="17"/>
        <v>20</v>
      </c>
      <c r="J63" s="13">
        <f t="shared" si="17"/>
        <v>18</v>
      </c>
      <c r="K63" s="13">
        <f t="shared" si="17"/>
        <v>21</v>
      </c>
      <c r="L63" s="13">
        <f t="shared" si="17"/>
        <v>9</v>
      </c>
      <c r="M63" s="13">
        <f t="shared" si="17"/>
        <v>33</v>
      </c>
      <c r="N63" s="13">
        <f t="shared" si="17"/>
        <v>17</v>
      </c>
      <c r="O63" s="13">
        <f t="shared" si="17"/>
        <v>11</v>
      </c>
      <c r="P63" s="13">
        <f t="shared" si="17"/>
        <v>16</v>
      </c>
      <c r="Q63" s="13">
        <f t="shared" si="17"/>
        <v>14</v>
      </c>
      <c r="R63" s="13">
        <f t="shared" si="17"/>
        <v>29</v>
      </c>
      <c r="S63" s="13">
        <f t="shared" si="17"/>
        <v>26</v>
      </c>
      <c r="T63" s="13">
        <f t="shared" si="17"/>
        <v>33</v>
      </c>
      <c r="U63" s="13">
        <f t="shared" si="17"/>
        <v>11</v>
      </c>
      <c r="V63" s="13">
        <f t="shared" si="17"/>
        <v>13</v>
      </c>
      <c r="W63" s="13">
        <f t="shared" si="17"/>
        <v>404</v>
      </c>
    </row>
    <row r="64" ht="12.75" customHeight="1">
      <c r="A64" s="45"/>
      <c r="B64" s="44"/>
      <c r="C64" s="44"/>
      <c r="D64" s="44"/>
      <c r="E64" s="44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15.0</v>
      </c>
      <c r="F65" s="19">
        <v>4.0</v>
      </c>
      <c r="G65" s="19">
        <v>6.0</v>
      </c>
      <c r="H65" s="19">
        <v>7.0</v>
      </c>
      <c r="I65" s="19">
        <v>4.0</v>
      </c>
      <c r="J65" s="19">
        <v>15.0</v>
      </c>
      <c r="K65" s="19">
        <v>7.0</v>
      </c>
      <c r="L65" s="19">
        <v>4.0</v>
      </c>
      <c r="M65" s="19">
        <v>5.0</v>
      </c>
      <c r="N65" s="19">
        <v>12.0</v>
      </c>
      <c r="O65" s="19">
        <v>7.0</v>
      </c>
      <c r="P65" s="19">
        <v>6.0</v>
      </c>
      <c r="Q65" s="19">
        <v>9.0</v>
      </c>
      <c r="R65" s="19">
        <v>13.0</v>
      </c>
      <c r="S65" s="19">
        <v>9.0</v>
      </c>
      <c r="T65" s="19">
        <v>8.0</v>
      </c>
      <c r="U65" s="19">
        <v>5.0</v>
      </c>
      <c r="V65" s="19">
        <v>11.0</v>
      </c>
      <c r="W65" s="13">
        <f t="shared" ref="W65:W72" si="18">SUM(E65:V65)</f>
        <v>147</v>
      </c>
    </row>
    <row r="66" ht="12.75" customHeight="1">
      <c r="A66" s="30" t="s">
        <v>39</v>
      </c>
      <c r="B66" s="55">
        <v>1.0</v>
      </c>
      <c r="C66" s="50" t="s">
        <v>57</v>
      </c>
      <c r="D66" s="57"/>
      <c r="E66" s="19">
        <v>15.0</v>
      </c>
      <c r="F66" s="19">
        <v>16.0</v>
      </c>
      <c r="G66" s="19">
        <v>13.0</v>
      </c>
      <c r="H66" s="19">
        <v>12.0</v>
      </c>
      <c r="I66" s="19">
        <v>10.0</v>
      </c>
      <c r="J66" s="19">
        <v>60.0</v>
      </c>
      <c r="K66" s="19">
        <v>6.0</v>
      </c>
      <c r="L66" s="19">
        <v>3.0</v>
      </c>
      <c r="M66" s="19">
        <v>7.0</v>
      </c>
      <c r="N66" s="19">
        <v>4.0</v>
      </c>
      <c r="O66" s="19">
        <v>3.0</v>
      </c>
      <c r="P66" s="19">
        <v>12.0</v>
      </c>
      <c r="Q66" s="19">
        <v>8.0</v>
      </c>
      <c r="R66" s="19">
        <v>17.0</v>
      </c>
      <c r="S66" s="19">
        <v>9.0</v>
      </c>
      <c r="T66" s="19">
        <v>9.0</v>
      </c>
      <c r="U66" s="19">
        <v>8.0</v>
      </c>
      <c r="V66" s="19">
        <v>6.0</v>
      </c>
      <c r="W66" s="13">
        <f t="shared" si="18"/>
        <v>218</v>
      </c>
    </row>
    <row r="67" ht="12.75" customHeight="1">
      <c r="A67" s="18"/>
      <c r="B67" s="55">
        <v>2.0</v>
      </c>
      <c r="C67" s="50" t="s">
        <v>58</v>
      </c>
      <c r="D67" s="57"/>
      <c r="E67" s="19">
        <v>3.0</v>
      </c>
      <c r="F67" s="19">
        <v>8.0</v>
      </c>
      <c r="G67" s="19">
        <v>5.0</v>
      </c>
      <c r="H67" s="19">
        <v>4.0</v>
      </c>
      <c r="I67" s="19">
        <v>7.0</v>
      </c>
      <c r="J67" s="19">
        <v>6.0</v>
      </c>
      <c r="K67" s="19">
        <v>4.0</v>
      </c>
      <c r="L67" s="19">
        <v>5.0</v>
      </c>
      <c r="M67" s="19">
        <v>4.0</v>
      </c>
      <c r="N67" s="19">
        <v>16.0</v>
      </c>
      <c r="O67" s="19">
        <v>1.0</v>
      </c>
      <c r="P67" s="19">
        <v>7.0</v>
      </c>
      <c r="Q67" s="19">
        <v>3.0</v>
      </c>
      <c r="R67" s="19">
        <v>12.0</v>
      </c>
      <c r="S67" s="19">
        <v>16.0</v>
      </c>
      <c r="T67" s="19">
        <v>9.0</v>
      </c>
      <c r="U67" s="19">
        <v>9.0</v>
      </c>
      <c r="V67" s="19">
        <v>3.0</v>
      </c>
      <c r="W67" s="13">
        <f t="shared" si="18"/>
        <v>122</v>
      </c>
    </row>
    <row r="68" ht="12.75" customHeight="1">
      <c r="A68" s="18"/>
      <c r="B68" s="55">
        <v>3.0</v>
      </c>
      <c r="C68" s="50" t="s">
        <v>59</v>
      </c>
      <c r="D68" s="57"/>
      <c r="E68" s="19">
        <v>2.0</v>
      </c>
      <c r="F68" s="19">
        <v>3.0</v>
      </c>
      <c r="G68" s="19">
        <v>0.0</v>
      </c>
      <c r="H68" s="19">
        <v>2.0</v>
      </c>
      <c r="I68" s="19">
        <v>0.0</v>
      </c>
      <c r="J68" s="19">
        <v>4.0</v>
      </c>
      <c r="K68" s="19">
        <v>1.0</v>
      </c>
      <c r="L68" s="19">
        <v>5.0</v>
      </c>
      <c r="M68" s="19">
        <v>3.0</v>
      </c>
      <c r="N68" s="19">
        <v>3.0</v>
      </c>
      <c r="O68" s="19">
        <v>6.0</v>
      </c>
      <c r="P68" s="19">
        <v>5.0</v>
      </c>
      <c r="Q68" s="19">
        <v>4.0</v>
      </c>
      <c r="R68" s="19">
        <v>2.0</v>
      </c>
      <c r="S68" s="19">
        <v>2.0</v>
      </c>
      <c r="T68" s="19">
        <v>4.0</v>
      </c>
      <c r="U68" s="19">
        <v>5.0</v>
      </c>
      <c r="V68" s="19">
        <v>1.0</v>
      </c>
      <c r="W68" s="13">
        <f t="shared" si="18"/>
        <v>52</v>
      </c>
    </row>
    <row r="69" ht="12.75" customHeight="1">
      <c r="A69" s="18"/>
      <c r="B69" s="55">
        <v>4.0</v>
      </c>
      <c r="C69" s="50" t="s">
        <v>60</v>
      </c>
      <c r="D69" s="57"/>
      <c r="E69" s="19">
        <v>0.0</v>
      </c>
      <c r="F69" s="19">
        <v>0.0</v>
      </c>
      <c r="G69" s="19">
        <v>0.0</v>
      </c>
      <c r="H69" s="19">
        <v>0.0</v>
      </c>
      <c r="I69" s="19">
        <v>1.0</v>
      </c>
      <c r="J69" s="19">
        <v>0.0</v>
      </c>
      <c r="K69" s="19">
        <v>2.0</v>
      </c>
      <c r="L69" s="19">
        <v>0.0</v>
      </c>
      <c r="M69" s="19">
        <v>0.0</v>
      </c>
      <c r="N69" s="19">
        <v>1.0</v>
      </c>
      <c r="O69" s="19">
        <v>0.0</v>
      </c>
      <c r="P69" s="19">
        <v>0.0</v>
      </c>
      <c r="Q69" s="19">
        <v>0.0</v>
      </c>
      <c r="R69" s="19">
        <v>1.0</v>
      </c>
      <c r="S69" s="19">
        <v>1.0</v>
      </c>
      <c r="T69" s="19">
        <v>1.0</v>
      </c>
      <c r="U69" s="19">
        <v>0.0</v>
      </c>
      <c r="V69" s="19">
        <v>0.0</v>
      </c>
      <c r="W69" s="13">
        <f t="shared" si="18"/>
        <v>7</v>
      </c>
    </row>
    <row r="70" ht="12.75" customHeight="1">
      <c r="A70" s="18"/>
      <c r="B70" s="55">
        <v>5.0</v>
      </c>
      <c r="C70" s="50" t="s">
        <v>61</v>
      </c>
      <c r="D70" s="57"/>
      <c r="E70" s="19">
        <v>2.0</v>
      </c>
      <c r="F70" s="19">
        <v>9.0</v>
      </c>
      <c r="G70" s="19">
        <v>9.0</v>
      </c>
      <c r="H70" s="19">
        <v>4.0</v>
      </c>
      <c r="I70" s="19">
        <v>1.0</v>
      </c>
      <c r="J70" s="19">
        <v>7.0</v>
      </c>
      <c r="K70" s="19">
        <v>3.0</v>
      </c>
      <c r="L70" s="19">
        <v>1.0</v>
      </c>
      <c r="M70" s="19">
        <v>3.0</v>
      </c>
      <c r="N70" s="19">
        <v>2.0</v>
      </c>
      <c r="O70" s="19">
        <v>2.0</v>
      </c>
      <c r="P70" s="19">
        <v>0.0</v>
      </c>
      <c r="Q70" s="19">
        <v>7.0</v>
      </c>
      <c r="R70" s="19">
        <v>3.0</v>
      </c>
      <c r="S70" s="19">
        <v>5.0</v>
      </c>
      <c r="T70" s="19">
        <v>1.0</v>
      </c>
      <c r="U70" s="19">
        <v>6.0</v>
      </c>
      <c r="V70" s="19">
        <v>32.0</v>
      </c>
      <c r="W70" s="13">
        <f t="shared" si="18"/>
        <v>97</v>
      </c>
    </row>
    <row r="71" ht="12.75" customHeight="1">
      <c r="A71" s="18"/>
      <c r="B71" s="55">
        <v>6.0</v>
      </c>
      <c r="C71" s="50" t="s">
        <v>62</v>
      </c>
      <c r="D71" s="57"/>
      <c r="E71" s="19">
        <v>0.0</v>
      </c>
      <c r="F71" s="19">
        <v>2.0</v>
      </c>
      <c r="G71" s="19">
        <v>0.0</v>
      </c>
      <c r="H71" s="19">
        <v>1.0</v>
      </c>
      <c r="I71" s="19">
        <v>0.0</v>
      </c>
      <c r="J71" s="19">
        <v>0.0</v>
      </c>
      <c r="K71" s="19">
        <v>1.0</v>
      </c>
      <c r="L71" s="19">
        <v>1.0</v>
      </c>
      <c r="M71" s="19">
        <v>0.0</v>
      </c>
      <c r="N71" s="19">
        <v>0.0</v>
      </c>
      <c r="O71" s="19">
        <v>0.0</v>
      </c>
      <c r="P71" s="19">
        <v>0.0</v>
      </c>
      <c r="Q71" s="19">
        <v>0.0</v>
      </c>
      <c r="R71" s="19">
        <v>0.0</v>
      </c>
      <c r="S71" s="19">
        <v>0.0</v>
      </c>
      <c r="T71" s="19">
        <v>0.0</v>
      </c>
      <c r="U71" s="19">
        <v>0.0</v>
      </c>
      <c r="V71" s="19">
        <v>1.0</v>
      </c>
      <c r="W71" s="13">
        <f t="shared" si="18"/>
        <v>6</v>
      </c>
    </row>
    <row r="72" ht="12.75" customHeight="1">
      <c r="A72" s="18"/>
      <c r="B72" s="55">
        <v>7.0</v>
      </c>
      <c r="C72" s="50" t="s">
        <v>63</v>
      </c>
      <c r="D72" s="57"/>
      <c r="E72" s="19">
        <v>0.0</v>
      </c>
      <c r="F72" s="19">
        <v>0.0</v>
      </c>
      <c r="G72" s="19">
        <v>0.0</v>
      </c>
      <c r="H72" s="19">
        <v>0.0</v>
      </c>
      <c r="I72" s="19">
        <v>0.0</v>
      </c>
      <c r="J72" s="19">
        <v>2.0</v>
      </c>
      <c r="K72" s="19">
        <v>0.0</v>
      </c>
      <c r="L72" s="19">
        <v>0.0</v>
      </c>
      <c r="M72" s="19">
        <v>0.0</v>
      </c>
      <c r="N72" s="19">
        <v>1.0</v>
      </c>
      <c r="O72" s="19">
        <v>0.0</v>
      </c>
      <c r="P72" s="19">
        <v>0.0</v>
      </c>
      <c r="Q72" s="19">
        <v>1.0</v>
      </c>
      <c r="R72" s="19">
        <v>0.0</v>
      </c>
      <c r="S72" s="19">
        <v>0.0</v>
      </c>
      <c r="T72" s="19">
        <v>2.0</v>
      </c>
      <c r="U72" s="19">
        <v>1.0</v>
      </c>
      <c r="V72" s="19">
        <v>0.0</v>
      </c>
      <c r="W72" s="13">
        <f t="shared" si="18"/>
        <v>7</v>
      </c>
    </row>
    <row r="73" ht="12.75" customHeight="1">
      <c r="A73" s="19" t="s">
        <v>15</v>
      </c>
      <c r="B73" s="47" t="s">
        <v>47</v>
      </c>
      <c r="C73" s="15"/>
      <c r="D73" s="16"/>
      <c r="E73" s="13">
        <f t="shared" ref="E73:W73" si="19">SUM(E65:E72)</f>
        <v>37</v>
      </c>
      <c r="F73" s="13">
        <f t="shared" si="19"/>
        <v>42</v>
      </c>
      <c r="G73" s="13">
        <f t="shared" si="19"/>
        <v>33</v>
      </c>
      <c r="H73" s="13">
        <f t="shared" si="19"/>
        <v>30</v>
      </c>
      <c r="I73" s="13">
        <f t="shared" si="19"/>
        <v>23</v>
      </c>
      <c r="J73" s="13">
        <f t="shared" si="19"/>
        <v>94</v>
      </c>
      <c r="K73" s="13">
        <f t="shared" si="19"/>
        <v>24</v>
      </c>
      <c r="L73" s="13">
        <f t="shared" si="19"/>
        <v>19</v>
      </c>
      <c r="M73" s="13">
        <f t="shared" si="19"/>
        <v>22</v>
      </c>
      <c r="N73" s="13">
        <f t="shared" si="19"/>
        <v>39</v>
      </c>
      <c r="O73" s="13">
        <f t="shared" si="19"/>
        <v>19</v>
      </c>
      <c r="P73" s="13">
        <f t="shared" si="19"/>
        <v>30</v>
      </c>
      <c r="Q73" s="13">
        <f t="shared" si="19"/>
        <v>32</v>
      </c>
      <c r="R73" s="13">
        <f t="shared" si="19"/>
        <v>48</v>
      </c>
      <c r="S73" s="13">
        <f t="shared" si="19"/>
        <v>42</v>
      </c>
      <c r="T73" s="13">
        <f t="shared" si="19"/>
        <v>34</v>
      </c>
      <c r="U73" s="13">
        <f t="shared" si="19"/>
        <v>34</v>
      </c>
      <c r="V73" s="13">
        <f t="shared" si="19"/>
        <v>54</v>
      </c>
      <c r="W73" s="13">
        <f t="shared" si="19"/>
        <v>656</v>
      </c>
    </row>
    <row r="74" ht="12.75" customHeight="1">
      <c r="A74" s="45"/>
      <c r="B74" s="44"/>
      <c r="C74" s="44"/>
      <c r="D74" s="44"/>
      <c r="E74" s="44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4.0</v>
      </c>
      <c r="F75" s="19">
        <v>4.0</v>
      </c>
      <c r="G75" s="19">
        <v>4.0</v>
      </c>
      <c r="H75" s="19">
        <v>6.0</v>
      </c>
      <c r="I75" s="19">
        <v>8.0</v>
      </c>
      <c r="J75" s="19">
        <v>8.0</v>
      </c>
      <c r="K75" s="19">
        <v>5.0</v>
      </c>
      <c r="L75" s="19">
        <v>24.0</v>
      </c>
      <c r="M75" s="19">
        <v>6.0</v>
      </c>
      <c r="N75" s="19">
        <v>10.0</v>
      </c>
      <c r="O75" s="19">
        <v>5.0</v>
      </c>
      <c r="P75" s="19">
        <v>4.0</v>
      </c>
      <c r="Q75" s="19">
        <v>1.0</v>
      </c>
      <c r="R75" s="19">
        <v>9.0</v>
      </c>
      <c r="S75" s="19">
        <v>10.0</v>
      </c>
      <c r="T75" s="19">
        <v>3.0</v>
      </c>
      <c r="U75" s="19">
        <v>17.0</v>
      </c>
      <c r="V75" s="19">
        <v>14.0</v>
      </c>
      <c r="W75" s="13">
        <f t="shared" ref="W75:W82" si="20">SUM(E75:V75)</f>
        <v>142</v>
      </c>
    </row>
    <row r="76" ht="12.75" customHeight="1">
      <c r="A76" s="30" t="s">
        <v>39</v>
      </c>
      <c r="B76" s="55">
        <v>1.0</v>
      </c>
      <c r="C76" s="50" t="s">
        <v>65</v>
      </c>
      <c r="D76" s="57"/>
      <c r="E76" s="19">
        <v>14.0</v>
      </c>
      <c r="F76" s="19">
        <v>14.0</v>
      </c>
      <c r="G76" s="19">
        <v>15.0</v>
      </c>
      <c r="H76" s="19">
        <v>10.0</v>
      </c>
      <c r="I76" s="19">
        <v>3.0</v>
      </c>
      <c r="J76" s="19">
        <v>8.0</v>
      </c>
      <c r="K76" s="19">
        <v>6.0</v>
      </c>
      <c r="L76" s="19">
        <v>31.0</v>
      </c>
      <c r="M76" s="19">
        <v>16.0</v>
      </c>
      <c r="N76" s="19">
        <v>14.0</v>
      </c>
      <c r="O76" s="19">
        <v>42.0</v>
      </c>
      <c r="P76" s="19">
        <v>7.0</v>
      </c>
      <c r="Q76" s="19">
        <v>13.0</v>
      </c>
      <c r="R76" s="19">
        <v>15.0</v>
      </c>
      <c r="S76" s="19">
        <v>12.0</v>
      </c>
      <c r="T76" s="19">
        <v>11.0</v>
      </c>
      <c r="U76" s="19">
        <v>5.0</v>
      </c>
      <c r="V76" s="19">
        <v>47.0</v>
      </c>
      <c r="W76" s="13">
        <f t="shared" si="20"/>
        <v>283</v>
      </c>
    </row>
    <row r="77" ht="12.75" customHeight="1">
      <c r="A77" s="18"/>
      <c r="B77" s="55">
        <v>2.0</v>
      </c>
      <c r="C77" s="50" t="s">
        <v>66</v>
      </c>
      <c r="D77" s="57"/>
      <c r="E77" s="19">
        <v>1.0</v>
      </c>
      <c r="F77" s="19">
        <v>0.0</v>
      </c>
      <c r="G77" s="19">
        <v>0.0</v>
      </c>
      <c r="H77" s="19">
        <v>0.0</v>
      </c>
      <c r="I77" s="19">
        <v>0.0</v>
      </c>
      <c r="J77" s="19">
        <v>2.0</v>
      </c>
      <c r="K77" s="19">
        <v>0.0</v>
      </c>
      <c r="L77" s="19">
        <v>3.0</v>
      </c>
      <c r="M77" s="19">
        <v>2.0</v>
      </c>
      <c r="N77" s="19">
        <v>1.0</v>
      </c>
      <c r="O77" s="19">
        <v>2.0</v>
      </c>
      <c r="P77" s="19">
        <v>0.0</v>
      </c>
      <c r="Q77" s="19">
        <v>0.0</v>
      </c>
      <c r="R77" s="19">
        <v>7.0</v>
      </c>
      <c r="S77" s="19">
        <v>10.0</v>
      </c>
      <c r="T77" s="19">
        <v>5.0</v>
      </c>
      <c r="U77" s="19">
        <v>7.0</v>
      </c>
      <c r="V77" s="19">
        <v>8.0</v>
      </c>
      <c r="W77" s="13">
        <f t="shared" si="20"/>
        <v>48</v>
      </c>
    </row>
    <row r="78" ht="12.75" customHeight="1">
      <c r="A78" s="18"/>
      <c r="B78" s="55">
        <v>3.0</v>
      </c>
      <c r="C78" s="50" t="s">
        <v>67</v>
      </c>
      <c r="D78" s="57"/>
      <c r="E78" s="19">
        <v>1.0</v>
      </c>
      <c r="F78" s="19">
        <v>0.0</v>
      </c>
      <c r="G78" s="19">
        <v>0.0</v>
      </c>
      <c r="H78" s="19">
        <v>4.0</v>
      </c>
      <c r="I78" s="19">
        <v>0.0</v>
      </c>
      <c r="J78" s="19">
        <v>0.0</v>
      </c>
      <c r="K78" s="19">
        <v>1.0</v>
      </c>
      <c r="L78" s="19">
        <v>0.0</v>
      </c>
      <c r="M78" s="19">
        <v>1.0</v>
      </c>
      <c r="N78" s="19">
        <v>0.0</v>
      </c>
      <c r="O78" s="19">
        <v>1.0</v>
      </c>
      <c r="P78" s="19">
        <v>1.0</v>
      </c>
      <c r="Q78" s="19">
        <v>1.0</v>
      </c>
      <c r="R78" s="19">
        <v>1.0</v>
      </c>
      <c r="S78" s="19">
        <v>1.0</v>
      </c>
      <c r="T78" s="19">
        <v>1.0</v>
      </c>
      <c r="U78" s="19">
        <v>0.0</v>
      </c>
      <c r="V78" s="19">
        <v>1.0</v>
      </c>
      <c r="W78" s="13">
        <f t="shared" si="20"/>
        <v>14</v>
      </c>
    </row>
    <row r="79" ht="12.75" customHeight="1">
      <c r="A79" s="18"/>
      <c r="B79" s="55">
        <v>4.0</v>
      </c>
      <c r="C79" s="50" t="s">
        <v>68</v>
      </c>
      <c r="D79" s="57"/>
      <c r="E79" s="19">
        <v>0.0</v>
      </c>
      <c r="F79" s="19">
        <v>0.0</v>
      </c>
      <c r="G79" s="19">
        <v>1.0</v>
      </c>
      <c r="H79" s="19">
        <v>0.0</v>
      </c>
      <c r="I79" s="19">
        <v>2.0</v>
      </c>
      <c r="J79" s="19">
        <v>1.0</v>
      </c>
      <c r="K79" s="19">
        <v>0.0</v>
      </c>
      <c r="L79" s="19">
        <v>0.0</v>
      </c>
      <c r="M79" s="19">
        <v>1.0</v>
      </c>
      <c r="N79" s="19">
        <v>1.0</v>
      </c>
      <c r="O79" s="19">
        <v>1.0</v>
      </c>
      <c r="P79" s="19">
        <v>0.0</v>
      </c>
      <c r="Q79" s="19">
        <v>0.0</v>
      </c>
      <c r="R79" s="19">
        <v>0.0</v>
      </c>
      <c r="S79" s="19">
        <v>0.0</v>
      </c>
      <c r="T79" s="19">
        <v>0.0</v>
      </c>
      <c r="U79" s="19">
        <v>0.0</v>
      </c>
      <c r="V79" s="19">
        <v>0.0</v>
      </c>
      <c r="W79" s="13">
        <f t="shared" si="20"/>
        <v>7</v>
      </c>
    </row>
    <row r="80" ht="12.75" customHeight="1">
      <c r="A80" s="18"/>
      <c r="B80" s="55">
        <v>5.0</v>
      </c>
      <c r="C80" s="50" t="s">
        <v>69</v>
      </c>
      <c r="D80" s="57"/>
      <c r="E80" s="19">
        <v>1.0</v>
      </c>
      <c r="F80" s="19">
        <v>0.0</v>
      </c>
      <c r="G80" s="19">
        <v>1.0</v>
      </c>
      <c r="H80" s="19">
        <v>4.0</v>
      </c>
      <c r="I80" s="19">
        <v>5.0</v>
      </c>
      <c r="J80" s="19">
        <v>1.0</v>
      </c>
      <c r="K80" s="19">
        <v>0.0</v>
      </c>
      <c r="L80" s="19">
        <v>0.0</v>
      </c>
      <c r="M80" s="19">
        <v>1.0</v>
      </c>
      <c r="N80" s="19">
        <v>0.0</v>
      </c>
      <c r="O80" s="19">
        <v>0.0</v>
      </c>
      <c r="P80" s="19">
        <v>3.0</v>
      </c>
      <c r="Q80" s="19">
        <v>1.0</v>
      </c>
      <c r="R80" s="19">
        <v>1.0</v>
      </c>
      <c r="S80" s="19">
        <v>0.0</v>
      </c>
      <c r="T80" s="19">
        <v>6.0</v>
      </c>
      <c r="U80" s="19">
        <v>0.0</v>
      </c>
      <c r="V80" s="19">
        <v>1.0</v>
      </c>
      <c r="W80" s="13">
        <f t="shared" si="20"/>
        <v>25</v>
      </c>
    </row>
    <row r="81" ht="12.75" customHeight="1">
      <c r="A81" s="18"/>
      <c r="B81" s="55">
        <v>6.0</v>
      </c>
      <c r="C81" s="50" t="s">
        <v>70</v>
      </c>
      <c r="D81" s="57"/>
      <c r="E81" s="19">
        <v>0.0</v>
      </c>
      <c r="F81" s="19">
        <v>0.0</v>
      </c>
      <c r="G81" s="19">
        <v>0.0</v>
      </c>
      <c r="H81" s="19">
        <v>0.0</v>
      </c>
      <c r="I81" s="19">
        <v>1.0</v>
      </c>
      <c r="J81" s="19">
        <v>0.0</v>
      </c>
      <c r="K81" s="19">
        <v>0.0</v>
      </c>
      <c r="L81" s="19">
        <v>0.0</v>
      </c>
      <c r="M81" s="19">
        <v>0.0</v>
      </c>
      <c r="N81" s="19">
        <v>0.0</v>
      </c>
      <c r="O81" s="19">
        <v>0.0</v>
      </c>
      <c r="P81" s="19">
        <v>1.0</v>
      </c>
      <c r="Q81" s="19">
        <v>0.0</v>
      </c>
      <c r="R81" s="19">
        <v>1.0</v>
      </c>
      <c r="S81" s="19">
        <v>0.0</v>
      </c>
      <c r="T81" s="19">
        <v>0.0</v>
      </c>
      <c r="U81" s="19">
        <v>3.0</v>
      </c>
      <c r="V81" s="19">
        <v>0.0</v>
      </c>
      <c r="W81" s="13">
        <f t="shared" si="20"/>
        <v>6</v>
      </c>
    </row>
    <row r="82" ht="12.75" customHeight="1">
      <c r="A82" s="18"/>
      <c r="B82" s="55">
        <v>7.0</v>
      </c>
      <c r="C82" s="50" t="s">
        <v>71</v>
      </c>
      <c r="D82" s="57"/>
      <c r="E82" s="19">
        <v>0.0</v>
      </c>
      <c r="F82" s="19">
        <v>1.0</v>
      </c>
      <c r="G82" s="19">
        <v>0.0</v>
      </c>
      <c r="H82" s="19">
        <v>0.0</v>
      </c>
      <c r="I82" s="19">
        <v>1.0</v>
      </c>
      <c r="J82" s="19">
        <v>0.0</v>
      </c>
      <c r="K82" s="19">
        <v>0.0</v>
      </c>
      <c r="L82" s="19">
        <v>0.0</v>
      </c>
      <c r="M82" s="19">
        <v>0.0</v>
      </c>
      <c r="N82" s="19">
        <v>0.0</v>
      </c>
      <c r="O82" s="19">
        <v>0.0</v>
      </c>
      <c r="P82" s="19">
        <v>0.0</v>
      </c>
      <c r="Q82" s="19">
        <v>0.0</v>
      </c>
      <c r="R82" s="19">
        <v>0.0</v>
      </c>
      <c r="S82" s="19">
        <v>0.0</v>
      </c>
      <c r="T82" s="19">
        <v>1.0</v>
      </c>
      <c r="U82" s="19">
        <v>0.0</v>
      </c>
      <c r="V82" s="19">
        <v>0.0</v>
      </c>
      <c r="W82" s="13">
        <f t="shared" si="20"/>
        <v>3</v>
      </c>
    </row>
    <row r="83" ht="12.75" customHeight="1">
      <c r="A83" s="19" t="s">
        <v>15</v>
      </c>
      <c r="B83" s="47" t="s">
        <v>47</v>
      </c>
      <c r="C83" s="15"/>
      <c r="D83" s="16"/>
      <c r="E83" s="13">
        <f t="shared" ref="E83:W83" si="21">SUM(E75:E82)</f>
        <v>21</v>
      </c>
      <c r="F83" s="13">
        <f t="shared" si="21"/>
        <v>19</v>
      </c>
      <c r="G83" s="13">
        <f t="shared" si="21"/>
        <v>21</v>
      </c>
      <c r="H83" s="13">
        <f t="shared" si="21"/>
        <v>24</v>
      </c>
      <c r="I83" s="13">
        <f t="shared" si="21"/>
        <v>20</v>
      </c>
      <c r="J83" s="13">
        <f t="shared" si="21"/>
        <v>20</v>
      </c>
      <c r="K83" s="13">
        <f t="shared" si="21"/>
        <v>12</v>
      </c>
      <c r="L83" s="13">
        <f t="shared" si="21"/>
        <v>58</v>
      </c>
      <c r="M83" s="13">
        <f t="shared" si="21"/>
        <v>27</v>
      </c>
      <c r="N83" s="13">
        <f t="shared" si="21"/>
        <v>26</v>
      </c>
      <c r="O83" s="13">
        <f t="shared" si="21"/>
        <v>51</v>
      </c>
      <c r="P83" s="13">
        <f t="shared" si="21"/>
        <v>16</v>
      </c>
      <c r="Q83" s="13">
        <f t="shared" si="21"/>
        <v>16</v>
      </c>
      <c r="R83" s="13">
        <f t="shared" si="21"/>
        <v>34</v>
      </c>
      <c r="S83" s="13">
        <f t="shared" si="21"/>
        <v>33</v>
      </c>
      <c r="T83" s="13">
        <f t="shared" si="21"/>
        <v>27</v>
      </c>
      <c r="U83" s="13">
        <f t="shared" si="21"/>
        <v>32</v>
      </c>
      <c r="V83" s="13">
        <f t="shared" si="21"/>
        <v>71</v>
      </c>
      <c r="W83" s="13">
        <f t="shared" si="21"/>
        <v>528</v>
      </c>
    </row>
    <row r="84" ht="12.75" customHeight="1">
      <c r="A84" s="45"/>
      <c r="B84" s="44"/>
      <c r="C84" s="44"/>
      <c r="D84" s="44"/>
      <c r="E84" s="44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0.0</v>
      </c>
      <c r="F85" s="19">
        <v>1.0</v>
      </c>
      <c r="G85" s="19">
        <v>2.0</v>
      </c>
      <c r="H85" s="19">
        <v>3.0</v>
      </c>
      <c r="I85" s="19">
        <v>3.0</v>
      </c>
      <c r="J85" s="19">
        <v>2.0</v>
      </c>
      <c r="K85" s="19">
        <v>2.0</v>
      </c>
      <c r="L85" s="19">
        <v>0.0</v>
      </c>
      <c r="M85" s="19">
        <v>0.0</v>
      </c>
      <c r="N85" s="19">
        <v>1.0</v>
      </c>
      <c r="O85" s="19">
        <v>0.0</v>
      </c>
      <c r="P85" s="19">
        <v>3.0</v>
      </c>
      <c r="Q85" s="19">
        <v>0.0</v>
      </c>
      <c r="R85" s="19">
        <v>7.0</v>
      </c>
      <c r="S85" s="19">
        <v>3.0</v>
      </c>
      <c r="T85" s="19">
        <v>3.0</v>
      </c>
      <c r="U85" s="19">
        <v>2.0</v>
      </c>
      <c r="V85" s="19">
        <v>0.0</v>
      </c>
      <c r="W85" s="13">
        <f t="shared" ref="W85:W92" si="22">SUM(E85:V85)</f>
        <v>32</v>
      </c>
    </row>
    <row r="86" ht="12.75" customHeight="1">
      <c r="A86" s="30" t="s">
        <v>39</v>
      </c>
      <c r="B86" s="55">
        <v>1.0</v>
      </c>
      <c r="C86" s="50" t="s">
        <v>74</v>
      </c>
      <c r="D86" s="57"/>
      <c r="E86" s="19">
        <v>9.0</v>
      </c>
      <c r="F86" s="19">
        <v>6.0</v>
      </c>
      <c r="G86" s="19">
        <v>8.0</v>
      </c>
      <c r="H86" s="19">
        <v>4.0</v>
      </c>
      <c r="I86" s="19">
        <v>1.0</v>
      </c>
      <c r="J86" s="19">
        <v>2.0</v>
      </c>
      <c r="K86" s="19">
        <v>10.0</v>
      </c>
      <c r="L86" s="19">
        <v>14.0</v>
      </c>
      <c r="M86" s="19">
        <v>0.0</v>
      </c>
      <c r="N86" s="19">
        <v>0.0</v>
      </c>
      <c r="O86" s="19">
        <v>1.0</v>
      </c>
      <c r="P86" s="19">
        <v>5.0</v>
      </c>
      <c r="Q86" s="19">
        <v>3.0</v>
      </c>
      <c r="R86" s="19">
        <v>12.0</v>
      </c>
      <c r="S86" s="19">
        <v>4.0</v>
      </c>
      <c r="T86" s="19">
        <v>4.0</v>
      </c>
      <c r="U86" s="19">
        <v>24.0</v>
      </c>
      <c r="V86" s="19">
        <v>2.0</v>
      </c>
      <c r="W86" s="13">
        <f t="shared" si="22"/>
        <v>109</v>
      </c>
    </row>
    <row r="87" ht="12.75" customHeight="1">
      <c r="A87" s="18"/>
      <c r="B87" s="55">
        <v>2.0</v>
      </c>
      <c r="C87" s="50" t="s">
        <v>75</v>
      </c>
      <c r="D87" s="57"/>
      <c r="E87" s="19">
        <v>7.0</v>
      </c>
      <c r="F87" s="19">
        <v>11.0</v>
      </c>
      <c r="G87" s="19">
        <v>4.0</v>
      </c>
      <c r="H87" s="19">
        <v>1.0</v>
      </c>
      <c r="I87" s="19">
        <v>7.0</v>
      </c>
      <c r="J87" s="19">
        <v>5.0</v>
      </c>
      <c r="K87" s="19">
        <v>1.0</v>
      </c>
      <c r="L87" s="19">
        <v>0.0</v>
      </c>
      <c r="M87" s="19">
        <v>4.0</v>
      </c>
      <c r="N87" s="19">
        <v>5.0</v>
      </c>
      <c r="O87" s="19">
        <v>0.0</v>
      </c>
      <c r="P87" s="19">
        <v>8.0</v>
      </c>
      <c r="Q87" s="19">
        <v>2.0</v>
      </c>
      <c r="R87" s="19">
        <v>10.0</v>
      </c>
      <c r="S87" s="19">
        <v>6.0</v>
      </c>
      <c r="T87" s="19">
        <v>11.0</v>
      </c>
      <c r="U87" s="19">
        <v>9.0</v>
      </c>
      <c r="V87" s="19">
        <v>3.0</v>
      </c>
      <c r="W87" s="13">
        <f t="shared" si="22"/>
        <v>94</v>
      </c>
    </row>
    <row r="88" ht="12.75" customHeight="1">
      <c r="A88" s="18"/>
      <c r="B88" s="55">
        <v>3.0</v>
      </c>
      <c r="C88" s="50" t="s">
        <v>76</v>
      </c>
      <c r="D88" s="57"/>
      <c r="E88" s="19">
        <v>0.0</v>
      </c>
      <c r="F88" s="19">
        <v>1.0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2.0</v>
      </c>
      <c r="U88" s="19">
        <v>0.0</v>
      </c>
      <c r="V88" s="19">
        <v>0.0</v>
      </c>
      <c r="W88" s="13">
        <f t="shared" si="22"/>
        <v>3</v>
      </c>
    </row>
    <row r="89" ht="12.75" customHeight="1">
      <c r="A89" s="18"/>
      <c r="B89" s="55">
        <v>4.0</v>
      </c>
      <c r="C89" s="50" t="s">
        <v>77</v>
      </c>
      <c r="D89" s="57"/>
      <c r="E89" s="19">
        <v>0.0</v>
      </c>
      <c r="F89" s="19">
        <v>1.0</v>
      </c>
      <c r="G89" s="19">
        <v>0.0</v>
      </c>
      <c r="H89" s="19">
        <v>0.0</v>
      </c>
      <c r="I89" s="19">
        <v>0.0</v>
      </c>
      <c r="J89" s="19">
        <v>1.0</v>
      </c>
      <c r="K89" s="19">
        <v>0.0</v>
      </c>
      <c r="L89" s="19">
        <v>0.0</v>
      </c>
      <c r="M89" s="19">
        <v>0.0</v>
      </c>
      <c r="N89" s="19">
        <v>0.0</v>
      </c>
      <c r="O89" s="19">
        <v>0.0</v>
      </c>
      <c r="P89" s="19">
        <v>0.0</v>
      </c>
      <c r="Q89" s="19">
        <v>1.0</v>
      </c>
      <c r="R89" s="19">
        <v>0.0</v>
      </c>
      <c r="S89" s="19">
        <v>0.0</v>
      </c>
      <c r="T89" s="19">
        <v>0.0</v>
      </c>
      <c r="U89" s="19">
        <v>0.0</v>
      </c>
      <c r="V89" s="19">
        <v>0.0</v>
      </c>
      <c r="W89" s="13">
        <f t="shared" si="22"/>
        <v>3</v>
      </c>
    </row>
    <row r="90" ht="12.75" customHeight="1">
      <c r="A90" s="18"/>
      <c r="B90" s="55">
        <v>5.0</v>
      </c>
      <c r="C90" s="50" t="s">
        <v>78</v>
      </c>
      <c r="D90" s="57"/>
      <c r="E90" s="19">
        <v>0.0</v>
      </c>
      <c r="F90" s="19">
        <v>0.0</v>
      </c>
      <c r="G90" s="19">
        <v>0.0</v>
      </c>
      <c r="H90" s="19">
        <v>0.0</v>
      </c>
      <c r="I90" s="19">
        <v>0.0</v>
      </c>
      <c r="J90" s="19">
        <v>0.0</v>
      </c>
      <c r="K90" s="19">
        <v>0.0</v>
      </c>
      <c r="L90" s="19">
        <v>0.0</v>
      </c>
      <c r="M90" s="19">
        <v>0.0</v>
      </c>
      <c r="N90" s="19">
        <v>0.0</v>
      </c>
      <c r="O90" s="19">
        <v>0.0</v>
      </c>
      <c r="P90" s="19">
        <v>16.0</v>
      </c>
      <c r="Q90" s="19">
        <v>0.0</v>
      </c>
      <c r="R90" s="19">
        <v>0.0</v>
      </c>
      <c r="S90" s="19">
        <v>1.0</v>
      </c>
      <c r="T90" s="19">
        <v>0.0</v>
      </c>
      <c r="U90" s="19">
        <v>2.0</v>
      </c>
      <c r="V90" s="19">
        <v>0.0</v>
      </c>
      <c r="W90" s="13">
        <f t="shared" si="22"/>
        <v>19</v>
      </c>
    </row>
    <row r="91" ht="12.75" customHeight="1">
      <c r="A91" s="18"/>
      <c r="B91" s="55">
        <v>6.0</v>
      </c>
      <c r="C91" s="50" t="s">
        <v>79</v>
      </c>
      <c r="D91" s="57"/>
      <c r="E91" s="19">
        <v>2.0</v>
      </c>
      <c r="F91" s="19">
        <v>0.0</v>
      </c>
      <c r="G91" s="19">
        <v>0.0</v>
      </c>
      <c r="H91" s="19">
        <v>1.0</v>
      </c>
      <c r="I91" s="19">
        <v>0.0</v>
      </c>
      <c r="J91" s="19">
        <v>1.0</v>
      </c>
      <c r="K91" s="19">
        <v>0.0</v>
      </c>
      <c r="L91" s="19">
        <v>1.0</v>
      </c>
      <c r="M91" s="19">
        <v>0.0</v>
      </c>
      <c r="N91" s="19">
        <v>1.0</v>
      </c>
      <c r="O91" s="19">
        <v>1.0</v>
      </c>
      <c r="P91" s="19">
        <v>5.0</v>
      </c>
      <c r="Q91" s="19">
        <v>2.0</v>
      </c>
      <c r="R91" s="19">
        <v>0.0</v>
      </c>
      <c r="S91" s="19">
        <v>2.0</v>
      </c>
      <c r="T91" s="19">
        <v>0.0</v>
      </c>
      <c r="U91" s="19">
        <v>2.0</v>
      </c>
      <c r="V91" s="19">
        <v>0.0</v>
      </c>
      <c r="W91" s="13">
        <f t="shared" si="22"/>
        <v>18</v>
      </c>
    </row>
    <row r="92" ht="12.75" customHeight="1">
      <c r="A92" s="18"/>
      <c r="B92" s="55">
        <v>7.0</v>
      </c>
      <c r="C92" s="50" t="s">
        <v>80</v>
      </c>
      <c r="D92" s="57"/>
      <c r="E92" s="19">
        <v>1.0</v>
      </c>
      <c r="F92" s="19">
        <v>0.0</v>
      </c>
      <c r="G92" s="19">
        <v>1.0</v>
      </c>
      <c r="H92" s="19">
        <v>1.0</v>
      </c>
      <c r="I92" s="19">
        <v>0.0</v>
      </c>
      <c r="J92" s="19">
        <v>1.0</v>
      </c>
      <c r="K92" s="19">
        <v>0.0</v>
      </c>
      <c r="L92" s="19">
        <v>0.0</v>
      </c>
      <c r="M92" s="19">
        <v>0.0</v>
      </c>
      <c r="N92" s="19">
        <v>0.0</v>
      </c>
      <c r="O92" s="19">
        <v>0.0</v>
      </c>
      <c r="P92" s="19">
        <v>0.0</v>
      </c>
      <c r="Q92" s="19">
        <v>0.0</v>
      </c>
      <c r="R92" s="19">
        <v>1.0</v>
      </c>
      <c r="S92" s="19">
        <v>1.0</v>
      </c>
      <c r="T92" s="19">
        <v>0.0</v>
      </c>
      <c r="U92" s="19">
        <v>0.0</v>
      </c>
      <c r="V92" s="19">
        <v>0.0</v>
      </c>
      <c r="W92" s="13">
        <f t="shared" si="22"/>
        <v>6</v>
      </c>
    </row>
    <row r="93" ht="12.75" customHeight="1">
      <c r="A93" s="19" t="s">
        <v>15</v>
      </c>
      <c r="B93" s="47" t="s">
        <v>47</v>
      </c>
      <c r="C93" s="15"/>
      <c r="D93" s="16"/>
      <c r="E93" s="13">
        <f t="shared" ref="E93:W93" si="23">SUM(E85:E92)</f>
        <v>19</v>
      </c>
      <c r="F93" s="13">
        <f t="shared" si="23"/>
        <v>20</v>
      </c>
      <c r="G93" s="13">
        <f t="shared" si="23"/>
        <v>15</v>
      </c>
      <c r="H93" s="13">
        <f t="shared" si="23"/>
        <v>10</v>
      </c>
      <c r="I93" s="13">
        <f t="shared" si="23"/>
        <v>11</v>
      </c>
      <c r="J93" s="13">
        <f t="shared" si="23"/>
        <v>12</v>
      </c>
      <c r="K93" s="13">
        <f t="shared" si="23"/>
        <v>13</v>
      </c>
      <c r="L93" s="13">
        <f t="shared" si="23"/>
        <v>15</v>
      </c>
      <c r="M93" s="13">
        <f t="shared" si="23"/>
        <v>4</v>
      </c>
      <c r="N93" s="13">
        <f t="shared" si="23"/>
        <v>7</v>
      </c>
      <c r="O93" s="13">
        <f t="shared" si="23"/>
        <v>2</v>
      </c>
      <c r="P93" s="13">
        <f t="shared" si="23"/>
        <v>37</v>
      </c>
      <c r="Q93" s="13">
        <f t="shared" si="23"/>
        <v>8</v>
      </c>
      <c r="R93" s="13">
        <f t="shared" si="23"/>
        <v>30</v>
      </c>
      <c r="S93" s="13">
        <f t="shared" si="23"/>
        <v>17</v>
      </c>
      <c r="T93" s="13">
        <f t="shared" si="23"/>
        <v>20</v>
      </c>
      <c r="U93" s="13">
        <f t="shared" si="23"/>
        <v>39</v>
      </c>
      <c r="V93" s="13">
        <f t="shared" si="23"/>
        <v>5</v>
      </c>
      <c r="W93" s="13">
        <f t="shared" si="23"/>
        <v>284</v>
      </c>
    </row>
    <row r="94" ht="12.75" customHeight="1">
      <c r="A94" s="45"/>
      <c r="B94" s="44"/>
      <c r="C94" s="44"/>
      <c r="D94" s="44"/>
      <c r="E94" s="44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>
        <v>0.0</v>
      </c>
      <c r="F95" s="19">
        <v>0.0</v>
      </c>
      <c r="G95" s="19">
        <v>1.0</v>
      </c>
      <c r="H95" s="19">
        <v>0.0</v>
      </c>
      <c r="I95" s="19">
        <v>0.0</v>
      </c>
      <c r="J95" s="19">
        <v>1.0</v>
      </c>
      <c r="K95" s="19">
        <v>1.0</v>
      </c>
      <c r="L95" s="19">
        <v>0.0</v>
      </c>
      <c r="M95" s="19">
        <v>0.0</v>
      </c>
      <c r="N95" s="19">
        <v>0.0</v>
      </c>
      <c r="O95" s="19">
        <v>1.0</v>
      </c>
      <c r="P95" s="19">
        <v>3.0</v>
      </c>
      <c r="Q95" s="19">
        <v>2.0</v>
      </c>
      <c r="R95" s="19">
        <v>0.0</v>
      </c>
      <c r="S95" s="19">
        <v>0.0</v>
      </c>
      <c r="T95" s="19">
        <v>1.0</v>
      </c>
      <c r="U95" s="19">
        <v>2.0</v>
      </c>
      <c r="V95" s="19">
        <v>0.0</v>
      </c>
      <c r="W95" s="13">
        <f t="shared" ref="W95:W102" si="24">SUM(E95:V95)</f>
        <v>12</v>
      </c>
    </row>
    <row r="96" ht="12.75" customHeight="1">
      <c r="A96" s="30" t="s">
        <v>39</v>
      </c>
      <c r="B96" s="55">
        <v>1.0</v>
      </c>
      <c r="C96" s="50" t="s">
        <v>83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1.0</v>
      </c>
      <c r="P96" s="19">
        <v>0.0</v>
      </c>
      <c r="Q96" s="19">
        <v>1.0</v>
      </c>
      <c r="R96" s="19">
        <v>1.0</v>
      </c>
      <c r="S96" s="19">
        <v>0.0</v>
      </c>
      <c r="T96" s="19">
        <v>1.0</v>
      </c>
      <c r="U96" s="19">
        <v>0.0</v>
      </c>
      <c r="V96" s="19">
        <v>1.0</v>
      </c>
      <c r="W96" s="13">
        <f t="shared" si="24"/>
        <v>5</v>
      </c>
    </row>
    <row r="97" ht="12.75" customHeight="1">
      <c r="A97" s="18"/>
      <c r="B97" s="55">
        <v>2.0</v>
      </c>
      <c r="C97" s="50" t="s">
        <v>84</v>
      </c>
      <c r="D97" s="57"/>
      <c r="E97" s="19">
        <v>0.0</v>
      </c>
      <c r="F97" s="19">
        <v>0.0</v>
      </c>
      <c r="G97" s="19">
        <v>1.0</v>
      </c>
      <c r="H97" s="19">
        <v>0.0</v>
      </c>
      <c r="I97" s="19">
        <v>0.0</v>
      </c>
      <c r="J97" s="19">
        <v>1.0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1.0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3">
        <f t="shared" si="24"/>
        <v>3</v>
      </c>
    </row>
    <row r="98" ht="12.75" customHeight="1">
      <c r="A98" s="18"/>
      <c r="B98" s="55">
        <v>3.0</v>
      </c>
      <c r="C98" s="50" t="s">
        <v>85</v>
      </c>
      <c r="D98" s="57"/>
      <c r="E98" s="73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1.0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3">
        <f t="shared" si="24"/>
        <v>1</v>
      </c>
    </row>
    <row r="99" ht="12.75" customHeight="1">
      <c r="A99" s="18"/>
      <c r="B99" s="55">
        <v>4.0</v>
      </c>
      <c r="C99" s="50" t="s">
        <v>86</v>
      </c>
      <c r="D99" s="57"/>
      <c r="E99" s="73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1.0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3">
        <f t="shared" si="24"/>
        <v>1</v>
      </c>
    </row>
    <row r="100" ht="12.75" customHeight="1">
      <c r="A100" s="18"/>
      <c r="B100" s="55">
        <v>5.0</v>
      </c>
      <c r="C100" s="50" t="s">
        <v>87</v>
      </c>
      <c r="D100" s="57"/>
      <c r="E100" s="73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2.0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3">
        <f t="shared" si="24"/>
        <v>2</v>
      </c>
    </row>
    <row r="101" ht="12.75" customHeight="1">
      <c r="A101" s="18"/>
      <c r="B101" s="55">
        <v>6.0</v>
      </c>
      <c r="C101" s="50" t="s">
        <v>88</v>
      </c>
      <c r="D101" s="57"/>
      <c r="E101" s="73">
        <v>0.0</v>
      </c>
      <c r="F101" s="19">
        <v>0.0</v>
      </c>
      <c r="G101" s="19">
        <v>0.0</v>
      </c>
      <c r="H101" s="19">
        <v>0.0</v>
      </c>
      <c r="I101" s="19">
        <v>0.0</v>
      </c>
      <c r="J101" s="19">
        <v>0.0</v>
      </c>
      <c r="K101" s="19">
        <v>0.0</v>
      </c>
      <c r="L101" s="19">
        <v>0.0</v>
      </c>
      <c r="M101" s="19">
        <v>0.0</v>
      </c>
      <c r="N101" s="19">
        <v>0.0</v>
      </c>
      <c r="O101" s="19">
        <v>0.0</v>
      </c>
      <c r="P101" s="19">
        <v>0.0</v>
      </c>
      <c r="Q101" s="19">
        <v>0.0</v>
      </c>
      <c r="R101" s="19">
        <v>0.0</v>
      </c>
      <c r="S101" s="19">
        <v>0.0</v>
      </c>
      <c r="T101" s="19">
        <v>0.0</v>
      </c>
      <c r="U101" s="19">
        <v>0.0</v>
      </c>
      <c r="V101" s="19">
        <v>0.0</v>
      </c>
      <c r="W101" s="13">
        <f t="shared" si="24"/>
        <v>0</v>
      </c>
    </row>
    <row r="102" ht="12.75" customHeight="1">
      <c r="A102" s="18"/>
      <c r="B102" s="55">
        <v>7.0</v>
      </c>
      <c r="C102" s="50" t="s">
        <v>89</v>
      </c>
      <c r="D102" s="57"/>
      <c r="E102" s="73">
        <v>0.0</v>
      </c>
      <c r="F102" s="19">
        <v>0.0</v>
      </c>
      <c r="G102" s="19">
        <v>0.0</v>
      </c>
      <c r="H102" s="19">
        <v>0.0</v>
      </c>
      <c r="I102" s="19">
        <v>1.0</v>
      </c>
      <c r="J102" s="19">
        <v>0.0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0.0</v>
      </c>
      <c r="R102" s="19">
        <v>0.0</v>
      </c>
      <c r="S102" s="19">
        <v>0.0</v>
      </c>
      <c r="T102" s="19">
        <v>0.0</v>
      </c>
      <c r="U102" s="19">
        <v>0.0</v>
      </c>
      <c r="V102" s="19">
        <v>0.0</v>
      </c>
      <c r="W102" s="13">
        <f t="shared" si="24"/>
        <v>1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W103" si="25">SUM(E95:E102)</f>
        <v>0</v>
      </c>
      <c r="F103" s="13">
        <f t="shared" si="25"/>
        <v>0</v>
      </c>
      <c r="G103" s="13">
        <f t="shared" si="25"/>
        <v>2</v>
      </c>
      <c r="H103" s="13">
        <f t="shared" si="25"/>
        <v>0</v>
      </c>
      <c r="I103" s="13">
        <f t="shared" si="25"/>
        <v>1</v>
      </c>
      <c r="J103" s="13">
        <f t="shared" si="25"/>
        <v>2</v>
      </c>
      <c r="K103" s="13">
        <f t="shared" si="25"/>
        <v>1</v>
      </c>
      <c r="L103" s="13">
        <f t="shared" si="25"/>
        <v>0</v>
      </c>
      <c r="M103" s="13">
        <f t="shared" si="25"/>
        <v>0</v>
      </c>
      <c r="N103" s="13">
        <f t="shared" si="25"/>
        <v>0</v>
      </c>
      <c r="O103" s="13">
        <f t="shared" si="25"/>
        <v>2</v>
      </c>
      <c r="P103" s="13">
        <f t="shared" si="25"/>
        <v>5</v>
      </c>
      <c r="Q103" s="13">
        <f t="shared" si="25"/>
        <v>6</v>
      </c>
      <c r="R103" s="13">
        <f t="shared" si="25"/>
        <v>1</v>
      </c>
      <c r="S103" s="13">
        <f t="shared" si="25"/>
        <v>0</v>
      </c>
      <c r="T103" s="13">
        <f t="shared" si="25"/>
        <v>2</v>
      </c>
      <c r="U103" s="13">
        <f t="shared" si="25"/>
        <v>2</v>
      </c>
      <c r="V103" s="13">
        <f t="shared" si="25"/>
        <v>1</v>
      </c>
      <c r="W103" s="13">
        <f t="shared" si="25"/>
        <v>25</v>
      </c>
    </row>
    <row r="104" ht="12.75" customHeight="1">
      <c r="A104" s="24"/>
      <c r="B104" s="15"/>
      <c r="C104" s="15"/>
      <c r="D104" s="15"/>
      <c r="E104" s="16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13"/>
    </row>
    <row r="105" ht="12.75" customHeight="1">
      <c r="A105" s="30" t="s">
        <v>37</v>
      </c>
      <c r="B105" s="47" t="s">
        <v>90</v>
      </c>
      <c r="C105" s="48" t="s">
        <v>91</v>
      </c>
      <c r="D105" s="16"/>
      <c r="E105" s="19">
        <v>1.0</v>
      </c>
      <c r="F105" s="19">
        <v>2.0</v>
      </c>
      <c r="G105" s="19">
        <v>0.0</v>
      </c>
      <c r="H105" s="19">
        <v>0.0</v>
      </c>
      <c r="I105" s="19">
        <v>4.0</v>
      </c>
      <c r="J105" s="19">
        <v>2.0</v>
      </c>
      <c r="K105" s="19">
        <v>0.0</v>
      </c>
      <c r="L105" s="19">
        <v>0.0</v>
      </c>
      <c r="M105" s="19">
        <v>1.0</v>
      </c>
      <c r="N105" s="19">
        <v>1.0</v>
      </c>
      <c r="O105" s="19">
        <v>0.0</v>
      </c>
      <c r="P105" s="19">
        <v>1.0</v>
      </c>
      <c r="Q105" s="19">
        <v>2.0</v>
      </c>
      <c r="R105" s="19">
        <v>1.0</v>
      </c>
      <c r="S105" s="19">
        <v>2.0</v>
      </c>
      <c r="T105" s="19">
        <v>2.0</v>
      </c>
      <c r="U105" s="19">
        <v>2.0</v>
      </c>
      <c r="V105" s="19">
        <v>0.0</v>
      </c>
      <c r="W105" s="13">
        <f t="shared" ref="W105:W108" si="26">SUM(E105:V105)</f>
        <v>21</v>
      </c>
    </row>
    <row r="106" ht="12.75" customHeight="1">
      <c r="A106" s="30" t="s">
        <v>39</v>
      </c>
      <c r="B106" s="55">
        <v>1.0</v>
      </c>
      <c r="C106" s="50" t="s">
        <v>92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1.0</v>
      </c>
      <c r="L106" s="19">
        <v>0.0</v>
      </c>
      <c r="M106" s="19">
        <v>0.0</v>
      </c>
      <c r="N106" s="19">
        <v>1.0</v>
      </c>
      <c r="O106" s="19">
        <v>0.0</v>
      </c>
      <c r="P106" s="19">
        <v>0.0</v>
      </c>
      <c r="Q106" s="19">
        <v>0.0</v>
      </c>
      <c r="R106" s="19">
        <v>5.0</v>
      </c>
      <c r="S106" s="19">
        <v>3.0</v>
      </c>
      <c r="T106" s="19">
        <v>5.0</v>
      </c>
      <c r="U106" s="19">
        <v>2.0</v>
      </c>
      <c r="V106" s="19">
        <v>1.0</v>
      </c>
      <c r="W106" s="13">
        <f t="shared" si="26"/>
        <v>18</v>
      </c>
    </row>
    <row r="107" ht="12.75" customHeight="1">
      <c r="A107" s="18"/>
      <c r="B107" s="55">
        <v>2.0</v>
      </c>
      <c r="C107" s="50" t="s">
        <v>93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3.0</v>
      </c>
      <c r="J107" s="19">
        <v>0.0</v>
      </c>
      <c r="K107" s="19">
        <v>1.0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3">
        <f t="shared" si="26"/>
        <v>4</v>
      </c>
    </row>
    <row r="108" ht="12.75" customHeight="1">
      <c r="A108" s="18"/>
      <c r="B108" s="55">
        <v>3.0</v>
      </c>
      <c r="C108" s="50" t="s">
        <v>94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1.0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3">
        <f t="shared" si="26"/>
        <v>1</v>
      </c>
    </row>
    <row r="109" ht="12.75" customHeight="1">
      <c r="A109" s="19" t="s">
        <v>15</v>
      </c>
      <c r="B109" s="47" t="s">
        <v>47</v>
      </c>
      <c r="C109" s="15"/>
      <c r="D109" s="16"/>
      <c r="E109" s="13">
        <f t="shared" ref="E109:W109" si="27">SUM(E105:E108)</f>
        <v>1</v>
      </c>
      <c r="F109" s="13">
        <f t="shared" si="27"/>
        <v>2</v>
      </c>
      <c r="G109" s="13">
        <f t="shared" si="27"/>
        <v>0</v>
      </c>
      <c r="H109" s="13">
        <f t="shared" si="27"/>
        <v>0</v>
      </c>
      <c r="I109" s="13">
        <f t="shared" si="27"/>
        <v>7</v>
      </c>
      <c r="J109" s="13">
        <f t="shared" si="27"/>
        <v>2</v>
      </c>
      <c r="K109" s="13">
        <f t="shared" si="27"/>
        <v>2</v>
      </c>
      <c r="L109" s="13">
        <f t="shared" si="27"/>
        <v>0</v>
      </c>
      <c r="M109" s="13">
        <f t="shared" si="27"/>
        <v>1</v>
      </c>
      <c r="N109" s="13">
        <f t="shared" si="27"/>
        <v>2</v>
      </c>
      <c r="O109" s="13">
        <f t="shared" si="27"/>
        <v>0</v>
      </c>
      <c r="P109" s="13">
        <f t="shared" si="27"/>
        <v>2</v>
      </c>
      <c r="Q109" s="13">
        <f t="shared" si="27"/>
        <v>2</v>
      </c>
      <c r="R109" s="13">
        <f t="shared" si="27"/>
        <v>6</v>
      </c>
      <c r="S109" s="13">
        <f t="shared" si="27"/>
        <v>5</v>
      </c>
      <c r="T109" s="13">
        <f t="shared" si="27"/>
        <v>7</v>
      </c>
      <c r="U109" s="13">
        <f t="shared" si="27"/>
        <v>4</v>
      </c>
      <c r="V109" s="13">
        <f t="shared" si="27"/>
        <v>1</v>
      </c>
      <c r="W109" s="13">
        <f t="shared" si="27"/>
        <v>44</v>
      </c>
    </row>
    <row r="110" ht="12.75" customHeight="1">
      <c r="A110" s="24"/>
      <c r="B110" s="15"/>
      <c r="C110" s="15"/>
      <c r="D110" s="15"/>
      <c r="E110" s="16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</row>
    <row r="111" ht="12.75" customHeight="1">
      <c r="A111" s="30" t="s">
        <v>37</v>
      </c>
      <c r="B111" s="47" t="s">
        <v>95</v>
      </c>
      <c r="C111" s="48" t="s">
        <v>96</v>
      </c>
      <c r="D111" s="16"/>
      <c r="E111" s="19">
        <v>1.0</v>
      </c>
      <c r="F111" s="19">
        <v>2.0</v>
      </c>
      <c r="G111" s="19">
        <v>0.0</v>
      </c>
      <c r="H111" s="19">
        <v>2.0</v>
      </c>
      <c r="I111" s="19">
        <v>2.0</v>
      </c>
      <c r="J111" s="19">
        <v>0.0</v>
      </c>
      <c r="K111" s="19">
        <v>0.0</v>
      </c>
      <c r="L111" s="19">
        <v>1.0</v>
      </c>
      <c r="M111" s="19">
        <v>4.0</v>
      </c>
      <c r="N111" s="19">
        <v>1.0</v>
      </c>
      <c r="O111" s="19">
        <v>0.0</v>
      </c>
      <c r="P111" s="19">
        <v>0.0</v>
      </c>
      <c r="Q111" s="19">
        <v>2.0</v>
      </c>
      <c r="R111" s="19">
        <v>0.0</v>
      </c>
      <c r="S111" s="19">
        <v>0.0</v>
      </c>
      <c r="T111" s="19">
        <v>1.0</v>
      </c>
      <c r="U111" s="19">
        <v>0.0</v>
      </c>
      <c r="V111" s="19">
        <v>3.0</v>
      </c>
      <c r="W111" s="13">
        <f t="shared" ref="W111:W118" si="28">SUM(E111:V111)</f>
        <v>19</v>
      </c>
    </row>
    <row r="112" ht="12.75" customHeight="1">
      <c r="A112" s="30" t="s">
        <v>39</v>
      </c>
      <c r="B112" s="55">
        <v>1.0</v>
      </c>
      <c r="C112" s="50" t="s">
        <v>97</v>
      </c>
      <c r="D112" s="56"/>
      <c r="E112" s="19">
        <v>2.0</v>
      </c>
      <c r="F112" s="19">
        <v>3.0</v>
      </c>
      <c r="G112" s="19">
        <v>1.0</v>
      </c>
      <c r="H112" s="19">
        <v>1.0</v>
      </c>
      <c r="I112" s="19">
        <v>2.0</v>
      </c>
      <c r="J112" s="19">
        <v>0.0</v>
      </c>
      <c r="K112" s="19">
        <v>1.0</v>
      </c>
      <c r="L112" s="19">
        <v>0.0</v>
      </c>
      <c r="M112" s="19">
        <v>2.0</v>
      </c>
      <c r="N112" s="19">
        <v>3.0</v>
      </c>
      <c r="O112" s="19">
        <v>0.0</v>
      </c>
      <c r="P112" s="19">
        <v>3.0</v>
      </c>
      <c r="Q112" s="19">
        <v>0.0</v>
      </c>
      <c r="R112" s="19">
        <v>0.0</v>
      </c>
      <c r="S112" s="19">
        <v>0.0</v>
      </c>
      <c r="T112" s="19">
        <v>3.0</v>
      </c>
      <c r="U112" s="19">
        <v>1.0</v>
      </c>
      <c r="V112" s="19">
        <v>2.0</v>
      </c>
      <c r="W112" s="13">
        <f t="shared" si="28"/>
        <v>24</v>
      </c>
    </row>
    <row r="113" ht="12.75" customHeight="1">
      <c r="A113" s="18"/>
      <c r="B113" s="55">
        <v>2.0</v>
      </c>
      <c r="C113" s="50" t="s">
        <v>98</v>
      </c>
      <c r="D113" s="56"/>
      <c r="E113" s="19">
        <v>2.0</v>
      </c>
      <c r="F113" s="19">
        <v>0.0</v>
      </c>
      <c r="G113" s="19">
        <v>0.0</v>
      </c>
      <c r="H113" s="19">
        <v>0.0</v>
      </c>
      <c r="I113" s="19">
        <v>0.0</v>
      </c>
      <c r="J113" s="19">
        <v>0.0</v>
      </c>
      <c r="K113" s="19">
        <v>0.0</v>
      </c>
      <c r="L113" s="19">
        <v>0.0</v>
      </c>
      <c r="M113" s="19">
        <v>2.0</v>
      </c>
      <c r="N113" s="19">
        <v>5.0</v>
      </c>
      <c r="O113" s="19">
        <v>0.0</v>
      </c>
      <c r="P113" s="19">
        <v>0.0</v>
      </c>
      <c r="Q113" s="19">
        <v>0.0</v>
      </c>
      <c r="R113" s="19">
        <v>0.0</v>
      </c>
      <c r="S113" s="19">
        <v>2.0</v>
      </c>
      <c r="T113" s="19">
        <v>0.0</v>
      </c>
      <c r="U113" s="19">
        <v>0.0</v>
      </c>
      <c r="V113" s="19">
        <v>3.0</v>
      </c>
      <c r="W113" s="13">
        <f t="shared" si="28"/>
        <v>14</v>
      </c>
    </row>
    <row r="114" ht="12.75" customHeight="1">
      <c r="A114" s="18"/>
      <c r="B114" s="55">
        <v>3.0</v>
      </c>
      <c r="C114" s="50" t="s">
        <v>99</v>
      </c>
      <c r="D114" s="56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2.0</v>
      </c>
      <c r="Q114" s="19">
        <v>0.0</v>
      </c>
      <c r="R114" s="19">
        <v>0.0</v>
      </c>
      <c r="S114" s="19">
        <v>0.0</v>
      </c>
      <c r="T114" s="19">
        <v>0.0</v>
      </c>
      <c r="U114" s="19">
        <v>0.0</v>
      </c>
      <c r="V114" s="19">
        <v>0.0</v>
      </c>
      <c r="W114" s="13">
        <f t="shared" si="28"/>
        <v>2</v>
      </c>
    </row>
    <row r="115" ht="12.75" customHeight="1">
      <c r="A115" s="18"/>
      <c r="B115" s="55">
        <v>4.0</v>
      </c>
      <c r="C115" s="50" t="s">
        <v>100</v>
      </c>
      <c r="D115" s="56"/>
      <c r="E115" s="19">
        <v>0.0</v>
      </c>
      <c r="F115" s="19">
        <v>0.0</v>
      </c>
      <c r="G115" s="19">
        <v>0.0</v>
      </c>
      <c r="H115" s="19">
        <v>0.0</v>
      </c>
      <c r="I115" s="19">
        <v>0.0</v>
      </c>
      <c r="J115" s="19">
        <v>1.0</v>
      </c>
      <c r="K115" s="19">
        <v>0.0</v>
      </c>
      <c r="L115" s="19">
        <v>0.0</v>
      </c>
      <c r="M115" s="19">
        <v>0.0</v>
      </c>
      <c r="N115" s="19">
        <v>0.0</v>
      </c>
      <c r="O115" s="19">
        <v>0.0</v>
      </c>
      <c r="P115" s="19">
        <v>0.0</v>
      </c>
      <c r="Q115" s="19">
        <v>0.0</v>
      </c>
      <c r="R115" s="19">
        <v>0.0</v>
      </c>
      <c r="S115" s="19">
        <v>0.0</v>
      </c>
      <c r="T115" s="19">
        <v>0.0</v>
      </c>
      <c r="U115" s="19">
        <v>0.0</v>
      </c>
      <c r="V115" s="19">
        <v>0.0</v>
      </c>
      <c r="W115" s="13">
        <f t="shared" si="28"/>
        <v>1</v>
      </c>
    </row>
    <row r="116" ht="12.75" customHeight="1">
      <c r="A116" s="18"/>
      <c r="B116" s="55">
        <v>5.0</v>
      </c>
      <c r="C116" s="50" t="s">
        <v>101</v>
      </c>
      <c r="D116" s="56"/>
      <c r="E116" s="19">
        <v>0.0</v>
      </c>
      <c r="F116" s="19">
        <v>0.0</v>
      </c>
      <c r="G116" s="19">
        <v>0.0</v>
      </c>
      <c r="H116" s="19">
        <v>0.0</v>
      </c>
      <c r="I116" s="19">
        <v>0.0</v>
      </c>
      <c r="J116" s="19">
        <v>0.0</v>
      </c>
      <c r="K116" s="19">
        <v>0.0</v>
      </c>
      <c r="L116" s="19">
        <v>0.0</v>
      </c>
      <c r="M116" s="19">
        <v>0.0</v>
      </c>
      <c r="N116" s="19">
        <v>0.0</v>
      </c>
      <c r="O116" s="19">
        <v>0.0</v>
      </c>
      <c r="P116" s="19">
        <v>0.0</v>
      </c>
      <c r="Q116" s="19">
        <v>0.0</v>
      </c>
      <c r="R116" s="19">
        <v>0.0</v>
      </c>
      <c r="S116" s="19">
        <v>0.0</v>
      </c>
      <c r="T116" s="19">
        <v>0.0</v>
      </c>
      <c r="U116" s="19">
        <v>0.0</v>
      </c>
      <c r="V116" s="19">
        <v>0.0</v>
      </c>
      <c r="W116" s="13">
        <f t="shared" si="28"/>
        <v>0</v>
      </c>
    </row>
    <row r="117" ht="12.75" customHeight="1">
      <c r="A117" s="18"/>
      <c r="B117" s="55">
        <v>6.0</v>
      </c>
      <c r="C117" s="50" t="s">
        <v>102</v>
      </c>
      <c r="D117" s="57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3">
        <f t="shared" si="28"/>
        <v>0</v>
      </c>
    </row>
    <row r="118" ht="12.75" customHeight="1">
      <c r="A118" s="18"/>
      <c r="B118" s="55">
        <v>7.0</v>
      </c>
      <c r="C118" s="50" t="s">
        <v>103</v>
      </c>
      <c r="D118" s="56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3">
        <f t="shared" si="28"/>
        <v>0</v>
      </c>
    </row>
    <row r="119" ht="12.75" customHeight="1">
      <c r="A119" s="19" t="s">
        <v>15</v>
      </c>
      <c r="B119" s="47" t="s">
        <v>47</v>
      </c>
      <c r="C119" s="15"/>
      <c r="D119" s="16"/>
      <c r="E119" s="13">
        <f t="shared" ref="E119:W119" si="29">SUM(E111:E118)</f>
        <v>5</v>
      </c>
      <c r="F119" s="13">
        <f t="shared" si="29"/>
        <v>5</v>
      </c>
      <c r="G119" s="13">
        <f t="shared" si="29"/>
        <v>1</v>
      </c>
      <c r="H119" s="13">
        <f t="shared" si="29"/>
        <v>3</v>
      </c>
      <c r="I119" s="13">
        <f t="shared" si="29"/>
        <v>4</v>
      </c>
      <c r="J119" s="13">
        <f t="shared" si="29"/>
        <v>1</v>
      </c>
      <c r="K119" s="13">
        <f t="shared" si="29"/>
        <v>1</v>
      </c>
      <c r="L119" s="13">
        <f t="shared" si="29"/>
        <v>1</v>
      </c>
      <c r="M119" s="13">
        <f t="shared" si="29"/>
        <v>8</v>
      </c>
      <c r="N119" s="13">
        <f t="shared" si="29"/>
        <v>9</v>
      </c>
      <c r="O119" s="13">
        <f t="shared" si="29"/>
        <v>0</v>
      </c>
      <c r="P119" s="13">
        <f t="shared" si="29"/>
        <v>5</v>
      </c>
      <c r="Q119" s="13">
        <f t="shared" si="29"/>
        <v>2</v>
      </c>
      <c r="R119" s="13">
        <f t="shared" si="29"/>
        <v>0</v>
      </c>
      <c r="S119" s="13">
        <f t="shared" si="29"/>
        <v>2</v>
      </c>
      <c r="T119" s="13">
        <f t="shared" si="29"/>
        <v>4</v>
      </c>
      <c r="U119" s="13">
        <f t="shared" si="29"/>
        <v>1</v>
      </c>
      <c r="V119" s="13">
        <f t="shared" si="29"/>
        <v>8</v>
      </c>
      <c r="W119" s="13">
        <f t="shared" si="29"/>
        <v>60</v>
      </c>
    </row>
    <row r="120" ht="12.75" customHeight="1">
      <c r="A120" s="24"/>
      <c r="B120" s="15"/>
      <c r="C120" s="15"/>
      <c r="D120" s="15"/>
      <c r="E120" s="16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</row>
    <row r="121" ht="12.75" customHeight="1">
      <c r="A121" s="30" t="s">
        <v>37</v>
      </c>
      <c r="B121" s="47" t="s">
        <v>104</v>
      </c>
      <c r="C121" s="48" t="s">
        <v>105</v>
      </c>
      <c r="D121" s="16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1.0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3">
        <f t="shared" ref="W121:W128" si="30">SUM(E121:V121)</f>
        <v>1</v>
      </c>
    </row>
    <row r="122" ht="12.75" customHeight="1">
      <c r="A122" s="30" t="s">
        <v>39</v>
      </c>
      <c r="B122" s="55">
        <v>1.0</v>
      </c>
      <c r="C122" s="50" t="s">
        <v>106</v>
      </c>
      <c r="D122" s="57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9">
        <v>0.0</v>
      </c>
      <c r="T122" s="19">
        <v>0.0</v>
      </c>
      <c r="U122" s="19">
        <v>0.0</v>
      </c>
      <c r="V122" s="19">
        <v>0.0</v>
      </c>
      <c r="W122" s="13">
        <f t="shared" si="30"/>
        <v>0</v>
      </c>
    </row>
    <row r="123" ht="12.75" customHeight="1">
      <c r="A123" s="18"/>
      <c r="B123" s="55">
        <v>2.0</v>
      </c>
      <c r="C123" s="50" t="s">
        <v>107</v>
      </c>
      <c r="D123" s="57"/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1.0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9">
        <v>0.0</v>
      </c>
      <c r="W123" s="13">
        <f t="shared" si="30"/>
        <v>1</v>
      </c>
    </row>
    <row r="124" ht="12.75" customHeight="1">
      <c r="A124" s="18"/>
      <c r="B124" s="55">
        <v>3.0</v>
      </c>
      <c r="C124" s="50" t="s">
        <v>108</v>
      </c>
      <c r="D124" s="57"/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9">
        <v>0.0</v>
      </c>
      <c r="S124" s="19">
        <v>0.0</v>
      </c>
      <c r="T124" s="19">
        <v>0.0</v>
      </c>
      <c r="U124" s="19">
        <v>0.0</v>
      </c>
      <c r="V124" s="19">
        <v>0.0</v>
      </c>
      <c r="W124" s="13">
        <f t="shared" si="30"/>
        <v>0</v>
      </c>
    </row>
    <row r="125" ht="12.75" customHeight="1">
      <c r="A125" s="18"/>
      <c r="B125" s="55">
        <v>4.0</v>
      </c>
      <c r="C125" s="50" t="s">
        <v>109</v>
      </c>
      <c r="D125" s="57"/>
      <c r="E125" s="19">
        <v>0.0</v>
      </c>
      <c r="F125" s="19">
        <v>0.0</v>
      </c>
      <c r="G125" s="19">
        <v>0.0</v>
      </c>
      <c r="H125" s="19">
        <v>0.0</v>
      </c>
      <c r="I125" s="19">
        <v>0.0</v>
      </c>
      <c r="J125" s="19">
        <v>0.0</v>
      </c>
      <c r="K125" s="19">
        <v>0.0</v>
      </c>
      <c r="L125" s="19">
        <v>0.0</v>
      </c>
      <c r="M125" s="19">
        <v>0.0</v>
      </c>
      <c r="N125" s="19">
        <v>0.0</v>
      </c>
      <c r="O125" s="19">
        <v>0.0</v>
      </c>
      <c r="P125" s="19">
        <v>0.0</v>
      </c>
      <c r="Q125" s="19">
        <v>0.0</v>
      </c>
      <c r="R125" s="19">
        <v>0.0</v>
      </c>
      <c r="S125" s="19">
        <v>0.0</v>
      </c>
      <c r="T125" s="19">
        <v>0.0</v>
      </c>
      <c r="U125" s="19">
        <v>0.0</v>
      </c>
      <c r="V125" s="19">
        <v>0.0</v>
      </c>
      <c r="W125" s="13">
        <f t="shared" si="30"/>
        <v>0</v>
      </c>
    </row>
    <row r="126" ht="12.75" customHeight="1">
      <c r="A126" s="18"/>
      <c r="B126" s="55">
        <v>5.0</v>
      </c>
      <c r="C126" s="50" t="s">
        <v>110</v>
      </c>
      <c r="D126" s="57"/>
      <c r="E126" s="19">
        <v>0.0</v>
      </c>
      <c r="F126" s="19">
        <v>0.0</v>
      </c>
      <c r="G126" s="19">
        <v>0.0</v>
      </c>
      <c r="H126" s="19">
        <v>0.0</v>
      </c>
      <c r="I126" s="19">
        <v>1.0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0.0</v>
      </c>
      <c r="Q126" s="19">
        <v>0.0</v>
      </c>
      <c r="R126" s="19">
        <v>0.0</v>
      </c>
      <c r="S126" s="19">
        <v>0.0</v>
      </c>
      <c r="T126" s="19">
        <v>0.0</v>
      </c>
      <c r="U126" s="19">
        <v>0.0</v>
      </c>
      <c r="V126" s="19">
        <v>0.0</v>
      </c>
      <c r="W126" s="13">
        <f t="shared" si="30"/>
        <v>1</v>
      </c>
    </row>
    <row r="127" ht="12.75" customHeight="1">
      <c r="A127" s="18"/>
      <c r="B127" s="55">
        <v>6.0</v>
      </c>
      <c r="C127" s="50" t="s">
        <v>111</v>
      </c>
      <c r="D127" s="57"/>
      <c r="E127" s="19">
        <v>0.0</v>
      </c>
      <c r="F127" s="19">
        <v>0.0</v>
      </c>
      <c r="G127" s="19">
        <v>0.0</v>
      </c>
      <c r="H127" s="19">
        <v>0.0</v>
      </c>
      <c r="I127" s="19">
        <v>0.0</v>
      </c>
      <c r="J127" s="19">
        <v>0.0</v>
      </c>
      <c r="K127" s="19">
        <v>0.0</v>
      </c>
      <c r="L127" s="19">
        <v>0.0</v>
      </c>
      <c r="M127" s="19">
        <v>0.0</v>
      </c>
      <c r="N127" s="19">
        <v>0.0</v>
      </c>
      <c r="O127" s="19">
        <v>0.0</v>
      </c>
      <c r="P127" s="19">
        <v>0.0</v>
      </c>
      <c r="Q127" s="19">
        <v>0.0</v>
      </c>
      <c r="R127" s="19">
        <v>0.0</v>
      </c>
      <c r="S127" s="19">
        <v>0.0</v>
      </c>
      <c r="T127" s="19">
        <v>0.0</v>
      </c>
      <c r="U127" s="19">
        <v>0.0</v>
      </c>
      <c r="V127" s="19">
        <v>0.0</v>
      </c>
      <c r="W127" s="13">
        <f t="shared" si="30"/>
        <v>0</v>
      </c>
    </row>
    <row r="128" ht="12.75" customHeight="1">
      <c r="A128" s="18"/>
      <c r="B128" s="55">
        <v>7.0</v>
      </c>
      <c r="C128" s="50" t="s">
        <v>112</v>
      </c>
      <c r="D128" s="57"/>
      <c r="E128" s="19">
        <v>0.0</v>
      </c>
      <c r="F128" s="19">
        <v>0.0</v>
      </c>
      <c r="G128" s="19">
        <v>0.0</v>
      </c>
      <c r="H128" s="19">
        <v>0.0</v>
      </c>
      <c r="I128" s="19">
        <v>0.0</v>
      </c>
      <c r="J128" s="19">
        <v>0.0</v>
      </c>
      <c r="K128" s="19">
        <v>0.0</v>
      </c>
      <c r="L128" s="19">
        <v>0.0</v>
      </c>
      <c r="M128" s="19">
        <v>0.0</v>
      </c>
      <c r="N128" s="19">
        <v>0.0</v>
      </c>
      <c r="O128" s="19">
        <v>0.0</v>
      </c>
      <c r="P128" s="19">
        <v>0.0</v>
      </c>
      <c r="Q128" s="19">
        <v>0.0</v>
      </c>
      <c r="R128" s="19">
        <v>0.0</v>
      </c>
      <c r="S128" s="19">
        <v>0.0</v>
      </c>
      <c r="T128" s="19">
        <v>0.0</v>
      </c>
      <c r="U128" s="19">
        <v>0.0</v>
      </c>
      <c r="V128" s="19">
        <v>0.0</v>
      </c>
      <c r="W128" s="13">
        <f t="shared" si="30"/>
        <v>0</v>
      </c>
    </row>
    <row r="129" ht="12.75" customHeight="1">
      <c r="A129" s="19" t="s">
        <v>15</v>
      </c>
      <c r="B129" s="47" t="s">
        <v>47</v>
      </c>
      <c r="C129" s="15"/>
      <c r="D129" s="16"/>
      <c r="E129" s="13">
        <f t="shared" ref="E129:W129" si="31">SUM(E121:E128)</f>
        <v>0</v>
      </c>
      <c r="F129" s="13">
        <f t="shared" si="31"/>
        <v>0</v>
      </c>
      <c r="G129" s="13">
        <f t="shared" si="31"/>
        <v>0</v>
      </c>
      <c r="H129" s="13">
        <f t="shared" si="31"/>
        <v>0</v>
      </c>
      <c r="I129" s="13">
        <f t="shared" si="31"/>
        <v>1</v>
      </c>
      <c r="J129" s="13">
        <f t="shared" si="31"/>
        <v>1</v>
      </c>
      <c r="K129" s="13">
        <f t="shared" si="31"/>
        <v>0</v>
      </c>
      <c r="L129" s="13">
        <f t="shared" si="31"/>
        <v>0</v>
      </c>
      <c r="M129" s="13">
        <f t="shared" si="31"/>
        <v>1</v>
      </c>
      <c r="N129" s="13">
        <f t="shared" si="31"/>
        <v>0</v>
      </c>
      <c r="O129" s="13">
        <f t="shared" si="31"/>
        <v>0</v>
      </c>
      <c r="P129" s="13">
        <f t="shared" si="31"/>
        <v>0</v>
      </c>
      <c r="Q129" s="13">
        <f t="shared" si="31"/>
        <v>0</v>
      </c>
      <c r="R129" s="13">
        <f t="shared" si="31"/>
        <v>0</v>
      </c>
      <c r="S129" s="13">
        <f t="shared" si="31"/>
        <v>0</v>
      </c>
      <c r="T129" s="13">
        <f t="shared" si="31"/>
        <v>0</v>
      </c>
      <c r="U129" s="13">
        <f t="shared" si="31"/>
        <v>0</v>
      </c>
      <c r="V129" s="13">
        <f t="shared" si="31"/>
        <v>0</v>
      </c>
      <c r="W129" s="13">
        <f t="shared" si="31"/>
        <v>3</v>
      </c>
    </row>
    <row r="130" ht="12.75" customHeight="1">
      <c r="A130" s="24"/>
      <c r="B130" s="15"/>
      <c r="C130" s="15"/>
      <c r="D130" s="15"/>
      <c r="E130" s="16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13"/>
    </row>
    <row r="131" ht="12.75" customHeight="1">
      <c r="A131" s="30" t="s">
        <v>37</v>
      </c>
      <c r="B131" s="17" t="s">
        <v>113</v>
      </c>
      <c r="C131" s="59" t="s">
        <v>114</v>
      </c>
      <c r="D131" s="23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1.0</v>
      </c>
      <c r="K131" s="19">
        <v>0.0</v>
      </c>
      <c r="L131" s="19">
        <v>1.0</v>
      </c>
      <c r="M131" s="19">
        <v>0.0</v>
      </c>
      <c r="N131" s="19">
        <v>1.0</v>
      </c>
      <c r="O131" s="19">
        <v>0.0</v>
      </c>
      <c r="P131" s="19">
        <v>2.0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3">
        <f t="shared" ref="W131:W135" si="32">SUM(E131:V131)</f>
        <v>5</v>
      </c>
    </row>
    <row r="132" ht="12.75" customHeight="1">
      <c r="A132" s="60" t="s">
        <v>39</v>
      </c>
      <c r="B132" s="55">
        <v>1.0</v>
      </c>
      <c r="C132" s="61" t="s">
        <v>115</v>
      </c>
      <c r="D132" s="57"/>
      <c r="E132" s="74">
        <v>0.0</v>
      </c>
      <c r="F132" s="19">
        <v>0.0</v>
      </c>
      <c r="G132" s="19">
        <v>0.0</v>
      </c>
      <c r="H132" s="19">
        <v>1.0</v>
      </c>
      <c r="I132" s="19">
        <v>0.0</v>
      </c>
      <c r="J132" s="19">
        <v>0.0</v>
      </c>
      <c r="K132" s="19">
        <v>1.0</v>
      </c>
      <c r="L132" s="19">
        <v>0.0</v>
      </c>
      <c r="M132" s="19">
        <v>6.0</v>
      </c>
      <c r="N132" s="19">
        <v>0.0</v>
      </c>
      <c r="O132" s="19">
        <v>0.0</v>
      </c>
      <c r="P132" s="19">
        <v>1.0</v>
      </c>
      <c r="Q132" s="19">
        <v>0.0</v>
      </c>
      <c r="R132" s="19">
        <v>1.0</v>
      </c>
      <c r="S132" s="19">
        <v>0.0</v>
      </c>
      <c r="T132" s="19">
        <v>0.0</v>
      </c>
      <c r="U132" s="19">
        <v>0.0</v>
      </c>
      <c r="V132" s="19">
        <v>0.0</v>
      </c>
      <c r="W132" s="13">
        <f t="shared" si="32"/>
        <v>10</v>
      </c>
    </row>
    <row r="133" ht="12.75" customHeight="1">
      <c r="A133" s="18"/>
      <c r="B133" s="55">
        <v>2.0</v>
      </c>
      <c r="C133" s="61" t="s">
        <v>116</v>
      </c>
      <c r="D133" s="57"/>
      <c r="E133" s="74">
        <v>0.0</v>
      </c>
      <c r="F133" s="19">
        <v>1.0</v>
      </c>
      <c r="G133" s="19">
        <v>1.0</v>
      </c>
      <c r="H133" s="19">
        <v>0.0</v>
      </c>
      <c r="I133" s="19">
        <v>0.0</v>
      </c>
      <c r="J133" s="19">
        <v>1.0</v>
      </c>
      <c r="K133" s="19">
        <v>0.0</v>
      </c>
      <c r="L133" s="19">
        <v>0.0</v>
      </c>
      <c r="M133" s="19">
        <v>0.0</v>
      </c>
      <c r="N133" s="19">
        <v>1.0</v>
      </c>
      <c r="O133" s="19">
        <v>0.0</v>
      </c>
      <c r="P133" s="19">
        <v>0.0</v>
      </c>
      <c r="Q133" s="19">
        <v>1.0</v>
      </c>
      <c r="R133" s="19">
        <v>0.0</v>
      </c>
      <c r="S133" s="19">
        <v>0.0</v>
      </c>
      <c r="T133" s="19">
        <v>0.0</v>
      </c>
      <c r="U133" s="19">
        <v>1.0</v>
      </c>
      <c r="V133" s="19">
        <v>0.0</v>
      </c>
      <c r="W133" s="13">
        <f t="shared" si="32"/>
        <v>6</v>
      </c>
    </row>
    <row r="134" ht="12.75" customHeight="1">
      <c r="A134" s="18"/>
      <c r="B134" s="55">
        <v>3.0</v>
      </c>
      <c r="C134" s="61" t="s">
        <v>117</v>
      </c>
      <c r="D134" s="57"/>
      <c r="E134" s="74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1.0</v>
      </c>
      <c r="N134" s="19">
        <v>1.0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3">
        <f t="shared" si="32"/>
        <v>2</v>
      </c>
    </row>
    <row r="135" ht="12.75" customHeight="1">
      <c r="A135" s="18"/>
      <c r="B135" s="55">
        <v>4.0</v>
      </c>
      <c r="C135" s="61" t="s">
        <v>118</v>
      </c>
      <c r="D135" s="57"/>
      <c r="E135" s="74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3">
        <f t="shared" si="32"/>
        <v>0</v>
      </c>
    </row>
    <row r="136" ht="12.75" customHeight="1">
      <c r="A136" s="19" t="s">
        <v>15</v>
      </c>
      <c r="B136" s="62" t="s">
        <v>47</v>
      </c>
      <c r="C136" s="44"/>
      <c r="D136" s="28"/>
      <c r="E136" s="13">
        <f t="shared" ref="E136:S136" si="33">SUM(E131:E135)</f>
        <v>0</v>
      </c>
      <c r="F136" s="13">
        <f t="shared" si="33"/>
        <v>1</v>
      </c>
      <c r="G136" s="13">
        <f t="shared" si="33"/>
        <v>1</v>
      </c>
      <c r="H136" s="13">
        <f t="shared" si="33"/>
        <v>1</v>
      </c>
      <c r="I136" s="13">
        <f t="shared" si="33"/>
        <v>0</v>
      </c>
      <c r="J136" s="13">
        <f t="shared" si="33"/>
        <v>2</v>
      </c>
      <c r="K136" s="13">
        <f t="shared" si="33"/>
        <v>1</v>
      </c>
      <c r="L136" s="13">
        <f t="shared" si="33"/>
        <v>1</v>
      </c>
      <c r="M136" s="13">
        <f t="shared" si="33"/>
        <v>7</v>
      </c>
      <c r="N136" s="13">
        <f t="shared" si="33"/>
        <v>3</v>
      </c>
      <c r="O136" s="13">
        <f t="shared" si="33"/>
        <v>0</v>
      </c>
      <c r="P136" s="13">
        <f t="shared" si="33"/>
        <v>3</v>
      </c>
      <c r="Q136" s="13">
        <f t="shared" si="33"/>
        <v>1</v>
      </c>
      <c r="R136" s="13">
        <f t="shared" si="33"/>
        <v>1</v>
      </c>
      <c r="S136" s="13">
        <f t="shared" si="33"/>
        <v>0</v>
      </c>
      <c r="T136" s="13">
        <v>0.0</v>
      </c>
      <c r="U136" s="13">
        <v>1.0</v>
      </c>
      <c r="V136" s="13">
        <v>0.0</v>
      </c>
      <c r="W136" s="13">
        <f>SUM(W131:W135)</f>
        <v>23</v>
      </c>
    </row>
    <row r="137" ht="12.75" customHeight="1">
      <c r="A137" s="24"/>
      <c r="B137" s="15"/>
      <c r="C137" s="15"/>
      <c r="D137" s="15"/>
      <c r="E137" s="16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</row>
    <row r="138" ht="12.75" customHeight="1">
      <c r="A138" s="30" t="s">
        <v>37</v>
      </c>
      <c r="B138" s="47" t="s">
        <v>119</v>
      </c>
      <c r="C138" s="48" t="s">
        <v>120</v>
      </c>
      <c r="D138" s="16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1.0</v>
      </c>
      <c r="K138" s="19">
        <v>0.0</v>
      </c>
      <c r="L138" s="19">
        <v>0.0</v>
      </c>
      <c r="M138" s="19">
        <v>0.0</v>
      </c>
      <c r="N138" s="19">
        <v>0.0</v>
      </c>
      <c r="O138" s="19">
        <v>0.0</v>
      </c>
      <c r="P138" s="19">
        <v>0.0</v>
      </c>
      <c r="Q138" s="19">
        <v>0.0</v>
      </c>
      <c r="R138" s="19">
        <v>0.0</v>
      </c>
      <c r="S138" s="19">
        <v>0.0</v>
      </c>
      <c r="T138" s="19">
        <v>0.0</v>
      </c>
      <c r="U138" s="19">
        <v>0.0</v>
      </c>
      <c r="V138" s="19">
        <v>0.0</v>
      </c>
      <c r="W138" s="13">
        <f t="shared" ref="W138:W145" si="34">SUM(E138:V138)</f>
        <v>1</v>
      </c>
    </row>
    <row r="139" ht="12.75" customHeight="1">
      <c r="A139" s="30" t="s">
        <v>39</v>
      </c>
      <c r="B139" s="55">
        <v>1.0</v>
      </c>
      <c r="C139" s="50" t="s">
        <v>121</v>
      </c>
      <c r="D139" s="57"/>
      <c r="E139" s="19">
        <v>0.0</v>
      </c>
      <c r="F139" s="19">
        <v>0.0</v>
      </c>
      <c r="G139" s="19">
        <v>0.0</v>
      </c>
      <c r="H139" s="19">
        <v>0.0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0.0</v>
      </c>
      <c r="Q139" s="19">
        <v>0.0</v>
      </c>
      <c r="R139" s="19">
        <v>1.0</v>
      </c>
      <c r="S139" s="19">
        <v>0.0</v>
      </c>
      <c r="T139" s="19">
        <v>0.0</v>
      </c>
      <c r="U139" s="19">
        <v>0.0</v>
      </c>
      <c r="V139" s="19">
        <v>0.0</v>
      </c>
      <c r="W139" s="13">
        <f t="shared" si="34"/>
        <v>1</v>
      </c>
    </row>
    <row r="140" ht="12.75" customHeight="1">
      <c r="A140" s="18"/>
      <c r="B140" s="55">
        <v>2.0</v>
      </c>
      <c r="C140" s="50" t="s">
        <v>122</v>
      </c>
      <c r="D140" s="57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1.0</v>
      </c>
      <c r="N140" s="19">
        <v>0.0</v>
      </c>
      <c r="O140" s="19">
        <v>0.0</v>
      </c>
      <c r="P140" s="19">
        <v>1.0</v>
      </c>
      <c r="Q140" s="19">
        <v>0.0</v>
      </c>
      <c r="R140" s="19">
        <v>0.0</v>
      </c>
      <c r="S140" s="19">
        <v>0.0</v>
      </c>
      <c r="T140" s="19">
        <v>0.0</v>
      </c>
      <c r="U140" s="19">
        <v>0.0</v>
      </c>
      <c r="V140" s="19">
        <v>0.0</v>
      </c>
      <c r="W140" s="13">
        <f t="shared" si="34"/>
        <v>2</v>
      </c>
    </row>
    <row r="141" ht="12.75" customHeight="1">
      <c r="A141" s="18"/>
      <c r="B141" s="55">
        <v>3.0</v>
      </c>
      <c r="C141" s="50" t="s">
        <v>123</v>
      </c>
      <c r="D141" s="57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3">
        <f t="shared" si="34"/>
        <v>0</v>
      </c>
    </row>
    <row r="142" ht="12.75" customHeight="1">
      <c r="A142" s="18"/>
      <c r="B142" s="55">
        <v>4.0</v>
      </c>
      <c r="C142" s="50" t="s">
        <v>124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3">
        <f t="shared" si="34"/>
        <v>0</v>
      </c>
    </row>
    <row r="143" ht="12.75" customHeight="1">
      <c r="A143" s="18"/>
      <c r="B143" s="55">
        <v>5.0</v>
      </c>
      <c r="C143" s="50" t="s">
        <v>125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3">
        <f t="shared" si="34"/>
        <v>0</v>
      </c>
    </row>
    <row r="144" ht="12.75" customHeight="1">
      <c r="A144" s="18"/>
      <c r="B144" s="55">
        <v>6.0</v>
      </c>
      <c r="C144" s="50" t="s">
        <v>126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3">
        <f t="shared" si="34"/>
        <v>0</v>
      </c>
    </row>
    <row r="145" ht="12.75" customHeight="1">
      <c r="A145" s="18"/>
      <c r="B145" s="55">
        <v>7.0</v>
      </c>
      <c r="C145" s="50" t="s">
        <v>127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3">
        <f t="shared" si="34"/>
        <v>0</v>
      </c>
    </row>
    <row r="146" ht="12.75" customHeight="1">
      <c r="A146" s="19" t="s">
        <v>15</v>
      </c>
      <c r="B146" s="47" t="s">
        <v>47</v>
      </c>
      <c r="C146" s="15"/>
      <c r="D146" s="16"/>
      <c r="E146" s="13">
        <f t="shared" ref="E146:W146" si="35">SUM(E138:E145)</f>
        <v>0</v>
      </c>
      <c r="F146" s="13">
        <f t="shared" si="35"/>
        <v>0</v>
      </c>
      <c r="G146" s="13">
        <f t="shared" si="35"/>
        <v>0</v>
      </c>
      <c r="H146" s="13">
        <f t="shared" si="35"/>
        <v>0</v>
      </c>
      <c r="I146" s="13">
        <f t="shared" si="35"/>
        <v>0</v>
      </c>
      <c r="J146" s="13">
        <f t="shared" si="35"/>
        <v>1</v>
      </c>
      <c r="K146" s="13">
        <f t="shared" si="35"/>
        <v>0</v>
      </c>
      <c r="L146" s="13">
        <f t="shared" si="35"/>
        <v>0</v>
      </c>
      <c r="M146" s="13">
        <f t="shared" si="35"/>
        <v>1</v>
      </c>
      <c r="N146" s="13">
        <f t="shared" si="35"/>
        <v>0</v>
      </c>
      <c r="O146" s="13">
        <f t="shared" si="35"/>
        <v>0</v>
      </c>
      <c r="P146" s="13">
        <f t="shared" si="35"/>
        <v>1</v>
      </c>
      <c r="Q146" s="13">
        <f t="shared" si="35"/>
        <v>0</v>
      </c>
      <c r="R146" s="13">
        <f t="shared" si="35"/>
        <v>1</v>
      </c>
      <c r="S146" s="13">
        <f t="shared" si="35"/>
        <v>0</v>
      </c>
      <c r="T146" s="13">
        <f t="shared" si="35"/>
        <v>0</v>
      </c>
      <c r="U146" s="13">
        <f t="shared" si="35"/>
        <v>0</v>
      </c>
      <c r="V146" s="13">
        <f t="shared" si="35"/>
        <v>0</v>
      </c>
      <c r="W146" s="13">
        <f t="shared" si="35"/>
        <v>4</v>
      </c>
    </row>
    <row r="147" ht="12.75" customHeight="1">
      <c r="A147" s="24"/>
      <c r="B147" s="15"/>
      <c r="C147" s="15"/>
      <c r="D147" s="15"/>
      <c r="E147" s="16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</row>
    <row r="148" ht="12.75" customHeight="1">
      <c r="A148" s="30" t="s">
        <v>37</v>
      </c>
      <c r="B148" s="47" t="s">
        <v>128</v>
      </c>
      <c r="C148" s="48" t="s">
        <v>129</v>
      </c>
      <c r="D148" s="16"/>
      <c r="E148" s="19">
        <v>1.0</v>
      </c>
      <c r="F148" s="19">
        <v>0.0</v>
      </c>
      <c r="G148" s="19">
        <v>2.0</v>
      </c>
      <c r="H148" s="19">
        <v>0.0</v>
      </c>
      <c r="I148" s="19">
        <v>1.0</v>
      </c>
      <c r="J148" s="19">
        <v>4.0</v>
      </c>
      <c r="K148" s="19">
        <v>0.0</v>
      </c>
      <c r="L148" s="19">
        <v>0.0</v>
      </c>
      <c r="M148" s="19">
        <v>1.0</v>
      </c>
      <c r="N148" s="19">
        <v>2.0</v>
      </c>
      <c r="O148" s="19">
        <v>0.0</v>
      </c>
      <c r="P148" s="19">
        <v>1.0</v>
      </c>
      <c r="Q148" s="19">
        <v>1.0</v>
      </c>
      <c r="R148" s="19">
        <v>0.0</v>
      </c>
      <c r="S148" s="19">
        <v>3.0</v>
      </c>
      <c r="T148" s="19">
        <v>0.0</v>
      </c>
      <c r="U148" s="19">
        <v>1.0</v>
      </c>
      <c r="V148" s="19">
        <v>2.0</v>
      </c>
      <c r="W148" s="13">
        <f t="shared" ref="W148:W155" si="36">SUM(E148:V148)</f>
        <v>19</v>
      </c>
    </row>
    <row r="149" ht="12.75" customHeight="1">
      <c r="A149" s="30" t="s">
        <v>39</v>
      </c>
      <c r="B149" s="55">
        <v>1.0</v>
      </c>
      <c r="C149" s="50" t="s">
        <v>130</v>
      </c>
      <c r="D149" s="57"/>
      <c r="E149" s="19">
        <v>0.0</v>
      </c>
      <c r="F149" s="19">
        <v>0.0</v>
      </c>
      <c r="G149" s="19">
        <v>0.0</v>
      </c>
      <c r="H149" s="19">
        <v>1.0</v>
      </c>
      <c r="I149" s="19">
        <v>1.0</v>
      </c>
      <c r="J149" s="19">
        <v>0.0</v>
      </c>
      <c r="K149" s="19">
        <v>0.0</v>
      </c>
      <c r="L149" s="19">
        <v>0.0</v>
      </c>
      <c r="M149" s="19">
        <v>0.0</v>
      </c>
      <c r="N149" s="19">
        <v>0.0</v>
      </c>
      <c r="O149" s="19">
        <v>1.0</v>
      </c>
      <c r="P149" s="19">
        <v>0.0</v>
      </c>
      <c r="Q149" s="19">
        <v>1.0</v>
      </c>
      <c r="R149" s="19">
        <v>0.0</v>
      </c>
      <c r="S149" s="19">
        <v>3.0</v>
      </c>
      <c r="T149" s="19">
        <v>2.0</v>
      </c>
      <c r="U149" s="19">
        <v>0.0</v>
      </c>
      <c r="V149" s="19">
        <v>0.0</v>
      </c>
      <c r="W149" s="13">
        <f t="shared" si="36"/>
        <v>9</v>
      </c>
    </row>
    <row r="150" ht="12.75" customHeight="1">
      <c r="A150" s="18"/>
      <c r="B150" s="55">
        <v>2.0</v>
      </c>
      <c r="C150" s="50" t="s">
        <v>131</v>
      </c>
      <c r="D150" s="57"/>
      <c r="E150" s="19">
        <v>0.0</v>
      </c>
      <c r="F150" s="19">
        <v>0.0</v>
      </c>
      <c r="G150" s="19">
        <v>0.0</v>
      </c>
      <c r="H150" s="19">
        <v>0.0</v>
      </c>
      <c r="I150" s="19">
        <v>0.0</v>
      </c>
      <c r="J150" s="19">
        <v>0.0</v>
      </c>
      <c r="K150" s="19">
        <v>0.0</v>
      </c>
      <c r="L150" s="19">
        <v>0.0</v>
      </c>
      <c r="M150" s="19">
        <v>0.0</v>
      </c>
      <c r="N150" s="19">
        <v>0.0</v>
      </c>
      <c r="O150" s="19">
        <v>0.0</v>
      </c>
      <c r="P150" s="19">
        <v>1.0</v>
      </c>
      <c r="Q150" s="19">
        <v>0.0</v>
      </c>
      <c r="R150" s="19">
        <v>0.0</v>
      </c>
      <c r="S150" s="19">
        <v>0.0</v>
      </c>
      <c r="T150" s="19">
        <v>0.0</v>
      </c>
      <c r="U150" s="19">
        <v>0.0</v>
      </c>
      <c r="V150" s="19">
        <v>0.0</v>
      </c>
      <c r="W150" s="13">
        <f t="shared" si="36"/>
        <v>1</v>
      </c>
    </row>
    <row r="151" ht="12.75" customHeight="1">
      <c r="A151" s="18"/>
      <c r="B151" s="55">
        <v>3.0</v>
      </c>
      <c r="C151" s="50" t="s">
        <v>132</v>
      </c>
      <c r="D151" s="57"/>
      <c r="E151" s="19">
        <v>0.0</v>
      </c>
      <c r="F151" s="19">
        <v>0.0</v>
      </c>
      <c r="G151" s="19">
        <v>0.0</v>
      </c>
      <c r="H151" s="19">
        <v>0.0</v>
      </c>
      <c r="I151" s="19">
        <v>0.0</v>
      </c>
      <c r="J151" s="19">
        <v>0.0</v>
      </c>
      <c r="K151" s="19">
        <v>0.0</v>
      </c>
      <c r="L151" s="19">
        <v>0.0</v>
      </c>
      <c r="M151" s="19">
        <v>0.0</v>
      </c>
      <c r="N151" s="19">
        <v>0.0</v>
      </c>
      <c r="O151" s="19">
        <v>0.0</v>
      </c>
      <c r="P151" s="19">
        <v>1.0</v>
      </c>
      <c r="Q151" s="19">
        <v>1.0</v>
      </c>
      <c r="R151" s="19">
        <v>0.0</v>
      </c>
      <c r="S151" s="19">
        <v>0.0</v>
      </c>
      <c r="T151" s="19">
        <v>2.0</v>
      </c>
      <c r="U151" s="19">
        <v>1.0</v>
      </c>
      <c r="V151" s="19">
        <v>0.0</v>
      </c>
      <c r="W151" s="13">
        <f t="shared" si="36"/>
        <v>5</v>
      </c>
    </row>
    <row r="152" ht="12.75" customHeight="1">
      <c r="A152" s="18"/>
      <c r="B152" s="55">
        <v>4.0</v>
      </c>
      <c r="C152" s="50" t="s">
        <v>133</v>
      </c>
      <c r="D152" s="57"/>
      <c r="E152" s="19">
        <v>0.0</v>
      </c>
      <c r="F152" s="19">
        <v>1.0</v>
      </c>
      <c r="G152" s="19">
        <v>0.0</v>
      </c>
      <c r="H152" s="19">
        <v>0.0</v>
      </c>
      <c r="I152" s="19">
        <v>0.0</v>
      </c>
      <c r="J152" s="19">
        <v>0.0</v>
      </c>
      <c r="K152" s="19">
        <v>0.0</v>
      </c>
      <c r="L152" s="19">
        <v>0.0</v>
      </c>
      <c r="M152" s="19">
        <v>0.0</v>
      </c>
      <c r="N152" s="19">
        <v>0.0</v>
      </c>
      <c r="O152" s="19">
        <v>0.0</v>
      </c>
      <c r="P152" s="19">
        <v>0.0</v>
      </c>
      <c r="Q152" s="19">
        <v>0.0</v>
      </c>
      <c r="R152" s="19">
        <v>0.0</v>
      </c>
      <c r="S152" s="19">
        <v>1.0</v>
      </c>
      <c r="T152" s="19">
        <v>0.0</v>
      </c>
      <c r="U152" s="19">
        <v>0.0</v>
      </c>
      <c r="V152" s="19">
        <v>0.0</v>
      </c>
      <c r="W152" s="13">
        <f t="shared" si="36"/>
        <v>2</v>
      </c>
    </row>
    <row r="153" ht="12.75" customHeight="1">
      <c r="A153" s="18"/>
      <c r="B153" s="55">
        <v>5.0</v>
      </c>
      <c r="C153" s="50" t="s">
        <v>134</v>
      </c>
      <c r="D153" s="57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4.0</v>
      </c>
      <c r="U153" s="19">
        <v>5.0</v>
      </c>
      <c r="V153" s="19">
        <v>0.0</v>
      </c>
      <c r="W153" s="13">
        <f t="shared" si="36"/>
        <v>9</v>
      </c>
    </row>
    <row r="154" ht="12.75" customHeight="1">
      <c r="A154" s="18"/>
      <c r="B154" s="55">
        <v>6.0</v>
      </c>
      <c r="C154" s="50" t="s">
        <v>135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3">
        <f t="shared" si="36"/>
        <v>0</v>
      </c>
    </row>
    <row r="155" ht="12.75" customHeight="1">
      <c r="A155" s="18"/>
      <c r="B155" s="55">
        <v>7.0</v>
      </c>
      <c r="C155" s="50" t="s">
        <v>136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2.0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2.0</v>
      </c>
      <c r="U155" s="19">
        <v>0.0</v>
      </c>
      <c r="V155" s="19">
        <v>0.0</v>
      </c>
      <c r="W155" s="13">
        <f t="shared" si="36"/>
        <v>4</v>
      </c>
    </row>
    <row r="156" ht="12.75" customHeight="1">
      <c r="A156" s="19" t="s">
        <v>15</v>
      </c>
      <c r="B156" s="47" t="s">
        <v>47</v>
      </c>
      <c r="C156" s="15"/>
      <c r="D156" s="16"/>
      <c r="E156" s="13">
        <f t="shared" ref="E156:W156" si="37">SUM(E148:E155)</f>
        <v>1</v>
      </c>
      <c r="F156" s="13">
        <f t="shared" si="37"/>
        <v>1</v>
      </c>
      <c r="G156" s="13">
        <f t="shared" si="37"/>
        <v>2</v>
      </c>
      <c r="H156" s="13">
        <f t="shared" si="37"/>
        <v>1</v>
      </c>
      <c r="I156" s="13">
        <f t="shared" si="37"/>
        <v>2</v>
      </c>
      <c r="J156" s="13">
        <f t="shared" si="37"/>
        <v>4</v>
      </c>
      <c r="K156" s="13">
        <f t="shared" si="37"/>
        <v>0</v>
      </c>
      <c r="L156" s="13">
        <f t="shared" si="37"/>
        <v>0</v>
      </c>
      <c r="M156" s="13">
        <f t="shared" si="37"/>
        <v>3</v>
      </c>
      <c r="N156" s="13">
        <f t="shared" si="37"/>
        <v>2</v>
      </c>
      <c r="O156" s="13">
        <f t="shared" si="37"/>
        <v>1</v>
      </c>
      <c r="P156" s="13">
        <f t="shared" si="37"/>
        <v>3</v>
      </c>
      <c r="Q156" s="13">
        <f t="shared" si="37"/>
        <v>3</v>
      </c>
      <c r="R156" s="13">
        <f t="shared" si="37"/>
        <v>0</v>
      </c>
      <c r="S156" s="13">
        <f t="shared" si="37"/>
        <v>7</v>
      </c>
      <c r="T156" s="13">
        <f t="shared" si="37"/>
        <v>10</v>
      </c>
      <c r="U156" s="13">
        <f t="shared" si="37"/>
        <v>7</v>
      </c>
      <c r="V156" s="13">
        <f t="shared" si="37"/>
        <v>2</v>
      </c>
      <c r="W156" s="13">
        <f t="shared" si="37"/>
        <v>49</v>
      </c>
    </row>
    <row r="157" ht="12.75" customHeight="1">
      <c r="A157" s="24"/>
      <c r="B157" s="15"/>
      <c r="C157" s="15"/>
      <c r="D157" s="15"/>
      <c r="E157" s="16"/>
      <c r="F157" s="72"/>
      <c r="G157" s="72"/>
      <c r="H157" s="72"/>
      <c r="I157" s="72"/>
      <c r="J157" s="72"/>
      <c r="K157" s="72"/>
      <c r="L157" s="72"/>
      <c r="M157" s="72"/>
      <c r="N157" s="72"/>
      <c r="R157" s="72"/>
      <c r="S157" s="72"/>
      <c r="T157" s="72"/>
      <c r="W157" s="13"/>
    </row>
    <row r="158" ht="12.75" customHeight="1">
      <c r="A158" s="30" t="s">
        <v>37</v>
      </c>
      <c r="B158" s="47" t="s">
        <v>137</v>
      </c>
      <c r="C158" s="48" t="s">
        <v>138</v>
      </c>
      <c r="D158" s="16"/>
      <c r="E158" s="19">
        <v>0.0</v>
      </c>
      <c r="F158" s="19">
        <v>1.0</v>
      </c>
      <c r="G158" s="19">
        <v>0.0</v>
      </c>
      <c r="H158" s="19">
        <v>0.0</v>
      </c>
      <c r="I158" s="19">
        <v>0.0</v>
      </c>
      <c r="J158" s="19">
        <v>0.0</v>
      </c>
      <c r="K158" s="19">
        <v>0.0</v>
      </c>
      <c r="L158" s="19">
        <v>0.0</v>
      </c>
      <c r="M158" s="19">
        <v>0.0</v>
      </c>
      <c r="N158" s="19">
        <v>0.0</v>
      </c>
      <c r="O158" s="19">
        <v>0.0</v>
      </c>
      <c r="P158" s="19">
        <v>1.0</v>
      </c>
      <c r="Q158" s="19">
        <v>0.0</v>
      </c>
      <c r="R158" s="19">
        <v>1.0</v>
      </c>
      <c r="S158" s="19">
        <v>0.0</v>
      </c>
      <c r="T158" s="19">
        <v>0.0</v>
      </c>
      <c r="U158" s="19">
        <v>0.0</v>
      </c>
      <c r="V158" s="19">
        <v>0.0</v>
      </c>
      <c r="W158" s="13">
        <f t="shared" ref="W158:W165" si="38">SUM(E158:V158)</f>
        <v>3</v>
      </c>
    </row>
    <row r="159" ht="12.75" customHeight="1">
      <c r="A159" s="30" t="s">
        <v>39</v>
      </c>
      <c r="B159" s="55">
        <v>1.0</v>
      </c>
      <c r="C159" s="50" t="s">
        <v>139</v>
      </c>
      <c r="D159" s="57"/>
      <c r="E159" s="19">
        <v>0.0</v>
      </c>
      <c r="F159" s="19">
        <v>0.0</v>
      </c>
      <c r="G159" s="19">
        <v>0.0</v>
      </c>
      <c r="H159" s="19">
        <v>1.0</v>
      </c>
      <c r="I159" s="19">
        <v>0.0</v>
      </c>
      <c r="J159" s="19">
        <v>0.0</v>
      </c>
      <c r="K159" s="19">
        <v>0.0</v>
      </c>
      <c r="L159" s="19">
        <v>0.0</v>
      </c>
      <c r="M159" s="19">
        <v>0.0</v>
      </c>
      <c r="N159" s="19">
        <v>0.0</v>
      </c>
      <c r="O159" s="19">
        <v>0.0</v>
      </c>
      <c r="P159" s="19">
        <v>0.0</v>
      </c>
      <c r="Q159" s="19">
        <v>0.0</v>
      </c>
      <c r="R159" s="19">
        <v>0.0</v>
      </c>
      <c r="S159" s="19">
        <v>0.0</v>
      </c>
      <c r="T159" s="19">
        <v>0.0</v>
      </c>
      <c r="U159" s="19">
        <v>0.0</v>
      </c>
      <c r="V159" s="19">
        <v>0.0</v>
      </c>
      <c r="W159" s="13">
        <f t="shared" si="38"/>
        <v>1</v>
      </c>
    </row>
    <row r="160" ht="12.75" customHeight="1">
      <c r="A160" s="18"/>
      <c r="B160" s="55">
        <v>2.0</v>
      </c>
      <c r="C160" s="50" t="s">
        <v>140</v>
      </c>
      <c r="D160" s="57"/>
      <c r="E160" s="19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9">
        <v>0.0</v>
      </c>
      <c r="T160" s="19">
        <v>0.0</v>
      </c>
      <c r="U160" s="19">
        <v>0.0</v>
      </c>
      <c r="V160" s="19">
        <v>0.0</v>
      </c>
      <c r="W160" s="13">
        <f t="shared" si="38"/>
        <v>0</v>
      </c>
    </row>
    <row r="161" ht="12.75" customHeight="1">
      <c r="A161" s="18"/>
      <c r="B161" s="55">
        <v>3.0</v>
      </c>
      <c r="C161" s="50" t="s">
        <v>141</v>
      </c>
      <c r="D161" s="57"/>
      <c r="E161" s="19">
        <v>0.0</v>
      </c>
      <c r="F161" s="19">
        <v>0.0</v>
      </c>
      <c r="G161" s="19">
        <v>0.0</v>
      </c>
      <c r="H161" s="19">
        <v>0.0</v>
      </c>
      <c r="I161" s="19">
        <v>0.0</v>
      </c>
      <c r="J161" s="19">
        <v>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0.0</v>
      </c>
      <c r="P161" s="19">
        <v>0.0</v>
      </c>
      <c r="Q161" s="19">
        <v>0.0</v>
      </c>
      <c r="R161" s="19">
        <v>0.0</v>
      </c>
      <c r="S161" s="19">
        <v>0.0</v>
      </c>
      <c r="T161" s="19">
        <v>0.0</v>
      </c>
      <c r="U161" s="19">
        <v>0.0</v>
      </c>
      <c r="V161" s="19">
        <v>0.0</v>
      </c>
      <c r="W161" s="13">
        <f t="shared" si="38"/>
        <v>0</v>
      </c>
    </row>
    <row r="162" ht="12.75" customHeight="1">
      <c r="A162" s="18"/>
      <c r="B162" s="55">
        <v>4.0</v>
      </c>
      <c r="C162" s="50" t="s">
        <v>142</v>
      </c>
      <c r="D162" s="57"/>
      <c r="E162" s="19">
        <v>0.0</v>
      </c>
      <c r="F162" s="19">
        <v>0.0</v>
      </c>
      <c r="G162" s="19">
        <v>0.0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0.0</v>
      </c>
      <c r="R162" s="19">
        <v>0.0</v>
      </c>
      <c r="S162" s="19">
        <v>0.0</v>
      </c>
      <c r="T162" s="19">
        <v>0.0</v>
      </c>
      <c r="U162" s="19">
        <v>0.0</v>
      </c>
      <c r="V162" s="19">
        <v>0.0</v>
      </c>
      <c r="W162" s="13">
        <f t="shared" si="38"/>
        <v>0</v>
      </c>
    </row>
    <row r="163" ht="12.75" customHeight="1">
      <c r="A163" s="18"/>
      <c r="B163" s="55">
        <v>5.0</v>
      </c>
      <c r="C163" s="50" t="s">
        <v>143</v>
      </c>
      <c r="D163" s="57"/>
      <c r="E163" s="19">
        <v>0.0</v>
      </c>
      <c r="F163" s="19">
        <v>0.0</v>
      </c>
      <c r="G163" s="19">
        <v>0.0</v>
      </c>
      <c r="H163" s="19">
        <v>1.0</v>
      </c>
      <c r="I163" s="19">
        <v>0.0</v>
      </c>
      <c r="J163" s="19">
        <v>0.0</v>
      </c>
      <c r="K163" s="19">
        <v>0.0</v>
      </c>
      <c r="L163" s="19">
        <v>0.0</v>
      </c>
      <c r="M163" s="19">
        <v>0.0</v>
      </c>
      <c r="N163" s="19">
        <v>0.0</v>
      </c>
      <c r="O163" s="19">
        <v>0.0</v>
      </c>
      <c r="P163" s="19">
        <v>0.0</v>
      </c>
      <c r="Q163" s="19">
        <v>0.0</v>
      </c>
      <c r="R163" s="19">
        <v>0.0</v>
      </c>
      <c r="S163" s="19">
        <v>0.0</v>
      </c>
      <c r="T163" s="19">
        <v>0.0</v>
      </c>
      <c r="U163" s="19">
        <v>0.0</v>
      </c>
      <c r="V163" s="19">
        <v>0.0</v>
      </c>
      <c r="W163" s="13">
        <f t="shared" si="38"/>
        <v>1</v>
      </c>
    </row>
    <row r="164" ht="12.75" customHeight="1">
      <c r="A164" s="18"/>
      <c r="B164" s="55">
        <v>6.0</v>
      </c>
      <c r="C164" s="50" t="s">
        <v>144</v>
      </c>
      <c r="D164" s="57"/>
      <c r="E164" s="19">
        <v>0.0</v>
      </c>
      <c r="F164" s="19">
        <v>0.0</v>
      </c>
      <c r="G164" s="19">
        <v>0.0</v>
      </c>
      <c r="H164" s="19">
        <v>0.0</v>
      </c>
      <c r="I164" s="19">
        <v>0.0</v>
      </c>
      <c r="J164" s="19">
        <v>0.0</v>
      </c>
      <c r="K164" s="19">
        <v>0.0</v>
      </c>
      <c r="L164" s="19">
        <v>0.0</v>
      </c>
      <c r="M164" s="19">
        <v>0.0</v>
      </c>
      <c r="N164" s="19">
        <v>0.0</v>
      </c>
      <c r="O164" s="19">
        <v>0.0</v>
      </c>
      <c r="P164" s="19">
        <v>0.0</v>
      </c>
      <c r="Q164" s="19">
        <v>0.0</v>
      </c>
      <c r="R164" s="19">
        <v>1.0</v>
      </c>
      <c r="S164" s="19">
        <v>0.0</v>
      </c>
      <c r="T164" s="19">
        <v>0.0</v>
      </c>
      <c r="U164" s="19">
        <v>0.0</v>
      </c>
      <c r="V164" s="19">
        <v>0.0</v>
      </c>
      <c r="W164" s="13">
        <f t="shared" si="38"/>
        <v>1</v>
      </c>
    </row>
    <row r="165" ht="12.75" customHeight="1">
      <c r="A165" s="18"/>
      <c r="B165" s="55">
        <v>7.0</v>
      </c>
      <c r="C165" s="50" t="s">
        <v>145</v>
      </c>
      <c r="D165" s="57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3">
        <f t="shared" si="38"/>
        <v>0</v>
      </c>
    </row>
    <row r="166" ht="12.75" customHeight="1">
      <c r="A166" s="19" t="s">
        <v>15</v>
      </c>
      <c r="B166" s="47" t="s">
        <v>47</v>
      </c>
      <c r="C166" s="15"/>
      <c r="D166" s="16"/>
      <c r="E166" s="13">
        <f t="shared" ref="E166:W166" si="39">SUM(E158:E165)</f>
        <v>0</v>
      </c>
      <c r="F166" s="13">
        <f t="shared" si="39"/>
        <v>1</v>
      </c>
      <c r="G166" s="13">
        <f t="shared" si="39"/>
        <v>0</v>
      </c>
      <c r="H166" s="13">
        <f t="shared" si="39"/>
        <v>2</v>
      </c>
      <c r="I166" s="13">
        <f t="shared" si="39"/>
        <v>0</v>
      </c>
      <c r="J166" s="13">
        <f t="shared" si="39"/>
        <v>0</v>
      </c>
      <c r="K166" s="13">
        <f t="shared" si="39"/>
        <v>0</v>
      </c>
      <c r="L166" s="13">
        <f t="shared" si="39"/>
        <v>0</v>
      </c>
      <c r="M166" s="13">
        <f t="shared" si="39"/>
        <v>0</v>
      </c>
      <c r="N166" s="13">
        <f t="shared" si="39"/>
        <v>0</v>
      </c>
      <c r="O166" s="13">
        <f t="shared" si="39"/>
        <v>0</v>
      </c>
      <c r="P166" s="13">
        <f t="shared" si="39"/>
        <v>1</v>
      </c>
      <c r="Q166" s="13">
        <f t="shared" si="39"/>
        <v>0</v>
      </c>
      <c r="R166" s="13">
        <f t="shared" si="39"/>
        <v>2</v>
      </c>
      <c r="S166" s="13">
        <f t="shared" si="39"/>
        <v>0</v>
      </c>
      <c r="T166" s="13">
        <f t="shared" si="39"/>
        <v>0</v>
      </c>
      <c r="U166" s="13">
        <f t="shared" si="39"/>
        <v>0</v>
      </c>
      <c r="V166" s="13">
        <f t="shared" si="39"/>
        <v>0</v>
      </c>
      <c r="W166" s="13">
        <f t="shared" si="39"/>
        <v>6</v>
      </c>
    </row>
    <row r="167" ht="12.75" customHeight="1">
      <c r="A167" s="24"/>
      <c r="B167" s="15"/>
      <c r="C167" s="15"/>
      <c r="D167" s="15"/>
      <c r="E167" s="16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</row>
    <row r="168" ht="12.75" customHeight="1">
      <c r="A168" s="30" t="s">
        <v>37</v>
      </c>
      <c r="B168" s="47" t="s">
        <v>146</v>
      </c>
      <c r="C168" s="48" t="s">
        <v>147</v>
      </c>
      <c r="D168" s="16"/>
      <c r="E168" s="19">
        <v>1.0</v>
      </c>
      <c r="F168" s="19">
        <v>3.0</v>
      </c>
      <c r="G168" s="19">
        <v>1.0</v>
      </c>
      <c r="H168" s="19">
        <v>1.0</v>
      </c>
      <c r="I168" s="19">
        <v>0.0</v>
      </c>
      <c r="J168" s="19">
        <v>0.0</v>
      </c>
      <c r="K168" s="19">
        <v>0.0</v>
      </c>
      <c r="L168" s="19">
        <v>1.0</v>
      </c>
      <c r="M168" s="19">
        <v>2.0</v>
      </c>
      <c r="N168" s="19">
        <v>2.0</v>
      </c>
      <c r="O168" s="19">
        <v>1.0</v>
      </c>
      <c r="P168" s="19">
        <v>3.0</v>
      </c>
      <c r="Q168" s="19">
        <v>0.0</v>
      </c>
      <c r="R168" s="19">
        <v>0.0</v>
      </c>
      <c r="S168" s="19">
        <v>0.0</v>
      </c>
      <c r="T168" s="19">
        <v>1.0</v>
      </c>
      <c r="U168" s="19">
        <v>1.0</v>
      </c>
      <c r="V168" s="19">
        <v>1.0</v>
      </c>
      <c r="W168" s="13">
        <f t="shared" ref="W168:W175" si="40">SUM(E168:V168)</f>
        <v>18</v>
      </c>
    </row>
    <row r="169" ht="12.75" customHeight="1">
      <c r="A169" s="30" t="s">
        <v>39</v>
      </c>
      <c r="B169" s="55">
        <v>1.0</v>
      </c>
      <c r="C169" s="50" t="s">
        <v>148</v>
      </c>
      <c r="D169" s="57"/>
      <c r="E169" s="19">
        <v>1.0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1.0</v>
      </c>
      <c r="L169" s="19">
        <v>1.0</v>
      </c>
      <c r="M169" s="19">
        <v>2.0</v>
      </c>
      <c r="N169" s="19">
        <v>0.0</v>
      </c>
      <c r="O169" s="19">
        <v>0.0</v>
      </c>
      <c r="P169" s="19">
        <v>1.0</v>
      </c>
      <c r="Q169" s="19">
        <v>1.0</v>
      </c>
      <c r="R169" s="19">
        <v>0.0</v>
      </c>
      <c r="S169" s="19">
        <v>0.0</v>
      </c>
      <c r="T169" s="19">
        <v>2.0</v>
      </c>
      <c r="U169" s="19">
        <v>0.0</v>
      </c>
      <c r="V169" s="19">
        <v>0.0</v>
      </c>
      <c r="W169" s="13">
        <f t="shared" si="40"/>
        <v>9</v>
      </c>
    </row>
    <row r="170" ht="12.75" customHeight="1">
      <c r="A170" s="18"/>
      <c r="B170" s="55">
        <v>2.0</v>
      </c>
      <c r="C170" s="50" t="s">
        <v>149</v>
      </c>
      <c r="D170" s="57"/>
      <c r="E170" s="19">
        <v>0.0</v>
      </c>
      <c r="F170" s="19">
        <v>2.0</v>
      </c>
      <c r="G170" s="19">
        <v>0.0</v>
      </c>
      <c r="H170" s="19">
        <v>0.0</v>
      </c>
      <c r="I170" s="19">
        <v>0.0</v>
      </c>
      <c r="J170" s="19">
        <v>0.0</v>
      </c>
      <c r="K170" s="19">
        <v>1.0</v>
      </c>
      <c r="L170" s="19">
        <v>0.0</v>
      </c>
      <c r="M170" s="19">
        <v>3.0</v>
      </c>
      <c r="N170" s="19">
        <v>0.0</v>
      </c>
      <c r="O170" s="19">
        <v>0.0</v>
      </c>
      <c r="P170" s="19">
        <v>3.0</v>
      </c>
      <c r="Q170" s="19">
        <v>1.0</v>
      </c>
      <c r="R170" s="19">
        <v>1.0</v>
      </c>
      <c r="S170" s="19">
        <v>0.0</v>
      </c>
      <c r="T170" s="19">
        <v>1.0</v>
      </c>
      <c r="U170" s="19">
        <v>1.0</v>
      </c>
      <c r="V170" s="19">
        <v>1.0</v>
      </c>
      <c r="W170" s="13">
        <f t="shared" si="40"/>
        <v>14</v>
      </c>
    </row>
    <row r="171" ht="12.75" customHeight="1">
      <c r="A171" s="18"/>
      <c r="B171" s="55">
        <v>3.0</v>
      </c>
      <c r="C171" s="50" t="s">
        <v>150</v>
      </c>
      <c r="D171" s="57"/>
      <c r="E171" s="19">
        <v>0.0</v>
      </c>
      <c r="F171" s="19">
        <v>0.0</v>
      </c>
      <c r="G171" s="19">
        <v>1.0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3">
        <f t="shared" si="40"/>
        <v>1</v>
      </c>
    </row>
    <row r="172" ht="12.75" customHeight="1">
      <c r="A172" s="18"/>
      <c r="B172" s="55">
        <v>4.0</v>
      </c>
      <c r="C172" s="50" t="s">
        <v>151</v>
      </c>
      <c r="D172" s="57"/>
      <c r="E172" s="19">
        <v>0.0</v>
      </c>
      <c r="F172" s="19">
        <v>0.0</v>
      </c>
      <c r="G172" s="19">
        <v>7.0</v>
      </c>
      <c r="H172" s="19">
        <v>0.0</v>
      </c>
      <c r="I172" s="19">
        <v>0.0</v>
      </c>
      <c r="J172" s="19">
        <v>1.0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1.0</v>
      </c>
      <c r="Q172" s="19">
        <v>4.0</v>
      </c>
      <c r="R172" s="19">
        <v>1.0</v>
      </c>
      <c r="S172" s="19">
        <v>0.0</v>
      </c>
      <c r="T172" s="19">
        <v>9.0</v>
      </c>
      <c r="U172" s="19">
        <v>11.0</v>
      </c>
      <c r="V172" s="19">
        <v>0.0</v>
      </c>
      <c r="W172" s="13">
        <f t="shared" si="40"/>
        <v>34</v>
      </c>
    </row>
    <row r="173" ht="12.75" customHeight="1">
      <c r="A173" s="18"/>
      <c r="B173" s="55">
        <v>5.0</v>
      </c>
      <c r="C173" s="50" t="s">
        <v>152</v>
      </c>
      <c r="D173" s="57"/>
      <c r="E173" s="19">
        <v>0.0</v>
      </c>
      <c r="F173" s="19">
        <v>1.0</v>
      </c>
      <c r="G173" s="19">
        <v>0.0</v>
      </c>
      <c r="H173" s="19">
        <v>0.0</v>
      </c>
      <c r="I173" s="19">
        <v>0.0</v>
      </c>
      <c r="J173" s="19">
        <v>0.0</v>
      </c>
      <c r="K173" s="19">
        <v>0.0</v>
      </c>
      <c r="L173" s="19">
        <v>0.0</v>
      </c>
      <c r="M173" s="19">
        <v>0.0</v>
      </c>
      <c r="N173" s="19">
        <v>0.0</v>
      </c>
      <c r="O173" s="19">
        <v>0.0</v>
      </c>
      <c r="P173" s="19">
        <v>1.0</v>
      </c>
      <c r="Q173" s="19">
        <v>0.0</v>
      </c>
      <c r="R173" s="19">
        <v>0.0</v>
      </c>
      <c r="S173" s="19">
        <v>1.0</v>
      </c>
      <c r="T173" s="19">
        <v>2.0</v>
      </c>
      <c r="U173" s="19">
        <v>0.0</v>
      </c>
      <c r="V173" s="19">
        <v>0.0</v>
      </c>
      <c r="W173" s="13">
        <f t="shared" si="40"/>
        <v>5</v>
      </c>
    </row>
    <row r="174" ht="12.75" customHeight="1">
      <c r="A174" s="18"/>
      <c r="B174" s="55">
        <v>6.0</v>
      </c>
      <c r="C174" s="50" t="s">
        <v>153</v>
      </c>
      <c r="D174" s="57"/>
      <c r="E174" s="19">
        <v>0.0</v>
      </c>
      <c r="F174" s="19">
        <v>0.0</v>
      </c>
      <c r="G174" s="19">
        <v>0.0</v>
      </c>
      <c r="H174" s="19">
        <v>0.0</v>
      </c>
      <c r="I174" s="19">
        <v>0.0</v>
      </c>
      <c r="J174" s="19">
        <v>0.0</v>
      </c>
      <c r="K174" s="19">
        <v>0.0</v>
      </c>
      <c r="L174" s="19">
        <v>0.0</v>
      </c>
      <c r="M174" s="19">
        <v>0.0</v>
      </c>
      <c r="N174" s="19">
        <v>0.0</v>
      </c>
      <c r="O174" s="19">
        <v>0.0</v>
      </c>
      <c r="P174" s="19">
        <v>0.0</v>
      </c>
      <c r="Q174" s="19">
        <v>0.0</v>
      </c>
      <c r="R174" s="19">
        <v>0.0</v>
      </c>
      <c r="S174" s="19">
        <v>0.0</v>
      </c>
      <c r="T174" s="19">
        <v>0.0</v>
      </c>
      <c r="U174" s="19">
        <v>0.0</v>
      </c>
      <c r="V174" s="19">
        <v>2.0</v>
      </c>
      <c r="W174" s="13">
        <f t="shared" si="40"/>
        <v>2</v>
      </c>
    </row>
    <row r="175" ht="12.75" customHeight="1">
      <c r="A175" s="18"/>
      <c r="B175" s="55">
        <v>7.0</v>
      </c>
      <c r="C175" s="50" t="s">
        <v>154</v>
      </c>
      <c r="D175" s="57"/>
      <c r="E175" s="19">
        <v>0.0</v>
      </c>
      <c r="F175" s="19">
        <v>0.0</v>
      </c>
      <c r="G175" s="19">
        <v>0.0</v>
      </c>
      <c r="H175" s="19">
        <v>0.0</v>
      </c>
      <c r="I175" s="19">
        <v>0.0</v>
      </c>
      <c r="J175" s="19">
        <v>0.0</v>
      </c>
      <c r="K175" s="19">
        <v>0.0</v>
      </c>
      <c r="L175" s="19">
        <v>0.0</v>
      </c>
      <c r="M175" s="19">
        <v>0.0</v>
      </c>
      <c r="N175" s="19">
        <v>0.0</v>
      </c>
      <c r="O175" s="19">
        <v>0.0</v>
      </c>
      <c r="P175" s="19">
        <v>0.0</v>
      </c>
      <c r="Q175" s="19">
        <v>0.0</v>
      </c>
      <c r="R175" s="19">
        <v>0.0</v>
      </c>
      <c r="S175" s="19">
        <v>0.0</v>
      </c>
      <c r="T175" s="19">
        <v>0.0</v>
      </c>
      <c r="U175" s="19">
        <v>0.0</v>
      </c>
      <c r="V175" s="19">
        <v>0.0</v>
      </c>
      <c r="W175" s="13">
        <f t="shared" si="40"/>
        <v>0</v>
      </c>
    </row>
    <row r="176" ht="12.75" customHeight="1">
      <c r="A176" s="19" t="s">
        <v>15</v>
      </c>
      <c r="B176" s="47" t="s">
        <v>47</v>
      </c>
      <c r="C176" s="15"/>
      <c r="D176" s="16"/>
      <c r="E176" s="13">
        <f t="shared" ref="E176:W176" si="41">SUM(E168:E175)</f>
        <v>2</v>
      </c>
      <c r="F176" s="13">
        <f t="shared" si="41"/>
        <v>6</v>
      </c>
      <c r="G176" s="13">
        <f t="shared" si="41"/>
        <v>9</v>
      </c>
      <c r="H176" s="13">
        <f t="shared" si="41"/>
        <v>1</v>
      </c>
      <c r="I176" s="13">
        <f t="shared" si="41"/>
        <v>0</v>
      </c>
      <c r="J176" s="13">
        <f t="shared" si="41"/>
        <v>1</v>
      </c>
      <c r="K176" s="13">
        <f t="shared" si="41"/>
        <v>2</v>
      </c>
      <c r="L176" s="13">
        <f t="shared" si="41"/>
        <v>2</v>
      </c>
      <c r="M176" s="13">
        <f t="shared" si="41"/>
        <v>7</v>
      </c>
      <c r="N176" s="13">
        <f t="shared" si="41"/>
        <v>2</v>
      </c>
      <c r="O176" s="13">
        <f t="shared" si="41"/>
        <v>1</v>
      </c>
      <c r="P176" s="13">
        <f t="shared" si="41"/>
        <v>9</v>
      </c>
      <c r="Q176" s="13">
        <f t="shared" si="41"/>
        <v>6</v>
      </c>
      <c r="R176" s="13">
        <f t="shared" si="41"/>
        <v>2</v>
      </c>
      <c r="S176" s="13">
        <f t="shared" si="41"/>
        <v>1</v>
      </c>
      <c r="T176" s="13">
        <f t="shared" si="41"/>
        <v>15</v>
      </c>
      <c r="U176" s="13">
        <f t="shared" si="41"/>
        <v>13</v>
      </c>
      <c r="V176" s="13">
        <f t="shared" si="41"/>
        <v>4</v>
      </c>
      <c r="W176" s="13">
        <f t="shared" si="41"/>
        <v>83</v>
      </c>
    </row>
    <row r="177" ht="12.75" customHeight="1">
      <c r="A177" s="24"/>
      <c r="B177" s="15"/>
      <c r="C177" s="15"/>
      <c r="D177" s="15"/>
      <c r="E177" s="16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</row>
    <row r="178" ht="12.75" customHeight="1">
      <c r="A178" s="30" t="s">
        <v>37</v>
      </c>
      <c r="B178" s="47" t="s">
        <v>155</v>
      </c>
      <c r="C178" s="48" t="s">
        <v>156</v>
      </c>
      <c r="D178" s="16"/>
      <c r="E178" s="19">
        <v>0.0</v>
      </c>
      <c r="F178" s="19">
        <v>0.0</v>
      </c>
      <c r="G178" s="19">
        <v>0.0</v>
      </c>
      <c r="H178" s="19">
        <v>0.0</v>
      </c>
      <c r="I178" s="19">
        <v>2.0</v>
      </c>
      <c r="J178" s="19">
        <v>1.0</v>
      </c>
      <c r="K178" s="19">
        <v>0.0</v>
      </c>
      <c r="L178" s="19">
        <v>3.0</v>
      </c>
      <c r="M178" s="19">
        <v>0.0</v>
      </c>
      <c r="N178" s="19">
        <v>3.0</v>
      </c>
      <c r="O178" s="19">
        <v>0.0</v>
      </c>
      <c r="P178" s="19">
        <v>0.0</v>
      </c>
      <c r="Q178" s="19">
        <v>0.0</v>
      </c>
      <c r="R178" s="19">
        <v>1.0</v>
      </c>
      <c r="S178" s="19">
        <v>3.0</v>
      </c>
      <c r="T178" s="19">
        <v>2.0</v>
      </c>
      <c r="U178" s="19">
        <v>0.0</v>
      </c>
      <c r="V178" s="19">
        <v>0.0</v>
      </c>
      <c r="W178" s="13">
        <f t="shared" ref="W178:W185" si="42">SUM(E178:V178)</f>
        <v>15</v>
      </c>
    </row>
    <row r="179" ht="12.75" customHeight="1">
      <c r="A179" s="30" t="s">
        <v>39</v>
      </c>
      <c r="B179" s="55">
        <v>1.0</v>
      </c>
      <c r="C179" s="50" t="s">
        <v>157</v>
      </c>
      <c r="D179" s="56"/>
      <c r="E179" s="19">
        <v>1.0</v>
      </c>
      <c r="F179" s="19">
        <v>2.0</v>
      </c>
      <c r="G179" s="19">
        <v>1.0</v>
      </c>
      <c r="H179" s="19">
        <v>0.0</v>
      </c>
      <c r="I179" s="19">
        <v>0.0</v>
      </c>
      <c r="J179" s="19">
        <v>1.0</v>
      </c>
      <c r="K179" s="19">
        <v>1.0</v>
      </c>
      <c r="L179" s="19">
        <v>0.0</v>
      </c>
      <c r="M179" s="19">
        <v>4.0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1.0</v>
      </c>
      <c r="T179" s="19">
        <v>0.0</v>
      </c>
      <c r="U179" s="19">
        <v>0.0</v>
      </c>
      <c r="V179" s="19">
        <v>1.0</v>
      </c>
      <c r="W179" s="13">
        <f t="shared" si="42"/>
        <v>12</v>
      </c>
    </row>
    <row r="180" ht="12.75" customHeight="1">
      <c r="A180" s="18"/>
      <c r="B180" s="55">
        <v>2.0</v>
      </c>
      <c r="C180" s="50" t="s">
        <v>158</v>
      </c>
      <c r="D180" s="56"/>
      <c r="E180" s="19">
        <v>0.0</v>
      </c>
      <c r="F180" s="19">
        <v>1.0</v>
      </c>
      <c r="G180" s="19">
        <v>0.0</v>
      </c>
      <c r="H180" s="19">
        <v>0.0</v>
      </c>
      <c r="I180" s="19">
        <v>1.0</v>
      </c>
      <c r="J180" s="19">
        <v>0.0</v>
      </c>
      <c r="K180" s="19">
        <v>3.0</v>
      </c>
      <c r="L180" s="19">
        <v>6.0</v>
      </c>
      <c r="M180" s="19">
        <v>1.0</v>
      </c>
      <c r="N180" s="19">
        <v>4.0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1.0</v>
      </c>
      <c r="W180" s="13">
        <f t="shared" si="42"/>
        <v>17</v>
      </c>
    </row>
    <row r="181" ht="12.75" customHeight="1">
      <c r="A181" s="18"/>
      <c r="B181" s="55">
        <v>3.0</v>
      </c>
      <c r="C181" s="63" t="s">
        <v>159</v>
      </c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3">
        <f t="shared" si="42"/>
        <v>0</v>
      </c>
    </row>
    <row r="182" ht="12.75" customHeight="1">
      <c r="A182" s="18"/>
      <c r="B182" s="55">
        <v>4.0</v>
      </c>
      <c r="C182" s="50" t="s">
        <v>160</v>
      </c>
      <c r="D182" s="56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1.0</v>
      </c>
      <c r="U182" s="19">
        <v>0.0</v>
      </c>
      <c r="V182" s="19">
        <v>0.0</v>
      </c>
      <c r="W182" s="13">
        <f t="shared" si="42"/>
        <v>1</v>
      </c>
    </row>
    <row r="183" ht="12.75" customHeight="1">
      <c r="A183" s="18"/>
      <c r="B183" s="55">
        <v>5.0</v>
      </c>
      <c r="C183" s="50" t="s">
        <v>161</v>
      </c>
      <c r="D183" s="56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3">
        <f t="shared" si="42"/>
        <v>0</v>
      </c>
    </row>
    <row r="184" ht="12.75" customHeight="1">
      <c r="A184" s="18"/>
      <c r="B184" s="55">
        <v>6.0</v>
      </c>
      <c r="C184" s="50" t="s">
        <v>162</v>
      </c>
      <c r="D184" s="56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1.0</v>
      </c>
      <c r="Q184" s="19">
        <v>0.0</v>
      </c>
      <c r="R184" s="19">
        <v>0.0</v>
      </c>
      <c r="S184" s="19">
        <v>0.0</v>
      </c>
      <c r="T184" s="19">
        <v>0.0</v>
      </c>
      <c r="U184" s="19">
        <v>1.0</v>
      </c>
      <c r="V184" s="19">
        <v>0.0</v>
      </c>
      <c r="W184" s="13">
        <f t="shared" si="42"/>
        <v>2</v>
      </c>
    </row>
    <row r="185" ht="12.75" customHeight="1">
      <c r="A185" s="18"/>
      <c r="B185" s="55">
        <v>7.0</v>
      </c>
      <c r="C185" s="50" t="s">
        <v>163</v>
      </c>
      <c r="D185" s="56"/>
      <c r="E185" s="19">
        <v>0.0</v>
      </c>
      <c r="F185" s="19">
        <v>0.0</v>
      </c>
      <c r="G185" s="19">
        <v>0.0</v>
      </c>
      <c r="H185" s="19">
        <v>0.0</v>
      </c>
      <c r="I185" s="19">
        <v>0.0</v>
      </c>
      <c r="J185" s="19">
        <v>0.0</v>
      </c>
      <c r="K185" s="19">
        <v>0.0</v>
      </c>
      <c r="L185" s="19">
        <v>0.0</v>
      </c>
      <c r="M185" s="19">
        <v>0.0</v>
      </c>
      <c r="N185" s="19">
        <v>0.0</v>
      </c>
      <c r="O185" s="19">
        <v>0.0</v>
      </c>
      <c r="P185" s="19">
        <v>0.0</v>
      </c>
      <c r="Q185" s="19">
        <v>0.0</v>
      </c>
      <c r="R185" s="19">
        <v>0.0</v>
      </c>
      <c r="S185" s="19">
        <v>0.0</v>
      </c>
      <c r="T185" s="19">
        <v>0.0</v>
      </c>
      <c r="U185" s="19">
        <v>0.0</v>
      </c>
      <c r="V185" s="19">
        <v>0.0</v>
      </c>
      <c r="W185" s="13">
        <f t="shared" si="42"/>
        <v>0</v>
      </c>
    </row>
    <row r="186" ht="12.75" customHeight="1">
      <c r="A186" s="19" t="s">
        <v>15</v>
      </c>
      <c r="B186" s="47" t="s">
        <v>47</v>
      </c>
      <c r="C186" s="15"/>
      <c r="D186" s="16"/>
      <c r="E186" s="13">
        <f t="shared" ref="E186:W186" si="43">SUM(E178:E185)</f>
        <v>1</v>
      </c>
      <c r="F186" s="13">
        <f t="shared" si="43"/>
        <v>3</v>
      </c>
      <c r="G186" s="13">
        <f t="shared" si="43"/>
        <v>1</v>
      </c>
      <c r="H186" s="13">
        <f t="shared" si="43"/>
        <v>0</v>
      </c>
      <c r="I186" s="13">
        <f t="shared" si="43"/>
        <v>3</v>
      </c>
      <c r="J186" s="13">
        <f t="shared" si="43"/>
        <v>2</v>
      </c>
      <c r="K186" s="13">
        <f t="shared" si="43"/>
        <v>4</v>
      </c>
      <c r="L186" s="13">
        <f t="shared" si="43"/>
        <v>9</v>
      </c>
      <c r="M186" s="13">
        <f t="shared" si="43"/>
        <v>5</v>
      </c>
      <c r="N186" s="13">
        <f t="shared" si="43"/>
        <v>7</v>
      </c>
      <c r="O186" s="13">
        <f t="shared" si="43"/>
        <v>0</v>
      </c>
      <c r="P186" s="13">
        <f t="shared" si="43"/>
        <v>1</v>
      </c>
      <c r="Q186" s="13">
        <f t="shared" si="43"/>
        <v>0</v>
      </c>
      <c r="R186" s="13">
        <f t="shared" si="43"/>
        <v>1</v>
      </c>
      <c r="S186" s="13">
        <f t="shared" si="43"/>
        <v>4</v>
      </c>
      <c r="T186" s="13">
        <f t="shared" si="43"/>
        <v>3</v>
      </c>
      <c r="U186" s="13">
        <f t="shared" si="43"/>
        <v>1</v>
      </c>
      <c r="V186" s="13">
        <f t="shared" si="43"/>
        <v>2</v>
      </c>
      <c r="W186" s="13">
        <f t="shared" si="43"/>
        <v>47</v>
      </c>
    </row>
    <row r="187" ht="12.75" customHeight="1">
      <c r="A187" s="24"/>
      <c r="B187" s="15"/>
      <c r="C187" s="15"/>
      <c r="D187" s="15"/>
      <c r="E187" s="16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</row>
    <row r="188" ht="12.75" customHeight="1">
      <c r="A188" s="30" t="s">
        <v>37</v>
      </c>
      <c r="B188" s="47" t="s">
        <v>164</v>
      </c>
      <c r="C188" s="48" t="s">
        <v>165</v>
      </c>
      <c r="D188" s="16"/>
      <c r="E188" s="19">
        <v>1.0</v>
      </c>
      <c r="F188" s="19">
        <v>0.0</v>
      </c>
      <c r="G188" s="19">
        <v>0.0</v>
      </c>
      <c r="H188" s="19">
        <v>0.0</v>
      </c>
      <c r="I188" s="19">
        <v>0.0</v>
      </c>
      <c r="J188" s="19">
        <v>2.0</v>
      </c>
      <c r="K188" s="19">
        <v>0.0</v>
      </c>
      <c r="L188" s="19">
        <v>0.0</v>
      </c>
      <c r="M188" s="19">
        <v>0.0</v>
      </c>
      <c r="N188" s="19">
        <v>0.0</v>
      </c>
      <c r="O188" s="19">
        <v>0.0</v>
      </c>
      <c r="P188" s="19">
        <v>0.0</v>
      </c>
      <c r="Q188" s="19">
        <v>0.0</v>
      </c>
      <c r="R188" s="19">
        <v>0.0</v>
      </c>
      <c r="S188" s="19">
        <v>0.0</v>
      </c>
      <c r="T188" s="19">
        <v>0.0</v>
      </c>
      <c r="U188" s="19">
        <v>0.0</v>
      </c>
      <c r="V188" s="19">
        <v>0.0</v>
      </c>
      <c r="W188" s="13">
        <f t="shared" ref="W188:W195" si="44">SUM(E188:V188)</f>
        <v>3</v>
      </c>
    </row>
    <row r="189" ht="12.75" customHeight="1">
      <c r="A189" s="30" t="s">
        <v>39</v>
      </c>
      <c r="B189" s="55">
        <v>1.0</v>
      </c>
      <c r="C189" s="50" t="s">
        <v>166</v>
      </c>
      <c r="D189" s="57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1.0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3">
        <f t="shared" si="44"/>
        <v>1</v>
      </c>
    </row>
    <row r="190" ht="12.75" customHeight="1">
      <c r="A190" s="18"/>
      <c r="B190" s="55">
        <v>2.0</v>
      </c>
      <c r="C190" s="50" t="s">
        <v>167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3">
        <f t="shared" si="44"/>
        <v>0</v>
      </c>
    </row>
    <row r="191" ht="12.75" customHeight="1">
      <c r="A191" s="18"/>
      <c r="B191" s="55">
        <v>3.0</v>
      </c>
      <c r="C191" s="50" t="s">
        <v>168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3">
        <f t="shared" si="44"/>
        <v>0</v>
      </c>
    </row>
    <row r="192" ht="12.75" customHeight="1">
      <c r="A192" s="18"/>
      <c r="B192" s="55">
        <v>4.0</v>
      </c>
      <c r="C192" s="50" t="s">
        <v>169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3">
        <f t="shared" si="44"/>
        <v>0</v>
      </c>
    </row>
    <row r="193" ht="12.75" customHeight="1">
      <c r="A193" s="18"/>
      <c r="B193" s="55">
        <v>5.0</v>
      </c>
      <c r="C193" s="50" t="s">
        <v>170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3">
        <f t="shared" si="44"/>
        <v>0</v>
      </c>
    </row>
    <row r="194" ht="12.75" customHeight="1">
      <c r="A194" s="18"/>
      <c r="B194" s="55">
        <v>6.0</v>
      </c>
      <c r="C194" s="50" t="s">
        <v>171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3">
        <f t="shared" si="44"/>
        <v>0</v>
      </c>
    </row>
    <row r="195" ht="12.75" customHeight="1">
      <c r="A195" s="18"/>
      <c r="B195" s="55">
        <v>7.0</v>
      </c>
      <c r="C195" s="50" t="s">
        <v>172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1.0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3.0</v>
      </c>
      <c r="T195" s="19">
        <v>0.0</v>
      </c>
      <c r="U195" s="19">
        <v>0.0</v>
      </c>
      <c r="V195" s="19">
        <v>0.0</v>
      </c>
      <c r="W195" s="13">
        <f t="shared" si="44"/>
        <v>4</v>
      </c>
    </row>
    <row r="196" ht="12.75" customHeight="1">
      <c r="A196" s="19" t="s">
        <v>15</v>
      </c>
      <c r="B196" s="47" t="s">
        <v>47</v>
      </c>
      <c r="C196" s="15"/>
      <c r="D196" s="16"/>
      <c r="E196" s="13">
        <f t="shared" ref="E196:W196" si="45">SUM(E188:E195)</f>
        <v>1</v>
      </c>
      <c r="F196" s="13">
        <f t="shared" si="45"/>
        <v>0</v>
      </c>
      <c r="G196" s="13">
        <f t="shared" si="45"/>
        <v>0</v>
      </c>
      <c r="H196" s="13">
        <f t="shared" si="45"/>
        <v>0</v>
      </c>
      <c r="I196" s="13">
        <f t="shared" si="45"/>
        <v>0</v>
      </c>
      <c r="J196" s="13">
        <f t="shared" si="45"/>
        <v>4</v>
      </c>
      <c r="K196" s="13">
        <f t="shared" si="45"/>
        <v>0</v>
      </c>
      <c r="L196" s="13">
        <f t="shared" si="45"/>
        <v>0</v>
      </c>
      <c r="M196" s="13">
        <f t="shared" si="45"/>
        <v>0</v>
      </c>
      <c r="N196" s="13">
        <f t="shared" si="45"/>
        <v>0</v>
      </c>
      <c r="O196" s="13">
        <f t="shared" si="45"/>
        <v>0</v>
      </c>
      <c r="P196" s="13">
        <f t="shared" si="45"/>
        <v>0</v>
      </c>
      <c r="Q196" s="13">
        <f t="shared" si="45"/>
        <v>0</v>
      </c>
      <c r="R196" s="13">
        <f t="shared" si="45"/>
        <v>0</v>
      </c>
      <c r="S196" s="13">
        <f t="shared" si="45"/>
        <v>3</v>
      </c>
      <c r="T196" s="13">
        <f t="shared" si="45"/>
        <v>0</v>
      </c>
      <c r="U196" s="13">
        <f t="shared" si="45"/>
        <v>0</v>
      </c>
      <c r="V196" s="13">
        <f t="shared" si="45"/>
        <v>0</v>
      </c>
      <c r="W196" s="13">
        <f t="shared" si="45"/>
        <v>8</v>
      </c>
    </row>
    <row r="197" ht="12.75" customHeight="1">
      <c r="A197" s="24"/>
      <c r="B197" s="15"/>
      <c r="C197" s="15"/>
      <c r="D197" s="15"/>
      <c r="E197" s="16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</row>
    <row r="198" ht="12.75" customHeight="1">
      <c r="A198" s="30" t="s">
        <v>37</v>
      </c>
      <c r="B198" s="47" t="s">
        <v>173</v>
      </c>
      <c r="C198" s="48" t="s">
        <v>174</v>
      </c>
      <c r="D198" s="16"/>
      <c r="E198" s="19">
        <v>1.0</v>
      </c>
      <c r="F198" s="19">
        <v>0.0</v>
      </c>
      <c r="G198" s="19">
        <v>9.0</v>
      </c>
      <c r="H198" s="19">
        <v>6.0</v>
      </c>
      <c r="I198" s="19">
        <v>4.0</v>
      </c>
      <c r="J198" s="19">
        <v>6.0</v>
      </c>
      <c r="K198" s="19">
        <v>1.0</v>
      </c>
      <c r="L198" s="19">
        <v>1.0</v>
      </c>
      <c r="M198" s="19">
        <v>0.0</v>
      </c>
      <c r="N198" s="19">
        <v>1.0</v>
      </c>
      <c r="O198" s="19">
        <v>2.0</v>
      </c>
      <c r="P198" s="19">
        <v>0.0</v>
      </c>
      <c r="Q198" s="19">
        <v>2.0</v>
      </c>
      <c r="R198" s="19">
        <v>0.0</v>
      </c>
      <c r="S198" s="19">
        <v>2.0</v>
      </c>
      <c r="T198" s="19">
        <v>1.0</v>
      </c>
      <c r="U198" s="19">
        <v>4.0</v>
      </c>
      <c r="V198" s="19">
        <v>0.0</v>
      </c>
      <c r="W198" s="13">
        <f t="shared" ref="W198:W205" si="46">SUM(E198:V198)</f>
        <v>40</v>
      </c>
    </row>
    <row r="199" ht="12.75" customHeight="1">
      <c r="A199" s="30" t="s">
        <v>39</v>
      </c>
      <c r="B199" s="55">
        <v>1.0</v>
      </c>
      <c r="C199" s="50" t="s">
        <v>175</v>
      </c>
      <c r="D199" s="57"/>
      <c r="E199" s="19">
        <v>0.0</v>
      </c>
      <c r="F199" s="19">
        <v>1.0</v>
      </c>
      <c r="G199" s="19">
        <v>2.0</v>
      </c>
      <c r="H199" s="19">
        <v>1.0</v>
      </c>
      <c r="I199" s="19">
        <v>1.0</v>
      </c>
      <c r="J199" s="19">
        <v>1.0</v>
      </c>
      <c r="K199" s="19">
        <v>0.0</v>
      </c>
      <c r="L199" s="19">
        <v>0.0</v>
      </c>
      <c r="M199" s="19">
        <v>0.0</v>
      </c>
      <c r="N199" s="19">
        <v>0.0</v>
      </c>
      <c r="O199" s="19">
        <v>0.0</v>
      </c>
      <c r="P199" s="19">
        <v>0.0</v>
      </c>
      <c r="Q199" s="19">
        <v>3.0</v>
      </c>
      <c r="R199" s="19">
        <v>0.0</v>
      </c>
      <c r="S199" s="19">
        <v>0.0</v>
      </c>
      <c r="T199" s="19">
        <v>0.0</v>
      </c>
      <c r="U199" s="19">
        <v>1.0</v>
      </c>
      <c r="V199" s="19">
        <v>0.0</v>
      </c>
      <c r="W199" s="13">
        <f t="shared" si="46"/>
        <v>10</v>
      </c>
    </row>
    <row r="200" ht="12.75" customHeight="1">
      <c r="A200" s="18"/>
      <c r="B200" s="55">
        <v>2.0</v>
      </c>
      <c r="C200" s="50" t="s">
        <v>176</v>
      </c>
      <c r="D200" s="57"/>
      <c r="E200" s="19">
        <v>1.0</v>
      </c>
      <c r="F200" s="19">
        <v>2.0</v>
      </c>
      <c r="G200" s="19">
        <v>0.0</v>
      </c>
      <c r="H200" s="19">
        <v>1.0</v>
      </c>
      <c r="I200" s="19">
        <v>0.0</v>
      </c>
      <c r="J200" s="19">
        <v>0.0</v>
      </c>
      <c r="K200" s="19">
        <v>0.0</v>
      </c>
      <c r="L200" s="19">
        <v>0.0</v>
      </c>
      <c r="M200" s="19">
        <v>0.0</v>
      </c>
      <c r="N200" s="19">
        <v>1.0</v>
      </c>
      <c r="O200" s="19">
        <v>0.0</v>
      </c>
      <c r="P200" s="19">
        <v>0.0</v>
      </c>
      <c r="Q200" s="19">
        <v>5.0</v>
      </c>
      <c r="R200" s="19">
        <v>0.0</v>
      </c>
      <c r="S200" s="19">
        <v>1.0</v>
      </c>
      <c r="T200" s="19">
        <v>0.0</v>
      </c>
      <c r="U200" s="19">
        <v>0.0</v>
      </c>
      <c r="V200" s="19">
        <v>0.0</v>
      </c>
      <c r="W200" s="13">
        <f t="shared" si="46"/>
        <v>11</v>
      </c>
    </row>
    <row r="201" ht="12.75" customHeight="1">
      <c r="A201" s="18"/>
      <c r="B201" s="55">
        <v>3.0</v>
      </c>
      <c r="C201" s="50" t="s">
        <v>177</v>
      </c>
      <c r="D201" s="57"/>
      <c r="E201" s="19">
        <v>0.0</v>
      </c>
      <c r="F201" s="19">
        <v>1.0</v>
      </c>
      <c r="G201" s="19">
        <v>1.0</v>
      </c>
      <c r="H201" s="19">
        <v>0.0</v>
      </c>
      <c r="I201" s="19">
        <v>1.0</v>
      </c>
      <c r="J201" s="19">
        <v>0.0</v>
      </c>
      <c r="K201" s="19">
        <v>0.0</v>
      </c>
      <c r="L201" s="19">
        <v>0.0</v>
      </c>
      <c r="M201" s="19">
        <v>0.0</v>
      </c>
      <c r="N201" s="19">
        <v>0.0</v>
      </c>
      <c r="O201" s="19">
        <v>1.0</v>
      </c>
      <c r="P201" s="19">
        <v>0.0</v>
      </c>
      <c r="Q201" s="19">
        <v>0.0</v>
      </c>
      <c r="R201" s="19">
        <v>1.0</v>
      </c>
      <c r="S201" s="19">
        <v>0.0</v>
      </c>
      <c r="T201" s="19">
        <v>0.0</v>
      </c>
      <c r="U201" s="19">
        <v>0.0</v>
      </c>
      <c r="V201" s="19">
        <v>0.0</v>
      </c>
      <c r="W201" s="13">
        <f t="shared" si="46"/>
        <v>5</v>
      </c>
    </row>
    <row r="202" ht="12.75" customHeight="1">
      <c r="A202" s="18"/>
      <c r="B202" s="55">
        <v>4.0</v>
      </c>
      <c r="C202" s="50" t="s">
        <v>178</v>
      </c>
      <c r="D202" s="57"/>
      <c r="E202" s="19">
        <v>1.0</v>
      </c>
      <c r="F202" s="19">
        <v>0.0</v>
      </c>
      <c r="G202" s="19">
        <v>0.0</v>
      </c>
      <c r="H202" s="19">
        <v>0.0</v>
      </c>
      <c r="I202" s="19">
        <v>0.0</v>
      </c>
      <c r="J202" s="19">
        <v>0.0</v>
      </c>
      <c r="K202" s="19">
        <v>1.0</v>
      </c>
      <c r="L202" s="19">
        <v>0.0</v>
      </c>
      <c r="M202" s="19">
        <v>1.0</v>
      </c>
      <c r="N202" s="19">
        <v>3.0</v>
      </c>
      <c r="O202" s="19">
        <v>0.0</v>
      </c>
      <c r="P202" s="19">
        <v>0.0</v>
      </c>
      <c r="Q202" s="19">
        <v>0.0</v>
      </c>
      <c r="R202" s="19">
        <v>0.0</v>
      </c>
      <c r="S202" s="19">
        <v>0.0</v>
      </c>
      <c r="T202" s="19">
        <v>0.0</v>
      </c>
      <c r="U202" s="19">
        <v>0.0</v>
      </c>
      <c r="V202" s="19">
        <v>0.0</v>
      </c>
      <c r="W202" s="13">
        <f t="shared" si="46"/>
        <v>6</v>
      </c>
    </row>
    <row r="203" ht="12.75" customHeight="1">
      <c r="A203" s="18"/>
      <c r="B203" s="55">
        <v>5.0</v>
      </c>
      <c r="C203" s="50" t="s">
        <v>179</v>
      </c>
      <c r="D203" s="57"/>
      <c r="E203" s="19">
        <v>0.0</v>
      </c>
      <c r="F203" s="19">
        <v>0.0</v>
      </c>
      <c r="G203" s="19">
        <v>1.0</v>
      </c>
      <c r="H203" s="19">
        <v>0.0</v>
      </c>
      <c r="I203" s="19">
        <v>0.0</v>
      </c>
      <c r="J203" s="19">
        <v>0.0</v>
      </c>
      <c r="K203" s="19">
        <v>0.0</v>
      </c>
      <c r="L203" s="19">
        <v>0.0</v>
      </c>
      <c r="M203" s="19">
        <v>0.0</v>
      </c>
      <c r="N203" s="19">
        <v>0.0</v>
      </c>
      <c r="O203" s="19">
        <v>0.0</v>
      </c>
      <c r="P203" s="19">
        <v>0.0</v>
      </c>
      <c r="Q203" s="19">
        <v>0.0</v>
      </c>
      <c r="R203" s="19">
        <v>0.0</v>
      </c>
      <c r="S203" s="19">
        <v>0.0</v>
      </c>
      <c r="T203" s="19">
        <v>0.0</v>
      </c>
      <c r="U203" s="19">
        <v>0.0</v>
      </c>
      <c r="V203" s="19">
        <v>0.0</v>
      </c>
      <c r="W203" s="13">
        <f t="shared" si="46"/>
        <v>1</v>
      </c>
    </row>
    <row r="204" ht="12.75" customHeight="1">
      <c r="A204" s="18"/>
      <c r="B204" s="55">
        <v>6.0</v>
      </c>
      <c r="C204" s="50" t="s">
        <v>180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1.0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0.0</v>
      </c>
      <c r="W204" s="13">
        <f t="shared" si="46"/>
        <v>1</v>
      </c>
    </row>
    <row r="205" ht="12.75" customHeight="1">
      <c r="A205" s="18"/>
      <c r="B205" s="55">
        <v>7.0</v>
      </c>
      <c r="C205" s="50" t="s">
        <v>181</v>
      </c>
      <c r="D205" s="57"/>
      <c r="E205" s="19">
        <v>29.0</v>
      </c>
      <c r="F205" s="19">
        <v>44.0</v>
      </c>
      <c r="G205" s="19">
        <v>38.0</v>
      </c>
      <c r="H205" s="19">
        <v>23.0</v>
      </c>
      <c r="I205" s="19">
        <v>56.0</v>
      </c>
      <c r="J205" s="19">
        <v>6.0</v>
      </c>
      <c r="K205" s="19">
        <v>0.0</v>
      </c>
      <c r="L205" s="19">
        <v>42.0</v>
      </c>
      <c r="M205" s="19">
        <v>7.0</v>
      </c>
      <c r="N205" s="19">
        <v>18.0</v>
      </c>
      <c r="O205" s="19">
        <v>3.0</v>
      </c>
      <c r="P205" s="19">
        <v>0.0</v>
      </c>
      <c r="Q205" s="19">
        <v>5.0</v>
      </c>
      <c r="R205" s="19">
        <v>0.0</v>
      </c>
      <c r="S205" s="19">
        <v>2.0</v>
      </c>
      <c r="T205" s="19">
        <v>0.0</v>
      </c>
      <c r="U205" s="19">
        <v>0.0</v>
      </c>
      <c r="V205" s="19">
        <v>0.0</v>
      </c>
      <c r="W205" s="13">
        <f t="shared" si="46"/>
        <v>273</v>
      </c>
    </row>
    <row r="206" ht="12.75" customHeight="1">
      <c r="A206" s="19" t="s">
        <v>15</v>
      </c>
      <c r="B206" s="47" t="s">
        <v>47</v>
      </c>
      <c r="C206" s="15"/>
      <c r="D206" s="16"/>
      <c r="E206" s="13">
        <f t="shared" ref="E206:W206" si="47">SUM(E198:E205)</f>
        <v>32</v>
      </c>
      <c r="F206" s="13">
        <f t="shared" si="47"/>
        <v>48</v>
      </c>
      <c r="G206" s="13">
        <f t="shared" si="47"/>
        <v>51</v>
      </c>
      <c r="H206" s="13">
        <f t="shared" si="47"/>
        <v>31</v>
      </c>
      <c r="I206" s="13">
        <f t="shared" si="47"/>
        <v>62</v>
      </c>
      <c r="J206" s="13">
        <f t="shared" si="47"/>
        <v>13</v>
      </c>
      <c r="K206" s="13">
        <f t="shared" si="47"/>
        <v>2</v>
      </c>
      <c r="L206" s="13">
        <f t="shared" si="47"/>
        <v>43</v>
      </c>
      <c r="M206" s="13">
        <f t="shared" si="47"/>
        <v>8</v>
      </c>
      <c r="N206" s="13">
        <f t="shared" si="47"/>
        <v>24</v>
      </c>
      <c r="O206" s="13">
        <f t="shared" si="47"/>
        <v>6</v>
      </c>
      <c r="P206" s="13">
        <f t="shared" si="47"/>
        <v>0</v>
      </c>
      <c r="Q206" s="13">
        <f t="shared" si="47"/>
        <v>15</v>
      </c>
      <c r="R206" s="13">
        <f t="shared" si="47"/>
        <v>1</v>
      </c>
      <c r="S206" s="13">
        <f t="shared" si="47"/>
        <v>5</v>
      </c>
      <c r="T206" s="13">
        <f t="shared" si="47"/>
        <v>1</v>
      </c>
      <c r="U206" s="13">
        <f t="shared" si="47"/>
        <v>5</v>
      </c>
      <c r="V206" s="13">
        <f t="shared" si="47"/>
        <v>0</v>
      </c>
      <c r="W206" s="13">
        <f t="shared" si="47"/>
        <v>347</v>
      </c>
    </row>
    <row r="207" ht="12.75" customHeight="1">
      <c r="A207" s="24"/>
      <c r="B207" s="15"/>
      <c r="C207" s="15"/>
      <c r="D207" s="15"/>
      <c r="E207" s="16"/>
    </row>
    <row r="208" ht="12.75" customHeight="1">
      <c r="A208" s="30" t="s">
        <v>37</v>
      </c>
      <c r="B208" s="47" t="s">
        <v>182</v>
      </c>
      <c r="C208" s="48" t="s">
        <v>183</v>
      </c>
      <c r="D208" s="16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1.0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3">
        <f t="shared" ref="W208:W214" si="48">SUM(E208:V208)</f>
        <v>1</v>
      </c>
    </row>
    <row r="209" ht="12.75" customHeight="1">
      <c r="A209" s="30" t="s">
        <v>39</v>
      </c>
      <c r="B209" s="55">
        <v>1.0</v>
      </c>
      <c r="C209" s="61" t="s">
        <v>184</v>
      </c>
      <c r="D209" s="57"/>
      <c r="E209" s="19">
        <v>0.0</v>
      </c>
      <c r="F209" s="19">
        <v>0.0</v>
      </c>
      <c r="G209" s="19">
        <v>1.0</v>
      </c>
      <c r="H209" s="19">
        <v>0.0</v>
      </c>
      <c r="I209" s="19">
        <v>0.0</v>
      </c>
      <c r="J209" s="19">
        <v>0.0</v>
      </c>
      <c r="K209" s="19">
        <v>0.0</v>
      </c>
      <c r="L209" s="19">
        <v>0.0</v>
      </c>
      <c r="M209" s="19">
        <v>2.0</v>
      </c>
      <c r="N209" s="19">
        <v>0.0</v>
      </c>
      <c r="O209" s="19">
        <v>1.0</v>
      </c>
      <c r="P209" s="19">
        <v>0.0</v>
      </c>
      <c r="Q209" s="19">
        <v>1.0</v>
      </c>
      <c r="R209" s="19">
        <v>0.0</v>
      </c>
      <c r="S209" s="19">
        <v>1.0</v>
      </c>
      <c r="T209" s="19">
        <v>1.0</v>
      </c>
      <c r="U209" s="19">
        <v>0.0</v>
      </c>
      <c r="V209" s="19">
        <v>0.0</v>
      </c>
      <c r="W209" s="13">
        <f t="shared" si="48"/>
        <v>7</v>
      </c>
    </row>
    <row r="210" ht="12.75" customHeight="1">
      <c r="A210" s="18"/>
      <c r="B210" s="55">
        <v>2.0</v>
      </c>
      <c r="C210" s="61" t="s">
        <v>185</v>
      </c>
      <c r="D210" s="57"/>
      <c r="E210" s="19">
        <v>0.0</v>
      </c>
      <c r="F210" s="19">
        <v>0.0</v>
      </c>
      <c r="G210" s="19">
        <v>0.0</v>
      </c>
      <c r="H210" s="19">
        <v>0.0</v>
      </c>
      <c r="I210" s="19">
        <v>0.0</v>
      </c>
      <c r="J210" s="19">
        <v>0.0</v>
      </c>
      <c r="K210" s="19">
        <v>0.0</v>
      </c>
      <c r="L210" s="19">
        <v>0.0</v>
      </c>
      <c r="M210" s="19">
        <v>0.0</v>
      </c>
      <c r="N210" s="19">
        <v>0.0</v>
      </c>
      <c r="O210" s="19">
        <v>3.0</v>
      </c>
      <c r="P210" s="19">
        <v>0.0</v>
      </c>
      <c r="Q210" s="19">
        <v>0.0</v>
      </c>
      <c r="R210" s="19">
        <v>0.0</v>
      </c>
      <c r="S210" s="19">
        <v>0.0</v>
      </c>
      <c r="T210" s="19">
        <v>0.0</v>
      </c>
      <c r="U210" s="19">
        <v>0.0</v>
      </c>
      <c r="V210" s="19">
        <v>0.0</v>
      </c>
      <c r="W210" s="13">
        <f t="shared" si="48"/>
        <v>3</v>
      </c>
    </row>
    <row r="211" ht="12.75" customHeight="1">
      <c r="A211" s="18"/>
      <c r="B211" s="55">
        <v>3.0</v>
      </c>
      <c r="C211" s="61" t="s">
        <v>186</v>
      </c>
      <c r="D211" s="57"/>
      <c r="E211" s="19">
        <v>0.0</v>
      </c>
      <c r="F211" s="19">
        <v>0.0</v>
      </c>
      <c r="G211" s="19">
        <v>0.0</v>
      </c>
      <c r="H211" s="19">
        <v>0.0</v>
      </c>
      <c r="I211" s="19">
        <v>0.0</v>
      </c>
      <c r="J211" s="19">
        <v>0.0</v>
      </c>
      <c r="K211" s="19">
        <v>0.0</v>
      </c>
      <c r="L211" s="19">
        <v>0.0</v>
      </c>
      <c r="M211" s="19">
        <v>0.0</v>
      </c>
      <c r="N211" s="19">
        <v>0.0</v>
      </c>
      <c r="O211" s="19">
        <v>0.0</v>
      </c>
      <c r="P211" s="19">
        <v>0.0</v>
      </c>
      <c r="Q211" s="19">
        <v>0.0</v>
      </c>
      <c r="R211" s="19">
        <v>1.0</v>
      </c>
      <c r="S211" s="19">
        <v>0.0</v>
      </c>
      <c r="T211" s="19">
        <v>0.0</v>
      </c>
      <c r="U211" s="19">
        <v>0.0</v>
      </c>
      <c r="V211" s="19">
        <v>0.0</v>
      </c>
      <c r="W211" s="13">
        <f t="shared" si="48"/>
        <v>1</v>
      </c>
    </row>
    <row r="212" ht="12.75" customHeight="1">
      <c r="A212" s="18"/>
      <c r="B212" s="55">
        <v>4.0</v>
      </c>
      <c r="C212" s="61" t="s">
        <v>187</v>
      </c>
      <c r="D212" s="57"/>
      <c r="E212" s="19">
        <v>0.0</v>
      </c>
      <c r="F212" s="19">
        <v>0.0</v>
      </c>
      <c r="G212" s="19">
        <v>0.0</v>
      </c>
      <c r="H212" s="19">
        <v>0.0</v>
      </c>
      <c r="I212" s="19">
        <v>0.0</v>
      </c>
      <c r="J212" s="19">
        <v>0.0</v>
      </c>
      <c r="K212" s="19">
        <v>0.0</v>
      </c>
      <c r="L212" s="19">
        <v>0.0</v>
      </c>
      <c r="M212" s="19">
        <v>0.0</v>
      </c>
      <c r="N212" s="19">
        <v>0.0</v>
      </c>
      <c r="O212" s="19">
        <v>0.0</v>
      </c>
      <c r="P212" s="19">
        <v>0.0</v>
      </c>
      <c r="Q212" s="19">
        <v>0.0</v>
      </c>
      <c r="R212" s="19">
        <v>0.0</v>
      </c>
      <c r="S212" s="19">
        <v>0.0</v>
      </c>
      <c r="T212" s="19">
        <v>0.0</v>
      </c>
      <c r="U212" s="19">
        <v>0.0</v>
      </c>
      <c r="V212" s="19">
        <v>0.0</v>
      </c>
      <c r="W212" s="13">
        <f t="shared" si="48"/>
        <v>0</v>
      </c>
    </row>
    <row r="213" ht="12.75" customHeight="1">
      <c r="A213" s="18"/>
      <c r="B213" s="55">
        <v>5.0</v>
      </c>
      <c r="C213" s="61" t="s">
        <v>188</v>
      </c>
      <c r="D213" s="57"/>
      <c r="E213" s="19">
        <v>0.0</v>
      </c>
      <c r="F213" s="19">
        <v>0.0</v>
      </c>
      <c r="G213" s="19">
        <v>0.0</v>
      </c>
      <c r="H213" s="19">
        <v>0.0</v>
      </c>
      <c r="I213" s="19">
        <v>0.0</v>
      </c>
      <c r="J213" s="19">
        <v>0.0</v>
      </c>
      <c r="K213" s="19">
        <v>0.0</v>
      </c>
      <c r="L213" s="19">
        <v>0.0</v>
      </c>
      <c r="M213" s="19">
        <v>0.0</v>
      </c>
      <c r="N213" s="19">
        <v>1.0</v>
      </c>
      <c r="O213" s="19">
        <v>0.0</v>
      </c>
      <c r="P213" s="19">
        <v>0.0</v>
      </c>
      <c r="Q213" s="19">
        <v>0.0</v>
      </c>
      <c r="R213" s="19">
        <v>1.0</v>
      </c>
      <c r="S213" s="19">
        <v>1.0</v>
      </c>
      <c r="T213" s="19">
        <v>1.0</v>
      </c>
      <c r="U213" s="19">
        <v>0.0</v>
      </c>
      <c r="V213" s="19">
        <v>0.0</v>
      </c>
      <c r="W213" s="13">
        <f t="shared" si="48"/>
        <v>4</v>
      </c>
    </row>
    <row r="214" ht="12.75" customHeight="1">
      <c r="A214" s="18"/>
      <c r="B214" s="55">
        <v>6.0</v>
      </c>
      <c r="C214" s="61" t="s">
        <v>189</v>
      </c>
      <c r="D214" s="57"/>
      <c r="E214" s="19">
        <v>1.0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0.0</v>
      </c>
      <c r="Q214" s="19">
        <v>0.0</v>
      </c>
      <c r="R214" s="19">
        <v>0.0</v>
      </c>
      <c r="S214" s="19">
        <v>0.0</v>
      </c>
      <c r="T214" s="19">
        <v>0.0</v>
      </c>
      <c r="U214" s="19">
        <v>0.0</v>
      </c>
      <c r="V214" s="19">
        <v>0.0</v>
      </c>
      <c r="W214" s="13">
        <f t="shared" si="48"/>
        <v>1</v>
      </c>
    </row>
    <row r="215" ht="12.75" customHeight="1">
      <c r="A215" s="19" t="s">
        <v>15</v>
      </c>
      <c r="B215" s="47" t="s">
        <v>47</v>
      </c>
      <c r="C215" s="15"/>
      <c r="D215" s="16"/>
      <c r="E215" s="13">
        <f t="shared" ref="E215:W215" si="49">SUM(E208:E214)</f>
        <v>1</v>
      </c>
      <c r="F215" s="13">
        <f t="shared" si="49"/>
        <v>0</v>
      </c>
      <c r="G215" s="13">
        <f t="shared" si="49"/>
        <v>1</v>
      </c>
      <c r="H215" s="13">
        <f t="shared" si="49"/>
        <v>0</v>
      </c>
      <c r="I215" s="13">
        <f t="shared" si="49"/>
        <v>0</v>
      </c>
      <c r="J215" s="13">
        <f t="shared" si="49"/>
        <v>0</v>
      </c>
      <c r="K215" s="13">
        <f t="shared" si="49"/>
        <v>0</v>
      </c>
      <c r="L215" s="13">
        <f t="shared" si="49"/>
        <v>0</v>
      </c>
      <c r="M215" s="13">
        <f t="shared" si="49"/>
        <v>2</v>
      </c>
      <c r="N215" s="13">
        <f t="shared" si="49"/>
        <v>1</v>
      </c>
      <c r="O215" s="13">
        <f t="shared" si="49"/>
        <v>4</v>
      </c>
      <c r="P215" s="13">
        <f t="shared" si="49"/>
        <v>0</v>
      </c>
      <c r="Q215" s="13">
        <f t="shared" si="49"/>
        <v>2</v>
      </c>
      <c r="R215" s="13">
        <f t="shared" si="49"/>
        <v>2</v>
      </c>
      <c r="S215" s="13">
        <f t="shared" si="49"/>
        <v>2</v>
      </c>
      <c r="T215" s="13">
        <f t="shared" si="49"/>
        <v>2</v>
      </c>
      <c r="U215" s="13">
        <f t="shared" si="49"/>
        <v>0</v>
      </c>
      <c r="V215" s="13">
        <f t="shared" si="49"/>
        <v>0</v>
      </c>
      <c r="W215" s="13">
        <f t="shared" si="49"/>
        <v>17</v>
      </c>
    </row>
    <row r="216" ht="12.75" customHeight="1"/>
    <row r="217" ht="12.75" customHeight="1">
      <c r="A217" s="42" t="s">
        <v>190</v>
      </c>
      <c r="B217" s="14" t="s">
        <v>191</v>
      </c>
      <c r="C217" s="15"/>
      <c r="D217" s="16"/>
      <c r="E217" s="13"/>
      <c r="F217" s="13"/>
      <c r="G217" s="13"/>
      <c r="H217" s="13"/>
      <c r="I217" s="13"/>
      <c r="J217" s="13"/>
      <c r="K217" s="13"/>
      <c r="L217" s="13"/>
      <c r="M217" s="13"/>
      <c r="N217" s="71"/>
      <c r="O217" s="71"/>
      <c r="P217" s="71"/>
      <c r="Q217" s="71"/>
      <c r="R217" s="13"/>
      <c r="S217" s="13"/>
      <c r="T217" s="71"/>
      <c r="U217" s="71"/>
      <c r="V217" s="71"/>
      <c r="W217" s="13"/>
    </row>
    <row r="218" ht="12.75" customHeight="1">
      <c r="A218" s="42"/>
      <c r="B218" s="64" t="s">
        <v>192</v>
      </c>
      <c r="C218" s="65" t="s">
        <v>193</v>
      </c>
      <c r="D218" s="16"/>
      <c r="E218" s="19">
        <f t="shared" ref="E218:V218" si="50">E53+E63+E73+E83+E93+E103+E109+E119+E129+E136+E146+E156+E166+E176+E186+E196+E206+E215</f>
        <v>210</v>
      </c>
      <c r="F218" s="19">
        <f t="shared" si="50"/>
        <v>217</v>
      </c>
      <c r="G218" s="19">
        <f t="shared" si="50"/>
        <v>187</v>
      </c>
      <c r="H218" s="19">
        <f t="shared" si="50"/>
        <v>184</v>
      </c>
      <c r="I218" s="19">
        <f t="shared" si="50"/>
        <v>184</v>
      </c>
      <c r="J218" s="19">
        <f t="shared" si="50"/>
        <v>210</v>
      </c>
      <c r="K218" s="19">
        <f t="shared" si="50"/>
        <v>97</v>
      </c>
      <c r="L218" s="19">
        <f t="shared" si="50"/>
        <v>191</v>
      </c>
      <c r="M218" s="19">
        <f t="shared" si="50"/>
        <v>170</v>
      </c>
      <c r="N218" s="19">
        <f t="shared" si="50"/>
        <v>198</v>
      </c>
      <c r="O218" s="19">
        <f t="shared" si="50"/>
        <v>134</v>
      </c>
      <c r="P218" s="19">
        <f t="shared" si="50"/>
        <v>204</v>
      </c>
      <c r="Q218" s="19">
        <f t="shared" si="50"/>
        <v>188</v>
      </c>
      <c r="R218" s="19">
        <f t="shared" si="50"/>
        <v>192</v>
      </c>
      <c r="S218" s="19">
        <f t="shared" si="50"/>
        <v>201</v>
      </c>
      <c r="T218" s="19">
        <f t="shared" si="50"/>
        <v>183</v>
      </c>
      <c r="U218" s="19">
        <f t="shared" si="50"/>
        <v>197</v>
      </c>
      <c r="V218" s="19">
        <f t="shared" si="50"/>
        <v>173</v>
      </c>
      <c r="W218" s="13">
        <f t="shared" ref="W218:W220" si="51">SUM(E218:V218)</f>
        <v>3320</v>
      </c>
    </row>
    <row r="219" ht="12.75" customHeight="1">
      <c r="A219" s="35"/>
      <c r="B219" s="64" t="s">
        <v>194</v>
      </c>
      <c r="C219" s="65" t="s">
        <v>195</v>
      </c>
      <c r="D219" s="16"/>
      <c r="E219" s="19">
        <v>18.0</v>
      </c>
      <c r="F219" s="19">
        <v>15.0</v>
      </c>
      <c r="G219" s="19">
        <v>20.0</v>
      </c>
      <c r="H219" s="19">
        <v>31.0</v>
      </c>
      <c r="I219" s="19">
        <v>24.0</v>
      </c>
      <c r="J219" s="19">
        <v>19.0</v>
      </c>
      <c r="K219" s="19">
        <v>33.0</v>
      </c>
      <c r="L219" s="19">
        <v>37.0</v>
      </c>
      <c r="M219" s="19">
        <v>23.0</v>
      </c>
      <c r="N219" s="19">
        <v>23.0</v>
      </c>
      <c r="O219" s="19">
        <v>5.0</v>
      </c>
      <c r="P219" s="19">
        <v>46.0</v>
      </c>
      <c r="Q219" s="19">
        <v>42.0</v>
      </c>
      <c r="R219" s="19">
        <v>36.0</v>
      </c>
      <c r="S219" s="19">
        <v>28.0</v>
      </c>
      <c r="T219" s="19">
        <v>41.0</v>
      </c>
      <c r="U219" s="19">
        <v>13.0</v>
      </c>
      <c r="V219" s="19">
        <v>15.0</v>
      </c>
      <c r="W219" s="13">
        <f t="shared" si="51"/>
        <v>469</v>
      </c>
    </row>
    <row r="220" ht="12.75" customHeight="1">
      <c r="A220" s="41"/>
      <c r="B220" s="64" t="s">
        <v>196</v>
      </c>
      <c r="C220" s="65" t="s">
        <v>197</v>
      </c>
      <c r="D220" s="16"/>
      <c r="E220" s="13">
        <f t="shared" ref="E220:V220" si="52">SUM(E218:E219)</f>
        <v>228</v>
      </c>
      <c r="F220" s="13">
        <f t="shared" si="52"/>
        <v>232</v>
      </c>
      <c r="G220" s="13">
        <f t="shared" si="52"/>
        <v>207</v>
      </c>
      <c r="H220" s="13">
        <f t="shared" si="52"/>
        <v>215</v>
      </c>
      <c r="I220" s="13">
        <f t="shared" si="52"/>
        <v>208</v>
      </c>
      <c r="J220" s="13">
        <f t="shared" si="52"/>
        <v>229</v>
      </c>
      <c r="K220" s="13">
        <f t="shared" si="52"/>
        <v>130</v>
      </c>
      <c r="L220" s="13">
        <f t="shared" si="52"/>
        <v>228</v>
      </c>
      <c r="M220" s="13">
        <f t="shared" si="52"/>
        <v>193</v>
      </c>
      <c r="N220" s="13">
        <f t="shared" si="52"/>
        <v>221</v>
      </c>
      <c r="O220" s="13">
        <f t="shared" si="52"/>
        <v>139</v>
      </c>
      <c r="P220" s="13">
        <f t="shared" si="52"/>
        <v>250</v>
      </c>
      <c r="Q220" s="13">
        <f t="shared" si="52"/>
        <v>230</v>
      </c>
      <c r="R220" s="13">
        <f t="shared" si="52"/>
        <v>228</v>
      </c>
      <c r="S220" s="13">
        <f t="shared" si="52"/>
        <v>229</v>
      </c>
      <c r="T220" s="13">
        <f t="shared" si="52"/>
        <v>224</v>
      </c>
      <c r="U220" s="13">
        <f t="shared" si="52"/>
        <v>210</v>
      </c>
      <c r="V220" s="13">
        <f t="shared" si="52"/>
        <v>188</v>
      </c>
      <c r="W220" s="13">
        <f t="shared" si="51"/>
        <v>3789</v>
      </c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63:D63"/>
    <mergeCell ref="A64:E64"/>
    <mergeCell ref="C65:D65"/>
    <mergeCell ref="B73:D73"/>
    <mergeCell ref="A74:E74"/>
    <mergeCell ref="C75:D75"/>
    <mergeCell ref="B83:D83"/>
    <mergeCell ref="A84:E84"/>
    <mergeCell ref="C85:D85"/>
    <mergeCell ref="B93:D93"/>
    <mergeCell ref="A94:E94"/>
    <mergeCell ref="C95:D95"/>
    <mergeCell ref="B103:D103"/>
    <mergeCell ref="A104:E104"/>
    <mergeCell ref="C105:D105"/>
    <mergeCell ref="B109:D109"/>
    <mergeCell ref="A110:E110"/>
    <mergeCell ref="C111:D111"/>
    <mergeCell ref="B119:D119"/>
    <mergeCell ref="A120:E120"/>
    <mergeCell ref="C121:D121"/>
    <mergeCell ref="B129:D129"/>
    <mergeCell ref="A130:E130"/>
    <mergeCell ref="C131:D131"/>
    <mergeCell ref="B136:D136"/>
    <mergeCell ref="A137:E137"/>
    <mergeCell ref="C138:D138"/>
    <mergeCell ref="B146:D146"/>
    <mergeCell ref="A147:E147"/>
    <mergeCell ref="C148:D148"/>
    <mergeCell ref="B156:D156"/>
    <mergeCell ref="A157:E157"/>
    <mergeCell ref="C158:D158"/>
    <mergeCell ref="B166:D166"/>
    <mergeCell ref="A167:E167"/>
    <mergeCell ref="C168:D168"/>
    <mergeCell ref="B176:D176"/>
    <mergeCell ref="A177:E177"/>
    <mergeCell ref="C178:D178"/>
    <mergeCell ref="B186:D186"/>
    <mergeCell ref="A187:E187"/>
    <mergeCell ref="C188:D188"/>
    <mergeCell ref="B217:D217"/>
    <mergeCell ref="C218:D218"/>
    <mergeCell ref="C219:D219"/>
    <mergeCell ref="C220:D220"/>
    <mergeCell ref="B196:D196"/>
    <mergeCell ref="A197:E197"/>
    <mergeCell ref="C198:D198"/>
    <mergeCell ref="B206:D206"/>
    <mergeCell ref="A207:E207"/>
    <mergeCell ref="C208:D208"/>
    <mergeCell ref="B215:D215"/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3:D53"/>
    <mergeCell ref="A54:E54"/>
    <mergeCell ref="C55:D55"/>
    <mergeCell ref="C46:D46"/>
    <mergeCell ref="C47:D47"/>
    <mergeCell ref="C48:D48"/>
    <mergeCell ref="C49:D49"/>
    <mergeCell ref="C50:D50"/>
    <mergeCell ref="C51:D51"/>
    <mergeCell ref="C52:D52"/>
  </mergeCells>
  <conditionalFormatting sqref="E14:V15">
    <cfRule type="containsBlanks" dxfId="0" priority="1">
      <formula>LEN(TRIM(E14))=0</formula>
    </cfRule>
  </conditionalFormatting>
  <conditionalFormatting sqref="E19:V20">
    <cfRule type="containsBlanks" dxfId="0" priority="2">
      <formula>LEN(TRIM(E19))=0</formula>
    </cfRule>
  </conditionalFormatting>
  <conditionalFormatting sqref="E22:V23 E25:V26 E33:V33 E35:V35 E39:V40">
    <cfRule type="containsBlanks" dxfId="0" priority="3">
      <formula>LEN(TRIM(E22))=0</formula>
    </cfRule>
  </conditionalFormatting>
  <conditionalFormatting sqref="E30:V30">
    <cfRule type="expression" dxfId="1" priority="4">
      <formula>E30&lt;&gt;E47</formula>
    </cfRule>
  </conditionalFormatting>
  <conditionalFormatting sqref="E30:V30">
    <cfRule type="expression" dxfId="1" priority="5">
      <formula>E30&lt;&gt;E34</formula>
    </cfRule>
  </conditionalFormatting>
  <conditionalFormatting sqref="E45:V52">
    <cfRule type="containsBlanks" dxfId="0" priority="6">
      <formula>LEN(TRIM(E45))=0</formula>
    </cfRule>
  </conditionalFormatting>
  <conditionalFormatting sqref="E55:V62">
    <cfRule type="containsBlanks" dxfId="0" priority="7">
      <formula>LEN(TRIM(E55))=0</formula>
    </cfRule>
  </conditionalFormatting>
  <conditionalFormatting sqref="E65:V72">
    <cfRule type="containsBlanks" dxfId="0" priority="8">
      <formula>LEN(TRIM(E65))=0</formula>
    </cfRule>
  </conditionalFormatting>
  <conditionalFormatting sqref="E75:V82">
    <cfRule type="containsBlanks" dxfId="0" priority="9">
      <formula>LEN(TRIM(E75))=0</formula>
    </cfRule>
  </conditionalFormatting>
  <conditionalFormatting sqref="E85:V92">
    <cfRule type="containsBlanks" dxfId="0" priority="10">
      <formula>LEN(TRIM(E85))=0</formula>
    </cfRule>
  </conditionalFormatting>
  <conditionalFormatting sqref="E95:V102">
    <cfRule type="containsBlanks" dxfId="0" priority="11">
      <formula>LEN(TRIM(E95))=0</formula>
    </cfRule>
  </conditionalFormatting>
  <conditionalFormatting sqref="E105:V108">
    <cfRule type="containsBlanks" dxfId="0" priority="12">
      <formula>LEN(TRIM(E105))=0</formula>
    </cfRule>
  </conditionalFormatting>
  <conditionalFormatting sqref="E111:V118">
    <cfRule type="containsBlanks" dxfId="0" priority="13">
      <formula>LEN(TRIM(E111))=0</formula>
    </cfRule>
  </conditionalFormatting>
  <conditionalFormatting sqref="E121:V128">
    <cfRule type="containsBlanks" dxfId="0" priority="14">
      <formula>LEN(TRIM(E121))=0</formula>
    </cfRule>
  </conditionalFormatting>
  <conditionalFormatting sqref="E131:V135">
    <cfRule type="containsBlanks" dxfId="0" priority="15">
      <formula>LEN(TRIM(E131))=0</formula>
    </cfRule>
  </conditionalFormatting>
  <conditionalFormatting sqref="E138:V145">
    <cfRule type="containsBlanks" dxfId="0" priority="16">
      <formula>LEN(TRIM(E138))=0</formula>
    </cfRule>
  </conditionalFormatting>
  <conditionalFormatting sqref="E148:V155">
    <cfRule type="containsBlanks" dxfId="0" priority="17">
      <formula>LEN(TRIM(E148))=0</formula>
    </cfRule>
  </conditionalFormatting>
  <conditionalFormatting sqref="E158:V165">
    <cfRule type="containsBlanks" dxfId="0" priority="18">
      <formula>LEN(TRIM(E158))=0</formula>
    </cfRule>
  </conditionalFormatting>
  <conditionalFormatting sqref="E168:V175">
    <cfRule type="containsBlanks" dxfId="0" priority="19">
      <formula>LEN(TRIM(E168))=0</formula>
    </cfRule>
  </conditionalFormatting>
  <conditionalFormatting sqref="E178:V185">
    <cfRule type="containsBlanks" dxfId="0" priority="20">
      <formula>LEN(TRIM(E178))=0</formula>
    </cfRule>
  </conditionalFormatting>
  <conditionalFormatting sqref="E188:V195">
    <cfRule type="containsBlanks" dxfId="0" priority="21">
      <formula>LEN(TRIM(E188))=0</formula>
    </cfRule>
  </conditionalFormatting>
  <conditionalFormatting sqref="E198:V205">
    <cfRule type="containsBlanks" dxfId="0" priority="22">
      <formula>LEN(TRIM(E198))=0</formula>
    </cfRule>
  </conditionalFormatting>
  <conditionalFormatting sqref="E208:V214">
    <cfRule type="containsBlanks" dxfId="0" priority="23">
      <formula>LEN(TRIM(E208))=0</formula>
    </cfRule>
  </conditionalFormatting>
  <conditionalFormatting sqref="E218:V219">
    <cfRule type="containsBlanks" dxfId="0" priority="24">
      <formula>LEN(TRIM(E218))=0</formula>
    </cfRule>
  </conditionalFormatting>
  <conditionalFormatting sqref="E34:V34">
    <cfRule type="expression" dxfId="2" priority="25">
      <formula>E30&lt;&gt;E34</formula>
    </cfRule>
  </conditionalFormatting>
  <conditionalFormatting sqref="E34:V34">
    <cfRule type="expression" dxfId="3" priority="26">
      <formula>E30=E34</formula>
    </cfRule>
  </conditionalFormatting>
  <conditionalFormatting sqref="E34:V34">
    <cfRule type="expression" dxfId="1" priority="27">
      <formula>E34&lt;&gt;E30</formula>
    </cfRule>
  </conditionalFormatting>
  <conditionalFormatting sqref="E34:V34">
    <cfRule type="expression" dxfId="1" priority="28">
      <formula>E34&lt;&gt;E62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6" width="8.71"/>
    <col customWidth="1" min="57" max="57" width="13.29"/>
  </cols>
  <sheetData>
    <row r="1" ht="12.75" customHeight="1"/>
    <row r="2" ht="12.75" customHeight="1">
      <c r="C2" s="8" t="s">
        <v>0</v>
      </c>
      <c r="D2" s="8" t="s">
        <v>198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199</v>
      </c>
      <c r="D9" s="8" t="s">
        <v>243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1"/>
      <c r="R11" s="1"/>
      <c r="S11" s="1"/>
      <c r="T11" s="1"/>
      <c r="U11" s="1"/>
      <c r="V11" s="1"/>
      <c r="W11" s="1"/>
      <c r="X11" s="1"/>
      <c r="Y11" s="2"/>
      <c r="AB11" s="1"/>
      <c r="AC11" s="1"/>
      <c r="AD11" s="1"/>
      <c r="AE11" s="1"/>
      <c r="AF11" s="1"/>
      <c r="AG11" s="1"/>
      <c r="AH11" s="1"/>
      <c r="AI11" s="1"/>
      <c r="AJ11" s="2"/>
      <c r="AM11" s="1"/>
      <c r="AN11" s="1"/>
      <c r="AO11" s="1"/>
      <c r="AP11" s="1"/>
      <c r="AQ11" s="1"/>
      <c r="AR11" s="1"/>
      <c r="AS11" s="1"/>
      <c r="AT11" s="1"/>
      <c r="AU11" s="2"/>
      <c r="AX11" s="1"/>
      <c r="AY11" s="1"/>
      <c r="AZ11" s="1"/>
      <c r="BA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201</v>
      </c>
      <c r="F13" s="13" t="s">
        <v>202</v>
      </c>
      <c r="G13" s="13" t="s">
        <v>203</v>
      </c>
      <c r="H13" s="13" t="s">
        <v>204</v>
      </c>
      <c r="I13" s="13" t="s">
        <v>205</v>
      </c>
      <c r="J13" s="13" t="s">
        <v>206</v>
      </c>
      <c r="K13" s="13" t="s">
        <v>207</v>
      </c>
      <c r="L13" s="13" t="s">
        <v>208</v>
      </c>
      <c r="M13" s="13" t="s">
        <v>209</v>
      </c>
      <c r="N13" s="13" t="s">
        <v>210</v>
      </c>
      <c r="O13" s="13" t="s">
        <v>211</v>
      </c>
      <c r="P13" s="13" t="s">
        <v>212</v>
      </c>
      <c r="Q13" s="13" t="s">
        <v>213</v>
      </c>
      <c r="R13" s="13" t="s">
        <v>214</v>
      </c>
      <c r="S13" s="13" t="s">
        <v>215</v>
      </c>
      <c r="T13" s="13" t="s">
        <v>216</v>
      </c>
      <c r="U13" s="13" t="s">
        <v>217</v>
      </c>
      <c r="V13" s="13" t="s">
        <v>218</v>
      </c>
      <c r="W13" s="13" t="s">
        <v>219</v>
      </c>
      <c r="X13" s="13" t="s">
        <v>220</v>
      </c>
      <c r="Y13" s="13" t="s">
        <v>221</v>
      </c>
      <c r="Z13" s="13" t="s">
        <v>222</v>
      </c>
      <c r="AA13" s="13" t="s">
        <v>223</v>
      </c>
      <c r="AB13" s="13" t="s">
        <v>224</v>
      </c>
      <c r="AC13" s="13" t="s">
        <v>227</v>
      </c>
      <c r="AD13" s="13" t="s">
        <v>228</v>
      </c>
      <c r="AE13" s="13" t="s">
        <v>229</v>
      </c>
      <c r="AF13" s="13" t="s">
        <v>230</v>
      </c>
      <c r="AG13" s="13" t="s">
        <v>231</v>
      </c>
      <c r="AH13" s="13" t="s">
        <v>232</v>
      </c>
      <c r="AI13" s="13" t="s">
        <v>233</v>
      </c>
      <c r="AJ13" s="13" t="s">
        <v>234</v>
      </c>
      <c r="AK13" s="13" t="s">
        <v>235</v>
      </c>
      <c r="AL13" s="13" t="s">
        <v>236</v>
      </c>
      <c r="AM13" s="13" t="s">
        <v>237</v>
      </c>
      <c r="AN13" s="13" t="s">
        <v>238</v>
      </c>
      <c r="AO13" s="13" t="s">
        <v>239</v>
      </c>
      <c r="AP13" s="13" t="s">
        <v>240</v>
      </c>
      <c r="AQ13" s="13" t="s">
        <v>241</v>
      </c>
      <c r="AR13" s="13" t="s">
        <v>244</v>
      </c>
      <c r="AS13" s="13" t="s">
        <v>245</v>
      </c>
      <c r="AT13" s="13" t="s">
        <v>246</v>
      </c>
      <c r="AU13" s="13" t="s">
        <v>247</v>
      </c>
      <c r="AV13" s="13" t="s">
        <v>248</v>
      </c>
      <c r="AW13" s="13" t="s">
        <v>249</v>
      </c>
      <c r="AX13" s="13" t="s">
        <v>250</v>
      </c>
      <c r="AY13" s="13" t="s">
        <v>251</v>
      </c>
      <c r="AZ13" s="13" t="s">
        <v>252</v>
      </c>
      <c r="BA13" s="13" t="s">
        <v>253</v>
      </c>
      <c r="BB13" s="13" t="s">
        <v>254</v>
      </c>
      <c r="BC13" s="13" t="s">
        <v>255</v>
      </c>
      <c r="BD13" s="13" t="s">
        <v>256</v>
      </c>
      <c r="BE13" s="36"/>
    </row>
    <row r="14" ht="12.75" customHeight="1">
      <c r="A14" s="18"/>
      <c r="B14" s="22" t="s">
        <v>11</v>
      </c>
      <c r="C14" s="23"/>
      <c r="D14" s="19" t="s">
        <v>12</v>
      </c>
      <c r="E14" s="19">
        <v>138.0</v>
      </c>
      <c r="F14" s="19">
        <v>139.0</v>
      </c>
      <c r="G14" s="19">
        <v>141.0</v>
      </c>
      <c r="H14" s="19">
        <v>142.0</v>
      </c>
      <c r="I14" s="19">
        <v>141.0</v>
      </c>
      <c r="J14" s="19">
        <v>101.0</v>
      </c>
      <c r="K14" s="19">
        <v>124.0</v>
      </c>
      <c r="L14" s="19">
        <v>133.0</v>
      </c>
      <c r="M14" s="19">
        <v>108.0</v>
      </c>
      <c r="N14" s="19">
        <v>93.0</v>
      </c>
      <c r="O14" s="19">
        <v>138.0</v>
      </c>
      <c r="P14" s="19">
        <v>122.0</v>
      </c>
      <c r="Q14" s="19">
        <v>138.0</v>
      </c>
      <c r="R14" s="19">
        <v>144.0</v>
      </c>
      <c r="S14" s="19">
        <v>140.0</v>
      </c>
      <c r="T14" s="19">
        <v>125.0</v>
      </c>
      <c r="U14" s="19">
        <v>124.0</v>
      </c>
      <c r="V14" s="19">
        <v>128.0</v>
      </c>
      <c r="W14" s="19">
        <v>112.0</v>
      </c>
      <c r="X14" s="19">
        <v>95.0</v>
      </c>
      <c r="Y14" s="19">
        <v>140.0</v>
      </c>
      <c r="Z14" s="19">
        <v>128.0</v>
      </c>
      <c r="AA14" s="19">
        <v>139.0</v>
      </c>
      <c r="AB14" s="19">
        <v>146.0</v>
      </c>
      <c r="AC14" s="19">
        <v>149.0</v>
      </c>
      <c r="AD14" s="19">
        <v>140.0</v>
      </c>
      <c r="AE14" s="19">
        <v>107.0</v>
      </c>
      <c r="AF14" s="19">
        <v>142.0</v>
      </c>
      <c r="AG14" s="19">
        <v>142.0</v>
      </c>
      <c r="AH14" s="19">
        <v>141.0</v>
      </c>
      <c r="AI14" s="19">
        <v>133.0</v>
      </c>
      <c r="AJ14" s="19">
        <v>135.0</v>
      </c>
      <c r="AK14" s="19">
        <v>132.0</v>
      </c>
      <c r="AL14" s="19">
        <v>146.0</v>
      </c>
      <c r="AM14" s="19">
        <v>127.0</v>
      </c>
      <c r="AN14" s="19">
        <v>148.0</v>
      </c>
      <c r="AO14" s="19">
        <v>143.0</v>
      </c>
      <c r="AP14" s="19">
        <v>131.0</v>
      </c>
      <c r="AQ14" s="19">
        <v>98.0</v>
      </c>
      <c r="AR14" s="19">
        <v>143.0</v>
      </c>
      <c r="AS14" s="19">
        <v>135.0</v>
      </c>
      <c r="AT14" s="19">
        <v>136.0</v>
      </c>
      <c r="AU14" s="19">
        <v>137.0</v>
      </c>
      <c r="AV14" s="19">
        <v>139.0</v>
      </c>
      <c r="AW14" s="19">
        <v>123.0</v>
      </c>
      <c r="AX14" s="19">
        <v>125.0</v>
      </c>
      <c r="AY14" s="19">
        <v>91.0</v>
      </c>
      <c r="AZ14" s="19">
        <v>137.0</v>
      </c>
      <c r="BA14" s="19">
        <v>121.0</v>
      </c>
      <c r="BB14" s="19">
        <v>125.0</v>
      </c>
      <c r="BC14" s="19">
        <v>121.0</v>
      </c>
      <c r="BD14" s="19">
        <v>116.0</v>
      </c>
      <c r="BE14" s="13">
        <f t="shared" ref="BE14:BE16" si="1">SUM(E14:BD14)</f>
        <v>6742</v>
      </c>
    </row>
    <row r="15" ht="12.75" customHeight="1">
      <c r="A15" s="18"/>
      <c r="B15" s="26"/>
      <c r="C15" s="27"/>
      <c r="D15" s="19" t="s">
        <v>13</v>
      </c>
      <c r="E15" s="19">
        <v>128.0</v>
      </c>
      <c r="F15" s="19">
        <v>132.0</v>
      </c>
      <c r="G15" s="19">
        <v>148.0</v>
      </c>
      <c r="H15" s="19">
        <v>139.0</v>
      </c>
      <c r="I15" s="19">
        <v>142.0</v>
      </c>
      <c r="J15" s="19">
        <v>125.0</v>
      </c>
      <c r="K15" s="19">
        <v>155.0</v>
      </c>
      <c r="L15" s="19">
        <v>131.0</v>
      </c>
      <c r="M15" s="19">
        <v>107.0</v>
      </c>
      <c r="N15" s="19">
        <v>94.0</v>
      </c>
      <c r="O15" s="19">
        <v>156.0</v>
      </c>
      <c r="P15" s="19">
        <v>129.0</v>
      </c>
      <c r="Q15" s="19">
        <v>148.0</v>
      </c>
      <c r="R15" s="19">
        <v>139.0</v>
      </c>
      <c r="S15" s="19">
        <v>136.0</v>
      </c>
      <c r="T15" s="19">
        <v>132.0</v>
      </c>
      <c r="U15" s="19">
        <v>139.0</v>
      </c>
      <c r="V15" s="19">
        <v>141.0</v>
      </c>
      <c r="W15" s="19">
        <v>123.0</v>
      </c>
      <c r="X15" s="19">
        <v>100.0</v>
      </c>
      <c r="Y15" s="19">
        <v>142.0</v>
      </c>
      <c r="Z15" s="19">
        <v>146.0</v>
      </c>
      <c r="AA15" s="19">
        <v>146.0</v>
      </c>
      <c r="AB15" s="19">
        <v>154.0</v>
      </c>
      <c r="AC15" s="19">
        <v>150.0</v>
      </c>
      <c r="AD15" s="19">
        <v>157.0</v>
      </c>
      <c r="AE15" s="19">
        <v>105.0</v>
      </c>
      <c r="AF15" s="19">
        <v>153.0</v>
      </c>
      <c r="AG15" s="19">
        <v>145.0</v>
      </c>
      <c r="AH15" s="19">
        <v>147.0</v>
      </c>
      <c r="AI15" s="19">
        <v>140.0</v>
      </c>
      <c r="AJ15" s="19">
        <v>155.0</v>
      </c>
      <c r="AK15" s="19">
        <v>124.0</v>
      </c>
      <c r="AL15" s="19">
        <v>150.0</v>
      </c>
      <c r="AM15" s="19">
        <v>142.0</v>
      </c>
      <c r="AN15" s="19">
        <v>148.0</v>
      </c>
      <c r="AO15" s="19">
        <v>154.0</v>
      </c>
      <c r="AP15" s="19">
        <v>135.0</v>
      </c>
      <c r="AQ15" s="19">
        <v>120.0</v>
      </c>
      <c r="AR15" s="19">
        <v>147.0</v>
      </c>
      <c r="AS15" s="19">
        <v>149.0</v>
      </c>
      <c r="AT15" s="19">
        <v>134.0</v>
      </c>
      <c r="AU15" s="19">
        <v>133.0</v>
      </c>
      <c r="AV15" s="19">
        <v>133.0</v>
      </c>
      <c r="AW15" s="19">
        <v>129.0</v>
      </c>
      <c r="AX15" s="19">
        <v>137.0</v>
      </c>
      <c r="AY15" s="19">
        <v>102.0</v>
      </c>
      <c r="AZ15" s="19">
        <v>147.0</v>
      </c>
      <c r="BA15" s="19">
        <v>126.0</v>
      </c>
      <c r="BB15" s="19">
        <v>126.0</v>
      </c>
      <c r="BC15" s="19">
        <v>134.0</v>
      </c>
      <c r="BD15" s="19">
        <v>104.0</v>
      </c>
      <c r="BE15" s="13">
        <f t="shared" si="1"/>
        <v>7058</v>
      </c>
    </row>
    <row r="16" ht="12.75" customHeight="1">
      <c r="A16" s="25"/>
      <c r="B16" s="21"/>
      <c r="C16" s="28"/>
      <c r="D16" s="13" t="s">
        <v>14</v>
      </c>
      <c r="E16" s="13">
        <f t="shared" ref="E16:BD16" si="2">SUM(E14:E15)</f>
        <v>266</v>
      </c>
      <c r="F16" s="13">
        <f t="shared" si="2"/>
        <v>271</v>
      </c>
      <c r="G16" s="13">
        <f t="shared" si="2"/>
        <v>289</v>
      </c>
      <c r="H16" s="13">
        <f t="shared" si="2"/>
        <v>281</v>
      </c>
      <c r="I16" s="13">
        <f t="shared" si="2"/>
        <v>283</v>
      </c>
      <c r="J16" s="13">
        <f t="shared" si="2"/>
        <v>226</v>
      </c>
      <c r="K16" s="13">
        <f t="shared" si="2"/>
        <v>279</v>
      </c>
      <c r="L16" s="13">
        <f t="shared" si="2"/>
        <v>264</v>
      </c>
      <c r="M16" s="13">
        <f t="shared" si="2"/>
        <v>215</v>
      </c>
      <c r="N16" s="13">
        <f t="shared" si="2"/>
        <v>187</v>
      </c>
      <c r="O16" s="13">
        <f t="shared" si="2"/>
        <v>294</v>
      </c>
      <c r="P16" s="13">
        <f t="shared" si="2"/>
        <v>251</v>
      </c>
      <c r="Q16" s="13">
        <f t="shared" si="2"/>
        <v>286</v>
      </c>
      <c r="R16" s="13">
        <f t="shared" si="2"/>
        <v>283</v>
      </c>
      <c r="S16" s="13">
        <f t="shared" si="2"/>
        <v>276</v>
      </c>
      <c r="T16" s="13">
        <f t="shared" si="2"/>
        <v>257</v>
      </c>
      <c r="U16" s="13">
        <f t="shared" si="2"/>
        <v>263</v>
      </c>
      <c r="V16" s="13">
        <f t="shared" si="2"/>
        <v>269</v>
      </c>
      <c r="W16" s="13">
        <f t="shared" si="2"/>
        <v>235</v>
      </c>
      <c r="X16" s="13">
        <f t="shared" si="2"/>
        <v>195</v>
      </c>
      <c r="Y16" s="13">
        <f t="shared" si="2"/>
        <v>282</v>
      </c>
      <c r="Z16" s="13">
        <f t="shared" si="2"/>
        <v>274</v>
      </c>
      <c r="AA16" s="13">
        <f t="shared" si="2"/>
        <v>285</v>
      </c>
      <c r="AB16" s="13">
        <f t="shared" si="2"/>
        <v>300</v>
      </c>
      <c r="AC16" s="13">
        <f t="shared" si="2"/>
        <v>299</v>
      </c>
      <c r="AD16" s="13">
        <f t="shared" si="2"/>
        <v>297</v>
      </c>
      <c r="AE16" s="13">
        <f t="shared" si="2"/>
        <v>212</v>
      </c>
      <c r="AF16" s="13">
        <f t="shared" si="2"/>
        <v>295</v>
      </c>
      <c r="AG16" s="13">
        <f t="shared" si="2"/>
        <v>287</v>
      </c>
      <c r="AH16" s="13">
        <f t="shared" si="2"/>
        <v>288</v>
      </c>
      <c r="AI16" s="13">
        <f t="shared" si="2"/>
        <v>273</v>
      </c>
      <c r="AJ16" s="13">
        <f t="shared" si="2"/>
        <v>290</v>
      </c>
      <c r="AK16" s="13">
        <f t="shared" si="2"/>
        <v>256</v>
      </c>
      <c r="AL16" s="13">
        <f t="shared" si="2"/>
        <v>296</v>
      </c>
      <c r="AM16" s="13">
        <f t="shared" si="2"/>
        <v>269</v>
      </c>
      <c r="AN16" s="13">
        <f t="shared" si="2"/>
        <v>296</v>
      </c>
      <c r="AO16" s="13">
        <f t="shared" si="2"/>
        <v>297</v>
      </c>
      <c r="AP16" s="13">
        <f t="shared" si="2"/>
        <v>266</v>
      </c>
      <c r="AQ16" s="13">
        <f t="shared" si="2"/>
        <v>218</v>
      </c>
      <c r="AR16" s="13">
        <f t="shared" si="2"/>
        <v>290</v>
      </c>
      <c r="AS16" s="13">
        <f t="shared" si="2"/>
        <v>284</v>
      </c>
      <c r="AT16" s="13">
        <f t="shared" si="2"/>
        <v>270</v>
      </c>
      <c r="AU16" s="13">
        <f t="shared" si="2"/>
        <v>270</v>
      </c>
      <c r="AV16" s="13">
        <f t="shared" si="2"/>
        <v>272</v>
      </c>
      <c r="AW16" s="13">
        <f t="shared" si="2"/>
        <v>252</v>
      </c>
      <c r="AX16" s="13">
        <f t="shared" si="2"/>
        <v>262</v>
      </c>
      <c r="AY16" s="13">
        <f t="shared" si="2"/>
        <v>193</v>
      </c>
      <c r="AZ16" s="13">
        <f t="shared" si="2"/>
        <v>284</v>
      </c>
      <c r="BA16" s="13">
        <f t="shared" si="2"/>
        <v>247</v>
      </c>
      <c r="BB16" s="13">
        <f t="shared" si="2"/>
        <v>251</v>
      </c>
      <c r="BC16" s="13">
        <f t="shared" si="2"/>
        <v>255</v>
      </c>
      <c r="BD16" s="13">
        <f t="shared" si="2"/>
        <v>220</v>
      </c>
      <c r="BE16" s="13">
        <f t="shared" si="1"/>
        <v>13800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69"/>
      <c r="P17" s="69"/>
      <c r="Q17" s="19"/>
      <c r="R17" s="19"/>
      <c r="S17" s="19"/>
      <c r="T17" s="19"/>
      <c r="U17" s="19"/>
      <c r="V17" s="19"/>
      <c r="W17" s="19"/>
      <c r="X17" s="19"/>
      <c r="Y17" s="69"/>
      <c r="Z17" s="69"/>
      <c r="AA17" s="69"/>
      <c r="AB17" s="19"/>
      <c r="AC17" s="19"/>
      <c r="AD17" s="19"/>
      <c r="AE17" s="19"/>
      <c r="AF17" s="19"/>
      <c r="AG17" s="19"/>
      <c r="AH17" s="19"/>
      <c r="AI17" s="19"/>
      <c r="AJ17" s="69"/>
      <c r="AK17" s="69"/>
      <c r="AL17" s="69"/>
      <c r="AM17" s="19"/>
      <c r="AN17" s="19"/>
      <c r="AO17" s="19"/>
      <c r="AP17" s="19"/>
      <c r="AQ17" s="19"/>
      <c r="AR17" s="19"/>
      <c r="AS17" s="19"/>
      <c r="AT17" s="19"/>
      <c r="AU17" s="69"/>
      <c r="AV17" s="69"/>
      <c r="AW17" s="69"/>
      <c r="AX17" s="19"/>
      <c r="AY17" s="19"/>
      <c r="AZ17" s="19"/>
      <c r="BA17" s="69"/>
      <c r="BB17" s="69"/>
      <c r="BC17" s="69"/>
      <c r="BD17" s="69"/>
      <c r="BE17" s="7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69"/>
      <c r="P18" s="69"/>
      <c r="Q18" s="19"/>
      <c r="R18" s="19"/>
      <c r="S18" s="19"/>
      <c r="T18" s="19"/>
      <c r="U18" s="19"/>
      <c r="V18" s="19"/>
      <c r="W18" s="19"/>
      <c r="X18" s="19"/>
      <c r="Y18" s="69"/>
      <c r="Z18" s="69"/>
      <c r="AA18" s="69"/>
      <c r="AB18" s="19"/>
      <c r="AC18" s="19"/>
      <c r="AD18" s="19"/>
      <c r="AE18" s="19"/>
      <c r="AF18" s="19"/>
      <c r="AG18" s="19"/>
      <c r="AH18" s="19"/>
      <c r="AI18" s="19"/>
      <c r="AJ18" s="69"/>
      <c r="AK18" s="69"/>
      <c r="AL18" s="69"/>
      <c r="AM18" s="19"/>
      <c r="AN18" s="19"/>
      <c r="AO18" s="19"/>
      <c r="AP18" s="19"/>
      <c r="AQ18" s="19"/>
      <c r="AR18" s="19"/>
      <c r="AS18" s="19"/>
      <c r="AT18" s="19"/>
      <c r="AU18" s="69"/>
      <c r="AV18" s="69"/>
      <c r="AW18" s="69"/>
      <c r="AX18" s="19"/>
      <c r="AY18" s="19"/>
      <c r="AZ18" s="19"/>
      <c r="BA18" s="69"/>
      <c r="BB18" s="69"/>
      <c r="BC18" s="69"/>
      <c r="BD18" s="69"/>
      <c r="BE18" s="7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98.0</v>
      </c>
      <c r="F19" s="19">
        <v>98.0</v>
      </c>
      <c r="G19" s="19">
        <v>96.0</v>
      </c>
      <c r="H19" s="19">
        <v>100.0</v>
      </c>
      <c r="I19" s="19">
        <v>100.0</v>
      </c>
      <c r="J19" s="19">
        <v>70.0</v>
      </c>
      <c r="K19" s="19">
        <v>81.0</v>
      </c>
      <c r="L19" s="19">
        <v>85.0</v>
      </c>
      <c r="M19" s="19">
        <v>75.0</v>
      </c>
      <c r="N19" s="19">
        <v>71.0</v>
      </c>
      <c r="O19" s="19">
        <v>77.0</v>
      </c>
      <c r="P19" s="19">
        <v>74.0</v>
      </c>
      <c r="Q19" s="19">
        <v>94.0</v>
      </c>
      <c r="R19" s="19">
        <v>97.0</v>
      </c>
      <c r="S19" s="19">
        <v>83.0</v>
      </c>
      <c r="T19" s="19">
        <v>91.0</v>
      </c>
      <c r="U19" s="19">
        <v>72.0</v>
      </c>
      <c r="V19" s="19">
        <v>92.0</v>
      </c>
      <c r="W19" s="19">
        <v>68.0</v>
      </c>
      <c r="X19" s="19">
        <v>78.0</v>
      </c>
      <c r="Y19" s="19">
        <v>104.0</v>
      </c>
      <c r="Z19" s="19">
        <v>99.0</v>
      </c>
      <c r="AA19" s="19">
        <v>129.0</v>
      </c>
      <c r="AB19" s="19">
        <v>116.0</v>
      </c>
      <c r="AC19" s="19">
        <v>114.0</v>
      </c>
      <c r="AD19" s="19">
        <v>110.0</v>
      </c>
      <c r="AE19" s="19">
        <v>90.0</v>
      </c>
      <c r="AF19" s="19">
        <v>118.0</v>
      </c>
      <c r="AG19" s="19">
        <v>102.0</v>
      </c>
      <c r="AH19" s="19">
        <v>120.0</v>
      </c>
      <c r="AI19" s="19">
        <v>105.0</v>
      </c>
      <c r="AJ19" s="19">
        <v>100.0</v>
      </c>
      <c r="AK19" s="19">
        <v>97.0</v>
      </c>
      <c r="AL19" s="19">
        <v>96.0</v>
      </c>
      <c r="AM19" s="19">
        <v>90.0</v>
      </c>
      <c r="AN19" s="19">
        <v>101.0</v>
      </c>
      <c r="AO19" s="19">
        <v>97.0</v>
      </c>
      <c r="AP19" s="19">
        <v>96.0</v>
      </c>
      <c r="AQ19" s="19">
        <v>67.0</v>
      </c>
      <c r="AR19" s="19">
        <v>97.0</v>
      </c>
      <c r="AS19" s="19">
        <v>95.0</v>
      </c>
      <c r="AT19" s="19">
        <v>100.0</v>
      </c>
      <c r="AU19" s="19">
        <v>103.0</v>
      </c>
      <c r="AV19" s="19">
        <v>110.0</v>
      </c>
      <c r="AW19" s="19">
        <v>104.0</v>
      </c>
      <c r="AX19" s="19">
        <v>83.0</v>
      </c>
      <c r="AY19" s="19">
        <v>65.0</v>
      </c>
      <c r="AZ19" s="19">
        <v>103.0</v>
      </c>
      <c r="BA19" s="19">
        <v>94.0</v>
      </c>
      <c r="BB19" s="19">
        <v>92.0</v>
      </c>
      <c r="BC19" s="19">
        <v>94.0</v>
      </c>
      <c r="BD19" s="19">
        <v>77.0</v>
      </c>
      <c r="BE19" s="13">
        <f t="shared" ref="BE19:BE30" si="3">SUM(E19:BD19)</f>
        <v>4868</v>
      </c>
    </row>
    <row r="20" ht="12.75" customHeight="1">
      <c r="A20" s="33"/>
      <c r="B20" s="27"/>
      <c r="C20" s="34"/>
      <c r="D20" s="19" t="s">
        <v>13</v>
      </c>
      <c r="E20" s="19">
        <v>100.0</v>
      </c>
      <c r="F20" s="19">
        <v>97.0</v>
      </c>
      <c r="G20" s="19">
        <v>117.0</v>
      </c>
      <c r="H20" s="19">
        <v>112.0</v>
      </c>
      <c r="I20" s="19">
        <v>118.0</v>
      </c>
      <c r="J20" s="19">
        <v>97.0</v>
      </c>
      <c r="K20" s="19">
        <v>115.0</v>
      </c>
      <c r="L20" s="19">
        <v>106.0</v>
      </c>
      <c r="M20" s="19">
        <v>84.0</v>
      </c>
      <c r="N20" s="19">
        <v>76.0</v>
      </c>
      <c r="O20" s="19">
        <v>98.0</v>
      </c>
      <c r="P20" s="19">
        <v>92.0</v>
      </c>
      <c r="Q20" s="19">
        <v>117.0</v>
      </c>
      <c r="R20" s="19">
        <v>108.0</v>
      </c>
      <c r="S20" s="19">
        <v>107.0</v>
      </c>
      <c r="T20" s="19">
        <v>106.0</v>
      </c>
      <c r="U20" s="19">
        <v>100.0</v>
      </c>
      <c r="V20" s="19">
        <v>110.0</v>
      </c>
      <c r="W20" s="19">
        <v>90.0</v>
      </c>
      <c r="X20" s="19">
        <v>88.0</v>
      </c>
      <c r="Y20" s="19">
        <v>113.0</v>
      </c>
      <c r="Z20" s="19">
        <v>119.0</v>
      </c>
      <c r="AA20" s="19">
        <v>137.0</v>
      </c>
      <c r="AB20" s="19">
        <v>127.0</v>
      </c>
      <c r="AC20" s="19">
        <v>151.0</v>
      </c>
      <c r="AD20" s="19">
        <v>152.0</v>
      </c>
      <c r="AE20" s="19">
        <v>97.0</v>
      </c>
      <c r="AF20" s="19">
        <v>118.0</v>
      </c>
      <c r="AG20" s="19">
        <v>121.0</v>
      </c>
      <c r="AH20" s="19">
        <v>127.0</v>
      </c>
      <c r="AI20" s="19">
        <v>114.0</v>
      </c>
      <c r="AJ20" s="19">
        <v>120.0</v>
      </c>
      <c r="AK20" s="19">
        <v>104.0</v>
      </c>
      <c r="AL20" s="19">
        <v>117.0</v>
      </c>
      <c r="AM20" s="19">
        <v>105.0</v>
      </c>
      <c r="AN20" s="19">
        <v>118.0</v>
      </c>
      <c r="AO20" s="19">
        <v>118.0</v>
      </c>
      <c r="AP20" s="19">
        <v>104.0</v>
      </c>
      <c r="AQ20" s="19">
        <v>94.0</v>
      </c>
      <c r="AR20" s="19">
        <v>114.0</v>
      </c>
      <c r="AS20" s="19">
        <v>122.0</v>
      </c>
      <c r="AT20" s="19">
        <v>104.0</v>
      </c>
      <c r="AU20" s="19">
        <v>101.0</v>
      </c>
      <c r="AV20" s="19">
        <v>110.0</v>
      </c>
      <c r="AW20" s="19">
        <v>106.0</v>
      </c>
      <c r="AX20" s="19">
        <v>116.0</v>
      </c>
      <c r="AY20" s="19">
        <v>84.0</v>
      </c>
      <c r="AZ20" s="19">
        <v>114.0</v>
      </c>
      <c r="BA20" s="19">
        <v>97.0</v>
      </c>
      <c r="BB20" s="19">
        <v>83.0</v>
      </c>
      <c r="BC20" s="19">
        <v>102.0</v>
      </c>
      <c r="BD20" s="19">
        <v>83.0</v>
      </c>
      <c r="BE20" s="13">
        <f t="shared" si="3"/>
        <v>5630</v>
      </c>
    </row>
    <row r="21" ht="12.75" customHeight="1">
      <c r="A21" s="35"/>
      <c r="B21" s="28"/>
      <c r="C21" s="36"/>
      <c r="D21" s="13" t="s">
        <v>14</v>
      </c>
      <c r="E21" s="13">
        <f t="shared" ref="E21:BD21" si="4">SUM(E19:E20)</f>
        <v>198</v>
      </c>
      <c r="F21" s="13">
        <f t="shared" si="4"/>
        <v>195</v>
      </c>
      <c r="G21" s="13">
        <f t="shared" si="4"/>
        <v>213</v>
      </c>
      <c r="H21" s="13">
        <f t="shared" si="4"/>
        <v>212</v>
      </c>
      <c r="I21" s="13">
        <f t="shared" si="4"/>
        <v>218</v>
      </c>
      <c r="J21" s="13">
        <f t="shared" si="4"/>
        <v>167</v>
      </c>
      <c r="K21" s="13">
        <f t="shared" si="4"/>
        <v>196</v>
      </c>
      <c r="L21" s="13">
        <f t="shared" si="4"/>
        <v>191</v>
      </c>
      <c r="M21" s="13">
        <f t="shared" si="4"/>
        <v>159</v>
      </c>
      <c r="N21" s="13">
        <f t="shared" si="4"/>
        <v>147</v>
      </c>
      <c r="O21" s="13">
        <f t="shared" si="4"/>
        <v>175</v>
      </c>
      <c r="P21" s="13">
        <f t="shared" si="4"/>
        <v>166</v>
      </c>
      <c r="Q21" s="13">
        <f t="shared" si="4"/>
        <v>211</v>
      </c>
      <c r="R21" s="13">
        <f t="shared" si="4"/>
        <v>205</v>
      </c>
      <c r="S21" s="13">
        <f t="shared" si="4"/>
        <v>190</v>
      </c>
      <c r="T21" s="13">
        <f t="shared" si="4"/>
        <v>197</v>
      </c>
      <c r="U21" s="13">
        <f t="shared" si="4"/>
        <v>172</v>
      </c>
      <c r="V21" s="13">
        <f t="shared" si="4"/>
        <v>202</v>
      </c>
      <c r="W21" s="13">
        <f t="shared" si="4"/>
        <v>158</v>
      </c>
      <c r="X21" s="13">
        <f t="shared" si="4"/>
        <v>166</v>
      </c>
      <c r="Y21" s="13">
        <f t="shared" si="4"/>
        <v>217</v>
      </c>
      <c r="Z21" s="13">
        <f t="shared" si="4"/>
        <v>218</v>
      </c>
      <c r="AA21" s="13">
        <f t="shared" si="4"/>
        <v>266</v>
      </c>
      <c r="AB21" s="13">
        <f t="shared" si="4"/>
        <v>243</v>
      </c>
      <c r="AC21" s="13">
        <f t="shared" si="4"/>
        <v>265</v>
      </c>
      <c r="AD21" s="13">
        <f t="shared" si="4"/>
        <v>262</v>
      </c>
      <c r="AE21" s="13">
        <f t="shared" si="4"/>
        <v>187</v>
      </c>
      <c r="AF21" s="13">
        <f t="shared" si="4"/>
        <v>236</v>
      </c>
      <c r="AG21" s="13">
        <f t="shared" si="4"/>
        <v>223</v>
      </c>
      <c r="AH21" s="13">
        <f t="shared" si="4"/>
        <v>247</v>
      </c>
      <c r="AI21" s="13">
        <f t="shared" si="4"/>
        <v>219</v>
      </c>
      <c r="AJ21" s="13">
        <f t="shared" si="4"/>
        <v>220</v>
      </c>
      <c r="AK21" s="13">
        <f t="shared" si="4"/>
        <v>201</v>
      </c>
      <c r="AL21" s="13">
        <f t="shared" si="4"/>
        <v>213</v>
      </c>
      <c r="AM21" s="13">
        <f t="shared" si="4"/>
        <v>195</v>
      </c>
      <c r="AN21" s="13">
        <f t="shared" si="4"/>
        <v>219</v>
      </c>
      <c r="AO21" s="13">
        <f t="shared" si="4"/>
        <v>215</v>
      </c>
      <c r="AP21" s="13">
        <f t="shared" si="4"/>
        <v>200</v>
      </c>
      <c r="AQ21" s="13">
        <f t="shared" si="4"/>
        <v>161</v>
      </c>
      <c r="AR21" s="13">
        <f t="shared" si="4"/>
        <v>211</v>
      </c>
      <c r="AS21" s="13">
        <f t="shared" si="4"/>
        <v>217</v>
      </c>
      <c r="AT21" s="13">
        <f t="shared" si="4"/>
        <v>204</v>
      </c>
      <c r="AU21" s="13">
        <f t="shared" si="4"/>
        <v>204</v>
      </c>
      <c r="AV21" s="13">
        <f t="shared" si="4"/>
        <v>220</v>
      </c>
      <c r="AW21" s="13">
        <f t="shared" si="4"/>
        <v>210</v>
      </c>
      <c r="AX21" s="13">
        <f t="shared" si="4"/>
        <v>199</v>
      </c>
      <c r="AY21" s="13">
        <f t="shared" si="4"/>
        <v>149</v>
      </c>
      <c r="AZ21" s="13">
        <f t="shared" si="4"/>
        <v>217</v>
      </c>
      <c r="BA21" s="13">
        <f t="shared" si="4"/>
        <v>191</v>
      </c>
      <c r="BB21" s="13">
        <f t="shared" si="4"/>
        <v>175</v>
      </c>
      <c r="BC21" s="13">
        <f t="shared" si="4"/>
        <v>196</v>
      </c>
      <c r="BD21" s="13">
        <f t="shared" si="4"/>
        <v>160</v>
      </c>
      <c r="BE21" s="13">
        <f t="shared" si="3"/>
        <v>10498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1.0</v>
      </c>
      <c r="H22" s="19">
        <v>0.0</v>
      </c>
      <c r="I22" s="19">
        <v>0.0</v>
      </c>
      <c r="J22" s="19">
        <v>0.0</v>
      </c>
      <c r="K22" s="19">
        <v>1.0</v>
      </c>
      <c r="L22" s="19">
        <v>2.0</v>
      </c>
      <c r="M22" s="19">
        <v>0.0</v>
      </c>
      <c r="N22" s="19">
        <v>2.0</v>
      </c>
      <c r="O22" s="19">
        <v>0.0</v>
      </c>
      <c r="P22" s="19">
        <v>0.0</v>
      </c>
      <c r="Q22" s="19">
        <v>1.0</v>
      </c>
      <c r="R22" s="19">
        <v>0.0</v>
      </c>
      <c r="S22" s="19">
        <v>0.0</v>
      </c>
      <c r="T22" s="19">
        <v>1.0</v>
      </c>
      <c r="U22" s="19">
        <v>1.0</v>
      </c>
      <c r="V22" s="19">
        <v>0.0</v>
      </c>
      <c r="W22" s="19">
        <v>1.0</v>
      </c>
      <c r="X22" s="19">
        <v>1.0</v>
      </c>
      <c r="Y22" s="19">
        <v>0.0</v>
      </c>
      <c r="Z22" s="19">
        <v>0.0</v>
      </c>
      <c r="AA22" s="19">
        <v>1.0</v>
      </c>
      <c r="AB22" s="19">
        <v>2.0</v>
      </c>
      <c r="AC22" s="19">
        <v>1.0</v>
      </c>
      <c r="AD22" s="19">
        <v>1.0</v>
      </c>
      <c r="AE22" s="19">
        <v>0.0</v>
      </c>
      <c r="AF22" s="19">
        <v>0.0</v>
      </c>
      <c r="AG22" s="19">
        <v>0.0</v>
      </c>
      <c r="AH22" s="19">
        <v>0.0</v>
      </c>
      <c r="AI22" s="19">
        <v>1.0</v>
      </c>
      <c r="AJ22" s="19">
        <v>0.0</v>
      </c>
      <c r="AK22" s="19">
        <v>0.0</v>
      </c>
      <c r="AL22" s="19">
        <v>0.0</v>
      </c>
      <c r="AM22" s="19">
        <v>1.0</v>
      </c>
      <c r="AN22" s="19">
        <v>0.0</v>
      </c>
      <c r="AO22" s="19">
        <v>0.0</v>
      </c>
      <c r="AP22" s="19">
        <v>1.0</v>
      </c>
      <c r="AQ22" s="19">
        <v>0.0</v>
      </c>
      <c r="AR22" s="19">
        <v>0.0</v>
      </c>
      <c r="AS22" s="19">
        <v>1.0</v>
      </c>
      <c r="AT22" s="19">
        <v>1.0</v>
      </c>
      <c r="AU22" s="19">
        <v>1.0</v>
      </c>
      <c r="AV22" s="19">
        <v>0.0</v>
      </c>
      <c r="AW22" s="19">
        <v>1.0</v>
      </c>
      <c r="AX22" s="19">
        <v>0.0</v>
      </c>
      <c r="AY22" s="19">
        <v>1.0</v>
      </c>
      <c r="AZ22" s="19">
        <v>2.0</v>
      </c>
      <c r="BA22" s="19">
        <v>2.0</v>
      </c>
      <c r="BB22" s="19">
        <v>0.0</v>
      </c>
      <c r="BC22" s="19">
        <v>1.0</v>
      </c>
      <c r="BD22" s="19">
        <v>0.0</v>
      </c>
      <c r="BE22" s="13">
        <f t="shared" si="3"/>
        <v>30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1.0</v>
      </c>
      <c r="I23" s="19">
        <v>1.0</v>
      </c>
      <c r="J23" s="19">
        <v>1.0</v>
      </c>
      <c r="K23" s="19">
        <v>0.0</v>
      </c>
      <c r="L23" s="19">
        <v>0.0</v>
      </c>
      <c r="M23" s="19">
        <v>1.0</v>
      </c>
      <c r="N23" s="19">
        <v>1.0</v>
      </c>
      <c r="O23" s="19">
        <v>0.0</v>
      </c>
      <c r="P23" s="19">
        <v>0.0</v>
      </c>
      <c r="Q23" s="19">
        <v>0.0</v>
      </c>
      <c r="R23" s="19">
        <v>1.0</v>
      </c>
      <c r="S23" s="19">
        <v>0.0</v>
      </c>
      <c r="T23" s="19">
        <v>0.0</v>
      </c>
      <c r="U23" s="19">
        <v>0.0</v>
      </c>
      <c r="V23" s="19">
        <v>1.0</v>
      </c>
      <c r="W23" s="19">
        <v>2.0</v>
      </c>
      <c r="X23" s="19">
        <v>0.0</v>
      </c>
      <c r="Y23" s="19">
        <v>1.0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1.0</v>
      </c>
      <c r="AF23" s="19">
        <v>0.0</v>
      </c>
      <c r="AG23" s="19">
        <v>0.0</v>
      </c>
      <c r="AH23" s="19">
        <v>1.0</v>
      </c>
      <c r="AI23" s="19">
        <v>0.0</v>
      </c>
      <c r="AJ23" s="19">
        <v>1.0</v>
      </c>
      <c r="AK23" s="19">
        <v>2.0</v>
      </c>
      <c r="AL23" s="19">
        <v>0.0</v>
      </c>
      <c r="AM23" s="19">
        <v>0.0</v>
      </c>
      <c r="AN23" s="19">
        <v>0.0</v>
      </c>
      <c r="AO23" s="19">
        <v>1.0</v>
      </c>
      <c r="AP23" s="19">
        <v>0.0</v>
      </c>
      <c r="AQ23" s="19">
        <v>0.0</v>
      </c>
      <c r="AR23" s="19">
        <v>1.0</v>
      </c>
      <c r="AS23" s="19">
        <v>0.0</v>
      </c>
      <c r="AT23" s="19">
        <v>0.0</v>
      </c>
      <c r="AU23" s="19">
        <v>0.0</v>
      </c>
      <c r="AV23" s="19">
        <v>0.0</v>
      </c>
      <c r="AW23" s="19">
        <v>0.0</v>
      </c>
      <c r="AX23" s="19">
        <v>0.0</v>
      </c>
      <c r="AY23" s="19">
        <v>0.0</v>
      </c>
      <c r="AZ23" s="19">
        <v>0.0</v>
      </c>
      <c r="BA23" s="19">
        <v>0.0</v>
      </c>
      <c r="BB23" s="19">
        <v>0.0</v>
      </c>
      <c r="BC23" s="19">
        <v>0.0</v>
      </c>
      <c r="BD23" s="19">
        <v>0.0</v>
      </c>
      <c r="BE23" s="13">
        <f t="shared" si="3"/>
        <v>17</v>
      </c>
    </row>
    <row r="24" ht="12.75" customHeight="1">
      <c r="A24" s="35"/>
      <c r="B24" s="28"/>
      <c r="C24" s="36"/>
      <c r="D24" s="13" t="s">
        <v>14</v>
      </c>
      <c r="E24" s="13">
        <f t="shared" ref="E24:BD24" si="5">SUM(E22:E23)</f>
        <v>0</v>
      </c>
      <c r="F24" s="13">
        <f t="shared" si="5"/>
        <v>1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2</v>
      </c>
      <c r="M24" s="13">
        <f t="shared" si="5"/>
        <v>1</v>
      </c>
      <c r="N24" s="13">
        <f t="shared" si="5"/>
        <v>3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1</v>
      </c>
      <c r="S24" s="13">
        <f t="shared" si="5"/>
        <v>0</v>
      </c>
      <c r="T24" s="13">
        <f t="shared" si="5"/>
        <v>1</v>
      </c>
      <c r="U24" s="13">
        <f t="shared" si="5"/>
        <v>1</v>
      </c>
      <c r="V24" s="13">
        <f t="shared" si="5"/>
        <v>1</v>
      </c>
      <c r="W24" s="13">
        <f t="shared" si="5"/>
        <v>3</v>
      </c>
      <c r="X24" s="13">
        <f t="shared" si="5"/>
        <v>1</v>
      </c>
      <c r="Y24" s="13">
        <f t="shared" si="5"/>
        <v>1</v>
      </c>
      <c r="Z24" s="13">
        <f t="shared" si="5"/>
        <v>0</v>
      </c>
      <c r="AA24" s="13">
        <f t="shared" si="5"/>
        <v>1</v>
      </c>
      <c r="AB24" s="13">
        <f t="shared" si="5"/>
        <v>2</v>
      </c>
      <c r="AC24" s="13">
        <f t="shared" si="5"/>
        <v>1</v>
      </c>
      <c r="AD24" s="13">
        <f t="shared" si="5"/>
        <v>1</v>
      </c>
      <c r="AE24" s="13">
        <f t="shared" si="5"/>
        <v>1</v>
      </c>
      <c r="AF24" s="13">
        <f t="shared" si="5"/>
        <v>0</v>
      </c>
      <c r="AG24" s="13">
        <f t="shared" si="5"/>
        <v>0</v>
      </c>
      <c r="AH24" s="13">
        <f t="shared" si="5"/>
        <v>1</v>
      </c>
      <c r="AI24" s="13">
        <f t="shared" si="5"/>
        <v>1</v>
      </c>
      <c r="AJ24" s="13">
        <f t="shared" si="5"/>
        <v>1</v>
      </c>
      <c r="AK24" s="13">
        <f t="shared" si="5"/>
        <v>2</v>
      </c>
      <c r="AL24" s="13">
        <f t="shared" si="5"/>
        <v>0</v>
      </c>
      <c r="AM24" s="13">
        <f t="shared" si="5"/>
        <v>1</v>
      </c>
      <c r="AN24" s="13">
        <f t="shared" si="5"/>
        <v>0</v>
      </c>
      <c r="AO24" s="13">
        <f t="shared" si="5"/>
        <v>1</v>
      </c>
      <c r="AP24" s="13">
        <f t="shared" si="5"/>
        <v>1</v>
      </c>
      <c r="AQ24" s="13">
        <f t="shared" si="5"/>
        <v>0</v>
      </c>
      <c r="AR24" s="13">
        <f t="shared" si="5"/>
        <v>1</v>
      </c>
      <c r="AS24" s="13">
        <f t="shared" si="5"/>
        <v>1</v>
      </c>
      <c r="AT24" s="13">
        <f t="shared" si="5"/>
        <v>1</v>
      </c>
      <c r="AU24" s="13">
        <f t="shared" si="5"/>
        <v>1</v>
      </c>
      <c r="AV24" s="13">
        <f t="shared" si="5"/>
        <v>0</v>
      </c>
      <c r="AW24" s="13">
        <f t="shared" si="5"/>
        <v>1</v>
      </c>
      <c r="AX24" s="13">
        <f t="shared" si="5"/>
        <v>0</v>
      </c>
      <c r="AY24" s="13">
        <f t="shared" si="5"/>
        <v>1</v>
      </c>
      <c r="AZ24" s="13">
        <f t="shared" si="5"/>
        <v>2</v>
      </c>
      <c r="BA24" s="13">
        <f t="shared" si="5"/>
        <v>2</v>
      </c>
      <c r="BB24" s="13">
        <f t="shared" si="5"/>
        <v>0</v>
      </c>
      <c r="BC24" s="13">
        <f t="shared" si="5"/>
        <v>1</v>
      </c>
      <c r="BD24" s="13">
        <f t="shared" si="5"/>
        <v>0</v>
      </c>
      <c r="BE24" s="13">
        <f t="shared" si="3"/>
        <v>47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0.0</v>
      </c>
      <c r="I25" s="19">
        <v>0.0</v>
      </c>
      <c r="J25" s="19">
        <v>1.0</v>
      </c>
      <c r="K25" s="19">
        <v>1.0</v>
      </c>
      <c r="L25" s="19">
        <v>0.0</v>
      </c>
      <c r="M25" s="19">
        <v>0.0</v>
      </c>
      <c r="N25" s="19">
        <v>0.0</v>
      </c>
      <c r="O25" s="19">
        <v>0.0</v>
      </c>
      <c r="P25" s="19">
        <v>4.0</v>
      </c>
      <c r="Q25" s="19">
        <v>7.0</v>
      </c>
      <c r="R25" s="19">
        <v>2.0</v>
      </c>
      <c r="S25" s="19">
        <v>1.0</v>
      </c>
      <c r="T25" s="19">
        <v>0.0</v>
      </c>
      <c r="U25" s="19">
        <v>2.0</v>
      </c>
      <c r="V25" s="19">
        <v>1.0</v>
      </c>
      <c r="W25" s="19">
        <v>3.0</v>
      </c>
      <c r="X25" s="19">
        <v>2.0</v>
      </c>
      <c r="Y25" s="19">
        <v>1.0</v>
      </c>
      <c r="Z25" s="19">
        <v>2.0</v>
      </c>
      <c r="AA25" s="19">
        <v>0.0</v>
      </c>
      <c r="AB25" s="19">
        <v>3.0</v>
      </c>
      <c r="AC25" s="19">
        <v>1.0</v>
      </c>
      <c r="AD25" s="19">
        <v>7.0</v>
      </c>
      <c r="AE25" s="19">
        <v>2.0</v>
      </c>
      <c r="AF25" s="19">
        <v>0.0</v>
      </c>
      <c r="AG25" s="19">
        <v>0.0</v>
      </c>
      <c r="AH25" s="19">
        <v>1.0</v>
      </c>
      <c r="AI25" s="19">
        <v>1.0</v>
      </c>
      <c r="AJ25" s="19">
        <v>3.0</v>
      </c>
      <c r="AK25" s="19">
        <v>0.0</v>
      </c>
      <c r="AL25" s="19">
        <v>2.0</v>
      </c>
      <c r="AM25" s="19">
        <v>0.0</v>
      </c>
      <c r="AN25" s="19">
        <v>0.0</v>
      </c>
      <c r="AO25" s="19">
        <v>2.0</v>
      </c>
      <c r="AP25" s="19">
        <v>1.0</v>
      </c>
      <c r="AQ25" s="19">
        <v>1.0</v>
      </c>
      <c r="AR25" s="19">
        <v>2.0</v>
      </c>
      <c r="AS25" s="19">
        <v>0.0</v>
      </c>
      <c r="AT25" s="19">
        <v>0.0</v>
      </c>
      <c r="AU25" s="19">
        <v>0.0</v>
      </c>
      <c r="AV25" s="19">
        <v>1.0</v>
      </c>
      <c r="AW25" s="19">
        <v>0.0</v>
      </c>
      <c r="AX25" s="19">
        <v>1.0</v>
      </c>
      <c r="AY25" s="19">
        <v>1.0</v>
      </c>
      <c r="AZ25" s="19">
        <v>0.0</v>
      </c>
      <c r="BA25" s="19">
        <v>1.0</v>
      </c>
      <c r="BB25" s="19">
        <v>0.0</v>
      </c>
      <c r="BC25" s="19">
        <v>1.0</v>
      </c>
      <c r="BD25" s="19">
        <v>1.0</v>
      </c>
      <c r="BE25" s="13">
        <f t="shared" si="3"/>
        <v>60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2.0</v>
      </c>
      <c r="H26" s="19">
        <v>0.0</v>
      </c>
      <c r="I26" s="19">
        <v>0.0</v>
      </c>
      <c r="J26" s="19">
        <v>2.0</v>
      </c>
      <c r="K26" s="19">
        <v>2.0</v>
      </c>
      <c r="L26" s="19">
        <v>0.0</v>
      </c>
      <c r="M26" s="19">
        <v>0.0</v>
      </c>
      <c r="N26" s="19">
        <v>2.0</v>
      </c>
      <c r="O26" s="19">
        <v>2.0</v>
      </c>
      <c r="P26" s="19">
        <v>3.0</v>
      </c>
      <c r="Q26" s="19">
        <v>3.0</v>
      </c>
      <c r="R26" s="19">
        <v>2.0</v>
      </c>
      <c r="S26" s="19">
        <v>1.0</v>
      </c>
      <c r="T26" s="19">
        <v>0.0</v>
      </c>
      <c r="U26" s="19">
        <v>0.0</v>
      </c>
      <c r="V26" s="19">
        <v>2.0</v>
      </c>
      <c r="W26" s="19">
        <v>1.0</v>
      </c>
      <c r="X26" s="19">
        <v>4.0</v>
      </c>
      <c r="Y26" s="19">
        <v>2.0</v>
      </c>
      <c r="Z26" s="19">
        <v>0.0</v>
      </c>
      <c r="AA26" s="19">
        <v>1.0</v>
      </c>
      <c r="AB26" s="19">
        <v>2.0</v>
      </c>
      <c r="AC26" s="19">
        <v>2.0</v>
      </c>
      <c r="AD26" s="19">
        <v>6.0</v>
      </c>
      <c r="AE26" s="19">
        <v>0.0</v>
      </c>
      <c r="AF26" s="19">
        <v>0.0</v>
      </c>
      <c r="AG26" s="19">
        <v>0.0</v>
      </c>
      <c r="AH26" s="19">
        <v>4.0</v>
      </c>
      <c r="AI26" s="19">
        <v>7.0</v>
      </c>
      <c r="AJ26" s="19">
        <v>1.0</v>
      </c>
      <c r="AK26" s="19">
        <v>1.0</v>
      </c>
      <c r="AL26" s="19">
        <v>3.0</v>
      </c>
      <c r="AM26" s="19">
        <v>0.0</v>
      </c>
      <c r="AN26" s="19">
        <v>0.0</v>
      </c>
      <c r="AO26" s="19">
        <v>4.0</v>
      </c>
      <c r="AP26" s="19">
        <v>0.0</v>
      </c>
      <c r="AQ26" s="19">
        <v>1.0</v>
      </c>
      <c r="AR26" s="19">
        <v>5.0</v>
      </c>
      <c r="AS26" s="19">
        <v>1.0</v>
      </c>
      <c r="AT26" s="19">
        <v>0.0</v>
      </c>
      <c r="AU26" s="19">
        <v>0.0</v>
      </c>
      <c r="AV26" s="19">
        <v>4.0</v>
      </c>
      <c r="AW26" s="19">
        <v>0.0</v>
      </c>
      <c r="AX26" s="19">
        <v>1.0</v>
      </c>
      <c r="AY26" s="19">
        <v>0.0</v>
      </c>
      <c r="AZ26" s="19">
        <v>0.0</v>
      </c>
      <c r="BA26" s="19">
        <v>1.0</v>
      </c>
      <c r="BB26" s="19">
        <v>0.0</v>
      </c>
      <c r="BC26" s="19">
        <v>2.0</v>
      </c>
      <c r="BD26" s="19">
        <v>1.0</v>
      </c>
      <c r="BE26" s="13">
        <f t="shared" si="3"/>
        <v>77</v>
      </c>
    </row>
    <row r="27" ht="12.75" customHeight="1">
      <c r="A27" s="35"/>
      <c r="B27" s="28"/>
      <c r="C27" s="36"/>
      <c r="D27" s="13" t="s">
        <v>14</v>
      </c>
      <c r="E27" s="13">
        <f t="shared" ref="E27:BD27" si="6">SUM(E25:E26)</f>
        <v>3</v>
      </c>
      <c r="F27" s="13">
        <f t="shared" si="6"/>
        <v>0</v>
      </c>
      <c r="G27" s="13">
        <f t="shared" si="6"/>
        <v>2</v>
      </c>
      <c r="H27" s="13">
        <f t="shared" si="6"/>
        <v>0</v>
      </c>
      <c r="I27" s="13">
        <f t="shared" si="6"/>
        <v>0</v>
      </c>
      <c r="J27" s="13">
        <f t="shared" si="6"/>
        <v>3</v>
      </c>
      <c r="K27" s="13">
        <f t="shared" si="6"/>
        <v>3</v>
      </c>
      <c r="L27" s="13">
        <f t="shared" si="6"/>
        <v>0</v>
      </c>
      <c r="M27" s="13">
        <f t="shared" si="6"/>
        <v>0</v>
      </c>
      <c r="N27" s="13">
        <f t="shared" si="6"/>
        <v>2</v>
      </c>
      <c r="O27" s="13">
        <f t="shared" si="6"/>
        <v>2</v>
      </c>
      <c r="P27" s="13">
        <f t="shared" si="6"/>
        <v>7</v>
      </c>
      <c r="Q27" s="13">
        <f t="shared" si="6"/>
        <v>10</v>
      </c>
      <c r="R27" s="13">
        <f t="shared" si="6"/>
        <v>4</v>
      </c>
      <c r="S27" s="13">
        <f t="shared" si="6"/>
        <v>2</v>
      </c>
      <c r="T27" s="13">
        <f t="shared" si="6"/>
        <v>0</v>
      </c>
      <c r="U27" s="13">
        <f t="shared" si="6"/>
        <v>2</v>
      </c>
      <c r="V27" s="13">
        <f t="shared" si="6"/>
        <v>3</v>
      </c>
      <c r="W27" s="13">
        <f t="shared" si="6"/>
        <v>4</v>
      </c>
      <c r="X27" s="13">
        <f t="shared" si="6"/>
        <v>6</v>
      </c>
      <c r="Y27" s="13">
        <f t="shared" si="6"/>
        <v>3</v>
      </c>
      <c r="Z27" s="13">
        <f t="shared" si="6"/>
        <v>2</v>
      </c>
      <c r="AA27" s="13">
        <f t="shared" si="6"/>
        <v>1</v>
      </c>
      <c r="AB27" s="13">
        <f t="shared" si="6"/>
        <v>5</v>
      </c>
      <c r="AC27" s="13">
        <f t="shared" si="6"/>
        <v>3</v>
      </c>
      <c r="AD27" s="13">
        <f t="shared" si="6"/>
        <v>13</v>
      </c>
      <c r="AE27" s="13">
        <f t="shared" si="6"/>
        <v>2</v>
      </c>
      <c r="AF27" s="13">
        <f t="shared" si="6"/>
        <v>0</v>
      </c>
      <c r="AG27" s="13">
        <f t="shared" si="6"/>
        <v>0</v>
      </c>
      <c r="AH27" s="13">
        <f t="shared" si="6"/>
        <v>5</v>
      </c>
      <c r="AI27" s="13">
        <f t="shared" si="6"/>
        <v>8</v>
      </c>
      <c r="AJ27" s="13">
        <f t="shared" si="6"/>
        <v>4</v>
      </c>
      <c r="AK27" s="13">
        <f t="shared" si="6"/>
        <v>1</v>
      </c>
      <c r="AL27" s="13">
        <f t="shared" si="6"/>
        <v>5</v>
      </c>
      <c r="AM27" s="13">
        <f t="shared" si="6"/>
        <v>0</v>
      </c>
      <c r="AN27" s="13">
        <f t="shared" si="6"/>
        <v>0</v>
      </c>
      <c r="AO27" s="13">
        <f t="shared" si="6"/>
        <v>6</v>
      </c>
      <c r="AP27" s="13">
        <f t="shared" si="6"/>
        <v>1</v>
      </c>
      <c r="AQ27" s="13">
        <f t="shared" si="6"/>
        <v>2</v>
      </c>
      <c r="AR27" s="13">
        <f t="shared" si="6"/>
        <v>7</v>
      </c>
      <c r="AS27" s="13">
        <f t="shared" si="6"/>
        <v>1</v>
      </c>
      <c r="AT27" s="13">
        <f t="shared" si="6"/>
        <v>0</v>
      </c>
      <c r="AU27" s="13">
        <f t="shared" si="6"/>
        <v>0</v>
      </c>
      <c r="AV27" s="13">
        <f t="shared" si="6"/>
        <v>5</v>
      </c>
      <c r="AW27" s="13">
        <f t="shared" si="6"/>
        <v>0</v>
      </c>
      <c r="AX27" s="13">
        <f t="shared" si="6"/>
        <v>2</v>
      </c>
      <c r="AY27" s="13">
        <f t="shared" si="6"/>
        <v>1</v>
      </c>
      <c r="AZ27" s="13">
        <f t="shared" si="6"/>
        <v>0</v>
      </c>
      <c r="BA27" s="13">
        <f t="shared" si="6"/>
        <v>2</v>
      </c>
      <c r="BB27" s="13">
        <f t="shared" si="6"/>
        <v>0</v>
      </c>
      <c r="BC27" s="13">
        <f t="shared" si="6"/>
        <v>3</v>
      </c>
      <c r="BD27" s="13">
        <f t="shared" si="6"/>
        <v>2</v>
      </c>
      <c r="BE27" s="13">
        <f t="shared" si="3"/>
        <v>137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BD28" si="7">SUM(E19,E22,E25)</f>
        <v>99</v>
      </c>
      <c r="F28" s="13">
        <f t="shared" si="7"/>
        <v>99</v>
      </c>
      <c r="G28" s="13">
        <f t="shared" si="7"/>
        <v>97</v>
      </c>
      <c r="H28" s="13">
        <f t="shared" si="7"/>
        <v>100</v>
      </c>
      <c r="I28" s="13">
        <f t="shared" si="7"/>
        <v>100</v>
      </c>
      <c r="J28" s="13">
        <f t="shared" si="7"/>
        <v>71</v>
      </c>
      <c r="K28" s="13">
        <f t="shared" si="7"/>
        <v>83</v>
      </c>
      <c r="L28" s="13">
        <f t="shared" si="7"/>
        <v>87</v>
      </c>
      <c r="M28" s="13">
        <f t="shared" si="7"/>
        <v>75</v>
      </c>
      <c r="N28" s="13">
        <f t="shared" si="7"/>
        <v>73</v>
      </c>
      <c r="O28" s="13">
        <f t="shared" si="7"/>
        <v>77</v>
      </c>
      <c r="P28" s="13">
        <f t="shared" si="7"/>
        <v>78</v>
      </c>
      <c r="Q28" s="13">
        <f t="shared" si="7"/>
        <v>102</v>
      </c>
      <c r="R28" s="13">
        <f t="shared" si="7"/>
        <v>99</v>
      </c>
      <c r="S28" s="13">
        <f t="shared" si="7"/>
        <v>84</v>
      </c>
      <c r="T28" s="13">
        <f t="shared" si="7"/>
        <v>92</v>
      </c>
      <c r="U28" s="13">
        <f t="shared" si="7"/>
        <v>75</v>
      </c>
      <c r="V28" s="13">
        <f t="shared" si="7"/>
        <v>93</v>
      </c>
      <c r="W28" s="13">
        <f t="shared" si="7"/>
        <v>72</v>
      </c>
      <c r="X28" s="13">
        <f t="shared" si="7"/>
        <v>81</v>
      </c>
      <c r="Y28" s="13">
        <f t="shared" si="7"/>
        <v>105</v>
      </c>
      <c r="Z28" s="13">
        <f t="shared" si="7"/>
        <v>101</v>
      </c>
      <c r="AA28" s="13">
        <f t="shared" si="7"/>
        <v>130</v>
      </c>
      <c r="AB28" s="13">
        <f t="shared" si="7"/>
        <v>121</v>
      </c>
      <c r="AC28" s="13">
        <f t="shared" si="7"/>
        <v>116</v>
      </c>
      <c r="AD28" s="13">
        <f t="shared" si="7"/>
        <v>118</v>
      </c>
      <c r="AE28" s="13">
        <f t="shared" si="7"/>
        <v>92</v>
      </c>
      <c r="AF28" s="13">
        <f t="shared" si="7"/>
        <v>118</v>
      </c>
      <c r="AG28" s="13">
        <f t="shared" si="7"/>
        <v>102</v>
      </c>
      <c r="AH28" s="13">
        <f t="shared" si="7"/>
        <v>121</v>
      </c>
      <c r="AI28" s="13">
        <f t="shared" si="7"/>
        <v>107</v>
      </c>
      <c r="AJ28" s="13">
        <f t="shared" si="7"/>
        <v>103</v>
      </c>
      <c r="AK28" s="13">
        <f t="shared" si="7"/>
        <v>97</v>
      </c>
      <c r="AL28" s="13">
        <f t="shared" si="7"/>
        <v>98</v>
      </c>
      <c r="AM28" s="13">
        <f t="shared" si="7"/>
        <v>91</v>
      </c>
      <c r="AN28" s="13">
        <f t="shared" si="7"/>
        <v>101</v>
      </c>
      <c r="AO28" s="13">
        <f t="shared" si="7"/>
        <v>99</v>
      </c>
      <c r="AP28" s="13">
        <f t="shared" si="7"/>
        <v>98</v>
      </c>
      <c r="AQ28" s="13">
        <f t="shared" si="7"/>
        <v>68</v>
      </c>
      <c r="AR28" s="13">
        <f t="shared" si="7"/>
        <v>99</v>
      </c>
      <c r="AS28" s="13">
        <f t="shared" si="7"/>
        <v>96</v>
      </c>
      <c r="AT28" s="13">
        <f t="shared" si="7"/>
        <v>101</v>
      </c>
      <c r="AU28" s="13">
        <f t="shared" si="7"/>
        <v>104</v>
      </c>
      <c r="AV28" s="13">
        <f t="shared" si="7"/>
        <v>111</v>
      </c>
      <c r="AW28" s="13">
        <f t="shared" si="7"/>
        <v>105</v>
      </c>
      <c r="AX28" s="13">
        <f t="shared" si="7"/>
        <v>84</v>
      </c>
      <c r="AY28" s="13">
        <f t="shared" si="7"/>
        <v>67</v>
      </c>
      <c r="AZ28" s="13">
        <f t="shared" si="7"/>
        <v>105</v>
      </c>
      <c r="BA28" s="13">
        <f t="shared" si="7"/>
        <v>97</v>
      </c>
      <c r="BB28" s="13">
        <f t="shared" si="7"/>
        <v>92</v>
      </c>
      <c r="BC28" s="13">
        <f t="shared" si="7"/>
        <v>96</v>
      </c>
      <c r="BD28" s="13">
        <f t="shared" si="7"/>
        <v>78</v>
      </c>
      <c r="BE28" s="13">
        <f t="shared" si="3"/>
        <v>4958</v>
      </c>
    </row>
    <row r="29" ht="12.75" customHeight="1">
      <c r="A29" s="35"/>
      <c r="B29" s="27"/>
      <c r="C29" s="34"/>
      <c r="D29" s="13" t="s">
        <v>13</v>
      </c>
      <c r="E29" s="13">
        <f t="shared" ref="E29:BD29" si="8">SUM(E20,E23,E26)</f>
        <v>102</v>
      </c>
      <c r="F29" s="13">
        <f t="shared" si="8"/>
        <v>97</v>
      </c>
      <c r="G29" s="13">
        <f t="shared" si="8"/>
        <v>119</v>
      </c>
      <c r="H29" s="13">
        <f t="shared" si="8"/>
        <v>113</v>
      </c>
      <c r="I29" s="13">
        <f t="shared" si="8"/>
        <v>119</v>
      </c>
      <c r="J29" s="13">
        <f t="shared" si="8"/>
        <v>100</v>
      </c>
      <c r="K29" s="13">
        <f t="shared" si="8"/>
        <v>117</v>
      </c>
      <c r="L29" s="13">
        <f t="shared" si="8"/>
        <v>106</v>
      </c>
      <c r="M29" s="13">
        <f t="shared" si="8"/>
        <v>85</v>
      </c>
      <c r="N29" s="13">
        <f t="shared" si="8"/>
        <v>79</v>
      </c>
      <c r="O29" s="13">
        <f t="shared" si="8"/>
        <v>100</v>
      </c>
      <c r="P29" s="13">
        <f t="shared" si="8"/>
        <v>95</v>
      </c>
      <c r="Q29" s="13">
        <f t="shared" si="8"/>
        <v>120</v>
      </c>
      <c r="R29" s="13">
        <f t="shared" si="8"/>
        <v>111</v>
      </c>
      <c r="S29" s="13">
        <f t="shared" si="8"/>
        <v>108</v>
      </c>
      <c r="T29" s="13">
        <f t="shared" si="8"/>
        <v>106</v>
      </c>
      <c r="U29" s="13">
        <f t="shared" si="8"/>
        <v>100</v>
      </c>
      <c r="V29" s="13">
        <f t="shared" si="8"/>
        <v>113</v>
      </c>
      <c r="W29" s="13">
        <f t="shared" si="8"/>
        <v>93</v>
      </c>
      <c r="X29" s="13">
        <f t="shared" si="8"/>
        <v>92</v>
      </c>
      <c r="Y29" s="13">
        <f t="shared" si="8"/>
        <v>116</v>
      </c>
      <c r="Z29" s="13">
        <f t="shared" si="8"/>
        <v>119</v>
      </c>
      <c r="AA29" s="13">
        <f t="shared" si="8"/>
        <v>138</v>
      </c>
      <c r="AB29" s="13">
        <f t="shared" si="8"/>
        <v>129</v>
      </c>
      <c r="AC29" s="13">
        <f t="shared" si="8"/>
        <v>153</v>
      </c>
      <c r="AD29" s="13">
        <f t="shared" si="8"/>
        <v>158</v>
      </c>
      <c r="AE29" s="13">
        <f t="shared" si="8"/>
        <v>98</v>
      </c>
      <c r="AF29" s="13">
        <f t="shared" si="8"/>
        <v>118</v>
      </c>
      <c r="AG29" s="13">
        <f t="shared" si="8"/>
        <v>121</v>
      </c>
      <c r="AH29" s="13">
        <f t="shared" si="8"/>
        <v>132</v>
      </c>
      <c r="AI29" s="13">
        <f t="shared" si="8"/>
        <v>121</v>
      </c>
      <c r="AJ29" s="13">
        <f t="shared" si="8"/>
        <v>122</v>
      </c>
      <c r="AK29" s="13">
        <f t="shared" si="8"/>
        <v>107</v>
      </c>
      <c r="AL29" s="13">
        <f t="shared" si="8"/>
        <v>120</v>
      </c>
      <c r="AM29" s="13">
        <f t="shared" si="8"/>
        <v>105</v>
      </c>
      <c r="AN29" s="13">
        <f t="shared" si="8"/>
        <v>118</v>
      </c>
      <c r="AO29" s="13">
        <f t="shared" si="8"/>
        <v>123</v>
      </c>
      <c r="AP29" s="13">
        <f t="shared" si="8"/>
        <v>104</v>
      </c>
      <c r="AQ29" s="13">
        <f t="shared" si="8"/>
        <v>95</v>
      </c>
      <c r="AR29" s="13">
        <f t="shared" si="8"/>
        <v>120</v>
      </c>
      <c r="AS29" s="13">
        <f t="shared" si="8"/>
        <v>123</v>
      </c>
      <c r="AT29" s="13">
        <f t="shared" si="8"/>
        <v>104</v>
      </c>
      <c r="AU29" s="13">
        <f t="shared" si="8"/>
        <v>101</v>
      </c>
      <c r="AV29" s="13">
        <f t="shared" si="8"/>
        <v>114</v>
      </c>
      <c r="AW29" s="13">
        <f t="shared" si="8"/>
        <v>106</v>
      </c>
      <c r="AX29" s="13">
        <f t="shared" si="8"/>
        <v>117</v>
      </c>
      <c r="AY29" s="13">
        <f t="shared" si="8"/>
        <v>84</v>
      </c>
      <c r="AZ29" s="13">
        <f t="shared" si="8"/>
        <v>114</v>
      </c>
      <c r="BA29" s="13">
        <f t="shared" si="8"/>
        <v>98</v>
      </c>
      <c r="BB29" s="13">
        <f t="shared" si="8"/>
        <v>83</v>
      </c>
      <c r="BC29" s="13">
        <f t="shared" si="8"/>
        <v>104</v>
      </c>
      <c r="BD29" s="13">
        <f t="shared" si="8"/>
        <v>84</v>
      </c>
      <c r="BE29" s="13">
        <f t="shared" si="3"/>
        <v>5724</v>
      </c>
    </row>
    <row r="30" ht="12.75" customHeight="1">
      <c r="A30" s="35"/>
      <c r="B30" s="28"/>
      <c r="C30" s="36"/>
      <c r="D30" s="13" t="s">
        <v>14</v>
      </c>
      <c r="E30" s="13">
        <f t="shared" ref="E30:BD30" si="9">SUM(E28:E29)</f>
        <v>201</v>
      </c>
      <c r="F30" s="13">
        <f t="shared" si="9"/>
        <v>196</v>
      </c>
      <c r="G30" s="13">
        <f t="shared" si="9"/>
        <v>216</v>
      </c>
      <c r="H30" s="13">
        <f t="shared" si="9"/>
        <v>213</v>
      </c>
      <c r="I30" s="13">
        <f t="shared" si="9"/>
        <v>219</v>
      </c>
      <c r="J30" s="13">
        <f t="shared" si="9"/>
        <v>171</v>
      </c>
      <c r="K30" s="13">
        <f t="shared" si="9"/>
        <v>200</v>
      </c>
      <c r="L30" s="13">
        <f t="shared" si="9"/>
        <v>193</v>
      </c>
      <c r="M30" s="13">
        <f t="shared" si="9"/>
        <v>160</v>
      </c>
      <c r="N30" s="13">
        <f t="shared" si="9"/>
        <v>152</v>
      </c>
      <c r="O30" s="13">
        <f t="shared" si="9"/>
        <v>177</v>
      </c>
      <c r="P30" s="13">
        <f t="shared" si="9"/>
        <v>173</v>
      </c>
      <c r="Q30" s="13">
        <f t="shared" si="9"/>
        <v>222</v>
      </c>
      <c r="R30" s="13">
        <f t="shared" si="9"/>
        <v>210</v>
      </c>
      <c r="S30" s="13">
        <f t="shared" si="9"/>
        <v>192</v>
      </c>
      <c r="T30" s="13">
        <f t="shared" si="9"/>
        <v>198</v>
      </c>
      <c r="U30" s="13">
        <f t="shared" si="9"/>
        <v>175</v>
      </c>
      <c r="V30" s="13">
        <f t="shared" si="9"/>
        <v>206</v>
      </c>
      <c r="W30" s="13">
        <f t="shared" si="9"/>
        <v>165</v>
      </c>
      <c r="X30" s="13">
        <f t="shared" si="9"/>
        <v>173</v>
      </c>
      <c r="Y30" s="13">
        <f t="shared" si="9"/>
        <v>221</v>
      </c>
      <c r="Z30" s="13">
        <f t="shared" si="9"/>
        <v>220</v>
      </c>
      <c r="AA30" s="13">
        <f t="shared" si="9"/>
        <v>268</v>
      </c>
      <c r="AB30" s="13">
        <f t="shared" si="9"/>
        <v>250</v>
      </c>
      <c r="AC30" s="13">
        <f t="shared" si="9"/>
        <v>269</v>
      </c>
      <c r="AD30" s="13">
        <f t="shared" si="9"/>
        <v>276</v>
      </c>
      <c r="AE30" s="13">
        <f t="shared" si="9"/>
        <v>190</v>
      </c>
      <c r="AF30" s="13">
        <f t="shared" si="9"/>
        <v>236</v>
      </c>
      <c r="AG30" s="13">
        <f t="shared" si="9"/>
        <v>223</v>
      </c>
      <c r="AH30" s="13">
        <f t="shared" si="9"/>
        <v>253</v>
      </c>
      <c r="AI30" s="13">
        <f t="shared" si="9"/>
        <v>228</v>
      </c>
      <c r="AJ30" s="13">
        <f t="shared" si="9"/>
        <v>225</v>
      </c>
      <c r="AK30" s="13">
        <f t="shared" si="9"/>
        <v>204</v>
      </c>
      <c r="AL30" s="13">
        <f t="shared" si="9"/>
        <v>218</v>
      </c>
      <c r="AM30" s="13">
        <f t="shared" si="9"/>
        <v>196</v>
      </c>
      <c r="AN30" s="13">
        <f t="shared" si="9"/>
        <v>219</v>
      </c>
      <c r="AO30" s="13">
        <f t="shared" si="9"/>
        <v>222</v>
      </c>
      <c r="AP30" s="13">
        <f t="shared" si="9"/>
        <v>202</v>
      </c>
      <c r="AQ30" s="13">
        <f t="shared" si="9"/>
        <v>163</v>
      </c>
      <c r="AR30" s="13">
        <f t="shared" si="9"/>
        <v>219</v>
      </c>
      <c r="AS30" s="13">
        <f t="shared" si="9"/>
        <v>219</v>
      </c>
      <c r="AT30" s="13">
        <f t="shared" si="9"/>
        <v>205</v>
      </c>
      <c r="AU30" s="13">
        <f t="shared" si="9"/>
        <v>205</v>
      </c>
      <c r="AV30" s="13">
        <f t="shared" si="9"/>
        <v>225</v>
      </c>
      <c r="AW30" s="13">
        <f t="shared" si="9"/>
        <v>211</v>
      </c>
      <c r="AX30" s="13">
        <f t="shared" si="9"/>
        <v>201</v>
      </c>
      <c r="AY30" s="13">
        <f t="shared" si="9"/>
        <v>151</v>
      </c>
      <c r="AZ30" s="13">
        <f t="shared" si="9"/>
        <v>219</v>
      </c>
      <c r="BA30" s="13">
        <f t="shared" si="9"/>
        <v>195</v>
      </c>
      <c r="BB30" s="13">
        <f t="shared" si="9"/>
        <v>175</v>
      </c>
      <c r="BC30" s="13">
        <f t="shared" si="9"/>
        <v>200</v>
      </c>
      <c r="BD30" s="13">
        <f t="shared" si="9"/>
        <v>162</v>
      </c>
      <c r="BE30" s="13">
        <f t="shared" si="3"/>
        <v>10682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69"/>
      <c r="P31" s="69"/>
      <c r="Q31" s="19"/>
      <c r="R31" s="19"/>
      <c r="S31" s="19"/>
      <c r="T31" s="19"/>
      <c r="U31" s="19"/>
      <c r="V31" s="19"/>
      <c r="W31" s="19"/>
      <c r="X31" s="19"/>
      <c r="Y31" s="69"/>
      <c r="Z31" s="69"/>
      <c r="AA31" s="69"/>
      <c r="AB31" s="19"/>
      <c r="AC31" s="19"/>
      <c r="AD31" s="19"/>
      <c r="AE31" s="19"/>
      <c r="AF31" s="19"/>
      <c r="AG31" s="19"/>
      <c r="AH31" s="19"/>
      <c r="AI31" s="19"/>
      <c r="AJ31" s="69"/>
      <c r="AK31" s="69"/>
      <c r="AL31" s="69"/>
      <c r="AM31" s="19"/>
      <c r="AN31" s="19"/>
      <c r="AO31" s="19"/>
      <c r="AP31" s="19"/>
      <c r="AQ31" s="19"/>
      <c r="AR31" s="19"/>
      <c r="AS31" s="19"/>
      <c r="AT31" s="19"/>
      <c r="AU31" s="69"/>
      <c r="AV31" s="69"/>
      <c r="AW31" s="69"/>
      <c r="AX31" s="19"/>
      <c r="AY31" s="19"/>
      <c r="AZ31" s="19"/>
      <c r="BA31" s="69"/>
      <c r="BB31" s="69"/>
      <c r="BC31" s="69"/>
      <c r="BD31" s="69"/>
      <c r="BE31" s="7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1"/>
      <c r="O32" s="71"/>
      <c r="P32" s="71"/>
      <c r="Q32" s="13"/>
      <c r="R32" s="13"/>
      <c r="S32" s="13"/>
      <c r="T32" s="13"/>
      <c r="U32" s="13"/>
      <c r="V32" s="13"/>
      <c r="W32" s="13"/>
      <c r="X32" s="13"/>
      <c r="Y32" s="71"/>
      <c r="Z32" s="71"/>
      <c r="AA32" s="71"/>
      <c r="AB32" s="13"/>
      <c r="AC32" s="13"/>
      <c r="AD32" s="13"/>
      <c r="AE32" s="13"/>
      <c r="AF32" s="13"/>
      <c r="AG32" s="13"/>
      <c r="AH32" s="13"/>
      <c r="AI32" s="13"/>
      <c r="AJ32" s="71"/>
      <c r="AK32" s="71"/>
      <c r="AL32" s="71"/>
      <c r="AM32" s="13"/>
      <c r="AN32" s="13"/>
      <c r="AO32" s="13"/>
      <c r="AP32" s="13"/>
      <c r="AQ32" s="13"/>
      <c r="AR32" s="13"/>
      <c r="AS32" s="13"/>
      <c r="AT32" s="13"/>
      <c r="AU32" s="71"/>
      <c r="AV32" s="71"/>
      <c r="AW32" s="71"/>
      <c r="AX32" s="13"/>
      <c r="AY32" s="13"/>
      <c r="AZ32" s="13"/>
      <c r="BA32" s="71"/>
      <c r="BB32" s="71"/>
      <c r="BC32" s="71"/>
      <c r="BD32" s="71"/>
      <c r="BE32" s="70"/>
    </row>
    <row r="33" ht="12.75" customHeight="1">
      <c r="A33" s="19">
        <v>1.0</v>
      </c>
      <c r="B33" s="20" t="s">
        <v>27</v>
      </c>
      <c r="C33" s="15"/>
      <c r="D33" s="16"/>
      <c r="E33" s="19">
        <v>272.0</v>
      </c>
      <c r="F33" s="19">
        <v>278.0</v>
      </c>
      <c r="G33" s="19">
        <v>305.0</v>
      </c>
      <c r="H33" s="19">
        <v>287.0</v>
      </c>
      <c r="I33" s="19">
        <v>289.0</v>
      </c>
      <c r="J33" s="19">
        <v>231.0</v>
      </c>
      <c r="K33" s="19">
        <v>285.0</v>
      </c>
      <c r="L33" s="19">
        <v>269.0</v>
      </c>
      <c r="M33" s="19">
        <v>220.0</v>
      </c>
      <c r="N33" s="19">
        <v>191.0</v>
      </c>
      <c r="O33" s="19">
        <v>299.0</v>
      </c>
      <c r="P33" s="19">
        <v>297.0</v>
      </c>
      <c r="Q33" s="19">
        <v>292.0</v>
      </c>
      <c r="R33" s="19">
        <v>289.0</v>
      </c>
      <c r="S33" s="19">
        <v>280.0</v>
      </c>
      <c r="T33" s="19">
        <v>262.0</v>
      </c>
      <c r="U33" s="19">
        <v>269.0</v>
      </c>
      <c r="V33" s="19">
        <v>275.0</v>
      </c>
      <c r="W33" s="19">
        <v>240.0</v>
      </c>
      <c r="X33" s="19">
        <v>199.0</v>
      </c>
      <c r="Y33" s="19">
        <v>288.0</v>
      </c>
      <c r="Z33" s="19">
        <v>274.0</v>
      </c>
      <c r="AA33" s="19">
        <v>293.0</v>
      </c>
      <c r="AB33" s="19">
        <v>306.0</v>
      </c>
      <c r="AC33" s="19">
        <v>305.0</v>
      </c>
      <c r="AD33" s="19">
        <v>302.0</v>
      </c>
      <c r="AE33" s="19">
        <v>217.0</v>
      </c>
      <c r="AF33" s="19">
        <v>301.0</v>
      </c>
      <c r="AG33" s="19">
        <v>293.0</v>
      </c>
      <c r="AH33" s="19">
        <v>294.0</v>
      </c>
      <c r="AI33" s="19">
        <v>279.0</v>
      </c>
      <c r="AJ33" s="19">
        <v>297.0</v>
      </c>
      <c r="AK33" s="19">
        <v>262.0</v>
      </c>
      <c r="AL33" s="19">
        <v>302.0</v>
      </c>
      <c r="AM33" s="19">
        <v>273.0</v>
      </c>
      <c r="AN33" s="19">
        <v>302.0</v>
      </c>
      <c r="AO33" s="19">
        <v>303.0</v>
      </c>
      <c r="AP33" s="19">
        <v>272.0</v>
      </c>
      <c r="AQ33" s="19">
        <v>223.0</v>
      </c>
      <c r="AR33" s="19">
        <v>297.0</v>
      </c>
      <c r="AS33" s="19">
        <v>289.0</v>
      </c>
      <c r="AT33" s="19">
        <v>276.0</v>
      </c>
      <c r="AU33" s="19">
        <v>276.0</v>
      </c>
      <c r="AV33" s="19">
        <v>278.0</v>
      </c>
      <c r="AW33" s="19">
        <v>258.0</v>
      </c>
      <c r="AX33" s="19">
        <v>268.0</v>
      </c>
      <c r="AY33" s="19">
        <v>197.0</v>
      </c>
      <c r="AZ33" s="19">
        <v>288.0</v>
      </c>
      <c r="BA33" s="19">
        <v>252.0</v>
      </c>
      <c r="BB33" s="19">
        <v>246.0</v>
      </c>
      <c r="BC33" s="19">
        <v>271.0</v>
      </c>
      <c r="BD33" s="19">
        <v>225.0</v>
      </c>
      <c r="BE33" s="13">
        <f t="shared" ref="BE33:BE36" si="10">SUM(E33:BD33)</f>
        <v>14136</v>
      </c>
    </row>
    <row r="34" ht="12.75" customHeight="1">
      <c r="A34" s="19">
        <v>2.0</v>
      </c>
      <c r="B34" s="20" t="s">
        <v>28</v>
      </c>
      <c r="C34" s="15"/>
      <c r="D34" s="16"/>
      <c r="E34" s="13">
        <v>201.0</v>
      </c>
      <c r="F34" s="13">
        <v>196.0</v>
      </c>
      <c r="G34" s="13">
        <v>216.0</v>
      </c>
      <c r="H34" s="13">
        <v>213.0</v>
      </c>
      <c r="I34" s="13">
        <v>219.0</v>
      </c>
      <c r="J34" s="13">
        <v>171.0</v>
      </c>
      <c r="K34" s="13">
        <v>200.0</v>
      </c>
      <c r="L34" s="13">
        <v>193.0</v>
      </c>
      <c r="M34" s="13">
        <v>160.0</v>
      </c>
      <c r="N34" s="13">
        <v>152.0</v>
      </c>
      <c r="O34" s="13">
        <v>177.0</v>
      </c>
      <c r="P34" s="13">
        <v>173.0</v>
      </c>
      <c r="Q34" s="13">
        <v>222.0</v>
      </c>
      <c r="R34" s="13">
        <v>210.0</v>
      </c>
      <c r="S34" s="13">
        <v>192.0</v>
      </c>
      <c r="T34" s="13">
        <v>198.0</v>
      </c>
      <c r="U34" s="13">
        <v>175.0</v>
      </c>
      <c r="V34" s="13">
        <v>206.0</v>
      </c>
      <c r="W34" s="13">
        <v>165.0</v>
      </c>
      <c r="X34" s="13">
        <v>173.0</v>
      </c>
      <c r="Y34" s="13">
        <v>221.0</v>
      </c>
      <c r="Z34" s="13">
        <v>220.0</v>
      </c>
      <c r="AA34" s="13">
        <v>268.0</v>
      </c>
      <c r="AB34" s="13">
        <v>250.0</v>
      </c>
      <c r="AC34" s="13">
        <v>269.0</v>
      </c>
      <c r="AD34" s="13">
        <v>276.0</v>
      </c>
      <c r="AE34" s="13">
        <v>190.0</v>
      </c>
      <c r="AF34" s="13">
        <v>236.0</v>
      </c>
      <c r="AG34" s="13">
        <v>223.0</v>
      </c>
      <c r="AH34" s="13">
        <v>253.0</v>
      </c>
      <c r="AI34" s="13">
        <v>228.0</v>
      </c>
      <c r="AJ34" s="13">
        <v>225.0</v>
      </c>
      <c r="AK34" s="13">
        <v>204.0</v>
      </c>
      <c r="AL34" s="13">
        <v>218.0</v>
      </c>
      <c r="AM34" s="13">
        <v>196.0</v>
      </c>
      <c r="AN34" s="13">
        <v>219.0</v>
      </c>
      <c r="AO34" s="13">
        <v>222.0</v>
      </c>
      <c r="AP34" s="13">
        <v>202.0</v>
      </c>
      <c r="AQ34" s="13">
        <v>163.0</v>
      </c>
      <c r="AR34" s="13">
        <v>219.0</v>
      </c>
      <c r="AS34" s="13">
        <v>219.0</v>
      </c>
      <c r="AT34" s="13">
        <v>205.0</v>
      </c>
      <c r="AU34" s="13">
        <v>205.0</v>
      </c>
      <c r="AV34" s="13">
        <v>225.0</v>
      </c>
      <c r="AW34" s="13">
        <v>211.0</v>
      </c>
      <c r="AX34" s="13">
        <v>201.0</v>
      </c>
      <c r="AY34" s="13">
        <v>151.0</v>
      </c>
      <c r="AZ34" s="13">
        <v>219.0</v>
      </c>
      <c r="BA34" s="13">
        <v>195.0</v>
      </c>
      <c r="BB34" s="13">
        <v>175.0</v>
      </c>
      <c r="BC34" s="13">
        <v>200.0</v>
      </c>
      <c r="BD34" s="13">
        <v>162.0</v>
      </c>
      <c r="BE34" s="13">
        <f t="shared" si="10"/>
        <v>10682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>
        <v>20.0</v>
      </c>
      <c r="Q35" s="19"/>
      <c r="R35" s="19">
        <v>1.0</v>
      </c>
      <c r="S35" s="19"/>
      <c r="T35" s="19"/>
      <c r="U35" s="19"/>
      <c r="V35" s="19">
        <v>1.0</v>
      </c>
      <c r="W35" s="19"/>
      <c r="X35" s="19"/>
      <c r="Y35" s="19">
        <v>1.0</v>
      </c>
      <c r="Z35" s="19"/>
      <c r="AA35" s="19"/>
      <c r="AB35" s="19"/>
      <c r="AC35" s="19"/>
      <c r="AD35" s="19">
        <v>1.0</v>
      </c>
      <c r="AE35" s="19"/>
      <c r="AF35" s="19"/>
      <c r="AG35" s="19"/>
      <c r="AH35" s="19"/>
      <c r="AI35" s="19">
        <v>1.0</v>
      </c>
      <c r="AJ35" s="19"/>
      <c r="AK35" s="19"/>
      <c r="AL35" s="19"/>
      <c r="AM35" s="19"/>
      <c r="AN35" s="19">
        <v>1.0</v>
      </c>
      <c r="AO35" s="19"/>
      <c r="AP35" s="19"/>
      <c r="AQ35" s="19"/>
      <c r="AR35" s="19"/>
      <c r="AS35" s="19"/>
      <c r="AT35" s="19">
        <v>1.0</v>
      </c>
      <c r="AU35" s="19"/>
      <c r="AV35" s="19"/>
      <c r="AW35" s="19"/>
      <c r="AX35" s="19"/>
      <c r="AY35" s="19"/>
      <c r="AZ35" s="19"/>
      <c r="BA35" s="19"/>
      <c r="BB35" s="19">
        <v>1.0</v>
      </c>
      <c r="BC35" s="19"/>
      <c r="BD35" s="19">
        <v>1.0</v>
      </c>
      <c r="BE35" s="13">
        <f t="shared" si="10"/>
        <v>29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D36" si="11">E33-(E34+E35)</f>
        <v>71</v>
      </c>
      <c r="F36" s="13">
        <f t="shared" si="11"/>
        <v>82</v>
      </c>
      <c r="G36" s="13">
        <f t="shared" si="11"/>
        <v>89</v>
      </c>
      <c r="H36" s="13">
        <f t="shared" si="11"/>
        <v>74</v>
      </c>
      <c r="I36" s="13">
        <f t="shared" si="11"/>
        <v>70</v>
      </c>
      <c r="J36" s="13">
        <f t="shared" si="11"/>
        <v>60</v>
      </c>
      <c r="K36" s="13">
        <f t="shared" si="11"/>
        <v>85</v>
      </c>
      <c r="L36" s="13">
        <f t="shared" si="11"/>
        <v>76</v>
      </c>
      <c r="M36" s="13">
        <f t="shared" si="11"/>
        <v>60</v>
      </c>
      <c r="N36" s="13">
        <f t="shared" si="11"/>
        <v>39</v>
      </c>
      <c r="O36" s="13">
        <f t="shared" si="11"/>
        <v>122</v>
      </c>
      <c r="P36" s="13">
        <f t="shared" si="11"/>
        <v>104</v>
      </c>
      <c r="Q36" s="13">
        <f t="shared" si="11"/>
        <v>70</v>
      </c>
      <c r="R36" s="13">
        <f t="shared" si="11"/>
        <v>78</v>
      </c>
      <c r="S36" s="13">
        <f t="shared" si="11"/>
        <v>88</v>
      </c>
      <c r="T36" s="13">
        <f t="shared" si="11"/>
        <v>64</v>
      </c>
      <c r="U36" s="13">
        <f t="shared" si="11"/>
        <v>94</v>
      </c>
      <c r="V36" s="13">
        <f t="shared" si="11"/>
        <v>68</v>
      </c>
      <c r="W36" s="13">
        <f t="shared" si="11"/>
        <v>75</v>
      </c>
      <c r="X36" s="13">
        <f t="shared" si="11"/>
        <v>26</v>
      </c>
      <c r="Y36" s="13">
        <f t="shared" si="11"/>
        <v>66</v>
      </c>
      <c r="Z36" s="13">
        <f t="shared" si="11"/>
        <v>54</v>
      </c>
      <c r="AA36" s="13">
        <f t="shared" si="11"/>
        <v>25</v>
      </c>
      <c r="AB36" s="13">
        <f t="shared" si="11"/>
        <v>56</v>
      </c>
      <c r="AC36" s="13">
        <f t="shared" si="11"/>
        <v>36</v>
      </c>
      <c r="AD36" s="13">
        <f t="shared" si="11"/>
        <v>25</v>
      </c>
      <c r="AE36" s="13">
        <f t="shared" si="11"/>
        <v>27</v>
      </c>
      <c r="AF36" s="13">
        <f t="shared" si="11"/>
        <v>65</v>
      </c>
      <c r="AG36" s="13">
        <f t="shared" si="11"/>
        <v>70</v>
      </c>
      <c r="AH36" s="13">
        <f t="shared" si="11"/>
        <v>41</v>
      </c>
      <c r="AI36" s="13">
        <f t="shared" si="11"/>
        <v>50</v>
      </c>
      <c r="AJ36" s="13">
        <f t="shared" si="11"/>
        <v>72</v>
      </c>
      <c r="AK36" s="13">
        <f t="shared" si="11"/>
        <v>58</v>
      </c>
      <c r="AL36" s="13">
        <f t="shared" si="11"/>
        <v>84</v>
      </c>
      <c r="AM36" s="13">
        <f t="shared" si="11"/>
        <v>77</v>
      </c>
      <c r="AN36" s="13">
        <f t="shared" si="11"/>
        <v>82</v>
      </c>
      <c r="AO36" s="13">
        <f t="shared" si="11"/>
        <v>81</v>
      </c>
      <c r="AP36" s="13">
        <f t="shared" si="11"/>
        <v>70</v>
      </c>
      <c r="AQ36" s="13">
        <f t="shared" si="11"/>
        <v>60</v>
      </c>
      <c r="AR36" s="13">
        <f t="shared" si="11"/>
        <v>78</v>
      </c>
      <c r="AS36" s="13">
        <f t="shared" si="11"/>
        <v>70</v>
      </c>
      <c r="AT36" s="13">
        <f t="shared" si="11"/>
        <v>70</v>
      </c>
      <c r="AU36" s="13">
        <f t="shared" si="11"/>
        <v>71</v>
      </c>
      <c r="AV36" s="13">
        <f t="shared" si="11"/>
        <v>53</v>
      </c>
      <c r="AW36" s="13">
        <f t="shared" si="11"/>
        <v>47</v>
      </c>
      <c r="AX36" s="13">
        <f t="shared" si="11"/>
        <v>67</v>
      </c>
      <c r="AY36" s="13">
        <f t="shared" si="11"/>
        <v>46</v>
      </c>
      <c r="AZ36" s="13">
        <f t="shared" si="11"/>
        <v>69</v>
      </c>
      <c r="BA36" s="13">
        <f t="shared" si="11"/>
        <v>57</v>
      </c>
      <c r="BB36" s="13">
        <f t="shared" si="11"/>
        <v>70</v>
      </c>
      <c r="BC36" s="13">
        <f t="shared" si="11"/>
        <v>71</v>
      </c>
      <c r="BD36" s="13">
        <f t="shared" si="11"/>
        <v>62</v>
      </c>
      <c r="BE36" s="13">
        <f t="shared" si="10"/>
        <v>3425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6"/>
      <c r="AQ37" s="19"/>
      <c r="AR37" s="19"/>
      <c r="AS37" s="19"/>
      <c r="AT37" s="19"/>
      <c r="AU37" s="69"/>
      <c r="AV37" s="75"/>
      <c r="AW37" s="75"/>
      <c r="AX37" s="19"/>
      <c r="AY37" s="19"/>
      <c r="AZ37" s="19"/>
      <c r="BA37" s="69"/>
      <c r="BB37" s="75"/>
      <c r="BC37" s="75"/>
      <c r="BD37" s="75"/>
      <c r="BE37" s="7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1"/>
      <c r="O38" s="71"/>
      <c r="P38" s="71"/>
      <c r="Q38" s="13"/>
      <c r="R38" s="13"/>
      <c r="S38" s="13"/>
      <c r="T38" s="13"/>
      <c r="U38" s="13"/>
      <c r="V38" s="13"/>
      <c r="W38" s="13"/>
      <c r="X38" s="13"/>
      <c r="Y38" s="71"/>
      <c r="Z38" s="71"/>
      <c r="AA38" s="71"/>
      <c r="AB38" s="13"/>
      <c r="AC38" s="13"/>
      <c r="AD38" s="13"/>
      <c r="AE38" s="13"/>
      <c r="AF38" s="13"/>
      <c r="AG38" s="13"/>
      <c r="AH38" s="13"/>
      <c r="AI38" s="13"/>
      <c r="AJ38" s="71"/>
      <c r="AK38" s="71"/>
      <c r="AL38" s="71"/>
      <c r="AM38" s="13"/>
      <c r="AN38" s="13"/>
      <c r="AO38" s="13"/>
      <c r="AP38" s="13"/>
      <c r="AQ38" s="13"/>
      <c r="AR38" s="13"/>
      <c r="AS38" s="13"/>
      <c r="AT38" s="13"/>
      <c r="AU38" s="71"/>
      <c r="AV38" s="71"/>
      <c r="AW38" s="71"/>
      <c r="AX38" s="13"/>
      <c r="AY38" s="13"/>
      <c r="AZ38" s="13"/>
      <c r="BA38" s="71"/>
      <c r="BB38" s="71"/>
      <c r="BC38" s="71"/>
      <c r="BD38" s="71"/>
      <c r="BE38" s="7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1.0</v>
      </c>
      <c r="H39" s="19">
        <v>1.0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1.0</v>
      </c>
      <c r="O39" s="19">
        <v>0.0</v>
      </c>
      <c r="P39" s="19">
        <v>0.0</v>
      </c>
      <c r="Q39" s="19">
        <v>0.0</v>
      </c>
      <c r="R39" s="19">
        <v>0.0</v>
      </c>
      <c r="S39" s="19">
        <v>1.0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1.0</v>
      </c>
      <c r="AC39" s="19">
        <v>1.0</v>
      </c>
      <c r="AD39" s="19">
        <v>2.0</v>
      </c>
      <c r="AE39" s="19">
        <v>1.0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1.0</v>
      </c>
      <c r="AL39" s="19">
        <v>0.0</v>
      </c>
      <c r="AM39" s="19">
        <v>0.0</v>
      </c>
      <c r="AN39" s="19">
        <v>3.0</v>
      </c>
      <c r="AO39" s="19">
        <v>0.0</v>
      </c>
      <c r="AP39" s="19">
        <v>0.0</v>
      </c>
      <c r="AQ39" s="19">
        <v>2.0</v>
      </c>
      <c r="AR39" s="19">
        <v>1.0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>
        <v>1.0</v>
      </c>
      <c r="AY39" s="19">
        <v>0.0</v>
      </c>
      <c r="AZ39" s="19">
        <v>0.0</v>
      </c>
      <c r="BA39" s="19">
        <v>0.0</v>
      </c>
      <c r="BB39" s="19">
        <v>0.0</v>
      </c>
      <c r="BC39" s="19">
        <v>0.0</v>
      </c>
      <c r="BD39" s="19">
        <v>0.0</v>
      </c>
      <c r="BE39" s="13">
        <f t="shared" ref="BE39:BE41" si="12">SUM(E39:BD39)</f>
        <v>17</v>
      </c>
    </row>
    <row r="40" ht="12.75" customHeight="1">
      <c r="A40" s="33"/>
      <c r="C40" s="27"/>
      <c r="D40" s="19" t="s">
        <v>13</v>
      </c>
      <c r="E40" s="19">
        <v>0.0</v>
      </c>
      <c r="F40" s="19">
        <v>1.0</v>
      </c>
      <c r="G40" s="19">
        <v>4.0</v>
      </c>
      <c r="H40" s="19">
        <v>1.0</v>
      </c>
      <c r="I40" s="19">
        <v>1.0</v>
      </c>
      <c r="J40" s="19">
        <v>0.0</v>
      </c>
      <c r="K40" s="19">
        <v>1.0</v>
      </c>
      <c r="L40" s="19">
        <v>0.0</v>
      </c>
      <c r="M40" s="19">
        <v>0.0</v>
      </c>
      <c r="N40" s="19">
        <v>1.0</v>
      </c>
      <c r="O40" s="19">
        <v>0.0</v>
      </c>
      <c r="P40" s="19">
        <v>0.0</v>
      </c>
      <c r="Q40" s="19">
        <v>0.0</v>
      </c>
      <c r="R40" s="19">
        <v>0.0</v>
      </c>
      <c r="S40" s="19">
        <v>5.0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4.0</v>
      </c>
      <c r="AC40" s="19">
        <v>5.0</v>
      </c>
      <c r="AD40" s="19">
        <v>5.0</v>
      </c>
      <c r="AE40" s="19">
        <v>2.0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4.0</v>
      </c>
      <c r="AL40" s="19">
        <v>0.0</v>
      </c>
      <c r="AM40" s="19">
        <v>0.0</v>
      </c>
      <c r="AN40" s="19">
        <v>5.0</v>
      </c>
      <c r="AO40" s="19">
        <v>0.0</v>
      </c>
      <c r="AP40" s="19">
        <v>1.0</v>
      </c>
      <c r="AQ40" s="19">
        <v>1.0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>
        <v>1.0</v>
      </c>
      <c r="AY40" s="19">
        <v>0.0</v>
      </c>
      <c r="AZ40" s="19">
        <v>0.0</v>
      </c>
      <c r="BA40" s="19">
        <v>0.0</v>
      </c>
      <c r="BB40" s="19">
        <v>0.0</v>
      </c>
      <c r="BC40" s="19">
        <v>0.0</v>
      </c>
      <c r="BD40" s="19">
        <v>0.0</v>
      </c>
      <c r="BE40" s="13">
        <f t="shared" si="12"/>
        <v>42</v>
      </c>
    </row>
    <row r="41" ht="12.75" customHeight="1">
      <c r="A41" s="41"/>
      <c r="B41" s="44"/>
      <c r="C41" s="28"/>
      <c r="D41" s="13" t="s">
        <v>14</v>
      </c>
      <c r="E41" s="13">
        <f t="shared" ref="E41:BD41" si="13">SUM(E39:E40)</f>
        <v>0</v>
      </c>
      <c r="F41" s="13">
        <f t="shared" si="13"/>
        <v>1</v>
      </c>
      <c r="G41" s="13">
        <f t="shared" si="13"/>
        <v>5</v>
      </c>
      <c r="H41" s="13">
        <f t="shared" si="13"/>
        <v>2</v>
      </c>
      <c r="I41" s="13">
        <f t="shared" si="13"/>
        <v>1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2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6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5</v>
      </c>
      <c r="AC41" s="13">
        <f t="shared" si="13"/>
        <v>6</v>
      </c>
      <c r="AD41" s="13">
        <f t="shared" si="13"/>
        <v>7</v>
      </c>
      <c r="AE41" s="13">
        <f t="shared" si="13"/>
        <v>3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5</v>
      </c>
      <c r="AL41" s="13">
        <f t="shared" si="13"/>
        <v>0</v>
      </c>
      <c r="AM41" s="13">
        <f t="shared" si="13"/>
        <v>0</v>
      </c>
      <c r="AN41" s="13">
        <f t="shared" si="13"/>
        <v>8</v>
      </c>
      <c r="AO41" s="13">
        <f t="shared" si="13"/>
        <v>0</v>
      </c>
      <c r="AP41" s="13">
        <f t="shared" si="13"/>
        <v>1</v>
      </c>
      <c r="AQ41" s="13">
        <f t="shared" si="13"/>
        <v>3</v>
      </c>
      <c r="AR41" s="13">
        <f t="shared" si="13"/>
        <v>1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2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0</v>
      </c>
      <c r="BE41" s="13">
        <f t="shared" si="12"/>
        <v>59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6"/>
      <c r="AQ42" s="19"/>
      <c r="AR42" s="19"/>
      <c r="AS42" s="19"/>
      <c r="AT42" s="19"/>
      <c r="AU42" s="69"/>
      <c r="AV42" s="19"/>
      <c r="AW42" s="69"/>
      <c r="AX42" s="19"/>
      <c r="AY42" s="19"/>
      <c r="AZ42" s="19"/>
      <c r="BA42" s="69"/>
      <c r="BB42" s="19"/>
      <c r="BC42" s="69"/>
      <c r="BD42" s="19"/>
      <c r="BE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1"/>
      <c r="O43" s="13"/>
      <c r="P43" s="71"/>
      <c r="Q43" s="13"/>
      <c r="R43" s="13"/>
      <c r="S43" s="13"/>
      <c r="T43" s="13"/>
      <c r="U43" s="13"/>
      <c r="V43" s="13"/>
      <c r="W43" s="13"/>
      <c r="X43" s="13"/>
      <c r="Y43" s="71"/>
      <c r="Z43" s="13"/>
      <c r="AA43" s="71"/>
      <c r="AB43" s="13"/>
      <c r="AC43" s="13"/>
      <c r="AD43" s="13"/>
      <c r="AE43" s="13"/>
      <c r="AF43" s="13"/>
      <c r="AG43" s="13"/>
      <c r="AH43" s="13"/>
      <c r="AI43" s="13"/>
      <c r="AJ43" s="71"/>
      <c r="AK43" s="13"/>
      <c r="AL43" s="71"/>
      <c r="AM43" s="13"/>
      <c r="AN43" s="13"/>
      <c r="AO43" s="13"/>
      <c r="AP43" s="13"/>
      <c r="AQ43" s="13"/>
      <c r="AR43" s="13"/>
      <c r="AS43" s="13"/>
      <c r="AT43" s="13"/>
      <c r="AU43" s="71"/>
      <c r="AV43" s="13"/>
      <c r="AW43" s="71"/>
      <c r="AX43" s="13"/>
      <c r="AY43" s="13"/>
      <c r="AZ43" s="13"/>
      <c r="BA43" s="71"/>
      <c r="BB43" s="13"/>
      <c r="BC43" s="71"/>
      <c r="BD43" s="13"/>
      <c r="BE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9"/>
      <c r="O44" s="19"/>
      <c r="P44" s="69"/>
      <c r="Q44" s="19"/>
      <c r="R44" s="19"/>
      <c r="S44" s="19"/>
      <c r="T44" s="19"/>
      <c r="U44" s="19"/>
      <c r="V44" s="19"/>
      <c r="W44" s="19"/>
      <c r="X44" s="19"/>
      <c r="Y44" s="69"/>
      <c r="Z44" s="19"/>
      <c r="AA44" s="69"/>
      <c r="AB44" s="19"/>
      <c r="AC44" s="19"/>
      <c r="AD44" s="19"/>
      <c r="AE44" s="19"/>
      <c r="AF44" s="19"/>
      <c r="AG44" s="19"/>
      <c r="AH44" s="19"/>
      <c r="AI44" s="19"/>
      <c r="AJ44" s="69"/>
      <c r="AK44" s="19"/>
      <c r="AL44" s="69"/>
      <c r="AM44" s="19"/>
      <c r="AN44" s="19"/>
      <c r="AO44" s="19"/>
      <c r="AP44" s="19"/>
      <c r="AQ44" s="19"/>
      <c r="AR44" s="19"/>
      <c r="AS44" s="19"/>
      <c r="AT44" s="19"/>
      <c r="AU44" s="69"/>
      <c r="AV44" s="19"/>
      <c r="AW44" s="69"/>
      <c r="AX44" s="19"/>
      <c r="AY44" s="19"/>
      <c r="AZ44" s="19"/>
      <c r="BA44" s="69"/>
      <c r="BB44" s="19"/>
      <c r="BC44" s="69"/>
      <c r="BD44" s="19"/>
      <c r="BE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4.0</v>
      </c>
      <c r="F45" s="19">
        <v>1.0</v>
      </c>
      <c r="G45" s="19">
        <v>6.0</v>
      </c>
      <c r="H45" s="19">
        <v>5.0</v>
      </c>
      <c r="I45" s="19">
        <v>3.0</v>
      </c>
      <c r="J45" s="19">
        <v>2.0</v>
      </c>
      <c r="K45" s="19">
        <v>12.0</v>
      </c>
      <c r="L45" s="19">
        <v>6.0</v>
      </c>
      <c r="M45" s="19">
        <v>2.0</v>
      </c>
      <c r="N45" s="19">
        <v>6.0</v>
      </c>
      <c r="O45" s="19">
        <v>4.0</v>
      </c>
      <c r="P45" s="19">
        <v>6.0</v>
      </c>
      <c r="Q45" s="19">
        <v>2.0</v>
      </c>
      <c r="R45" s="19">
        <v>6.0</v>
      </c>
      <c r="S45" s="19">
        <v>4.0</v>
      </c>
      <c r="T45" s="19">
        <v>4.0</v>
      </c>
      <c r="U45" s="19">
        <v>7.0</v>
      </c>
      <c r="V45" s="19">
        <v>15.0</v>
      </c>
      <c r="W45" s="19">
        <v>7.0</v>
      </c>
      <c r="X45" s="19">
        <v>13.0</v>
      </c>
      <c r="Y45" s="19">
        <v>15.0</v>
      </c>
      <c r="Z45" s="19">
        <v>9.0</v>
      </c>
      <c r="AA45" s="19">
        <v>3.0</v>
      </c>
      <c r="AB45" s="19">
        <v>16.0</v>
      </c>
      <c r="AC45" s="19">
        <v>12.0</v>
      </c>
      <c r="AD45" s="19">
        <v>8.0</v>
      </c>
      <c r="AE45" s="19">
        <v>6.0</v>
      </c>
      <c r="AF45" s="19">
        <v>8.0</v>
      </c>
      <c r="AG45" s="19">
        <v>16.0</v>
      </c>
      <c r="AH45" s="19">
        <v>8.0</v>
      </c>
      <c r="AI45" s="19">
        <v>14.0</v>
      </c>
      <c r="AJ45" s="19">
        <v>3.0</v>
      </c>
      <c r="AK45" s="19">
        <v>8.0</v>
      </c>
      <c r="AL45" s="19">
        <v>5.0</v>
      </c>
      <c r="AM45" s="19">
        <v>6.0</v>
      </c>
      <c r="AN45" s="19">
        <v>3.0</v>
      </c>
      <c r="AO45" s="19">
        <v>8.0</v>
      </c>
      <c r="AP45" s="19">
        <v>7.0</v>
      </c>
      <c r="AQ45" s="19">
        <v>1.0</v>
      </c>
      <c r="AR45" s="19">
        <v>9.0</v>
      </c>
      <c r="AS45" s="19">
        <v>8.0</v>
      </c>
      <c r="AT45" s="19">
        <v>10.0</v>
      </c>
      <c r="AU45" s="19">
        <v>10.0</v>
      </c>
      <c r="AV45" s="19">
        <v>12.0</v>
      </c>
      <c r="AW45" s="19">
        <v>18.0</v>
      </c>
      <c r="AX45" s="19">
        <v>8.0</v>
      </c>
      <c r="AY45" s="19">
        <v>7.0</v>
      </c>
      <c r="AZ45" s="19">
        <v>16.0</v>
      </c>
      <c r="BA45" s="19">
        <v>7.0</v>
      </c>
      <c r="BB45" s="19">
        <v>4.0</v>
      </c>
      <c r="BC45" s="19">
        <v>8.0</v>
      </c>
      <c r="BD45" s="19">
        <v>12.0</v>
      </c>
      <c r="BE45" s="13">
        <f t="shared" ref="BE45:BE52" si="14">SUM(E45:BD45)</f>
        <v>400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12.0</v>
      </c>
      <c r="F46" s="19">
        <v>13.0</v>
      </c>
      <c r="G46" s="19">
        <v>9.0</v>
      </c>
      <c r="H46" s="19">
        <v>12.0</v>
      </c>
      <c r="I46" s="19">
        <v>12.0</v>
      </c>
      <c r="J46" s="19">
        <v>2.0</v>
      </c>
      <c r="K46" s="19">
        <v>20.0</v>
      </c>
      <c r="L46" s="19">
        <v>3.0</v>
      </c>
      <c r="M46" s="19">
        <v>3.0</v>
      </c>
      <c r="N46" s="19">
        <v>11.0</v>
      </c>
      <c r="O46" s="19">
        <v>6.0</v>
      </c>
      <c r="P46" s="19">
        <v>25.0</v>
      </c>
      <c r="Q46" s="19">
        <v>24.0</v>
      </c>
      <c r="R46" s="19">
        <v>6.0</v>
      </c>
      <c r="S46" s="19">
        <v>20.0</v>
      </c>
      <c r="T46" s="19">
        <v>8.0</v>
      </c>
      <c r="U46" s="19">
        <v>8.0</v>
      </c>
      <c r="V46" s="19">
        <v>3.0</v>
      </c>
      <c r="W46" s="19">
        <v>12.0</v>
      </c>
      <c r="X46" s="19">
        <v>33.0</v>
      </c>
      <c r="Y46" s="19">
        <v>21.0</v>
      </c>
      <c r="Z46" s="19">
        <v>8.0</v>
      </c>
      <c r="AA46" s="19">
        <v>13.0</v>
      </c>
      <c r="AB46" s="19">
        <v>4.0</v>
      </c>
      <c r="AC46" s="19">
        <v>41.0</v>
      </c>
      <c r="AD46" s="19">
        <v>23.0</v>
      </c>
      <c r="AE46" s="19">
        <v>7.0</v>
      </c>
      <c r="AF46" s="19">
        <v>12.0</v>
      </c>
      <c r="AG46" s="19">
        <v>9.0</v>
      </c>
      <c r="AH46" s="19">
        <v>10.0</v>
      </c>
      <c r="AI46" s="19">
        <v>16.0</v>
      </c>
      <c r="AJ46" s="19">
        <v>15.0</v>
      </c>
      <c r="AK46" s="19">
        <v>7.0</v>
      </c>
      <c r="AL46" s="19">
        <v>10.0</v>
      </c>
      <c r="AM46" s="19">
        <v>8.0</v>
      </c>
      <c r="AN46" s="19">
        <v>7.0</v>
      </c>
      <c r="AO46" s="19">
        <v>11.0</v>
      </c>
      <c r="AP46" s="19">
        <v>9.0</v>
      </c>
      <c r="AQ46" s="19">
        <v>3.0</v>
      </c>
      <c r="AR46" s="19">
        <v>8.0</v>
      </c>
      <c r="AS46" s="19">
        <v>23.0</v>
      </c>
      <c r="AT46" s="19">
        <v>12.0</v>
      </c>
      <c r="AU46" s="19">
        <v>15.0</v>
      </c>
      <c r="AV46" s="19">
        <v>13.0</v>
      </c>
      <c r="AW46" s="19">
        <v>20.0</v>
      </c>
      <c r="AX46" s="19">
        <v>20.0</v>
      </c>
      <c r="AY46" s="19">
        <v>17.0</v>
      </c>
      <c r="AZ46" s="19">
        <v>22.0</v>
      </c>
      <c r="BA46" s="19">
        <v>13.0</v>
      </c>
      <c r="BB46" s="19">
        <v>3.0</v>
      </c>
      <c r="BC46" s="19">
        <v>2.0</v>
      </c>
      <c r="BD46" s="19">
        <v>3.0</v>
      </c>
      <c r="BE46" s="13">
        <f t="shared" si="14"/>
        <v>647</v>
      </c>
    </row>
    <row r="47" ht="12.75" customHeight="1">
      <c r="A47" s="18"/>
      <c r="B47" s="55">
        <v>2.0</v>
      </c>
      <c r="C47" s="50" t="s">
        <v>41</v>
      </c>
      <c r="D47" s="16"/>
      <c r="E47" s="19">
        <v>3.0</v>
      </c>
      <c r="F47" s="19">
        <v>3.0</v>
      </c>
      <c r="G47" s="19">
        <v>2.0</v>
      </c>
      <c r="H47" s="19">
        <v>5.0</v>
      </c>
      <c r="I47" s="19">
        <v>8.0</v>
      </c>
      <c r="J47" s="19">
        <v>1.0</v>
      </c>
      <c r="K47" s="19">
        <v>13.0</v>
      </c>
      <c r="L47" s="19">
        <v>25.0</v>
      </c>
      <c r="M47" s="19">
        <v>0.0</v>
      </c>
      <c r="N47" s="19">
        <v>3.0</v>
      </c>
      <c r="O47" s="19">
        <v>11.0</v>
      </c>
      <c r="P47" s="19">
        <v>1.0</v>
      </c>
      <c r="Q47" s="19">
        <v>0.0</v>
      </c>
      <c r="R47" s="19">
        <v>3.0</v>
      </c>
      <c r="S47" s="19">
        <v>7.0</v>
      </c>
      <c r="T47" s="19">
        <v>2.0</v>
      </c>
      <c r="U47" s="19">
        <v>3.0</v>
      </c>
      <c r="V47" s="19">
        <v>5.0</v>
      </c>
      <c r="W47" s="19">
        <v>2.0</v>
      </c>
      <c r="X47" s="19">
        <v>23.0</v>
      </c>
      <c r="Y47" s="19">
        <v>18.0</v>
      </c>
      <c r="Z47" s="19">
        <v>36.0</v>
      </c>
      <c r="AA47" s="19">
        <v>7.0</v>
      </c>
      <c r="AB47" s="19">
        <v>10.0</v>
      </c>
      <c r="AC47" s="19">
        <v>16.0</v>
      </c>
      <c r="AD47" s="19">
        <v>41.0</v>
      </c>
      <c r="AE47" s="19">
        <v>5.0</v>
      </c>
      <c r="AF47" s="19">
        <v>4.0</v>
      </c>
      <c r="AG47" s="19">
        <v>10.0</v>
      </c>
      <c r="AH47" s="19">
        <v>26.0</v>
      </c>
      <c r="AI47" s="19">
        <v>60.0</v>
      </c>
      <c r="AJ47" s="19">
        <v>2.0</v>
      </c>
      <c r="AK47" s="19">
        <v>8.0</v>
      </c>
      <c r="AL47" s="19">
        <v>7.0</v>
      </c>
      <c r="AM47" s="19">
        <v>11.0</v>
      </c>
      <c r="AN47" s="19">
        <v>4.0</v>
      </c>
      <c r="AO47" s="19">
        <v>4.0</v>
      </c>
      <c r="AP47" s="19">
        <v>29.0</v>
      </c>
      <c r="AQ47" s="19">
        <v>2.0</v>
      </c>
      <c r="AR47" s="19">
        <v>5.0</v>
      </c>
      <c r="AS47" s="19">
        <v>8.0</v>
      </c>
      <c r="AT47" s="19">
        <v>9.0</v>
      </c>
      <c r="AU47" s="19">
        <v>6.0</v>
      </c>
      <c r="AV47" s="19">
        <v>8.0</v>
      </c>
      <c r="AW47" s="19">
        <v>33.0</v>
      </c>
      <c r="AX47" s="19">
        <v>4.0</v>
      </c>
      <c r="AY47" s="19">
        <v>3.0</v>
      </c>
      <c r="AZ47" s="19">
        <v>13.0</v>
      </c>
      <c r="BA47" s="19">
        <v>31.0</v>
      </c>
      <c r="BB47" s="19">
        <v>9.0</v>
      </c>
      <c r="BC47" s="19">
        <v>8.0</v>
      </c>
      <c r="BD47" s="19">
        <v>12.0</v>
      </c>
      <c r="BE47" s="13">
        <f t="shared" si="14"/>
        <v>569</v>
      </c>
    </row>
    <row r="48" ht="12.75" customHeight="1">
      <c r="A48" s="18"/>
      <c r="B48" s="55">
        <v>3.0</v>
      </c>
      <c r="C48" s="50" t="s">
        <v>42</v>
      </c>
      <c r="D48" s="16"/>
      <c r="E48" s="19">
        <v>3.0</v>
      </c>
      <c r="F48" s="19">
        <v>2.0</v>
      </c>
      <c r="G48" s="19">
        <v>1.0</v>
      </c>
      <c r="H48" s="19">
        <v>0.0</v>
      </c>
      <c r="I48" s="19">
        <v>5.0</v>
      </c>
      <c r="J48" s="19">
        <v>0.0</v>
      </c>
      <c r="K48" s="19">
        <v>1.0</v>
      </c>
      <c r="L48" s="19">
        <v>0.0</v>
      </c>
      <c r="M48" s="19">
        <v>0.0</v>
      </c>
      <c r="N48" s="19">
        <v>0.0</v>
      </c>
      <c r="O48" s="19">
        <v>0.0</v>
      </c>
      <c r="P48" s="19">
        <v>0.0</v>
      </c>
      <c r="Q48" s="19">
        <v>0.0</v>
      </c>
      <c r="R48" s="19">
        <v>1.0</v>
      </c>
      <c r="S48" s="19">
        <v>0.0</v>
      </c>
      <c r="T48" s="19">
        <v>0.0</v>
      </c>
      <c r="U48" s="19">
        <v>0.0</v>
      </c>
      <c r="V48" s="19">
        <v>1.0</v>
      </c>
      <c r="W48" s="19">
        <v>0.0</v>
      </c>
      <c r="X48" s="19">
        <v>1.0</v>
      </c>
      <c r="Y48" s="19">
        <v>2.0</v>
      </c>
      <c r="Z48" s="19">
        <v>0.0</v>
      </c>
      <c r="AA48" s="19">
        <v>0.0</v>
      </c>
      <c r="AB48" s="19">
        <v>1.0</v>
      </c>
      <c r="AC48" s="19">
        <v>1.0</v>
      </c>
      <c r="AD48" s="19">
        <v>0.0</v>
      </c>
      <c r="AE48" s="19">
        <v>0.0</v>
      </c>
      <c r="AF48" s="19">
        <v>0.0</v>
      </c>
      <c r="AG48" s="19">
        <v>0.0</v>
      </c>
      <c r="AH48" s="19">
        <v>2.0</v>
      </c>
      <c r="AI48" s="19">
        <v>2.0</v>
      </c>
      <c r="AJ48" s="19">
        <v>0.0</v>
      </c>
      <c r="AK48" s="19">
        <v>3.0</v>
      </c>
      <c r="AL48" s="19">
        <v>0.0</v>
      </c>
      <c r="AM48" s="19">
        <v>5.0</v>
      </c>
      <c r="AN48" s="19">
        <v>0.0</v>
      </c>
      <c r="AO48" s="19">
        <v>1.0</v>
      </c>
      <c r="AP48" s="19">
        <v>1.0</v>
      </c>
      <c r="AQ48" s="19">
        <v>0.0</v>
      </c>
      <c r="AR48" s="19">
        <v>0.0</v>
      </c>
      <c r="AS48" s="19">
        <v>0.0</v>
      </c>
      <c r="AT48" s="19">
        <v>0.0</v>
      </c>
      <c r="AU48" s="19">
        <v>1.0</v>
      </c>
      <c r="AV48" s="19">
        <v>1.0</v>
      </c>
      <c r="AW48" s="19">
        <v>2.0</v>
      </c>
      <c r="AX48" s="19">
        <v>1.0</v>
      </c>
      <c r="AY48" s="19">
        <v>1.0</v>
      </c>
      <c r="AZ48" s="19">
        <v>1.0</v>
      </c>
      <c r="BA48" s="19">
        <v>1.0</v>
      </c>
      <c r="BB48" s="19">
        <v>1.0</v>
      </c>
      <c r="BC48" s="19">
        <v>0.0</v>
      </c>
      <c r="BD48" s="19">
        <v>0.0</v>
      </c>
      <c r="BE48" s="13">
        <f t="shared" si="14"/>
        <v>42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4.0</v>
      </c>
      <c r="H49" s="19">
        <v>1.0</v>
      </c>
      <c r="I49" s="19">
        <v>1.0</v>
      </c>
      <c r="J49" s="19">
        <v>0.0</v>
      </c>
      <c r="K49" s="19">
        <v>3.0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0.0</v>
      </c>
      <c r="R49" s="19">
        <v>0.0</v>
      </c>
      <c r="S49" s="19">
        <v>2.0</v>
      </c>
      <c r="T49" s="19">
        <v>0.0</v>
      </c>
      <c r="U49" s="19">
        <v>0.0</v>
      </c>
      <c r="V49" s="19">
        <v>1.0</v>
      </c>
      <c r="W49" s="19">
        <v>0.0</v>
      </c>
      <c r="X49" s="19">
        <v>1.0</v>
      </c>
      <c r="Y49" s="19">
        <v>2.0</v>
      </c>
      <c r="Z49" s="19">
        <v>0.0</v>
      </c>
      <c r="AA49" s="19">
        <v>0.0</v>
      </c>
      <c r="AB49" s="19">
        <v>1.0</v>
      </c>
      <c r="AC49" s="19">
        <v>0.0</v>
      </c>
      <c r="AD49" s="19">
        <v>1.0</v>
      </c>
      <c r="AE49" s="19">
        <v>0.0</v>
      </c>
      <c r="AF49" s="19">
        <v>0.0</v>
      </c>
      <c r="AG49" s="19">
        <v>2.0</v>
      </c>
      <c r="AH49" s="19">
        <v>1.0</v>
      </c>
      <c r="AI49" s="19">
        <v>1.0</v>
      </c>
      <c r="AJ49" s="19">
        <v>0.0</v>
      </c>
      <c r="AK49" s="19">
        <v>0.0</v>
      </c>
      <c r="AL49" s="19">
        <v>0.0</v>
      </c>
      <c r="AM49" s="19">
        <v>2.0</v>
      </c>
      <c r="AN49" s="19">
        <v>0.0</v>
      </c>
      <c r="AO49" s="19">
        <v>0.0</v>
      </c>
      <c r="AP49" s="19">
        <v>1.0</v>
      </c>
      <c r="AQ49" s="19">
        <v>0.0</v>
      </c>
      <c r="AR49" s="19">
        <v>0.0</v>
      </c>
      <c r="AS49" s="19">
        <v>2.0</v>
      </c>
      <c r="AT49" s="19">
        <v>1.0</v>
      </c>
      <c r="AU49" s="19">
        <v>0.0</v>
      </c>
      <c r="AV49" s="19">
        <v>0.0</v>
      </c>
      <c r="AW49" s="19">
        <v>0.0</v>
      </c>
      <c r="AX49" s="19">
        <v>0.0</v>
      </c>
      <c r="AY49" s="19">
        <v>1.0</v>
      </c>
      <c r="AZ49" s="19">
        <v>0.0</v>
      </c>
      <c r="BA49" s="19">
        <v>1.0</v>
      </c>
      <c r="BB49" s="19">
        <v>0.0</v>
      </c>
      <c r="BC49" s="19">
        <v>0.0</v>
      </c>
      <c r="BD49" s="19">
        <v>1.0</v>
      </c>
      <c r="BE49" s="13">
        <f t="shared" si="14"/>
        <v>30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1.0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1.0</v>
      </c>
      <c r="T50" s="19">
        <v>0.0</v>
      </c>
      <c r="U50" s="19">
        <v>0.0</v>
      </c>
      <c r="V50" s="19">
        <v>0.0</v>
      </c>
      <c r="W50" s="19">
        <v>0.0</v>
      </c>
      <c r="X50" s="19">
        <v>1.0</v>
      </c>
      <c r="Y50" s="19">
        <v>0.0</v>
      </c>
      <c r="Z50" s="19">
        <v>3.0</v>
      </c>
      <c r="AA50" s="19">
        <v>0.0</v>
      </c>
      <c r="AB50" s="19">
        <v>0.0</v>
      </c>
      <c r="AC50" s="19">
        <v>1.0</v>
      </c>
      <c r="AD50" s="19">
        <v>0.0</v>
      </c>
      <c r="AE50" s="19">
        <v>1.0</v>
      </c>
      <c r="AF50" s="19">
        <v>1.0</v>
      </c>
      <c r="AG50" s="19">
        <v>0.0</v>
      </c>
      <c r="AH50" s="19">
        <v>0.0</v>
      </c>
      <c r="AI50" s="19">
        <v>1.0</v>
      </c>
      <c r="AJ50" s="19">
        <v>0.0</v>
      </c>
      <c r="AK50" s="19">
        <v>0.0</v>
      </c>
      <c r="AL50" s="19">
        <v>0.0</v>
      </c>
      <c r="AM50" s="19">
        <v>0.0</v>
      </c>
      <c r="AN50" s="19">
        <v>0.0</v>
      </c>
      <c r="AO50" s="19">
        <v>0.0</v>
      </c>
      <c r="AP50" s="19">
        <v>0.0</v>
      </c>
      <c r="AQ50" s="19">
        <v>1.0</v>
      </c>
      <c r="AR50" s="19">
        <v>1.0</v>
      </c>
      <c r="AS50" s="19">
        <v>2.0</v>
      </c>
      <c r="AT50" s="19">
        <v>2.0</v>
      </c>
      <c r="AU50" s="19">
        <v>0.0</v>
      </c>
      <c r="AV50" s="19">
        <v>2.0</v>
      </c>
      <c r="AW50" s="19">
        <v>1.0</v>
      </c>
      <c r="AX50" s="19">
        <v>1.0</v>
      </c>
      <c r="AY50" s="19">
        <v>0.0</v>
      </c>
      <c r="AZ50" s="19">
        <v>2.0</v>
      </c>
      <c r="BA50" s="19">
        <v>2.0</v>
      </c>
      <c r="BB50" s="19">
        <v>0.0</v>
      </c>
      <c r="BC50" s="19">
        <v>0.0</v>
      </c>
      <c r="BD50" s="19">
        <v>0.0</v>
      </c>
      <c r="BE50" s="13">
        <f t="shared" si="14"/>
        <v>24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2.0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1.0</v>
      </c>
      <c r="W51" s="19">
        <v>0.0</v>
      </c>
      <c r="X51" s="19">
        <v>0.0</v>
      </c>
      <c r="Y51" s="19">
        <v>1.0</v>
      </c>
      <c r="Z51" s="19">
        <v>1.0</v>
      </c>
      <c r="AA51" s="19">
        <v>0.0</v>
      </c>
      <c r="AB51" s="19">
        <v>0.0</v>
      </c>
      <c r="AC51" s="19">
        <v>0.0</v>
      </c>
      <c r="AD51" s="19">
        <v>0.0</v>
      </c>
      <c r="AE51" s="19">
        <v>0.0</v>
      </c>
      <c r="AF51" s="19">
        <v>2.0</v>
      </c>
      <c r="AG51" s="19">
        <v>0.0</v>
      </c>
      <c r="AH51" s="19">
        <v>0.0</v>
      </c>
      <c r="AI51" s="19">
        <v>1.0</v>
      </c>
      <c r="AJ51" s="19">
        <v>0.0</v>
      </c>
      <c r="AK51" s="19">
        <v>0.0</v>
      </c>
      <c r="AL51" s="19">
        <v>0.0</v>
      </c>
      <c r="AM51" s="19">
        <v>0.0</v>
      </c>
      <c r="AN51" s="19">
        <v>0.0</v>
      </c>
      <c r="AO51" s="19">
        <v>0.0</v>
      </c>
      <c r="AP51" s="19">
        <v>1.0</v>
      </c>
      <c r="AQ51" s="19">
        <v>0.0</v>
      </c>
      <c r="AR51" s="19">
        <v>0.0</v>
      </c>
      <c r="AS51" s="19">
        <v>0.0</v>
      </c>
      <c r="AT51" s="19">
        <v>0.0</v>
      </c>
      <c r="AU51" s="19">
        <v>1.0</v>
      </c>
      <c r="AV51" s="19">
        <v>0.0</v>
      </c>
      <c r="AW51" s="19">
        <v>0.0</v>
      </c>
      <c r="AX51" s="19">
        <v>0.0</v>
      </c>
      <c r="AY51" s="19">
        <v>0.0</v>
      </c>
      <c r="AZ51" s="19">
        <v>0.0</v>
      </c>
      <c r="BA51" s="19">
        <v>0.0</v>
      </c>
      <c r="BB51" s="19">
        <v>2.0</v>
      </c>
      <c r="BC51" s="19">
        <v>0.0</v>
      </c>
      <c r="BD51" s="19">
        <v>1.0</v>
      </c>
      <c r="BE51" s="13">
        <f t="shared" si="14"/>
        <v>14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1.0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3.0</v>
      </c>
      <c r="S52" s="19">
        <v>0.0</v>
      </c>
      <c r="T52" s="19">
        <v>0.0</v>
      </c>
      <c r="U52" s="19">
        <v>0.0</v>
      </c>
      <c r="V52" s="19">
        <v>1.0</v>
      </c>
      <c r="W52" s="19">
        <v>2.0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9">
        <v>1.0</v>
      </c>
      <c r="AH52" s="19">
        <v>0.0</v>
      </c>
      <c r="AI52" s="19">
        <v>0.0</v>
      </c>
      <c r="AJ52" s="19">
        <v>0.0</v>
      </c>
      <c r="AK52" s="19">
        <v>0.0</v>
      </c>
      <c r="AL52" s="19">
        <v>1.0</v>
      </c>
      <c r="AM52" s="19">
        <v>1.0</v>
      </c>
      <c r="AN52" s="19">
        <v>0.0</v>
      </c>
      <c r="AO52" s="19">
        <v>0.0</v>
      </c>
      <c r="AP52" s="19">
        <v>0.0</v>
      </c>
      <c r="AQ52" s="19">
        <v>0.0</v>
      </c>
      <c r="AR52" s="19">
        <v>0.0</v>
      </c>
      <c r="AS52" s="19">
        <v>0.0</v>
      </c>
      <c r="AT52" s="19">
        <v>0.0</v>
      </c>
      <c r="AU52" s="19">
        <v>0.0</v>
      </c>
      <c r="AV52" s="19">
        <v>0.0</v>
      </c>
      <c r="AW52" s="19">
        <v>0.0</v>
      </c>
      <c r="AX52" s="19">
        <v>0.0</v>
      </c>
      <c r="AY52" s="19">
        <v>0.0</v>
      </c>
      <c r="AZ52" s="19">
        <v>0.0</v>
      </c>
      <c r="BA52" s="19">
        <v>0.0</v>
      </c>
      <c r="BB52" s="19">
        <v>0.0</v>
      </c>
      <c r="BC52" s="19">
        <v>0.0</v>
      </c>
      <c r="BD52" s="19">
        <v>0.0</v>
      </c>
      <c r="BE52" s="13">
        <f t="shared" si="14"/>
        <v>10</v>
      </c>
    </row>
    <row r="53" ht="12.75" customHeight="1">
      <c r="A53" s="19" t="s">
        <v>15</v>
      </c>
      <c r="B53" s="47" t="s">
        <v>47</v>
      </c>
      <c r="C53" s="15"/>
      <c r="D53" s="16"/>
      <c r="E53" s="13">
        <f t="shared" ref="E53:BE53" si="15">SUM(E45:E52)</f>
        <v>23</v>
      </c>
      <c r="F53" s="13">
        <f t="shared" si="15"/>
        <v>19</v>
      </c>
      <c r="G53" s="13">
        <f t="shared" si="15"/>
        <v>23</v>
      </c>
      <c r="H53" s="13">
        <f t="shared" si="15"/>
        <v>23</v>
      </c>
      <c r="I53" s="13">
        <f t="shared" si="15"/>
        <v>29</v>
      </c>
      <c r="J53" s="13">
        <f t="shared" si="15"/>
        <v>5</v>
      </c>
      <c r="K53" s="13">
        <f t="shared" si="15"/>
        <v>49</v>
      </c>
      <c r="L53" s="13">
        <f t="shared" si="15"/>
        <v>35</v>
      </c>
      <c r="M53" s="13">
        <f t="shared" si="15"/>
        <v>7</v>
      </c>
      <c r="N53" s="13">
        <f t="shared" si="15"/>
        <v>20</v>
      </c>
      <c r="O53" s="13">
        <f t="shared" si="15"/>
        <v>21</v>
      </c>
      <c r="P53" s="13">
        <f t="shared" si="15"/>
        <v>32</v>
      </c>
      <c r="Q53" s="13">
        <f t="shared" si="15"/>
        <v>26</v>
      </c>
      <c r="R53" s="13">
        <f t="shared" si="15"/>
        <v>19</v>
      </c>
      <c r="S53" s="13">
        <f t="shared" si="15"/>
        <v>34</v>
      </c>
      <c r="T53" s="13">
        <f t="shared" si="15"/>
        <v>14</v>
      </c>
      <c r="U53" s="13">
        <f t="shared" si="15"/>
        <v>18</v>
      </c>
      <c r="V53" s="13">
        <f t="shared" si="15"/>
        <v>27</v>
      </c>
      <c r="W53" s="13">
        <f t="shared" si="15"/>
        <v>23</v>
      </c>
      <c r="X53" s="13">
        <f t="shared" si="15"/>
        <v>72</v>
      </c>
      <c r="Y53" s="13">
        <f t="shared" si="15"/>
        <v>59</v>
      </c>
      <c r="Z53" s="13">
        <f t="shared" si="15"/>
        <v>57</v>
      </c>
      <c r="AA53" s="13">
        <f t="shared" si="15"/>
        <v>23</v>
      </c>
      <c r="AB53" s="13">
        <f t="shared" si="15"/>
        <v>32</v>
      </c>
      <c r="AC53" s="13">
        <f t="shared" si="15"/>
        <v>71</v>
      </c>
      <c r="AD53" s="13">
        <f t="shared" si="15"/>
        <v>73</v>
      </c>
      <c r="AE53" s="13">
        <f t="shared" si="15"/>
        <v>19</v>
      </c>
      <c r="AF53" s="13">
        <f t="shared" si="15"/>
        <v>27</v>
      </c>
      <c r="AG53" s="13">
        <f t="shared" si="15"/>
        <v>38</v>
      </c>
      <c r="AH53" s="13">
        <f t="shared" si="15"/>
        <v>47</v>
      </c>
      <c r="AI53" s="13">
        <f t="shared" si="15"/>
        <v>95</v>
      </c>
      <c r="AJ53" s="13">
        <f t="shared" si="15"/>
        <v>20</v>
      </c>
      <c r="AK53" s="13">
        <f t="shared" si="15"/>
        <v>26</v>
      </c>
      <c r="AL53" s="13">
        <f t="shared" si="15"/>
        <v>23</v>
      </c>
      <c r="AM53" s="13">
        <f t="shared" si="15"/>
        <v>33</v>
      </c>
      <c r="AN53" s="13">
        <f t="shared" si="15"/>
        <v>14</v>
      </c>
      <c r="AO53" s="13">
        <f t="shared" si="15"/>
        <v>24</v>
      </c>
      <c r="AP53" s="13">
        <f t="shared" si="15"/>
        <v>48</v>
      </c>
      <c r="AQ53" s="13">
        <f t="shared" si="15"/>
        <v>7</v>
      </c>
      <c r="AR53" s="13">
        <f t="shared" si="15"/>
        <v>23</v>
      </c>
      <c r="AS53" s="13">
        <f t="shared" si="15"/>
        <v>43</v>
      </c>
      <c r="AT53" s="13">
        <f t="shared" si="15"/>
        <v>34</v>
      </c>
      <c r="AU53" s="13">
        <f t="shared" si="15"/>
        <v>33</v>
      </c>
      <c r="AV53" s="13">
        <f t="shared" si="15"/>
        <v>36</v>
      </c>
      <c r="AW53" s="13">
        <f t="shared" si="15"/>
        <v>74</v>
      </c>
      <c r="AX53" s="13">
        <f t="shared" si="15"/>
        <v>34</v>
      </c>
      <c r="AY53" s="13">
        <f t="shared" si="15"/>
        <v>29</v>
      </c>
      <c r="AZ53" s="13">
        <f t="shared" si="15"/>
        <v>54</v>
      </c>
      <c r="BA53" s="13">
        <f t="shared" si="15"/>
        <v>55</v>
      </c>
      <c r="BB53" s="13">
        <f t="shared" si="15"/>
        <v>19</v>
      </c>
      <c r="BC53" s="13">
        <f t="shared" si="15"/>
        <v>18</v>
      </c>
      <c r="BD53" s="13">
        <f t="shared" si="15"/>
        <v>29</v>
      </c>
      <c r="BE53" s="13">
        <f t="shared" si="15"/>
        <v>1736</v>
      </c>
    </row>
    <row r="54" ht="12.75" customHeight="1">
      <c r="A54" s="45"/>
      <c r="B54" s="44"/>
      <c r="C54" s="44"/>
      <c r="D54" s="44"/>
      <c r="E54" s="44"/>
      <c r="BE54" s="13"/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10.0</v>
      </c>
      <c r="F55" s="19">
        <v>8.0</v>
      </c>
      <c r="G55" s="19">
        <v>6.0</v>
      </c>
      <c r="H55" s="19">
        <v>11.0</v>
      </c>
      <c r="I55" s="19">
        <v>12.0</v>
      </c>
      <c r="J55" s="19">
        <v>5.0</v>
      </c>
      <c r="K55" s="19">
        <v>10.0</v>
      </c>
      <c r="L55" s="19">
        <v>11.0</v>
      </c>
      <c r="M55" s="19">
        <v>10.0</v>
      </c>
      <c r="N55" s="19">
        <v>10.0</v>
      </c>
      <c r="O55" s="19">
        <v>9.0</v>
      </c>
      <c r="P55" s="19">
        <v>0.0</v>
      </c>
      <c r="Q55" s="19">
        <v>8.0</v>
      </c>
      <c r="R55" s="19">
        <v>8.0</v>
      </c>
      <c r="S55" s="19">
        <v>6.0</v>
      </c>
      <c r="T55" s="19">
        <v>6.0</v>
      </c>
      <c r="U55" s="19">
        <v>16.0</v>
      </c>
      <c r="V55" s="19">
        <v>9.0</v>
      </c>
      <c r="W55" s="19">
        <v>11.0</v>
      </c>
      <c r="X55" s="19">
        <v>6.0</v>
      </c>
      <c r="Y55" s="19">
        <v>7.0</v>
      </c>
      <c r="Z55" s="19">
        <v>8.0</v>
      </c>
      <c r="AA55" s="19">
        <v>3.0</v>
      </c>
      <c r="AB55" s="19">
        <v>9.0</v>
      </c>
      <c r="AC55" s="19">
        <v>7.0</v>
      </c>
      <c r="AD55" s="19">
        <v>2.0</v>
      </c>
      <c r="AE55" s="19">
        <v>7.0</v>
      </c>
      <c r="AF55" s="19">
        <v>15.0</v>
      </c>
      <c r="AG55" s="19">
        <v>7.0</v>
      </c>
      <c r="AH55" s="19">
        <v>7.0</v>
      </c>
      <c r="AI55" s="19">
        <v>6.0</v>
      </c>
      <c r="AJ55" s="19">
        <v>8.0</v>
      </c>
      <c r="AK55" s="19">
        <v>8.0</v>
      </c>
      <c r="AL55" s="19">
        <v>8.0</v>
      </c>
      <c r="AM55" s="19">
        <v>8.0</v>
      </c>
      <c r="AN55" s="19">
        <v>11.0</v>
      </c>
      <c r="AO55" s="19">
        <v>10.0</v>
      </c>
      <c r="AP55" s="19">
        <v>1.0</v>
      </c>
      <c r="AQ55" s="19">
        <v>7.0</v>
      </c>
      <c r="AR55" s="19">
        <v>14.0</v>
      </c>
      <c r="AS55" s="19">
        <v>5.0</v>
      </c>
      <c r="AT55" s="19">
        <v>7.0</v>
      </c>
      <c r="AU55" s="19">
        <v>15.0</v>
      </c>
      <c r="AV55" s="19">
        <v>21.0</v>
      </c>
      <c r="AW55" s="19">
        <v>21.0</v>
      </c>
      <c r="AX55" s="19">
        <v>19.0</v>
      </c>
      <c r="AY55" s="19">
        <v>12.0</v>
      </c>
      <c r="AZ55" s="19">
        <v>12.0</v>
      </c>
      <c r="BA55" s="19">
        <v>10.0</v>
      </c>
      <c r="BB55" s="19">
        <v>11.0</v>
      </c>
      <c r="BC55" s="19">
        <v>9.0</v>
      </c>
      <c r="BD55" s="19">
        <v>7.0</v>
      </c>
      <c r="BE55" s="13">
        <f t="shared" ref="BE55:BE62" si="16">SUM(E55:BD55)</f>
        <v>474</v>
      </c>
    </row>
    <row r="56" ht="12.75" customHeight="1">
      <c r="A56" s="30" t="s">
        <v>39</v>
      </c>
      <c r="B56" s="55">
        <v>1.0</v>
      </c>
      <c r="C56" s="50" t="s">
        <v>49</v>
      </c>
      <c r="D56" s="56"/>
      <c r="E56" s="19">
        <v>9.0</v>
      </c>
      <c r="F56" s="19">
        <v>9.0</v>
      </c>
      <c r="G56" s="19">
        <v>5.0</v>
      </c>
      <c r="H56" s="19">
        <v>23.0</v>
      </c>
      <c r="I56" s="19">
        <v>23.0</v>
      </c>
      <c r="J56" s="19">
        <v>4.0</v>
      </c>
      <c r="K56" s="19">
        <v>7.0</v>
      </c>
      <c r="L56" s="19">
        <v>9.0</v>
      </c>
      <c r="M56" s="19">
        <v>5.0</v>
      </c>
      <c r="N56" s="19">
        <v>3.0</v>
      </c>
      <c r="O56" s="19">
        <v>12.0</v>
      </c>
      <c r="P56" s="19">
        <v>5.0</v>
      </c>
      <c r="Q56" s="19">
        <v>11.0</v>
      </c>
      <c r="R56" s="19">
        <v>7.0</v>
      </c>
      <c r="S56" s="19">
        <v>9.0</v>
      </c>
      <c r="T56" s="19">
        <v>5.0</v>
      </c>
      <c r="U56" s="19">
        <v>12.0</v>
      </c>
      <c r="V56" s="19">
        <v>7.0</v>
      </c>
      <c r="W56" s="19">
        <v>8.0</v>
      </c>
      <c r="X56" s="19">
        <v>7.0</v>
      </c>
      <c r="Y56" s="19">
        <v>10.0</v>
      </c>
      <c r="Z56" s="19">
        <v>9.0</v>
      </c>
      <c r="AA56" s="19">
        <v>38.0</v>
      </c>
      <c r="AB56" s="19">
        <v>9.0</v>
      </c>
      <c r="AC56" s="19">
        <v>1.0</v>
      </c>
      <c r="AD56" s="19">
        <v>0.0</v>
      </c>
      <c r="AE56" s="19">
        <v>3.0</v>
      </c>
      <c r="AF56" s="19">
        <v>12.0</v>
      </c>
      <c r="AG56" s="19">
        <v>8.0</v>
      </c>
      <c r="AH56" s="19">
        <v>5.0</v>
      </c>
      <c r="AI56" s="19">
        <v>12.0</v>
      </c>
      <c r="AJ56" s="19">
        <v>7.0</v>
      </c>
      <c r="AK56" s="19">
        <v>11.0</v>
      </c>
      <c r="AL56" s="19">
        <v>11.0</v>
      </c>
      <c r="AM56" s="19">
        <v>9.0</v>
      </c>
      <c r="AN56" s="19">
        <v>17.0</v>
      </c>
      <c r="AO56" s="19">
        <v>6.0</v>
      </c>
      <c r="AP56" s="19">
        <v>12.0</v>
      </c>
      <c r="AQ56" s="19">
        <v>7.0</v>
      </c>
      <c r="AR56" s="19">
        <v>52.0</v>
      </c>
      <c r="AS56" s="19">
        <v>28.0</v>
      </c>
      <c r="AT56" s="19">
        <v>13.0</v>
      </c>
      <c r="AU56" s="19">
        <v>28.0</v>
      </c>
      <c r="AV56" s="19">
        <v>27.0</v>
      </c>
      <c r="AW56" s="19">
        <v>24.0</v>
      </c>
      <c r="AX56" s="19">
        <v>31.0</v>
      </c>
      <c r="AY56" s="19">
        <v>26.0</v>
      </c>
      <c r="AZ56" s="19">
        <v>10.0</v>
      </c>
      <c r="BA56" s="19">
        <v>14.0</v>
      </c>
      <c r="BB56" s="19">
        <v>12.0</v>
      </c>
      <c r="BC56" s="19">
        <v>8.0</v>
      </c>
      <c r="BD56" s="19">
        <v>2.0</v>
      </c>
      <c r="BE56" s="13">
        <f t="shared" si="16"/>
        <v>642</v>
      </c>
    </row>
    <row r="57" ht="12.75" customHeight="1">
      <c r="A57" s="18"/>
      <c r="B57" s="55">
        <v>2.0</v>
      </c>
      <c r="C57" s="50" t="s">
        <v>50</v>
      </c>
      <c r="D57" s="56"/>
      <c r="E57" s="19">
        <v>3.0</v>
      </c>
      <c r="F57" s="19">
        <v>3.0</v>
      </c>
      <c r="G57" s="19">
        <v>4.0</v>
      </c>
      <c r="H57" s="19">
        <v>3.0</v>
      </c>
      <c r="I57" s="19">
        <v>5.0</v>
      </c>
      <c r="J57" s="19">
        <v>3.0</v>
      </c>
      <c r="K57" s="19">
        <v>0.0</v>
      </c>
      <c r="L57" s="19">
        <v>3.0</v>
      </c>
      <c r="M57" s="19">
        <v>5.0</v>
      </c>
      <c r="N57" s="19">
        <v>4.0</v>
      </c>
      <c r="O57" s="19">
        <v>4.0</v>
      </c>
      <c r="P57" s="19">
        <v>1.0</v>
      </c>
      <c r="Q57" s="19">
        <v>0.0</v>
      </c>
      <c r="R57" s="19">
        <v>4.0</v>
      </c>
      <c r="S57" s="19">
        <v>5.0</v>
      </c>
      <c r="T57" s="19">
        <v>1.0</v>
      </c>
      <c r="U57" s="19">
        <v>5.0</v>
      </c>
      <c r="V57" s="19">
        <v>1.0</v>
      </c>
      <c r="W57" s="19">
        <v>1.0</v>
      </c>
      <c r="X57" s="19">
        <v>8.0</v>
      </c>
      <c r="Y57" s="19">
        <v>1.0</v>
      </c>
      <c r="Z57" s="19">
        <v>5.0</v>
      </c>
      <c r="AA57" s="19">
        <v>3.0</v>
      </c>
      <c r="AB57" s="19">
        <v>1.0</v>
      </c>
      <c r="AC57" s="19">
        <v>1.0</v>
      </c>
      <c r="AD57" s="19">
        <v>0.0</v>
      </c>
      <c r="AE57" s="19">
        <v>4.0</v>
      </c>
      <c r="AF57" s="19">
        <v>2.0</v>
      </c>
      <c r="AG57" s="19">
        <v>1.0</v>
      </c>
      <c r="AH57" s="19">
        <v>3.0</v>
      </c>
      <c r="AI57" s="19">
        <v>4.0</v>
      </c>
      <c r="AJ57" s="19">
        <v>3.0</v>
      </c>
      <c r="AK57" s="19">
        <v>3.0</v>
      </c>
      <c r="AL57" s="19">
        <v>3.0</v>
      </c>
      <c r="AM57" s="19">
        <v>15.0</v>
      </c>
      <c r="AN57" s="19">
        <v>6.0</v>
      </c>
      <c r="AO57" s="19">
        <v>5.0</v>
      </c>
      <c r="AP57" s="19">
        <v>3.0</v>
      </c>
      <c r="AQ57" s="19">
        <v>2.0</v>
      </c>
      <c r="AR57" s="19">
        <v>5.0</v>
      </c>
      <c r="AS57" s="19">
        <v>5.0</v>
      </c>
      <c r="AT57" s="19">
        <v>7.0</v>
      </c>
      <c r="AU57" s="19">
        <v>14.0</v>
      </c>
      <c r="AV57" s="19">
        <v>41.0</v>
      </c>
      <c r="AW57" s="19">
        <v>5.0</v>
      </c>
      <c r="AX57" s="19">
        <v>20.0</v>
      </c>
      <c r="AY57" s="19">
        <v>4.0</v>
      </c>
      <c r="AZ57" s="19">
        <v>3.0</v>
      </c>
      <c r="BA57" s="19">
        <v>6.0</v>
      </c>
      <c r="BB57" s="19">
        <v>9.0</v>
      </c>
      <c r="BC57" s="19">
        <v>8.0</v>
      </c>
      <c r="BD57" s="19">
        <v>3.0</v>
      </c>
      <c r="BE57" s="13">
        <f t="shared" si="16"/>
        <v>258</v>
      </c>
    </row>
    <row r="58" ht="12.75" customHeight="1">
      <c r="A58" s="18"/>
      <c r="B58" s="55">
        <v>3.0</v>
      </c>
      <c r="C58" s="50" t="s">
        <v>51</v>
      </c>
      <c r="D58" s="56"/>
      <c r="E58" s="19">
        <v>1.0</v>
      </c>
      <c r="F58" s="19">
        <v>1.0</v>
      </c>
      <c r="G58" s="19">
        <v>2.0</v>
      </c>
      <c r="H58" s="19">
        <v>1.0</v>
      </c>
      <c r="I58" s="19">
        <v>1.0</v>
      </c>
      <c r="J58" s="19">
        <v>0.0</v>
      </c>
      <c r="K58" s="19">
        <v>0.0</v>
      </c>
      <c r="L58" s="19">
        <v>0.0</v>
      </c>
      <c r="M58" s="19">
        <v>10.0</v>
      </c>
      <c r="N58" s="19">
        <v>2.0</v>
      </c>
      <c r="O58" s="19">
        <v>0.0</v>
      </c>
      <c r="P58" s="19">
        <v>1.0</v>
      </c>
      <c r="Q58" s="19">
        <v>3.0</v>
      </c>
      <c r="R58" s="19">
        <v>2.0</v>
      </c>
      <c r="S58" s="19">
        <v>6.0</v>
      </c>
      <c r="T58" s="19">
        <v>0.0</v>
      </c>
      <c r="U58" s="19">
        <v>3.0</v>
      </c>
      <c r="V58" s="19">
        <v>4.0</v>
      </c>
      <c r="W58" s="19">
        <v>7.0</v>
      </c>
      <c r="X58" s="19">
        <v>0.0</v>
      </c>
      <c r="Y58" s="19">
        <v>4.0</v>
      </c>
      <c r="Z58" s="19">
        <v>2.0</v>
      </c>
      <c r="AA58" s="19">
        <v>0.0</v>
      </c>
      <c r="AB58" s="19">
        <v>1.0</v>
      </c>
      <c r="AC58" s="19">
        <v>1.0</v>
      </c>
      <c r="AD58" s="19">
        <v>0.0</v>
      </c>
      <c r="AE58" s="19">
        <v>0.0</v>
      </c>
      <c r="AF58" s="19">
        <v>2.0</v>
      </c>
      <c r="AG58" s="19">
        <v>1.0</v>
      </c>
      <c r="AH58" s="19">
        <v>1.0</v>
      </c>
      <c r="AI58" s="19">
        <v>0.0</v>
      </c>
      <c r="AJ58" s="19">
        <v>2.0</v>
      </c>
      <c r="AK58" s="19">
        <v>2.0</v>
      </c>
      <c r="AL58" s="19">
        <v>2.0</v>
      </c>
      <c r="AM58" s="19">
        <v>1.0</v>
      </c>
      <c r="AN58" s="19">
        <v>3.0</v>
      </c>
      <c r="AO58" s="19">
        <v>2.0</v>
      </c>
      <c r="AP58" s="19">
        <v>0.0</v>
      </c>
      <c r="AQ58" s="19">
        <v>0.0</v>
      </c>
      <c r="AR58" s="19">
        <v>1.0</v>
      </c>
      <c r="AS58" s="19">
        <v>0.0</v>
      </c>
      <c r="AT58" s="19">
        <v>0.0</v>
      </c>
      <c r="AU58" s="19">
        <v>2.0</v>
      </c>
      <c r="AV58" s="19">
        <v>1.0</v>
      </c>
      <c r="AW58" s="19">
        <v>3.0</v>
      </c>
      <c r="AX58" s="19">
        <v>2.0</v>
      </c>
      <c r="AY58" s="19">
        <v>0.0</v>
      </c>
      <c r="AZ58" s="19">
        <v>2.0</v>
      </c>
      <c r="BA58" s="19">
        <v>0.0</v>
      </c>
      <c r="BB58" s="19">
        <v>0.0</v>
      </c>
      <c r="BC58" s="19">
        <v>0.0</v>
      </c>
      <c r="BD58" s="19">
        <v>2.0</v>
      </c>
      <c r="BE58" s="13">
        <f t="shared" si="16"/>
        <v>81</v>
      </c>
    </row>
    <row r="59" ht="12.75" customHeight="1">
      <c r="A59" s="18"/>
      <c r="B59" s="55">
        <v>4.0</v>
      </c>
      <c r="C59" s="50" t="s">
        <v>52</v>
      </c>
      <c r="D59" s="56"/>
      <c r="E59" s="19">
        <v>3.0</v>
      </c>
      <c r="F59" s="19">
        <v>1.0</v>
      </c>
      <c r="G59" s="19">
        <v>1.0</v>
      </c>
      <c r="H59" s="19">
        <v>3.0</v>
      </c>
      <c r="I59" s="19">
        <v>0.0</v>
      </c>
      <c r="J59" s="19">
        <v>1.0</v>
      </c>
      <c r="K59" s="19">
        <v>0.0</v>
      </c>
      <c r="L59" s="19">
        <v>0.0</v>
      </c>
      <c r="M59" s="19">
        <v>3.0</v>
      </c>
      <c r="N59" s="19">
        <v>1.0</v>
      </c>
      <c r="O59" s="19">
        <v>3.0</v>
      </c>
      <c r="P59" s="19">
        <v>0.0</v>
      </c>
      <c r="Q59" s="19">
        <v>4.0</v>
      </c>
      <c r="R59" s="19">
        <v>2.0</v>
      </c>
      <c r="S59" s="19">
        <v>1.0</v>
      </c>
      <c r="T59" s="19">
        <v>0.0</v>
      </c>
      <c r="U59" s="19">
        <v>4.0</v>
      </c>
      <c r="V59" s="19">
        <v>1.0</v>
      </c>
      <c r="W59" s="19">
        <v>3.0</v>
      </c>
      <c r="X59" s="19">
        <v>0.0</v>
      </c>
      <c r="Y59" s="19">
        <v>1.0</v>
      </c>
      <c r="Z59" s="19">
        <v>1.0</v>
      </c>
      <c r="AA59" s="19">
        <v>0.0</v>
      </c>
      <c r="AB59" s="19">
        <v>1.0</v>
      </c>
      <c r="AC59" s="19">
        <v>1.0</v>
      </c>
      <c r="AD59" s="19">
        <v>0.0</v>
      </c>
      <c r="AE59" s="19">
        <v>0.0</v>
      </c>
      <c r="AF59" s="19">
        <v>1.0</v>
      </c>
      <c r="AG59" s="19">
        <v>0.0</v>
      </c>
      <c r="AH59" s="19">
        <v>0.0</v>
      </c>
      <c r="AI59" s="19">
        <v>0.0</v>
      </c>
      <c r="AJ59" s="19">
        <v>0.0</v>
      </c>
      <c r="AK59" s="19">
        <v>1.0</v>
      </c>
      <c r="AL59" s="19">
        <v>2.0</v>
      </c>
      <c r="AM59" s="19">
        <v>0.0</v>
      </c>
      <c r="AN59" s="19">
        <v>2.0</v>
      </c>
      <c r="AO59" s="19">
        <v>1.0</v>
      </c>
      <c r="AP59" s="19">
        <v>3.0</v>
      </c>
      <c r="AQ59" s="19">
        <v>2.0</v>
      </c>
      <c r="AR59" s="19">
        <v>2.0</v>
      </c>
      <c r="AS59" s="19">
        <v>1.0</v>
      </c>
      <c r="AT59" s="19">
        <v>4.0</v>
      </c>
      <c r="AU59" s="19">
        <v>4.0</v>
      </c>
      <c r="AV59" s="19">
        <v>4.0</v>
      </c>
      <c r="AW59" s="19">
        <v>1.0</v>
      </c>
      <c r="AX59" s="19">
        <v>0.0</v>
      </c>
      <c r="AY59" s="19">
        <v>3.0</v>
      </c>
      <c r="AZ59" s="19">
        <v>0.0</v>
      </c>
      <c r="BA59" s="19">
        <v>2.0</v>
      </c>
      <c r="BB59" s="19">
        <v>0.0</v>
      </c>
      <c r="BC59" s="19">
        <v>0.0</v>
      </c>
      <c r="BD59" s="19">
        <v>2.0</v>
      </c>
      <c r="BE59" s="13">
        <f t="shared" si="16"/>
        <v>70</v>
      </c>
    </row>
    <row r="60" ht="12.75" customHeight="1">
      <c r="A60" s="18"/>
      <c r="B60" s="55">
        <v>5.0</v>
      </c>
      <c r="C60" s="50" t="s">
        <v>53</v>
      </c>
      <c r="D60" s="56"/>
      <c r="E60" s="19">
        <v>0.0</v>
      </c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  <c r="M60" s="19">
        <v>0.0</v>
      </c>
      <c r="N60" s="19">
        <v>0.0</v>
      </c>
      <c r="O60" s="19">
        <v>0.0</v>
      </c>
      <c r="P60" s="19">
        <v>0.0</v>
      </c>
      <c r="Q60" s="19">
        <v>2.0</v>
      </c>
      <c r="R60" s="19">
        <v>1.0</v>
      </c>
      <c r="S60" s="19">
        <v>0.0</v>
      </c>
      <c r="T60" s="19">
        <v>0.0</v>
      </c>
      <c r="U60" s="19">
        <v>1.0</v>
      </c>
      <c r="V60" s="19">
        <v>0.0</v>
      </c>
      <c r="W60" s="19">
        <v>2.0</v>
      </c>
      <c r="X60" s="19">
        <v>0.0</v>
      </c>
      <c r="Y60" s="19">
        <v>1.0</v>
      </c>
      <c r="Z60" s="19">
        <v>0.0</v>
      </c>
      <c r="AA60" s="19">
        <v>1.0</v>
      </c>
      <c r="AB60" s="19">
        <v>0.0</v>
      </c>
      <c r="AC60" s="19">
        <v>1.0</v>
      </c>
      <c r="AD60" s="19">
        <v>0.0</v>
      </c>
      <c r="AE60" s="19">
        <v>0.0</v>
      </c>
      <c r="AF60" s="19">
        <v>1.0</v>
      </c>
      <c r="AG60" s="19">
        <v>0.0</v>
      </c>
      <c r="AH60" s="19">
        <v>1.0</v>
      </c>
      <c r="AI60" s="19">
        <v>0.0</v>
      </c>
      <c r="AJ60" s="19">
        <v>0.0</v>
      </c>
      <c r="AK60" s="19">
        <v>0.0</v>
      </c>
      <c r="AL60" s="19">
        <v>3.0</v>
      </c>
      <c r="AM60" s="19">
        <v>0.0</v>
      </c>
      <c r="AN60" s="19">
        <v>0.0</v>
      </c>
      <c r="AO60" s="19">
        <v>1.0</v>
      </c>
      <c r="AP60" s="19">
        <v>0.0</v>
      </c>
      <c r="AQ60" s="19">
        <v>0.0</v>
      </c>
      <c r="AR60" s="19">
        <v>2.0</v>
      </c>
      <c r="AS60" s="19">
        <v>1.0</v>
      </c>
      <c r="AT60" s="19">
        <v>0.0</v>
      </c>
      <c r="AU60" s="19">
        <v>0.0</v>
      </c>
      <c r="AV60" s="19">
        <v>0.0</v>
      </c>
      <c r="AW60" s="19">
        <v>1.0</v>
      </c>
      <c r="AX60" s="19">
        <v>1.0</v>
      </c>
      <c r="AY60" s="19">
        <v>0.0</v>
      </c>
      <c r="AZ60" s="19">
        <v>0.0</v>
      </c>
      <c r="BA60" s="19">
        <v>0.0</v>
      </c>
      <c r="BB60" s="19">
        <v>0.0</v>
      </c>
      <c r="BC60" s="19">
        <v>1.0</v>
      </c>
      <c r="BD60" s="19">
        <v>0.0</v>
      </c>
      <c r="BE60" s="13">
        <f t="shared" si="16"/>
        <v>21</v>
      </c>
    </row>
    <row r="61" ht="12.75" customHeight="1">
      <c r="A61" s="18"/>
      <c r="B61" s="55">
        <v>6.0</v>
      </c>
      <c r="C61" s="50" t="s">
        <v>54</v>
      </c>
      <c r="D61" s="57"/>
      <c r="E61" s="19">
        <v>1.0</v>
      </c>
      <c r="F61" s="19">
        <v>0.0</v>
      </c>
      <c r="G61" s="19">
        <v>1.0</v>
      </c>
      <c r="H61" s="19">
        <v>1.0</v>
      </c>
      <c r="I61" s="19">
        <v>1.0</v>
      </c>
      <c r="J61" s="19">
        <v>0.0</v>
      </c>
      <c r="K61" s="19">
        <v>2.0</v>
      </c>
      <c r="L61" s="19">
        <v>0.0</v>
      </c>
      <c r="M61" s="19">
        <v>1.0</v>
      </c>
      <c r="N61" s="19">
        <v>2.0</v>
      </c>
      <c r="O61" s="19">
        <v>2.0</v>
      </c>
      <c r="P61" s="19">
        <v>0.0</v>
      </c>
      <c r="Q61" s="19">
        <v>1.0</v>
      </c>
      <c r="R61" s="19">
        <v>1.0</v>
      </c>
      <c r="S61" s="19">
        <v>2.0</v>
      </c>
      <c r="T61" s="19">
        <v>0.0</v>
      </c>
      <c r="U61" s="19">
        <v>2.0</v>
      </c>
      <c r="V61" s="19">
        <v>0.0</v>
      </c>
      <c r="W61" s="19">
        <v>0.0</v>
      </c>
      <c r="X61" s="19">
        <v>1.0</v>
      </c>
      <c r="Y61" s="19">
        <v>0.0</v>
      </c>
      <c r="Z61" s="19">
        <v>0.0</v>
      </c>
      <c r="AA61" s="19">
        <v>0.0</v>
      </c>
      <c r="AB61" s="19">
        <v>0.0</v>
      </c>
      <c r="AC61" s="19">
        <v>1.0</v>
      </c>
      <c r="AD61" s="19">
        <v>0.0</v>
      </c>
      <c r="AE61" s="19">
        <v>0.0</v>
      </c>
      <c r="AF61" s="19">
        <v>1.0</v>
      </c>
      <c r="AG61" s="19">
        <v>0.0</v>
      </c>
      <c r="AH61" s="19">
        <v>1.0</v>
      </c>
      <c r="AI61" s="19">
        <v>0.0</v>
      </c>
      <c r="AJ61" s="19">
        <v>1.0</v>
      </c>
      <c r="AK61" s="19">
        <v>1.0</v>
      </c>
      <c r="AL61" s="19">
        <v>1.0</v>
      </c>
      <c r="AM61" s="19">
        <v>0.0</v>
      </c>
      <c r="AN61" s="19">
        <v>0.0</v>
      </c>
      <c r="AO61" s="19">
        <v>0.0</v>
      </c>
      <c r="AP61" s="19">
        <v>0.0</v>
      </c>
      <c r="AQ61" s="19">
        <v>0.0</v>
      </c>
      <c r="AR61" s="19">
        <v>1.0</v>
      </c>
      <c r="AS61" s="19">
        <v>0.0</v>
      </c>
      <c r="AT61" s="19">
        <v>0.0</v>
      </c>
      <c r="AU61" s="19">
        <v>0.0</v>
      </c>
      <c r="AV61" s="19">
        <v>2.0</v>
      </c>
      <c r="AW61" s="19">
        <v>0.0</v>
      </c>
      <c r="AX61" s="19">
        <v>0.0</v>
      </c>
      <c r="AY61" s="19">
        <v>0.0</v>
      </c>
      <c r="AZ61" s="19">
        <v>1.0</v>
      </c>
      <c r="BA61" s="19">
        <v>2.0</v>
      </c>
      <c r="BB61" s="19">
        <v>1.0</v>
      </c>
      <c r="BC61" s="19">
        <v>0.0</v>
      </c>
      <c r="BD61" s="19">
        <v>1.0</v>
      </c>
      <c r="BE61" s="13">
        <f t="shared" si="16"/>
        <v>32</v>
      </c>
    </row>
    <row r="62" ht="12.75" customHeight="1">
      <c r="A62" s="18"/>
      <c r="B62" s="55">
        <v>7.0</v>
      </c>
      <c r="C62" s="50" t="s">
        <v>55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1.0</v>
      </c>
      <c r="P62" s="19">
        <v>0.0</v>
      </c>
      <c r="Q62" s="19">
        <v>0.0</v>
      </c>
      <c r="R62" s="19">
        <v>0.0</v>
      </c>
      <c r="S62" s="19">
        <v>1.0</v>
      </c>
      <c r="T62" s="19">
        <v>1.0</v>
      </c>
      <c r="U62" s="19">
        <v>0.0</v>
      </c>
      <c r="V62" s="19">
        <v>0.0</v>
      </c>
      <c r="W62" s="19">
        <v>0.0</v>
      </c>
      <c r="X62" s="19">
        <v>1.0</v>
      </c>
      <c r="Y62" s="19">
        <v>0.0</v>
      </c>
      <c r="Z62" s="19">
        <v>0.0</v>
      </c>
      <c r="AA62" s="19">
        <v>0.0</v>
      </c>
      <c r="AB62" s="19">
        <v>0.0</v>
      </c>
      <c r="AC62" s="19">
        <v>0.0</v>
      </c>
      <c r="AD62" s="19">
        <v>0.0</v>
      </c>
      <c r="AE62" s="19">
        <v>0.0</v>
      </c>
      <c r="AF62" s="19">
        <v>0.0</v>
      </c>
      <c r="AG62" s="19">
        <v>0.0</v>
      </c>
      <c r="AH62" s="19">
        <v>0.0</v>
      </c>
      <c r="AI62" s="19">
        <v>0.0</v>
      </c>
      <c r="AJ62" s="19">
        <v>0.0</v>
      </c>
      <c r="AK62" s="19">
        <v>1.0</v>
      </c>
      <c r="AL62" s="19">
        <v>0.0</v>
      </c>
      <c r="AM62" s="19">
        <v>0.0</v>
      </c>
      <c r="AN62" s="19">
        <v>0.0</v>
      </c>
      <c r="AO62" s="19">
        <v>0.0</v>
      </c>
      <c r="AP62" s="19">
        <v>0.0</v>
      </c>
      <c r="AQ62" s="19">
        <v>0.0</v>
      </c>
      <c r="AR62" s="19">
        <v>1.0</v>
      </c>
      <c r="AS62" s="19">
        <v>0.0</v>
      </c>
      <c r="AT62" s="19">
        <v>0.0</v>
      </c>
      <c r="AU62" s="19">
        <v>1.0</v>
      </c>
      <c r="AV62" s="19">
        <v>0.0</v>
      </c>
      <c r="AW62" s="19">
        <v>0.0</v>
      </c>
      <c r="AX62" s="19">
        <v>0.0</v>
      </c>
      <c r="AY62" s="19">
        <v>0.0</v>
      </c>
      <c r="AZ62" s="19">
        <v>1.0</v>
      </c>
      <c r="BA62" s="19">
        <v>0.0</v>
      </c>
      <c r="BB62" s="19">
        <v>0.0</v>
      </c>
      <c r="BC62" s="19">
        <v>0.0</v>
      </c>
      <c r="BD62" s="19">
        <v>0.0</v>
      </c>
      <c r="BE62" s="13">
        <f t="shared" si="16"/>
        <v>8</v>
      </c>
    </row>
    <row r="63" ht="12.75" customHeight="1">
      <c r="A63" s="19" t="s">
        <v>15</v>
      </c>
      <c r="B63" s="47" t="s">
        <v>47</v>
      </c>
      <c r="C63" s="15"/>
      <c r="D63" s="16"/>
      <c r="E63" s="13">
        <f t="shared" ref="E63:BE63" si="17">SUM(E55:E62)</f>
        <v>27</v>
      </c>
      <c r="F63" s="13">
        <f t="shared" si="17"/>
        <v>22</v>
      </c>
      <c r="G63" s="13">
        <f t="shared" si="17"/>
        <v>19</v>
      </c>
      <c r="H63" s="13">
        <f t="shared" si="17"/>
        <v>42</v>
      </c>
      <c r="I63" s="13">
        <f t="shared" si="17"/>
        <v>42</v>
      </c>
      <c r="J63" s="13">
        <f t="shared" si="17"/>
        <v>13</v>
      </c>
      <c r="K63" s="13">
        <f t="shared" si="17"/>
        <v>19</v>
      </c>
      <c r="L63" s="13">
        <f t="shared" si="17"/>
        <v>23</v>
      </c>
      <c r="M63" s="13">
        <f t="shared" si="17"/>
        <v>34</v>
      </c>
      <c r="N63" s="13">
        <f t="shared" si="17"/>
        <v>22</v>
      </c>
      <c r="O63" s="13">
        <f t="shared" si="17"/>
        <v>31</v>
      </c>
      <c r="P63" s="13">
        <f t="shared" si="17"/>
        <v>7</v>
      </c>
      <c r="Q63" s="13">
        <f t="shared" si="17"/>
        <v>29</v>
      </c>
      <c r="R63" s="13">
        <f t="shared" si="17"/>
        <v>25</v>
      </c>
      <c r="S63" s="13">
        <f t="shared" si="17"/>
        <v>30</v>
      </c>
      <c r="T63" s="13">
        <f t="shared" si="17"/>
        <v>13</v>
      </c>
      <c r="U63" s="13">
        <f t="shared" si="17"/>
        <v>43</v>
      </c>
      <c r="V63" s="13">
        <f t="shared" si="17"/>
        <v>22</v>
      </c>
      <c r="W63" s="13">
        <f t="shared" si="17"/>
        <v>32</v>
      </c>
      <c r="X63" s="13">
        <f t="shared" si="17"/>
        <v>23</v>
      </c>
      <c r="Y63" s="13">
        <f t="shared" si="17"/>
        <v>24</v>
      </c>
      <c r="Z63" s="13">
        <f t="shared" si="17"/>
        <v>25</v>
      </c>
      <c r="AA63" s="13">
        <f t="shared" si="17"/>
        <v>45</v>
      </c>
      <c r="AB63" s="13">
        <f t="shared" si="17"/>
        <v>21</v>
      </c>
      <c r="AC63" s="13">
        <f t="shared" si="17"/>
        <v>13</v>
      </c>
      <c r="AD63" s="13">
        <f t="shared" si="17"/>
        <v>2</v>
      </c>
      <c r="AE63" s="13">
        <f t="shared" si="17"/>
        <v>14</v>
      </c>
      <c r="AF63" s="13">
        <f t="shared" si="17"/>
        <v>34</v>
      </c>
      <c r="AG63" s="13">
        <f t="shared" si="17"/>
        <v>17</v>
      </c>
      <c r="AH63" s="13">
        <f t="shared" si="17"/>
        <v>18</v>
      </c>
      <c r="AI63" s="13">
        <f t="shared" si="17"/>
        <v>22</v>
      </c>
      <c r="AJ63" s="13">
        <f t="shared" si="17"/>
        <v>21</v>
      </c>
      <c r="AK63" s="13">
        <f t="shared" si="17"/>
        <v>27</v>
      </c>
      <c r="AL63" s="13">
        <f t="shared" si="17"/>
        <v>30</v>
      </c>
      <c r="AM63" s="13">
        <f t="shared" si="17"/>
        <v>33</v>
      </c>
      <c r="AN63" s="13">
        <f t="shared" si="17"/>
        <v>39</v>
      </c>
      <c r="AO63" s="13">
        <f t="shared" si="17"/>
        <v>25</v>
      </c>
      <c r="AP63" s="13">
        <f t="shared" si="17"/>
        <v>19</v>
      </c>
      <c r="AQ63" s="13">
        <f t="shared" si="17"/>
        <v>18</v>
      </c>
      <c r="AR63" s="13">
        <f t="shared" si="17"/>
        <v>78</v>
      </c>
      <c r="AS63" s="13">
        <f t="shared" si="17"/>
        <v>40</v>
      </c>
      <c r="AT63" s="13">
        <f t="shared" si="17"/>
        <v>31</v>
      </c>
      <c r="AU63" s="13">
        <f t="shared" si="17"/>
        <v>64</v>
      </c>
      <c r="AV63" s="13">
        <f t="shared" si="17"/>
        <v>96</v>
      </c>
      <c r="AW63" s="13">
        <f t="shared" si="17"/>
        <v>55</v>
      </c>
      <c r="AX63" s="13">
        <f t="shared" si="17"/>
        <v>73</v>
      </c>
      <c r="AY63" s="13">
        <f t="shared" si="17"/>
        <v>45</v>
      </c>
      <c r="AZ63" s="13">
        <f t="shared" si="17"/>
        <v>29</v>
      </c>
      <c r="BA63" s="13">
        <f t="shared" si="17"/>
        <v>34</v>
      </c>
      <c r="BB63" s="13">
        <f t="shared" si="17"/>
        <v>33</v>
      </c>
      <c r="BC63" s="13">
        <f t="shared" si="17"/>
        <v>26</v>
      </c>
      <c r="BD63" s="13">
        <f t="shared" si="17"/>
        <v>17</v>
      </c>
      <c r="BE63" s="13">
        <f t="shared" si="17"/>
        <v>1586</v>
      </c>
    </row>
    <row r="64" ht="12.75" customHeight="1">
      <c r="A64" s="45"/>
      <c r="B64" s="44"/>
      <c r="C64" s="44"/>
      <c r="D64" s="44"/>
      <c r="E64" s="44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8.0</v>
      </c>
      <c r="F65" s="19">
        <v>26.0</v>
      </c>
      <c r="G65" s="19">
        <v>9.0</v>
      </c>
      <c r="H65" s="19">
        <v>12.0</v>
      </c>
      <c r="I65" s="19">
        <v>12.0</v>
      </c>
      <c r="J65" s="19">
        <v>8.0</v>
      </c>
      <c r="K65" s="19">
        <v>19.0</v>
      </c>
      <c r="L65" s="19">
        <v>8.0</v>
      </c>
      <c r="M65" s="19">
        <v>17.0</v>
      </c>
      <c r="N65" s="19">
        <v>23.0</v>
      </c>
      <c r="O65" s="19">
        <v>12.0</v>
      </c>
      <c r="P65" s="19">
        <v>7.0</v>
      </c>
      <c r="Q65" s="19">
        <v>14.0</v>
      </c>
      <c r="R65" s="19">
        <v>9.0</v>
      </c>
      <c r="S65" s="19">
        <v>7.0</v>
      </c>
      <c r="T65" s="19">
        <v>4.0</v>
      </c>
      <c r="U65" s="19">
        <v>16.0</v>
      </c>
      <c r="V65" s="19">
        <v>14.0</v>
      </c>
      <c r="W65" s="19">
        <v>11.0</v>
      </c>
      <c r="X65" s="19">
        <v>8.0</v>
      </c>
      <c r="Y65" s="19">
        <v>11.0</v>
      </c>
      <c r="Z65" s="19">
        <v>8.0</v>
      </c>
      <c r="AA65" s="19">
        <v>6.0</v>
      </c>
      <c r="AB65" s="19">
        <v>21.0</v>
      </c>
      <c r="AC65" s="19">
        <v>10.0</v>
      </c>
      <c r="AD65" s="19">
        <v>3.0</v>
      </c>
      <c r="AE65" s="19">
        <v>11.0</v>
      </c>
      <c r="AF65" s="19">
        <v>13.0</v>
      </c>
      <c r="AG65" s="19">
        <v>5.0</v>
      </c>
      <c r="AH65" s="19">
        <v>8.0</v>
      </c>
      <c r="AI65" s="19">
        <v>7.0</v>
      </c>
      <c r="AJ65" s="19">
        <v>22.0</v>
      </c>
      <c r="AK65" s="19">
        <v>12.0</v>
      </c>
      <c r="AL65" s="19">
        <v>9.0</v>
      </c>
      <c r="AM65" s="19">
        <v>4.0</v>
      </c>
      <c r="AN65" s="19">
        <v>7.0</v>
      </c>
      <c r="AO65" s="19">
        <v>4.0</v>
      </c>
      <c r="AP65" s="19">
        <v>3.0</v>
      </c>
      <c r="AQ65" s="19">
        <v>14.0</v>
      </c>
      <c r="AR65" s="19">
        <v>8.0</v>
      </c>
      <c r="AS65" s="19">
        <v>3.0</v>
      </c>
      <c r="AT65" s="19">
        <v>9.0</v>
      </c>
      <c r="AU65" s="19">
        <v>3.0</v>
      </c>
      <c r="AV65" s="19">
        <v>2.0</v>
      </c>
      <c r="AW65" s="19">
        <v>3.0</v>
      </c>
      <c r="AX65" s="19">
        <v>7.0</v>
      </c>
      <c r="AY65" s="19">
        <v>4.0</v>
      </c>
      <c r="AZ65" s="19">
        <v>5.0</v>
      </c>
      <c r="BA65" s="19">
        <v>4.0</v>
      </c>
      <c r="BB65" s="19">
        <v>8.0</v>
      </c>
      <c r="BC65" s="19">
        <v>9.0</v>
      </c>
      <c r="BD65" s="19">
        <v>16.0</v>
      </c>
      <c r="BE65" s="13">
        <f t="shared" ref="BE65:BE72" si="18">SUM(E65:BD65)</f>
        <v>503</v>
      </c>
    </row>
    <row r="66" ht="12.75" customHeight="1">
      <c r="A66" s="30" t="s">
        <v>39</v>
      </c>
      <c r="B66" s="55">
        <v>1.0</v>
      </c>
      <c r="C66" s="50" t="s">
        <v>57</v>
      </c>
      <c r="D66" s="57"/>
      <c r="E66" s="19">
        <v>14.0</v>
      </c>
      <c r="F66" s="19">
        <v>16.0</v>
      </c>
      <c r="G66" s="19">
        <v>13.0</v>
      </c>
      <c r="H66" s="19">
        <v>18.0</v>
      </c>
      <c r="I66" s="19">
        <v>13.0</v>
      </c>
      <c r="J66" s="19">
        <v>21.0</v>
      </c>
      <c r="K66" s="19">
        <v>13.0</v>
      </c>
      <c r="L66" s="19">
        <v>20.0</v>
      </c>
      <c r="M66" s="19">
        <v>11.0</v>
      </c>
      <c r="N66" s="19">
        <v>18.0</v>
      </c>
      <c r="O66" s="19">
        <v>9.0</v>
      </c>
      <c r="P66" s="19">
        <v>9.0</v>
      </c>
      <c r="Q66" s="19">
        <v>17.0</v>
      </c>
      <c r="R66" s="19">
        <v>11.0</v>
      </c>
      <c r="S66" s="19">
        <v>16.0</v>
      </c>
      <c r="T66" s="19">
        <v>0.0</v>
      </c>
      <c r="U66" s="19">
        <v>9.0</v>
      </c>
      <c r="V66" s="19">
        <v>2.0</v>
      </c>
      <c r="W66" s="19">
        <v>3.0</v>
      </c>
      <c r="X66" s="19">
        <v>4.0</v>
      </c>
      <c r="Y66" s="19">
        <v>19.0</v>
      </c>
      <c r="Z66" s="19">
        <v>24.0</v>
      </c>
      <c r="AA66" s="19">
        <v>9.0</v>
      </c>
      <c r="AB66" s="19">
        <v>19.0</v>
      </c>
      <c r="AC66" s="19">
        <v>30.0</v>
      </c>
      <c r="AD66" s="19">
        <v>49.0</v>
      </c>
      <c r="AE66" s="19">
        <v>25.0</v>
      </c>
      <c r="AF66" s="19">
        <v>12.0</v>
      </c>
      <c r="AG66" s="19">
        <v>7.0</v>
      </c>
      <c r="AH66" s="19">
        <v>1.0</v>
      </c>
      <c r="AI66" s="19">
        <v>5.0</v>
      </c>
      <c r="AJ66" s="19">
        <v>30.0</v>
      </c>
      <c r="AK66" s="19">
        <v>7.0</v>
      </c>
      <c r="AL66" s="19">
        <v>10.0</v>
      </c>
      <c r="AM66" s="19">
        <v>7.0</v>
      </c>
      <c r="AN66" s="19">
        <v>11.0</v>
      </c>
      <c r="AO66" s="19">
        <v>5.0</v>
      </c>
      <c r="AP66" s="19">
        <v>16.0</v>
      </c>
      <c r="AQ66" s="19">
        <v>9.0</v>
      </c>
      <c r="AR66" s="19">
        <v>19.0</v>
      </c>
      <c r="AS66" s="19">
        <v>38.0</v>
      </c>
      <c r="AT66" s="19">
        <v>14.0</v>
      </c>
      <c r="AU66" s="19">
        <v>4.0</v>
      </c>
      <c r="AV66" s="19">
        <v>10.0</v>
      </c>
      <c r="AW66" s="19">
        <v>5.0</v>
      </c>
      <c r="AX66" s="19">
        <v>5.0</v>
      </c>
      <c r="AY66" s="19">
        <v>4.0</v>
      </c>
      <c r="AZ66" s="19">
        <v>3.0</v>
      </c>
      <c r="BA66" s="19">
        <v>4.0</v>
      </c>
      <c r="BB66" s="19">
        <v>8.0</v>
      </c>
      <c r="BC66" s="19">
        <v>5.0</v>
      </c>
      <c r="BD66" s="19">
        <v>18.0</v>
      </c>
      <c r="BE66" s="13">
        <f t="shared" si="18"/>
        <v>669</v>
      </c>
    </row>
    <row r="67" ht="12.75" customHeight="1">
      <c r="A67" s="18"/>
      <c r="B67" s="55">
        <v>2.0</v>
      </c>
      <c r="C67" s="50" t="s">
        <v>58</v>
      </c>
      <c r="D67" s="57"/>
      <c r="E67" s="19">
        <v>17.0</v>
      </c>
      <c r="F67" s="19">
        <v>16.0</v>
      </c>
      <c r="G67" s="19">
        <v>5.0</v>
      </c>
      <c r="H67" s="19">
        <v>6.0</v>
      </c>
      <c r="I67" s="19">
        <v>19.0</v>
      </c>
      <c r="J67" s="19">
        <v>23.0</v>
      </c>
      <c r="K67" s="19">
        <v>22.0</v>
      </c>
      <c r="L67" s="19">
        <v>2.0</v>
      </c>
      <c r="M67" s="19">
        <v>14.0</v>
      </c>
      <c r="N67" s="19">
        <v>11.0</v>
      </c>
      <c r="O67" s="19">
        <v>11.0</v>
      </c>
      <c r="P67" s="19">
        <v>8.0</v>
      </c>
      <c r="Q67" s="19">
        <v>17.0</v>
      </c>
      <c r="R67" s="19">
        <v>5.0</v>
      </c>
      <c r="S67" s="19">
        <v>8.0</v>
      </c>
      <c r="T67" s="19">
        <v>38.0</v>
      </c>
      <c r="U67" s="19">
        <v>15.0</v>
      </c>
      <c r="V67" s="19">
        <v>18.0</v>
      </c>
      <c r="W67" s="19">
        <v>6.0</v>
      </c>
      <c r="X67" s="19">
        <v>2.0</v>
      </c>
      <c r="Y67" s="19">
        <v>3.0</v>
      </c>
      <c r="Z67" s="19">
        <v>5.0</v>
      </c>
      <c r="AA67" s="19">
        <v>113.0</v>
      </c>
      <c r="AB67" s="19">
        <v>55.0</v>
      </c>
      <c r="AC67" s="19">
        <v>27.0</v>
      </c>
      <c r="AD67" s="19">
        <v>3.0</v>
      </c>
      <c r="AE67" s="19">
        <v>28.0</v>
      </c>
      <c r="AF67" s="19">
        <v>21.0</v>
      </c>
      <c r="AG67" s="19">
        <v>8.0</v>
      </c>
      <c r="AH67" s="19">
        <v>8.0</v>
      </c>
      <c r="AI67" s="19">
        <v>3.0</v>
      </c>
      <c r="AJ67" s="19">
        <v>8.0</v>
      </c>
      <c r="AK67" s="19">
        <v>6.0</v>
      </c>
      <c r="AL67" s="19">
        <v>9.0</v>
      </c>
      <c r="AM67" s="19">
        <v>6.0</v>
      </c>
      <c r="AN67" s="19">
        <v>10.0</v>
      </c>
      <c r="AO67" s="19">
        <v>2.0</v>
      </c>
      <c r="AP67" s="19">
        <v>8.0</v>
      </c>
      <c r="AQ67" s="19">
        <v>20.0</v>
      </c>
      <c r="AR67" s="19">
        <v>3.0</v>
      </c>
      <c r="AS67" s="19">
        <v>1.0</v>
      </c>
      <c r="AT67" s="19">
        <v>3.0</v>
      </c>
      <c r="AU67" s="19">
        <v>1.0</v>
      </c>
      <c r="AV67" s="19">
        <v>2.0</v>
      </c>
      <c r="AW67" s="19">
        <v>1.0</v>
      </c>
      <c r="AX67" s="19">
        <v>2.0</v>
      </c>
      <c r="AY67" s="19">
        <v>3.0</v>
      </c>
      <c r="AZ67" s="19">
        <v>3.0</v>
      </c>
      <c r="BA67" s="19">
        <v>2.0</v>
      </c>
      <c r="BB67" s="19">
        <v>2.0</v>
      </c>
      <c r="BC67" s="19">
        <v>4.0</v>
      </c>
      <c r="BD67" s="19">
        <v>7.0</v>
      </c>
      <c r="BE67" s="13">
        <f t="shared" si="18"/>
        <v>640</v>
      </c>
    </row>
    <row r="68" ht="12.75" customHeight="1">
      <c r="A68" s="18"/>
      <c r="B68" s="55">
        <v>3.0</v>
      </c>
      <c r="C68" s="50" t="s">
        <v>59</v>
      </c>
      <c r="D68" s="57"/>
      <c r="E68" s="19">
        <v>0.0</v>
      </c>
      <c r="F68" s="19">
        <v>2.0</v>
      </c>
      <c r="G68" s="19">
        <v>2.0</v>
      </c>
      <c r="H68" s="19">
        <v>2.0</v>
      </c>
      <c r="I68" s="19">
        <v>1.0</v>
      </c>
      <c r="J68" s="19">
        <v>0.0</v>
      </c>
      <c r="K68" s="19">
        <v>3.0</v>
      </c>
      <c r="L68" s="19">
        <v>0.0</v>
      </c>
      <c r="M68" s="19">
        <v>6.0</v>
      </c>
      <c r="N68" s="19">
        <v>1.0</v>
      </c>
      <c r="O68" s="19">
        <v>2.0</v>
      </c>
      <c r="P68" s="19">
        <v>0.0</v>
      </c>
      <c r="Q68" s="19">
        <v>2.0</v>
      </c>
      <c r="R68" s="19">
        <v>0.0</v>
      </c>
      <c r="S68" s="19">
        <v>1.0</v>
      </c>
      <c r="T68" s="19">
        <v>0.0</v>
      </c>
      <c r="U68" s="19">
        <v>4.0</v>
      </c>
      <c r="V68" s="19">
        <v>0.0</v>
      </c>
      <c r="W68" s="19">
        <v>1.0</v>
      </c>
      <c r="X68" s="19">
        <v>0.0</v>
      </c>
      <c r="Y68" s="19">
        <v>0.0</v>
      </c>
      <c r="Z68" s="19">
        <v>1.0</v>
      </c>
      <c r="AA68" s="19">
        <v>5.0</v>
      </c>
      <c r="AB68" s="19">
        <v>1.0</v>
      </c>
      <c r="AC68" s="19">
        <v>2.0</v>
      </c>
      <c r="AD68" s="19">
        <v>0.0</v>
      </c>
      <c r="AE68" s="19">
        <v>1.0</v>
      </c>
      <c r="AF68" s="19">
        <v>2.0</v>
      </c>
      <c r="AG68" s="19">
        <v>4.0</v>
      </c>
      <c r="AH68" s="19">
        <v>1.0</v>
      </c>
      <c r="AI68" s="19">
        <v>1.0</v>
      </c>
      <c r="AJ68" s="19">
        <v>2.0</v>
      </c>
      <c r="AK68" s="19">
        <v>1.0</v>
      </c>
      <c r="AL68" s="19">
        <v>2.0</v>
      </c>
      <c r="AM68" s="19">
        <v>0.0</v>
      </c>
      <c r="AN68" s="19">
        <v>1.0</v>
      </c>
      <c r="AO68" s="19">
        <v>0.0</v>
      </c>
      <c r="AP68" s="19">
        <v>1.0</v>
      </c>
      <c r="AQ68" s="19">
        <v>2.0</v>
      </c>
      <c r="AR68" s="19">
        <v>1.0</v>
      </c>
      <c r="AS68" s="19">
        <v>1.0</v>
      </c>
      <c r="AT68" s="19">
        <v>1.0</v>
      </c>
      <c r="AU68" s="19">
        <v>2.0</v>
      </c>
      <c r="AV68" s="19">
        <v>0.0</v>
      </c>
      <c r="AW68" s="19">
        <v>0.0</v>
      </c>
      <c r="AX68" s="19">
        <v>1.0</v>
      </c>
      <c r="AY68" s="19">
        <v>1.0</v>
      </c>
      <c r="AZ68" s="19">
        <v>1.0</v>
      </c>
      <c r="BA68" s="19">
        <v>2.0</v>
      </c>
      <c r="BB68" s="19">
        <v>0.0</v>
      </c>
      <c r="BC68" s="19">
        <v>3.0</v>
      </c>
      <c r="BD68" s="19">
        <v>0.0</v>
      </c>
      <c r="BE68" s="13">
        <f t="shared" si="18"/>
        <v>67</v>
      </c>
    </row>
    <row r="69" ht="12.75" customHeight="1">
      <c r="A69" s="18"/>
      <c r="B69" s="55">
        <v>4.0</v>
      </c>
      <c r="C69" s="50" t="s">
        <v>60</v>
      </c>
      <c r="D69" s="57"/>
      <c r="E69" s="19">
        <v>2.0</v>
      </c>
      <c r="F69" s="19">
        <v>2.0</v>
      </c>
      <c r="G69" s="19">
        <v>1.0</v>
      </c>
      <c r="H69" s="19">
        <v>1.0</v>
      </c>
      <c r="I69" s="19">
        <v>1.0</v>
      </c>
      <c r="J69" s="19">
        <v>0.0</v>
      </c>
      <c r="K69" s="19">
        <v>2.0</v>
      </c>
      <c r="L69" s="19">
        <v>1.0</v>
      </c>
      <c r="M69" s="19">
        <v>0.0</v>
      </c>
      <c r="N69" s="19">
        <v>0.0</v>
      </c>
      <c r="O69" s="19">
        <v>1.0</v>
      </c>
      <c r="P69" s="19">
        <v>0.0</v>
      </c>
      <c r="Q69" s="19">
        <v>2.0</v>
      </c>
      <c r="R69" s="19">
        <v>2.0</v>
      </c>
      <c r="S69" s="19">
        <v>1.0</v>
      </c>
      <c r="T69" s="19">
        <v>0.0</v>
      </c>
      <c r="U69" s="19">
        <v>0.0</v>
      </c>
      <c r="V69" s="19">
        <v>0.0</v>
      </c>
      <c r="W69" s="19">
        <v>1.0</v>
      </c>
      <c r="X69" s="19">
        <v>0.0</v>
      </c>
      <c r="Y69" s="19">
        <v>3.0</v>
      </c>
      <c r="Z69" s="19">
        <v>1.0</v>
      </c>
      <c r="AA69" s="19">
        <v>2.0</v>
      </c>
      <c r="AB69" s="19">
        <v>0.0</v>
      </c>
      <c r="AC69" s="19">
        <v>2.0</v>
      </c>
      <c r="AD69" s="19">
        <v>0.0</v>
      </c>
      <c r="AE69" s="19">
        <v>0.0</v>
      </c>
      <c r="AF69" s="19">
        <v>1.0</v>
      </c>
      <c r="AG69" s="19">
        <v>0.0</v>
      </c>
      <c r="AH69" s="19">
        <v>0.0</v>
      </c>
      <c r="AI69" s="19">
        <v>0.0</v>
      </c>
      <c r="AJ69" s="19">
        <v>0.0</v>
      </c>
      <c r="AK69" s="19">
        <v>0.0</v>
      </c>
      <c r="AL69" s="19">
        <v>1.0</v>
      </c>
      <c r="AM69" s="19">
        <v>3.0</v>
      </c>
      <c r="AN69" s="19">
        <v>1.0</v>
      </c>
      <c r="AO69" s="19">
        <v>0.0</v>
      </c>
      <c r="AP69" s="19">
        <v>0.0</v>
      </c>
      <c r="AQ69" s="19">
        <v>1.0</v>
      </c>
      <c r="AR69" s="19">
        <v>1.0</v>
      </c>
      <c r="AS69" s="19">
        <v>0.0</v>
      </c>
      <c r="AT69" s="19">
        <v>0.0</v>
      </c>
      <c r="AU69" s="19">
        <v>0.0</v>
      </c>
      <c r="AV69" s="19">
        <v>1.0</v>
      </c>
      <c r="AW69" s="19">
        <v>1.0</v>
      </c>
      <c r="AX69" s="19">
        <v>0.0</v>
      </c>
      <c r="AY69" s="19">
        <v>1.0</v>
      </c>
      <c r="AZ69" s="19">
        <v>0.0</v>
      </c>
      <c r="BA69" s="19">
        <v>0.0</v>
      </c>
      <c r="BB69" s="19">
        <v>0.0</v>
      </c>
      <c r="BC69" s="19">
        <v>1.0</v>
      </c>
      <c r="BD69" s="19">
        <v>1.0</v>
      </c>
      <c r="BE69" s="13">
        <f t="shared" si="18"/>
        <v>38</v>
      </c>
    </row>
    <row r="70" ht="12.75" customHeight="1">
      <c r="A70" s="18"/>
      <c r="B70" s="55">
        <v>5.0</v>
      </c>
      <c r="C70" s="50" t="s">
        <v>61</v>
      </c>
      <c r="D70" s="57"/>
      <c r="E70" s="19">
        <v>40.0</v>
      </c>
      <c r="F70" s="19">
        <v>19.0</v>
      </c>
      <c r="G70" s="19">
        <v>13.0</v>
      </c>
      <c r="H70" s="19">
        <v>8.0</v>
      </c>
      <c r="I70" s="19">
        <v>11.0</v>
      </c>
      <c r="J70" s="19">
        <v>12.0</v>
      </c>
      <c r="K70" s="19">
        <v>19.0</v>
      </c>
      <c r="L70" s="19">
        <v>19.0</v>
      </c>
      <c r="M70" s="19">
        <v>21.0</v>
      </c>
      <c r="N70" s="19">
        <v>12.0</v>
      </c>
      <c r="O70" s="19">
        <v>19.0</v>
      </c>
      <c r="P70" s="19">
        <v>24.0</v>
      </c>
      <c r="Q70" s="19">
        <v>27.0</v>
      </c>
      <c r="R70" s="19">
        <v>8.0</v>
      </c>
      <c r="S70" s="19">
        <v>16.0</v>
      </c>
      <c r="T70" s="19">
        <v>16.0</v>
      </c>
      <c r="U70" s="19">
        <v>9.0</v>
      </c>
      <c r="V70" s="19">
        <v>14.0</v>
      </c>
      <c r="W70" s="19">
        <v>9.0</v>
      </c>
      <c r="X70" s="19">
        <v>4.0</v>
      </c>
      <c r="Y70" s="19">
        <v>6.0</v>
      </c>
      <c r="Z70" s="19">
        <v>3.0</v>
      </c>
      <c r="AA70" s="19">
        <v>5.0</v>
      </c>
      <c r="AB70" s="19">
        <v>1.0</v>
      </c>
      <c r="AC70" s="19">
        <v>0.0</v>
      </c>
      <c r="AD70" s="19">
        <v>0.0</v>
      </c>
      <c r="AE70" s="19">
        <v>6.0</v>
      </c>
      <c r="AF70" s="19">
        <v>7.0</v>
      </c>
      <c r="AG70" s="19">
        <v>11.0</v>
      </c>
      <c r="AH70" s="19">
        <v>7.0</v>
      </c>
      <c r="AI70" s="19">
        <v>2.0</v>
      </c>
      <c r="AJ70" s="19">
        <v>5.0</v>
      </c>
      <c r="AK70" s="19">
        <v>9.0</v>
      </c>
      <c r="AL70" s="19">
        <v>15.0</v>
      </c>
      <c r="AM70" s="19">
        <v>6.0</v>
      </c>
      <c r="AN70" s="19">
        <v>10.0</v>
      </c>
      <c r="AO70" s="19">
        <v>7.0</v>
      </c>
      <c r="AP70" s="19">
        <v>10.0</v>
      </c>
      <c r="AQ70" s="19">
        <v>17.0</v>
      </c>
      <c r="AR70" s="19">
        <v>5.0</v>
      </c>
      <c r="AS70" s="19">
        <v>7.0</v>
      </c>
      <c r="AT70" s="19">
        <v>4.0</v>
      </c>
      <c r="AU70" s="19">
        <v>5.0</v>
      </c>
      <c r="AV70" s="19">
        <v>6.0</v>
      </c>
      <c r="AW70" s="19">
        <v>6.0</v>
      </c>
      <c r="AX70" s="19">
        <v>8.0</v>
      </c>
      <c r="AY70" s="19">
        <v>5.0</v>
      </c>
      <c r="AZ70" s="19">
        <v>2.0</v>
      </c>
      <c r="BA70" s="19">
        <v>2.0</v>
      </c>
      <c r="BB70" s="19">
        <v>5.0</v>
      </c>
      <c r="BC70" s="19">
        <v>0.0</v>
      </c>
      <c r="BD70" s="19">
        <v>5.0</v>
      </c>
      <c r="BE70" s="13">
        <f t="shared" si="18"/>
        <v>507</v>
      </c>
    </row>
    <row r="71" ht="12.75" customHeight="1">
      <c r="A71" s="18"/>
      <c r="B71" s="55">
        <v>6.0</v>
      </c>
      <c r="C71" s="50" t="s">
        <v>62</v>
      </c>
      <c r="D71" s="57"/>
      <c r="E71" s="19">
        <v>2.0</v>
      </c>
      <c r="F71" s="19">
        <v>4.0</v>
      </c>
      <c r="G71" s="19">
        <v>0.0</v>
      </c>
      <c r="H71" s="19">
        <v>0.0</v>
      </c>
      <c r="I71" s="19">
        <v>2.0</v>
      </c>
      <c r="J71" s="19">
        <v>0.0</v>
      </c>
      <c r="K71" s="19">
        <v>1.0</v>
      </c>
      <c r="L71" s="19">
        <v>1.0</v>
      </c>
      <c r="M71" s="19">
        <v>2.0</v>
      </c>
      <c r="N71" s="19">
        <v>0.0</v>
      </c>
      <c r="O71" s="19">
        <v>0.0</v>
      </c>
      <c r="P71" s="19">
        <v>1.0</v>
      </c>
      <c r="Q71" s="19">
        <v>0.0</v>
      </c>
      <c r="R71" s="19">
        <v>0.0</v>
      </c>
      <c r="S71" s="19">
        <v>1.0</v>
      </c>
      <c r="T71" s="19">
        <v>0.0</v>
      </c>
      <c r="U71" s="19">
        <v>3.0</v>
      </c>
      <c r="V71" s="19">
        <v>0.0</v>
      </c>
      <c r="W71" s="19">
        <v>1.0</v>
      </c>
      <c r="X71" s="19">
        <v>0.0</v>
      </c>
      <c r="Y71" s="19">
        <v>0.0</v>
      </c>
      <c r="Z71" s="19">
        <v>0.0</v>
      </c>
      <c r="AA71" s="19">
        <v>0.0</v>
      </c>
      <c r="AB71" s="19">
        <v>0.0</v>
      </c>
      <c r="AC71" s="19">
        <v>0.0</v>
      </c>
      <c r="AD71" s="19">
        <v>0.0</v>
      </c>
      <c r="AE71" s="19">
        <v>0.0</v>
      </c>
      <c r="AF71" s="19">
        <v>1.0</v>
      </c>
      <c r="AG71" s="19">
        <v>0.0</v>
      </c>
      <c r="AH71" s="19">
        <v>0.0</v>
      </c>
      <c r="AI71" s="19">
        <v>0.0</v>
      </c>
      <c r="AJ71" s="19">
        <v>1.0</v>
      </c>
      <c r="AK71" s="19">
        <v>0.0</v>
      </c>
      <c r="AL71" s="19">
        <v>0.0</v>
      </c>
      <c r="AM71" s="19">
        <v>0.0</v>
      </c>
      <c r="AN71" s="19">
        <v>1.0</v>
      </c>
      <c r="AO71" s="19">
        <v>1.0</v>
      </c>
      <c r="AP71" s="19">
        <v>2.0</v>
      </c>
      <c r="AQ71" s="19">
        <v>0.0</v>
      </c>
      <c r="AR71" s="19">
        <v>1.0</v>
      </c>
      <c r="AS71" s="19">
        <v>0.0</v>
      </c>
      <c r="AT71" s="19">
        <v>1.0</v>
      </c>
      <c r="AU71" s="19">
        <v>1.0</v>
      </c>
      <c r="AV71" s="19">
        <v>2.0</v>
      </c>
      <c r="AW71" s="19">
        <v>0.0</v>
      </c>
      <c r="AX71" s="19">
        <v>2.0</v>
      </c>
      <c r="AY71" s="19">
        <v>0.0</v>
      </c>
      <c r="AZ71" s="19">
        <v>2.0</v>
      </c>
      <c r="BA71" s="19">
        <v>0.0</v>
      </c>
      <c r="BB71" s="19">
        <v>0.0</v>
      </c>
      <c r="BC71" s="19">
        <v>0.0</v>
      </c>
      <c r="BD71" s="19">
        <v>2.0</v>
      </c>
      <c r="BE71" s="13">
        <f t="shared" si="18"/>
        <v>35</v>
      </c>
    </row>
    <row r="72" ht="12.75" customHeight="1">
      <c r="A72" s="18"/>
      <c r="B72" s="55">
        <v>7.0</v>
      </c>
      <c r="C72" s="50" t="s">
        <v>63</v>
      </c>
      <c r="D72" s="57"/>
      <c r="E72" s="19">
        <v>12.0</v>
      </c>
      <c r="F72" s="19">
        <v>21.0</v>
      </c>
      <c r="G72" s="19">
        <v>5.0</v>
      </c>
      <c r="H72" s="19">
        <v>12.0</v>
      </c>
      <c r="I72" s="19">
        <v>21.0</v>
      </c>
      <c r="J72" s="19">
        <v>48.0</v>
      </c>
      <c r="K72" s="19">
        <v>4.0</v>
      </c>
      <c r="L72" s="19">
        <v>7.0</v>
      </c>
      <c r="M72" s="19">
        <v>9.0</v>
      </c>
      <c r="N72" s="19">
        <v>9.0</v>
      </c>
      <c r="O72" s="19">
        <v>7.0</v>
      </c>
      <c r="P72" s="19">
        <v>4.0</v>
      </c>
      <c r="Q72" s="19">
        <v>12.0</v>
      </c>
      <c r="R72" s="19">
        <v>55.0</v>
      </c>
      <c r="S72" s="19">
        <v>7.0</v>
      </c>
      <c r="T72" s="19">
        <v>77.0</v>
      </c>
      <c r="U72" s="19">
        <v>10.0</v>
      </c>
      <c r="V72" s="19">
        <v>53.0</v>
      </c>
      <c r="W72" s="19">
        <v>10.0</v>
      </c>
      <c r="X72" s="19">
        <v>9.0</v>
      </c>
      <c r="Y72" s="19">
        <v>15.0</v>
      </c>
      <c r="Z72" s="19">
        <v>6.0</v>
      </c>
      <c r="AA72" s="19">
        <v>0.0</v>
      </c>
      <c r="AB72" s="19">
        <v>14.0</v>
      </c>
      <c r="AC72" s="19">
        <v>67.0</v>
      </c>
      <c r="AD72" s="19">
        <v>76.0</v>
      </c>
      <c r="AE72" s="19">
        <v>3.0</v>
      </c>
      <c r="AF72" s="19">
        <v>6.0</v>
      </c>
      <c r="AG72" s="19">
        <v>6.0</v>
      </c>
      <c r="AH72" s="19">
        <v>10.0</v>
      </c>
      <c r="AI72" s="19">
        <v>18.0</v>
      </c>
      <c r="AJ72" s="19">
        <v>21.0</v>
      </c>
      <c r="AK72" s="19">
        <v>59.0</v>
      </c>
      <c r="AL72" s="19">
        <v>26.0</v>
      </c>
      <c r="AM72" s="19">
        <v>15.0</v>
      </c>
      <c r="AN72" s="19">
        <v>14.0</v>
      </c>
      <c r="AO72" s="19">
        <v>16.0</v>
      </c>
      <c r="AP72" s="19">
        <v>19.0</v>
      </c>
      <c r="AQ72" s="19">
        <v>4.0</v>
      </c>
      <c r="AR72" s="19">
        <v>2.0</v>
      </c>
      <c r="AS72" s="19">
        <v>4.0</v>
      </c>
      <c r="AT72" s="19">
        <v>3.0</v>
      </c>
      <c r="AU72" s="19">
        <v>1.0</v>
      </c>
      <c r="AV72" s="19">
        <v>5.0</v>
      </c>
      <c r="AW72" s="19">
        <v>8.0</v>
      </c>
      <c r="AX72" s="19">
        <v>6.0</v>
      </c>
      <c r="AY72" s="19">
        <v>4.0</v>
      </c>
      <c r="AZ72" s="19">
        <v>8.0</v>
      </c>
      <c r="BA72" s="19">
        <v>4.0</v>
      </c>
      <c r="BB72" s="19">
        <v>6.0</v>
      </c>
      <c r="BC72" s="19">
        <v>8.0</v>
      </c>
      <c r="BD72" s="19">
        <v>38.0</v>
      </c>
      <c r="BE72" s="13">
        <f t="shared" si="18"/>
        <v>884</v>
      </c>
    </row>
    <row r="73" ht="12.75" customHeight="1">
      <c r="A73" s="19" t="s">
        <v>15</v>
      </c>
      <c r="B73" s="47" t="s">
        <v>47</v>
      </c>
      <c r="C73" s="15"/>
      <c r="D73" s="16"/>
      <c r="E73" s="13">
        <f t="shared" ref="E73:BE73" si="19">SUM(E65:E72)</f>
        <v>95</v>
      </c>
      <c r="F73" s="13">
        <f t="shared" si="19"/>
        <v>106</v>
      </c>
      <c r="G73" s="13">
        <f t="shared" si="19"/>
        <v>48</v>
      </c>
      <c r="H73" s="13">
        <f t="shared" si="19"/>
        <v>59</v>
      </c>
      <c r="I73" s="13">
        <f t="shared" si="19"/>
        <v>80</v>
      </c>
      <c r="J73" s="13">
        <f t="shared" si="19"/>
        <v>112</v>
      </c>
      <c r="K73" s="13">
        <f t="shared" si="19"/>
        <v>83</v>
      </c>
      <c r="L73" s="13">
        <f t="shared" si="19"/>
        <v>58</v>
      </c>
      <c r="M73" s="13">
        <f t="shared" si="19"/>
        <v>80</v>
      </c>
      <c r="N73" s="13">
        <f t="shared" si="19"/>
        <v>74</v>
      </c>
      <c r="O73" s="13">
        <f t="shared" si="19"/>
        <v>61</v>
      </c>
      <c r="P73" s="13">
        <f t="shared" si="19"/>
        <v>53</v>
      </c>
      <c r="Q73" s="13">
        <f t="shared" si="19"/>
        <v>91</v>
      </c>
      <c r="R73" s="13">
        <f t="shared" si="19"/>
        <v>90</v>
      </c>
      <c r="S73" s="13">
        <f t="shared" si="19"/>
        <v>57</v>
      </c>
      <c r="T73" s="13">
        <f t="shared" si="19"/>
        <v>135</v>
      </c>
      <c r="U73" s="13">
        <f t="shared" si="19"/>
        <v>66</v>
      </c>
      <c r="V73" s="13">
        <f t="shared" si="19"/>
        <v>101</v>
      </c>
      <c r="W73" s="13">
        <f t="shared" si="19"/>
        <v>42</v>
      </c>
      <c r="X73" s="13">
        <f t="shared" si="19"/>
        <v>27</v>
      </c>
      <c r="Y73" s="13">
        <f t="shared" si="19"/>
        <v>57</v>
      </c>
      <c r="Z73" s="13">
        <f t="shared" si="19"/>
        <v>48</v>
      </c>
      <c r="AA73" s="13">
        <f t="shared" si="19"/>
        <v>140</v>
      </c>
      <c r="AB73" s="13">
        <f t="shared" si="19"/>
        <v>111</v>
      </c>
      <c r="AC73" s="13">
        <f t="shared" si="19"/>
        <v>138</v>
      </c>
      <c r="AD73" s="13">
        <f t="shared" si="19"/>
        <v>131</v>
      </c>
      <c r="AE73" s="13">
        <f t="shared" si="19"/>
        <v>74</v>
      </c>
      <c r="AF73" s="13">
        <f t="shared" si="19"/>
        <v>63</v>
      </c>
      <c r="AG73" s="13">
        <f t="shared" si="19"/>
        <v>41</v>
      </c>
      <c r="AH73" s="13">
        <f t="shared" si="19"/>
        <v>35</v>
      </c>
      <c r="AI73" s="13">
        <f t="shared" si="19"/>
        <v>36</v>
      </c>
      <c r="AJ73" s="13">
        <f t="shared" si="19"/>
        <v>89</v>
      </c>
      <c r="AK73" s="13">
        <f t="shared" si="19"/>
        <v>94</v>
      </c>
      <c r="AL73" s="13">
        <f t="shared" si="19"/>
        <v>72</v>
      </c>
      <c r="AM73" s="13">
        <f t="shared" si="19"/>
        <v>41</v>
      </c>
      <c r="AN73" s="13">
        <f t="shared" si="19"/>
        <v>55</v>
      </c>
      <c r="AO73" s="13">
        <f t="shared" si="19"/>
        <v>35</v>
      </c>
      <c r="AP73" s="13">
        <f t="shared" si="19"/>
        <v>59</v>
      </c>
      <c r="AQ73" s="13">
        <f t="shared" si="19"/>
        <v>67</v>
      </c>
      <c r="AR73" s="13">
        <f t="shared" si="19"/>
        <v>40</v>
      </c>
      <c r="AS73" s="13">
        <f t="shared" si="19"/>
        <v>54</v>
      </c>
      <c r="AT73" s="13">
        <f t="shared" si="19"/>
        <v>35</v>
      </c>
      <c r="AU73" s="13">
        <f t="shared" si="19"/>
        <v>17</v>
      </c>
      <c r="AV73" s="13">
        <f t="shared" si="19"/>
        <v>28</v>
      </c>
      <c r="AW73" s="13">
        <f t="shared" si="19"/>
        <v>24</v>
      </c>
      <c r="AX73" s="13">
        <f t="shared" si="19"/>
        <v>31</v>
      </c>
      <c r="AY73" s="13">
        <f t="shared" si="19"/>
        <v>22</v>
      </c>
      <c r="AZ73" s="13">
        <f t="shared" si="19"/>
        <v>24</v>
      </c>
      <c r="BA73" s="13">
        <f t="shared" si="19"/>
        <v>18</v>
      </c>
      <c r="BB73" s="13">
        <f t="shared" si="19"/>
        <v>29</v>
      </c>
      <c r="BC73" s="13">
        <f t="shared" si="19"/>
        <v>30</v>
      </c>
      <c r="BD73" s="13">
        <f t="shared" si="19"/>
        <v>87</v>
      </c>
      <c r="BE73" s="13">
        <f t="shared" si="19"/>
        <v>3343</v>
      </c>
    </row>
    <row r="74" ht="12.75" customHeight="1">
      <c r="A74" s="45"/>
      <c r="B74" s="44"/>
      <c r="C74" s="44"/>
      <c r="D74" s="44"/>
      <c r="E74" s="44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4.0</v>
      </c>
      <c r="F75" s="19">
        <v>3.0</v>
      </c>
      <c r="G75" s="19">
        <v>7.0</v>
      </c>
      <c r="H75" s="19">
        <v>7.0</v>
      </c>
      <c r="I75" s="19">
        <v>6.0</v>
      </c>
      <c r="J75" s="19">
        <v>1.0</v>
      </c>
      <c r="K75" s="19">
        <v>2.0</v>
      </c>
      <c r="L75" s="19">
        <v>3.0</v>
      </c>
      <c r="M75" s="19">
        <v>6.0</v>
      </c>
      <c r="N75" s="19">
        <v>2.0</v>
      </c>
      <c r="O75" s="19">
        <v>10.0</v>
      </c>
      <c r="P75" s="19">
        <v>3.0</v>
      </c>
      <c r="Q75" s="19">
        <v>6.0</v>
      </c>
      <c r="R75" s="19">
        <v>3.0</v>
      </c>
      <c r="S75" s="19">
        <v>3.0</v>
      </c>
      <c r="T75" s="19">
        <v>0.0</v>
      </c>
      <c r="U75" s="19">
        <v>7.0</v>
      </c>
      <c r="V75" s="19">
        <v>5.0</v>
      </c>
      <c r="W75" s="19">
        <v>3.0</v>
      </c>
      <c r="X75" s="19">
        <v>2.0</v>
      </c>
      <c r="Y75" s="19">
        <v>7.0</v>
      </c>
      <c r="Z75" s="19">
        <v>9.0</v>
      </c>
      <c r="AA75" s="19">
        <v>5.0</v>
      </c>
      <c r="AB75" s="19">
        <v>9.0</v>
      </c>
      <c r="AC75" s="19">
        <v>2.0</v>
      </c>
      <c r="AD75" s="19">
        <v>4.0</v>
      </c>
      <c r="AE75" s="19">
        <v>9.0</v>
      </c>
      <c r="AF75" s="19">
        <v>13.0</v>
      </c>
      <c r="AG75" s="19">
        <v>2.0</v>
      </c>
      <c r="AH75" s="19">
        <v>5.0</v>
      </c>
      <c r="AI75" s="19">
        <v>0.0</v>
      </c>
      <c r="AJ75" s="19">
        <v>3.0</v>
      </c>
      <c r="AK75" s="19">
        <v>6.0</v>
      </c>
      <c r="AL75" s="19">
        <v>7.0</v>
      </c>
      <c r="AM75" s="19">
        <v>4.0</v>
      </c>
      <c r="AN75" s="19">
        <v>3.0</v>
      </c>
      <c r="AO75" s="19">
        <v>7.0</v>
      </c>
      <c r="AP75" s="19">
        <v>4.0</v>
      </c>
      <c r="AQ75" s="19">
        <v>4.0</v>
      </c>
      <c r="AR75" s="19">
        <v>1.0</v>
      </c>
      <c r="AS75" s="19">
        <v>0.0</v>
      </c>
      <c r="AT75" s="19">
        <v>2.0</v>
      </c>
      <c r="AU75" s="19">
        <v>4.0</v>
      </c>
      <c r="AV75" s="19">
        <v>3.0</v>
      </c>
      <c r="AW75" s="19">
        <v>0.0</v>
      </c>
      <c r="AX75" s="19">
        <v>1.0</v>
      </c>
      <c r="AY75" s="19">
        <v>2.0</v>
      </c>
      <c r="AZ75" s="19">
        <v>4.0</v>
      </c>
      <c r="BA75" s="19">
        <v>1.0</v>
      </c>
      <c r="BB75" s="19">
        <v>7.0</v>
      </c>
      <c r="BC75" s="19">
        <v>15.0</v>
      </c>
      <c r="BD75" s="19">
        <v>4.0</v>
      </c>
      <c r="BE75" s="13">
        <f t="shared" ref="BE75:BE82" si="20">SUM(E75:BD75)</f>
        <v>230</v>
      </c>
    </row>
    <row r="76" ht="12.75" customHeight="1">
      <c r="A76" s="30" t="s">
        <v>39</v>
      </c>
      <c r="B76" s="55">
        <v>1.0</v>
      </c>
      <c r="C76" s="50" t="s">
        <v>65</v>
      </c>
      <c r="D76" s="57"/>
      <c r="E76" s="19">
        <v>1.0</v>
      </c>
      <c r="F76" s="19">
        <v>0.0</v>
      </c>
      <c r="G76" s="19">
        <v>4.0</v>
      </c>
      <c r="H76" s="19">
        <v>10.0</v>
      </c>
      <c r="I76" s="19">
        <v>2.0</v>
      </c>
      <c r="J76" s="19">
        <v>0.0</v>
      </c>
      <c r="K76" s="19">
        <v>4.0</v>
      </c>
      <c r="L76" s="19">
        <v>0.0</v>
      </c>
      <c r="M76" s="19">
        <v>3.0</v>
      </c>
      <c r="N76" s="19">
        <v>3.0</v>
      </c>
      <c r="O76" s="19">
        <v>4.0</v>
      </c>
      <c r="P76" s="19">
        <v>33.0</v>
      </c>
      <c r="Q76" s="19">
        <v>9.0</v>
      </c>
      <c r="R76" s="19">
        <v>3.0</v>
      </c>
      <c r="S76" s="19">
        <v>2.0</v>
      </c>
      <c r="T76" s="19">
        <v>2.0</v>
      </c>
      <c r="U76" s="19">
        <v>2.0</v>
      </c>
      <c r="V76" s="19">
        <v>2.0</v>
      </c>
      <c r="W76" s="19">
        <v>2.0</v>
      </c>
      <c r="X76" s="19">
        <v>2.0</v>
      </c>
      <c r="Y76" s="19">
        <v>4.0</v>
      </c>
      <c r="Z76" s="19">
        <v>11.0</v>
      </c>
      <c r="AA76" s="19">
        <v>7.0</v>
      </c>
      <c r="AB76" s="19">
        <v>10.0</v>
      </c>
      <c r="AC76" s="19">
        <v>3.0</v>
      </c>
      <c r="AD76" s="19">
        <v>15.0</v>
      </c>
      <c r="AE76" s="19">
        <v>2.0</v>
      </c>
      <c r="AF76" s="19">
        <v>3.0</v>
      </c>
      <c r="AG76" s="19">
        <v>7.0</v>
      </c>
      <c r="AH76" s="19">
        <v>13.0</v>
      </c>
      <c r="AI76" s="19">
        <v>3.0</v>
      </c>
      <c r="AJ76" s="19">
        <v>1.0</v>
      </c>
      <c r="AK76" s="19">
        <v>3.0</v>
      </c>
      <c r="AL76" s="19">
        <v>3.0</v>
      </c>
      <c r="AM76" s="19">
        <v>0.0</v>
      </c>
      <c r="AN76" s="19">
        <v>5.0</v>
      </c>
      <c r="AO76" s="19">
        <v>5.0</v>
      </c>
      <c r="AP76" s="19">
        <v>10.0</v>
      </c>
      <c r="AQ76" s="19">
        <v>4.0</v>
      </c>
      <c r="AR76" s="19">
        <v>2.0</v>
      </c>
      <c r="AS76" s="19">
        <v>2.0</v>
      </c>
      <c r="AT76" s="19">
        <v>3.0</v>
      </c>
      <c r="AU76" s="19">
        <v>4.0</v>
      </c>
      <c r="AV76" s="19">
        <v>0.0</v>
      </c>
      <c r="AW76" s="19">
        <v>0.0</v>
      </c>
      <c r="AX76" s="19">
        <v>2.0</v>
      </c>
      <c r="AY76" s="19">
        <v>3.0</v>
      </c>
      <c r="AZ76" s="19">
        <v>5.0</v>
      </c>
      <c r="BA76" s="19">
        <v>3.0</v>
      </c>
      <c r="BB76" s="19">
        <v>25.0</v>
      </c>
      <c r="BC76" s="19">
        <v>64.0</v>
      </c>
      <c r="BD76" s="19">
        <v>2.0</v>
      </c>
      <c r="BE76" s="13">
        <f t="shared" si="20"/>
        <v>312</v>
      </c>
    </row>
    <row r="77" ht="12.75" customHeight="1">
      <c r="A77" s="18"/>
      <c r="B77" s="55">
        <v>2.0</v>
      </c>
      <c r="C77" s="50" t="s">
        <v>66</v>
      </c>
      <c r="D77" s="57"/>
      <c r="E77" s="19">
        <v>3.0</v>
      </c>
      <c r="F77" s="19">
        <v>0.0</v>
      </c>
      <c r="G77" s="19">
        <v>5.0</v>
      </c>
      <c r="H77" s="19">
        <v>8.0</v>
      </c>
      <c r="I77" s="19">
        <v>3.0</v>
      </c>
      <c r="J77" s="19">
        <v>1.0</v>
      </c>
      <c r="K77" s="19">
        <v>0.0</v>
      </c>
      <c r="L77" s="19">
        <v>0.0</v>
      </c>
      <c r="M77" s="19">
        <v>1.0</v>
      </c>
      <c r="N77" s="19">
        <v>4.0</v>
      </c>
      <c r="O77" s="19">
        <v>3.0</v>
      </c>
      <c r="P77" s="19">
        <v>2.0</v>
      </c>
      <c r="Q77" s="19">
        <v>7.0</v>
      </c>
      <c r="R77" s="19">
        <v>1.0</v>
      </c>
      <c r="S77" s="19">
        <v>8.0</v>
      </c>
      <c r="T77" s="19">
        <v>0.0</v>
      </c>
      <c r="U77" s="19">
        <v>2.0</v>
      </c>
      <c r="V77" s="19">
        <v>0.0</v>
      </c>
      <c r="W77" s="19">
        <v>4.0</v>
      </c>
      <c r="X77" s="19">
        <v>5.0</v>
      </c>
      <c r="Y77" s="19">
        <v>7.0</v>
      </c>
      <c r="Z77" s="19">
        <v>1.0</v>
      </c>
      <c r="AA77" s="19">
        <v>9.0</v>
      </c>
      <c r="AB77" s="19">
        <v>6.0</v>
      </c>
      <c r="AC77" s="19">
        <v>2.0</v>
      </c>
      <c r="AD77" s="19">
        <v>1.0</v>
      </c>
      <c r="AE77" s="19">
        <v>7.0</v>
      </c>
      <c r="AF77" s="19">
        <v>7.0</v>
      </c>
      <c r="AG77" s="19">
        <v>0.0</v>
      </c>
      <c r="AH77" s="19">
        <v>0.0</v>
      </c>
      <c r="AI77" s="19">
        <v>1.0</v>
      </c>
      <c r="AJ77" s="19">
        <v>1.0</v>
      </c>
      <c r="AK77" s="19">
        <v>0.0</v>
      </c>
      <c r="AL77" s="19">
        <v>9.0</v>
      </c>
      <c r="AM77" s="19">
        <v>2.0</v>
      </c>
      <c r="AN77" s="19">
        <v>7.0</v>
      </c>
      <c r="AO77" s="19">
        <v>9.0</v>
      </c>
      <c r="AP77" s="19">
        <v>2.0</v>
      </c>
      <c r="AQ77" s="19">
        <v>1.0</v>
      </c>
      <c r="AR77" s="19">
        <v>1.0</v>
      </c>
      <c r="AS77" s="19">
        <v>2.0</v>
      </c>
      <c r="AT77" s="19">
        <v>4.0</v>
      </c>
      <c r="AU77" s="19">
        <v>6.0</v>
      </c>
      <c r="AV77" s="19">
        <v>2.0</v>
      </c>
      <c r="AW77" s="19">
        <v>1.0</v>
      </c>
      <c r="AX77" s="19">
        <v>5.0</v>
      </c>
      <c r="AY77" s="19">
        <v>2.0</v>
      </c>
      <c r="AZ77" s="19">
        <v>2.0</v>
      </c>
      <c r="BA77" s="19">
        <v>0.0</v>
      </c>
      <c r="BB77" s="19">
        <v>6.0</v>
      </c>
      <c r="BC77" s="19">
        <v>5.0</v>
      </c>
      <c r="BD77" s="19">
        <v>1.0</v>
      </c>
      <c r="BE77" s="13">
        <f t="shared" si="20"/>
        <v>166</v>
      </c>
    </row>
    <row r="78" ht="12.75" customHeight="1">
      <c r="A78" s="18"/>
      <c r="B78" s="55">
        <v>3.0</v>
      </c>
      <c r="C78" s="50" t="s">
        <v>67</v>
      </c>
      <c r="D78" s="57"/>
      <c r="E78" s="19">
        <v>0.0</v>
      </c>
      <c r="F78" s="19">
        <v>0.0</v>
      </c>
      <c r="G78" s="19">
        <v>5.0</v>
      </c>
      <c r="H78" s="19">
        <v>3.0</v>
      </c>
      <c r="I78" s="19">
        <v>0.0</v>
      </c>
      <c r="J78" s="19">
        <v>0.0</v>
      </c>
      <c r="K78" s="19">
        <v>0.0</v>
      </c>
      <c r="L78" s="19">
        <v>1.0</v>
      </c>
      <c r="M78" s="19">
        <v>0.0</v>
      </c>
      <c r="N78" s="19">
        <v>0.0</v>
      </c>
      <c r="O78" s="19">
        <v>2.0</v>
      </c>
      <c r="P78" s="19">
        <v>1.0</v>
      </c>
      <c r="Q78" s="19">
        <v>4.0</v>
      </c>
      <c r="R78" s="19">
        <v>1.0</v>
      </c>
      <c r="S78" s="19">
        <v>0.0</v>
      </c>
      <c r="T78" s="19">
        <v>1.0</v>
      </c>
      <c r="U78" s="19">
        <v>0.0</v>
      </c>
      <c r="V78" s="19">
        <v>1.0</v>
      </c>
      <c r="W78" s="19">
        <v>1.0</v>
      </c>
      <c r="X78" s="19">
        <v>0.0</v>
      </c>
      <c r="Y78" s="19">
        <v>1.0</v>
      </c>
      <c r="Z78" s="19">
        <v>0.0</v>
      </c>
      <c r="AA78" s="19">
        <v>1.0</v>
      </c>
      <c r="AB78" s="19">
        <v>7.0</v>
      </c>
      <c r="AC78" s="19">
        <v>0.0</v>
      </c>
      <c r="AD78" s="19">
        <v>1.0</v>
      </c>
      <c r="AE78" s="19">
        <v>2.0</v>
      </c>
      <c r="AF78" s="19">
        <v>2.0</v>
      </c>
      <c r="AG78" s="19">
        <v>0.0</v>
      </c>
      <c r="AH78" s="19">
        <v>3.0</v>
      </c>
      <c r="AI78" s="19">
        <v>1.0</v>
      </c>
      <c r="AJ78" s="19">
        <v>2.0</v>
      </c>
      <c r="AK78" s="19">
        <v>2.0</v>
      </c>
      <c r="AL78" s="19">
        <v>2.0</v>
      </c>
      <c r="AM78" s="19">
        <v>4.0</v>
      </c>
      <c r="AN78" s="19">
        <v>2.0</v>
      </c>
      <c r="AO78" s="19">
        <v>1.0</v>
      </c>
      <c r="AP78" s="19">
        <v>3.0</v>
      </c>
      <c r="AQ78" s="19">
        <v>2.0</v>
      </c>
      <c r="AR78" s="19">
        <v>1.0</v>
      </c>
      <c r="AS78" s="19">
        <v>1.0</v>
      </c>
      <c r="AT78" s="19">
        <v>3.0</v>
      </c>
      <c r="AU78" s="19">
        <v>1.0</v>
      </c>
      <c r="AV78" s="19">
        <v>0.0</v>
      </c>
      <c r="AW78" s="19">
        <v>2.0</v>
      </c>
      <c r="AX78" s="19">
        <v>1.0</v>
      </c>
      <c r="AY78" s="19">
        <v>0.0</v>
      </c>
      <c r="AZ78" s="19">
        <v>0.0</v>
      </c>
      <c r="BA78" s="19">
        <v>0.0</v>
      </c>
      <c r="BB78" s="19">
        <v>0.0</v>
      </c>
      <c r="BC78" s="19">
        <v>1.0</v>
      </c>
      <c r="BD78" s="19">
        <v>0.0</v>
      </c>
      <c r="BE78" s="13">
        <f t="shared" si="20"/>
        <v>66</v>
      </c>
    </row>
    <row r="79" ht="12.75" customHeight="1">
      <c r="A79" s="18"/>
      <c r="B79" s="55">
        <v>4.0</v>
      </c>
      <c r="C79" s="50" t="s">
        <v>68</v>
      </c>
      <c r="D79" s="57"/>
      <c r="E79" s="19">
        <v>0.0</v>
      </c>
      <c r="F79" s="19">
        <v>2.0</v>
      </c>
      <c r="G79" s="19">
        <v>0.0</v>
      </c>
      <c r="H79" s="19">
        <v>1.0</v>
      </c>
      <c r="I79" s="19">
        <v>0.0</v>
      </c>
      <c r="J79" s="19">
        <v>1.0</v>
      </c>
      <c r="K79" s="19">
        <v>0.0</v>
      </c>
      <c r="L79" s="19">
        <v>0.0</v>
      </c>
      <c r="M79" s="19">
        <v>0.0</v>
      </c>
      <c r="N79" s="19">
        <v>1.0</v>
      </c>
      <c r="O79" s="19">
        <v>1.0</v>
      </c>
      <c r="P79" s="19">
        <v>2.0</v>
      </c>
      <c r="Q79" s="19">
        <v>2.0</v>
      </c>
      <c r="R79" s="19">
        <v>1.0</v>
      </c>
      <c r="S79" s="19">
        <v>1.0</v>
      </c>
      <c r="T79" s="19">
        <v>0.0</v>
      </c>
      <c r="U79" s="19">
        <v>0.0</v>
      </c>
      <c r="V79" s="19">
        <v>0.0</v>
      </c>
      <c r="W79" s="19">
        <v>0.0</v>
      </c>
      <c r="X79" s="19">
        <v>0.0</v>
      </c>
      <c r="Y79" s="19">
        <v>1.0</v>
      </c>
      <c r="Z79" s="19">
        <v>0.0</v>
      </c>
      <c r="AA79" s="19">
        <v>3.0</v>
      </c>
      <c r="AB79" s="19">
        <v>2.0</v>
      </c>
      <c r="AC79" s="19">
        <v>1.0</v>
      </c>
      <c r="AD79" s="19">
        <v>0.0</v>
      </c>
      <c r="AE79" s="19">
        <v>0.0</v>
      </c>
      <c r="AF79" s="19">
        <v>0.0</v>
      </c>
      <c r="AG79" s="19">
        <v>0.0</v>
      </c>
      <c r="AH79" s="19">
        <v>1.0</v>
      </c>
      <c r="AI79" s="19">
        <v>0.0</v>
      </c>
      <c r="AJ79" s="19">
        <v>0.0</v>
      </c>
      <c r="AK79" s="19">
        <v>0.0</v>
      </c>
      <c r="AL79" s="19">
        <v>1.0</v>
      </c>
      <c r="AM79" s="19">
        <v>3.0</v>
      </c>
      <c r="AN79" s="19">
        <v>5.0</v>
      </c>
      <c r="AO79" s="19">
        <v>1.0</v>
      </c>
      <c r="AP79" s="19">
        <v>0.0</v>
      </c>
      <c r="AQ79" s="19">
        <v>1.0</v>
      </c>
      <c r="AR79" s="19">
        <v>1.0</v>
      </c>
      <c r="AS79" s="19">
        <v>0.0</v>
      </c>
      <c r="AT79" s="19">
        <v>0.0</v>
      </c>
      <c r="AU79" s="19">
        <v>0.0</v>
      </c>
      <c r="AV79" s="19">
        <v>0.0</v>
      </c>
      <c r="AW79" s="19">
        <v>0.0</v>
      </c>
      <c r="AX79" s="19">
        <v>4.0</v>
      </c>
      <c r="AY79" s="19">
        <v>0.0</v>
      </c>
      <c r="AZ79" s="19">
        <v>1.0</v>
      </c>
      <c r="BA79" s="19">
        <v>5.0</v>
      </c>
      <c r="BB79" s="19">
        <v>0.0</v>
      </c>
      <c r="BC79" s="19">
        <v>4.0</v>
      </c>
      <c r="BD79" s="19">
        <v>0.0</v>
      </c>
      <c r="BE79" s="13">
        <f t="shared" si="20"/>
        <v>46</v>
      </c>
    </row>
    <row r="80" ht="12.75" customHeight="1">
      <c r="A80" s="18"/>
      <c r="B80" s="55">
        <v>5.0</v>
      </c>
      <c r="C80" s="50" t="s">
        <v>69</v>
      </c>
      <c r="D80" s="57"/>
      <c r="E80" s="19">
        <v>0.0</v>
      </c>
      <c r="F80" s="19">
        <v>0.0</v>
      </c>
      <c r="G80" s="19">
        <v>2.0</v>
      </c>
      <c r="H80" s="19">
        <v>1.0</v>
      </c>
      <c r="I80" s="19">
        <v>1.0</v>
      </c>
      <c r="J80" s="19">
        <v>0.0</v>
      </c>
      <c r="K80" s="19">
        <v>0.0</v>
      </c>
      <c r="L80" s="19">
        <v>1.0</v>
      </c>
      <c r="M80" s="19">
        <v>0.0</v>
      </c>
      <c r="N80" s="19">
        <v>0.0</v>
      </c>
      <c r="O80" s="19">
        <v>0.0</v>
      </c>
      <c r="P80" s="19">
        <v>0.0</v>
      </c>
      <c r="Q80" s="19">
        <v>0.0</v>
      </c>
      <c r="R80" s="19">
        <v>2.0</v>
      </c>
      <c r="S80" s="19">
        <v>0.0</v>
      </c>
      <c r="T80" s="19">
        <v>0.0</v>
      </c>
      <c r="U80" s="19">
        <v>0.0</v>
      </c>
      <c r="V80" s="19">
        <v>0.0</v>
      </c>
      <c r="W80" s="19">
        <v>5.0</v>
      </c>
      <c r="X80" s="19">
        <v>0.0</v>
      </c>
      <c r="Y80" s="19">
        <v>0.0</v>
      </c>
      <c r="Z80" s="19">
        <v>0.0</v>
      </c>
      <c r="AA80" s="19">
        <v>1.0</v>
      </c>
      <c r="AB80" s="19">
        <v>0.0</v>
      </c>
      <c r="AC80" s="19">
        <v>0.0</v>
      </c>
      <c r="AD80" s="19">
        <v>0.0</v>
      </c>
      <c r="AE80" s="19">
        <v>0.0</v>
      </c>
      <c r="AF80" s="19">
        <v>4.0</v>
      </c>
      <c r="AG80" s="19">
        <v>0.0</v>
      </c>
      <c r="AH80" s="19">
        <v>0.0</v>
      </c>
      <c r="AI80" s="19">
        <v>1.0</v>
      </c>
      <c r="AJ80" s="19">
        <v>0.0</v>
      </c>
      <c r="AK80" s="19">
        <v>0.0</v>
      </c>
      <c r="AL80" s="19">
        <v>2.0</v>
      </c>
      <c r="AM80" s="19">
        <v>1.0</v>
      </c>
      <c r="AN80" s="19">
        <v>1.0</v>
      </c>
      <c r="AO80" s="19">
        <v>0.0</v>
      </c>
      <c r="AP80" s="19">
        <v>2.0</v>
      </c>
      <c r="AQ80" s="19">
        <v>0.0</v>
      </c>
      <c r="AR80" s="19">
        <v>0.0</v>
      </c>
      <c r="AS80" s="19">
        <v>0.0</v>
      </c>
      <c r="AT80" s="19">
        <v>0.0</v>
      </c>
      <c r="AU80" s="19">
        <v>1.0</v>
      </c>
      <c r="AV80" s="19">
        <v>1.0</v>
      </c>
      <c r="AW80" s="19">
        <v>0.0</v>
      </c>
      <c r="AX80" s="19">
        <v>0.0</v>
      </c>
      <c r="AY80" s="19">
        <v>0.0</v>
      </c>
      <c r="AZ80" s="19">
        <v>1.0</v>
      </c>
      <c r="BA80" s="19">
        <v>1.0</v>
      </c>
      <c r="BB80" s="19">
        <v>5.0</v>
      </c>
      <c r="BC80" s="19">
        <v>1.0</v>
      </c>
      <c r="BD80" s="19">
        <v>1.0</v>
      </c>
      <c r="BE80" s="13">
        <f t="shared" si="20"/>
        <v>35</v>
      </c>
    </row>
    <row r="81" ht="12.75" customHeight="1">
      <c r="A81" s="18"/>
      <c r="B81" s="55">
        <v>6.0</v>
      </c>
      <c r="C81" s="50" t="s">
        <v>70</v>
      </c>
      <c r="D81" s="57"/>
      <c r="E81" s="19">
        <v>0.0</v>
      </c>
      <c r="F81" s="19">
        <v>0.0</v>
      </c>
      <c r="G81" s="19">
        <v>0.0</v>
      </c>
      <c r="H81" s="19">
        <v>0.0</v>
      </c>
      <c r="I81" s="19">
        <v>0.0</v>
      </c>
      <c r="J81" s="19">
        <v>0.0</v>
      </c>
      <c r="K81" s="19">
        <v>0.0</v>
      </c>
      <c r="L81" s="19">
        <v>0.0</v>
      </c>
      <c r="M81" s="19">
        <v>0.0</v>
      </c>
      <c r="N81" s="19">
        <v>0.0</v>
      </c>
      <c r="O81" s="19">
        <v>1.0</v>
      </c>
      <c r="P81" s="19">
        <v>0.0</v>
      </c>
      <c r="Q81" s="19">
        <v>1.0</v>
      </c>
      <c r="R81" s="19">
        <v>1.0</v>
      </c>
      <c r="S81" s="19">
        <v>0.0</v>
      </c>
      <c r="T81" s="19">
        <v>0.0</v>
      </c>
      <c r="U81" s="19">
        <v>0.0</v>
      </c>
      <c r="V81" s="19">
        <v>0.0</v>
      </c>
      <c r="W81" s="19">
        <v>0.0</v>
      </c>
      <c r="X81" s="19">
        <v>0.0</v>
      </c>
      <c r="Y81" s="19">
        <v>0.0</v>
      </c>
      <c r="Z81" s="19">
        <v>0.0</v>
      </c>
      <c r="AA81" s="19">
        <v>0.0</v>
      </c>
      <c r="AB81" s="19">
        <v>0.0</v>
      </c>
      <c r="AC81" s="19">
        <v>0.0</v>
      </c>
      <c r="AD81" s="19">
        <v>0.0</v>
      </c>
      <c r="AE81" s="19">
        <v>0.0</v>
      </c>
      <c r="AF81" s="19">
        <v>0.0</v>
      </c>
      <c r="AG81" s="19">
        <v>0.0</v>
      </c>
      <c r="AH81" s="19">
        <v>0.0</v>
      </c>
      <c r="AI81" s="19">
        <v>1.0</v>
      </c>
      <c r="AJ81" s="19">
        <v>0.0</v>
      </c>
      <c r="AK81" s="19">
        <v>0.0</v>
      </c>
      <c r="AL81" s="19">
        <v>0.0</v>
      </c>
      <c r="AM81" s="19">
        <v>0.0</v>
      </c>
      <c r="AN81" s="19">
        <v>1.0</v>
      </c>
      <c r="AO81" s="19">
        <v>0.0</v>
      </c>
      <c r="AP81" s="19">
        <v>0.0</v>
      </c>
      <c r="AQ81" s="19">
        <v>0.0</v>
      </c>
      <c r="AR81" s="19">
        <v>0.0</v>
      </c>
      <c r="AS81" s="19">
        <v>0.0</v>
      </c>
      <c r="AT81" s="19">
        <v>0.0</v>
      </c>
      <c r="AU81" s="19">
        <v>0.0</v>
      </c>
      <c r="AV81" s="19">
        <v>0.0</v>
      </c>
      <c r="AW81" s="19">
        <v>0.0</v>
      </c>
      <c r="AX81" s="19">
        <v>0.0</v>
      </c>
      <c r="AY81" s="19">
        <v>2.0</v>
      </c>
      <c r="AZ81" s="19">
        <v>0.0</v>
      </c>
      <c r="BA81" s="19">
        <v>0.0</v>
      </c>
      <c r="BB81" s="19">
        <v>0.0</v>
      </c>
      <c r="BC81" s="19">
        <v>0.0</v>
      </c>
      <c r="BD81" s="19">
        <v>0.0</v>
      </c>
      <c r="BE81" s="13">
        <f t="shared" si="20"/>
        <v>7</v>
      </c>
    </row>
    <row r="82" ht="12.75" customHeight="1">
      <c r="A82" s="18"/>
      <c r="B82" s="55">
        <v>7.0</v>
      </c>
      <c r="C82" s="50" t="s">
        <v>71</v>
      </c>
      <c r="D82" s="57"/>
      <c r="E82" s="19">
        <v>0.0</v>
      </c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19">
        <v>0.0</v>
      </c>
      <c r="L82" s="19">
        <v>0.0</v>
      </c>
      <c r="M82" s="19">
        <v>0.0</v>
      </c>
      <c r="N82" s="19">
        <v>0.0</v>
      </c>
      <c r="O82" s="19">
        <v>0.0</v>
      </c>
      <c r="P82" s="19">
        <v>0.0</v>
      </c>
      <c r="Q82" s="19">
        <v>0.0</v>
      </c>
      <c r="R82" s="19">
        <v>0.0</v>
      </c>
      <c r="S82" s="19">
        <v>0.0</v>
      </c>
      <c r="T82" s="19">
        <v>0.0</v>
      </c>
      <c r="U82" s="19">
        <v>0.0</v>
      </c>
      <c r="V82" s="19">
        <v>0.0</v>
      </c>
      <c r="W82" s="19">
        <v>1.0</v>
      </c>
      <c r="X82" s="19">
        <v>0.0</v>
      </c>
      <c r="Y82" s="19">
        <v>0.0</v>
      </c>
      <c r="Z82" s="19">
        <v>0.0</v>
      </c>
      <c r="AA82" s="19">
        <v>0.0</v>
      </c>
      <c r="AB82" s="19">
        <v>0.0</v>
      </c>
      <c r="AC82" s="19">
        <v>0.0</v>
      </c>
      <c r="AD82" s="19">
        <v>0.0</v>
      </c>
      <c r="AE82" s="19">
        <v>0.0</v>
      </c>
      <c r="AF82" s="19">
        <v>0.0</v>
      </c>
      <c r="AG82" s="19">
        <v>0.0</v>
      </c>
      <c r="AH82" s="19">
        <v>0.0</v>
      </c>
      <c r="AI82" s="19">
        <v>0.0</v>
      </c>
      <c r="AJ82" s="19">
        <v>0.0</v>
      </c>
      <c r="AK82" s="19">
        <v>0.0</v>
      </c>
      <c r="AL82" s="19">
        <v>1.0</v>
      </c>
      <c r="AM82" s="19">
        <v>0.0</v>
      </c>
      <c r="AN82" s="19">
        <v>0.0</v>
      </c>
      <c r="AO82" s="19">
        <v>1.0</v>
      </c>
      <c r="AP82" s="19">
        <v>0.0</v>
      </c>
      <c r="AQ82" s="19">
        <v>0.0</v>
      </c>
      <c r="AR82" s="19">
        <v>0.0</v>
      </c>
      <c r="AS82" s="19">
        <v>0.0</v>
      </c>
      <c r="AT82" s="19">
        <v>0.0</v>
      </c>
      <c r="AU82" s="19">
        <v>0.0</v>
      </c>
      <c r="AV82" s="19">
        <v>1.0</v>
      </c>
      <c r="AW82" s="19">
        <v>0.0</v>
      </c>
      <c r="AX82" s="19">
        <v>0.0</v>
      </c>
      <c r="AY82" s="19">
        <v>0.0</v>
      </c>
      <c r="AZ82" s="19">
        <v>0.0</v>
      </c>
      <c r="BA82" s="19">
        <v>0.0</v>
      </c>
      <c r="BB82" s="19">
        <v>0.0</v>
      </c>
      <c r="BC82" s="19">
        <v>0.0</v>
      </c>
      <c r="BD82" s="19">
        <v>0.0</v>
      </c>
      <c r="BE82" s="13">
        <f t="shared" si="20"/>
        <v>4</v>
      </c>
    </row>
    <row r="83" ht="12.75" customHeight="1">
      <c r="A83" s="19" t="s">
        <v>15</v>
      </c>
      <c r="B83" s="47" t="s">
        <v>47</v>
      </c>
      <c r="C83" s="15"/>
      <c r="D83" s="16"/>
      <c r="E83" s="13">
        <f t="shared" ref="E83:BE83" si="21">SUM(E75:E82)</f>
        <v>8</v>
      </c>
      <c r="F83" s="13">
        <f t="shared" si="21"/>
        <v>5</v>
      </c>
      <c r="G83" s="13">
        <f t="shared" si="21"/>
        <v>23</v>
      </c>
      <c r="H83" s="13">
        <f t="shared" si="21"/>
        <v>30</v>
      </c>
      <c r="I83" s="13">
        <f t="shared" si="21"/>
        <v>12</v>
      </c>
      <c r="J83" s="13">
        <f t="shared" si="21"/>
        <v>3</v>
      </c>
      <c r="K83" s="13">
        <f t="shared" si="21"/>
        <v>6</v>
      </c>
      <c r="L83" s="13">
        <f t="shared" si="21"/>
        <v>5</v>
      </c>
      <c r="M83" s="13">
        <f t="shared" si="21"/>
        <v>10</v>
      </c>
      <c r="N83" s="13">
        <f t="shared" si="21"/>
        <v>10</v>
      </c>
      <c r="O83" s="13">
        <f t="shared" si="21"/>
        <v>21</v>
      </c>
      <c r="P83" s="13">
        <f t="shared" si="21"/>
        <v>41</v>
      </c>
      <c r="Q83" s="13">
        <f t="shared" si="21"/>
        <v>29</v>
      </c>
      <c r="R83" s="13">
        <f t="shared" si="21"/>
        <v>12</v>
      </c>
      <c r="S83" s="13">
        <f t="shared" si="21"/>
        <v>14</v>
      </c>
      <c r="T83" s="13">
        <f t="shared" si="21"/>
        <v>3</v>
      </c>
      <c r="U83" s="13">
        <f t="shared" si="21"/>
        <v>11</v>
      </c>
      <c r="V83" s="13">
        <f t="shared" si="21"/>
        <v>8</v>
      </c>
      <c r="W83" s="13">
        <f t="shared" si="21"/>
        <v>16</v>
      </c>
      <c r="X83" s="13">
        <f t="shared" si="21"/>
        <v>9</v>
      </c>
      <c r="Y83" s="13">
        <f t="shared" si="21"/>
        <v>20</v>
      </c>
      <c r="Z83" s="13">
        <f t="shared" si="21"/>
        <v>21</v>
      </c>
      <c r="AA83" s="13">
        <f t="shared" si="21"/>
        <v>26</v>
      </c>
      <c r="AB83" s="13">
        <f t="shared" si="21"/>
        <v>34</v>
      </c>
      <c r="AC83" s="13">
        <f t="shared" si="21"/>
        <v>8</v>
      </c>
      <c r="AD83" s="13">
        <f t="shared" si="21"/>
        <v>21</v>
      </c>
      <c r="AE83" s="13">
        <f t="shared" si="21"/>
        <v>20</v>
      </c>
      <c r="AF83" s="13">
        <f t="shared" si="21"/>
        <v>29</v>
      </c>
      <c r="AG83" s="13">
        <f t="shared" si="21"/>
        <v>9</v>
      </c>
      <c r="AH83" s="13">
        <f t="shared" si="21"/>
        <v>22</v>
      </c>
      <c r="AI83" s="13">
        <f t="shared" si="21"/>
        <v>7</v>
      </c>
      <c r="AJ83" s="13">
        <f t="shared" si="21"/>
        <v>7</v>
      </c>
      <c r="AK83" s="13">
        <f t="shared" si="21"/>
        <v>11</v>
      </c>
      <c r="AL83" s="13">
        <f t="shared" si="21"/>
        <v>25</v>
      </c>
      <c r="AM83" s="13">
        <f t="shared" si="21"/>
        <v>14</v>
      </c>
      <c r="AN83" s="13">
        <f t="shared" si="21"/>
        <v>24</v>
      </c>
      <c r="AO83" s="13">
        <f t="shared" si="21"/>
        <v>24</v>
      </c>
      <c r="AP83" s="13">
        <f t="shared" si="21"/>
        <v>21</v>
      </c>
      <c r="AQ83" s="13">
        <f t="shared" si="21"/>
        <v>12</v>
      </c>
      <c r="AR83" s="13">
        <f t="shared" si="21"/>
        <v>6</v>
      </c>
      <c r="AS83" s="13">
        <f t="shared" si="21"/>
        <v>5</v>
      </c>
      <c r="AT83" s="13">
        <f t="shared" si="21"/>
        <v>12</v>
      </c>
      <c r="AU83" s="13">
        <f t="shared" si="21"/>
        <v>16</v>
      </c>
      <c r="AV83" s="13">
        <f t="shared" si="21"/>
        <v>7</v>
      </c>
      <c r="AW83" s="13">
        <f t="shared" si="21"/>
        <v>3</v>
      </c>
      <c r="AX83" s="13">
        <f t="shared" si="21"/>
        <v>13</v>
      </c>
      <c r="AY83" s="13">
        <f t="shared" si="21"/>
        <v>9</v>
      </c>
      <c r="AZ83" s="13">
        <f t="shared" si="21"/>
        <v>13</v>
      </c>
      <c r="BA83" s="13">
        <f t="shared" si="21"/>
        <v>10</v>
      </c>
      <c r="BB83" s="13">
        <f t="shared" si="21"/>
        <v>43</v>
      </c>
      <c r="BC83" s="13">
        <f t="shared" si="21"/>
        <v>90</v>
      </c>
      <c r="BD83" s="13">
        <f t="shared" si="21"/>
        <v>8</v>
      </c>
      <c r="BE83" s="13">
        <f t="shared" si="21"/>
        <v>866</v>
      </c>
    </row>
    <row r="84" ht="12.75" customHeight="1">
      <c r="A84" s="45"/>
      <c r="B84" s="44"/>
      <c r="C84" s="44"/>
      <c r="D84" s="44"/>
      <c r="E84" s="44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1.0</v>
      </c>
      <c r="F85" s="19">
        <v>4.0</v>
      </c>
      <c r="G85" s="19">
        <v>0.0</v>
      </c>
      <c r="H85" s="19">
        <v>1.0</v>
      </c>
      <c r="I85" s="19">
        <v>2.0</v>
      </c>
      <c r="J85" s="19">
        <v>0.0</v>
      </c>
      <c r="K85" s="19">
        <v>1.0</v>
      </c>
      <c r="L85" s="19">
        <v>1.0</v>
      </c>
      <c r="M85" s="19">
        <v>1.0</v>
      </c>
      <c r="N85" s="19">
        <v>0.0</v>
      </c>
      <c r="O85" s="19">
        <v>1.0</v>
      </c>
      <c r="P85" s="19">
        <v>1.0</v>
      </c>
      <c r="Q85" s="19">
        <v>0.0</v>
      </c>
      <c r="R85" s="19">
        <v>2.0</v>
      </c>
      <c r="S85" s="19">
        <v>2.0</v>
      </c>
      <c r="T85" s="19">
        <v>1.0</v>
      </c>
      <c r="U85" s="19">
        <v>0.0</v>
      </c>
      <c r="V85" s="19">
        <v>1.0</v>
      </c>
      <c r="W85" s="19">
        <v>3.0</v>
      </c>
      <c r="X85" s="19">
        <v>6.0</v>
      </c>
      <c r="Y85" s="19">
        <v>6.0</v>
      </c>
      <c r="Z85" s="19">
        <v>8.0</v>
      </c>
      <c r="AA85" s="19">
        <v>0.0</v>
      </c>
      <c r="AB85" s="19">
        <v>1.0</v>
      </c>
      <c r="AC85" s="19">
        <v>0.0</v>
      </c>
      <c r="AD85" s="19">
        <v>0.0</v>
      </c>
      <c r="AE85" s="19">
        <v>2.0</v>
      </c>
      <c r="AF85" s="19">
        <v>6.0</v>
      </c>
      <c r="AG85" s="19">
        <v>4.0</v>
      </c>
      <c r="AH85" s="19">
        <v>1.0</v>
      </c>
      <c r="AI85" s="19">
        <v>4.0</v>
      </c>
      <c r="AJ85" s="19">
        <v>2.0</v>
      </c>
      <c r="AK85" s="19">
        <v>0.0</v>
      </c>
      <c r="AL85" s="19">
        <v>1.0</v>
      </c>
      <c r="AM85" s="19">
        <v>1.0</v>
      </c>
      <c r="AN85" s="19">
        <v>1.0</v>
      </c>
      <c r="AO85" s="19">
        <v>3.0</v>
      </c>
      <c r="AP85" s="19">
        <v>2.0</v>
      </c>
      <c r="AQ85" s="19">
        <v>0.0</v>
      </c>
      <c r="AR85" s="19">
        <v>4.0</v>
      </c>
      <c r="AS85" s="19">
        <v>0.0</v>
      </c>
      <c r="AT85" s="19">
        <v>6.0</v>
      </c>
      <c r="AU85" s="19">
        <v>2.0</v>
      </c>
      <c r="AV85" s="19">
        <v>0.0</v>
      </c>
      <c r="AW85" s="19">
        <v>2.0</v>
      </c>
      <c r="AX85" s="19">
        <v>0.0</v>
      </c>
      <c r="AY85" s="19">
        <v>0.0</v>
      </c>
      <c r="AZ85" s="19">
        <v>1.0</v>
      </c>
      <c r="BA85" s="19">
        <v>3.0</v>
      </c>
      <c r="BB85" s="19">
        <v>1.0</v>
      </c>
      <c r="BC85" s="19">
        <v>3.0</v>
      </c>
      <c r="BD85" s="19">
        <v>3.0</v>
      </c>
      <c r="BE85" s="13">
        <f t="shared" ref="BE85:BE92" si="22">SUM(E85:BD85)</f>
        <v>95</v>
      </c>
    </row>
    <row r="86" ht="12.75" customHeight="1">
      <c r="A86" s="30" t="s">
        <v>39</v>
      </c>
      <c r="B86" s="55">
        <v>1.0</v>
      </c>
      <c r="C86" s="50" t="s">
        <v>74</v>
      </c>
      <c r="D86" s="57"/>
      <c r="E86" s="19">
        <v>2.0</v>
      </c>
      <c r="F86" s="19">
        <v>1.0</v>
      </c>
      <c r="G86" s="19">
        <v>4.0</v>
      </c>
      <c r="H86" s="19">
        <v>5.0</v>
      </c>
      <c r="I86" s="19">
        <v>1.0</v>
      </c>
      <c r="J86" s="19">
        <v>1.0</v>
      </c>
      <c r="K86" s="19">
        <v>3.0</v>
      </c>
      <c r="L86" s="19">
        <v>4.0</v>
      </c>
      <c r="M86" s="19">
        <v>1.0</v>
      </c>
      <c r="N86" s="19">
        <v>0.0</v>
      </c>
      <c r="O86" s="19">
        <v>6.0</v>
      </c>
      <c r="P86" s="19">
        <v>0.0</v>
      </c>
      <c r="Q86" s="19">
        <v>9.0</v>
      </c>
      <c r="R86" s="19">
        <v>0.0</v>
      </c>
      <c r="S86" s="19">
        <v>1.0</v>
      </c>
      <c r="T86" s="19">
        <v>6.0</v>
      </c>
      <c r="U86" s="19">
        <v>1.0</v>
      </c>
      <c r="V86" s="19">
        <v>1.0</v>
      </c>
      <c r="W86" s="19">
        <v>3.0</v>
      </c>
      <c r="X86" s="19">
        <v>13.0</v>
      </c>
      <c r="Y86" s="19">
        <v>9.0</v>
      </c>
      <c r="Z86" s="19">
        <v>7.0</v>
      </c>
      <c r="AA86" s="19">
        <v>1.0</v>
      </c>
      <c r="AB86" s="19">
        <v>4.0</v>
      </c>
      <c r="AC86" s="19">
        <v>2.0</v>
      </c>
      <c r="AD86" s="19">
        <v>2.0</v>
      </c>
      <c r="AE86" s="19">
        <v>1.0</v>
      </c>
      <c r="AF86" s="19">
        <v>12.0</v>
      </c>
      <c r="AG86" s="19">
        <v>29.0</v>
      </c>
      <c r="AH86" s="19">
        <v>8.0</v>
      </c>
      <c r="AI86" s="19">
        <v>8.0</v>
      </c>
      <c r="AJ86" s="19">
        <v>2.0</v>
      </c>
      <c r="AK86" s="19">
        <v>8.0</v>
      </c>
      <c r="AL86" s="19">
        <v>7.0</v>
      </c>
      <c r="AM86" s="19">
        <v>13.0</v>
      </c>
      <c r="AN86" s="19">
        <v>7.0</v>
      </c>
      <c r="AO86" s="19">
        <v>3.0</v>
      </c>
      <c r="AP86" s="19">
        <v>2.0</v>
      </c>
      <c r="AQ86" s="19">
        <v>2.0</v>
      </c>
      <c r="AR86" s="19">
        <v>17.0</v>
      </c>
      <c r="AS86" s="19">
        <v>37.0</v>
      </c>
      <c r="AT86" s="19">
        <v>26.0</v>
      </c>
      <c r="AU86" s="19">
        <v>22.0</v>
      </c>
      <c r="AV86" s="19">
        <v>19.0</v>
      </c>
      <c r="AW86" s="19">
        <v>1.0</v>
      </c>
      <c r="AX86" s="19">
        <v>0.0</v>
      </c>
      <c r="AY86" s="19">
        <v>3.0</v>
      </c>
      <c r="AZ86" s="19">
        <v>1.0</v>
      </c>
      <c r="BA86" s="19">
        <v>1.0</v>
      </c>
      <c r="BB86" s="19">
        <v>0.0</v>
      </c>
      <c r="BC86" s="19">
        <v>3.0</v>
      </c>
      <c r="BD86" s="19">
        <v>6.0</v>
      </c>
      <c r="BE86" s="13">
        <f t="shared" si="22"/>
        <v>325</v>
      </c>
    </row>
    <row r="87" ht="12.75" customHeight="1">
      <c r="A87" s="18"/>
      <c r="B87" s="55">
        <v>2.0</v>
      </c>
      <c r="C87" s="50" t="s">
        <v>75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1.0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1.0</v>
      </c>
      <c r="Q87" s="19">
        <v>0.0</v>
      </c>
      <c r="R87" s="19">
        <v>0.0</v>
      </c>
      <c r="S87" s="19">
        <v>0.0</v>
      </c>
      <c r="T87" s="19">
        <v>0.0</v>
      </c>
      <c r="U87" s="19">
        <v>1.0</v>
      </c>
      <c r="V87" s="19">
        <v>0.0</v>
      </c>
      <c r="W87" s="19">
        <v>0.0</v>
      </c>
      <c r="X87" s="19">
        <v>0.0</v>
      </c>
      <c r="Y87" s="19">
        <v>1.0</v>
      </c>
      <c r="Z87" s="19">
        <v>0.0</v>
      </c>
      <c r="AA87" s="19">
        <v>1.0</v>
      </c>
      <c r="AB87" s="19">
        <v>0.0</v>
      </c>
      <c r="AC87" s="19">
        <v>0.0</v>
      </c>
      <c r="AD87" s="19">
        <v>0.0</v>
      </c>
      <c r="AE87" s="19">
        <v>0.0</v>
      </c>
      <c r="AF87" s="19">
        <v>1.0</v>
      </c>
      <c r="AG87" s="19">
        <v>3.0</v>
      </c>
      <c r="AH87" s="19">
        <v>0.0</v>
      </c>
      <c r="AI87" s="19">
        <v>0.0</v>
      </c>
      <c r="AJ87" s="19">
        <v>1.0</v>
      </c>
      <c r="AK87" s="19">
        <v>0.0</v>
      </c>
      <c r="AL87" s="19">
        <v>1.0</v>
      </c>
      <c r="AM87" s="19">
        <v>1.0</v>
      </c>
      <c r="AN87" s="19">
        <v>0.0</v>
      </c>
      <c r="AO87" s="19">
        <v>0.0</v>
      </c>
      <c r="AP87" s="19">
        <v>1.0</v>
      </c>
      <c r="AQ87" s="19">
        <v>0.0</v>
      </c>
      <c r="AR87" s="19">
        <v>0.0</v>
      </c>
      <c r="AS87" s="19">
        <v>1.0</v>
      </c>
      <c r="AT87" s="19">
        <v>0.0</v>
      </c>
      <c r="AU87" s="19">
        <v>0.0</v>
      </c>
      <c r="AV87" s="19">
        <v>0.0</v>
      </c>
      <c r="AW87" s="19">
        <v>0.0</v>
      </c>
      <c r="AX87" s="19">
        <v>0.0</v>
      </c>
      <c r="AY87" s="19">
        <v>0.0</v>
      </c>
      <c r="AZ87" s="19">
        <v>1.0</v>
      </c>
      <c r="BA87" s="19">
        <v>0.0</v>
      </c>
      <c r="BB87" s="19">
        <v>0.0</v>
      </c>
      <c r="BC87" s="19">
        <v>0.0</v>
      </c>
      <c r="BD87" s="19">
        <v>0.0</v>
      </c>
      <c r="BE87" s="13">
        <f t="shared" si="22"/>
        <v>15</v>
      </c>
    </row>
    <row r="88" ht="12.75" customHeight="1">
      <c r="A88" s="18"/>
      <c r="B88" s="55">
        <v>3.0</v>
      </c>
      <c r="C88" s="50" t="s">
        <v>76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1.0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9">
        <v>0.0</v>
      </c>
      <c r="AQ88" s="19">
        <v>0.0</v>
      </c>
      <c r="AR88" s="19">
        <v>0.0</v>
      </c>
      <c r="AS88" s="19">
        <v>0.0</v>
      </c>
      <c r="AT88" s="19">
        <v>0.0</v>
      </c>
      <c r="AU88" s="19">
        <v>1.0</v>
      </c>
      <c r="AV88" s="19">
        <v>0.0</v>
      </c>
      <c r="AW88" s="19">
        <v>0.0</v>
      </c>
      <c r="AX88" s="19">
        <v>0.0</v>
      </c>
      <c r="AY88" s="19">
        <v>0.0</v>
      </c>
      <c r="AZ88" s="19">
        <v>1.0</v>
      </c>
      <c r="BA88" s="19">
        <v>1.0</v>
      </c>
      <c r="BB88" s="19">
        <v>0.0</v>
      </c>
      <c r="BC88" s="19">
        <v>0.0</v>
      </c>
      <c r="BD88" s="19">
        <v>0.0</v>
      </c>
      <c r="BE88" s="13">
        <f t="shared" si="22"/>
        <v>4</v>
      </c>
    </row>
    <row r="89" ht="12.75" customHeight="1">
      <c r="A89" s="18"/>
      <c r="B89" s="55">
        <v>4.0</v>
      </c>
      <c r="C89" s="50" t="s">
        <v>77</v>
      </c>
      <c r="D89" s="57"/>
      <c r="E89" s="19">
        <v>0.0</v>
      </c>
      <c r="F89" s="19">
        <v>0.0</v>
      </c>
      <c r="G89" s="19">
        <v>0.0</v>
      </c>
      <c r="H89" s="19">
        <v>0.0</v>
      </c>
      <c r="I89" s="19">
        <v>0.0</v>
      </c>
      <c r="J89" s="19">
        <v>0.0</v>
      </c>
      <c r="K89" s="19">
        <v>0.0</v>
      </c>
      <c r="L89" s="19">
        <v>0.0</v>
      </c>
      <c r="M89" s="19">
        <v>0.0</v>
      </c>
      <c r="N89" s="19">
        <v>0.0</v>
      </c>
      <c r="O89" s="19">
        <v>0.0</v>
      </c>
      <c r="P89" s="19">
        <v>0.0</v>
      </c>
      <c r="Q89" s="19">
        <v>1.0</v>
      </c>
      <c r="R89" s="19">
        <v>0.0</v>
      </c>
      <c r="S89" s="19">
        <v>0.0</v>
      </c>
      <c r="T89" s="19">
        <v>0.0</v>
      </c>
      <c r="U89" s="19">
        <v>0.0</v>
      </c>
      <c r="V89" s="19">
        <v>0.0</v>
      </c>
      <c r="W89" s="19">
        <v>2.0</v>
      </c>
      <c r="X89" s="19">
        <v>0.0</v>
      </c>
      <c r="Y89" s="19">
        <v>0.0</v>
      </c>
      <c r="Z89" s="19">
        <v>0.0</v>
      </c>
      <c r="AA89" s="19">
        <v>0.0</v>
      </c>
      <c r="AB89" s="19">
        <v>0.0</v>
      </c>
      <c r="AC89" s="19">
        <v>0.0</v>
      </c>
      <c r="AD89" s="19">
        <v>0.0</v>
      </c>
      <c r="AE89" s="19">
        <v>0.0</v>
      </c>
      <c r="AF89" s="19">
        <v>0.0</v>
      </c>
      <c r="AG89" s="19">
        <v>0.0</v>
      </c>
      <c r="AH89" s="19">
        <v>1.0</v>
      </c>
      <c r="AI89" s="19">
        <v>1.0</v>
      </c>
      <c r="AJ89" s="19">
        <v>0.0</v>
      </c>
      <c r="AK89" s="19">
        <v>2.0</v>
      </c>
      <c r="AL89" s="19">
        <v>2.0</v>
      </c>
      <c r="AM89" s="19">
        <v>0.0</v>
      </c>
      <c r="AN89" s="19">
        <v>0.0</v>
      </c>
      <c r="AO89" s="19">
        <v>8.0</v>
      </c>
      <c r="AP89" s="19">
        <v>4.0</v>
      </c>
      <c r="AQ89" s="19">
        <v>0.0</v>
      </c>
      <c r="AR89" s="19">
        <v>0.0</v>
      </c>
      <c r="AS89" s="19">
        <v>0.0</v>
      </c>
      <c r="AT89" s="19">
        <v>0.0</v>
      </c>
      <c r="AU89" s="19">
        <v>0.0</v>
      </c>
      <c r="AV89" s="19">
        <v>0.0</v>
      </c>
      <c r="AW89" s="19">
        <v>0.0</v>
      </c>
      <c r="AX89" s="19">
        <v>0.0</v>
      </c>
      <c r="AY89" s="19">
        <v>0.0</v>
      </c>
      <c r="AZ89" s="19">
        <v>0.0</v>
      </c>
      <c r="BA89" s="19">
        <v>2.0</v>
      </c>
      <c r="BB89" s="19">
        <v>0.0</v>
      </c>
      <c r="BC89" s="19">
        <v>1.0</v>
      </c>
      <c r="BD89" s="19">
        <v>0.0</v>
      </c>
      <c r="BE89" s="13">
        <f t="shared" si="22"/>
        <v>24</v>
      </c>
    </row>
    <row r="90" ht="12.75" customHeight="1">
      <c r="A90" s="18"/>
      <c r="B90" s="55">
        <v>5.0</v>
      </c>
      <c r="C90" s="50" t="s">
        <v>78</v>
      </c>
      <c r="D90" s="57"/>
      <c r="E90" s="19">
        <v>1.0</v>
      </c>
      <c r="F90" s="19">
        <v>0.0</v>
      </c>
      <c r="G90" s="19">
        <v>0.0</v>
      </c>
      <c r="H90" s="19">
        <v>1.0</v>
      </c>
      <c r="I90" s="19">
        <v>0.0</v>
      </c>
      <c r="J90" s="19">
        <v>1.0</v>
      </c>
      <c r="K90" s="19">
        <v>0.0</v>
      </c>
      <c r="L90" s="19">
        <v>0.0</v>
      </c>
      <c r="M90" s="19">
        <v>0.0</v>
      </c>
      <c r="N90" s="19">
        <v>0.0</v>
      </c>
      <c r="O90" s="19">
        <v>0.0</v>
      </c>
      <c r="P90" s="19">
        <v>0.0</v>
      </c>
      <c r="Q90" s="19">
        <v>0.0</v>
      </c>
      <c r="R90" s="19">
        <v>0.0</v>
      </c>
      <c r="S90" s="19">
        <v>0.0</v>
      </c>
      <c r="T90" s="19">
        <v>0.0</v>
      </c>
      <c r="U90" s="19">
        <v>0.0</v>
      </c>
      <c r="V90" s="19">
        <v>0.0</v>
      </c>
      <c r="W90" s="19">
        <v>1.0</v>
      </c>
      <c r="X90" s="19">
        <v>0.0</v>
      </c>
      <c r="Y90" s="19">
        <v>0.0</v>
      </c>
      <c r="Z90" s="19">
        <v>0.0</v>
      </c>
      <c r="AA90" s="19">
        <v>0.0</v>
      </c>
      <c r="AB90" s="19">
        <v>0.0</v>
      </c>
      <c r="AC90" s="19">
        <v>0.0</v>
      </c>
      <c r="AD90" s="19">
        <v>1.0</v>
      </c>
      <c r="AE90" s="19">
        <v>0.0</v>
      </c>
      <c r="AF90" s="19">
        <v>3.0</v>
      </c>
      <c r="AG90" s="19">
        <v>1.0</v>
      </c>
      <c r="AH90" s="19">
        <v>0.0</v>
      </c>
      <c r="AI90" s="19">
        <v>2.0</v>
      </c>
      <c r="AJ90" s="19">
        <v>0.0</v>
      </c>
      <c r="AK90" s="19">
        <v>0.0</v>
      </c>
      <c r="AL90" s="19">
        <v>0.0</v>
      </c>
      <c r="AM90" s="19">
        <v>0.0</v>
      </c>
      <c r="AN90" s="19">
        <v>0.0</v>
      </c>
      <c r="AO90" s="19">
        <v>1.0</v>
      </c>
      <c r="AP90" s="19">
        <v>0.0</v>
      </c>
      <c r="AQ90" s="19">
        <v>4.0</v>
      </c>
      <c r="AR90" s="19">
        <v>1.0</v>
      </c>
      <c r="AS90" s="19">
        <v>0.0</v>
      </c>
      <c r="AT90" s="19">
        <v>3.0</v>
      </c>
      <c r="AU90" s="19">
        <v>0.0</v>
      </c>
      <c r="AV90" s="19">
        <v>0.0</v>
      </c>
      <c r="AW90" s="19">
        <v>0.0</v>
      </c>
      <c r="AX90" s="19">
        <v>0.0</v>
      </c>
      <c r="AY90" s="19">
        <v>0.0</v>
      </c>
      <c r="AZ90" s="19">
        <v>0.0</v>
      </c>
      <c r="BA90" s="19">
        <v>0.0</v>
      </c>
      <c r="BB90" s="19">
        <v>0.0</v>
      </c>
      <c r="BC90" s="19">
        <v>2.0</v>
      </c>
      <c r="BD90" s="19">
        <v>0.0</v>
      </c>
      <c r="BE90" s="13">
        <f t="shared" si="22"/>
        <v>22</v>
      </c>
    </row>
    <row r="91" ht="12.75" customHeight="1">
      <c r="A91" s="18"/>
      <c r="B91" s="55">
        <v>6.0</v>
      </c>
      <c r="C91" s="50" t="s">
        <v>79</v>
      </c>
      <c r="D91" s="57"/>
      <c r="E91" s="19">
        <v>0.0</v>
      </c>
      <c r="F91" s="19">
        <v>0.0</v>
      </c>
      <c r="G91" s="19">
        <v>0.0</v>
      </c>
      <c r="H91" s="19">
        <v>0.0</v>
      </c>
      <c r="I91" s="19">
        <v>0.0</v>
      </c>
      <c r="J91" s="19">
        <v>0.0</v>
      </c>
      <c r="K91" s="19">
        <v>0.0</v>
      </c>
      <c r="L91" s="19">
        <v>0.0</v>
      </c>
      <c r="M91" s="19">
        <v>0.0</v>
      </c>
      <c r="N91" s="19">
        <v>0.0</v>
      </c>
      <c r="O91" s="19">
        <v>0.0</v>
      </c>
      <c r="P91" s="19">
        <v>0.0</v>
      </c>
      <c r="Q91" s="19">
        <v>0.0</v>
      </c>
      <c r="R91" s="19">
        <v>0.0</v>
      </c>
      <c r="S91" s="19">
        <v>0.0</v>
      </c>
      <c r="T91" s="19">
        <v>0.0</v>
      </c>
      <c r="U91" s="19">
        <v>0.0</v>
      </c>
      <c r="V91" s="19">
        <v>0.0</v>
      </c>
      <c r="W91" s="19">
        <v>0.0</v>
      </c>
      <c r="X91" s="19">
        <v>0.0</v>
      </c>
      <c r="Y91" s="19">
        <v>0.0</v>
      </c>
      <c r="Z91" s="19">
        <v>0.0</v>
      </c>
      <c r="AA91" s="19">
        <v>0.0</v>
      </c>
      <c r="AB91" s="19">
        <v>0.0</v>
      </c>
      <c r="AC91" s="19">
        <v>0.0</v>
      </c>
      <c r="AD91" s="19">
        <v>0.0</v>
      </c>
      <c r="AE91" s="19">
        <v>0.0</v>
      </c>
      <c r="AF91" s="19">
        <v>0.0</v>
      </c>
      <c r="AG91" s="19">
        <v>2.0</v>
      </c>
      <c r="AH91" s="19">
        <v>0.0</v>
      </c>
      <c r="AI91" s="19">
        <v>0.0</v>
      </c>
      <c r="AJ91" s="19">
        <v>0.0</v>
      </c>
      <c r="AK91" s="19">
        <v>0.0</v>
      </c>
      <c r="AL91" s="19">
        <v>0.0</v>
      </c>
      <c r="AM91" s="19">
        <v>0.0</v>
      </c>
      <c r="AN91" s="19">
        <v>0.0</v>
      </c>
      <c r="AO91" s="19">
        <v>0.0</v>
      </c>
      <c r="AP91" s="19">
        <v>0.0</v>
      </c>
      <c r="AQ91" s="19">
        <v>0.0</v>
      </c>
      <c r="AR91" s="19">
        <v>0.0</v>
      </c>
      <c r="AS91" s="19">
        <v>0.0</v>
      </c>
      <c r="AT91" s="19">
        <v>0.0</v>
      </c>
      <c r="AU91" s="19">
        <v>0.0</v>
      </c>
      <c r="AV91" s="19">
        <v>0.0</v>
      </c>
      <c r="AW91" s="19">
        <v>0.0</v>
      </c>
      <c r="AX91" s="19">
        <v>0.0</v>
      </c>
      <c r="AY91" s="19">
        <v>1.0</v>
      </c>
      <c r="AZ91" s="19">
        <v>0.0</v>
      </c>
      <c r="BA91" s="19">
        <v>3.0</v>
      </c>
      <c r="BB91" s="19">
        <v>0.0</v>
      </c>
      <c r="BC91" s="19">
        <v>1.0</v>
      </c>
      <c r="BD91" s="19">
        <v>0.0</v>
      </c>
      <c r="BE91" s="13">
        <f t="shared" si="22"/>
        <v>7</v>
      </c>
    </row>
    <row r="92" ht="12.75" customHeight="1">
      <c r="A92" s="18"/>
      <c r="B92" s="55">
        <v>7.0</v>
      </c>
      <c r="C92" s="50" t="s">
        <v>80</v>
      </c>
      <c r="D92" s="57"/>
      <c r="E92" s="19">
        <v>0.0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0.0</v>
      </c>
      <c r="N92" s="19">
        <v>0.0</v>
      </c>
      <c r="O92" s="19">
        <v>0.0</v>
      </c>
      <c r="P92" s="19">
        <v>0.0</v>
      </c>
      <c r="Q92" s="19">
        <v>0.0</v>
      </c>
      <c r="R92" s="19">
        <v>0.0</v>
      </c>
      <c r="S92" s="19">
        <v>0.0</v>
      </c>
      <c r="T92" s="19">
        <v>0.0</v>
      </c>
      <c r="U92" s="19">
        <v>0.0</v>
      </c>
      <c r="V92" s="19">
        <v>0.0</v>
      </c>
      <c r="W92" s="19">
        <v>1.0</v>
      </c>
      <c r="X92" s="19">
        <v>0.0</v>
      </c>
      <c r="Y92" s="19">
        <v>0.0</v>
      </c>
      <c r="Z92" s="19">
        <v>0.0</v>
      </c>
      <c r="AA92" s="19">
        <v>0.0</v>
      </c>
      <c r="AB92" s="19">
        <v>0.0</v>
      </c>
      <c r="AC92" s="19">
        <v>0.0</v>
      </c>
      <c r="AD92" s="19">
        <v>0.0</v>
      </c>
      <c r="AE92" s="19">
        <v>0.0</v>
      </c>
      <c r="AF92" s="19">
        <v>0.0</v>
      </c>
      <c r="AG92" s="19">
        <v>2.0</v>
      </c>
      <c r="AH92" s="19">
        <v>0.0</v>
      </c>
      <c r="AI92" s="19">
        <v>0.0</v>
      </c>
      <c r="AJ92" s="19">
        <v>0.0</v>
      </c>
      <c r="AK92" s="19">
        <v>0.0</v>
      </c>
      <c r="AL92" s="19">
        <v>0.0</v>
      </c>
      <c r="AM92" s="19">
        <v>0.0</v>
      </c>
      <c r="AN92" s="19">
        <v>0.0</v>
      </c>
      <c r="AO92" s="19">
        <v>0.0</v>
      </c>
      <c r="AP92" s="19">
        <v>0.0</v>
      </c>
      <c r="AQ92" s="19">
        <v>0.0</v>
      </c>
      <c r="AR92" s="19">
        <v>0.0</v>
      </c>
      <c r="AS92" s="19">
        <v>0.0</v>
      </c>
      <c r="AT92" s="19">
        <v>0.0</v>
      </c>
      <c r="AU92" s="19">
        <v>0.0</v>
      </c>
      <c r="AV92" s="19">
        <v>0.0</v>
      </c>
      <c r="AW92" s="19">
        <v>0.0</v>
      </c>
      <c r="AX92" s="19">
        <v>0.0</v>
      </c>
      <c r="AY92" s="19">
        <v>0.0</v>
      </c>
      <c r="AZ92" s="19">
        <v>0.0</v>
      </c>
      <c r="BA92" s="19">
        <v>0.0</v>
      </c>
      <c r="BB92" s="19">
        <v>0.0</v>
      </c>
      <c r="BC92" s="19">
        <v>2.0</v>
      </c>
      <c r="BD92" s="19">
        <v>0.0</v>
      </c>
      <c r="BE92" s="13">
        <f t="shared" si="22"/>
        <v>5</v>
      </c>
    </row>
    <row r="93" ht="12.75" customHeight="1">
      <c r="A93" s="19" t="s">
        <v>15</v>
      </c>
      <c r="B93" s="47" t="s">
        <v>47</v>
      </c>
      <c r="C93" s="15"/>
      <c r="D93" s="16"/>
      <c r="E93" s="13">
        <f t="shared" ref="E93:BE93" si="23">SUM(E85:E92)</f>
        <v>4</v>
      </c>
      <c r="F93" s="13">
        <f t="shared" si="23"/>
        <v>5</v>
      </c>
      <c r="G93" s="13">
        <f t="shared" si="23"/>
        <v>4</v>
      </c>
      <c r="H93" s="13">
        <f t="shared" si="23"/>
        <v>7</v>
      </c>
      <c r="I93" s="13">
        <f t="shared" si="23"/>
        <v>4</v>
      </c>
      <c r="J93" s="13">
        <f t="shared" si="23"/>
        <v>2</v>
      </c>
      <c r="K93" s="13">
        <f t="shared" si="23"/>
        <v>4</v>
      </c>
      <c r="L93" s="13">
        <f t="shared" si="23"/>
        <v>5</v>
      </c>
      <c r="M93" s="13">
        <f t="shared" si="23"/>
        <v>2</v>
      </c>
      <c r="N93" s="13">
        <f t="shared" si="23"/>
        <v>0</v>
      </c>
      <c r="O93" s="13">
        <f t="shared" si="23"/>
        <v>7</v>
      </c>
      <c r="P93" s="13">
        <f t="shared" si="23"/>
        <v>2</v>
      </c>
      <c r="Q93" s="13">
        <f t="shared" si="23"/>
        <v>11</v>
      </c>
      <c r="R93" s="13">
        <f t="shared" si="23"/>
        <v>2</v>
      </c>
      <c r="S93" s="13">
        <f t="shared" si="23"/>
        <v>3</v>
      </c>
      <c r="T93" s="13">
        <f t="shared" si="23"/>
        <v>7</v>
      </c>
      <c r="U93" s="13">
        <f t="shared" si="23"/>
        <v>2</v>
      </c>
      <c r="V93" s="13">
        <f t="shared" si="23"/>
        <v>2</v>
      </c>
      <c r="W93" s="13">
        <f t="shared" si="23"/>
        <v>10</v>
      </c>
      <c r="X93" s="13">
        <f t="shared" si="23"/>
        <v>19</v>
      </c>
      <c r="Y93" s="13">
        <f t="shared" si="23"/>
        <v>16</v>
      </c>
      <c r="Z93" s="13">
        <f t="shared" si="23"/>
        <v>15</v>
      </c>
      <c r="AA93" s="13">
        <f t="shared" si="23"/>
        <v>2</v>
      </c>
      <c r="AB93" s="13">
        <f t="shared" si="23"/>
        <v>5</v>
      </c>
      <c r="AC93" s="13">
        <f t="shared" si="23"/>
        <v>2</v>
      </c>
      <c r="AD93" s="13">
        <f t="shared" si="23"/>
        <v>3</v>
      </c>
      <c r="AE93" s="13">
        <f t="shared" si="23"/>
        <v>3</v>
      </c>
      <c r="AF93" s="13">
        <f t="shared" si="23"/>
        <v>22</v>
      </c>
      <c r="AG93" s="13">
        <f t="shared" si="23"/>
        <v>41</v>
      </c>
      <c r="AH93" s="13">
        <f t="shared" si="23"/>
        <v>10</v>
      </c>
      <c r="AI93" s="13">
        <f t="shared" si="23"/>
        <v>15</v>
      </c>
      <c r="AJ93" s="13">
        <f t="shared" si="23"/>
        <v>5</v>
      </c>
      <c r="AK93" s="13">
        <f t="shared" si="23"/>
        <v>10</v>
      </c>
      <c r="AL93" s="13">
        <f t="shared" si="23"/>
        <v>11</v>
      </c>
      <c r="AM93" s="13">
        <f t="shared" si="23"/>
        <v>15</v>
      </c>
      <c r="AN93" s="13">
        <f t="shared" si="23"/>
        <v>8</v>
      </c>
      <c r="AO93" s="13">
        <f t="shared" si="23"/>
        <v>15</v>
      </c>
      <c r="AP93" s="13">
        <f t="shared" si="23"/>
        <v>9</v>
      </c>
      <c r="AQ93" s="13">
        <f t="shared" si="23"/>
        <v>6</v>
      </c>
      <c r="AR93" s="13">
        <f t="shared" si="23"/>
        <v>22</v>
      </c>
      <c r="AS93" s="13">
        <f t="shared" si="23"/>
        <v>38</v>
      </c>
      <c r="AT93" s="13">
        <f t="shared" si="23"/>
        <v>35</v>
      </c>
      <c r="AU93" s="13">
        <f t="shared" si="23"/>
        <v>25</v>
      </c>
      <c r="AV93" s="13">
        <f t="shared" si="23"/>
        <v>19</v>
      </c>
      <c r="AW93" s="13">
        <f t="shared" si="23"/>
        <v>3</v>
      </c>
      <c r="AX93" s="13">
        <f t="shared" si="23"/>
        <v>0</v>
      </c>
      <c r="AY93" s="13">
        <f t="shared" si="23"/>
        <v>4</v>
      </c>
      <c r="AZ93" s="13">
        <f t="shared" si="23"/>
        <v>4</v>
      </c>
      <c r="BA93" s="13">
        <f t="shared" si="23"/>
        <v>10</v>
      </c>
      <c r="BB93" s="13">
        <f t="shared" si="23"/>
        <v>1</v>
      </c>
      <c r="BC93" s="13">
        <f t="shared" si="23"/>
        <v>12</v>
      </c>
      <c r="BD93" s="13">
        <f t="shared" si="23"/>
        <v>9</v>
      </c>
      <c r="BE93" s="13">
        <f t="shared" si="23"/>
        <v>497</v>
      </c>
    </row>
    <row r="94" ht="12.75" customHeight="1">
      <c r="A94" s="45"/>
      <c r="B94" s="44"/>
      <c r="C94" s="44"/>
      <c r="D94" s="44"/>
      <c r="E94" s="44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>
        <v>1.0</v>
      </c>
      <c r="F95" s="19">
        <v>0.0</v>
      </c>
      <c r="G95" s="19">
        <v>0.0</v>
      </c>
      <c r="H95" s="19">
        <v>1.0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2.0</v>
      </c>
      <c r="R95" s="19">
        <v>0.0</v>
      </c>
      <c r="S95" s="19">
        <v>1.0</v>
      </c>
      <c r="T95" s="19">
        <v>0.0</v>
      </c>
      <c r="U95" s="19">
        <v>0.0</v>
      </c>
      <c r="V95" s="19">
        <v>0.0</v>
      </c>
      <c r="W95" s="19">
        <v>0.0</v>
      </c>
      <c r="X95" s="19">
        <v>0.0</v>
      </c>
      <c r="Y95" s="19">
        <v>0.0</v>
      </c>
      <c r="Z95" s="19">
        <v>1.0</v>
      </c>
      <c r="AA95" s="19">
        <v>0.0</v>
      </c>
      <c r="AB95" s="19">
        <v>0.0</v>
      </c>
      <c r="AC95" s="19">
        <v>0.0</v>
      </c>
      <c r="AD95" s="19">
        <v>0.0</v>
      </c>
      <c r="AE95" s="19">
        <v>2.0</v>
      </c>
      <c r="AF95" s="19">
        <v>0.0</v>
      </c>
      <c r="AG95" s="19">
        <v>1.0</v>
      </c>
      <c r="AH95" s="19">
        <v>0.0</v>
      </c>
      <c r="AI95" s="19">
        <v>0.0</v>
      </c>
      <c r="AJ95" s="19">
        <v>0.0</v>
      </c>
      <c r="AK95" s="19">
        <v>0.0</v>
      </c>
      <c r="AL95" s="19">
        <v>0.0</v>
      </c>
      <c r="AM95" s="19">
        <v>0.0</v>
      </c>
      <c r="AN95" s="19">
        <v>2.0</v>
      </c>
      <c r="AO95" s="19">
        <v>0.0</v>
      </c>
      <c r="AP95" s="19">
        <v>0.0</v>
      </c>
      <c r="AQ95" s="19">
        <v>0.0</v>
      </c>
      <c r="AR95" s="19">
        <v>0.0</v>
      </c>
      <c r="AS95" s="19">
        <v>0.0</v>
      </c>
      <c r="AT95" s="19">
        <v>1.0</v>
      </c>
      <c r="AU95" s="19">
        <v>0.0</v>
      </c>
      <c r="AV95" s="19">
        <v>1.0</v>
      </c>
      <c r="AW95" s="19">
        <v>0.0</v>
      </c>
      <c r="AX95" s="19">
        <v>0.0</v>
      </c>
      <c r="AY95" s="19">
        <v>0.0</v>
      </c>
      <c r="AZ95" s="19">
        <v>0.0</v>
      </c>
      <c r="BA95" s="19">
        <v>1.0</v>
      </c>
      <c r="BB95" s="19">
        <v>0.0</v>
      </c>
      <c r="BC95" s="19">
        <v>1.0</v>
      </c>
      <c r="BD95" s="19">
        <v>0.0</v>
      </c>
      <c r="BE95" s="13">
        <f t="shared" ref="BE95:BE102" si="24">SUM(E95:BD95)</f>
        <v>15</v>
      </c>
    </row>
    <row r="96" ht="12.75" customHeight="1">
      <c r="A96" s="30" t="s">
        <v>39</v>
      </c>
      <c r="B96" s="55">
        <v>1.0</v>
      </c>
      <c r="C96" s="50" t="s">
        <v>83</v>
      </c>
      <c r="D96" s="57"/>
      <c r="E96" s="19">
        <v>1.0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1.0</v>
      </c>
      <c r="R96" s="19">
        <v>1.0</v>
      </c>
      <c r="S96" s="19">
        <v>0.0</v>
      </c>
      <c r="T96" s="19">
        <v>0.0</v>
      </c>
      <c r="U96" s="19">
        <v>1.0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0.0</v>
      </c>
      <c r="AG96" s="19">
        <v>0.0</v>
      </c>
      <c r="AH96" s="19">
        <v>0.0</v>
      </c>
      <c r="AI96" s="19">
        <v>0.0</v>
      </c>
      <c r="AJ96" s="19">
        <v>0.0</v>
      </c>
      <c r="AK96" s="19">
        <v>0.0</v>
      </c>
      <c r="AL96" s="19">
        <v>3.0</v>
      </c>
      <c r="AM96" s="19">
        <v>1.0</v>
      </c>
      <c r="AN96" s="19">
        <v>2.0</v>
      </c>
      <c r="AO96" s="19">
        <v>0.0</v>
      </c>
      <c r="AP96" s="19">
        <v>0.0</v>
      </c>
      <c r="AQ96" s="19">
        <v>0.0</v>
      </c>
      <c r="AR96" s="19">
        <v>0.0</v>
      </c>
      <c r="AS96" s="19">
        <v>0.0</v>
      </c>
      <c r="AT96" s="19">
        <v>0.0</v>
      </c>
      <c r="AU96" s="19">
        <v>0.0</v>
      </c>
      <c r="AV96" s="19">
        <v>0.0</v>
      </c>
      <c r="AW96" s="19">
        <v>0.0</v>
      </c>
      <c r="AX96" s="19">
        <v>0.0</v>
      </c>
      <c r="AY96" s="19">
        <v>0.0</v>
      </c>
      <c r="AZ96" s="19">
        <v>0.0</v>
      </c>
      <c r="BA96" s="19">
        <v>1.0</v>
      </c>
      <c r="BB96" s="19">
        <v>0.0</v>
      </c>
      <c r="BC96" s="19">
        <v>0.0</v>
      </c>
      <c r="BD96" s="19">
        <v>0.0</v>
      </c>
      <c r="BE96" s="13">
        <f t="shared" si="24"/>
        <v>11</v>
      </c>
    </row>
    <row r="97" ht="12.75" customHeight="1">
      <c r="A97" s="18"/>
      <c r="B97" s="55">
        <v>2.0</v>
      </c>
      <c r="C97" s="50" t="s">
        <v>84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1.0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2.0</v>
      </c>
      <c r="W97" s="19">
        <v>0.0</v>
      </c>
      <c r="X97" s="19">
        <v>0.0</v>
      </c>
      <c r="Y97" s="19">
        <v>0.0</v>
      </c>
      <c r="Z97" s="19">
        <v>0.0</v>
      </c>
      <c r="AA97" s="19">
        <v>0.0</v>
      </c>
      <c r="AB97" s="19">
        <v>0.0</v>
      </c>
      <c r="AC97" s="19">
        <v>0.0</v>
      </c>
      <c r="AD97" s="19">
        <v>0.0</v>
      </c>
      <c r="AE97" s="19">
        <v>0.0</v>
      </c>
      <c r="AF97" s="19">
        <v>0.0</v>
      </c>
      <c r="AG97" s="19">
        <v>0.0</v>
      </c>
      <c r="AH97" s="19">
        <v>1.0</v>
      </c>
      <c r="AI97" s="19">
        <v>0.0</v>
      </c>
      <c r="AJ97" s="19">
        <v>0.0</v>
      </c>
      <c r="AK97" s="19">
        <v>0.0</v>
      </c>
      <c r="AL97" s="19">
        <v>0.0</v>
      </c>
      <c r="AM97" s="19">
        <v>0.0</v>
      </c>
      <c r="AN97" s="19">
        <v>0.0</v>
      </c>
      <c r="AO97" s="19">
        <v>0.0</v>
      </c>
      <c r="AP97" s="19">
        <v>0.0</v>
      </c>
      <c r="AQ97" s="19">
        <v>0.0</v>
      </c>
      <c r="AR97" s="19">
        <v>0.0</v>
      </c>
      <c r="AS97" s="19">
        <v>0.0</v>
      </c>
      <c r="AT97" s="19">
        <v>0.0</v>
      </c>
      <c r="AU97" s="19">
        <v>0.0</v>
      </c>
      <c r="AV97" s="19">
        <v>0.0</v>
      </c>
      <c r="AW97" s="19">
        <v>0.0</v>
      </c>
      <c r="AX97" s="19">
        <v>0.0</v>
      </c>
      <c r="AY97" s="19">
        <v>0.0</v>
      </c>
      <c r="AZ97" s="19">
        <v>0.0</v>
      </c>
      <c r="BA97" s="19">
        <v>0.0</v>
      </c>
      <c r="BB97" s="19">
        <v>0.0</v>
      </c>
      <c r="BC97" s="19">
        <v>0.0</v>
      </c>
      <c r="BD97" s="19">
        <v>0.0</v>
      </c>
      <c r="BE97" s="13">
        <f t="shared" si="24"/>
        <v>4</v>
      </c>
    </row>
    <row r="98" ht="12.75" customHeight="1">
      <c r="A98" s="18"/>
      <c r="B98" s="55">
        <v>3.0</v>
      </c>
      <c r="C98" s="50" t="s">
        <v>85</v>
      </c>
      <c r="D98" s="57"/>
      <c r="E98" s="73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0.0</v>
      </c>
      <c r="AK98" s="19">
        <v>0.0</v>
      </c>
      <c r="AL98" s="19">
        <v>0.0</v>
      </c>
      <c r="AM98" s="19">
        <v>0.0</v>
      </c>
      <c r="AN98" s="19">
        <v>0.0</v>
      </c>
      <c r="AO98" s="19">
        <v>0.0</v>
      </c>
      <c r="AP98" s="19">
        <v>0.0</v>
      </c>
      <c r="AQ98" s="19">
        <v>0.0</v>
      </c>
      <c r="AR98" s="19">
        <v>0.0</v>
      </c>
      <c r="AS98" s="19">
        <v>0.0</v>
      </c>
      <c r="AT98" s="19">
        <v>0.0</v>
      </c>
      <c r="AU98" s="19">
        <v>0.0</v>
      </c>
      <c r="AV98" s="19">
        <v>0.0</v>
      </c>
      <c r="AW98" s="19">
        <v>0.0</v>
      </c>
      <c r="AX98" s="19">
        <v>0.0</v>
      </c>
      <c r="AY98" s="19">
        <v>0.0</v>
      </c>
      <c r="AZ98" s="19">
        <v>0.0</v>
      </c>
      <c r="BA98" s="19">
        <v>0.0</v>
      </c>
      <c r="BB98" s="19">
        <v>0.0</v>
      </c>
      <c r="BC98" s="19">
        <v>0.0</v>
      </c>
      <c r="BD98" s="19">
        <v>0.0</v>
      </c>
      <c r="BE98" s="13">
        <f t="shared" si="24"/>
        <v>0</v>
      </c>
    </row>
    <row r="99" ht="12.75" customHeight="1">
      <c r="A99" s="18"/>
      <c r="B99" s="55">
        <v>4.0</v>
      </c>
      <c r="C99" s="50" t="s">
        <v>86</v>
      </c>
      <c r="D99" s="57"/>
      <c r="E99" s="73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0.0</v>
      </c>
      <c r="AK99" s="19">
        <v>0.0</v>
      </c>
      <c r="AL99" s="19">
        <v>0.0</v>
      </c>
      <c r="AM99" s="19">
        <v>0.0</v>
      </c>
      <c r="AN99" s="19">
        <v>0.0</v>
      </c>
      <c r="AO99" s="19">
        <v>0.0</v>
      </c>
      <c r="AP99" s="19">
        <v>0.0</v>
      </c>
      <c r="AQ99" s="19">
        <v>0.0</v>
      </c>
      <c r="AR99" s="19">
        <v>0.0</v>
      </c>
      <c r="AS99" s="19">
        <v>0.0</v>
      </c>
      <c r="AT99" s="19">
        <v>0.0</v>
      </c>
      <c r="AU99" s="19">
        <v>0.0</v>
      </c>
      <c r="AV99" s="19">
        <v>0.0</v>
      </c>
      <c r="AW99" s="19">
        <v>0.0</v>
      </c>
      <c r="AX99" s="19">
        <v>0.0</v>
      </c>
      <c r="AY99" s="19">
        <v>0.0</v>
      </c>
      <c r="AZ99" s="19">
        <v>0.0</v>
      </c>
      <c r="BA99" s="19">
        <v>1.0</v>
      </c>
      <c r="BB99" s="19">
        <v>0.0</v>
      </c>
      <c r="BC99" s="19">
        <v>0.0</v>
      </c>
      <c r="BD99" s="19">
        <v>0.0</v>
      </c>
      <c r="BE99" s="13">
        <f t="shared" si="24"/>
        <v>1</v>
      </c>
    </row>
    <row r="100" ht="12.75" customHeight="1">
      <c r="A100" s="18"/>
      <c r="B100" s="55">
        <v>5.0</v>
      </c>
      <c r="C100" s="50" t="s">
        <v>87</v>
      </c>
      <c r="D100" s="57"/>
      <c r="E100" s="73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9">
        <v>0.0</v>
      </c>
      <c r="AL100" s="19">
        <v>0.0</v>
      </c>
      <c r="AM100" s="19">
        <v>0.0</v>
      </c>
      <c r="AN100" s="19">
        <v>0.0</v>
      </c>
      <c r="AO100" s="19">
        <v>0.0</v>
      </c>
      <c r="AP100" s="19">
        <v>0.0</v>
      </c>
      <c r="AQ100" s="19">
        <v>0.0</v>
      </c>
      <c r="AR100" s="19">
        <v>0.0</v>
      </c>
      <c r="AS100" s="19">
        <v>0.0</v>
      </c>
      <c r="AT100" s="19">
        <v>0.0</v>
      </c>
      <c r="AU100" s="19">
        <v>0.0</v>
      </c>
      <c r="AV100" s="19">
        <v>0.0</v>
      </c>
      <c r="AW100" s="19">
        <v>0.0</v>
      </c>
      <c r="AX100" s="19">
        <v>0.0</v>
      </c>
      <c r="AY100" s="19">
        <v>0.0</v>
      </c>
      <c r="AZ100" s="19">
        <v>0.0</v>
      </c>
      <c r="BA100" s="19">
        <v>0.0</v>
      </c>
      <c r="BB100" s="19">
        <v>0.0</v>
      </c>
      <c r="BC100" s="19">
        <v>0.0</v>
      </c>
      <c r="BD100" s="19">
        <v>0.0</v>
      </c>
      <c r="BE100" s="13">
        <f t="shared" si="24"/>
        <v>0</v>
      </c>
    </row>
    <row r="101" ht="12.75" customHeight="1">
      <c r="A101" s="18"/>
      <c r="B101" s="55">
        <v>6.0</v>
      </c>
      <c r="C101" s="50" t="s">
        <v>88</v>
      </c>
      <c r="D101" s="57"/>
      <c r="E101" s="73">
        <v>0.0</v>
      </c>
      <c r="F101" s="19">
        <v>0.0</v>
      </c>
      <c r="G101" s="19">
        <v>0.0</v>
      </c>
      <c r="H101" s="19">
        <v>0.0</v>
      </c>
      <c r="I101" s="19">
        <v>0.0</v>
      </c>
      <c r="J101" s="19">
        <v>0.0</v>
      </c>
      <c r="K101" s="19">
        <v>0.0</v>
      </c>
      <c r="L101" s="19">
        <v>0.0</v>
      </c>
      <c r="M101" s="19">
        <v>0.0</v>
      </c>
      <c r="N101" s="19">
        <v>0.0</v>
      </c>
      <c r="O101" s="19">
        <v>0.0</v>
      </c>
      <c r="P101" s="19">
        <v>0.0</v>
      </c>
      <c r="Q101" s="19">
        <v>0.0</v>
      </c>
      <c r="R101" s="19">
        <v>0.0</v>
      </c>
      <c r="S101" s="19">
        <v>0.0</v>
      </c>
      <c r="T101" s="19">
        <v>0.0</v>
      </c>
      <c r="U101" s="19">
        <v>0.0</v>
      </c>
      <c r="V101" s="19">
        <v>0.0</v>
      </c>
      <c r="W101" s="19">
        <v>0.0</v>
      </c>
      <c r="X101" s="19">
        <v>0.0</v>
      </c>
      <c r="Y101" s="19">
        <v>0.0</v>
      </c>
      <c r="Z101" s="19">
        <v>0.0</v>
      </c>
      <c r="AA101" s="19">
        <v>0.0</v>
      </c>
      <c r="AB101" s="19">
        <v>0.0</v>
      </c>
      <c r="AC101" s="19">
        <v>0.0</v>
      </c>
      <c r="AD101" s="19">
        <v>0.0</v>
      </c>
      <c r="AE101" s="19">
        <v>0.0</v>
      </c>
      <c r="AF101" s="19">
        <v>0.0</v>
      </c>
      <c r="AG101" s="19">
        <v>0.0</v>
      </c>
      <c r="AH101" s="19">
        <v>0.0</v>
      </c>
      <c r="AI101" s="19">
        <v>0.0</v>
      </c>
      <c r="AJ101" s="19">
        <v>0.0</v>
      </c>
      <c r="AK101" s="19">
        <v>0.0</v>
      </c>
      <c r="AL101" s="19">
        <v>0.0</v>
      </c>
      <c r="AM101" s="19">
        <v>0.0</v>
      </c>
      <c r="AN101" s="19">
        <v>0.0</v>
      </c>
      <c r="AO101" s="19">
        <v>0.0</v>
      </c>
      <c r="AP101" s="19">
        <v>0.0</v>
      </c>
      <c r="AQ101" s="19">
        <v>0.0</v>
      </c>
      <c r="AR101" s="19">
        <v>0.0</v>
      </c>
      <c r="AS101" s="19">
        <v>0.0</v>
      </c>
      <c r="AT101" s="19">
        <v>0.0</v>
      </c>
      <c r="AU101" s="19">
        <v>0.0</v>
      </c>
      <c r="AV101" s="19">
        <v>0.0</v>
      </c>
      <c r="AW101" s="19">
        <v>0.0</v>
      </c>
      <c r="AX101" s="19">
        <v>0.0</v>
      </c>
      <c r="AY101" s="19">
        <v>0.0</v>
      </c>
      <c r="AZ101" s="19">
        <v>0.0</v>
      </c>
      <c r="BA101" s="19">
        <v>0.0</v>
      </c>
      <c r="BB101" s="19">
        <v>0.0</v>
      </c>
      <c r="BC101" s="19">
        <v>0.0</v>
      </c>
      <c r="BD101" s="19">
        <v>0.0</v>
      </c>
      <c r="BE101" s="13">
        <f t="shared" si="24"/>
        <v>0</v>
      </c>
    </row>
    <row r="102" ht="12.75" customHeight="1">
      <c r="A102" s="18"/>
      <c r="B102" s="55">
        <v>7.0</v>
      </c>
      <c r="C102" s="50" t="s">
        <v>89</v>
      </c>
      <c r="D102" s="57"/>
      <c r="E102" s="73">
        <v>0.0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0.0</v>
      </c>
      <c r="R102" s="19">
        <v>0.0</v>
      </c>
      <c r="S102" s="19">
        <v>0.0</v>
      </c>
      <c r="T102" s="19">
        <v>0.0</v>
      </c>
      <c r="U102" s="19">
        <v>0.0</v>
      </c>
      <c r="V102" s="19">
        <v>0.0</v>
      </c>
      <c r="W102" s="19">
        <v>0.0</v>
      </c>
      <c r="X102" s="19">
        <v>0.0</v>
      </c>
      <c r="Y102" s="19">
        <v>0.0</v>
      </c>
      <c r="Z102" s="19">
        <v>0.0</v>
      </c>
      <c r="AA102" s="19">
        <v>0.0</v>
      </c>
      <c r="AB102" s="19">
        <v>0.0</v>
      </c>
      <c r="AC102" s="19">
        <v>0.0</v>
      </c>
      <c r="AD102" s="19">
        <v>0.0</v>
      </c>
      <c r="AE102" s="19">
        <v>0.0</v>
      </c>
      <c r="AF102" s="19">
        <v>0.0</v>
      </c>
      <c r="AG102" s="19">
        <v>0.0</v>
      </c>
      <c r="AH102" s="19">
        <v>0.0</v>
      </c>
      <c r="AI102" s="19">
        <v>0.0</v>
      </c>
      <c r="AJ102" s="19">
        <v>0.0</v>
      </c>
      <c r="AK102" s="19">
        <v>0.0</v>
      </c>
      <c r="AL102" s="19">
        <v>0.0</v>
      </c>
      <c r="AM102" s="19">
        <v>0.0</v>
      </c>
      <c r="AN102" s="19">
        <v>0.0</v>
      </c>
      <c r="AO102" s="19">
        <v>0.0</v>
      </c>
      <c r="AP102" s="19">
        <v>0.0</v>
      </c>
      <c r="AQ102" s="19">
        <v>0.0</v>
      </c>
      <c r="AR102" s="19">
        <v>0.0</v>
      </c>
      <c r="AS102" s="19">
        <v>0.0</v>
      </c>
      <c r="AT102" s="19">
        <v>0.0</v>
      </c>
      <c r="AU102" s="19">
        <v>0.0</v>
      </c>
      <c r="AV102" s="19">
        <v>0.0</v>
      </c>
      <c r="AW102" s="19">
        <v>0.0</v>
      </c>
      <c r="AX102" s="19">
        <v>0.0</v>
      </c>
      <c r="AY102" s="19">
        <v>0.0</v>
      </c>
      <c r="AZ102" s="19">
        <v>0.0</v>
      </c>
      <c r="BA102" s="19">
        <v>0.0</v>
      </c>
      <c r="BB102" s="19">
        <v>0.0</v>
      </c>
      <c r="BC102" s="19">
        <v>0.0</v>
      </c>
      <c r="BD102" s="19">
        <v>0.0</v>
      </c>
      <c r="BE102" s="13">
        <f t="shared" si="24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BE103" si="25">SUM(E95:E102)</f>
        <v>2</v>
      </c>
      <c r="F103" s="13">
        <f t="shared" si="25"/>
        <v>0</v>
      </c>
      <c r="G103" s="13">
        <f t="shared" si="25"/>
        <v>0</v>
      </c>
      <c r="H103" s="13">
        <f t="shared" si="25"/>
        <v>1</v>
      </c>
      <c r="I103" s="13">
        <f t="shared" si="25"/>
        <v>0</v>
      </c>
      <c r="J103" s="13">
        <f t="shared" si="25"/>
        <v>0</v>
      </c>
      <c r="K103" s="13">
        <f t="shared" si="25"/>
        <v>0</v>
      </c>
      <c r="L103" s="13">
        <f t="shared" si="25"/>
        <v>0</v>
      </c>
      <c r="M103" s="13">
        <f t="shared" si="25"/>
        <v>0</v>
      </c>
      <c r="N103" s="13">
        <f t="shared" si="25"/>
        <v>1</v>
      </c>
      <c r="O103" s="13">
        <f t="shared" si="25"/>
        <v>0</v>
      </c>
      <c r="P103" s="13">
        <f t="shared" si="25"/>
        <v>0</v>
      </c>
      <c r="Q103" s="13">
        <f t="shared" si="25"/>
        <v>3</v>
      </c>
      <c r="R103" s="13">
        <f t="shared" si="25"/>
        <v>1</v>
      </c>
      <c r="S103" s="13">
        <f t="shared" si="25"/>
        <v>1</v>
      </c>
      <c r="T103" s="13">
        <f t="shared" si="25"/>
        <v>0</v>
      </c>
      <c r="U103" s="13">
        <f t="shared" si="25"/>
        <v>1</v>
      </c>
      <c r="V103" s="13">
        <f t="shared" si="25"/>
        <v>2</v>
      </c>
      <c r="W103" s="13">
        <f t="shared" si="25"/>
        <v>0</v>
      </c>
      <c r="X103" s="13">
        <f t="shared" si="25"/>
        <v>0</v>
      </c>
      <c r="Y103" s="13">
        <f t="shared" si="25"/>
        <v>0</v>
      </c>
      <c r="Z103" s="13">
        <f t="shared" si="25"/>
        <v>1</v>
      </c>
      <c r="AA103" s="13">
        <f t="shared" si="25"/>
        <v>0</v>
      </c>
      <c r="AB103" s="13">
        <f t="shared" si="25"/>
        <v>0</v>
      </c>
      <c r="AC103" s="13">
        <f t="shared" si="25"/>
        <v>0</v>
      </c>
      <c r="AD103" s="13">
        <f t="shared" si="25"/>
        <v>0</v>
      </c>
      <c r="AE103" s="13">
        <f t="shared" si="25"/>
        <v>2</v>
      </c>
      <c r="AF103" s="13">
        <f t="shared" si="25"/>
        <v>0</v>
      </c>
      <c r="AG103" s="13">
        <f t="shared" si="25"/>
        <v>1</v>
      </c>
      <c r="AH103" s="13">
        <f t="shared" si="25"/>
        <v>1</v>
      </c>
      <c r="AI103" s="13">
        <f t="shared" si="25"/>
        <v>0</v>
      </c>
      <c r="AJ103" s="13">
        <f t="shared" si="25"/>
        <v>0</v>
      </c>
      <c r="AK103" s="13">
        <f t="shared" si="25"/>
        <v>0</v>
      </c>
      <c r="AL103" s="13">
        <f t="shared" si="25"/>
        <v>3</v>
      </c>
      <c r="AM103" s="13">
        <f t="shared" si="25"/>
        <v>1</v>
      </c>
      <c r="AN103" s="13">
        <f t="shared" si="25"/>
        <v>4</v>
      </c>
      <c r="AO103" s="13">
        <f t="shared" si="25"/>
        <v>0</v>
      </c>
      <c r="AP103" s="13">
        <f t="shared" si="25"/>
        <v>0</v>
      </c>
      <c r="AQ103" s="13">
        <f t="shared" si="25"/>
        <v>0</v>
      </c>
      <c r="AR103" s="13">
        <f t="shared" si="25"/>
        <v>0</v>
      </c>
      <c r="AS103" s="13">
        <f t="shared" si="25"/>
        <v>0</v>
      </c>
      <c r="AT103" s="13">
        <f t="shared" si="25"/>
        <v>1</v>
      </c>
      <c r="AU103" s="13">
        <f t="shared" si="25"/>
        <v>0</v>
      </c>
      <c r="AV103" s="13">
        <f t="shared" si="25"/>
        <v>1</v>
      </c>
      <c r="AW103" s="13">
        <f t="shared" si="25"/>
        <v>0</v>
      </c>
      <c r="AX103" s="13">
        <f t="shared" si="25"/>
        <v>0</v>
      </c>
      <c r="AY103" s="13">
        <f t="shared" si="25"/>
        <v>0</v>
      </c>
      <c r="AZ103" s="13">
        <f t="shared" si="25"/>
        <v>0</v>
      </c>
      <c r="BA103" s="13">
        <f t="shared" si="25"/>
        <v>3</v>
      </c>
      <c r="BB103" s="13">
        <f t="shared" si="25"/>
        <v>0</v>
      </c>
      <c r="BC103" s="13">
        <f t="shared" si="25"/>
        <v>1</v>
      </c>
      <c r="BD103" s="13">
        <f t="shared" si="25"/>
        <v>0</v>
      </c>
      <c r="BE103" s="13">
        <f t="shared" si="25"/>
        <v>31</v>
      </c>
    </row>
    <row r="104" ht="12.75" customHeight="1">
      <c r="A104" s="24"/>
      <c r="B104" s="15"/>
      <c r="C104" s="15"/>
      <c r="D104" s="15"/>
      <c r="E104" s="16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13"/>
    </row>
    <row r="105" ht="12.75" customHeight="1">
      <c r="A105" s="30" t="s">
        <v>37</v>
      </c>
      <c r="B105" s="47" t="s">
        <v>90</v>
      </c>
      <c r="C105" s="48" t="s">
        <v>91</v>
      </c>
      <c r="D105" s="16"/>
      <c r="E105" s="19">
        <v>0.0</v>
      </c>
      <c r="F105" s="19">
        <v>0.0</v>
      </c>
      <c r="G105" s="19">
        <v>0.0</v>
      </c>
      <c r="H105" s="19">
        <v>1.0</v>
      </c>
      <c r="I105" s="19">
        <v>0.0</v>
      </c>
      <c r="J105" s="19">
        <v>1.0</v>
      </c>
      <c r="K105" s="19">
        <v>0.0</v>
      </c>
      <c r="L105" s="19">
        <v>1.0</v>
      </c>
      <c r="M105" s="19">
        <v>0.0</v>
      </c>
      <c r="N105" s="19">
        <v>0.0</v>
      </c>
      <c r="O105" s="19">
        <v>1.0</v>
      </c>
      <c r="P105" s="19">
        <v>0.0</v>
      </c>
      <c r="Q105" s="19">
        <v>0.0</v>
      </c>
      <c r="R105" s="19">
        <v>1.0</v>
      </c>
      <c r="S105" s="19">
        <v>1.0</v>
      </c>
      <c r="T105" s="19">
        <v>2.0</v>
      </c>
      <c r="U105" s="19">
        <v>2.0</v>
      </c>
      <c r="V105" s="19">
        <v>5.0</v>
      </c>
      <c r="W105" s="19">
        <v>0.0</v>
      </c>
      <c r="X105" s="19">
        <v>2.0</v>
      </c>
      <c r="Y105" s="19">
        <v>0.0</v>
      </c>
      <c r="Z105" s="19">
        <v>0.0</v>
      </c>
      <c r="AA105" s="19">
        <v>0.0</v>
      </c>
      <c r="AB105" s="19">
        <v>0.0</v>
      </c>
      <c r="AC105" s="19">
        <v>2.0</v>
      </c>
      <c r="AD105" s="19">
        <v>0.0</v>
      </c>
      <c r="AE105" s="19">
        <v>0.0</v>
      </c>
      <c r="AF105" s="19">
        <v>1.0</v>
      </c>
      <c r="AG105" s="19">
        <v>0.0</v>
      </c>
      <c r="AH105" s="19">
        <v>7.0</v>
      </c>
      <c r="AI105" s="19">
        <v>1.0</v>
      </c>
      <c r="AJ105" s="19">
        <v>0.0</v>
      </c>
      <c r="AK105" s="19">
        <v>0.0</v>
      </c>
      <c r="AL105" s="19">
        <v>0.0</v>
      </c>
      <c r="AM105" s="19">
        <v>0.0</v>
      </c>
      <c r="AN105" s="19">
        <v>0.0</v>
      </c>
      <c r="AO105" s="19">
        <v>2.0</v>
      </c>
      <c r="AP105" s="19">
        <v>2.0</v>
      </c>
      <c r="AQ105" s="19">
        <v>0.0</v>
      </c>
      <c r="AR105" s="19">
        <v>0.0</v>
      </c>
      <c r="AS105" s="19">
        <v>0.0</v>
      </c>
      <c r="AT105" s="19">
        <v>1.0</v>
      </c>
      <c r="AU105" s="19">
        <v>1.0</v>
      </c>
      <c r="AV105" s="19">
        <v>1.0</v>
      </c>
      <c r="AW105" s="19">
        <v>2.0</v>
      </c>
      <c r="AX105" s="19">
        <v>0.0</v>
      </c>
      <c r="AY105" s="19">
        <v>2.0</v>
      </c>
      <c r="AZ105" s="19">
        <v>2.0</v>
      </c>
      <c r="BA105" s="19">
        <v>0.0</v>
      </c>
      <c r="BB105" s="19">
        <v>1.0</v>
      </c>
      <c r="BC105" s="19">
        <v>1.0</v>
      </c>
      <c r="BD105" s="19">
        <v>1.0</v>
      </c>
      <c r="BE105" s="13">
        <f t="shared" ref="BE105:BE108" si="26">SUM(E105:BD105)</f>
        <v>44</v>
      </c>
    </row>
    <row r="106" ht="12.75" customHeight="1">
      <c r="A106" s="30" t="s">
        <v>39</v>
      </c>
      <c r="B106" s="55">
        <v>1.0</v>
      </c>
      <c r="C106" s="50" t="s">
        <v>92</v>
      </c>
      <c r="D106" s="57"/>
      <c r="E106" s="19">
        <v>0.0</v>
      </c>
      <c r="F106" s="19">
        <v>1.0</v>
      </c>
      <c r="G106" s="19">
        <v>0.0</v>
      </c>
      <c r="H106" s="19">
        <v>1.0</v>
      </c>
      <c r="I106" s="19">
        <v>1.0</v>
      </c>
      <c r="J106" s="19">
        <v>0.0</v>
      </c>
      <c r="K106" s="19">
        <v>0.0</v>
      </c>
      <c r="L106" s="19">
        <v>0.0</v>
      </c>
      <c r="M106" s="19">
        <v>0.0</v>
      </c>
      <c r="N106" s="19">
        <v>1.0</v>
      </c>
      <c r="O106" s="19">
        <v>0.0</v>
      </c>
      <c r="P106" s="19">
        <v>0.0</v>
      </c>
      <c r="Q106" s="19">
        <v>2.0</v>
      </c>
      <c r="R106" s="19">
        <v>0.0</v>
      </c>
      <c r="S106" s="19">
        <v>0.0</v>
      </c>
      <c r="T106" s="19">
        <v>0.0</v>
      </c>
      <c r="U106" s="19">
        <v>0.0</v>
      </c>
      <c r="V106" s="19">
        <v>1.0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1.0</v>
      </c>
      <c r="AC106" s="19">
        <v>2.0</v>
      </c>
      <c r="AD106" s="19">
        <v>1.0</v>
      </c>
      <c r="AE106" s="19">
        <v>0.0</v>
      </c>
      <c r="AF106" s="19">
        <v>1.0</v>
      </c>
      <c r="AG106" s="19">
        <v>1.0</v>
      </c>
      <c r="AH106" s="19">
        <v>2.0</v>
      </c>
      <c r="AI106" s="19">
        <v>0.0</v>
      </c>
      <c r="AJ106" s="19">
        <v>0.0</v>
      </c>
      <c r="AK106" s="19">
        <v>0.0</v>
      </c>
      <c r="AL106" s="19">
        <v>0.0</v>
      </c>
      <c r="AM106" s="19">
        <v>0.0</v>
      </c>
      <c r="AN106" s="19">
        <v>0.0</v>
      </c>
      <c r="AO106" s="19">
        <v>0.0</v>
      </c>
      <c r="AP106" s="19">
        <v>0.0</v>
      </c>
      <c r="AQ106" s="19">
        <v>0.0</v>
      </c>
      <c r="AR106" s="19">
        <v>0.0</v>
      </c>
      <c r="AS106" s="19">
        <v>0.0</v>
      </c>
      <c r="AT106" s="19">
        <v>0.0</v>
      </c>
      <c r="AU106" s="19">
        <v>0.0</v>
      </c>
      <c r="AV106" s="19">
        <v>0.0</v>
      </c>
      <c r="AW106" s="19">
        <v>0.0</v>
      </c>
      <c r="AX106" s="19">
        <v>0.0</v>
      </c>
      <c r="AY106" s="19">
        <v>0.0</v>
      </c>
      <c r="AZ106" s="19">
        <v>0.0</v>
      </c>
      <c r="BA106" s="19">
        <v>0.0</v>
      </c>
      <c r="BB106" s="19">
        <v>1.0</v>
      </c>
      <c r="BC106" s="19">
        <v>0.0</v>
      </c>
      <c r="BD106" s="19">
        <v>0.0</v>
      </c>
      <c r="BE106" s="13">
        <f t="shared" si="26"/>
        <v>16</v>
      </c>
    </row>
    <row r="107" ht="12.75" customHeight="1">
      <c r="A107" s="18"/>
      <c r="B107" s="55">
        <v>2.0</v>
      </c>
      <c r="C107" s="50" t="s">
        <v>93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1.0</v>
      </c>
      <c r="AI107" s="19">
        <v>0.0</v>
      </c>
      <c r="AJ107" s="19">
        <v>0.0</v>
      </c>
      <c r="AK107" s="19">
        <v>0.0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0.0</v>
      </c>
      <c r="AQ107" s="19">
        <v>0.0</v>
      </c>
      <c r="AR107" s="19">
        <v>0.0</v>
      </c>
      <c r="AS107" s="19">
        <v>0.0</v>
      </c>
      <c r="AT107" s="19">
        <v>0.0</v>
      </c>
      <c r="AU107" s="19">
        <v>0.0</v>
      </c>
      <c r="AV107" s="19">
        <v>0.0</v>
      </c>
      <c r="AW107" s="19">
        <v>0.0</v>
      </c>
      <c r="AX107" s="19">
        <v>0.0</v>
      </c>
      <c r="AY107" s="19">
        <v>0.0</v>
      </c>
      <c r="AZ107" s="19">
        <v>0.0</v>
      </c>
      <c r="BA107" s="19">
        <v>0.0</v>
      </c>
      <c r="BB107" s="19">
        <v>0.0</v>
      </c>
      <c r="BC107" s="19">
        <v>0.0</v>
      </c>
      <c r="BD107" s="19">
        <v>0.0</v>
      </c>
      <c r="BE107" s="13">
        <f t="shared" si="26"/>
        <v>1</v>
      </c>
    </row>
    <row r="108" ht="12.75" customHeight="1">
      <c r="A108" s="18"/>
      <c r="B108" s="55">
        <v>3.0</v>
      </c>
      <c r="C108" s="50" t="s">
        <v>94</v>
      </c>
      <c r="D108" s="57"/>
      <c r="E108" s="19">
        <v>0.0</v>
      </c>
      <c r="F108" s="19">
        <v>0.0</v>
      </c>
      <c r="G108" s="19">
        <v>0.0</v>
      </c>
      <c r="H108" s="19">
        <v>1.0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1.0</v>
      </c>
      <c r="AG108" s="19">
        <v>0.0</v>
      </c>
      <c r="AH108" s="19">
        <v>0.0</v>
      </c>
      <c r="AI108" s="19">
        <v>0.0</v>
      </c>
      <c r="AJ108" s="19">
        <v>1.0</v>
      </c>
      <c r="AK108" s="19">
        <v>0.0</v>
      </c>
      <c r="AL108" s="19">
        <v>0.0</v>
      </c>
      <c r="AM108" s="19">
        <v>0.0</v>
      </c>
      <c r="AN108" s="19">
        <v>0.0</v>
      </c>
      <c r="AO108" s="19">
        <v>0.0</v>
      </c>
      <c r="AP108" s="19">
        <v>0.0</v>
      </c>
      <c r="AQ108" s="19">
        <v>0.0</v>
      </c>
      <c r="AR108" s="19">
        <v>0.0</v>
      </c>
      <c r="AS108" s="19">
        <v>0.0</v>
      </c>
      <c r="AT108" s="19">
        <v>0.0</v>
      </c>
      <c r="AU108" s="19">
        <v>0.0</v>
      </c>
      <c r="AV108" s="19">
        <v>0.0</v>
      </c>
      <c r="AW108" s="19">
        <v>0.0</v>
      </c>
      <c r="AX108" s="19">
        <v>0.0</v>
      </c>
      <c r="AY108" s="19">
        <v>0.0</v>
      </c>
      <c r="AZ108" s="19">
        <v>0.0</v>
      </c>
      <c r="BA108" s="19">
        <v>0.0</v>
      </c>
      <c r="BB108" s="19">
        <v>0.0</v>
      </c>
      <c r="BC108" s="19">
        <v>0.0</v>
      </c>
      <c r="BD108" s="19">
        <v>0.0</v>
      </c>
      <c r="BE108" s="13">
        <f t="shared" si="26"/>
        <v>3</v>
      </c>
    </row>
    <row r="109" ht="12.75" customHeight="1">
      <c r="A109" s="19" t="s">
        <v>15</v>
      </c>
      <c r="B109" s="47" t="s">
        <v>47</v>
      </c>
      <c r="C109" s="15"/>
      <c r="D109" s="16"/>
      <c r="E109" s="13">
        <f t="shared" ref="E109:BE109" si="27">SUM(E105:E108)</f>
        <v>0</v>
      </c>
      <c r="F109" s="13">
        <f t="shared" si="27"/>
        <v>1</v>
      </c>
      <c r="G109" s="13">
        <f t="shared" si="27"/>
        <v>0</v>
      </c>
      <c r="H109" s="13">
        <f t="shared" si="27"/>
        <v>3</v>
      </c>
      <c r="I109" s="13">
        <f t="shared" si="27"/>
        <v>1</v>
      </c>
      <c r="J109" s="13">
        <f t="shared" si="27"/>
        <v>1</v>
      </c>
      <c r="K109" s="13">
        <f t="shared" si="27"/>
        <v>0</v>
      </c>
      <c r="L109" s="13">
        <f t="shared" si="27"/>
        <v>1</v>
      </c>
      <c r="M109" s="13">
        <f t="shared" si="27"/>
        <v>0</v>
      </c>
      <c r="N109" s="13">
        <f t="shared" si="27"/>
        <v>1</v>
      </c>
      <c r="O109" s="13">
        <f t="shared" si="27"/>
        <v>1</v>
      </c>
      <c r="P109" s="13">
        <f t="shared" si="27"/>
        <v>0</v>
      </c>
      <c r="Q109" s="13">
        <f t="shared" si="27"/>
        <v>2</v>
      </c>
      <c r="R109" s="13">
        <f t="shared" si="27"/>
        <v>1</v>
      </c>
      <c r="S109" s="13">
        <f t="shared" si="27"/>
        <v>1</v>
      </c>
      <c r="T109" s="13">
        <f t="shared" si="27"/>
        <v>2</v>
      </c>
      <c r="U109" s="13">
        <f t="shared" si="27"/>
        <v>2</v>
      </c>
      <c r="V109" s="13">
        <f t="shared" si="27"/>
        <v>6</v>
      </c>
      <c r="W109" s="13">
        <f t="shared" si="27"/>
        <v>0</v>
      </c>
      <c r="X109" s="13">
        <f t="shared" si="27"/>
        <v>2</v>
      </c>
      <c r="Y109" s="13">
        <f t="shared" si="27"/>
        <v>0</v>
      </c>
      <c r="Z109" s="13">
        <f t="shared" si="27"/>
        <v>0</v>
      </c>
      <c r="AA109" s="13">
        <f t="shared" si="27"/>
        <v>0</v>
      </c>
      <c r="AB109" s="13">
        <f t="shared" si="27"/>
        <v>1</v>
      </c>
      <c r="AC109" s="13">
        <f t="shared" si="27"/>
        <v>4</v>
      </c>
      <c r="AD109" s="13">
        <f t="shared" si="27"/>
        <v>1</v>
      </c>
      <c r="AE109" s="13">
        <f t="shared" si="27"/>
        <v>0</v>
      </c>
      <c r="AF109" s="13">
        <f t="shared" si="27"/>
        <v>3</v>
      </c>
      <c r="AG109" s="13">
        <f t="shared" si="27"/>
        <v>1</v>
      </c>
      <c r="AH109" s="13">
        <f t="shared" si="27"/>
        <v>10</v>
      </c>
      <c r="AI109" s="13">
        <f t="shared" si="27"/>
        <v>1</v>
      </c>
      <c r="AJ109" s="13">
        <f t="shared" si="27"/>
        <v>1</v>
      </c>
      <c r="AK109" s="13">
        <f t="shared" si="27"/>
        <v>0</v>
      </c>
      <c r="AL109" s="13">
        <f t="shared" si="27"/>
        <v>0</v>
      </c>
      <c r="AM109" s="13">
        <f t="shared" si="27"/>
        <v>0</v>
      </c>
      <c r="AN109" s="13">
        <f t="shared" si="27"/>
        <v>0</v>
      </c>
      <c r="AO109" s="13">
        <f t="shared" si="27"/>
        <v>2</v>
      </c>
      <c r="AP109" s="13">
        <f t="shared" si="27"/>
        <v>2</v>
      </c>
      <c r="AQ109" s="13">
        <f t="shared" si="27"/>
        <v>0</v>
      </c>
      <c r="AR109" s="13">
        <f t="shared" si="27"/>
        <v>0</v>
      </c>
      <c r="AS109" s="13">
        <f t="shared" si="27"/>
        <v>0</v>
      </c>
      <c r="AT109" s="13">
        <f t="shared" si="27"/>
        <v>1</v>
      </c>
      <c r="AU109" s="13">
        <f t="shared" si="27"/>
        <v>1</v>
      </c>
      <c r="AV109" s="13">
        <f t="shared" si="27"/>
        <v>1</v>
      </c>
      <c r="AW109" s="13">
        <f t="shared" si="27"/>
        <v>2</v>
      </c>
      <c r="AX109" s="13">
        <f t="shared" si="27"/>
        <v>0</v>
      </c>
      <c r="AY109" s="13">
        <f t="shared" si="27"/>
        <v>2</v>
      </c>
      <c r="AZ109" s="13">
        <f t="shared" si="27"/>
        <v>2</v>
      </c>
      <c r="BA109" s="13">
        <f t="shared" si="27"/>
        <v>0</v>
      </c>
      <c r="BB109" s="13">
        <f t="shared" si="27"/>
        <v>2</v>
      </c>
      <c r="BC109" s="13">
        <f t="shared" si="27"/>
        <v>1</v>
      </c>
      <c r="BD109" s="13">
        <f t="shared" si="27"/>
        <v>1</v>
      </c>
      <c r="BE109" s="13">
        <f t="shared" si="27"/>
        <v>64</v>
      </c>
    </row>
    <row r="110" ht="12.75" customHeight="1">
      <c r="A110" s="24"/>
      <c r="B110" s="15"/>
      <c r="C110" s="15"/>
      <c r="D110" s="15"/>
      <c r="E110" s="16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</row>
    <row r="111" ht="12.75" customHeight="1">
      <c r="A111" s="30" t="s">
        <v>37</v>
      </c>
      <c r="B111" s="47" t="s">
        <v>95</v>
      </c>
      <c r="C111" s="48" t="s">
        <v>96</v>
      </c>
      <c r="D111" s="16"/>
      <c r="E111" s="19">
        <v>0.0</v>
      </c>
      <c r="F111" s="19">
        <v>1.0</v>
      </c>
      <c r="G111" s="19">
        <v>2.0</v>
      </c>
      <c r="H111" s="19">
        <v>1.0</v>
      </c>
      <c r="I111" s="19">
        <v>1.0</v>
      </c>
      <c r="J111" s="19">
        <v>2.0</v>
      </c>
      <c r="K111" s="19">
        <v>2.0</v>
      </c>
      <c r="L111" s="19">
        <v>4.0</v>
      </c>
      <c r="M111" s="19">
        <v>0.0</v>
      </c>
      <c r="N111" s="19">
        <v>1.0</v>
      </c>
      <c r="O111" s="19">
        <v>2.0</v>
      </c>
      <c r="P111" s="19">
        <v>0.0</v>
      </c>
      <c r="Q111" s="19">
        <v>2.0</v>
      </c>
      <c r="R111" s="19">
        <v>1.0</v>
      </c>
      <c r="S111" s="19">
        <v>3.0</v>
      </c>
      <c r="T111" s="19">
        <v>0.0</v>
      </c>
      <c r="U111" s="19">
        <v>2.0</v>
      </c>
      <c r="V111" s="19">
        <v>0.0</v>
      </c>
      <c r="W111" s="19">
        <v>1.0</v>
      </c>
      <c r="X111" s="19">
        <v>1.0</v>
      </c>
      <c r="Y111" s="19">
        <v>1.0</v>
      </c>
      <c r="Z111" s="19">
        <v>0.0</v>
      </c>
      <c r="AA111" s="19">
        <v>0.0</v>
      </c>
      <c r="AB111" s="19">
        <v>1.0</v>
      </c>
      <c r="AC111" s="19">
        <v>0.0</v>
      </c>
      <c r="AD111" s="19">
        <v>1.0</v>
      </c>
      <c r="AE111" s="19">
        <v>2.0</v>
      </c>
      <c r="AF111" s="19">
        <v>1.0</v>
      </c>
      <c r="AG111" s="19">
        <v>0.0</v>
      </c>
      <c r="AH111" s="19">
        <v>1.0</v>
      </c>
      <c r="AI111" s="19">
        <v>1.0</v>
      </c>
      <c r="AJ111" s="19">
        <v>0.0</v>
      </c>
      <c r="AK111" s="19">
        <v>1.0</v>
      </c>
      <c r="AL111" s="19">
        <v>1.0</v>
      </c>
      <c r="AM111" s="19">
        <v>0.0</v>
      </c>
      <c r="AN111" s="19">
        <v>0.0</v>
      </c>
      <c r="AO111" s="19">
        <v>11.0</v>
      </c>
      <c r="AP111" s="19">
        <v>4.0</v>
      </c>
      <c r="AQ111" s="19">
        <v>1.0</v>
      </c>
      <c r="AR111" s="19">
        <v>0.0</v>
      </c>
      <c r="AS111" s="19">
        <v>0.0</v>
      </c>
      <c r="AT111" s="19">
        <v>2.0</v>
      </c>
      <c r="AU111" s="19">
        <v>0.0</v>
      </c>
      <c r="AV111" s="19">
        <v>0.0</v>
      </c>
      <c r="AW111" s="19">
        <v>1.0</v>
      </c>
      <c r="AX111" s="19">
        <v>2.0</v>
      </c>
      <c r="AY111" s="19">
        <v>0.0</v>
      </c>
      <c r="AZ111" s="19">
        <v>1.0</v>
      </c>
      <c r="BA111" s="19">
        <v>0.0</v>
      </c>
      <c r="BB111" s="19">
        <v>7.0</v>
      </c>
      <c r="BC111" s="19">
        <v>0.0</v>
      </c>
      <c r="BD111" s="19">
        <v>0.0</v>
      </c>
      <c r="BE111" s="13">
        <f t="shared" ref="BE111:BE118" si="28">SUM(E111:BD111)</f>
        <v>65</v>
      </c>
    </row>
    <row r="112" ht="12.75" customHeight="1">
      <c r="A112" s="30" t="s">
        <v>39</v>
      </c>
      <c r="B112" s="55">
        <v>1.0</v>
      </c>
      <c r="C112" s="50" t="s">
        <v>97</v>
      </c>
      <c r="D112" s="56"/>
      <c r="E112" s="19">
        <v>3.0</v>
      </c>
      <c r="F112" s="19">
        <v>1.0</v>
      </c>
      <c r="G112" s="19">
        <v>2.0</v>
      </c>
      <c r="H112" s="19">
        <v>1.0</v>
      </c>
      <c r="I112" s="19">
        <v>1.0</v>
      </c>
      <c r="J112" s="19">
        <v>6.0</v>
      </c>
      <c r="K112" s="19">
        <v>6.0</v>
      </c>
      <c r="L112" s="19">
        <v>2.0</v>
      </c>
      <c r="M112" s="19">
        <v>2.0</v>
      </c>
      <c r="N112" s="19">
        <v>1.0</v>
      </c>
      <c r="O112" s="19">
        <v>2.0</v>
      </c>
      <c r="P112" s="19">
        <v>1.0</v>
      </c>
      <c r="Q112" s="19">
        <v>3.0</v>
      </c>
      <c r="R112" s="19">
        <v>2.0</v>
      </c>
      <c r="S112" s="19">
        <v>2.0</v>
      </c>
      <c r="T112" s="19">
        <v>0.0</v>
      </c>
      <c r="U112" s="19">
        <v>0.0</v>
      </c>
      <c r="V112" s="19">
        <v>2.0</v>
      </c>
      <c r="W112" s="19">
        <v>1.0</v>
      </c>
      <c r="X112" s="19">
        <v>0.0</v>
      </c>
      <c r="Y112" s="19">
        <v>2.0</v>
      </c>
      <c r="Z112" s="19">
        <v>2.0</v>
      </c>
      <c r="AA112" s="19">
        <v>1.0</v>
      </c>
      <c r="AB112" s="19">
        <v>0.0</v>
      </c>
      <c r="AC112" s="19">
        <v>6.0</v>
      </c>
      <c r="AD112" s="19">
        <v>8.0</v>
      </c>
      <c r="AE112" s="19">
        <v>3.0</v>
      </c>
      <c r="AF112" s="19">
        <v>1.0</v>
      </c>
      <c r="AG112" s="19">
        <v>5.0</v>
      </c>
      <c r="AH112" s="19">
        <v>4.0</v>
      </c>
      <c r="AI112" s="19">
        <v>2.0</v>
      </c>
      <c r="AJ112" s="19">
        <v>0.0</v>
      </c>
      <c r="AK112" s="19">
        <v>2.0</v>
      </c>
      <c r="AL112" s="19">
        <v>4.0</v>
      </c>
      <c r="AM112" s="19">
        <v>0.0</v>
      </c>
      <c r="AN112" s="19">
        <v>8.0</v>
      </c>
      <c r="AO112" s="19">
        <v>33.0</v>
      </c>
      <c r="AP112" s="19">
        <v>4.0</v>
      </c>
      <c r="AQ112" s="19">
        <v>3.0</v>
      </c>
      <c r="AR112" s="19">
        <v>1.0</v>
      </c>
      <c r="AS112" s="19">
        <v>1.0</v>
      </c>
      <c r="AT112" s="19">
        <v>3.0</v>
      </c>
      <c r="AU112" s="19">
        <v>1.0</v>
      </c>
      <c r="AV112" s="19">
        <v>2.0</v>
      </c>
      <c r="AW112" s="19">
        <v>2.0</v>
      </c>
      <c r="AX112" s="19">
        <v>2.0</v>
      </c>
      <c r="AY112" s="19">
        <v>5.0</v>
      </c>
      <c r="AZ112" s="19">
        <v>1.0</v>
      </c>
      <c r="BA112" s="19">
        <v>0.0</v>
      </c>
      <c r="BB112" s="19">
        <v>7.0</v>
      </c>
      <c r="BC112" s="19">
        <v>0.0</v>
      </c>
      <c r="BD112" s="19">
        <v>0.0</v>
      </c>
      <c r="BE112" s="13">
        <f t="shared" si="28"/>
        <v>151</v>
      </c>
    </row>
    <row r="113" ht="12.75" customHeight="1">
      <c r="A113" s="18"/>
      <c r="B113" s="55">
        <v>2.0</v>
      </c>
      <c r="C113" s="50" t="s">
        <v>98</v>
      </c>
      <c r="D113" s="56"/>
      <c r="E113" s="19">
        <v>1.0</v>
      </c>
      <c r="F113" s="19">
        <v>1.0</v>
      </c>
      <c r="G113" s="19">
        <v>5.0</v>
      </c>
      <c r="H113" s="19">
        <v>3.0</v>
      </c>
      <c r="I113" s="19">
        <v>2.0</v>
      </c>
      <c r="J113" s="19">
        <v>1.0</v>
      </c>
      <c r="K113" s="19">
        <v>8.0</v>
      </c>
      <c r="L113" s="19">
        <v>10.0</v>
      </c>
      <c r="M113" s="19">
        <v>0.0</v>
      </c>
      <c r="N113" s="19">
        <v>1.0</v>
      </c>
      <c r="O113" s="19">
        <v>2.0</v>
      </c>
      <c r="P113" s="19">
        <v>7.0</v>
      </c>
      <c r="Q113" s="19">
        <v>2.0</v>
      </c>
      <c r="R113" s="19">
        <v>1.0</v>
      </c>
      <c r="S113" s="19">
        <v>1.0</v>
      </c>
      <c r="T113" s="19">
        <v>0.0</v>
      </c>
      <c r="U113" s="19">
        <v>0.0</v>
      </c>
      <c r="V113" s="19">
        <v>0.0</v>
      </c>
      <c r="W113" s="19">
        <v>3.0</v>
      </c>
      <c r="X113" s="19">
        <v>1.0</v>
      </c>
      <c r="Y113" s="19">
        <v>0.0</v>
      </c>
      <c r="Z113" s="19">
        <v>0.0</v>
      </c>
      <c r="AA113" s="19">
        <v>1.0</v>
      </c>
      <c r="AB113" s="19">
        <v>0.0</v>
      </c>
      <c r="AC113" s="19">
        <v>0.0</v>
      </c>
      <c r="AD113" s="19">
        <v>1.0</v>
      </c>
      <c r="AE113" s="19">
        <v>3.0</v>
      </c>
      <c r="AF113" s="19">
        <v>3.0</v>
      </c>
      <c r="AG113" s="19">
        <v>10.0</v>
      </c>
      <c r="AH113" s="19">
        <v>2.0</v>
      </c>
      <c r="AI113" s="19">
        <v>2.0</v>
      </c>
      <c r="AJ113" s="19">
        <v>0.0</v>
      </c>
      <c r="AK113" s="19">
        <v>3.0</v>
      </c>
      <c r="AL113" s="19">
        <v>4.0</v>
      </c>
      <c r="AM113" s="19">
        <v>0.0</v>
      </c>
      <c r="AN113" s="19">
        <v>1.0</v>
      </c>
      <c r="AO113" s="19">
        <v>2.0</v>
      </c>
      <c r="AP113" s="19">
        <v>2.0</v>
      </c>
      <c r="AQ113" s="19">
        <v>2.0</v>
      </c>
      <c r="AR113" s="19">
        <v>2.0</v>
      </c>
      <c r="AS113" s="19">
        <v>1.0</v>
      </c>
      <c r="AT113" s="19">
        <v>0.0</v>
      </c>
      <c r="AU113" s="19">
        <v>2.0</v>
      </c>
      <c r="AV113" s="19">
        <v>0.0</v>
      </c>
      <c r="AW113" s="19">
        <v>0.0</v>
      </c>
      <c r="AX113" s="19">
        <v>0.0</v>
      </c>
      <c r="AY113" s="19">
        <v>0.0</v>
      </c>
      <c r="AZ113" s="19">
        <v>0.0</v>
      </c>
      <c r="BA113" s="19">
        <v>1.0</v>
      </c>
      <c r="BB113" s="19">
        <v>2.0</v>
      </c>
      <c r="BC113" s="19">
        <v>0.0</v>
      </c>
      <c r="BD113" s="19">
        <v>1.0</v>
      </c>
      <c r="BE113" s="13">
        <f t="shared" si="28"/>
        <v>94</v>
      </c>
    </row>
    <row r="114" ht="12.75" customHeight="1">
      <c r="A114" s="18"/>
      <c r="B114" s="55">
        <v>3.0</v>
      </c>
      <c r="C114" s="50" t="s">
        <v>99</v>
      </c>
      <c r="D114" s="56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1.0</v>
      </c>
      <c r="M114" s="19">
        <v>1.0</v>
      </c>
      <c r="N114" s="19">
        <v>0.0</v>
      </c>
      <c r="O114" s="19">
        <v>0.0</v>
      </c>
      <c r="P114" s="19">
        <v>0.0</v>
      </c>
      <c r="Q114" s="19">
        <v>0.0</v>
      </c>
      <c r="R114" s="19">
        <v>1.0</v>
      </c>
      <c r="S114" s="19">
        <v>0.0</v>
      </c>
      <c r="T114" s="19">
        <v>0.0</v>
      </c>
      <c r="U114" s="19">
        <v>0.0</v>
      </c>
      <c r="V114" s="19">
        <v>0.0</v>
      </c>
      <c r="W114" s="19">
        <v>0.0</v>
      </c>
      <c r="X114" s="19">
        <v>0.0</v>
      </c>
      <c r="Y114" s="19">
        <v>0.0</v>
      </c>
      <c r="Z114" s="19">
        <v>0.0</v>
      </c>
      <c r="AA114" s="19">
        <v>0.0</v>
      </c>
      <c r="AB114" s="19">
        <v>0.0</v>
      </c>
      <c r="AC114" s="19">
        <v>0.0</v>
      </c>
      <c r="AD114" s="19">
        <v>0.0</v>
      </c>
      <c r="AE114" s="19">
        <v>0.0</v>
      </c>
      <c r="AF114" s="19">
        <v>0.0</v>
      </c>
      <c r="AG114" s="19">
        <v>1.0</v>
      </c>
      <c r="AH114" s="19">
        <v>0.0</v>
      </c>
      <c r="AI114" s="19">
        <v>0.0</v>
      </c>
      <c r="AJ114" s="19">
        <v>0.0</v>
      </c>
      <c r="AK114" s="19">
        <v>0.0</v>
      </c>
      <c r="AL114" s="19">
        <v>0.0</v>
      </c>
      <c r="AM114" s="19">
        <v>0.0</v>
      </c>
      <c r="AN114" s="19">
        <v>0.0</v>
      </c>
      <c r="AO114" s="19">
        <v>2.0</v>
      </c>
      <c r="AP114" s="19">
        <v>0.0</v>
      </c>
      <c r="AQ114" s="19">
        <v>1.0</v>
      </c>
      <c r="AR114" s="19">
        <v>0.0</v>
      </c>
      <c r="AS114" s="19">
        <v>0.0</v>
      </c>
      <c r="AT114" s="19">
        <v>0.0</v>
      </c>
      <c r="AU114" s="19">
        <v>0.0</v>
      </c>
      <c r="AV114" s="19">
        <v>0.0</v>
      </c>
      <c r="AW114" s="19">
        <v>0.0</v>
      </c>
      <c r="AX114" s="19">
        <v>0.0</v>
      </c>
      <c r="AY114" s="19">
        <v>0.0</v>
      </c>
      <c r="AZ114" s="19">
        <v>1.0</v>
      </c>
      <c r="BA114" s="19">
        <v>0.0</v>
      </c>
      <c r="BB114" s="19">
        <v>0.0</v>
      </c>
      <c r="BC114" s="19">
        <v>0.0</v>
      </c>
      <c r="BD114" s="19">
        <v>0.0</v>
      </c>
      <c r="BE114" s="13">
        <f t="shared" si="28"/>
        <v>8</v>
      </c>
    </row>
    <row r="115" ht="12.75" customHeight="1">
      <c r="A115" s="18"/>
      <c r="B115" s="55">
        <v>4.0</v>
      </c>
      <c r="C115" s="50" t="s">
        <v>100</v>
      </c>
      <c r="D115" s="56"/>
      <c r="E115" s="19">
        <v>1.0</v>
      </c>
      <c r="F115" s="19">
        <v>0.0</v>
      </c>
      <c r="G115" s="19">
        <v>0.0</v>
      </c>
      <c r="H115" s="19">
        <v>0.0</v>
      </c>
      <c r="I115" s="19">
        <v>0.0</v>
      </c>
      <c r="J115" s="19">
        <v>0.0</v>
      </c>
      <c r="K115" s="19">
        <v>0.0</v>
      </c>
      <c r="L115" s="19">
        <v>0.0</v>
      </c>
      <c r="M115" s="19">
        <v>0.0</v>
      </c>
      <c r="N115" s="19">
        <v>0.0</v>
      </c>
      <c r="O115" s="19">
        <v>0.0</v>
      </c>
      <c r="P115" s="19">
        <v>0.0</v>
      </c>
      <c r="Q115" s="19">
        <v>0.0</v>
      </c>
      <c r="R115" s="19">
        <v>1.0</v>
      </c>
      <c r="S115" s="19">
        <v>1.0</v>
      </c>
      <c r="T115" s="19">
        <v>0.0</v>
      </c>
      <c r="U115" s="19">
        <v>0.0</v>
      </c>
      <c r="V115" s="19">
        <v>0.0</v>
      </c>
      <c r="W115" s="19">
        <v>0.0</v>
      </c>
      <c r="X115" s="19">
        <v>0.0</v>
      </c>
      <c r="Y115" s="19">
        <v>0.0</v>
      </c>
      <c r="Z115" s="19">
        <v>0.0</v>
      </c>
      <c r="AA115" s="19">
        <v>0.0</v>
      </c>
      <c r="AB115" s="19">
        <v>0.0</v>
      </c>
      <c r="AC115" s="19">
        <v>1.0</v>
      </c>
      <c r="AD115" s="19">
        <v>0.0</v>
      </c>
      <c r="AE115" s="19">
        <v>0.0</v>
      </c>
      <c r="AF115" s="19">
        <v>0.0</v>
      </c>
      <c r="AG115" s="19">
        <v>0.0</v>
      </c>
      <c r="AH115" s="19">
        <v>0.0</v>
      </c>
      <c r="AI115" s="19">
        <v>0.0</v>
      </c>
      <c r="AJ115" s="19">
        <v>1.0</v>
      </c>
      <c r="AK115" s="19">
        <v>0.0</v>
      </c>
      <c r="AL115" s="19">
        <v>0.0</v>
      </c>
      <c r="AM115" s="19">
        <v>0.0</v>
      </c>
      <c r="AN115" s="19">
        <v>0.0</v>
      </c>
      <c r="AO115" s="19">
        <v>0.0</v>
      </c>
      <c r="AP115" s="19">
        <v>0.0</v>
      </c>
      <c r="AQ115" s="19">
        <v>0.0</v>
      </c>
      <c r="AR115" s="19">
        <v>0.0</v>
      </c>
      <c r="AS115" s="19">
        <v>0.0</v>
      </c>
      <c r="AT115" s="19">
        <v>0.0</v>
      </c>
      <c r="AU115" s="19">
        <v>0.0</v>
      </c>
      <c r="AV115" s="19">
        <v>0.0</v>
      </c>
      <c r="AW115" s="19">
        <v>0.0</v>
      </c>
      <c r="AX115" s="19">
        <v>0.0</v>
      </c>
      <c r="AY115" s="19">
        <v>0.0</v>
      </c>
      <c r="AZ115" s="19">
        <v>0.0</v>
      </c>
      <c r="BA115" s="19">
        <v>0.0</v>
      </c>
      <c r="BB115" s="19">
        <v>0.0</v>
      </c>
      <c r="BC115" s="19">
        <v>0.0</v>
      </c>
      <c r="BD115" s="19">
        <v>0.0</v>
      </c>
      <c r="BE115" s="13">
        <f t="shared" si="28"/>
        <v>5</v>
      </c>
    </row>
    <row r="116" ht="12.75" customHeight="1">
      <c r="A116" s="18"/>
      <c r="B116" s="55">
        <v>5.0</v>
      </c>
      <c r="C116" s="50" t="s">
        <v>101</v>
      </c>
      <c r="D116" s="56"/>
      <c r="E116" s="19">
        <v>0.0</v>
      </c>
      <c r="F116" s="19">
        <v>0.0</v>
      </c>
      <c r="G116" s="19">
        <v>0.0</v>
      </c>
      <c r="H116" s="19">
        <v>0.0</v>
      </c>
      <c r="I116" s="19">
        <v>0.0</v>
      </c>
      <c r="J116" s="19">
        <v>0.0</v>
      </c>
      <c r="K116" s="19">
        <v>0.0</v>
      </c>
      <c r="L116" s="19">
        <v>1.0</v>
      </c>
      <c r="M116" s="19">
        <v>0.0</v>
      </c>
      <c r="N116" s="19">
        <v>0.0</v>
      </c>
      <c r="O116" s="19">
        <v>0.0</v>
      </c>
      <c r="P116" s="19">
        <v>0.0</v>
      </c>
      <c r="Q116" s="19">
        <v>0.0</v>
      </c>
      <c r="R116" s="19">
        <v>0.0</v>
      </c>
      <c r="S116" s="19">
        <v>0.0</v>
      </c>
      <c r="T116" s="19">
        <v>0.0</v>
      </c>
      <c r="U116" s="19">
        <v>0.0</v>
      </c>
      <c r="V116" s="19">
        <v>0.0</v>
      </c>
      <c r="W116" s="19">
        <v>1.0</v>
      </c>
      <c r="X116" s="19">
        <v>0.0</v>
      </c>
      <c r="Y116" s="19">
        <v>0.0</v>
      </c>
      <c r="Z116" s="19">
        <v>0.0</v>
      </c>
      <c r="AA116" s="19">
        <v>0.0</v>
      </c>
      <c r="AB116" s="19">
        <v>0.0</v>
      </c>
      <c r="AC116" s="19">
        <v>0.0</v>
      </c>
      <c r="AD116" s="19">
        <v>0.0</v>
      </c>
      <c r="AE116" s="19">
        <v>0.0</v>
      </c>
      <c r="AF116" s="19">
        <v>0.0</v>
      </c>
      <c r="AG116" s="19">
        <v>0.0</v>
      </c>
      <c r="AH116" s="19">
        <v>0.0</v>
      </c>
      <c r="AI116" s="19">
        <v>0.0</v>
      </c>
      <c r="AJ116" s="19">
        <v>0.0</v>
      </c>
      <c r="AK116" s="19">
        <v>1.0</v>
      </c>
      <c r="AL116" s="19">
        <v>0.0</v>
      </c>
      <c r="AM116" s="19">
        <v>0.0</v>
      </c>
      <c r="AN116" s="19">
        <v>0.0</v>
      </c>
      <c r="AO116" s="19">
        <v>0.0</v>
      </c>
      <c r="AP116" s="19">
        <v>1.0</v>
      </c>
      <c r="AQ116" s="19">
        <v>0.0</v>
      </c>
      <c r="AR116" s="19">
        <v>0.0</v>
      </c>
      <c r="AS116" s="19">
        <v>0.0</v>
      </c>
      <c r="AT116" s="19">
        <v>0.0</v>
      </c>
      <c r="AU116" s="19">
        <v>0.0</v>
      </c>
      <c r="AV116" s="19">
        <v>0.0</v>
      </c>
      <c r="AW116" s="19">
        <v>0.0</v>
      </c>
      <c r="AX116" s="19">
        <v>0.0</v>
      </c>
      <c r="AY116" s="19">
        <v>0.0</v>
      </c>
      <c r="AZ116" s="19">
        <v>0.0</v>
      </c>
      <c r="BA116" s="19">
        <v>0.0</v>
      </c>
      <c r="BB116" s="19">
        <v>0.0</v>
      </c>
      <c r="BC116" s="19">
        <v>0.0</v>
      </c>
      <c r="BD116" s="19">
        <v>0.0</v>
      </c>
      <c r="BE116" s="13">
        <f t="shared" si="28"/>
        <v>4</v>
      </c>
    </row>
    <row r="117" ht="12.75" customHeight="1">
      <c r="A117" s="18"/>
      <c r="B117" s="55">
        <v>6.0</v>
      </c>
      <c r="C117" s="50" t="s">
        <v>102</v>
      </c>
      <c r="D117" s="57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1.0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1.0</v>
      </c>
      <c r="AB117" s="19">
        <v>0.0</v>
      </c>
      <c r="AC117" s="19">
        <v>0.0</v>
      </c>
      <c r="AD117" s="19">
        <v>0.0</v>
      </c>
      <c r="AE117" s="19">
        <v>0.0</v>
      </c>
      <c r="AF117" s="19">
        <v>0.0</v>
      </c>
      <c r="AG117" s="19">
        <v>0.0</v>
      </c>
      <c r="AH117" s="19">
        <v>0.0</v>
      </c>
      <c r="AI117" s="19">
        <v>0.0</v>
      </c>
      <c r="AJ117" s="19">
        <v>0.0</v>
      </c>
      <c r="AK117" s="19">
        <v>0.0</v>
      </c>
      <c r="AL117" s="19">
        <v>0.0</v>
      </c>
      <c r="AM117" s="19">
        <v>0.0</v>
      </c>
      <c r="AN117" s="19">
        <v>1.0</v>
      </c>
      <c r="AO117" s="19">
        <v>0.0</v>
      </c>
      <c r="AP117" s="19">
        <v>0.0</v>
      </c>
      <c r="AQ117" s="19">
        <v>0.0</v>
      </c>
      <c r="AR117" s="19">
        <v>0.0</v>
      </c>
      <c r="AS117" s="19">
        <v>0.0</v>
      </c>
      <c r="AT117" s="19">
        <v>0.0</v>
      </c>
      <c r="AU117" s="19">
        <v>0.0</v>
      </c>
      <c r="AV117" s="19">
        <v>0.0</v>
      </c>
      <c r="AW117" s="19">
        <v>0.0</v>
      </c>
      <c r="AX117" s="19">
        <v>0.0</v>
      </c>
      <c r="AY117" s="19">
        <v>0.0</v>
      </c>
      <c r="AZ117" s="19">
        <v>0.0</v>
      </c>
      <c r="BA117" s="19">
        <v>0.0</v>
      </c>
      <c r="BB117" s="19">
        <v>0.0</v>
      </c>
      <c r="BC117" s="19">
        <v>0.0</v>
      </c>
      <c r="BD117" s="19">
        <v>0.0</v>
      </c>
      <c r="BE117" s="13">
        <f t="shared" si="28"/>
        <v>3</v>
      </c>
    </row>
    <row r="118" ht="12.75" customHeight="1">
      <c r="A118" s="18"/>
      <c r="B118" s="55">
        <v>7.0</v>
      </c>
      <c r="C118" s="50" t="s">
        <v>103</v>
      </c>
      <c r="D118" s="56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1.0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0.0</v>
      </c>
      <c r="AK118" s="19">
        <v>0.0</v>
      </c>
      <c r="AL118" s="19">
        <v>0.0</v>
      </c>
      <c r="AM118" s="19">
        <v>0.0</v>
      </c>
      <c r="AN118" s="19">
        <v>0.0</v>
      </c>
      <c r="AO118" s="19">
        <v>0.0</v>
      </c>
      <c r="AP118" s="19">
        <v>0.0</v>
      </c>
      <c r="AQ118" s="19">
        <v>0.0</v>
      </c>
      <c r="AR118" s="19">
        <v>0.0</v>
      </c>
      <c r="AS118" s="19">
        <v>0.0</v>
      </c>
      <c r="AT118" s="19">
        <v>0.0</v>
      </c>
      <c r="AU118" s="19">
        <v>0.0</v>
      </c>
      <c r="AV118" s="19">
        <v>0.0</v>
      </c>
      <c r="AW118" s="19">
        <v>0.0</v>
      </c>
      <c r="AX118" s="19">
        <v>0.0</v>
      </c>
      <c r="AY118" s="19">
        <v>0.0</v>
      </c>
      <c r="AZ118" s="19">
        <v>0.0</v>
      </c>
      <c r="BA118" s="19">
        <v>0.0</v>
      </c>
      <c r="BB118" s="19">
        <v>0.0</v>
      </c>
      <c r="BC118" s="19">
        <v>0.0</v>
      </c>
      <c r="BD118" s="19">
        <v>0.0</v>
      </c>
      <c r="BE118" s="13">
        <f t="shared" si="28"/>
        <v>1</v>
      </c>
    </row>
    <row r="119" ht="12.75" customHeight="1">
      <c r="A119" s="19" t="s">
        <v>15</v>
      </c>
      <c r="B119" s="47" t="s">
        <v>47</v>
      </c>
      <c r="C119" s="15"/>
      <c r="D119" s="16"/>
      <c r="E119" s="13">
        <f t="shared" ref="E119:BE119" si="29">SUM(E111:E118)</f>
        <v>5</v>
      </c>
      <c r="F119" s="13">
        <f t="shared" si="29"/>
        <v>3</v>
      </c>
      <c r="G119" s="13">
        <f t="shared" si="29"/>
        <v>9</v>
      </c>
      <c r="H119" s="13">
        <f t="shared" si="29"/>
        <v>5</v>
      </c>
      <c r="I119" s="13">
        <f t="shared" si="29"/>
        <v>4</v>
      </c>
      <c r="J119" s="13">
        <f t="shared" si="29"/>
        <v>9</v>
      </c>
      <c r="K119" s="13">
        <f t="shared" si="29"/>
        <v>16</v>
      </c>
      <c r="L119" s="13">
        <f t="shared" si="29"/>
        <v>18</v>
      </c>
      <c r="M119" s="13">
        <f t="shared" si="29"/>
        <v>3</v>
      </c>
      <c r="N119" s="13">
        <f t="shared" si="29"/>
        <v>3</v>
      </c>
      <c r="O119" s="13">
        <f t="shared" si="29"/>
        <v>7</v>
      </c>
      <c r="P119" s="13">
        <f t="shared" si="29"/>
        <v>8</v>
      </c>
      <c r="Q119" s="13">
        <f t="shared" si="29"/>
        <v>7</v>
      </c>
      <c r="R119" s="13">
        <f t="shared" si="29"/>
        <v>7</v>
      </c>
      <c r="S119" s="13">
        <f t="shared" si="29"/>
        <v>7</v>
      </c>
      <c r="T119" s="13">
        <f t="shared" si="29"/>
        <v>0</v>
      </c>
      <c r="U119" s="13">
        <f t="shared" si="29"/>
        <v>2</v>
      </c>
      <c r="V119" s="13">
        <f t="shared" si="29"/>
        <v>2</v>
      </c>
      <c r="W119" s="13">
        <f t="shared" si="29"/>
        <v>6</v>
      </c>
      <c r="X119" s="13">
        <f t="shared" si="29"/>
        <v>2</v>
      </c>
      <c r="Y119" s="13">
        <f t="shared" si="29"/>
        <v>3</v>
      </c>
      <c r="Z119" s="13">
        <f t="shared" si="29"/>
        <v>2</v>
      </c>
      <c r="AA119" s="13">
        <f t="shared" si="29"/>
        <v>3</v>
      </c>
      <c r="AB119" s="13">
        <f t="shared" si="29"/>
        <v>1</v>
      </c>
      <c r="AC119" s="13">
        <f t="shared" si="29"/>
        <v>7</v>
      </c>
      <c r="AD119" s="13">
        <f t="shared" si="29"/>
        <v>10</v>
      </c>
      <c r="AE119" s="13">
        <f t="shared" si="29"/>
        <v>8</v>
      </c>
      <c r="AF119" s="13">
        <f t="shared" si="29"/>
        <v>5</v>
      </c>
      <c r="AG119" s="13">
        <f t="shared" si="29"/>
        <v>16</v>
      </c>
      <c r="AH119" s="13">
        <f t="shared" si="29"/>
        <v>7</v>
      </c>
      <c r="AI119" s="13">
        <f t="shared" si="29"/>
        <v>5</v>
      </c>
      <c r="AJ119" s="13">
        <f t="shared" si="29"/>
        <v>1</v>
      </c>
      <c r="AK119" s="13">
        <f t="shared" si="29"/>
        <v>7</v>
      </c>
      <c r="AL119" s="13">
        <f t="shared" si="29"/>
        <v>9</v>
      </c>
      <c r="AM119" s="13">
        <f t="shared" si="29"/>
        <v>0</v>
      </c>
      <c r="AN119" s="13">
        <f t="shared" si="29"/>
        <v>10</v>
      </c>
      <c r="AO119" s="13">
        <f t="shared" si="29"/>
        <v>48</v>
      </c>
      <c r="AP119" s="13">
        <f t="shared" si="29"/>
        <v>11</v>
      </c>
      <c r="AQ119" s="13">
        <f t="shared" si="29"/>
        <v>7</v>
      </c>
      <c r="AR119" s="13">
        <f t="shared" si="29"/>
        <v>3</v>
      </c>
      <c r="AS119" s="13">
        <f t="shared" si="29"/>
        <v>2</v>
      </c>
      <c r="AT119" s="13">
        <f t="shared" si="29"/>
        <v>5</v>
      </c>
      <c r="AU119" s="13">
        <f t="shared" si="29"/>
        <v>3</v>
      </c>
      <c r="AV119" s="13">
        <f t="shared" si="29"/>
        <v>2</v>
      </c>
      <c r="AW119" s="13">
        <f t="shared" si="29"/>
        <v>3</v>
      </c>
      <c r="AX119" s="13">
        <f t="shared" si="29"/>
        <v>4</v>
      </c>
      <c r="AY119" s="13">
        <f t="shared" si="29"/>
        <v>5</v>
      </c>
      <c r="AZ119" s="13">
        <f t="shared" si="29"/>
        <v>3</v>
      </c>
      <c r="BA119" s="13">
        <f t="shared" si="29"/>
        <v>1</v>
      </c>
      <c r="BB119" s="13">
        <f t="shared" si="29"/>
        <v>16</v>
      </c>
      <c r="BC119" s="13">
        <f t="shared" si="29"/>
        <v>0</v>
      </c>
      <c r="BD119" s="13">
        <f t="shared" si="29"/>
        <v>1</v>
      </c>
      <c r="BE119" s="13">
        <f t="shared" si="29"/>
        <v>331</v>
      </c>
    </row>
    <row r="120" ht="12.75" customHeight="1">
      <c r="A120" s="24"/>
      <c r="B120" s="15"/>
      <c r="C120" s="15"/>
      <c r="D120" s="15"/>
      <c r="E120" s="16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</row>
    <row r="121" ht="12.75" customHeight="1">
      <c r="A121" s="30" t="s">
        <v>37</v>
      </c>
      <c r="B121" s="47" t="s">
        <v>104</v>
      </c>
      <c r="C121" s="48" t="s">
        <v>105</v>
      </c>
      <c r="D121" s="16"/>
      <c r="E121" s="19">
        <v>0.0</v>
      </c>
      <c r="F121" s="19">
        <v>0.0</v>
      </c>
      <c r="G121" s="19">
        <v>1.0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9">
        <v>0.0</v>
      </c>
      <c r="X121" s="19">
        <v>0.0</v>
      </c>
      <c r="Y121" s="19">
        <v>1.0</v>
      </c>
      <c r="Z121" s="19">
        <v>0.0</v>
      </c>
      <c r="AA121" s="19">
        <v>0.0</v>
      </c>
      <c r="AB121" s="19">
        <v>0.0</v>
      </c>
      <c r="AC121" s="19">
        <v>0.0</v>
      </c>
      <c r="AD121" s="19">
        <v>0.0</v>
      </c>
      <c r="AE121" s="19">
        <v>0.0</v>
      </c>
      <c r="AF121" s="19">
        <v>0.0</v>
      </c>
      <c r="AG121" s="19">
        <v>0.0</v>
      </c>
      <c r="AH121" s="19">
        <v>0.0</v>
      </c>
      <c r="AI121" s="19">
        <v>0.0</v>
      </c>
      <c r="AJ121" s="19">
        <v>1.0</v>
      </c>
      <c r="AK121" s="19">
        <v>0.0</v>
      </c>
      <c r="AL121" s="19">
        <v>0.0</v>
      </c>
      <c r="AM121" s="19">
        <v>0.0</v>
      </c>
      <c r="AN121" s="19">
        <v>0.0</v>
      </c>
      <c r="AO121" s="19">
        <v>0.0</v>
      </c>
      <c r="AP121" s="19">
        <v>0.0</v>
      </c>
      <c r="AQ121" s="19">
        <v>0.0</v>
      </c>
      <c r="AR121" s="19">
        <v>0.0</v>
      </c>
      <c r="AS121" s="19">
        <v>0.0</v>
      </c>
      <c r="AT121" s="19">
        <v>0.0</v>
      </c>
      <c r="AU121" s="19">
        <v>0.0</v>
      </c>
      <c r="AV121" s="19">
        <v>0.0</v>
      </c>
      <c r="AW121" s="19">
        <v>0.0</v>
      </c>
      <c r="AX121" s="19">
        <v>0.0</v>
      </c>
      <c r="AY121" s="19">
        <v>0.0</v>
      </c>
      <c r="AZ121" s="19">
        <v>0.0</v>
      </c>
      <c r="BA121" s="19">
        <v>0.0</v>
      </c>
      <c r="BB121" s="19">
        <v>0.0</v>
      </c>
      <c r="BC121" s="19">
        <v>0.0</v>
      </c>
      <c r="BD121" s="19">
        <v>0.0</v>
      </c>
      <c r="BE121" s="13">
        <f t="shared" ref="BE121:BE128" si="30">SUM(E121:BD121)</f>
        <v>3</v>
      </c>
    </row>
    <row r="122" ht="12.75" customHeight="1">
      <c r="A122" s="30" t="s">
        <v>39</v>
      </c>
      <c r="B122" s="55">
        <v>1.0</v>
      </c>
      <c r="C122" s="50" t="s">
        <v>106</v>
      </c>
      <c r="D122" s="57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9">
        <v>0.0</v>
      </c>
      <c r="T122" s="19">
        <v>0.0</v>
      </c>
      <c r="U122" s="19">
        <v>0.0</v>
      </c>
      <c r="V122" s="19">
        <v>0.0</v>
      </c>
      <c r="W122" s="19">
        <v>0.0</v>
      </c>
      <c r="X122" s="19">
        <v>0.0</v>
      </c>
      <c r="Y122" s="19">
        <v>0.0</v>
      </c>
      <c r="Z122" s="19">
        <v>0.0</v>
      </c>
      <c r="AA122" s="19">
        <v>0.0</v>
      </c>
      <c r="AB122" s="19">
        <v>0.0</v>
      </c>
      <c r="AC122" s="19">
        <v>0.0</v>
      </c>
      <c r="AD122" s="19">
        <v>0.0</v>
      </c>
      <c r="AE122" s="19">
        <v>0.0</v>
      </c>
      <c r="AF122" s="19">
        <v>0.0</v>
      </c>
      <c r="AG122" s="19">
        <v>0.0</v>
      </c>
      <c r="AH122" s="19">
        <v>0.0</v>
      </c>
      <c r="AI122" s="19">
        <v>0.0</v>
      </c>
      <c r="AJ122" s="19">
        <v>0.0</v>
      </c>
      <c r="AK122" s="19">
        <v>0.0</v>
      </c>
      <c r="AL122" s="19">
        <v>0.0</v>
      </c>
      <c r="AM122" s="19">
        <v>0.0</v>
      </c>
      <c r="AN122" s="19">
        <v>0.0</v>
      </c>
      <c r="AO122" s="19">
        <v>0.0</v>
      </c>
      <c r="AP122" s="19">
        <v>0.0</v>
      </c>
      <c r="AQ122" s="19">
        <v>0.0</v>
      </c>
      <c r="AR122" s="19">
        <v>0.0</v>
      </c>
      <c r="AS122" s="19">
        <v>0.0</v>
      </c>
      <c r="AT122" s="19">
        <v>0.0</v>
      </c>
      <c r="AU122" s="19">
        <v>0.0</v>
      </c>
      <c r="AV122" s="19">
        <v>0.0</v>
      </c>
      <c r="AW122" s="19">
        <v>0.0</v>
      </c>
      <c r="AX122" s="19">
        <v>0.0</v>
      </c>
      <c r="AY122" s="19">
        <v>0.0</v>
      </c>
      <c r="AZ122" s="19">
        <v>0.0</v>
      </c>
      <c r="BA122" s="19">
        <v>0.0</v>
      </c>
      <c r="BB122" s="19">
        <v>0.0</v>
      </c>
      <c r="BC122" s="19">
        <v>0.0</v>
      </c>
      <c r="BD122" s="19">
        <v>0.0</v>
      </c>
      <c r="BE122" s="13">
        <f t="shared" si="30"/>
        <v>0</v>
      </c>
    </row>
    <row r="123" ht="12.75" customHeight="1">
      <c r="A123" s="18"/>
      <c r="B123" s="55">
        <v>2.0</v>
      </c>
      <c r="C123" s="50" t="s">
        <v>107</v>
      </c>
      <c r="D123" s="57"/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9">
        <v>0.0</v>
      </c>
      <c r="W123" s="19">
        <v>0.0</v>
      </c>
      <c r="X123" s="19">
        <v>0.0</v>
      </c>
      <c r="Y123" s="19">
        <v>0.0</v>
      </c>
      <c r="Z123" s="19">
        <v>0.0</v>
      </c>
      <c r="AA123" s="19">
        <v>0.0</v>
      </c>
      <c r="AB123" s="19">
        <v>0.0</v>
      </c>
      <c r="AC123" s="19">
        <v>0.0</v>
      </c>
      <c r="AD123" s="19">
        <v>0.0</v>
      </c>
      <c r="AE123" s="19">
        <v>0.0</v>
      </c>
      <c r="AF123" s="19">
        <v>0.0</v>
      </c>
      <c r="AG123" s="19">
        <v>0.0</v>
      </c>
      <c r="AH123" s="19">
        <v>0.0</v>
      </c>
      <c r="AI123" s="19">
        <v>0.0</v>
      </c>
      <c r="AJ123" s="19">
        <v>0.0</v>
      </c>
      <c r="AK123" s="19">
        <v>0.0</v>
      </c>
      <c r="AL123" s="19">
        <v>0.0</v>
      </c>
      <c r="AM123" s="19">
        <v>0.0</v>
      </c>
      <c r="AN123" s="19">
        <v>0.0</v>
      </c>
      <c r="AO123" s="19">
        <v>0.0</v>
      </c>
      <c r="AP123" s="19">
        <v>0.0</v>
      </c>
      <c r="AQ123" s="19">
        <v>0.0</v>
      </c>
      <c r="AR123" s="19">
        <v>0.0</v>
      </c>
      <c r="AS123" s="19">
        <v>0.0</v>
      </c>
      <c r="AT123" s="19">
        <v>0.0</v>
      </c>
      <c r="AU123" s="19">
        <v>0.0</v>
      </c>
      <c r="AV123" s="19">
        <v>0.0</v>
      </c>
      <c r="AW123" s="19">
        <v>0.0</v>
      </c>
      <c r="AX123" s="19">
        <v>0.0</v>
      </c>
      <c r="AY123" s="19">
        <v>0.0</v>
      </c>
      <c r="AZ123" s="19">
        <v>0.0</v>
      </c>
      <c r="BA123" s="19">
        <v>0.0</v>
      </c>
      <c r="BB123" s="19">
        <v>0.0</v>
      </c>
      <c r="BC123" s="19">
        <v>0.0</v>
      </c>
      <c r="BD123" s="19">
        <v>0.0</v>
      </c>
      <c r="BE123" s="13">
        <f t="shared" si="30"/>
        <v>0</v>
      </c>
    </row>
    <row r="124" ht="12.75" customHeight="1">
      <c r="A124" s="18"/>
      <c r="B124" s="55">
        <v>3.0</v>
      </c>
      <c r="C124" s="50" t="s">
        <v>108</v>
      </c>
      <c r="D124" s="57"/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9">
        <v>0.0</v>
      </c>
      <c r="S124" s="19">
        <v>0.0</v>
      </c>
      <c r="T124" s="19">
        <v>0.0</v>
      </c>
      <c r="U124" s="19">
        <v>0.0</v>
      </c>
      <c r="V124" s="19">
        <v>0.0</v>
      </c>
      <c r="W124" s="19">
        <v>0.0</v>
      </c>
      <c r="X124" s="19">
        <v>0.0</v>
      </c>
      <c r="Y124" s="19">
        <v>0.0</v>
      </c>
      <c r="Z124" s="19">
        <v>0.0</v>
      </c>
      <c r="AA124" s="19">
        <v>0.0</v>
      </c>
      <c r="AB124" s="19">
        <v>0.0</v>
      </c>
      <c r="AC124" s="19">
        <v>0.0</v>
      </c>
      <c r="AD124" s="19">
        <v>0.0</v>
      </c>
      <c r="AE124" s="19">
        <v>0.0</v>
      </c>
      <c r="AF124" s="19">
        <v>0.0</v>
      </c>
      <c r="AG124" s="19">
        <v>0.0</v>
      </c>
      <c r="AH124" s="19">
        <v>0.0</v>
      </c>
      <c r="AI124" s="19">
        <v>0.0</v>
      </c>
      <c r="AJ124" s="19">
        <v>0.0</v>
      </c>
      <c r="AK124" s="19">
        <v>0.0</v>
      </c>
      <c r="AL124" s="19">
        <v>0.0</v>
      </c>
      <c r="AM124" s="19">
        <v>0.0</v>
      </c>
      <c r="AN124" s="19">
        <v>0.0</v>
      </c>
      <c r="AO124" s="19">
        <v>0.0</v>
      </c>
      <c r="AP124" s="19">
        <v>0.0</v>
      </c>
      <c r="AQ124" s="19">
        <v>0.0</v>
      </c>
      <c r="AR124" s="19">
        <v>0.0</v>
      </c>
      <c r="AS124" s="19">
        <v>0.0</v>
      </c>
      <c r="AT124" s="19">
        <v>0.0</v>
      </c>
      <c r="AU124" s="19">
        <v>0.0</v>
      </c>
      <c r="AV124" s="19">
        <v>0.0</v>
      </c>
      <c r="AW124" s="19">
        <v>0.0</v>
      </c>
      <c r="AX124" s="19">
        <v>0.0</v>
      </c>
      <c r="AY124" s="19">
        <v>0.0</v>
      </c>
      <c r="AZ124" s="19">
        <v>0.0</v>
      </c>
      <c r="BA124" s="19">
        <v>0.0</v>
      </c>
      <c r="BB124" s="19">
        <v>0.0</v>
      </c>
      <c r="BC124" s="19">
        <v>0.0</v>
      </c>
      <c r="BD124" s="19">
        <v>0.0</v>
      </c>
      <c r="BE124" s="13">
        <f t="shared" si="30"/>
        <v>0</v>
      </c>
    </row>
    <row r="125" ht="12.75" customHeight="1">
      <c r="A125" s="18"/>
      <c r="B125" s="55">
        <v>4.0</v>
      </c>
      <c r="C125" s="50" t="s">
        <v>109</v>
      </c>
      <c r="D125" s="57"/>
      <c r="E125" s="19">
        <v>0.0</v>
      </c>
      <c r="F125" s="19">
        <v>0.0</v>
      </c>
      <c r="G125" s="19">
        <v>0.0</v>
      </c>
      <c r="H125" s="19">
        <v>0.0</v>
      </c>
      <c r="I125" s="19">
        <v>0.0</v>
      </c>
      <c r="J125" s="19">
        <v>0.0</v>
      </c>
      <c r="K125" s="19">
        <v>0.0</v>
      </c>
      <c r="L125" s="19">
        <v>0.0</v>
      </c>
      <c r="M125" s="19">
        <v>0.0</v>
      </c>
      <c r="N125" s="19">
        <v>0.0</v>
      </c>
      <c r="O125" s="19">
        <v>0.0</v>
      </c>
      <c r="P125" s="19">
        <v>0.0</v>
      </c>
      <c r="Q125" s="19">
        <v>0.0</v>
      </c>
      <c r="R125" s="19">
        <v>0.0</v>
      </c>
      <c r="S125" s="19">
        <v>0.0</v>
      </c>
      <c r="T125" s="19">
        <v>0.0</v>
      </c>
      <c r="U125" s="19">
        <v>0.0</v>
      </c>
      <c r="V125" s="19">
        <v>0.0</v>
      </c>
      <c r="W125" s="19">
        <v>0.0</v>
      </c>
      <c r="X125" s="19">
        <v>0.0</v>
      </c>
      <c r="Y125" s="19">
        <v>0.0</v>
      </c>
      <c r="Z125" s="19">
        <v>0.0</v>
      </c>
      <c r="AA125" s="19">
        <v>0.0</v>
      </c>
      <c r="AB125" s="19">
        <v>0.0</v>
      </c>
      <c r="AC125" s="19">
        <v>0.0</v>
      </c>
      <c r="AD125" s="19">
        <v>0.0</v>
      </c>
      <c r="AE125" s="19">
        <v>0.0</v>
      </c>
      <c r="AF125" s="19">
        <v>0.0</v>
      </c>
      <c r="AG125" s="19">
        <v>0.0</v>
      </c>
      <c r="AH125" s="19">
        <v>0.0</v>
      </c>
      <c r="AI125" s="19">
        <v>0.0</v>
      </c>
      <c r="AJ125" s="19">
        <v>0.0</v>
      </c>
      <c r="AK125" s="19">
        <v>0.0</v>
      </c>
      <c r="AL125" s="19">
        <v>0.0</v>
      </c>
      <c r="AM125" s="19">
        <v>0.0</v>
      </c>
      <c r="AN125" s="19">
        <v>0.0</v>
      </c>
      <c r="AO125" s="19">
        <v>0.0</v>
      </c>
      <c r="AP125" s="19">
        <v>0.0</v>
      </c>
      <c r="AQ125" s="19">
        <v>0.0</v>
      </c>
      <c r="AR125" s="19">
        <v>0.0</v>
      </c>
      <c r="AS125" s="19">
        <v>0.0</v>
      </c>
      <c r="AT125" s="19">
        <v>0.0</v>
      </c>
      <c r="AU125" s="19">
        <v>0.0</v>
      </c>
      <c r="AV125" s="19">
        <v>0.0</v>
      </c>
      <c r="AW125" s="19">
        <v>0.0</v>
      </c>
      <c r="AX125" s="19">
        <v>0.0</v>
      </c>
      <c r="AY125" s="19">
        <v>0.0</v>
      </c>
      <c r="AZ125" s="19">
        <v>0.0</v>
      </c>
      <c r="BA125" s="19">
        <v>0.0</v>
      </c>
      <c r="BB125" s="19">
        <v>0.0</v>
      </c>
      <c r="BC125" s="19">
        <v>0.0</v>
      </c>
      <c r="BD125" s="19">
        <v>0.0</v>
      </c>
      <c r="BE125" s="13">
        <f t="shared" si="30"/>
        <v>0</v>
      </c>
    </row>
    <row r="126" ht="12.75" customHeight="1">
      <c r="A126" s="18"/>
      <c r="B126" s="55">
        <v>5.0</v>
      </c>
      <c r="C126" s="50" t="s">
        <v>110</v>
      </c>
      <c r="D126" s="57"/>
      <c r="E126" s="19">
        <v>0.0</v>
      </c>
      <c r="F126" s="19">
        <v>0.0</v>
      </c>
      <c r="G126" s="19">
        <v>0.0</v>
      </c>
      <c r="H126" s="19">
        <v>0.0</v>
      </c>
      <c r="I126" s="19">
        <v>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0.0</v>
      </c>
      <c r="Q126" s="19">
        <v>0.0</v>
      </c>
      <c r="R126" s="19">
        <v>0.0</v>
      </c>
      <c r="S126" s="19">
        <v>0.0</v>
      </c>
      <c r="T126" s="19">
        <v>0.0</v>
      </c>
      <c r="U126" s="19">
        <v>0.0</v>
      </c>
      <c r="V126" s="19">
        <v>0.0</v>
      </c>
      <c r="W126" s="19">
        <v>0.0</v>
      </c>
      <c r="X126" s="19">
        <v>0.0</v>
      </c>
      <c r="Y126" s="19">
        <v>0.0</v>
      </c>
      <c r="Z126" s="19">
        <v>0.0</v>
      </c>
      <c r="AA126" s="19">
        <v>0.0</v>
      </c>
      <c r="AB126" s="19">
        <v>0.0</v>
      </c>
      <c r="AC126" s="19">
        <v>0.0</v>
      </c>
      <c r="AD126" s="19">
        <v>0.0</v>
      </c>
      <c r="AE126" s="19">
        <v>0.0</v>
      </c>
      <c r="AF126" s="19">
        <v>0.0</v>
      </c>
      <c r="AG126" s="19">
        <v>0.0</v>
      </c>
      <c r="AH126" s="19">
        <v>0.0</v>
      </c>
      <c r="AI126" s="19">
        <v>0.0</v>
      </c>
      <c r="AJ126" s="19">
        <v>0.0</v>
      </c>
      <c r="AK126" s="19">
        <v>0.0</v>
      </c>
      <c r="AL126" s="19">
        <v>0.0</v>
      </c>
      <c r="AM126" s="19">
        <v>0.0</v>
      </c>
      <c r="AN126" s="19">
        <v>0.0</v>
      </c>
      <c r="AO126" s="19">
        <v>0.0</v>
      </c>
      <c r="AP126" s="19">
        <v>0.0</v>
      </c>
      <c r="AQ126" s="19">
        <v>0.0</v>
      </c>
      <c r="AR126" s="19">
        <v>0.0</v>
      </c>
      <c r="AS126" s="19">
        <v>0.0</v>
      </c>
      <c r="AT126" s="19">
        <v>0.0</v>
      </c>
      <c r="AU126" s="19">
        <v>0.0</v>
      </c>
      <c r="AV126" s="19">
        <v>0.0</v>
      </c>
      <c r="AW126" s="19">
        <v>0.0</v>
      </c>
      <c r="AX126" s="19">
        <v>0.0</v>
      </c>
      <c r="AY126" s="19">
        <v>0.0</v>
      </c>
      <c r="AZ126" s="19">
        <v>0.0</v>
      </c>
      <c r="BA126" s="19">
        <v>0.0</v>
      </c>
      <c r="BB126" s="19">
        <v>0.0</v>
      </c>
      <c r="BC126" s="19">
        <v>0.0</v>
      </c>
      <c r="BD126" s="19">
        <v>0.0</v>
      </c>
      <c r="BE126" s="13">
        <f t="shared" si="30"/>
        <v>0</v>
      </c>
    </row>
    <row r="127" ht="12.75" customHeight="1">
      <c r="A127" s="18"/>
      <c r="B127" s="55">
        <v>6.0</v>
      </c>
      <c r="C127" s="50" t="s">
        <v>111</v>
      </c>
      <c r="D127" s="57"/>
      <c r="E127" s="19">
        <v>0.0</v>
      </c>
      <c r="F127" s="19">
        <v>0.0</v>
      </c>
      <c r="G127" s="19">
        <v>0.0</v>
      </c>
      <c r="H127" s="19">
        <v>0.0</v>
      </c>
      <c r="I127" s="19">
        <v>0.0</v>
      </c>
      <c r="J127" s="19">
        <v>0.0</v>
      </c>
      <c r="K127" s="19">
        <v>0.0</v>
      </c>
      <c r="L127" s="19">
        <v>0.0</v>
      </c>
      <c r="M127" s="19">
        <v>0.0</v>
      </c>
      <c r="N127" s="19">
        <v>0.0</v>
      </c>
      <c r="O127" s="19">
        <v>0.0</v>
      </c>
      <c r="P127" s="19">
        <v>0.0</v>
      </c>
      <c r="Q127" s="19">
        <v>0.0</v>
      </c>
      <c r="R127" s="19">
        <v>0.0</v>
      </c>
      <c r="S127" s="19">
        <v>0.0</v>
      </c>
      <c r="T127" s="19">
        <v>0.0</v>
      </c>
      <c r="U127" s="19">
        <v>0.0</v>
      </c>
      <c r="V127" s="19">
        <v>0.0</v>
      </c>
      <c r="W127" s="19">
        <v>0.0</v>
      </c>
      <c r="X127" s="19">
        <v>0.0</v>
      </c>
      <c r="Y127" s="19">
        <v>0.0</v>
      </c>
      <c r="Z127" s="19">
        <v>0.0</v>
      </c>
      <c r="AA127" s="19">
        <v>0.0</v>
      </c>
      <c r="AB127" s="19">
        <v>0.0</v>
      </c>
      <c r="AC127" s="19">
        <v>0.0</v>
      </c>
      <c r="AD127" s="19">
        <v>0.0</v>
      </c>
      <c r="AE127" s="19">
        <v>0.0</v>
      </c>
      <c r="AF127" s="19">
        <v>0.0</v>
      </c>
      <c r="AG127" s="19">
        <v>0.0</v>
      </c>
      <c r="AH127" s="19">
        <v>0.0</v>
      </c>
      <c r="AI127" s="19">
        <v>0.0</v>
      </c>
      <c r="AJ127" s="19">
        <v>0.0</v>
      </c>
      <c r="AK127" s="19">
        <v>0.0</v>
      </c>
      <c r="AL127" s="19">
        <v>0.0</v>
      </c>
      <c r="AM127" s="19">
        <v>0.0</v>
      </c>
      <c r="AN127" s="19">
        <v>0.0</v>
      </c>
      <c r="AO127" s="19">
        <v>0.0</v>
      </c>
      <c r="AP127" s="19">
        <v>0.0</v>
      </c>
      <c r="AQ127" s="19">
        <v>0.0</v>
      </c>
      <c r="AR127" s="19">
        <v>0.0</v>
      </c>
      <c r="AS127" s="19">
        <v>0.0</v>
      </c>
      <c r="AT127" s="19">
        <v>0.0</v>
      </c>
      <c r="AU127" s="19">
        <v>0.0</v>
      </c>
      <c r="AV127" s="19">
        <v>0.0</v>
      </c>
      <c r="AW127" s="19">
        <v>0.0</v>
      </c>
      <c r="AX127" s="19">
        <v>1.0</v>
      </c>
      <c r="AY127" s="19">
        <v>0.0</v>
      </c>
      <c r="AZ127" s="19">
        <v>0.0</v>
      </c>
      <c r="BA127" s="19">
        <v>0.0</v>
      </c>
      <c r="BB127" s="19">
        <v>0.0</v>
      </c>
      <c r="BC127" s="19">
        <v>0.0</v>
      </c>
      <c r="BD127" s="19">
        <v>0.0</v>
      </c>
      <c r="BE127" s="13">
        <f t="shared" si="30"/>
        <v>1</v>
      </c>
    </row>
    <row r="128" ht="12.75" customHeight="1">
      <c r="A128" s="18"/>
      <c r="B128" s="55">
        <v>7.0</v>
      </c>
      <c r="C128" s="50" t="s">
        <v>112</v>
      </c>
      <c r="D128" s="57"/>
      <c r="E128" s="19">
        <v>0.0</v>
      </c>
      <c r="F128" s="19">
        <v>0.0</v>
      </c>
      <c r="G128" s="19">
        <v>0.0</v>
      </c>
      <c r="H128" s="19">
        <v>0.0</v>
      </c>
      <c r="I128" s="19">
        <v>0.0</v>
      </c>
      <c r="J128" s="19">
        <v>0.0</v>
      </c>
      <c r="K128" s="19">
        <v>0.0</v>
      </c>
      <c r="L128" s="19">
        <v>0.0</v>
      </c>
      <c r="M128" s="19">
        <v>0.0</v>
      </c>
      <c r="N128" s="19">
        <v>0.0</v>
      </c>
      <c r="O128" s="19">
        <v>0.0</v>
      </c>
      <c r="P128" s="19">
        <v>0.0</v>
      </c>
      <c r="Q128" s="19">
        <v>0.0</v>
      </c>
      <c r="R128" s="19">
        <v>0.0</v>
      </c>
      <c r="S128" s="19">
        <v>0.0</v>
      </c>
      <c r="T128" s="19">
        <v>0.0</v>
      </c>
      <c r="U128" s="19">
        <v>0.0</v>
      </c>
      <c r="V128" s="19">
        <v>0.0</v>
      </c>
      <c r="W128" s="19">
        <v>0.0</v>
      </c>
      <c r="X128" s="19">
        <v>0.0</v>
      </c>
      <c r="Y128" s="19">
        <v>0.0</v>
      </c>
      <c r="Z128" s="19">
        <v>0.0</v>
      </c>
      <c r="AA128" s="19">
        <v>0.0</v>
      </c>
      <c r="AB128" s="19">
        <v>1.0</v>
      </c>
      <c r="AC128" s="19">
        <v>0.0</v>
      </c>
      <c r="AD128" s="19">
        <v>0.0</v>
      </c>
      <c r="AE128" s="19">
        <v>0.0</v>
      </c>
      <c r="AF128" s="19">
        <v>0.0</v>
      </c>
      <c r="AG128" s="19">
        <v>0.0</v>
      </c>
      <c r="AH128" s="19">
        <v>0.0</v>
      </c>
      <c r="AI128" s="19">
        <v>0.0</v>
      </c>
      <c r="AJ128" s="19">
        <v>0.0</v>
      </c>
      <c r="AK128" s="19">
        <v>0.0</v>
      </c>
      <c r="AL128" s="19">
        <v>0.0</v>
      </c>
      <c r="AM128" s="19">
        <v>0.0</v>
      </c>
      <c r="AN128" s="19">
        <v>0.0</v>
      </c>
      <c r="AO128" s="19">
        <v>0.0</v>
      </c>
      <c r="AP128" s="19">
        <v>0.0</v>
      </c>
      <c r="AQ128" s="19">
        <v>0.0</v>
      </c>
      <c r="AR128" s="19">
        <v>0.0</v>
      </c>
      <c r="AS128" s="19">
        <v>0.0</v>
      </c>
      <c r="AT128" s="19">
        <v>0.0</v>
      </c>
      <c r="AU128" s="19">
        <v>0.0</v>
      </c>
      <c r="AV128" s="19">
        <v>0.0</v>
      </c>
      <c r="AW128" s="19">
        <v>0.0</v>
      </c>
      <c r="AX128" s="19">
        <v>0.0</v>
      </c>
      <c r="AY128" s="19">
        <v>0.0</v>
      </c>
      <c r="AZ128" s="19">
        <v>0.0</v>
      </c>
      <c r="BA128" s="19">
        <v>0.0</v>
      </c>
      <c r="BB128" s="19">
        <v>0.0</v>
      </c>
      <c r="BC128" s="19">
        <v>0.0</v>
      </c>
      <c r="BD128" s="19">
        <v>0.0</v>
      </c>
      <c r="BE128" s="13">
        <f t="shared" si="30"/>
        <v>1</v>
      </c>
    </row>
    <row r="129" ht="12.75" customHeight="1">
      <c r="A129" s="19" t="s">
        <v>15</v>
      </c>
      <c r="B129" s="47" t="s">
        <v>47</v>
      </c>
      <c r="C129" s="15"/>
      <c r="D129" s="16"/>
      <c r="E129" s="13">
        <f t="shared" ref="E129:BE129" si="31">SUM(E121:E128)</f>
        <v>0</v>
      </c>
      <c r="F129" s="13">
        <f t="shared" si="31"/>
        <v>0</v>
      </c>
      <c r="G129" s="13">
        <f t="shared" si="31"/>
        <v>1</v>
      </c>
      <c r="H129" s="13">
        <f t="shared" si="31"/>
        <v>0</v>
      </c>
      <c r="I129" s="13">
        <f t="shared" si="31"/>
        <v>0</v>
      </c>
      <c r="J129" s="13">
        <f t="shared" si="31"/>
        <v>0</v>
      </c>
      <c r="K129" s="13">
        <f t="shared" si="31"/>
        <v>0</v>
      </c>
      <c r="L129" s="13">
        <f t="shared" si="31"/>
        <v>0</v>
      </c>
      <c r="M129" s="13">
        <f t="shared" si="31"/>
        <v>0</v>
      </c>
      <c r="N129" s="13">
        <f t="shared" si="31"/>
        <v>0</v>
      </c>
      <c r="O129" s="13">
        <f t="shared" si="31"/>
        <v>0</v>
      </c>
      <c r="P129" s="13">
        <f t="shared" si="31"/>
        <v>0</v>
      </c>
      <c r="Q129" s="13">
        <f t="shared" si="31"/>
        <v>0</v>
      </c>
      <c r="R129" s="13">
        <f t="shared" si="31"/>
        <v>0</v>
      </c>
      <c r="S129" s="13">
        <f t="shared" si="31"/>
        <v>0</v>
      </c>
      <c r="T129" s="13">
        <f t="shared" si="31"/>
        <v>0</v>
      </c>
      <c r="U129" s="13">
        <f t="shared" si="31"/>
        <v>0</v>
      </c>
      <c r="V129" s="13">
        <f t="shared" si="31"/>
        <v>0</v>
      </c>
      <c r="W129" s="13">
        <f t="shared" si="31"/>
        <v>0</v>
      </c>
      <c r="X129" s="13">
        <f t="shared" si="31"/>
        <v>0</v>
      </c>
      <c r="Y129" s="13">
        <f t="shared" si="31"/>
        <v>1</v>
      </c>
      <c r="Z129" s="13">
        <f t="shared" si="31"/>
        <v>0</v>
      </c>
      <c r="AA129" s="13">
        <f t="shared" si="31"/>
        <v>0</v>
      </c>
      <c r="AB129" s="13">
        <f t="shared" si="31"/>
        <v>1</v>
      </c>
      <c r="AC129" s="13">
        <f t="shared" si="31"/>
        <v>0</v>
      </c>
      <c r="AD129" s="13">
        <f t="shared" si="31"/>
        <v>0</v>
      </c>
      <c r="AE129" s="13">
        <f t="shared" si="31"/>
        <v>0</v>
      </c>
      <c r="AF129" s="13">
        <f t="shared" si="31"/>
        <v>0</v>
      </c>
      <c r="AG129" s="13">
        <f t="shared" si="31"/>
        <v>0</v>
      </c>
      <c r="AH129" s="13">
        <f t="shared" si="31"/>
        <v>0</v>
      </c>
      <c r="AI129" s="13">
        <f t="shared" si="31"/>
        <v>0</v>
      </c>
      <c r="AJ129" s="13">
        <f t="shared" si="31"/>
        <v>1</v>
      </c>
      <c r="AK129" s="13">
        <f t="shared" si="31"/>
        <v>0</v>
      </c>
      <c r="AL129" s="13">
        <f t="shared" si="31"/>
        <v>0</v>
      </c>
      <c r="AM129" s="13">
        <f t="shared" si="31"/>
        <v>0</v>
      </c>
      <c r="AN129" s="13">
        <f t="shared" si="31"/>
        <v>0</v>
      </c>
      <c r="AO129" s="13">
        <f t="shared" si="31"/>
        <v>0</v>
      </c>
      <c r="AP129" s="13">
        <f t="shared" si="31"/>
        <v>0</v>
      </c>
      <c r="AQ129" s="13">
        <f t="shared" si="31"/>
        <v>0</v>
      </c>
      <c r="AR129" s="13">
        <f t="shared" si="31"/>
        <v>0</v>
      </c>
      <c r="AS129" s="13">
        <f t="shared" si="31"/>
        <v>0</v>
      </c>
      <c r="AT129" s="13">
        <f t="shared" si="31"/>
        <v>0</v>
      </c>
      <c r="AU129" s="13">
        <f t="shared" si="31"/>
        <v>0</v>
      </c>
      <c r="AV129" s="13">
        <f t="shared" si="31"/>
        <v>0</v>
      </c>
      <c r="AW129" s="13">
        <f t="shared" si="31"/>
        <v>0</v>
      </c>
      <c r="AX129" s="13">
        <f t="shared" si="31"/>
        <v>1</v>
      </c>
      <c r="AY129" s="13">
        <f t="shared" si="31"/>
        <v>0</v>
      </c>
      <c r="AZ129" s="13">
        <f t="shared" si="31"/>
        <v>0</v>
      </c>
      <c r="BA129" s="13">
        <f t="shared" si="31"/>
        <v>0</v>
      </c>
      <c r="BB129" s="13">
        <f t="shared" si="31"/>
        <v>0</v>
      </c>
      <c r="BC129" s="13">
        <f t="shared" si="31"/>
        <v>0</v>
      </c>
      <c r="BD129" s="13">
        <f t="shared" si="31"/>
        <v>0</v>
      </c>
      <c r="BE129" s="13">
        <f t="shared" si="31"/>
        <v>5</v>
      </c>
    </row>
    <row r="130" ht="12.75" customHeight="1">
      <c r="A130" s="24"/>
      <c r="B130" s="15"/>
      <c r="C130" s="15"/>
      <c r="D130" s="15"/>
      <c r="E130" s="16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13"/>
    </row>
    <row r="131" ht="12.75" customHeight="1">
      <c r="A131" s="30" t="s">
        <v>37</v>
      </c>
      <c r="B131" s="17" t="s">
        <v>113</v>
      </c>
      <c r="C131" s="59" t="s">
        <v>114</v>
      </c>
      <c r="D131" s="23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1.0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1.0</v>
      </c>
      <c r="V131" s="19">
        <v>0.0</v>
      </c>
      <c r="W131" s="19">
        <v>0.0</v>
      </c>
      <c r="X131" s="19">
        <v>0.0</v>
      </c>
      <c r="Y131" s="19">
        <v>0.0</v>
      </c>
      <c r="Z131" s="19">
        <v>1.0</v>
      </c>
      <c r="AA131" s="19">
        <v>0.0</v>
      </c>
      <c r="AB131" s="19">
        <v>1.0</v>
      </c>
      <c r="AC131" s="19">
        <v>0.0</v>
      </c>
      <c r="AD131" s="19">
        <v>0.0</v>
      </c>
      <c r="AE131" s="19">
        <v>0.0</v>
      </c>
      <c r="AF131" s="19">
        <v>0.0</v>
      </c>
      <c r="AG131" s="19">
        <v>3.0</v>
      </c>
      <c r="AH131" s="19">
        <v>1.0</v>
      </c>
      <c r="AI131" s="19">
        <v>0.0</v>
      </c>
      <c r="AJ131" s="19">
        <v>0.0</v>
      </c>
      <c r="AK131" s="19">
        <v>1.0</v>
      </c>
      <c r="AL131" s="19">
        <v>0.0</v>
      </c>
      <c r="AM131" s="19">
        <v>0.0</v>
      </c>
      <c r="AN131" s="19">
        <v>0.0</v>
      </c>
      <c r="AO131" s="19">
        <v>0.0</v>
      </c>
      <c r="AP131" s="19">
        <v>0.0</v>
      </c>
      <c r="AQ131" s="19">
        <v>0.0</v>
      </c>
      <c r="AR131" s="19">
        <v>0.0</v>
      </c>
      <c r="AS131" s="19">
        <v>0.0</v>
      </c>
      <c r="AT131" s="19">
        <v>0.0</v>
      </c>
      <c r="AU131" s="19">
        <v>1.0</v>
      </c>
      <c r="AV131" s="19">
        <v>0.0</v>
      </c>
      <c r="AW131" s="19">
        <v>0.0</v>
      </c>
      <c r="AX131" s="19">
        <v>0.0</v>
      </c>
      <c r="AY131" s="19">
        <v>0.0</v>
      </c>
      <c r="AZ131" s="19">
        <v>1.0</v>
      </c>
      <c r="BA131" s="19">
        <v>0.0</v>
      </c>
      <c r="BB131" s="19">
        <v>0.0</v>
      </c>
      <c r="BC131" s="19">
        <v>0.0</v>
      </c>
      <c r="BD131" s="19">
        <v>0.0</v>
      </c>
      <c r="BE131" s="13">
        <f t="shared" ref="BE131:BE135" si="32">SUM(E132:BD132)</f>
        <v>17</v>
      </c>
    </row>
    <row r="132" ht="12.75" customHeight="1">
      <c r="A132" s="60" t="s">
        <v>39</v>
      </c>
      <c r="B132" s="55">
        <v>1.0</v>
      </c>
      <c r="C132" s="61" t="s">
        <v>115</v>
      </c>
      <c r="D132" s="57"/>
      <c r="E132" s="74">
        <v>0.0</v>
      </c>
      <c r="F132" s="19">
        <v>2.0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1.0</v>
      </c>
      <c r="U132" s="19">
        <v>0.0</v>
      </c>
      <c r="V132" s="19">
        <v>0.0</v>
      </c>
      <c r="W132" s="19">
        <v>0.0</v>
      </c>
      <c r="X132" s="19">
        <v>0.0</v>
      </c>
      <c r="Y132" s="19">
        <v>2.0</v>
      </c>
      <c r="Z132" s="19">
        <v>1.0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1.0</v>
      </c>
      <c r="AG132" s="19">
        <v>3.0</v>
      </c>
      <c r="AH132" s="19">
        <v>1.0</v>
      </c>
      <c r="AI132" s="19">
        <v>1.0</v>
      </c>
      <c r="AJ132" s="19">
        <v>0.0</v>
      </c>
      <c r="AK132" s="19">
        <v>0.0</v>
      </c>
      <c r="AL132" s="19">
        <v>0.0</v>
      </c>
      <c r="AM132" s="19">
        <v>0.0</v>
      </c>
      <c r="AN132" s="19">
        <v>1.0</v>
      </c>
      <c r="AO132" s="19">
        <v>1.0</v>
      </c>
      <c r="AP132" s="19">
        <v>0.0</v>
      </c>
      <c r="AQ132" s="19">
        <v>0.0</v>
      </c>
      <c r="AR132" s="19">
        <v>0.0</v>
      </c>
      <c r="AS132" s="19">
        <v>0.0</v>
      </c>
      <c r="AT132" s="19">
        <v>0.0</v>
      </c>
      <c r="AU132" s="19">
        <v>0.0</v>
      </c>
      <c r="AV132" s="19">
        <v>1.0</v>
      </c>
      <c r="AW132" s="19">
        <v>1.0</v>
      </c>
      <c r="AX132" s="19">
        <v>0.0</v>
      </c>
      <c r="AY132" s="19">
        <v>1.0</v>
      </c>
      <c r="AZ132" s="19">
        <v>0.0</v>
      </c>
      <c r="BA132" s="19">
        <v>0.0</v>
      </c>
      <c r="BB132" s="19">
        <v>0.0</v>
      </c>
      <c r="BC132" s="19">
        <v>0.0</v>
      </c>
      <c r="BD132" s="19">
        <v>0.0</v>
      </c>
      <c r="BE132" s="13">
        <f t="shared" si="32"/>
        <v>5</v>
      </c>
    </row>
    <row r="133" ht="12.75" customHeight="1">
      <c r="A133" s="18"/>
      <c r="B133" s="55">
        <v>2.0</v>
      </c>
      <c r="C133" s="61" t="s">
        <v>116</v>
      </c>
      <c r="D133" s="57"/>
      <c r="E133" s="74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1.0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2.0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1.0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9">
        <v>0.0</v>
      </c>
      <c r="AM133" s="19">
        <v>0.0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0.0</v>
      </c>
      <c r="AS133" s="19">
        <v>0.0</v>
      </c>
      <c r="AT133" s="19">
        <v>1.0</v>
      </c>
      <c r="AU133" s="19">
        <v>0.0</v>
      </c>
      <c r="AV133" s="19">
        <v>0.0</v>
      </c>
      <c r="AW133" s="19">
        <v>0.0</v>
      </c>
      <c r="AX133" s="19">
        <v>0.0</v>
      </c>
      <c r="AY133" s="19">
        <v>0.0</v>
      </c>
      <c r="AZ133" s="19">
        <v>0.0</v>
      </c>
      <c r="BA133" s="19">
        <v>0.0</v>
      </c>
      <c r="BB133" s="19">
        <v>0.0</v>
      </c>
      <c r="BC133" s="19">
        <v>0.0</v>
      </c>
      <c r="BD133" s="19">
        <v>0.0</v>
      </c>
      <c r="BE133" s="13">
        <f t="shared" si="32"/>
        <v>2</v>
      </c>
    </row>
    <row r="134" ht="12.75" customHeight="1">
      <c r="A134" s="18"/>
      <c r="B134" s="55">
        <v>3.0</v>
      </c>
      <c r="C134" s="61" t="s">
        <v>117</v>
      </c>
      <c r="D134" s="57"/>
      <c r="E134" s="74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1.0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1.0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0.0</v>
      </c>
      <c r="AQ134" s="19">
        <v>0.0</v>
      </c>
      <c r="AR134" s="19">
        <v>0.0</v>
      </c>
      <c r="AS134" s="19">
        <v>0.0</v>
      </c>
      <c r="AT134" s="19">
        <v>0.0</v>
      </c>
      <c r="AU134" s="19">
        <v>0.0</v>
      </c>
      <c r="AV134" s="19">
        <v>0.0</v>
      </c>
      <c r="AW134" s="19">
        <v>0.0</v>
      </c>
      <c r="AX134" s="19">
        <v>0.0</v>
      </c>
      <c r="AY134" s="19">
        <v>0.0</v>
      </c>
      <c r="AZ134" s="19">
        <v>0.0</v>
      </c>
      <c r="BA134" s="19">
        <v>0.0</v>
      </c>
      <c r="BB134" s="19">
        <v>0.0</v>
      </c>
      <c r="BC134" s="19">
        <v>0.0</v>
      </c>
      <c r="BD134" s="19">
        <v>0.0</v>
      </c>
      <c r="BE134" s="13">
        <f t="shared" si="32"/>
        <v>3</v>
      </c>
    </row>
    <row r="135" ht="12.75" customHeight="1">
      <c r="A135" s="18"/>
      <c r="B135" s="55">
        <v>4.0</v>
      </c>
      <c r="C135" s="61" t="s">
        <v>118</v>
      </c>
      <c r="D135" s="57"/>
      <c r="E135" s="74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1.0</v>
      </c>
      <c r="AO135" s="19">
        <v>0.0</v>
      </c>
      <c r="AP135" s="19">
        <v>0.0</v>
      </c>
      <c r="AQ135" s="19">
        <v>0.0</v>
      </c>
      <c r="AR135" s="19">
        <v>0.0</v>
      </c>
      <c r="AS135" s="19">
        <v>1.0</v>
      </c>
      <c r="AT135" s="19">
        <v>0.0</v>
      </c>
      <c r="AU135" s="19">
        <v>0.0</v>
      </c>
      <c r="AV135" s="19">
        <v>1.0</v>
      </c>
      <c r="AW135" s="19">
        <v>0.0</v>
      </c>
      <c r="AX135" s="19">
        <v>0.0</v>
      </c>
      <c r="AY135" s="19">
        <v>0.0</v>
      </c>
      <c r="AZ135" s="19">
        <v>0.0</v>
      </c>
      <c r="BA135" s="19">
        <v>0.0</v>
      </c>
      <c r="BB135" s="19">
        <v>0.0</v>
      </c>
      <c r="BC135" s="19">
        <v>0.0</v>
      </c>
      <c r="BD135" s="19">
        <v>0.0</v>
      </c>
      <c r="BE135" s="13">
        <f t="shared" si="32"/>
        <v>38</v>
      </c>
    </row>
    <row r="136" ht="12.75" customHeight="1">
      <c r="A136" s="19" t="s">
        <v>15</v>
      </c>
      <c r="B136" s="62" t="s">
        <v>47</v>
      </c>
      <c r="C136" s="44"/>
      <c r="D136" s="28"/>
      <c r="E136" s="13">
        <f t="shared" ref="E136:BE136" si="33">SUM(E131:E135)</f>
        <v>0</v>
      </c>
      <c r="F136" s="13">
        <f t="shared" si="33"/>
        <v>2</v>
      </c>
      <c r="G136" s="13">
        <f t="shared" si="33"/>
        <v>0</v>
      </c>
      <c r="H136" s="13">
        <f t="shared" si="33"/>
        <v>0</v>
      </c>
      <c r="I136" s="13">
        <f t="shared" si="33"/>
        <v>0</v>
      </c>
      <c r="J136" s="13">
        <f t="shared" si="33"/>
        <v>1</v>
      </c>
      <c r="K136" s="13">
        <f t="shared" si="33"/>
        <v>0</v>
      </c>
      <c r="L136" s="13">
        <f t="shared" si="33"/>
        <v>1</v>
      </c>
      <c r="M136" s="13">
        <f t="shared" si="33"/>
        <v>0</v>
      </c>
      <c r="N136" s="13">
        <f t="shared" si="33"/>
        <v>0</v>
      </c>
      <c r="O136" s="13">
        <f t="shared" si="33"/>
        <v>1</v>
      </c>
      <c r="P136" s="13">
        <f t="shared" si="33"/>
        <v>0</v>
      </c>
      <c r="Q136" s="13">
        <f t="shared" si="33"/>
        <v>0</v>
      </c>
      <c r="R136" s="13">
        <f t="shared" si="33"/>
        <v>0</v>
      </c>
      <c r="S136" s="13">
        <f t="shared" si="33"/>
        <v>0</v>
      </c>
      <c r="T136" s="13">
        <f t="shared" si="33"/>
        <v>1</v>
      </c>
      <c r="U136" s="13">
        <f t="shared" si="33"/>
        <v>1</v>
      </c>
      <c r="V136" s="13">
        <f t="shared" si="33"/>
        <v>0</v>
      </c>
      <c r="W136" s="13">
        <f t="shared" si="33"/>
        <v>0</v>
      </c>
      <c r="X136" s="13">
        <f t="shared" si="33"/>
        <v>0</v>
      </c>
      <c r="Y136" s="13">
        <f t="shared" si="33"/>
        <v>4</v>
      </c>
      <c r="Z136" s="13">
        <f t="shared" si="33"/>
        <v>2</v>
      </c>
      <c r="AA136" s="13">
        <f t="shared" si="33"/>
        <v>0</v>
      </c>
      <c r="AB136" s="13">
        <f t="shared" si="33"/>
        <v>1</v>
      </c>
      <c r="AC136" s="13">
        <f t="shared" si="33"/>
        <v>0</v>
      </c>
      <c r="AD136" s="13">
        <f t="shared" si="33"/>
        <v>0</v>
      </c>
      <c r="AE136" s="13">
        <f t="shared" si="33"/>
        <v>0</v>
      </c>
      <c r="AF136" s="13">
        <f t="shared" si="33"/>
        <v>2</v>
      </c>
      <c r="AG136" s="13">
        <f t="shared" si="33"/>
        <v>7</v>
      </c>
      <c r="AH136" s="13">
        <f t="shared" si="33"/>
        <v>2</v>
      </c>
      <c r="AI136" s="13">
        <f t="shared" si="33"/>
        <v>1</v>
      </c>
      <c r="AJ136" s="13">
        <f t="shared" si="33"/>
        <v>0</v>
      </c>
      <c r="AK136" s="13">
        <f t="shared" si="33"/>
        <v>1</v>
      </c>
      <c r="AL136" s="13">
        <f t="shared" si="33"/>
        <v>0</v>
      </c>
      <c r="AM136" s="13">
        <f t="shared" si="33"/>
        <v>0</v>
      </c>
      <c r="AN136" s="13">
        <f t="shared" si="33"/>
        <v>2</v>
      </c>
      <c r="AO136" s="13">
        <f t="shared" si="33"/>
        <v>1</v>
      </c>
      <c r="AP136" s="13">
        <f t="shared" si="33"/>
        <v>0</v>
      </c>
      <c r="AQ136" s="13">
        <f t="shared" si="33"/>
        <v>0</v>
      </c>
      <c r="AR136" s="13">
        <f t="shared" si="33"/>
        <v>0</v>
      </c>
      <c r="AS136" s="13">
        <f t="shared" si="33"/>
        <v>1</v>
      </c>
      <c r="AT136" s="13">
        <f t="shared" si="33"/>
        <v>1</v>
      </c>
      <c r="AU136" s="13">
        <f t="shared" si="33"/>
        <v>1</v>
      </c>
      <c r="AV136" s="13">
        <f t="shared" si="33"/>
        <v>2</v>
      </c>
      <c r="AW136" s="13">
        <f t="shared" si="33"/>
        <v>1</v>
      </c>
      <c r="AX136" s="13">
        <f t="shared" si="33"/>
        <v>0</v>
      </c>
      <c r="AY136" s="13">
        <f t="shared" si="33"/>
        <v>1</v>
      </c>
      <c r="AZ136" s="13">
        <f t="shared" si="33"/>
        <v>1</v>
      </c>
      <c r="BA136" s="13">
        <f t="shared" si="33"/>
        <v>0</v>
      </c>
      <c r="BB136" s="13">
        <f t="shared" si="33"/>
        <v>0</v>
      </c>
      <c r="BC136" s="13">
        <f t="shared" si="33"/>
        <v>0</v>
      </c>
      <c r="BD136" s="13">
        <f t="shared" si="33"/>
        <v>0</v>
      </c>
      <c r="BE136" s="13">
        <f t="shared" si="33"/>
        <v>65</v>
      </c>
    </row>
    <row r="137" ht="12.75" customHeight="1">
      <c r="A137" s="24"/>
      <c r="B137" s="15"/>
      <c r="C137" s="15"/>
      <c r="D137" s="15"/>
      <c r="E137" s="16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</row>
    <row r="138" ht="12.75" customHeight="1">
      <c r="A138" s="30" t="s">
        <v>37</v>
      </c>
      <c r="B138" s="47" t="s">
        <v>119</v>
      </c>
      <c r="C138" s="48" t="s">
        <v>120</v>
      </c>
      <c r="D138" s="16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0.0</v>
      </c>
      <c r="N138" s="19">
        <v>0.0</v>
      </c>
      <c r="O138" s="19">
        <v>0.0</v>
      </c>
      <c r="P138" s="19">
        <v>0.0</v>
      </c>
      <c r="Q138" s="19">
        <v>0.0</v>
      </c>
      <c r="R138" s="19">
        <v>0.0</v>
      </c>
      <c r="S138" s="19">
        <v>0.0</v>
      </c>
      <c r="T138" s="19">
        <v>0.0</v>
      </c>
      <c r="U138" s="19">
        <v>0.0</v>
      </c>
      <c r="V138" s="19">
        <v>0.0</v>
      </c>
      <c r="W138" s="19">
        <v>0.0</v>
      </c>
      <c r="X138" s="19">
        <v>0.0</v>
      </c>
      <c r="Y138" s="19">
        <v>0.0</v>
      </c>
      <c r="Z138" s="19">
        <v>0.0</v>
      </c>
      <c r="AA138" s="19">
        <v>0.0</v>
      </c>
      <c r="AB138" s="19">
        <v>0.0</v>
      </c>
      <c r="AC138" s="19">
        <v>0.0</v>
      </c>
      <c r="AD138" s="19">
        <v>0.0</v>
      </c>
      <c r="AE138" s="19">
        <v>0.0</v>
      </c>
      <c r="AF138" s="19">
        <v>0.0</v>
      </c>
      <c r="AG138" s="19">
        <v>0.0</v>
      </c>
      <c r="AH138" s="19">
        <v>1.0</v>
      </c>
      <c r="AI138" s="19">
        <v>0.0</v>
      </c>
      <c r="AJ138" s="19">
        <v>1.0</v>
      </c>
      <c r="AK138" s="19">
        <v>0.0</v>
      </c>
      <c r="AL138" s="19">
        <v>0.0</v>
      </c>
      <c r="AM138" s="19">
        <v>0.0</v>
      </c>
      <c r="AN138" s="19">
        <v>0.0</v>
      </c>
      <c r="AO138" s="19">
        <v>0.0</v>
      </c>
      <c r="AP138" s="19">
        <v>0.0</v>
      </c>
      <c r="AQ138" s="19">
        <v>1.0</v>
      </c>
      <c r="AR138" s="19">
        <v>0.0</v>
      </c>
      <c r="AS138" s="19">
        <v>0.0</v>
      </c>
      <c r="AT138" s="19">
        <v>0.0</v>
      </c>
      <c r="AU138" s="19">
        <v>0.0</v>
      </c>
      <c r="AV138" s="19">
        <v>0.0</v>
      </c>
      <c r="AW138" s="19">
        <v>0.0</v>
      </c>
      <c r="AX138" s="19">
        <v>0.0</v>
      </c>
      <c r="AY138" s="19">
        <v>0.0</v>
      </c>
      <c r="AZ138" s="19">
        <v>0.0</v>
      </c>
      <c r="BA138" s="19">
        <v>0.0</v>
      </c>
      <c r="BB138" s="19">
        <v>0.0</v>
      </c>
      <c r="BC138" s="19">
        <v>0.0</v>
      </c>
      <c r="BD138" s="19">
        <v>0.0</v>
      </c>
      <c r="BE138" s="13">
        <f t="shared" ref="BE138:BE145" si="34">SUM(E138:BD138)</f>
        <v>3</v>
      </c>
    </row>
    <row r="139" ht="12.75" customHeight="1">
      <c r="A139" s="30" t="s">
        <v>39</v>
      </c>
      <c r="B139" s="55">
        <v>1.0</v>
      </c>
      <c r="C139" s="50" t="s">
        <v>121</v>
      </c>
      <c r="D139" s="57"/>
      <c r="E139" s="19">
        <v>0.0</v>
      </c>
      <c r="F139" s="19">
        <v>0.0</v>
      </c>
      <c r="G139" s="19">
        <v>1.0</v>
      </c>
      <c r="H139" s="19">
        <v>1.0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1.0</v>
      </c>
      <c r="O139" s="19">
        <v>0.0</v>
      </c>
      <c r="P139" s="19">
        <v>0.0</v>
      </c>
      <c r="Q139" s="19">
        <v>1.0</v>
      </c>
      <c r="R139" s="19">
        <v>0.0</v>
      </c>
      <c r="S139" s="19">
        <v>0.0</v>
      </c>
      <c r="T139" s="19">
        <v>0.0</v>
      </c>
      <c r="U139" s="19">
        <v>0.0</v>
      </c>
      <c r="V139" s="19">
        <v>0.0</v>
      </c>
      <c r="W139" s="19">
        <v>0.0</v>
      </c>
      <c r="X139" s="19">
        <v>0.0</v>
      </c>
      <c r="Y139" s="19">
        <v>0.0</v>
      </c>
      <c r="Z139" s="19">
        <v>0.0</v>
      </c>
      <c r="AA139" s="19">
        <v>0.0</v>
      </c>
      <c r="AB139" s="19">
        <v>0.0</v>
      </c>
      <c r="AC139" s="19">
        <v>0.0</v>
      </c>
      <c r="AD139" s="19">
        <v>0.0</v>
      </c>
      <c r="AE139" s="19">
        <v>0.0</v>
      </c>
      <c r="AF139" s="19">
        <v>0.0</v>
      </c>
      <c r="AG139" s="19">
        <v>0.0</v>
      </c>
      <c r="AH139" s="19">
        <v>0.0</v>
      </c>
      <c r="AI139" s="19">
        <v>0.0</v>
      </c>
      <c r="AJ139" s="19">
        <v>2.0</v>
      </c>
      <c r="AK139" s="19">
        <v>0.0</v>
      </c>
      <c r="AL139" s="19">
        <v>0.0</v>
      </c>
      <c r="AM139" s="19">
        <v>0.0</v>
      </c>
      <c r="AN139" s="19">
        <v>0.0</v>
      </c>
      <c r="AO139" s="19">
        <v>0.0</v>
      </c>
      <c r="AP139" s="19">
        <v>0.0</v>
      </c>
      <c r="AQ139" s="19">
        <v>0.0</v>
      </c>
      <c r="AR139" s="19">
        <v>0.0</v>
      </c>
      <c r="AS139" s="19">
        <v>1.0</v>
      </c>
      <c r="AT139" s="19">
        <v>0.0</v>
      </c>
      <c r="AU139" s="19">
        <v>0.0</v>
      </c>
      <c r="AV139" s="19">
        <v>0.0</v>
      </c>
      <c r="AW139" s="19">
        <v>1.0</v>
      </c>
      <c r="AX139" s="19">
        <v>0.0</v>
      </c>
      <c r="AY139" s="19">
        <v>0.0</v>
      </c>
      <c r="AZ139" s="19">
        <v>2.0</v>
      </c>
      <c r="BA139" s="19">
        <v>0.0</v>
      </c>
      <c r="BB139" s="19">
        <v>0.0</v>
      </c>
      <c r="BC139" s="19">
        <v>0.0</v>
      </c>
      <c r="BD139" s="19">
        <v>0.0</v>
      </c>
      <c r="BE139" s="13">
        <f t="shared" si="34"/>
        <v>10</v>
      </c>
    </row>
    <row r="140" ht="12.75" customHeight="1">
      <c r="A140" s="18"/>
      <c r="B140" s="55">
        <v>2.0</v>
      </c>
      <c r="C140" s="50" t="s">
        <v>122</v>
      </c>
      <c r="D140" s="57"/>
      <c r="E140" s="19">
        <v>0.0</v>
      </c>
      <c r="F140" s="19">
        <v>1.0</v>
      </c>
      <c r="G140" s="19">
        <v>0.0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9">
        <v>0.0</v>
      </c>
      <c r="S140" s="19">
        <v>0.0</v>
      </c>
      <c r="T140" s="19">
        <v>0.0</v>
      </c>
      <c r="U140" s="19">
        <v>0.0</v>
      </c>
      <c r="V140" s="19">
        <v>0.0</v>
      </c>
      <c r="W140" s="19">
        <v>0.0</v>
      </c>
      <c r="X140" s="19">
        <v>0.0</v>
      </c>
      <c r="Y140" s="19">
        <v>0.0</v>
      </c>
      <c r="Z140" s="19">
        <v>0.0</v>
      </c>
      <c r="AA140" s="19">
        <v>0.0</v>
      </c>
      <c r="AB140" s="19">
        <v>0.0</v>
      </c>
      <c r="AC140" s="19">
        <v>0.0</v>
      </c>
      <c r="AD140" s="19">
        <v>0.0</v>
      </c>
      <c r="AE140" s="19">
        <v>0.0</v>
      </c>
      <c r="AF140" s="19">
        <v>0.0</v>
      </c>
      <c r="AG140" s="19">
        <v>0.0</v>
      </c>
      <c r="AH140" s="19">
        <v>0.0</v>
      </c>
      <c r="AI140" s="19">
        <v>0.0</v>
      </c>
      <c r="AJ140" s="19">
        <v>0.0</v>
      </c>
      <c r="AK140" s="19">
        <v>0.0</v>
      </c>
      <c r="AL140" s="19">
        <v>0.0</v>
      </c>
      <c r="AM140" s="19">
        <v>0.0</v>
      </c>
      <c r="AN140" s="19">
        <v>0.0</v>
      </c>
      <c r="AO140" s="19">
        <v>0.0</v>
      </c>
      <c r="AP140" s="19">
        <v>0.0</v>
      </c>
      <c r="AQ140" s="19">
        <v>0.0</v>
      </c>
      <c r="AR140" s="19">
        <v>0.0</v>
      </c>
      <c r="AS140" s="19">
        <v>0.0</v>
      </c>
      <c r="AT140" s="19">
        <v>0.0</v>
      </c>
      <c r="AU140" s="19">
        <v>0.0</v>
      </c>
      <c r="AV140" s="19">
        <v>0.0</v>
      </c>
      <c r="AW140" s="19">
        <v>0.0</v>
      </c>
      <c r="AX140" s="19">
        <v>0.0</v>
      </c>
      <c r="AY140" s="19">
        <v>0.0</v>
      </c>
      <c r="AZ140" s="19">
        <v>0.0</v>
      </c>
      <c r="BA140" s="19">
        <v>0.0</v>
      </c>
      <c r="BB140" s="19">
        <v>0.0</v>
      </c>
      <c r="BC140" s="19">
        <v>0.0</v>
      </c>
      <c r="BD140" s="19">
        <v>0.0</v>
      </c>
      <c r="BE140" s="13">
        <f t="shared" si="34"/>
        <v>1</v>
      </c>
    </row>
    <row r="141" ht="12.75" customHeight="1">
      <c r="A141" s="18"/>
      <c r="B141" s="55">
        <v>3.0</v>
      </c>
      <c r="C141" s="50" t="s">
        <v>123</v>
      </c>
      <c r="D141" s="57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1.0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0.0</v>
      </c>
      <c r="AL141" s="19">
        <v>0.0</v>
      </c>
      <c r="AM141" s="19">
        <v>0.0</v>
      </c>
      <c r="AN141" s="19">
        <v>0.0</v>
      </c>
      <c r="AO141" s="19">
        <v>0.0</v>
      </c>
      <c r="AP141" s="19">
        <v>0.0</v>
      </c>
      <c r="AQ141" s="19">
        <v>0.0</v>
      </c>
      <c r="AR141" s="19">
        <v>0.0</v>
      </c>
      <c r="AS141" s="19">
        <v>0.0</v>
      </c>
      <c r="AT141" s="19">
        <v>0.0</v>
      </c>
      <c r="AU141" s="19">
        <v>0.0</v>
      </c>
      <c r="AV141" s="19">
        <v>0.0</v>
      </c>
      <c r="AW141" s="19">
        <v>0.0</v>
      </c>
      <c r="AX141" s="19">
        <v>1.0</v>
      </c>
      <c r="AY141" s="19">
        <v>0.0</v>
      </c>
      <c r="AZ141" s="19">
        <v>0.0</v>
      </c>
      <c r="BA141" s="19">
        <v>0.0</v>
      </c>
      <c r="BB141" s="19">
        <v>0.0</v>
      </c>
      <c r="BC141" s="19">
        <v>0.0</v>
      </c>
      <c r="BD141" s="19">
        <v>0.0</v>
      </c>
      <c r="BE141" s="13">
        <f t="shared" si="34"/>
        <v>2</v>
      </c>
    </row>
    <row r="142" ht="12.75" customHeight="1">
      <c r="A142" s="18"/>
      <c r="B142" s="55">
        <v>4.0</v>
      </c>
      <c r="C142" s="50" t="s">
        <v>124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1.0</v>
      </c>
      <c r="V142" s="19">
        <v>1.0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1.0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9">
        <v>1.0</v>
      </c>
      <c r="AS142" s="19">
        <v>0.0</v>
      </c>
      <c r="AT142" s="19">
        <v>0.0</v>
      </c>
      <c r="AU142" s="19">
        <v>0.0</v>
      </c>
      <c r="AV142" s="19">
        <v>0.0</v>
      </c>
      <c r="AW142" s="19">
        <v>0.0</v>
      </c>
      <c r="AX142" s="19">
        <v>0.0</v>
      </c>
      <c r="AY142" s="19">
        <v>0.0</v>
      </c>
      <c r="AZ142" s="19">
        <v>0.0</v>
      </c>
      <c r="BA142" s="19">
        <v>0.0</v>
      </c>
      <c r="BB142" s="19">
        <v>0.0</v>
      </c>
      <c r="BC142" s="19">
        <v>0.0</v>
      </c>
      <c r="BD142" s="19">
        <v>0.0</v>
      </c>
      <c r="BE142" s="13">
        <f t="shared" si="34"/>
        <v>4</v>
      </c>
    </row>
    <row r="143" ht="12.75" customHeight="1">
      <c r="A143" s="18"/>
      <c r="B143" s="55">
        <v>5.0</v>
      </c>
      <c r="C143" s="50" t="s">
        <v>125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0.0</v>
      </c>
      <c r="AQ143" s="19">
        <v>0.0</v>
      </c>
      <c r="AR143" s="19">
        <v>0.0</v>
      </c>
      <c r="AS143" s="19">
        <v>0.0</v>
      </c>
      <c r="AT143" s="19">
        <v>0.0</v>
      </c>
      <c r="AU143" s="19">
        <v>0.0</v>
      </c>
      <c r="AV143" s="19">
        <v>0.0</v>
      </c>
      <c r="AW143" s="19">
        <v>0.0</v>
      </c>
      <c r="AX143" s="19">
        <v>0.0</v>
      </c>
      <c r="AY143" s="19">
        <v>0.0</v>
      </c>
      <c r="AZ143" s="19">
        <v>0.0</v>
      </c>
      <c r="BA143" s="19">
        <v>0.0</v>
      </c>
      <c r="BB143" s="19">
        <v>0.0</v>
      </c>
      <c r="BC143" s="19">
        <v>0.0</v>
      </c>
      <c r="BD143" s="19">
        <v>0.0</v>
      </c>
      <c r="BE143" s="13">
        <f t="shared" si="34"/>
        <v>0</v>
      </c>
    </row>
    <row r="144" ht="12.75" customHeight="1">
      <c r="A144" s="18"/>
      <c r="B144" s="55">
        <v>6.0</v>
      </c>
      <c r="C144" s="50" t="s">
        <v>126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1.0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9">
        <v>0.0</v>
      </c>
      <c r="AN144" s="19">
        <v>0.0</v>
      </c>
      <c r="AO144" s="19">
        <v>0.0</v>
      </c>
      <c r="AP144" s="19">
        <v>0.0</v>
      </c>
      <c r="AQ144" s="19">
        <v>0.0</v>
      </c>
      <c r="AR144" s="19">
        <v>0.0</v>
      </c>
      <c r="AS144" s="19">
        <v>0.0</v>
      </c>
      <c r="AT144" s="19">
        <v>0.0</v>
      </c>
      <c r="AU144" s="19">
        <v>0.0</v>
      </c>
      <c r="AV144" s="19">
        <v>0.0</v>
      </c>
      <c r="AW144" s="19">
        <v>0.0</v>
      </c>
      <c r="AX144" s="19">
        <v>0.0</v>
      </c>
      <c r="AY144" s="19">
        <v>0.0</v>
      </c>
      <c r="AZ144" s="19">
        <v>0.0</v>
      </c>
      <c r="BA144" s="19">
        <v>0.0</v>
      </c>
      <c r="BB144" s="19">
        <v>0.0</v>
      </c>
      <c r="BC144" s="19">
        <v>0.0</v>
      </c>
      <c r="BD144" s="19">
        <v>0.0</v>
      </c>
      <c r="BE144" s="13">
        <f t="shared" si="34"/>
        <v>1</v>
      </c>
    </row>
    <row r="145" ht="12.75" customHeight="1">
      <c r="A145" s="18"/>
      <c r="B145" s="55">
        <v>7.0</v>
      </c>
      <c r="C145" s="50" t="s">
        <v>127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9">
        <v>0.0</v>
      </c>
      <c r="AS145" s="19">
        <v>0.0</v>
      </c>
      <c r="AT145" s="19">
        <v>0.0</v>
      </c>
      <c r="AU145" s="19">
        <v>0.0</v>
      </c>
      <c r="AV145" s="19">
        <v>0.0</v>
      </c>
      <c r="AW145" s="19">
        <v>0.0</v>
      </c>
      <c r="AX145" s="19">
        <v>0.0</v>
      </c>
      <c r="AY145" s="19">
        <v>0.0</v>
      </c>
      <c r="AZ145" s="19">
        <v>0.0</v>
      </c>
      <c r="BA145" s="19">
        <v>0.0</v>
      </c>
      <c r="BB145" s="19">
        <v>0.0</v>
      </c>
      <c r="BC145" s="19">
        <v>0.0</v>
      </c>
      <c r="BD145" s="19">
        <v>0.0</v>
      </c>
      <c r="BE145" s="13">
        <f t="shared" si="34"/>
        <v>0</v>
      </c>
    </row>
    <row r="146" ht="12.75" customHeight="1">
      <c r="A146" s="19" t="s">
        <v>15</v>
      </c>
      <c r="B146" s="47" t="s">
        <v>47</v>
      </c>
      <c r="C146" s="15"/>
      <c r="D146" s="16"/>
      <c r="E146" s="13">
        <f t="shared" ref="E146:BE146" si="35">SUM(E138:E145)</f>
        <v>0</v>
      </c>
      <c r="F146" s="13">
        <f t="shared" si="35"/>
        <v>1</v>
      </c>
      <c r="G146" s="13">
        <f t="shared" si="35"/>
        <v>1</v>
      </c>
      <c r="H146" s="13">
        <f t="shared" si="35"/>
        <v>1</v>
      </c>
      <c r="I146" s="13">
        <f t="shared" si="35"/>
        <v>0</v>
      </c>
      <c r="J146" s="13">
        <f t="shared" si="35"/>
        <v>0</v>
      </c>
      <c r="K146" s="13">
        <f t="shared" si="35"/>
        <v>0</v>
      </c>
      <c r="L146" s="13">
        <f t="shared" si="35"/>
        <v>0</v>
      </c>
      <c r="M146" s="13">
        <f t="shared" si="35"/>
        <v>0</v>
      </c>
      <c r="N146" s="13">
        <f t="shared" si="35"/>
        <v>1</v>
      </c>
      <c r="O146" s="13">
        <f t="shared" si="35"/>
        <v>0</v>
      </c>
      <c r="P146" s="13">
        <f t="shared" si="35"/>
        <v>0</v>
      </c>
      <c r="Q146" s="13">
        <f t="shared" si="35"/>
        <v>1</v>
      </c>
      <c r="R146" s="13">
        <f t="shared" si="35"/>
        <v>0</v>
      </c>
      <c r="S146" s="13">
        <f t="shared" si="35"/>
        <v>0</v>
      </c>
      <c r="T146" s="13">
        <f t="shared" si="35"/>
        <v>0</v>
      </c>
      <c r="U146" s="13">
        <f t="shared" si="35"/>
        <v>1</v>
      </c>
      <c r="V146" s="13">
        <f t="shared" si="35"/>
        <v>1</v>
      </c>
      <c r="W146" s="13">
        <f t="shared" si="35"/>
        <v>0</v>
      </c>
      <c r="X146" s="13">
        <f t="shared" si="35"/>
        <v>0</v>
      </c>
      <c r="Y146" s="13">
        <f t="shared" si="35"/>
        <v>0</v>
      </c>
      <c r="Z146" s="13">
        <f t="shared" si="35"/>
        <v>0</v>
      </c>
      <c r="AA146" s="13">
        <f t="shared" si="35"/>
        <v>0</v>
      </c>
      <c r="AB146" s="13">
        <f t="shared" si="35"/>
        <v>0</v>
      </c>
      <c r="AC146" s="13">
        <f t="shared" si="35"/>
        <v>0</v>
      </c>
      <c r="AD146" s="13">
        <f t="shared" si="35"/>
        <v>2</v>
      </c>
      <c r="AE146" s="13">
        <f t="shared" si="35"/>
        <v>0</v>
      </c>
      <c r="AF146" s="13">
        <f t="shared" si="35"/>
        <v>1</v>
      </c>
      <c r="AG146" s="13">
        <f t="shared" si="35"/>
        <v>0</v>
      </c>
      <c r="AH146" s="13">
        <f t="shared" si="35"/>
        <v>1</v>
      </c>
      <c r="AI146" s="13">
        <f t="shared" si="35"/>
        <v>0</v>
      </c>
      <c r="AJ146" s="13">
        <f t="shared" si="35"/>
        <v>3</v>
      </c>
      <c r="AK146" s="13">
        <f t="shared" si="35"/>
        <v>0</v>
      </c>
      <c r="AL146" s="13">
        <f t="shared" si="35"/>
        <v>0</v>
      </c>
      <c r="AM146" s="13">
        <f t="shared" si="35"/>
        <v>0</v>
      </c>
      <c r="AN146" s="13">
        <f t="shared" si="35"/>
        <v>0</v>
      </c>
      <c r="AO146" s="13">
        <f t="shared" si="35"/>
        <v>0</v>
      </c>
      <c r="AP146" s="13">
        <f t="shared" si="35"/>
        <v>0</v>
      </c>
      <c r="AQ146" s="13">
        <f t="shared" si="35"/>
        <v>1</v>
      </c>
      <c r="AR146" s="13">
        <f t="shared" si="35"/>
        <v>1</v>
      </c>
      <c r="AS146" s="13">
        <f t="shared" si="35"/>
        <v>1</v>
      </c>
      <c r="AT146" s="13">
        <f t="shared" si="35"/>
        <v>0</v>
      </c>
      <c r="AU146" s="13">
        <f t="shared" si="35"/>
        <v>0</v>
      </c>
      <c r="AV146" s="13">
        <f t="shared" si="35"/>
        <v>0</v>
      </c>
      <c r="AW146" s="13">
        <f t="shared" si="35"/>
        <v>1</v>
      </c>
      <c r="AX146" s="13">
        <f t="shared" si="35"/>
        <v>1</v>
      </c>
      <c r="AY146" s="13">
        <f t="shared" si="35"/>
        <v>0</v>
      </c>
      <c r="AZ146" s="13">
        <f t="shared" si="35"/>
        <v>2</v>
      </c>
      <c r="BA146" s="13">
        <f t="shared" si="35"/>
        <v>0</v>
      </c>
      <c r="BB146" s="13">
        <f t="shared" si="35"/>
        <v>0</v>
      </c>
      <c r="BC146" s="13">
        <f t="shared" si="35"/>
        <v>0</v>
      </c>
      <c r="BD146" s="13">
        <f t="shared" si="35"/>
        <v>0</v>
      </c>
      <c r="BE146" s="13">
        <f t="shared" si="35"/>
        <v>21</v>
      </c>
    </row>
    <row r="147" ht="12.75" customHeight="1">
      <c r="A147" s="24"/>
      <c r="B147" s="15"/>
      <c r="C147" s="15"/>
      <c r="D147" s="15"/>
      <c r="E147" s="16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</row>
    <row r="148" ht="12.75" customHeight="1">
      <c r="A148" s="30" t="s">
        <v>37</v>
      </c>
      <c r="B148" s="47" t="s">
        <v>128</v>
      </c>
      <c r="C148" s="48" t="s">
        <v>129</v>
      </c>
      <c r="D148" s="16"/>
      <c r="E148" s="19">
        <v>2.0</v>
      </c>
      <c r="F148" s="19">
        <v>0.0</v>
      </c>
      <c r="G148" s="19">
        <v>0.0</v>
      </c>
      <c r="H148" s="19">
        <v>0.0</v>
      </c>
      <c r="I148" s="19">
        <v>1.0</v>
      </c>
      <c r="J148" s="19">
        <v>3.0</v>
      </c>
      <c r="K148" s="19">
        <v>1.0</v>
      </c>
      <c r="L148" s="19">
        <v>0.0</v>
      </c>
      <c r="M148" s="19">
        <v>2.0</v>
      </c>
      <c r="N148" s="19">
        <v>0.0</v>
      </c>
      <c r="O148" s="19">
        <v>1.0</v>
      </c>
      <c r="P148" s="19">
        <v>0.0</v>
      </c>
      <c r="Q148" s="19">
        <v>1.0</v>
      </c>
      <c r="R148" s="19">
        <v>1.0</v>
      </c>
      <c r="S148" s="19">
        <v>0.0</v>
      </c>
      <c r="T148" s="19">
        <v>0.0</v>
      </c>
      <c r="U148" s="19">
        <v>0.0</v>
      </c>
      <c r="V148" s="19">
        <v>0.0</v>
      </c>
      <c r="W148" s="19">
        <v>1.0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6.0</v>
      </c>
      <c r="AG148" s="19">
        <v>1.0</v>
      </c>
      <c r="AH148" s="19">
        <v>0.0</v>
      </c>
      <c r="AI148" s="19">
        <v>0.0</v>
      </c>
      <c r="AJ148" s="19">
        <v>1.0</v>
      </c>
      <c r="AK148" s="19">
        <v>0.0</v>
      </c>
      <c r="AL148" s="19">
        <v>2.0</v>
      </c>
      <c r="AM148" s="19">
        <v>5.0</v>
      </c>
      <c r="AN148" s="19">
        <v>1.0</v>
      </c>
      <c r="AO148" s="19">
        <v>0.0</v>
      </c>
      <c r="AP148" s="19">
        <v>0.0</v>
      </c>
      <c r="AQ148" s="19">
        <v>1.0</v>
      </c>
      <c r="AR148" s="19">
        <v>5.0</v>
      </c>
      <c r="AS148" s="19">
        <v>3.0</v>
      </c>
      <c r="AT148" s="19">
        <v>0.0</v>
      </c>
      <c r="AU148" s="19">
        <v>2.0</v>
      </c>
      <c r="AV148" s="19">
        <v>0.0</v>
      </c>
      <c r="AW148" s="19">
        <v>1.0</v>
      </c>
      <c r="AX148" s="19">
        <v>5.0</v>
      </c>
      <c r="AY148" s="19">
        <v>1.0</v>
      </c>
      <c r="AZ148" s="19">
        <v>1.0</v>
      </c>
      <c r="BA148" s="19">
        <v>5.0</v>
      </c>
      <c r="BB148" s="19">
        <v>1.0</v>
      </c>
      <c r="BC148" s="19">
        <v>0.0</v>
      </c>
      <c r="BD148" s="19">
        <v>0.0</v>
      </c>
      <c r="BE148" s="13">
        <f t="shared" ref="BE148:BE155" si="36">SUM(E148:BD148)</f>
        <v>54</v>
      </c>
    </row>
    <row r="149" ht="12.75" customHeight="1">
      <c r="A149" s="30" t="s">
        <v>39</v>
      </c>
      <c r="B149" s="55">
        <v>1.0</v>
      </c>
      <c r="C149" s="50" t="s">
        <v>130</v>
      </c>
      <c r="D149" s="57"/>
      <c r="E149" s="19">
        <v>0.0</v>
      </c>
      <c r="F149" s="19">
        <v>0.0</v>
      </c>
      <c r="G149" s="19">
        <v>0.0</v>
      </c>
      <c r="H149" s="19">
        <v>0.0</v>
      </c>
      <c r="I149" s="19">
        <v>0.0</v>
      </c>
      <c r="J149" s="19">
        <v>1.0</v>
      </c>
      <c r="K149" s="19">
        <v>0.0</v>
      </c>
      <c r="L149" s="19">
        <v>2.0</v>
      </c>
      <c r="M149" s="19">
        <v>0.0</v>
      </c>
      <c r="N149" s="19">
        <v>0.0</v>
      </c>
      <c r="O149" s="19">
        <v>0.0</v>
      </c>
      <c r="P149" s="19">
        <v>0.0</v>
      </c>
      <c r="Q149" s="19">
        <v>0.0</v>
      </c>
      <c r="R149" s="19">
        <v>1.0</v>
      </c>
      <c r="S149" s="19">
        <v>0.0</v>
      </c>
      <c r="T149" s="19">
        <v>0.0</v>
      </c>
      <c r="U149" s="19">
        <v>1.0</v>
      </c>
      <c r="V149" s="19">
        <v>1.0</v>
      </c>
      <c r="W149" s="19">
        <v>2.0</v>
      </c>
      <c r="X149" s="19">
        <v>1.0</v>
      </c>
      <c r="Y149" s="19">
        <v>0.0</v>
      </c>
      <c r="Z149" s="19">
        <v>0.0</v>
      </c>
      <c r="AA149" s="19">
        <v>0.0</v>
      </c>
      <c r="AB149" s="19">
        <v>0.0</v>
      </c>
      <c r="AC149" s="19">
        <v>1.0</v>
      </c>
      <c r="AD149" s="19">
        <v>0.0</v>
      </c>
      <c r="AE149" s="19">
        <v>0.0</v>
      </c>
      <c r="AF149" s="19">
        <v>5.0</v>
      </c>
      <c r="AG149" s="19">
        <v>0.0</v>
      </c>
      <c r="AH149" s="19">
        <v>0.0</v>
      </c>
      <c r="AI149" s="19">
        <v>1.0</v>
      </c>
      <c r="AJ149" s="19">
        <v>4.0</v>
      </c>
      <c r="AK149" s="19">
        <v>1.0</v>
      </c>
      <c r="AL149" s="19">
        <v>3.0</v>
      </c>
      <c r="AM149" s="19">
        <v>4.0</v>
      </c>
      <c r="AN149" s="19">
        <v>0.0</v>
      </c>
      <c r="AO149" s="19">
        <v>0.0</v>
      </c>
      <c r="AP149" s="19">
        <v>0.0</v>
      </c>
      <c r="AQ149" s="19">
        <v>1.0</v>
      </c>
      <c r="AR149" s="19">
        <v>11.0</v>
      </c>
      <c r="AS149" s="19">
        <v>4.0</v>
      </c>
      <c r="AT149" s="19">
        <v>2.0</v>
      </c>
      <c r="AU149" s="19">
        <v>1.0</v>
      </c>
      <c r="AV149" s="19">
        <v>2.0</v>
      </c>
      <c r="AW149" s="19">
        <v>1.0</v>
      </c>
      <c r="AX149" s="19">
        <v>1.0</v>
      </c>
      <c r="AY149" s="19">
        <v>1.0</v>
      </c>
      <c r="AZ149" s="19">
        <v>0.0</v>
      </c>
      <c r="BA149" s="19">
        <v>5.0</v>
      </c>
      <c r="BB149" s="19">
        <v>9.0</v>
      </c>
      <c r="BC149" s="19">
        <v>1.0</v>
      </c>
      <c r="BD149" s="19">
        <v>0.0</v>
      </c>
      <c r="BE149" s="13">
        <f t="shared" si="36"/>
        <v>67</v>
      </c>
    </row>
    <row r="150" ht="12.75" customHeight="1">
      <c r="A150" s="18"/>
      <c r="B150" s="55">
        <v>2.0</v>
      </c>
      <c r="C150" s="50" t="s">
        <v>131</v>
      </c>
      <c r="D150" s="57"/>
      <c r="E150" s="19">
        <v>0.0</v>
      </c>
      <c r="F150" s="19">
        <v>0.0</v>
      </c>
      <c r="G150" s="19">
        <v>1.0</v>
      </c>
      <c r="H150" s="19">
        <v>0.0</v>
      </c>
      <c r="I150" s="19">
        <v>0.0</v>
      </c>
      <c r="J150" s="19">
        <v>0.0</v>
      </c>
      <c r="K150" s="19">
        <v>0.0</v>
      </c>
      <c r="L150" s="19">
        <v>1.0</v>
      </c>
      <c r="M150" s="19">
        <v>0.0</v>
      </c>
      <c r="N150" s="19">
        <v>0.0</v>
      </c>
      <c r="O150" s="19">
        <v>0.0</v>
      </c>
      <c r="P150" s="19">
        <v>0.0</v>
      </c>
      <c r="Q150" s="19">
        <v>0.0</v>
      </c>
      <c r="R150" s="19">
        <v>1.0</v>
      </c>
      <c r="S150" s="19">
        <v>0.0</v>
      </c>
      <c r="T150" s="19">
        <v>1.0</v>
      </c>
      <c r="U150" s="19">
        <v>2.0</v>
      </c>
      <c r="V150" s="19">
        <v>0.0</v>
      </c>
      <c r="W150" s="19">
        <v>2.0</v>
      </c>
      <c r="X150" s="19">
        <v>0.0</v>
      </c>
      <c r="Y150" s="19">
        <v>0.0</v>
      </c>
      <c r="Z150" s="19">
        <v>0.0</v>
      </c>
      <c r="AA150" s="19">
        <v>0.0</v>
      </c>
      <c r="AB150" s="19">
        <v>0.0</v>
      </c>
      <c r="AC150" s="19">
        <v>1.0</v>
      </c>
      <c r="AD150" s="19">
        <v>0.0</v>
      </c>
      <c r="AE150" s="19">
        <v>0.0</v>
      </c>
      <c r="AF150" s="19">
        <v>0.0</v>
      </c>
      <c r="AG150" s="19">
        <v>0.0</v>
      </c>
      <c r="AH150" s="19">
        <v>0.0</v>
      </c>
      <c r="AI150" s="19">
        <v>0.0</v>
      </c>
      <c r="AJ150" s="19">
        <v>0.0</v>
      </c>
      <c r="AK150" s="19">
        <v>0.0</v>
      </c>
      <c r="AL150" s="19">
        <v>0.0</v>
      </c>
      <c r="AM150" s="19">
        <v>0.0</v>
      </c>
      <c r="AN150" s="19">
        <v>1.0</v>
      </c>
      <c r="AO150" s="19">
        <v>0.0</v>
      </c>
      <c r="AP150" s="19">
        <v>0.0</v>
      </c>
      <c r="AQ150" s="19">
        <v>0.0</v>
      </c>
      <c r="AR150" s="19">
        <v>0.0</v>
      </c>
      <c r="AS150" s="19">
        <v>0.0</v>
      </c>
      <c r="AT150" s="19">
        <v>1.0</v>
      </c>
      <c r="AU150" s="19">
        <v>1.0</v>
      </c>
      <c r="AV150" s="19">
        <v>0.0</v>
      </c>
      <c r="AW150" s="19">
        <v>3.0</v>
      </c>
      <c r="AX150" s="19">
        <v>0.0</v>
      </c>
      <c r="AY150" s="19">
        <v>1.0</v>
      </c>
      <c r="AZ150" s="19">
        <v>0.0</v>
      </c>
      <c r="BA150" s="19">
        <v>0.0</v>
      </c>
      <c r="BB150" s="19">
        <v>0.0</v>
      </c>
      <c r="BC150" s="19">
        <v>0.0</v>
      </c>
      <c r="BD150" s="19">
        <v>0.0</v>
      </c>
      <c r="BE150" s="13">
        <f t="shared" si="36"/>
        <v>16</v>
      </c>
    </row>
    <row r="151" ht="12.75" customHeight="1">
      <c r="A151" s="18"/>
      <c r="B151" s="55">
        <v>3.0</v>
      </c>
      <c r="C151" s="50" t="s">
        <v>132</v>
      </c>
      <c r="D151" s="57"/>
      <c r="E151" s="19">
        <v>0.0</v>
      </c>
      <c r="F151" s="19">
        <v>0.0</v>
      </c>
      <c r="G151" s="19">
        <v>0.0</v>
      </c>
      <c r="H151" s="19">
        <v>0.0</v>
      </c>
      <c r="I151" s="19">
        <v>0.0</v>
      </c>
      <c r="J151" s="19">
        <v>0.0</v>
      </c>
      <c r="K151" s="19">
        <v>1.0</v>
      </c>
      <c r="L151" s="19">
        <v>0.0</v>
      </c>
      <c r="M151" s="19">
        <v>1.0</v>
      </c>
      <c r="N151" s="19">
        <v>0.0</v>
      </c>
      <c r="O151" s="19">
        <v>0.0</v>
      </c>
      <c r="P151" s="19">
        <v>0.0</v>
      </c>
      <c r="Q151" s="19">
        <v>0.0</v>
      </c>
      <c r="R151" s="19">
        <v>0.0</v>
      </c>
      <c r="S151" s="19">
        <v>1.0</v>
      </c>
      <c r="T151" s="19">
        <v>0.0</v>
      </c>
      <c r="U151" s="19">
        <v>0.0</v>
      </c>
      <c r="V151" s="19">
        <v>0.0</v>
      </c>
      <c r="W151" s="19">
        <v>0.0</v>
      </c>
      <c r="X151" s="19">
        <v>0.0</v>
      </c>
      <c r="Y151" s="19">
        <v>0.0</v>
      </c>
      <c r="Z151" s="19">
        <v>0.0</v>
      </c>
      <c r="AA151" s="19">
        <v>0.0</v>
      </c>
      <c r="AB151" s="19">
        <v>0.0</v>
      </c>
      <c r="AC151" s="19">
        <v>0.0</v>
      </c>
      <c r="AD151" s="19">
        <v>0.0</v>
      </c>
      <c r="AE151" s="19">
        <v>0.0</v>
      </c>
      <c r="AF151" s="19">
        <v>0.0</v>
      </c>
      <c r="AG151" s="19">
        <v>0.0</v>
      </c>
      <c r="AH151" s="19">
        <v>0.0</v>
      </c>
      <c r="AI151" s="19">
        <v>0.0</v>
      </c>
      <c r="AJ151" s="19">
        <v>0.0</v>
      </c>
      <c r="AK151" s="19">
        <v>0.0</v>
      </c>
      <c r="AL151" s="19">
        <v>1.0</v>
      </c>
      <c r="AM151" s="19">
        <v>0.0</v>
      </c>
      <c r="AN151" s="19">
        <v>0.0</v>
      </c>
      <c r="AO151" s="19">
        <v>0.0</v>
      </c>
      <c r="AP151" s="19">
        <v>1.0</v>
      </c>
      <c r="AQ151" s="19">
        <v>0.0</v>
      </c>
      <c r="AR151" s="19">
        <v>1.0</v>
      </c>
      <c r="AS151" s="19">
        <v>0.0</v>
      </c>
      <c r="AT151" s="19">
        <v>0.0</v>
      </c>
      <c r="AU151" s="19">
        <v>0.0</v>
      </c>
      <c r="AV151" s="19">
        <v>0.0</v>
      </c>
      <c r="AW151" s="19">
        <v>1.0</v>
      </c>
      <c r="AX151" s="19">
        <v>2.0</v>
      </c>
      <c r="AY151" s="19">
        <v>0.0</v>
      </c>
      <c r="AZ151" s="19">
        <v>0.0</v>
      </c>
      <c r="BA151" s="19">
        <v>0.0</v>
      </c>
      <c r="BB151" s="19">
        <v>1.0</v>
      </c>
      <c r="BC151" s="19">
        <v>0.0</v>
      </c>
      <c r="BD151" s="19">
        <v>0.0</v>
      </c>
      <c r="BE151" s="13">
        <f t="shared" si="36"/>
        <v>10</v>
      </c>
    </row>
    <row r="152" ht="12.75" customHeight="1">
      <c r="A152" s="18"/>
      <c r="B152" s="55">
        <v>4.0</v>
      </c>
      <c r="C152" s="50" t="s">
        <v>133</v>
      </c>
      <c r="D152" s="57"/>
      <c r="E152" s="19">
        <v>0.0</v>
      </c>
      <c r="F152" s="19">
        <v>0.0</v>
      </c>
      <c r="G152" s="19">
        <v>0.0</v>
      </c>
      <c r="H152" s="19">
        <v>0.0</v>
      </c>
      <c r="I152" s="19">
        <v>0.0</v>
      </c>
      <c r="J152" s="19">
        <v>0.0</v>
      </c>
      <c r="K152" s="19">
        <v>0.0</v>
      </c>
      <c r="L152" s="19">
        <v>0.0</v>
      </c>
      <c r="M152" s="19">
        <v>0.0</v>
      </c>
      <c r="N152" s="19">
        <v>0.0</v>
      </c>
      <c r="O152" s="19">
        <v>0.0</v>
      </c>
      <c r="P152" s="19">
        <v>0.0</v>
      </c>
      <c r="Q152" s="19">
        <v>0.0</v>
      </c>
      <c r="R152" s="19">
        <v>0.0</v>
      </c>
      <c r="S152" s="19">
        <v>0.0</v>
      </c>
      <c r="T152" s="19">
        <v>0.0</v>
      </c>
      <c r="U152" s="19">
        <v>1.0</v>
      </c>
      <c r="V152" s="19">
        <v>0.0</v>
      </c>
      <c r="W152" s="19">
        <v>0.0</v>
      </c>
      <c r="X152" s="19">
        <v>0.0</v>
      </c>
      <c r="Y152" s="19">
        <v>0.0</v>
      </c>
      <c r="Z152" s="19">
        <v>0.0</v>
      </c>
      <c r="AA152" s="19">
        <v>0.0</v>
      </c>
      <c r="AB152" s="19">
        <v>0.0</v>
      </c>
      <c r="AC152" s="19">
        <v>0.0</v>
      </c>
      <c r="AD152" s="19">
        <v>0.0</v>
      </c>
      <c r="AE152" s="19">
        <v>0.0</v>
      </c>
      <c r="AF152" s="19">
        <v>0.0</v>
      </c>
      <c r="AG152" s="19">
        <v>0.0</v>
      </c>
      <c r="AH152" s="19">
        <v>0.0</v>
      </c>
      <c r="AI152" s="19">
        <v>0.0</v>
      </c>
      <c r="AJ152" s="19">
        <v>1.0</v>
      </c>
      <c r="AK152" s="19">
        <v>1.0</v>
      </c>
      <c r="AL152" s="19">
        <v>0.0</v>
      </c>
      <c r="AM152" s="19">
        <v>0.0</v>
      </c>
      <c r="AN152" s="19">
        <v>0.0</v>
      </c>
      <c r="AO152" s="19">
        <v>0.0</v>
      </c>
      <c r="AP152" s="19">
        <v>0.0</v>
      </c>
      <c r="AQ152" s="19">
        <v>0.0</v>
      </c>
      <c r="AR152" s="19">
        <v>0.0</v>
      </c>
      <c r="AS152" s="19">
        <v>1.0</v>
      </c>
      <c r="AT152" s="19">
        <v>1.0</v>
      </c>
      <c r="AU152" s="19">
        <v>0.0</v>
      </c>
      <c r="AV152" s="19">
        <v>0.0</v>
      </c>
      <c r="AW152" s="19">
        <v>0.0</v>
      </c>
      <c r="AX152" s="19">
        <v>1.0</v>
      </c>
      <c r="AY152" s="19">
        <v>0.0</v>
      </c>
      <c r="AZ152" s="19">
        <v>0.0</v>
      </c>
      <c r="BA152" s="19">
        <v>1.0</v>
      </c>
      <c r="BB152" s="19">
        <v>0.0</v>
      </c>
      <c r="BC152" s="19">
        <v>0.0</v>
      </c>
      <c r="BD152" s="19">
        <v>0.0</v>
      </c>
      <c r="BE152" s="13">
        <f t="shared" si="36"/>
        <v>7</v>
      </c>
    </row>
    <row r="153" ht="12.75" customHeight="1">
      <c r="A153" s="18"/>
      <c r="B153" s="55">
        <v>5.0</v>
      </c>
      <c r="C153" s="50" t="s">
        <v>134</v>
      </c>
      <c r="D153" s="57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1.0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0.0</v>
      </c>
      <c r="AJ153" s="19">
        <v>0.0</v>
      </c>
      <c r="AK153" s="19">
        <v>1.0</v>
      </c>
      <c r="AL153" s="19">
        <v>0.0</v>
      </c>
      <c r="AM153" s="19">
        <v>0.0</v>
      </c>
      <c r="AN153" s="19">
        <v>1.0</v>
      </c>
      <c r="AO153" s="19">
        <v>0.0</v>
      </c>
      <c r="AP153" s="19">
        <v>0.0</v>
      </c>
      <c r="AQ153" s="19">
        <v>0.0</v>
      </c>
      <c r="AR153" s="19">
        <v>0.0</v>
      </c>
      <c r="AS153" s="19">
        <v>0.0</v>
      </c>
      <c r="AT153" s="19">
        <v>0.0</v>
      </c>
      <c r="AU153" s="19">
        <v>0.0</v>
      </c>
      <c r="AV153" s="19">
        <v>0.0</v>
      </c>
      <c r="AW153" s="19">
        <v>0.0</v>
      </c>
      <c r="AX153" s="19">
        <v>0.0</v>
      </c>
      <c r="AY153" s="19">
        <v>0.0</v>
      </c>
      <c r="AZ153" s="19">
        <v>0.0</v>
      </c>
      <c r="BA153" s="19">
        <v>0.0</v>
      </c>
      <c r="BB153" s="19">
        <v>0.0</v>
      </c>
      <c r="BC153" s="19">
        <v>1.0</v>
      </c>
      <c r="BD153" s="19">
        <v>0.0</v>
      </c>
      <c r="BE153" s="13">
        <f t="shared" si="36"/>
        <v>4</v>
      </c>
    </row>
    <row r="154" ht="12.75" customHeight="1">
      <c r="A154" s="18"/>
      <c r="B154" s="55">
        <v>6.0</v>
      </c>
      <c r="C154" s="50" t="s">
        <v>135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1.0</v>
      </c>
      <c r="W154" s="19">
        <v>1.0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1.0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0.0</v>
      </c>
      <c r="AL154" s="19">
        <v>0.0</v>
      </c>
      <c r="AM154" s="19">
        <v>1.0</v>
      </c>
      <c r="AN154" s="19">
        <v>0.0</v>
      </c>
      <c r="AO154" s="19">
        <v>0.0</v>
      </c>
      <c r="AP154" s="19">
        <v>0.0</v>
      </c>
      <c r="AQ154" s="19">
        <v>0.0</v>
      </c>
      <c r="AR154" s="19">
        <v>0.0</v>
      </c>
      <c r="AS154" s="19">
        <v>0.0</v>
      </c>
      <c r="AT154" s="19">
        <v>0.0</v>
      </c>
      <c r="AU154" s="19">
        <v>0.0</v>
      </c>
      <c r="AV154" s="19">
        <v>0.0</v>
      </c>
      <c r="AW154" s="19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9">
        <v>1.0</v>
      </c>
      <c r="BC154" s="19">
        <v>0.0</v>
      </c>
      <c r="BD154" s="19">
        <v>0.0</v>
      </c>
      <c r="BE154" s="13">
        <f t="shared" si="36"/>
        <v>5</v>
      </c>
    </row>
    <row r="155" ht="12.75" customHeight="1">
      <c r="A155" s="18"/>
      <c r="B155" s="55">
        <v>7.0</v>
      </c>
      <c r="C155" s="50" t="s">
        <v>136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2.0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1.0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0.0</v>
      </c>
      <c r="AK155" s="19">
        <v>0.0</v>
      </c>
      <c r="AL155" s="19">
        <v>0.0</v>
      </c>
      <c r="AM155" s="19">
        <v>0.0</v>
      </c>
      <c r="AN155" s="19">
        <v>0.0</v>
      </c>
      <c r="AO155" s="19">
        <v>0.0</v>
      </c>
      <c r="AP155" s="19">
        <v>0.0</v>
      </c>
      <c r="AQ155" s="19">
        <v>0.0</v>
      </c>
      <c r="AR155" s="19">
        <v>0.0</v>
      </c>
      <c r="AS155" s="19">
        <v>0.0</v>
      </c>
      <c r="AT155" s="19">
        <v>0.0</v>
      </c>
      <c r="AU155" s="19">
        <v>0.0</v>
      </c>
      <c r="AV155" s="19">
        <v>0.0</v>
      </c>
      <c r="AW155" s="19">
        <v>0.0</v>
      </c>
      <c r="AX155" s="19">
        <v>1.0</v>
      </c>
      <c r="AY155" s="19">
        <v>0.0</v>
      </c>
      <c r="AZ155" s="19">
        <v>0.0</v>
      </c>
      <c r="BA155" s="19">
        <v>0.0</v>
      </c>
      <c r="BB155" s="19">
        <v>0.0</v>
      </c>
      <c r="BC155" s="19">
        <v>0.0</v>
      </c>
      <c r="BD155" s="19">
        <v>0.0</v>
      </c>
      <c r="BE155" s="13">
        <f t="shared" si="36"/>
        <v>4</v>
      </c>
    </row>
    <row r="156" ht="12.75" customHeight="1">
      <c r="A156" s="19" t="s">
        <v>15</v>
      </c>
      <c r="B156" s="47" t="s">
        <v>47</v>
      </c>
      <c r="C156" s="15"/>
      <c r="D156" s="16"/>
      <c r="E156" s="13">
        <f t="shared" ref="E156:BE156" si="37">SUM(E148:E155)</f>
        <v>2</v>
      </c>
      <c r="F156" s="13">
        <f t="shared" si="37"/>
        <v>0</v>
      </c>
      <c r="G156" s="13">
        <f t="shared" si="37"/>
        <v>1</v>
      </c>
      <c r="H156" s="13">
        <f t="shared" si="37"/>
        <v>0</v>
      </c>
      <c r="I156" s="13">
        <f t="shared" si="37"/>
        <v>1</v>
      </c>
      <c r="J156" s="13">
        <f t="shared" si="37"/>
        <v>4</v>
      </c>
      <c r="K156" s="13">
        <f t="shared" si="37"/>
        <v>4</v>
      </c>
      <c r="L156" s="13">
        <f t="shared" si="37"/>
        <v>4</v>
      </c>
      <c r="M156" s="13">
        <f t="shared" si="37"/>
        <v>3</v>
      </c>
      <c r="N156" s="13">
        <f t="shared" si="37"/>
        <v>0</v>
      </c>
      <c r="O156" s="13">
        <f t="shared" si="37"/>
        <v>1</v>
      </c>
      <c r="P156" s="13">
        <f t="shared" si="37"/>
        <v>0</v>
      </c>
      <c r="Q156" s="13">
        <f t="shared" si="37"/>
        <v>2</v>
      </c>
      <c r="R156" s="13">
        <f t="shared" si="37"/>
        <v>3</v>
      </c>
      <c r="S156" s="13">
        <f t="shared" si="37"/>
        <v>1</v>
      </c>
      <c r="T156" s="13">
        <f t="shared" si="37"/>
        <v>1</v>
      </c>
      <c r="U156" s="13">
        <f t="shared" si="37"/>
        <v>4</v>
      </c>
      <c r="V156" s="13">
        <f t="shared" si="37"/>
        <v>2</v>
      </c>
      <c r="W156" s="13">
        <f t="shared" si="37"/>
        <v>6</v>
      </c>
      <c r="X156" s="13">
        <f t="shared" si="37"/>
        <v>1</v>
      </c>
      <c r="Y156" s="13">
        <f t="shared" si="37"/>
        <v>0</v>
      </c>
      <c r="Z156" s="13">
        <f t="shared" si="37"/>
        <v>0</v>
      </c>
      <c r="AA156" s="13">
        <f t="shared" si="37"/>
        <v>0</v>
      </c>
      <c r="AB156" s="13">
        <f t="shared" si="37"/>
        <v>0</v>
      </c>
      <c r="AC156" s="13">
        <f t="shared" si="37"/>
        <v>3</v>
      </c>
      <c r="AD156" s="13">
        <f t="shared" si="37"/>
        <v>0</v>
      </c>
      <c r="AE156" s="13">
        <f t="shared" si="37"/>
        <v>0</v>
      </c>
      <c r="AF156" s="13">
        <f t="shared" si="37"/>
        <v>11</v>
      </c>
      <c r="AG156" s="13">
        <f t="shared" si="37"/>
        <v>1</v>
      </c>
      <c r="AH156" s="13">
        <f t="shared" si="37"/>
        <v>0</v>
      </c>
      <c r="AI156" s="13">
        <f t="shared" si="37"/>
        <v>1</v>
      </c>
      <c r="AJ156" s="13">
        <f t="shared" si="37"/>
        <v>6</v>
      </c>
      <c r="AK156" s="13">
        <f t="shared" si="37"/>
        <v>3</v>
      </c>
      <c r="AL156" s="13">
        <f t="shared" si="37"/>
        <v>6</v>
      </c>
      <c r="AM156" s="13">
        <f t="shared" si="37"/>
        <v>10</v>
      </c>
      <c r="AN156" s="13">
        <f t="shared" si="37"/>
        <v>3</v>
      </c>
      <c r="AO156" s="13">
        <f t="shared" si="37"/>
        <v>0</v>
      </c>
      <c r="AP156" s="13">
        <f t="shared" si="37"/>
        <v>1</v>
      </c>
      <c r="AQ156" s="13">
        <f t="shared" si="37"/>
        <v>2</v>
      </c>
      <c r="AR156" s="13">
        <f t="shared" si="37"/>
        <v>17</v>
      </c>
      <c r="AS156" s="13">
        <f t="shared" si="37"/>
        <v>8</v>
      </c>
      <c r="AT156" s="13">
        <f t="shared" si="37"/>
        <v>4</v>
      </c>
      <c r="AU156" s="13">
        <f t="shared" si="37"/>
        <v>4</v>
      </c>
      <c r="AV156" s="13">
        <f t="shared" si="37"/>
        <v>2</v>
      </c>
      <c r="AW156" s="13">
        <f t="shared" si="37"/>
        <v>6</v>
      </c>
      <c r="AX156" s="13">
        <f t="shared" si="37"/>
        <v>10</v>
      </c>
      <c r="AY156" s="13">
        <f t="shared" si="37"/>
        <v>3</v>
      </c>
      <c r="AZ156" s="13">
        <f t="shared" si="37"/>
        <v>1</v>
      </c>
      <c r="BA156" s="13">
        <f t="shared" si="37"/>
        <v>11</v>
      </c>
      <c r="BB156" s="13">
        <f t="shared" si="37"/>
        <v>12</v>
      </c>
      <c r="BC156" s="13">
        <f t="shared" si="37"/>
        <v>2</v>
      </c>
      <c r="BD156" s="13">
        <f t="shared" si="37"/>
        <v>0</v>
      </c>
      <c r="BE156" s="13">
        <f t="shared" si="37"/>
        <v>167</v>
      </c>
    </row>
    <row r="157" ht="12.75" customHeight="1">
      <c r="A157" s="24"/>
      <c r="B157" s="15"/>
      <c r="C157" s="15"/>
      <c r="D157" s="15"/>
      <c r="E157" s="16"/>
      <c r="F157" s="72"/>
      <c r="G157" s="72"/>
      <c r="H157" s="72"/>
      <c r="I157" s="72"/>
      <c r="J157" s="72"/>
      <c r="K157" s="72"/>
      <c r="L157" s="72"/>
      <c r="M157" s="72"/>
      <c r="N157" s="72"/>
      <c r="Q157" s="72"/>
      <c r="R157" s="72"/>
      <c r="S157" s="72"/>
      <c r="T157" s="72"/>
      <c r="U157" s="72"/>
      <c r="V157" s="72"/>
      <c r="W157" s="72"/>
      <c r="X157" s="72"/>
      <c r="Y157" s="72"/>
      <c r="AB157" s="72"/>
      <c r="AC157" s="72"/>
      <c r="AD157" s="72"/>
      <c r="AE157" s="72"/>
      <c r="AF157" s="72"/>
      <c r="AG157" s="72"/>
      <c r="AH157" s="72"/>
      <c r="AI157" s="72"/>
      <c r="AJ157" s="72"/>
      <c r="AM157" s="72"/>
      <c r="AN157" s="72"/>
      <c r="AO157" s="72"/>
      <c r="AP157" s="72"/>
      <c r="AQ157" s="72"/>
      <c r="AR157" s="72"/>
      <c r="AS157" s="72"/>
      <c r="AT157" s="72"/>
      <c r="AU157" s="72"/>
      <c r="AX157" s="72"/>
      <c r="AY157" s="72"/>
      <c r="AZ157" s="72"/>
      <c r="BA157" s="72"/>
      <c r="BE157" s="13"/>
    </row>
    <row r="158" ht="12.75" customHeight="1">
      <c r="A158" s="30" t="s">
        <v>37</v>
      </c>
      <c r="B158" s="47" t="s">
        <v>137</v>
      </c>
      <c r="C158" s="48" t="s">
        <v>138</v>
      </c>
      <c r="D158" s="16"/>
      <c r="E158" s="19">
        <v>0.0</v>
      </c>
      <c r="F158" s="19">
        <v>0.0</v>
      </c>
      <c r="G158" s="19">
        <v>0.0</v>
      </c>
      <c r="H158" s="19">
        <v>0.0</v>
      </c>
      <c r="I158" s="19">
        <v>0.0</v>
      </c>
      <c r="J158" s="19">
        <v>0.0</v>
      </c>
      <c r="K158" s="19">
        <v>0.0</v>
      </c>
      <c r="L158" s="19">
        <v>0.0</v>
      </c>
      <c r="M158" s="19">
        <v>0.0</v>
      </c>
      <c r="N158" s="19">
        <v>0.0</v>
      </c>
      <c r="O158" s="19">
        <v>0.0</v>
      </c>
      <c r="P158" s="19">
        <v>0.0</v>
      </c>
      <c r="Q158" s="19">
        <v>0.0</v>
      </c>
      <c r="R158" s="19">
        <v>2.0</v>
      </c>
      <c r="S158" s="19">
        <v>0.0</v>
      </c>
      <c r="T158" s="19">
        <v>0.0</v>
      </c>
      <c r="U158" s="19">
        <v>0.0</v>
      </c>
      <c r="V158" s="19">
        <v>0.0</v>
      </c>
      <c r="W158" s="19">
        <v>0.0</v>
      </c>
      <c r="X158" s="19">
        <v>0.0</v>
      </c>
      <c r="Y158" s="19">
        <v>1.0</v>
      </c>
      <c r="Z158" s="19">
        <v>0.0</v>
      </c>
      <c r="AA158" s="19">
        <v>0.0</v>
      </c>
      <c r="AB158" s="19">
        <v>1.0</v>
      </c>
      <c r="AC158" s="19">
        <v>0.0</v>
      </c>
      <c r="AD158" s="19">
        <v>0.0</v>
      </c>
      <c r="AE158" s="19">
        <v>0.0</v>
      </c>
      <c r="AF158" s="19">
        <v>0.0</v>
      </c>
      <c r="AG158" s="19">
        <v>1.0</v>
      </c>
      <c r="AH158" s="19">
        <v>1.0</v>
      </c>
      <c r="AI158" s="19">
        <v>0.0</v>
      </c>
      <c r="AJ158" s="19">
        <v>0.0</v>
      </c>
      <c r="AK158" s="19">
        <v>0.0</v>
      </c>
      <c r="AL158" s="19">
        <v>0.0</v>
      </c>
      <c r="AM158" s="19">
        <v>0.0</v>
      </c>
      <c r="AN158" s="19">
        <v>0.0</v>
      </c>
      <c r="AO158" s="19">
        <v>0.0</v>
      </c>
      <c r="AP158" s="19">
        <v>0.0</v>
      </c>
      <c r="AQ158" s="19">
        <v>0.0</v>
      </c>
      <c r="AR158" s="19">
        <v>0.0</v>
      </c>
      <c r="AS158" s="19">
        <v>0.0</v>
      </c>
      <c r="AT158" s="19">
        <v>0.0</v>
      </c>
      <c r="AU158" s="19">
        <v>0.0</v>
      </c>
      <c r="AV158" s="19">
        <v>0.0</v>
      </c>
      <c r="AW158" s="19">
        <v>0.0</v>
      </c>
      <c r="AX158" s="19">
        <v>0.0</v>
      </c>
      <c r="AY158" s="19">
        <v>0.0</v>
      </c>
      <c r="AZ158" s="19">
        <v>0.0</v>
      </c>
      <c r="BA158" s="19">
        <v>0.0</v>
      </c>
      <c r="BB158" s="19">
        <v>0.0</v>
      </c>
      <c r="BC158" s="19">
        <v>0.0</v>
      </c>
      <c r="BD158" s="19">
        <v>0.0</v>
      </c>
      <c r="BE158" s="13">
        <f t="shared" ref="BE158:BE165" si="38">SUM(E158:BD158)</f>
        <v>6</v>
      </c>
    </row>
    <row r="159" ht="12.75" customHeight="1">
      <c r="A159" s="30" t="s">
        <v>39</v>
      </c>
      <c r="B159" s="55">
        <v>1.0</v>
      </c>
      <c r="C159" s="50" t="s">
        <v>139</v>
      </c>
      <c r="D159" s="57"/>
      <c r="E159" s="19">
        <v>0.0</v>
      </c>
      <c r="F159" s="19">
        <v>0.0</v>
      </c>
      <c r="G159" s="19">
        <v>0.0</v>
      </c>
      <c r="H159" s="19">
        <v>0.0</v>
      </c>
      <c r="I159" s="19">
        <v>0.0</v>
      </c>
      <c r="J159" s="19">
        <v>0.0</v>
      </c>
      <c r="K159" s="19">
        <v>0.0</v>
      </c>
      <c r="L159" s="19">
        <v>0.0</v>
      </c>
      <c r="M159" s="19">
        <v>0.0</v>
      </c>
      <c r="N159" s="19">
        <v>0.0</v>
      </c>
      <c r="O159" s="19">
        <v>0.0</v>
      </c>
      <c r="P159" s="19">
        <v>0.0</v>
      </c>
      <c r="Q159" s="19">
        <v>0.0</v>
      </c>
      <c r="R159" s="19">
        <v>1.0</v>
      </c>
      <c r="S159" s="19">
        <v>0.0</v>
      </c>
      <c r="T159" s="19">
        <v>0.0</v>
      </c>
      <c r="U159" s="19">
        <v>1.0</v>
      </c>
      <c r="V159" s="19">
        <v>0.0</v>
      </c>
      <c r="W159" s="19">
        <v>0.0</v>
      </c>
      <c r="X159" s="19">
        <v>0.0</v>
      </c>
      <c r="Y159" s="19">
        <v>1.0</v>
      </c>
      <c r="Z159" s="19">
        <v>0.0</v>
      </c>
      <c r="AA159" s="19">
        <v>1.0</v>
      </c>
      <c r="AB159" s="19">
        <v>0.0</v>
      </c>
      <c r="AC159" s="19">
        <v>0.0</v>
      </c>
      <c r="AD159" s="19">
        <v>0.0</v>
      </c>
      <c r="AE159" s="19">
        <v>0.0</v>
      </c>
      <c r="AF159" s="19">
        <v>1.0</v>
      </c>
      <c r="AG159" s="19">
        <v>0.0</v>
      </c>
      <c r="AH159" s="19">
        <v>0.0</v>
      </c>
      <c r="AI159" s="19">
        <v>0.0</v>
      </c>
      <c r="AJ159" s="19">
        <v>0.0</v>
      </c>
      <c r="AK159" s="19">
        <v>0.0</v>
      </c>
      <c r="AL159" s="19">
        <v>0.0</v>
      </c>
      <c r="AM159" s="19">
        <v>0.0</v>
      </c>
      <c r="AN159" s="19">
        <v>0.0</v>
      </c>
      <c r="AO159" s="19">
        <v>0.0</v>
      </c>
      <c r="AP159" s="19">
        <v>0.0</v>
      </c>
      <c r="AQ159" s="19">
        <v>0.0</v>
      </c>
      <c r="AR159" s="19">
        <v>0.0</v>
      </c>
      <c r="AS159" s="19">
        <v>1.0</v>
      </c>
      <c r="AT159" s="19">
        <v>0.0</v>
      </c>
      <c r="AU159" s="19">
        <v>0.0</v>
      </c>
      <c r="AV159" s="19">
        <v>0.0</v>
      </c>
      <c r="AW159" s="19">
        <v>0.0</v>
      </c>
      <c r="AX159" s="19">
        <v>0.0</v>
      </c>
      <c r="AY159" s="19">
        <v>0.0</v>
      </c>
      <c r="AZ159" s="19">
        <v>0.0</v>
      </c>
      <c r="BA159" s="19">
        <v>1.0</v>
      </c>
      <c r="BB159" s="19">
        <v>0.0</v>
      </c>
      <c r="BC159" s="19">
        <v>0.0</v>
      </c>
      <c r="BD159" s="19">
        <v>0.0</v>
      </c>
      <c r="BE159" s="13">
        <f t="shared" si="38"/>
        <v>7</v>
      </c>
    </row>
    <row r="160" ht="12.75" customHeight="1">
      <c r="A160" s="18"/>
      <c r="B160" s="55">
        <v>2.0</v>
      </c>
      <c r="C160" s="50" t="s">
        <v>140</v>
      </c>
      <c r="D160" s="57"/>
      <c r="E160" s="19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9">
        <v>0.0</v>
      </c>
      <c r="T160" s="19">
        <v>0.0</v>
      </c>
      <c r="U160" s="19">
        <v>0.0</v>
      </c>
      <c r="V160" s="19">
        <v>0.0</v>
      </c>
      <c r="W160" s="19">
        <v>0.0</v>
      </c>
      <c r="X160" s="19">
        <v>0.0</v>
      </c>
      <c r="Y160" s="19">
        <v>0.0</v>
      </c>
      <c r="Z160" s="19">
        <v>0.0</v>
      </c>
      <c r="AA160" s="19">
        <v>0.0</v>
      </c>
      <c r="AB160" s="19">
        <v>0.0</v>
      </c>
      <c r="AC160" s="19">
        <v>0.0</v>
      </c>
      <c r="AD160" s="19">
        <v>0.0</v>
      </c>
      <c r="AE160" s="19">
        <v>0.0</v>
      </c>
      <c r="AF160" s="19">
        <v>0.0</v>
      </c>
      <c r="AG160" s="19">
        <v>1.0</v>
      </c>
      <c r="AH160" s="19">
        <v>0.0</v>
      </c>
      <c r="AI160" s="19">
        <v>0.0</v>
      </c>
      <c r="AJ160" s="19">
        <v>0.0</v>
      </c>
      <c r="AK160" s="19">
        <v>0.0</v>
      </c>
      <c r="AL160" s="19">
        <v>0.0</v>
      </c>
      <c r="AM160" s="19">
        <v>0.0</v>
      </c>
      <c r="AN160" s="19">
        <v>0.0</v>
      </c>
      <c r="AO160" s="19">
        <v>0.0</v>
      </c>
      <c r="AP160" s="19">
        <v>0.0</v>
      </c>
      <c r="AQ160" s="19">
        <v>0.0</v>
      </c>
      <c r="AR160" s="19">
        <v>0.0</v>
      </c>
      <c r="AS160" s="19">
        <v>0.0</v>
      </c>
      <c r="AT160" s="19">
        <v>0.0</v>
      </c>
      <c r="AU160" s="19">
        <v>0.0</v>
      </c>
      <c r="AV160" s="19">
        <v>0.0</v>
      </c>
      <c r="AW160" s="19">
        <v>0.0</v>
      </c>
      <c r="AX160" s="19">
        <v>0.0</v>
      </c>
      <c r="AY160" s="19">
        <v>0.0</v>
      </c>
      <c r="AZ160" s="19">
        <v>0.0</v>
      </c>
      <c r="BA160" s="19">
        <v>1.0</v>
      </c>
      <c r="BB160" s="19">
        <v>0.0</v>
      </c>
      <c r="BC160" s="19">
        <v>1.0</v>
      </c>
      <c r="BD160" s="19">
        <v>0.0</v>
      </c>
      <c r="BE160" s="13">
        <f t="shared" si="38"/>
        <v>3</v>
      </c>
    </row>
    <row r="161" ht="12.75" customHeight="1">
      <c r="A161" s="18"/>
      <c r="B161" s="55">
        <v>3.0</v>
      </c>
      <c r="C161" s="50" t="s">
        <v>141</v>
      </c>
      <c r="D161" s="57"/>
      <c r="E161" s="19">
        <v>0.0</v>
      </c>
      <c r="F161" s="19">
        <v>0.0</v>
      </c>
      <c r="G161" s="19">
        <v>1.0</v>
      </c>
      <c r="H161" s="19">
        <v>1.0</v>
      </c>
      <c r="I161" s="19">
        <v>0.0</v>
      </c>
      <c r="J161" s="19">
        <v>0.0</v>
      </c>
      <c r="K161" s="19">
        <v>0.0</v>
      </c>
      <c r="L161" s="19">
        <v>0.0</v>
      </c>
      <c r="M161" s="19">
        <v>1.0</v>
      </c>
      <c r="N161" s="19">
        <v>0.0</v>
      </c>
      <c r="O161" s="19">
        <v>0.0</v>
      </c>
      <c r="P161" s="19">
        <v>0.0</v>
      </c>
      <c r="Q161" s="19">
        <v>0.0</v>
      </c>
      <c r="R161" s="19">
        <v>0.0</v>
      </c>
      <c r="S161" s="19">
        <v>0.0</v>
      </c>
      <c r="T161" s="19">
        <v>0.0</v>
      </c>
      <c r="U161" s="19">
        <v>0.0</v>
      </c>
      <c r="V161" s="19">
        <v>0.0</v>
      </c>
      <c r="W161" s="19">
        <v>1.0</v>
      </c>
      <c r="X161" s="19">
        <v>0.0</v>
      </c>
      <c r="Y161" s="19">
        <v>0.0</v>
      </c>
      <c r="Z161" s="19">
        <v>0.0</v>
      </c>
      <c r="AA161" s="19">
        <v>0.0</v>
      </c>
      <c r="AB161" s="19">
        <v>0.0</v>
      </c>
      <c r="AC161" s="19">
        <v>0.0</v>
      </c>
      <c r="AD161" s="19">
        <v>0.0</v>
      </c>
      <c r="AE161" s="19">
        <v>0.0</v>
      </c>
      <c r="AF161" s="19">
        <v>0.0</v>
      </c>
      <c r="AG161" s="19">
        <v>0.0</v>
      </c>
      <c r="AH161" s="19">
        <v>0.0</v>
      </c>
      <c r="AI161" s="19">
        <v>0.0</v>
      </c>
      <c r="AJ161" s="19">
        <v>0.0</v>
      </c>
      <c r="AK161" s="19">
        <v>0.0</v>
      </c>
      <c r="AL161" s="19">
        <v>1.0</v>
      </c>
      <c r="AM161" s="19">
        <v>0.0</v>
      </c>
      <c r="AN161" s="19">
        <v>0.0</v>
      </c>
      <c r="AO161" s="19">
        <v>0.0</v>
      </c>
      <c r="AP161" s="19">
        <v>0.0</v>
      </c>
      <c r="AQ161" s="19">
        <v>0.0</v>
      </c>
      <c r="AR161" s="19">
        <v>0.0</v>
      </c>
      <c r="AS161" s="19">
        <v>0.0</v>
      </c>
      <c r="AT161" s="19">
        <v>0.0</v>
      </c>
      <c r="AU161" s="19">
        <v>0.0</v>
      </c>
      <c r="AV161" s="19">
        <v>0.0</v>
      </c>
      <c r="AW161" s="19">
        <v>0.0</v>
      </c>
      <c r="AX161" s="19">
        <v>0.0</v>
      </c>
      <c r="AY161" s="19">
        <v>0.0</v>
      </c>
      <c r="AZ161" s="19">
        <v>0.0</v>
      </c>
      <c r="BA161" s="19">
        <v>0.0</v>
      </c>
      <c r="BB161" s="19">
        <v>0.0</v>
      </c>
      <c r="BC161" s="19">
        <v>0.0</v>
      </c>
      <c r="BD161" s="19">
        <v>0.0</v>
      </c>
      <c r="BE161" s="13">
        <f t="shared" si="38"/>
        <v>5</v>
      </c>
    </row>
    <row r="162" ht="12.75" customHeight="1">
      <c r="A162" s="18"/>
      <c r="B162" s="55">
        <v>4.0</v>
      </c>
      <c r="C162" s="50" t="s">
        <v>142</v>
      </c>
      <c r="D162" s="57"/>
      <c r="E162" s="19">
        <v>0.0</v>
      </c>
      <c r="F162" s="19">
        <v>0.0</v>
      </c>
      <c r="G162" s="19">
        <v>1.0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0.0</v>
      </c>
      <c r="R162" s="19">
        <v>0.0</v>
      </c>
      <c r="S162" s="19">
        <v>0.0</v>
      </c>
      <c r="T162" s="19">
        <v>0.0</v>
      </c>
      <c r="U162" s="19">
        <v>0.0</v>
      </c>
      <c r="V162" s="19">
        <v>0.0</v>
      </c>
      <c r="W162" s="19">
        <v>0.0</v>
      </c>
      <c r="X162" s="19">
        <v>0.0</v>
      </c>
      <c r="Y162" s="19">
        <v>0.0</v>
      </c>
      <c r="Z162" s="19">
        <v>0.0</v>
      </c>
      <c r="AA162" s="19">
        <v>0.0</v>
      </c>
      <c r="AB162" s="19">
        <v>0.0</v>
      </c>
      <c r="AC162" s="19">
        <v>0.0</v>
      </c>
      <c r="AD162" s="19">
        <v>0.0</v>
      </c>
      <c r="AE162" s="19">
        <v>0.0</v>
      </c>
      <c r="AF162" s="19">
        <v>0.0</v>
      </c>
      <c r="AG162" s="19">
        <v>0.0</v>
      </c>
      <c r="AH162" s="19">
        <v>0.0</v>
      </c>
      <c r="AI162" s="19">
        <v>0.0</v>
      </c>
      <c r="AJ162" s="19">
        <v>0.0</v>
      </c>
      <c r="AK162" s="19">
        <v>0.0</v>
      </c>
      <c r="AL162" s="19">
        <v>0.0</v>
      </c>
      <c r="AM162" s="19">
        <v>0.0</v>
      </c>
      <c r="AN162" s="19">
        <v>0.0</v>
      </c>
      <c r="AO162" s="19">
        <v>0.0</v>
      </c>
      <c r="AP162" s="19">
        <v>0.0</v>
      </c>
      <c r="AQ162" s="19">
        <v>0.0</v>
      </c>
      <c r="AR162" s="19">
        <v>0.0</v>
      </c>
      <c r="AS162" s="19">
        <v>0.0</v>
      </c>
      <c r="AT162" s="19">
        <v>0.0</v>
      </c>
      <c r="AU162" s="19">
        <v>0.0</v>
      </c>
      <c r="AV162" s="19">
        <v>0.0</v>
      </c>
      <c r="AW162" s="19">
        <v>0.0</v>
      </c>
      <c r="AX162" s="19">
        <v>0.0</v>
      </c>
      <c r="AY162" s="19">
        <v>0.0</v>
      </c>
      <c r="AZ162" s="19">
        <v>0.0</v>
      </c>
      <c r="BA162" s="19">
        <v>0.0</v>
      </c>
      <c r="BB162" s="19">
        <v>0.0</v>
      </c>
      <c r="BC162" s="19">
        <v>0.0</v>
      </c>
      <c r="BD162" s="19">
        <v>0.0</v>
      </c>
      <c r="BE162" s="13">
        <f t="shared" si="38"/>
        <v>1</v>
      </c>
    </row>
    <row r="163" ht="12.75" customHeight="1">
      <c r="A163" s="18"/>
      <c r="B163" s="55">
        <v>5.0</v>
      </c>
      <c r="C163" s="50" t="s">
        <v>143</v>
      </c>
      <c r="D163" s="57"/>
      <c r="E163" s="19">
        <v>0.0</v>
      </c>
      <c r="F163" s="19">
        <v>0.0</v>
      </c>
      <c r="G163" s="19">
        <v>0.0</v>
      </c>
      <c r="H163" s="19">
        <v>0.0</v>
      </c>
      <c r="I163" s="19">
        <v>0.0</v>
      </c>
      <c r="J163" s="19">
        <v>0.0</v>
      </c>
      <c r="K163" s="19">
        <v>0.0</v>
      </c>
      <c r="L163" s="19">
        <v>0.0</v>
      </c>
      <c r="M163" s="19">
        <v>0.0</v>
      </c>
      <c r="N163" s="19">
        <v>0.0</v>
      </c>
      <c r="O163" s="19">
        <v>0.0</v>
      </c>
      <c r="P163" s="19">
        <v>0.0</v>
      </c>
      <c r="Q163" s="19">
        <v>0.0</v>
      </c>
      <c r="R163" s="19">
        <v>0.0</v>
      </c>
      <c r="S163" s="19">
        <v>0.0</v>
      </c>
      <c r="T163" s="19">
        <v>0.0</v>
      </c>
      <c r="U163" s="19">
        <v>0.0</v>
      </c>
      <c r="V163" s="19">
        <v>0.0</v>
      </c>
      <c r="W163" s="19">
        <v>0.0</v>
      </c>
      <c r="X163" s="19">
        <v>0.0</v>
      </c>
      <c r="Y163" s="19">
        <v>0.0</v>
      </c>
      <c r="Z163" s="19">
        <v>0.0</v>
      </c>
      <c r="AA163" s="19">
        <v>0.0</v>
      </c>
      <c r="AB163" s="19">
        <v>0.0</v>
      </c>
      <c r="AC163" s="19">
        <v>0.0</v>
      </c>
      <c r="AD163" s="19">
        <v>0.0</v>
      </c>
      <c r="AE163" s="19">
        <v>0.0</v>
      </c>
      <c r="AF163" s="19">
        <v>0.0</v>
      </c>
      <c r="AG163" s="19">
        <v>0.0</v>
      </c>
      <c r="AH163" s="19">
        <v>1.0</v>
      </c>
      <c r="AI163" s="19">
        <v>0.0</v>
      </c>
      <c r="AJ163" s="19">
        <v>0.0</v>
      </c>
      <c r="AK163" s="19">
        <v>0.0</v>
      </c>
      <c r="AL163" s="19">
        <v>0.0</v>
      </c>
      <c r="AM163" s="19">
        <v>0.0</v>
      </c>
      <c r="AN163" s="19">
        <v>0.0</v>
      </c>
      <c r="AO163" s="19">
        <v>0.0</v>
      </c>
      <c r="AP163" s="19">
        <v>0.0</v>
      </c>
      <c r="AQ163" s="19">
        <v>0.0</v>
      </c>
      <c r="AR163" s="19">
        <v>0.0</v>
      </c>
      <c r="AS163" s="19">
        <v>0.0</v>
      </c>
      <c r="AT163" s="19">
        <v>0.0</v>
      </c>
      <c r="AU163" s="19">
        <v>0.0</v>
      </c>
      <c r="AV163" s="19">
        <v>0.0</v>
      </c>
      <c r="AW163" s="19">
        <v>0.0</v>
      </c>
      <c r="AX163" s="19">
        <v>0.0</v>
      </c>
      <c r="AY163" s="19">
        <v>0.0</v>
      </c>
      <c r="AZ163" s="19">
        <v>0.0</v>
      </c>
      <c r="BA163" s="19">
        <v>0.0</v>
      </c>
      <c r="BB163" s="19">
        <v>0.0</v>
      </c>
      <c r="BC163" s="19">
        <v>0.0</v>
      </c>
      <c r="BD163" s="19">
        <v>0.0</v>
      </c>
      <c r="BE163" s="13">
        <f t="shared" si="38"/>
        <v>1</v>
      </c>
    </row>
    <row r="164" ht="12.75" customHeight="1">
      <c r="A164" s="18"/>
      <c r="B164" s="55">
        <v>6.0</v>
      </c>
      <c r="C164" s="50" t="s">
        <v>144</v>
      </c>
      <c r="D164" s="57"/>
      <c r="E164" s="19">
        <v>0.0</v>
      </c>
      <c r="F164" s="19">
        <v>0.0</v>
      </c>
      <c r="G164" s="19">
        <v>0.0</v>
      </c>
      <c r="H164" s="19">
        <v>0.0</v>
      </c>
      <c r="I164" s="19">
        <v>0.0</v>
      </c>
      <c r="J164" s="19">
        <v>0.0</v>
      </c>
      <c r="K164" s="19">
        <v>0.0</v>
      </c>
      <c r="L164" s="19">
        <v>0.0</v>
      </c>
      <c r="M164" s="19">
        <v>0.0</v>
      </c>
      <c r="N164" s="19">
        <v>0.0</v>
      </c>
      <c r="O164" s="19">
        <v>0.0</v>
      </c>
      <c r="P164" s="19">
        <v>0.0</v>
      </c>
      <c r="Q164" s="19">
        <v>0.0</v>
      </c>
      <c r="R164" s="19">
        <v>0.0</v>
      </c>
      <c r="S164" s="19">
        <v>0.0</v>
      </c>
      <c r="T164" s="19">
        <v>0.0</v>
      </c>
      <c r="U164" s="19">
        <v>0.0</v>
      </c>
      <c r="V164" s="19">
        <v>0.0</v>
      </c>
      <c r="W164" s="19">
        <v>0.0</v>
      </c>
      <c r="X164" s="19">
        <v>0.0</v>
      </c>
      <c r="Y164" s="19">
        <v>0.0</v>
      </c>
      <c r="Z164" s="19">
        <v>0.0</v>
      </c>
      <c r="AA164" s="19">
        <v>0.0</v>
      </c>
      <c r="AB164" s="19">
        <v>0.0</v>
      </c>
      <c r="AC164" s="19">
        <v>0.0</v>
      </c>
      <c r="AD164" s="19">
        <v>0.0</v>
      </c>
      <c r="AE164" s="19">
        <v>0.0</v>
      </c>
      <c r="AF164" s="19">
        <v>0.0</v>
      </c>
      <c r="AG164" s="19">
        <v>0.0</v>
      </c>
      <c r="AH164" s="19">
        <v>0.0</v>
      </c>
      <c r="AI164" s="19">
        <v>0.0</v>
      </c>
      <c r="AJ164" s="19">
        <v>0.0</v>
      </c>
      <c r="AK164" s="19">
        <v>0.0</v>
      </c>
      <c r="AL164" s="19">
        <v>0.0</v>
      </c>
      <c r="AM164" s="19">
        <v>0.0</v>
      </c>
      <c r="AN164" s="19">
        <v>0.0</v>
      </c>
      <c r="AO164" s="19">
        <v>0.0</v>
      </c>
      <c r="AP164" s="19">
        <v>0.0</v>
      </c>
      <c r="AQ164" s="19">
        <v>0.0</v>
      </c>
      <c r="AR164" s="19">
        <v>0.0</v>
      </c>
      <c r="AS164" s="19">
        <v>0.0</v>
      </c>
      <c r="AT164" s="19">
        <v>0.0</v>
      </c>
      <c r="AU164" s="19">
        <v>0.0</v>
      </c>
      <c r="AV164" s="19">
        <v>0.0</v>
      </c>
      <c r="AW164" s="19">
        <v>0.0</v>
      </c>
      <c r="AX164" s="19">
        <v>0.0</v>
      </c>
      <c r="AY164" s="19">
        <v>0.0</v>
      </c>
      <c r="AZ164" s="19">
        <v>0.0</v>
      </c>
      <c r="BA164" s="19">
        <v>0.0</v>
      </c>
      <c r="BB164" s="19">
        <v>0.0</v>
      </c>
      <c r="BC164" s="19">
        <v>0.0</v>
      </c>
      <c r="BD164" s="19">
        <v>0.0</v>
      </c>
      <c r="BE164" s="13">
        <f t="shared" si="38"/>
        <v>0</v>
      </c>
    </row>
    <row r="165" ht="12.75" customHeight="1">
      <c r="A165" s="18"/>
      <c r="B165" s="55">
        <v>7.0</v>
      </c>
      <c r="C165" s="50" t="s">
        <v>145</v>
      </c>
      <c r="D165" s="57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0.0</v>
      </c>
      <c r="AK165" s="19">
        <v>0.0</v>
      </c>
      <c r="AL165" s="19">
        <v>0.0</v>
      </c>
      <c r="AM165" s="19">
        <v>0.0</v>
      </c>
      <c r="AN165" s="19">
        <v>0.0</v>
      </c>
      <c r="AO165" s="19">
        <v>0.0</v>
      </c>
      <c r="AP165" s="19">
        <v>0.0</v>
      </c>
      <c r="AQ165" s="19">
        <v>0.0</v>
      </c>
      <c r="AR165" s="19">
        <v>0.0</v>
      </c>
      <c r="AS165" s="19">
        <v>0.0</v>
      </c>
      <c r="AT165" s="19">
        <v>0.0</v>
      </c>
      <c r="AU165" s="19">
        <v>0.0</v>
      </c>
      <c r="AV165" s="19">
        <v>0.0</v>
      </c>
      <c r="AW165" s="19">
        <v>0.0</v>
      </c>
      <c r="AX165" s="19">
        <v>0.0</v>
      </c>
      <c r="AY165" s="19">
        <v>0.0</v>
      </c>
      <c r="AZ165" s="19">
        <v>0.0</v>
      </c>
      <c r="BA165" s="19">
        <v>0.0</v>
      </c>
      <c r="BB165" s="19">
        <v>0.0</v>
      </c>
      <c r="BC165" s="19">
        <v>0.0</v>
      </c>
      <c r="BD165" s="19">
        <v>0.0</v>
      </c>
      <c r="BE165" s="13">
        <f t="shared" si="38"/>
        <v>0</v>
      </c>
    </row>
    <row r="166" ht="12.75" customHeight="1">
      <c r="A166" s="19" t="s">
        <v>15</v>
      </c>
      <c r="B166" s="47" t="s">
        <v>47</v>
      </c>
      <c r="C166" s="15"/>
      <c r="D166" s="16"/>
      <c r="E166" s="13">
        <f t="shared" ref="E166:BE166" si="39">SUM(E158:E165)</f>
        <v>0</v>
      </c>
      <c r="F166" s="13">
        <f t="shared" si="39"/>
        <v>0</v>
      </c>
      <c r="G166" s="13">
        <f t="shared" si="39"/>
        <v>2</v>
      </c>
      <c r="H166" s="13">
        <f t="shared" si="39"/>
        <v>1</v>
      </c>
      <c r="I166" s="13">
        <f t="shared" si="39"/>
        <v>0</v>
      </c>
      <c r="J166" s="13">
        <f t="shared" si="39"/>
        <v>0</v>
      </c>
      <c r="K166" s="13">
        <f t="shared" si="39"/>
        <v>0</v>
      </c>
      <c r="L166" s="13">
        <f t="shared" si="39"/>
        <v>0</v>
      </c>
      <c r="M166" s="13">
        <f t="shared" si="39"/>
        <v>1</v>
      </c>
      <c r="N166" s="13">
        <f t="shared" si="39"/>
        <v>0</v>
      </c>
      <c r="O166" s="13">
        <f t="shared" si="39"/>
        <v>0</v>
      </c>
      <c r="P166" s="13">
        <f t="shared" si="39"/>
        <v>0</v>
      </c>
      <c r="Q166" s="13">
        <f t="shared" si="39"/>
        <v>0</v>
      </c>
      <c r="R166" s="13">
        <f t="shared" si="39"/>
        <v>3</v>
      </c>
      <c r="S166" s="13">
        <f t="shared" si="39"/>
        <v>0</v>
      </c>
      <c r="T166" s="13">
        <f t="shared" si="39"/>
        <v>0</v>
      </c>
      <c r="U166" s="13">
        <f t="shared" si="39"/>
        <v>1</v>
      </c>
      <c r="V166" s="13">
        <f t="shared" si="39"/>
        <v>0</v>
      </c>
      <c r="W166" s="13">
        <f t="shared" si="39"/>
        <v>1</v>
      </c>
      <c r="X166" s="13">
        <f t="shared" si="39"/>
        <v>0</v>
      </c>
      <c r="Y166" s="13">
        <f t="shared" si="39"/>
        <v>2</v>
      </c>
      <c r="Z166" s="13">
        <f t="shared" si="39"/>
        <v>0</v>
      </c>
      <c r="AA166" s="13">
        <f t="shared" si="39"/>
        <v>1</v>
      </c>
      <c r="AB166" s="13">
        <f t="shared" si="39"/>
        <v>1</v>
      </c>
      <c r="AC166" s="13">
        <f t="shared" si="39"/>
        <v>0</v>
      </c>
      <c r="AD166" s="13">
        <f t="shared" si="39"/>
        <v>0</v>
      </c>
      <c r="AE166" s="13">
        <f t="shared" si="39"/>
        <v>0</v>
      </c>
      <c r="AF166" s="13">
        <f t="shared" si="39"/>
        <v>1</v>
      </c>
      <c r="AG166" s="13">
        <f t="shared" si="39"/>
        <v>2</v>
      </c>
      <c r="AH166" s="13">
        <f t="shared" si="39"/>
        <v>2</v>
      </c>
      <c r="AI166" s="13">
        <f t="shared" si="39"/>
        <v>0</v>
      </c>
      <c r="AJ166" s="13">
        <f t="shared" si="39"/>
        <v>0</v>
      </c>
      <c r="AK166" s="13">
        <f t="shared" si="39"/>
        <v>0</v>
      </c>
      <c r="AL166" s="13">
        <f t="shared" si="39"/>
        <v>1</v>
      </c>
      <c r="AM166" s="13">
        <f t="shared" si="39"/>
        <v>0</v>
      </c>
      <c r="AN166" s="13">
        <f t="shared" si="39"/>
        <v>0</v>
      </c>
      <c r="AO166" s="13">
        <f t="shared" si="39"/>
        <v>0</v>
      </c>
      <c r="AP166" s="13">
        <f t="shared" si="39"/>
        <v>0</v>
      </c>
      <c r="AQ166" s="13">
        <f t="shared" si="39"/>
        <v>0</v>
      </c>
      <c r="AR166" s="13">
        <f t="shared" si="39"/>
        <v>0</v>
      </c>
      <c r="AS166" s="13">
        <f t="shared" si="39"/>
        <v>1</v>
      </c>
      <c r="AT166" s="13">
        <f t="shared" si="39"/>
        <v>0</v>
      </c>
      <c r="AU166" s="13">
        <f t="shared" si="39"/>
        <v>0</v>
      </c>
      <c r="AV166" s="13">
        <f t="shared" si="39"/>
        <v>0</v>
      </c>
      <c r="AW166" s="13">
        <f t="shared" si="39"/>
        <v>0</v>
      </c>
      <c r="AX166" s="13">
        <f t="shared" si="39"/>
        <v>0</v>
      </c>
      <c r="AY166" s="13">
        <f t="shared" si="39"/>
        <v>0</v>
      </c>
      <c r="AZ166" s="13">
        <f t="shared" si="39"/>
        <v>0</v>
      </c>
      <c r="BA166" s="13">
        <f t="shared" si="39"/>
        <v>2</v>
      </c>
      <c r="BB166" s="13">
        <f t="shared" si="39"/>
        <v>0</v>
      </c>
      <c r="BC166" s="13">
        <f t="shared" si="39"/>
        <v>1</v>
      </c>
      <c r="BD166" s="13">
        <f t="shared" si="39"/>
        <v>0</v>
      </c>
      <c r="BE166" s="13">
        <f t="shared" si="39"/>
        <v>23</v>
      </c>
    </row>
    <row r="167" ht="12.75" customHeight="1">
      <c r="A167" s="24"/>
      <c r="B167" s="15"/>
      <c r="C167" s="15"/>
      <c r="D167" s="15"/>
      <c r="E167" s="16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</row>
    <row r="168" ht="12.75" customHeight="1">
      <c r="A168" s="30" t="s">
        <v>37</v>
      </c>
      <c r="B168" s="47" t="s">
        <v>146</v>
      </c>
      <c r="C168" s="48" t="s">
        <v>147</v>
      </c>
      <c r="D168" s="16"/>
      <c r="E168" s="19">
        <v>3.0</v>
      </c>
      <c r="F168" s="19">
        <v>1.0</v>
      </c>
      <c r="G168" s="19">
        <v>1.0</v>
      </c>
      <c r="H168" s="19">
        <v>0.0</v>
      </c>
      <c r="I168" s="19">
        <v>1.0</v>
      </c>
      <c r="J168" s="19">
        <v>0.0</v>
      </c>
      <c r="K168" s="19">
        <v>1.0</v>
      </c>
      <c r="L168" s="19">
        <v>1.0</v>
      </c>
      <c r="M168" s="19">
        <v>0.0</v>
      </c>
      <c r="N168" s="19">
        <v>2.0</v>
      </c>
      <c r="O168" s="19">
        <v>2.0</v>
      </c>
      <c r="P168" s="19">
        <v>2.0</v>
      </c>
      <c r="Q168" s="19">
        <v>1.0</v>
      </c>
      <c r="R168" s="19">
        <v>1.0</v>
      </c>
      <c r="S168" s="19">
        <v>1.0</v>
      </c>
      <c r="T168" s="19">
        <v>0.0</v>
      </c>
      <c r="U168" s="19">
        <v>1.0</v>
      </c>
      <c r="V168" s="19">
        <v>4.0</v>
      </c>
      <c r="W168" s="19">
        <v>5.0</v>
      </c>
      <c r="X168" s="19">
        <v>1.0</v>
      </c>
      <c r="Y168" s="19">
        <v>3.0</v>
      </c>
      <c r="Z168" s="19">
        <v>3.0</v>
      </c>
      <c r="AA168" s="19">
        <v>1.0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2.0</v>
      </c>
      <c r="AH168" s="19">
        <v>3.0</v>
      </c>
      <c r="AI168" s="19">
        <v>9.0</v>
      </c>
      <c r="AJ168" s="19">
        <v>13.0</v>
      </c>
      <c r="AK168" s="19">
        <v>5.0</v>
      </c>
      <c r="AL168" s="19">
        <v>2.0</v>
      </c>
      <c r="AM168" s="19">
        <v>4.0</v>
      </c>
      <c r="AN168" s="19">
        <v>0.0</v>
      </c>
      <c r="AO168" s="19">
        <v>2.0</v>
      </c>
      <c r="AP168" s="19">
        <v>1.0</v>
      </c>
      <c r="AQ168" s="19">
        <v>2.0</v>
      </c>
      <c r="AR168" s="19">
        <v>1.0</v>
      </c>
      <c r="AS168" s="19">
        <v>0.0</v>
      </c>
      <c r="AT168" s="19">
        <v>1.0</v>
      </c>
      <c r="AU168" s="19">
        <v>4.0</v>
      </c>
      <c r="AV168" s="19">
        <v>0.0</v>
      </c>
      <c r="AW168" s="19">
        <v>0.0</v>
      </c>
      <c r="AX168" s="19">
        <v>1.0</v>
      </c>
      <c r="AY168" s="19">
        <v>1.0</v>
      </c>
      <c r="AZ168" s="19">
        <v>4.0</v>
      </c>
      <c r="BA168" s="19">
        <v>1.0</v>
      </c>
      <c r="BB168" s="19">
        <v>1.0</v>
      </c>
      <c r="BC168" s="19">
        <v>0.0</v>
      </c>
      <c r="BD168" s="19">
        <v>0.0</v>
      </c>
      <c r="BE168" s="13">
        <f t="shared" ref="BE168:BE175" si="40">SUM(E168:BD168)</f>
        <v>92</v>
      </c>
    </row>
    <row r="169" ht="12.75" customHeight="1">
      <c r="A169" s="30" t="s">
        <v>39</v>
      </c>
      <c r="B169" s="55">
        <v>1.0</v>
      </c>
      <c r="C169" s="50" t="s">
        <v>148</v>
      </c>
      <c r="D169" s="57"/>
      <c r="E169" s="19">
        <v>0.0</v>
      </c>
      <c r="F169" s="19">
        <v>0.0</v>
      </c>
      <c r="G169" s="19">
        <v>3.0</v>
      </c>
      <c r="H169" s="19">
        <v>2.0</v>
      </c>
      <c r="I169" s="19">
        <v>0.0</v>
      </c>
      <c r="J169" s="19">
        <v>1.0</v>
      </c>
      <c r="K169" s="19">
        <v>1.0</v>
      </c>
      <c r="L169" s="19">
        <v>2.0</v>
      </c>
      <c r="M169" s="19">
        <v>1.0</v>
      </c>
      <c r="N169" s="19">
        <v>1.0</v>
      </c>
      <c r="O169" s="19">
        <v>1.0</v>
      </c>
      <c r="P169" s="19">
        <v>1.0</v>
      </c>
      <c r="Q169" s="19">
        <v>3.0</v>
      </c>
      <c r="R169" s="19">
        <v>0.0</v>
      </c>
      <c r="S169" s="19">
        <v>2.0</v>
      </c>
      <c r="T169" s="19">
        <v>0.0</v>
      </c>
      <c r="U169" s="19">
        <v>2.0</v>
      </c>
      <c r="V169" s="19">
        <v>1.0</v>
      </c>
      <c r="W169" s="19">
        <v>3.0</v>
      </c>
      <c r="X169" s="19">
        <v>1.0</v>
      </c>
      <c r="Y169" s="19">
        <v>1.0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1.0</v>
      </c>
      <c r="AF169" s="19">
        <v>5.0</v>
      </c>
      <c r="AG169" s="19">
        <v>1.0</v>
      </c>
      <c r="AH169" s="19">
        <v>1.0</v>
      </c>
      <c r="AI169" s="19">
        <v>5.0</v>
      </c>
      <c r="AJ169" s="19">
        <v>2.0</v>
      </c>
      <c r="AK169" s="19">
        <v>2.0</v>
      </c>
      <c r="AL169" s="19">
        <v>2.0</v>
      </c>
      <c r="AM169" s="19">
        <v>8.0</v>
      </c>
      <c r="AN169" s="19">
        <v>3.0</v>
      </c>
      <c r="AO169" s="19">
        <v>2.0</v>
      </c>
      <c r="AP169" s="19">
        <v>2.0</v>
      </c>
      <c r="AQ169" s="19">
        <v>2.0</v>
      </c>
      <c r="AR169" s="19">
        <v>1.0</v>
      </c>
      <c r="AS169" s="19">
        <v>1.0</v>
      </c>
      <c r="AT169" s="19">
        <v>2.0</v>
      </c>
      <c r="AU169" s="19">
        <v>2.0</v>
      </c>
      <c r="AV169" s="19">
        <v>0.0</v>
      </c>
      <c r="AW169" s="19">
        <v>2.0</v>
      </c>
      <c r="AX169" s="19">
        <v>1.0</v>
      </c>
      <c r="AY169" s="19">
        <v>2.0</v>
      </c>
      <c r="AZ169" s="19">
        <v>3.0</v>
      </c>
      <c r="BA169" s="19">
        <v>1.0</v>
      </c>
      <c r="BB169" s="19">
        <v>0.0</v>
      </c>
      <c r="BC169" s="19">
        <v>0.0</v>
      </c>
      <c r="BD169" s="19">
        <v>0.0</v>
      </c>
      <c r="BE169" s="13">
        <f t="shared" si="40"/>
        <v>77</v>
      </c>
    </row>
    <row r="170" ht="12.75" customHeight="1">
      <c r="A170" s="18"/>
      <c r="B170" s="55">
        <v>2.0</v>
      </c>
      <c r="C170" s="50" t="s">
        <v>149</v>
      </c>
      <c r="D170" s="57"/>
      <c r="E170" s="19">
        <v>1.0</v>
      </c>
      <c r="F170" s="19">
        <v>1.0</v>
      </c>
      <c r="G170" s="19">
        <v>1.0</v>
      </c>
      <c r="H170" s="19">
        <v>1.0</v>
      </c>
      <c r="I170" s="19">
        <v>3.0</v>
      </c>
      <c r="J170" s="19">
        <v>0.0</v>
      </c>
      <c r="K170" s="19">
        <v>1.0</v>
      </c>
      <c r="L170" s="19">
        <v>1.0</v>
      </c>
      <c r="M170" s="19">
        <v>0.0</v>
      </c>
      <c r="N170" s="19">
        <v>0.0</v>
      </c>
      <c r="O170" s="19">
        <v>1.0</v>
      </c>
      <c r="P170" s="19">
        <v>0.0</v>
      </c>
      <c r="Q170" s="19">
        <v>0.0</v>
      </c>
      <c r="R170" s="19">
        <v>4.0</v>
      </c>
      <c r="S170" s="19">
        <v>1.0</v>
      </c>
      <c r="T170" s="19">
        <v>1.0</v>
      </c>
      <c r="U170" s="19">
        <v>0.0</v>
      </c>
      <c r="V170" s="19">
        <v>3.0</v>
      </c>
      <c r="W170" s="19">
        <v>3.0</v>
      </c>
      <c r="X170" s="19">
        <v>1.0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1.0</v>
      </c>
      <c r="AG170" s="19">
        <v>2.0</v>
      </c>
      <c r="AH170" s="19">
        <v>5.0</v>
      </c>
      <c r="AI170" s="19">
        <v>2.0</v>
      </c>
      <c r="AJ170" s="19">
        <v>13.0</v>
      </c>
      <c r="AK170" s="19">
        <v>0.0</v>
      </c>
      <c r="AL170" s="19">
        <v>1.0</v>
      </c>
      <c r="AM170" s="19">
        <v>0.0</v>
      </c>
      <c r="AN170" s="19">
        <v>1.0</v>
      </c>
      <c r="AO170" s="19">
        <v>0.0</v>
      </c>
      <c r="AP170" s="19">
        <v>2.0</v>
      </c>
      <c r="AQ170" s="19">
        <v>4.0</v>
      </c>
      <c r="AR170" s="19">
        <v>0.0</v>
      </c>
      <c r="AS170" s="19">
        <v>1.0</v>
      </c>
      <c r="AT170" s="19">
        <v>1.0</v>
      </c>
      <c r="AU170" s="19">
        <v>3.0</v>
      </c>
      <c r="AV170" s="19">
        <v>2.0</v>
      </c>
      <c r="AW170" s="19">
        <v>1.0</v>
      </c>
      <c r="AX170" s="19">
        <v>0.0</v>
      </c>
      <c r="AY170" s="19">
        <v>1.0</v>
      </c>
      <c r="AZ170" s="19">
        <v>1.0</v>
      </c>
      <c r="BA170" s="19">
        <v>1.0</v>
      </c>
      <c r="BB170" s="19">
        <v>0.0</v>
      </c>
      <c r="BC170" s="19">
        <v>0.0</v>
      </c>
      <c r="BD170" s="19">
        <v>0.0</v>
      </c>
      <c r="BE170" s="13">
        <f t="shared" si="40"/>
        <v>65</v>
      </c>
    </row>
    <row r="171" ht="12.75" customHeight="1">
      <c r="A171" s="18"/>
      <c r="B171" s="55">
        <v>3.0</v>
      </c>
      <c r="C171" s="50" t="s">
        <v>150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1.0</v>
      </c>
      <c r="AN171" s="19">
        <v>0.0</v>
      </c>
      <c r="AO171" s="19">
        <v>0.0</v>
      </c>
      <c r="AP171" s="19">
        <v>0.0</v>
      </c>
      <c r="AQ171" s="19">
        <v>0.0</v>
      </c>
      <c r="AR171" s="19">
        <v>0.0</v>
      </c>
      <c r="AS171" s="19">
        <v>0.0</v>
      </c>
      <c r="AT171" s="19">
        <v>1.0</v>
      </c>
      <c r="AU171" s="19">
        <v>1.0</v>
      </c>
      <c r="AV171" s="19">
        <v>0.0</v>
      </c>
      <c r="AW171" s="19">
        <v>1.0</v>
      </c>
      <c r="AX171" s="19">
        <v>0.0</v>
      </c>
      <c r="AY171" s="19">
        <v>0.0</v>
      </c>
      <c r="AZ171" s="19">
        <v>0.0</v>
      </c>
      <c r="BA171" s="19">
        <v>0.0</v>
      </c>
      <c r="BB171" s="19">
        <v>0.0</v>
      </c>
      <c r="BC171" s="19">
        <v>0.0</v>
      </c>
      <c r="BD171" s="19">
        <v>0.0</v>
      </c>
      <c r="BE171" s="13">
        <f t="shared" si="40"/>
        <v>4</v>
      </c>
    </row>
    <row r="172" ht="12.75" customHeight="1">
      <c r="A172" s="18"/>
      <c r="B172" s="55">
        <v>4.0</v>
      </c>
      <c r="C172" s="50" t="s">
        <v>151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3.0</v>
      </c>
      <c r="M172" s="19">
        <v>0.0</v>
      </c>
      <c r="N172" s="19">
        <v>1.0</v>
      </c>
      <c r="O172" s="19">
        <v>0.0</v>
      </c>
      <c r="P172" s="19">
        <v>1.0</v>
      </c>
      <c r="Q172" s="19">
        <v>0.0</v>
      </c>
      <c r="R172" s="19">
        <v>5.0</v>
      </c>
      <c r="S172" s="19">
        <v>7.0</v>
      </c>
      <c r="T172" s="19">
        <v>0.0</v>
      </c>
      <c r="U172" s="19">
        <v>2.0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1.0</v>
      </c>
      <c r="AG172" s="19">
        <v>0.0</v>
      </c>
      <c r="AH172" s="19">
        <v>0.0</v>
      </c>
      <c r="AI172" s="19">
        <v>1.0</v>
      </c>
      <c r="AJ172" s="19">
        <v>3.0</v>
      </c>
      <c r="AK172" s="19">
        <v>0.0</v>
      </c>
      <c r="AL172" s="19">
        <v>0.0</v>
      </c>
      <c r="AM172" s="19">
        <v>1.0</v>
      </c>
      <c r="AN172" s="19">
        <v>1.0</v>
      </c>
      <c r="AO172" s="19">
        <v>0.0</v>
      </c>
      <c r="AP172" s="19">
        <v>1.0</v>
      </c>
      <c r="AQ172" s="19">
        <v>0.0</v>
      </c>
      <c r="AR172" s="19">
        <v>2.0</v>
      </c>
      <c r="AS172" s="19">
        <v>1.0</v>
      </c>
      <c r="AT172" s="19">
        <v>0.0</v>
      </c>
      <c r="AU172" s="19">
        <v>1.0</v>
      </c>
      <c r="AV172" s="19">
        <v>0.0</v>
      </c>
      <c r="AW172" s="19">
        <v>0.0</v>
      </c>
      <c r="AX172" s="19">
        <v>0.0</v>
      </c>
      <c r="AY172" s="19">
        <v>0.0</v>
      </c>
      <c r="AZ172" s="19">
        <v>0.0</v>
      </c>
      <c r="BA172" s="19">
        <v>0.0</v>
      </c>
      <c r="BB172" s="19">
        <v>0.0</v>
      </c>
      <c r="BC172" s="19">
        <v>0.0</v>
      </c>
      <c r="BD172" s="19">
        <v>0.0</v>
      </c>
      <c r="BE172" s="13">
        <f t="shared" si="40"/>
        <v>31</v>
      </c>
    </row>
    <row r="173" ht="12.75" customHeight="1">
      <c r="A173" s="18"/>
      <c r="B173" s="55">
        <v>5.0</v>
      </c>
      <c r="C173" s="50" t="s">
        <v>152</v>
      </c>
      <c r="D173" s="57"/>
      <c r="E173" s="19">
        <v>0.0</v>
      </c>
      <c r="F173" s="19">
        <v>0.0</v>
      </c>
      <c r="G173" s="19">
        <v>1.0</v>
      </c>
      <c r="H173" s="19">
        <v>0.0</v>
      </c>
      <c r="I173" s="19">
        <v>0.0</v>
      </c>
      <c r="J173" s="19">
        <v>0.0</v>
      </c>
      <c r="K173" s="19">
        <v>0.0</v>
      </c>
      <c r="L173" s="19">
        <v>1.0</v>
      </c>
      <c r="M173" s="19">
        <v>0.0</v>
      </c>
      <c r="N173" s="19">
        <v>0.0</v>
      </c>
      <c r="O173" s="19">
        <v>0.0</v>
      </c>
      <c r="P173" s="19">
        <v>0.0</v>
      </c>
      <c r="Q173" s="19">
        <v>0.0</v>
      </c>
      <c r="R173" s="19">
        <v>0.0</v>
      </c>
      <c r="S173" s="19">
        <v>0.0</v>
      </c>
      <c r="T173" s="19">
        <v>0.0</v>
      </c>
      <c r="U173" s="19">
        <v>0.0</v>
      </c>
      <c r="V173" s="19">
        <v>0.0</v>
      </c>
      <c r="W173" s="19">
        <v>1.0</v>
      </c>
      <c r="X173" s="19">
        <v>0.0</v>
      </c>
      <c r="Y173" s="19">
        <v>0.0</v>
      </c>
      <c r="Z173" s="19">
        <v>1.0</v>
      </c>
      <c r="AA173" s="19">
        <v>0.0</v>
      </c>
      <c r="AB173" s="19">
        <v>0.0</v>
      </c>
      <c r="AC173" s="19">
        <v>0.0</v>
      </c>
      <c r="AD173" s="19">
        <v>0.0</v>
      </c>
      <c r="AE173" s="19">
        <v>0.0</v>
      </c>
      <c r="AF173" s="19">
        <v>0.0</v>
      </c>
      <c r="AG173" s="19">
        <v>0.0</v>
      </c>
      <c r="AH173" s="19">
        <v>1.0</v>
      </c>
      <c r="AI173" s="19">
        <v>0.0</v>
      </c>
      <c r="AJ173" s="19">
        <v>0.0</v>
      </c>
      <c r="AK173" s="19">
        <v>1.0</v>
      </c>
      <c r="AL173" s="19">
        <v>0.0</v>
      </c>
      <c r="AM173" s="19">
        <v>1.0</v>
      </c>
      <c r="AN173" s="19">
        <v>0.0</v>
      </c>
      <c r="AO173" s="19">
        <v>0.0</v>
      </c>
      <c r="AP173" s="19">
        <v>0.0</v>
      </c>
      <c r="AQ173" s="19">
        <v>0.0</v>
      </c>
      <c r="AR173" s="19">
        <v>0.0</v>
      </c>
      <c r="AS173" s="19">
        <v>0.0</v>
      </c>
      <c r="AT173" s="19">
        <v>0.0</v>
      </c>
      <c r="AU173" s="19">
        <v>0.0</v>
      </c>
      <c r="AV173" s="19">
        <v>0.0</v>
      </c>
      <c r="AW173" s="19">
        <v>0.0</v>
      </c>
      <c r="AX173" s="19">
        <v>0.0</v>
      </c>
      <c r="AY173" s="19">
        <v>0.0</v>
      </c>
      <c r="AZ173" s="19">
        <v>0.0</v>
      </c>
      <c r="BA173" s="19">
        <v>0.0</v>
      </c>
      <c r="BB173" s="19">
        <v>0.0</v>
      </c>
      <c r="BC173" s="19">
        <v>0.0</v>
      </c>
      <c r="BD173" s="19">
        <v>0.0</v>
      </c>
      <c r="BE173" s="13">
        <f t="shared" si="40"/>
        <v>7</v>
      </c>
    </row>
    <row r="174" ht="12.75" customHeight="1">
      <c r="A174" s="18"/>
      <c r="B174" s="55">
        <v>6.0</v>
      </c>
      <c r="C174" s="50" t="s">
        <v>153</v>
      </c>
      <c r="D174" s="57"/>
      <c r="E174" s="19">
        <v>0.0</v>
      </c>
      <c r="F174" s="19">
        <v>0.0</v>
      </c>
      <c r="G174" s="19">
        <v>0.0</v>
      </c>
      <c r="H174" s="19">
        <v>0.0</v>
      </c>
      <c r="I174" s="19">
        <v>0.0</v>
      </c>
      <c r="J174" s="19">
        <v>0.0</v>
      </c>
      <c r="K174" s="19">
        <v>0.0</v>
      </c>
      <c r="L174" s="19">
        <v>2.0</v>
      </c>
      <c r="M174" s="19">
        <v>0.0</v>
      </c>
      <c r="N174" s="19">
        <v>0.0</v>
      </c>
      <c r="O174" s="19">
        <v>0.0</v>
      </c>
      <c r="P174" s="19">
        <v>0.0</v>
      </c>
      <c r="Q174" s="19">
        <v>0.0</v>
      </c>
      <c r="R174" s="19">
        <v>0.0</v>
      </c>
      <c r="S174" s="19">
        <v>0.0</v>
      </c>
      <c r="T174" s="19">
        <v>0.0</v>
      </c>
      <c r="U174" s="19">
        <v>0.0</v>
      </c>
      <c r="V174" s="19">
        <v>0.0</v>
      </c>
      <c r="W174" s="19">
        <v>0.0</v>
      </c>
      <c r="X174" s="19">
        <v>0.0</v>
      </c>
      <c r="Y174" s="19">
        <v>0.0</v>
      </c>
      <c r="Z174" s="19">
        <v>0.0</v>
      </c>
      <c r="AA174" s="19">
        <v>0.0</v>
      </c>
      <c r="AB174" s="19">
        <v>0.0</v>
      </c>
      <c r="AC174" s="19">
        <v>0.0</v>
      </c>
      <c r="AD174" s="19">
        <v>0.0</v>
      </c>
      <c r="AE174" s="19">
        <v>0.0</v>
      </c>
      <c r="AF174" s="19">
        <v>0.0</v>
      </c>
      <c r="AG174" s="19">
        <v>0.0</v>
      </c>
      <c r="AH174" s="19">
        <v>0.0</v>
      </c>
      <c r="AI174" s="19">
        <v>0.0</v>
      </c>
      <c r="AJ174" s="19">
        <v>0.0</v>
      </c>
      <c r="AK174" s="19">
        <v>0.0</v>
      </c>
      <c r="AL174" s="19">
        <v>0.0</v>
      </c>
      <c r="AM174" s="19">
        <v>0.0</v>
      </c>
      <c r="AN174" s="19">
        <v>0.0</v>
      </c>
      <c r="AO174" s="19">
        <v>0.0</v>
      </c>
      <c r="AP174" s="19">
        <v>0.0</v>
      </c>
      <c r="AQ174" s="19">
        <v>0.0</v>
      </c>
      <c r="AR174" s="19">
        <v>0.0</v>
      </c>
      <c r="AS174" s="19">
        <v>0.0</v>
      </c>
      <c r="AT174" s="19">
        <v>0.0</v>
      </c>
      <c r="AU174" s="19">
        <v>0.0</v>
      </c>
      <c r="AV174" s="19">
        <v>0.0</v>
      </c>
      <c r="AW174" s="19">
        <v>0.0</v>
      </c>
      <c r="AX174" s="19">
        <v>0.0</v>
      </c>
      <c r="AY174" s="19">
        <v>0.0</v>
      </c>
      <c r="AZ174" s="19">
        <v>0.0</v>
      </c>
      <c r="BA174" s="19">
        <v>0.0</v>
      </c>
      <c r="BB174" s="19">
        <v>0.0</v>
      </c>
      <c r="BC174" s="19">
        <v>0.0</v>
      </c>
      <c r="BD174" s="19">
        <v>0.0</v>
      </c>
      <c r="BE174" s="13">
        <f t="shared" si="40"/>
        <v>2</v>
      </c>
    </row>
    <row r="175" ht="12.75" customHeight="1">
      <c r="A175" s="18"/>
      <c r="B175" s="55">
        <v>7.0</v>
      </c>
      <c r="C175" s="50" t="s">
        <v>154</v>
      </c>
      <c r="D175" s="57"/>
      <c r="E175" s="19">
        <v>0.0</v>
      </c>
      <c r="F175" s="19">
        <v>0.0</v>
      </c>
      <c r="G175" s="19">
        <v>0.0</v>
      </c>
      <c r="H175" s="19">
        <v>0.0</v>
      </c>
      <c r="I175" s="19">
        <v>0.0</v>
      </c>
      <c r="J175" s="19">
        <v>0.0</v>
      </c>
      <c r="K175" s="19">
        <v>0.0</v>
      </c>
      <c r="L175" s="19">
        <v>1.0</v>
      </c>
      <c r="M175" s="19">
        <v>0.0</v>
      </c>
      <c r="N175" s="19">
        <v>0.0</v>
      </c>
      <c r="O175" s="19">
        <v>1.0</v>
      </c>
      <c r="P175" s="19">
        <v>0.0</v>
      </c>
      <c r="Q175" s="19">
        <v>0.0</v>
      </c>
      <c r="R175" s="19">
        <v>1.0</v>
      </c>
      <c r="S175" s="19">
        <v>0.0</v>
      </c>
      <c r="T175" s="19">
        <v>0.0</v>
      </c>
      <c r="U175" s="19">
        <v>1.0</v>
      </c>
      <c r="V175" s="19">
        <v>0.0</v>
      </c>
      <c r="W175" s="19">
        <v>0.0</v>
      </c>
      <c r="X175" s="19">
        <v>0.0</v>
      </c>
      <c r="Y175" s="19">
        <v>0.0</v>
      </c>
      <c r="Z175" s="19">
        <v>1.0</v>
      </c>
      <c r="AA175" s="19">
        <v>0.0</v>
      </c>
      <c r="AB175" s="19">
        <v>0.0</v>
      </c>
      <c r="AC175" s="19">
        <v>0.0</v>
      </c>
      <c r="AD175" s="19">
        <v>0.0</v>
      </c>
      <c r="AE175" s="19">
        <v>0.0</v>
      </c>
      <c r="AF175" s="19">
        <v>0.0</v>
      </c>
      <c r="AG175" s="19">
        <v>0.0</v>
      </c>
      <c r="AH175" s="19">
        <v>0.0</v>
      </c>
      <c r="AI175" s="19">
        <v>0.0</v>
      </c>
      <c r="AJ175" s="19">
        <v>0.0</v>
      </c>
      <c r="AK175" s="19">
        <v>1.0</v>
      </c>
      <c r="AL175" s="19">
        <v>0.0</v>
      </c>
      <c r="AM175" s="19">
        <v>0.0</v>
      </c>
      <c r="AN175" s="19">
        <v>0.0</v>
      </c>
      <c r="AO175" s="19">
        <v>0.0</v>
      </c>
      <c r="AP175" s="19">
        <v>0.0</v>
      </c>
      <c r="AQ175" s="19">
        <v>0.0</v>
      </c>
      <c r="AR175" s="19">
        <v>0.0</v>
      </c>
      <c r="AS175" s="19">
        <v>0.0</v>
      </c>
      <c r="AT175" s="19">
        <v>0.0</v>
      </c>
      <c r="AU175" s="19">
        <v>0.0</v>
      </c>
      <c r="AV175" s="19">
        <v>0.0</v>
      </c>
      <c r="AW175" s="19">
        <v>0.0</v>
      </c>
      <c r="AX175" s="19">
        <v>0.0</v>
      </c>
      <c r="AY175" s="19">
        <v>1.0</v>
      </c>
      <c r="AZ175" s="19">
        <v>1.0</v>
      </c>
      <c r="BA175" s="19">
        <v>0.0</v>
      </c>
      <c r="BB175" s="19">
        <v>0.0</v>
      </c>
      <c r="BC175" s="19">
        <v>0.0</v>
      </c>
      <c r="BD175" s="19">
        <v>0.0</v>
      </c>
      <c r="BE175" s="13">
        <f t="shared" si="40"/>
        <v>8</v>
      </c>
    </row>
    <row r="176" ht="12.75" customHeight="1">
      <c r="A176" s="19" t="s">
        <v>15</v>
      </c>
      <c r="B176" s="47" t="s">
        <v>47</v>
      </c>
      <c r="C176" s="15"/>
      <c r="D176" s="16"/>
      <c r="E176" s="13">
        <f t="shared" ref="E176:BE176" si="41">SUM(E168:E175)</f>
        <v>4</v>
      </c>
      <c r="F176" s="13">
        <f t="shared" si="41"/>
        <v>2</v>
      </c>
      <c r="G176" s="13">
        <f t="shared" si="41"/>
        <v>6</v>
      </c>
      <c r="H176" s="13">
        <f t="shared" si="41"/>
        <v>3</v>
      </c>
      <c r="I176" s="13">
        <f t="shared" si="41"/>
        <v>4</v>
      </c>
      <c r="J176" s="13">
        <f t="shared" si="41"/>
        <v>1</v>
      </c>
      <c r="K176" s="13">
        <f t="shared" si="41"/>
        <v>3</v>
      </c>
      <c r="L176" s="13">
        <f t="shared" si="41"/>
        <v>11</v>
      </c>
      <c r="M176" s="13">
        <f t="shared" si="41"/>
        <v>1</v>
      </c>
      <c r="N176" s="13">
        <f t="shared" si="41"/>
        <v>4</v>
      </c>
      <c r="O176" s="13">
        <f t="shared" si="41"/>
        <v>5</v>
      </c>
      <c r="P176" s="13">
        <f t="shared" si="41"/>
        <v>4</v>
      </c>
      <c r="Q176" s="13">
        <f t="shared" si="41"/>
        <v>4</v>
      </c>
      <c r="R176" s="13">
        <f t="shared" si="41"/>
        <v>11</v>
      </c>
      <c r="S176" s="13">
        <f t="shared" si="41"/>
        <v>11</v>
      </c>
      <c r="T176" s="13">
        <f t="shared" si="41"/>
        <v>1</v>
      </c>
      <c r="U176" s="13">
        <f t="shared" si="41"/>
        <v>6</v>
      </c>
      <c r="V176" s="13">
        <f t="shared" si="41"/>
        <v>8</v>
      </c>
      <c r="W176" s="13">
        <f t="shared" si="41"/>
        <v>12</v>
      </c>
      <c r="X176" s="13">
        <f t="shared" si="41"/>
        <v>3</v>
      </c>
      <c r="Y176" s="13">
        <f t="shared" si="41"/>
        <v>4</v>
      </c>
      <c r="Z176" s="13">
        <f t="shared" si="41"/>
        <v>5</v>
      </c>
      <c r="AA176" s="13">
        <f t="shared" si="41"/>
        <v>1</v>
      </c>
      <c r="AB176" s="13">
        <f t="shared" si="41"/>
        <v>0</v>
      </c>
      <c r="AC176" s="13">
        <f t="shared" si="41"/>
        <v>0</v>
      </c>
      <c r="AD176" s="13">
        <f t="shared" si="41"/>
        <v>0</v>
      </c>
      <c r="AE176" s="13">
        <f t="shared" si="41"/>
        <v>1</v>
      </c>
      <c r="AF176" s="13">
        <f t="shared" si="41"/>
        <v>7</v>
      </c>
      <c r="AG176" s="13">
        <f t="shared" si="41"/>
        <v>5</v>
      </c>
      <c r="AH176" s="13">
        <f t="shared" si="41"/>
        <v>10</v>
      </c>
      <c r="AI176" s="13">
        <f t="shared" si="41"/>
        <v>17</v>
      </c>
      <c r="AJ176" s="13">
        <f t="shared" si="41"/>
        <v>31</v>
      </c>
      <c r="AK176" s="13">
        <f t="shared" si="41"/>
        <v>9</v>
      </c>
      <c r="AL176" s="13">
        <f t="shared" si="41"/>
        <v>5</v>
      </c>
      <c r="AM176" s="13">
        <f t="shared" si="41"/>
        <v>15</v>
      </c>
      <c r="AN176" s="13">
        <f t="shared" si="41"/>
        <v>5</v>
      </c>
      <c r="AO176" s="13">
        <f t="shared" si="41"/>
        <v>4</v>
      </c>
      <c r="AP176" s="13">
        <f t="shared" si="41"/>
        <v>6</v>
      </c>
      <c r="AQ176" s="13">
        <f t="shared" si="41"/>
        <v>8</v>
      </c>
      <c r="AR176" s="13">
        <f t="shared" si="41"/>
        <v>4</v>
      </c>
      <c r="AS176" s="13">
        <f t="shared" si="41"/>
        <v>3</v>
      </c>
      <c r="AT176" s="13">
        <f t="shared" si="41"/>
        <v>5</v>
      </c>
      <c r="AU176" s="13">
        <f t="shared" si="41"/>
        <v>11</v>
      </c>
      <c r="AV176" s="13">
        <f t="shared" si="41"/>
        <v>2</v>
      </c>
      <c r="AW176" s="13">
        <f t="shared" si="41"/>
        <v>4</v>
      </c>
      <c r="AX176" s="13">
        <f t="shared" si="41"/>
        <v>2</v>
      </c>
      <c r="AY176" s="13">
        <f t="shared" si="41"/>
        <v>5</v>
      </c>
      <c r="AZ176" s="13">
        <f t="shared" si="41"/>
        <v>9</v>
      </c>
      <c r="BA176" s="13">
        <f t="shared" si="41"/>
        <v>3</v>
      </c>
      <c r="BB176" s="13">
        <f t="shared" si="41"/>
        <v>1</v>
      </c>
      <c r="BC176" s="13">
        <f t="shared" si="41"/>
        <v>0</v>
      </c>
      <c r="BD176" s="13">
        <f t="shared" si="41"/>
        <v>0</v>
      </c>
      <c r="BE176" s="13">
        <f t="shared" si="41"/>
        <v>286</v>
      </c>
    </row>
    <row r="177" ht="12.75" customHeight="1">
      <c r="A177" s="24"/>
      <c r="B177" s="15"/>
      <c r="C177" s="15"/>
      <c r="D177" s="15"/>
      <c r="E177" s="16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</row>
    <row r="178" ht="12.75" customHeight="1">
      <c r="A178" s="30" t="s">
        <v>37</v>
      </c>
      <c r="B178" s="47" t="s">
        <v>155</v>
      </c>
      <c r="C178" s="48" t="s">
        <v>156</v>
      </c>
      <c r="D178" s="16"/>
      <c r="E178" s="19">
        <v>1.0</v>
      </c>
      <c r="F178" s="19">
        <v>4.0</v>
      </c>
      <c r="G178" s="19">
        <v>2.0</v>
      </c>
      <c r="H178" s="19">
        <v>2.0</v>
      </c>
      <c r="I178" s="19">
        <v>2.0</v>
      </c>
      <c r="J178" s="19">
        <v>4.0</v>
      </c>
      <c r="K178" s="19">
        <v>1.0</v>
      </c>
      <c r="L178" s="19">
        <v>4.0</v>
      </c>
      <c r="M178" s="19">
        <v>0.0</v>
      </c>
      <c r="N178" s="19">
        <v>2.0</v>
      </c>
      <c r="O178" s="19">
        <v>1.0</v>
      </c>
      <c r="P178" s="19">
        <v>1.0</v>
      </c>
      <c r="Q178" s="19">
        <v>1.0</v>
      </c>
      <c r="R178" s="19">
        <v>5.0</v>
      </c>
      <c r="S178" s="19">
        <v>3.0</v>
      </c>
      <c r="T178" s="19">
        <v>0.0</v>
      </c>
      <c r="U178" s="19">
        <v>0.0</v>
      </c>
      <c r="V178" s="19">
        <v>3.0</v>
      </c>
      <c r="W178" s="19">
        <v>2.0</v>
      </c>
      <c r="X178" s="19">
        <v>0.0</v>
      </c>
      <c r="Y178" s="19">
        <v>1.0</v>
      </c>
      <c r="Z178" s="19">
        <v>0.0</v>
      </c>
      <c r="AA178" s="19">
        <v>1.0</v>
      </c>
      <c r="AB178" s="19">
        <v>3.0</v>
      </c>
      <c r="AC178" s="19">
        <v>0.0</v>
      </c>
      <c r="AD178" s="19">
        <v>0.0</v>
      </c>
      <c r="AE178" s="19">
        <v>5.0</v>
      </c>
      <c r="AF178" s="19">
        <v>3.0</v>
      </c>
      <c r="AG178" s="19">
        <v>3.0</v>
      </c>
      <c r="AH178" s="19">
        <v>1.0</v>
      </c>
      <c r="AI178" s="19">
        <v>0.0</v>
      </c>
      <c r="AJ178" s="19">
        <v>3.0</v>
      </c>
      <c r="AK178" s="19">
        <v>3.0</v>
      </c>
      <c r="AL178" s="19">
        <v>1.0</v>
      </c>
      <c r="AM178" s="19">
        <v>2.0</v>
      </c>
      <c r="AN178" s="19">
        <v>1.0</v>
      </c>
      <c r="AO178" s="19">
        <v>0.0</v>
      </c>
      <c r="AP178" s="19">
        <v>1.0</v>
      </c>
      <c r="AQ178" s="19">
        <v>0.0</v>
      </c>
      <c r="AR178" s="19">
        <v>0.0</v>
      </c>
      <c r="AS178" s="19">
        <v>1.0</v>
      </c>
      <c r="AT178" s="19">
        <v>2.0</v>
      </c>
      <c r="AU178" s="19">
        <v>2.0</v>
      </c>
      <c r="AV178" s="19">
        <v>0.0</v>
      </c>
      <c r="AW178" s="19">
        <v>1.0</v>
      </c>
      <c r="AX178" s="19">
        <v>2.0</v>
      </c>
      <c r="AY178" s="19">
        <v>2.0</v>
      </c>
      <c r="AZ178" s="19">
        <v>9.0</v>
      </c>
      <c r="BA178" s="19">
        <v>1.0</v>
      </c>
      <c r="BB178" s="19">
        <v>1.0</v>
      </c>
      <c r="BC178" s="19">
        <v>1.0</v>
      </c>
      <c r="BD178" s="19">
        <v>0.0</v>
      </c>
      <c r="BE178" s="13">
        <f t="shared" ref="BE178:BE185" si="42">SUM(E178:BD178)</f>
        <v>88</v>
      </c>
    </row>
    <row r="179" ht="12.75" customHeight="1">
      <c r="A179" s="30" t="s">
        <v>39</v>
      </c>
      <c r="B179" s="55">
        <v>1.0</v>
      </c>
      <c r="C179" s="50" t="s">
        <v>157</v>
      </c>
      <c r="D179" s="56"/>
      <c r="E179" s="19">
        <v>2.0</v>
      </c>
      <c r="F179" s="19">
        <v>2.0</v>
      </c>
      <c r="G179" s="19">
        <v>39.0</v>
      </c>
      <c r="H179" s="19">
        <v>1.0</v>
      </c>
      <c r="I179" s="19">
        <v>3.0</v>
      </c>
      <c r="J179" s="19">
        <v>0.0</v>
      </c>
      <c r="K179" s="19">
        <v>0.0</v>
      </c>
      <c r="L179" s="19">
        <v>2.0</v>
      </c>
      <c r="M179" s="19">
        <v>0.0</v>
      </c>
      <c r="N179" s="19">
        <v>0.0</v>
      </c>
      <c r="O179" s="19">
        <v>0.0</v>
      </c>
      <c r="P179" s="19">
        <v>0.0</v>
      </c>
      <c r="Q179" s="19">
        <v>4.0</v>
      </c>
      <c r="R179" s="19">
        <v>3.0</v>
      </c>
      <c r="S179" s="19">
        <v>2.0</v>
      </c>
      <c r="T179" s="19">
        <v>4.0</v>
      </c>
      <c r="U179" s="19">
        <v>0.0</v>
      </c>
      <c r="V179" s="19">
        <v>3.0</v>
      </c>
      <c r="W179" s="19">
        <v>2.0</v>
      </c>
      <c r="X179" s="19">
        <v>0.0</v>
      </c>
      <c r="Y179" s="19">
        <v>0.0</v>
      </c>
      <c r="Z179" s="19">
        <v>13.0</v>
      </c>
      <c r="AA179" s="19">
        <v>4.0</v>
      </c>
      <c r="AB179" s="19">
        <v>3.0</v>
      </c>
      <c r="AC179" s="19">
        <v>2.0</v>
      </c>
      <c r="AD179" s="19">
        <v>0.0</v>
      </c>
      <c r="AE179" s="19">
        <v>4.0</v>
      </c>
      <c r="AF179" s="19">
        <v>1.0</v>
      </c>
      <c r="AG179" s="19">
        <v>1.0</v>
      </c>
      <c r="AH179" s="19">
        <v>6.0</v>
      </c>
      <c r="AI179" s="19">
        <v>1.0</v>
      </c>
      <c r="AJ179" s="19">
        <v>5.0</v>
      </c>
      <c r="AK179" s="19">
        <v>0.0</v>
      </c>
      <c r="AL179" s="19">
        <v>4.0</v>
      </c>
      <c r="AM179" s="19">
        <v>3.0</v>
      </c>
      <c r="AN179" s="19">
        <v>1.0</v>
      </c>
      <c r="AO179" s="19">
        <v>2.0</v>
      </c>
      <c r="AP179" s="19">
        <v>4.0</v>
      </c>
      <c r="AQ179" s="19">
        <v>2.0</v>
      </c>
      <c r="AR179" s="19">
        <v>3.0</v>
      </c>
      <c r="AS179" s="19">
        <v>0.0</v>
      </c>
      <c r="AT179" s="19">
        <v>3.0</v>
      </c>
      <c r="AU179" s="19">
        <v>0.0</v>
      </c>
      <c r="AV179" s="19">
        <v>0.0</v>
      </c>
      <c r="AW179" s="19">
        <v>3.0</v>
      </c>
      <c r="AX179" s="19">
        <v>10.0</v>
      </c>
      <c r="AY179" s="19">
        <v>3.0</v>
      </c>
      <c r="AZ179" s="19">
        <v>45.0</v>
      </c>
      <c r="BA179" s="19">
        <v>24.0</v>
      </c>
      <c r="BB179" s="19">
        <v>1.0</v>
      </c>
      <c r="BC179" s="19">
        <v>0.0</v>
      </c>
      <c r="BD179" s="19">
        <v>2.0</v>
      </c>
      <c r="BE179" s="13">
        <f t="shared" si="42"/>
        <v>217</v>
      </c>
    </row>
    <row r="180" ht="12.75" customHeight="1">
      <c r="A180" s="18"/>
      <c r="B180" s="55">
        <v>2.0</v>
      </c>
      <c r="C180" s="50" t="s">
        <v>158</v>
      </c>
      <c r="D180" s="56"/>
      <c r="E180" s="19">
        <v>1.0</v>
      </c>
      <c r="F180" s="19">
        <v>1.0</v>
      </c>
      <c r="G180" s="19">
        <v>3.0</v>
      </c>
      <c r="H180" s="19">
        <v>0.0</v>
      </c>
      <c r="I180" s="19">
        <v>0.0</v>
      </c>
      <c r="J180" s="19">
        <v>0.0</v>
      </c>
      <c r="K180" s="19">
        <v>1.0</v>
      </c>
      <c r="L180" s="19">
        <v>4.0</v>
      </c>
      <c r="M180" s="19">
        <v>0.0</v>
      </c>
      <c r="N180" s="19">
        <v>0.0</v>
      </c>
      <c r="O180" s="19">
        <v>2.0</v>
      </c>
      <c r="P180" s="19">
        <v>0.0</v>
      </c>
      <c r="Q180" s="19">
        <v>2.0</v>
      </c>
      <c r="R180" s="19">
        <v>4.0</v>
      </c>
      <c r="S180" s="19">
        <v>3.0</v>
      </c>
      <c r="T180" s="19">
        <v>0.0</v>
      </c>
      <c r="U180" s="19">
        <v>0.0</v>
      </c>
      <c r="V180" s="19">
        <v>0.0</v>
      </c>
      <c r="W180" s="19">
        <v>1.0</v>
      </c>
      <c r="X180" s="19">
        <v>0.0</v>
      </c>
      <c r="Y180" s="19">
        <v>0.0</v>
      </c>
      <c r="Z180" s="19">
        <v>1.0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1.0</v>
      </c>
      <c r="AF180" s="19">
        <v>0.0</v>
      </c>
      <c r="AG180" s="19">
        <v>0.0</v>
      </c>
      <c r="AH180" s="19">
        <v>0.0</v>
      </c>
      <c r="AI180" s="19">
        <v>0.0</v>
      </c>
      <c r="AJ180" s="19">
        <v>0.0</v>
      </c>
      <c r="AK180" s="19">
        <v>1.0</v>
      </c>
      <c r="AL180" s="19">
        <v>0.0</v>
      </c>
      <c r="AM180" s="19">
        <v>0.0</v>
      </c>
      <c r="AN180" s="19">
        <v>0.0</v>
      </c>
      <c r="AO180" s="19">
        <v>0.0</v>
      </c>
      <c r="AP180" s="19">
        <v>0.0</v>
      </c>
      <c r="AQ180" s="19">
        <v>0.0</v>
      </c>
      <c r="AR180" s="19">
        <v>0.0</v>
      </c>
      <c r="AS180" s="19">
        <v>0.0</v>
      </c>
      <c r="AT180" s="19">
        <v>0.0</v>
      </c>
      <c r="AU180" s="19">
        <v>0.0</v>
      </c>
      <c r="AV180" s="19">
        <v>0.0</v>
      </c>
      <c r="AW180" s="19">
        <v>1.0</v>
      </c>
      <c r="AX180" s="19">
        <v>1.0</v>
      </c>
      <c r="AY180" s="19">
        <v>0.0</v>
      </c>
      <c r="AZ180" s="19">
        <v>1.0</v>
      </c>
      <c r="BA180" s="19">
        <v>2.0</v>
      </c>
      <c r="BB180" s="19">
        <v>2.0</v>
      </c>
      <c r="BC180" s="19">
        <v>0.0</v>
      </c>
      <c r="BD180" s="19">
        <v>0.0</v>
      </c>
      <c r="BE180" s="13">
        <f t="shared" si="42"/>
        <v>32</v>
      </c>
    </row>
    <row r="181" ht="12.75" customHeight="1">
      <c r="A181" s="18"/>
      <c r="B181" s="55">
        <v>3.0</v>
      </c>
      <c r="C181" s="63" t="s">
        <v>159</v>
      </c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1.0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1.0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1.0</v>
      </c>
      <c r="AG181" s="19">
        <v>0.0</v>
      </c>
      <c r="AH181" s="19">
        <v>0.0</v>
      </c>
      <c r="AI181" s="19">
        <v>0.0</v>
      </c>
      <c r="AJ181" s="19">
        <v>0.0</v>
      </c>
      <c r="AK181" s="19">
        <v>1.0</v>
      </c>
      <c r="AL181" s="19">
        <v>0.0</v>
      </c>
      <c r="AM181" s="19">
        <v>1.0</v>
      </c>
      <c r="AN181" s="19">
        <v>0.0</v>
      </c>
      <c r="AO181" s="19">
        <v>0.0</v>
      </c>
      <c r="AP181" s="19">
        <v>0.0</v>
      </c>
      <c r="AQ181" s="19">
        <v>0.0</v>
      </c>
      <c r="AR181" s="19">
        <v>1.0</v>
      </c>
      <c r="AS181" s="19">
        <v>0.0</v>
      </c>
      <c r="AT181" s="19">
        <v>0.0</v>
      </c>
      <c r="AU181" s="19">
        <v>0.0</v>
      </c>
      <c r="AV181" s="19">
        <v>0.0</v>
      </c>
      <c r="AW181" s="19">
        <v>0.0</v>
      </c>
      <c r="AX181" s="19">
        <v>0.0</v>
      </c>
      <c r="AY181" s="19">
        <v>0.0</v>
      </c>
      <c r="AZ181" s="19">
        <v>0.0</v>
      </c>
      <c r="BA181" s="19">
        <v>0.0</v>
      </c>
      <c r="BB181" s="19">
        <v>0.0</v>
      </c>
      <c r="BC181" s="19">
        <v>0.0</v>
      </c>
      <c r="BD181" s="19">
        <v>0.0</v>
      </c>
      <c r="BE181" s="13">
        <f t="shared" si="42"/>
        <v>6</v>
      </c>
    </row>
    <row r="182" ht="12.75" customHeight="1">
      <c r="A182" s="18"/>
      <c r="B182" s="55">
        <v>4.0</v>
      </c>
      <c r="C182" s="50" t="s">
        <v>160</v>
      </c>
      <c r="D182" s="56"/>
      <c r="E182" s="19">
        <v>1.0</v>
      </c>
      <c r="F182" s="19">
        <v>0.0</v>
      </c>
      <c r="G182" s="19">
        <v>1.0</v>
      </c>
      <c r="H182" s="19">
        <v>0.0</v>
      </c>
      <c r="I182" s="19">
        <v>0.0</v>
      </c>
      <c r="J182" s="19">
        <v>0.0</v>
      </c>
      <c r="K182" s="19">
        <v>1.0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1.0</v>
      </c>
      <c r="S182" s="19">
        <v>1.0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1.0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0.0</v>
      </c>
      <c r="AO182" s="19">
        <v>0.0</v>
      </c>
      <c r="AP182" s="19">
        <v>1.0</v>
      </c>
      <c r="AQ182" s="19">
        <v>0.0</v>
      </c>
      <c r="AR182" s="19">
        <v>0.0</v>
      </c>
      <c r="AS182" s="19">
        <v>0.0</v>
      </c>
      <c r="AT182" s="19">
        <v>0.0</v>
      </c>
      <c r="AU182" s="19">
        <v>0.0</v>
      </c>
      <c r="AV182" s="19">
        <v>0.0</v>
      </c>
      <c r="AW182" s="19">
        <v>0.0</v>
      </c>
      <c r="AX182" s="19">
        <v>0.0</v>
      </c>
      <c r="AY182" s="19">
        <v>0.0</v>
      </c>
      <c r="AZ182" s="19">
        <v>1.0</v>
      </c>
      <c r="BA182" s="19">
        <v>0.0</v>
      </c>
      <c r="BB182" s="19">
        <v>0.0</v>
      </c>
      <c r="BC182" s="19">
        <v>0.0</v>
      </c>
      <c r="BD182" s="19">
        <v>1.0</v>
      </c>
      <c r="BE182" s="13">
        <f t="shared" si="42"/>
        <v>9</v>
      </c>
    </row>
    <row r="183" ht="12.75" customHeight="1">
      <c r="A183" s="18"/>
      <c r="B183" s="55">
        <v>5.0</v>
      </c>
      <c r="C183" s="50" t="s">
        <v>161</v>
      </c>
      <c r="D183" s="56"/>
      <c r="E183" s="19">
        <v>0.0</v>
      </c>
      <c r="F183" s="19">
        <v>0.0</v>
      </c>
      <c r="G183" s="19">
        <v>0.0</v>
      </c>
      <c r="H183" s="19">
        <v>1.0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1.0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1.0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9">
        <v>0.0</v>
      </c>
      <c r="AN183" s="19">
        <v>1.0</v>
      </c>
      <c r="AO183" s="19">
        <v>0.0</v>
      </c>
      <c r="AP183" s="19">
        <v>0.0</v>
      </c>
      <c r="AQ183" s="19">
        <v>0.0</v>
      </c>
      <c r="AR183" s="19">
        <v>1.0</v>
      </c>
      <c r="AS183" s="19">
        <v>0.0</v>
      </c>
      <c r="AT183" s="19">
        <v>0.0</v>
      </c>
      <c r="AU183" s="19">
        <v>0.0</v>
      </c>
      <c r="AV183" s="19">
        <v>0.0</v>
      </c>
      <c r="AW183" s="19">
        <v>0.0</v>
      </c>
      <c r="AX183" s="19">
        <v>0.0</v>
      </c>
      <c r="AY183" s="19">
        <v>0.0</v>
      </c>
      <c r="AZ183" s="19">
        <v>0.0</v>
      </c>
      <c r="BA183" s="19">
        <v>0.0</v>
      </c>
      <c r="BB183" s="19">
        <v>1.0</v>
      </c>
      <c r="BC183" s="19">
        <v>0.0</v>
      </c>
      <c r="BD183" s="19">
        <v>1.0</v>
      </c>
      <c r="BE183" s="13">
        <f t="shared" si="42"/>
        <v>7</v>
      </c>
    </row>
    <row r="184" ht="12.75" customHeight="1">
      <c r="A184" s="18"/>
      <c r="B184" s="55">
        <v>6.0</v>
      </c>
      <c r="C184" s="50" t="s">
        <v>162</v>
      </c>
      <c r="D184" s="56"/>
      <c r="E184" s="19">
        <v>1.0</v>
      </c>
      <c r="F184" s="19">
        <v>1.0</v>
      </c>
      <c r="G184" s="19">
        <v>0.0</v>
      </c>
      <c r="H184" s="19">
        <v>0.0</v>
      </c>
      <c r="I184" s="19">
        <v>0.0</v>
      </c>
      <c r="J184" s="19">
        <v>1.0</v>
      </c>
      <c r="K184" s="19">
        <v>0.0</v>
      </c>
      <c r="L184" s="19">
        <v>1.0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1.0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9">
        <v>0.0</v>
      </c>
      <c r="AN184" s="19">
        <v>0.0</v>
      </c>
      <c r="AO184" s="19">
        <v>0.0</v>
      </c>
      <c r="AP184" s="19">
        <v>0.0</v>
      </c>
      <c r="AQ184" s="19">
        <v>0.0</v>
      </c>
      <c r="AR184" s="19">
        <v>0.0</v>
      </c>
      <c r="AS184" s="19">
        <v>0.0</v>
      </c>
      <c r="AT184" s="19">
        <v>0.0</v>
      </c>
      <c r="AU184" s="19">
        <v>0.0</v>
      </c>
      <c r="AV184" s="19">
        <v>0.0</v>
      </c>
      <c r="AW184" s="19">
        <v>0.0</v>
      </c>
      <c r="AX184" s="19">
        <v>0.0</v>
      </c>
      <c r="AY184" s="19">
        <v>0.0</v>
      </c>
      <c r="AZ184" s="19">
        <v>0.0</v>
      </c>
      <c r="BA184" s="19">
        <v>0.0</v>
      </c>
      <c r="BB184" s="19">
        <v>0.0</v>
      </c>
      <c r="BC184" s="19">
        <v>0.0</v>
      </c>
      <c r="BD184" s="19">
        <v>0.0</v>
      </c>
      <c r="BE184" s="13">
        <f t="shared" si="42"/>
        <v>5</v>
      </c>
    </row>
    <row r="185" ht="12.75" customHeight="1">
      <c r="A185" s="18"/>
      <c r="B185" s="55">
        <v>7.0</v>
      </c>
      <c r="C185" s="50" t="s">
        <v>163</v>
      </c>
      <c r="D185" s="56"/>
      <c r="E185" s="19">
        <v>0.0</v>
      </c>
      <c r="F185" s="19">
        <v>0.0</v>
      </c>
      <c r="G185" s="19">
        <v>0.0</v>
      </c>
      <c r="H185" s="19">
        <v>0.0</v>
      </c>
      <c r="I185" s="19">
        <v>1.0</v>
      </c>
      <c r="J185" s="19">
        <v>0.0</v>
      </c>
      <c r="K185" s="19">
        <v>0.0</v>
      </c>
      <c r="L185" s="19">
        <v>0.0</v>
      </c>
      <c r="M185" s="19">
        <v>0.0</v>
      </c>
      <c r="N185" s="19">
        <v>0.0</v>
      </c>
      <c r="O185" s="19">
        <v>0.0</v>
      </c>
      <c r="P185" s="19">
        <v>1.0</v>
      </c>
      <c r="Q185" s="19">
        <v>1.0</v>
      </c>
      <c r="R185" s="19">
        <v>0.0</v>
      </c>
      <c r="S185" s="19">
        <v>0.0</v>
      </c>
      <c r="T185" s="19">
        <v>0.0</v>
      </c>
      <c r="U185" s="19">
        <v>0.0</v>
      </c>
      <c r="V185" s="19">
        <v>0.0</v>
      </c>
      <c r="W185" s="19">
        <v>2.0</v>
      </c>
      <c r="X185" s="19">
        <v>0.0</v>
      </c>
      <c r="Y185" s="19">
        <v>0.0</v>
      </c>
      <c r="Z185" s="19">
        <v>0.0</v>
      </c>
      <c r="AA185" s="19">
        <v>0.0</v>
      </c>
      <c r="AB185" s="19">
        <v>0.0</v>
      </c>
      <c r="AC185" s="19">
        <v>1.0</v>
      </c>
      <c r="AD185" s="19">
        <v>0.0</v>
      </c>
      <c r="AE185" s="19">
        <v>0.0</v>
      </c>
      <c r="AF185" s="19">
        <v>0.0</v>
      </c>
      <c r="AG185" s="19">
        <v>0.0</v>
      </c>
      <c r="AH185" s="19">
        <v>0.0</v>
      </c>
      <c r="AI185" s="19">
        <v>0.0</v>
      </c>
      <c r="AJ185" s="19">
        <v>0.0</v>
      </c>
      <c r="AK185" s="19">
        <v>0.0</v>
      </c>
      <c r="AL185" s="19">
        <v>0.0</v>
      </c>
      <c r="AM185" s="19">
        <v>0.0</v>
      </c>
      <c r="AN185" s="19">
        <v>0.0</v>
      </c>
      <c r="AO185" s="19">
        <v>0.0</v>
      </c>
      <c r="AP185" s="19">
        <v>1.0</v>
      </c>
      <c r="AQ185" s="19">
        <v>0.0</v>
      </c>
      <c r="AR185" s="19">
        <v>0.0</v>
      </c>
      <c r="AS185" s="19">
        <v>0.0</v>
      </c>
      <c r="AT185" s="19">
        <v>0.0</v>
      </c>
      <c r="AU185" s="19">
        <v>0.0</v>
      </c>
      <c r="AV185" s="19">
        <v>0.0</v>
      </c>
      <c r="AW185" s="19">
        <v>0.0</v>
      </c>
      <c r="AX185" s="19">
        <v>0.0</v>
      </c>
      <c r="AY185" s="19">
        <v>0.0</v>
      </c>
      <c r="AZ185" s="19">
        <v>1.0</v>
      </c>
      <c r="BA185" s="19">
        <v>0.0</v>
      </c>
      <c r="BB185" s="19">
        <v>0.0</v>
      </c>
      <c r="BC185" s="19">
        <v>0.0</v>
      </c>
      <c r="BD185" s="19">
        <v>0.0</v>
      </c>
      <c r="BE185" s="13">
        <f t="shared" si="42"/>
        <v>8</v>
      </c>
    </row>
    <row r="186" ht="12.75" customHeight="1">
      <c r="A186" s="19" t="s">
        <v>15</v>
      </c>
      <c r="B186" s="47" t="s">
        <v>47</v>
      </c>
      <c r="C186" s="15"/>
      <c r="D186" s="16"/>
      <c r="E186" s="13">
        <f t="shared" ref="E186:BE186" si="43">SUM(E178:E185)</f>
        <v>6</v>
      </c>
      <c r="F186" s="13">
        <f t="shared" si="43"/>
        <v>8</v>
      </c>
      <c r="G186" s="13">
        <f t="shared" si="43"/>
        <v>45</v>
      </c>
      <c r="H186" s="13">
        <f t="shared" si="43"/>
        <v>4</v>
      </c>
      <c r="I186" s="13">
        <f t="shared" si="43"/>
        <v>6</v>
      </c>
      <c r="J186" s="13">
        <f t="shared" si="43"/>
        <v>5</v>
      </c>
      <c r="K186" s="13">
        <f t="shared" si="43"/>
        <v>3</v>
      </c>
      <c r="L186" s="13">
        <f t="shared" si="43"/>
        <v>12</v>
      </c>
      <c r="M186" s="13">
        <f t="shared" si="43"/>
        <v>0</v>
      </c>
      <c r="N186" s="13">
        <f t="shared" si="43"/>
        <v>2</v>
      </c>
      <c r="O186" s="13">
        <f t="shared" si="43"/>
        <v>3</v>
      </c>
      <c r="P186" s="13">
        <f t="shared" si="43"/>
        <v>2</v>
      </c>
      <c r="Q186" s="13">
        <f t="shared" si="43"/>
        <v>8</v>
      </c>
      <c r="R186" s="13">
        <f t="shared" si="43"/>
        <v>14</v>
      </c>
      <c r="S186" s="13">
        <f t="shared" si="43"/>
        <v>11</v>
      </c>
      <c r="T186" s="13">
        <f t="shared" si="43"/>
        <v>4</v>
      </c>
      <c r="U186" s="13">
        <f t="shared" si="43"/>
        <v>0</v>
      </c>
      <c r="V186" s="13">
        <f t="shared" si="43"/>
        <v>6</v>
      </c>
      <c r="W186" s="13">
        <f t="shared" si="43"/>
        <v>7</v>
      </c>
      <c r="X186" s="13">
        <f t="shared" si="43"/>
        <v>0</v>
      </c>
      <c r="Y186" s="13">
        <f t="shared" si="43"/>
        <v>2</v>
      </c>
      <c r="Z186" s="13">
        <f t="shared" si="43"/>
        <v>14</v>
      </c>
      <c r="AA186" s="13">
        <f t="shared" si="43"/>
        <v>5</v>
      </c>
      <c r="AB186" s="13">
        <f t="shared" si="43"/>
        <v>7</v>
      </c>
      <c r="AC186" s="13">
        <f t="shared" si="43"/>
        <v>3</v>
      </c>
      <c r="AD186" s="13">
        <f t="shared" si="43"/>
        <v>0</v>
      </c>
      <c r="AE186" s="13">
        <f t="shared" si="43"/>
        <v>10</v>
      </c>
      <c r="AF186" s="13">
        <f t="shared" si="43"/>
        <v>5</v>
      </c>
      <c r="AG186" s="13">
        <f t="shared" si="43"/>
        <v>4</v>
      </c>
      <c r="AH186" s="13">
        <f t="shared" si="43"/>
        <v>7</v>
      </c>
      <c r="AI186" s="13">
        <f t="shared" si="43"/>
        <v>1</v>
      </c>
      <c r="AJ186" s="13">
        <f t="shared" si="43"/>
        <v>8</v>
      </c>
      <c r="AK186" s="13">
        <f t="shared" si="43"/>
        <v>5</v>
      </c>
      <c r="AL186" s="13">
        <f t="shared" si="43"/>
        <v>5</v>
      </c>
      <c r="AM186" s="13">
        <f t="shared" si="43"/>
        <v>6</v>
      </c>
      <c r="AN186" s="13">
        <f t="shared" si="43"/>
        <v>3</v>
      </c>
      <c r="AO186" s="13">
        <f t="shared" si="43"/>
        <v>2</v>
      </c>
      <c r="AP186" s="13">
        <f t="shared" si="43"/>
        <v>7</v>
      </c>
      <c r="AQ186" s="13">
        <f t="shared" si="43"/>
        <v>2</v>
      </c>
      <c r="AR186" s="13">
        <f t="shared" si="43"/>
        <v>5</v>
      </c>
      <c r="AS186" s="13">
        <f t="shared" si="43"/>
        <v>1</v>
      </c>
      <c r="AT186" s="13">
        <f t="shared" si="43"/>
        <v>5</v>
      </c>
      <c r="AU186" s="13">
        <f t="shared" si="43"/>
        <v>2</v>
      </c>
      <c r="AV186" s="13">
        <f t="shared" si="43"/>
        <v>0</v>
      </c>
      <c r="AW186" s="13">
        <f t="shared" si="43"/>
        <v>5</v>
      </c>
      <c r="AX186" s="13">
        <f t="shared" si="43"/>
        <v>13</v>
      </c>
      <c r="AY186" s="13">
        <f t="shared" si="43"/>
        <v>5</v>
      </c>
      <c r="AZ186" s="13">
        <f t="shared" si="43"/>
        <v>57</v>
      </c>
      <c r="BA186" s="13">
        <f t="shared" si="43"/>
        <v>27</v>
      </c>
      <c r="BB186" s="13">
        <f t="shared" si="43"/>
        <v>5</v>
      </c>
      <c r="BC186" s="13">
        <f t="shared" si="43"/>
        <v>1</v>
      </c>
      <c r="BD186" s="13">
        <f t="shared" si="43"/>
        <v>4</v>
      </c>
      <c r="BE186" s="13">
        <f t="shared" si="43"/>
        <v>372</v>
      </c>
    </row>
    <row r="187" ht="12.75" customHeight="1">
      <c r="A187" s="24"/>
      <c r="B187" s="15"/>
      <c r="C187" s="15"/>
      <c r="D187" s="15"/>
      <c r="E187" s="16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</row>
    <row r="188" ht="12.75" customHeight="1">
      <c r="A188" s="30" t="s">
        <v>37</v>
      </c>
      <c r="B188" s="47" t="s">
        <v>164</v>
      </c>
      <c r="C188" s="48" t="s">
        <v>165</v>
      </c>
      <c r="D188" s="16"/>
      <c r="E188" s="19">
        <v>0.0</v>
      </c>
      <c r="F188" s="19">
        <v>0.0</v>
      </c>
      <c r="G188" s="19">
        <v>0.0</v>
      </c>
      <c r="H188" s="19">
        <v>0.0</v>
      </c>
      <c r="I188" s="19">
        <v>0.0</v>
      </c>
      <c r="J188" s="19">
        <v>0.0</v>
      </c>
      <c r="K188" s="19">
        <v>0.0</v>
      </c>
      <c r="L188" s="19">
        <v>1.0</v>
      </c>
      <c r="M188" s="19">
        <v>0.0</v>
      </c>
      <c r="N188" s="19">
        <v>0.0</v>
      </c>
      <c r="O188" s="19">
        <v>0.0</v>
      </c>
      <c r="P188" s="19">
        <v>0.0</v>
      </c>
      <c r="Q188" s="19">
        <v>0.0</v>
      </c>
      <c r="R188" s="19">
        <v>0.0</v>
      </c>
      <c r="S188" s="19">
        <v>0.0</v>
      </c>
      <c r="T188" s="19">
        <v>0.0</v>
      </c>
      <c r="U188" s="19">
        <v>1.0</v>
      </c>
      <c r="V188" s="19">
        <v>0.0</v>
      </c>
      <c r="W188" s="19">
        <v>0.0</v>
      </c>
      <c r="X188" s="19">
        <v>0.0</v>
      </c>
      <c r="Y188" s="19">
        <v>0.0</v>
      </c>
      <c r="Z188" s="19">
        <v>0.0</v>
      </c>
      <c r="AA188" s="19">
        <v>0.0</v>
      </c>
      <c r="AB188" s="19">
        <v>0.0</v>
      </c>
      <c r="AC188" s="19">
        <v>0.0</v>
      </c>
      <c r="AD188" s="19">
        <v>0.0</v>
      </c>
      <c r="AE188" s="19">
        <v>0.0</v>
      </c>
      <c r="AF188" s="19">
        <v>0.0</v>
      </c>
      <c r="AG188" s="19">
        <v>0.0</v>
      </c>
      <c r="AH188" s="19">
        <v>0.0</v>
      </c>
      <c r="AI188" s="19">
        <v>0.0</v>
      </c>
      <c r="AJ188" s="19">
        <v>0.0</v>
      </c>
      <c r="AK188" s="19">
        <v>0.0</v>
      </c>
      <c r="AL188" s="19">
        <v>0.0</v>
      </c>
      <c r="AM188" s="19">
        <v>0.0</v>
      </c>
      <c r="AN188" s="19">
        <v>0.0</v>
      </c>
      <c r="AO188" s="19">
        <v>0.0</v>
      </c>
      <c r="AP188" s="19">
        <v>0.0</v>
      </c>
      <c r="AQ188" s="19">
        <v>0.0</v>
      </c>
      <c r="AR188" s="19">
        <v>0.0</v>
      </c>
      <c r="AS188" s="19">
        <v>0.0</v>
      </c>
      <c r="AT188" s="19">
        <v>0.0</v>
      </c>
      <c r="AU188" s="19">
        <v>0.0</v>
      </c>
      <c r="AV188" s="19">
        <v>0.0</v>
      </c>
      <c r="AW188" s="19">
        <v>1.0</v>
      </c>
      <c r="AX188" s="19">
        <v>0.0</v>
      </c>
      <c r="AY188" s="19">
        <v>1.0</v>
      </c>
      <c r="AZ188" s="19">
        <v>0.0</v>
      </c>
      <c r="BA188" s="19">
        <v>0.0</v>
      </c>
      <c r="BB188" s="19">
        <v>0.0</v>
      </c>
      <c r="BC188" s="19">
        <v>0.0</v>
      </c>
      <c r="BD188" s="19">
        <v>0.0</v>
      </c>
      <c r="BE188" s="13">
        <f t="shared" ref="BE188:BE195" si="44">SUM(E188:BD188)</f>
        <v>4</v>
      </c>
    </row>
    <row r="189" ht="12.75" customHeight="1">
      <c r="A189" s="30" t="s">
        <v>39</v>
      </c>
      <c r="B189" s="55">
        <v>1.0</v>
      </c>
      <c r="C189" s="50" t="s">
        <v>166</v>
      </c>
      <c r="D189" s="57"/>
      <c r="E189" s="19">
        <v>1.0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1.0</v>
      </c>
      <c r="O189" s="19">
        <v>0.0</v>
      </c>
      <c r="P189" s="19">
        <v>1.0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0.0</v>
      </c>
      <c r="AI189" s="19">
        <v>0.0</v>
      </c>
      <c r="AJ189" s="19">
        <v>0.0</v>
      </c>
      <c r="AK189" s="19">
        <v>0.0</v>
      </c>
      <c r="AL189" s="19">
        <v>0.0</v>
      </c>
      <c r="AM189" s="19">
        <v>0.0</v>
      </c>
      <c r="AN189" s="19">
        <v>0.0</v>
      </c>
      <c r="AO189" s="19">
        <v>0.0</v>
      </c>
      <c r="AP189" s="19">
        <v>0.0</v>
      </c>
      <c r="AQ189" s="19">
        <v>0.0</v>
      </c>
      <c r="AR189" s="19">
        <v>0.0</v>
      </c>
      <c r="AS189" s="19">
        <v>0.0</v>
      </c>
      <c r="AT189" s="19">
        <v>0.0</v>
      </c>
      <c r="AU189" s="19">
        <v>1.0</v>
      </c>
      <c r="AV189" s="19">
        <v>0.0</v>
      </c>
      <c r="AW189" s="19">
        <v>0.0</v>
      </c>
      <c r="AX189" s="19">
        <v>2.0</v>
      </c>
      <c r="AY189" s="19">
        <v>0.0</v>
      </c>
      <c r="AZ189" s="19">
        <v>0.0</v>
      </c>
      <c r="BA189" s="19">
        <v>0.0</v>
      </c>
      <c r="BB189" s="19">
        <v>0.0</v>
      </c>
      <c r="BC189" s="19">
        <v>0.0</v>
      </c>
      <c r="BD189" s="19">
        <v>0.0</v>
      </c>
      <c r="BE189" s="13">
        <f t="shared" si="44"/>
        <v>6</v>
      </c>
    </row>
    <row r="190" ht="12.75" customHeight="1">
      <c r="A190" s="18"/>
      <c r="B190" s="55">
        <v>2.0</v>
      </c>
      <c r="C190" s="50" t="s">
        <v>167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1.0</v>
      </c>
      <c r="J190" s="19">
        <v>0.0</v>
      </c>
      <c r="K190" s="19">
        <v>0.0</v>
      </c>
      <c r="L190" s="19">
        <v>1.0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0.0</v>
      </c>
      <c r="AL190" s="19">
        <v>0.0</v>
      </c>
      <c r="AM190" s="19">
        <v>0.0</v>
      </c>
      <c r="AN190" s="19">
        <v>0.0</v>
      </c>
      <c r="AO190" s="19">
        <v>0.0</v>
      </c>
      <c r="AP190" s="19">
        <v>0.0</v>
      </c>
      <c r="AQ190" s="19">
        <v>0.0</v>
      </c>
      <c r="AR190" s="19">
        <v>0.0</v>
      </c>
      <c r="AS190" s="19">
        <v>0.0</v>
      </c>
      <c r="AT190" s="19">
        <v>0.0</v>
      </c>
      <c r="AU190" s="19">
        <v>0.0</v>
      </c>
      <c r="AV190" s="19">
        <v>0.0</v>
      </c>
      <c r="AW190" s="19">
        <v>0.0</v>
      </c>
      <c r="AX190" s="19">
        <v>0.0</v>
      </c>
      <c r="AY190" s="19">
        <v>0.0</v>
      </c>
      <c r="AZ190" s="19">
        <v>0.0</v>
      </c>
      <c r="BA190" s="19">
        <v>0.0</v>
      </c>
      <c r="BB190" s="19">
        <v>0.0</v>
      </c>
      <c r="BC190" s="19">
        <v>0.0</v>
      </c>
      <c r="BD190" s="19">
        <v>0.0</v>
      </c>
      <c r="BE190" s="13">
        <f t="shared" si="44"/>
        <v>2</v>
      </c>
    </row>
    <row r="191" ht="12.75" customHeight="1">
      <c r="A191" s="18"/>
      <c r="B191" s="55">
        <v>3.0</v>
      </c>
      <c r="C191" s="50" t="s">
        <v>168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1.0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0.0</v>
      </c>
      <c r="AM191" s="19">
        <v>0.0</v>
      </c>
      <c r="AN191" s="19">
        <v>0.0</v>
      </c>
      <c r="AO191" s="19">
        <v>0.0</v>
      </c>
      <c r="AP191" s="19">
        <v>0.0</v>
      </c>
      <c r="AQ191" s="19">
        <v>0.0</v>
      </c>
      <c r="AR191" s="19">
        <v>0.0</v>
      </c>
      <c r="AS191" s="19">
        <v>0.0</v>
      </c>
      <c r="AT191" s="19">
        <v>0.0</v>
      </c>
      <c r="AU191" s="19">
        <v>0.0</v>
      </c>
      <c r="AV191" s="19">
        <v>0.0</v>
      </c>
      <c r="AW191" s="19">
        <v>0.0</v>
      </c>
      <c r="AX191" s="19">
        <v>0.0</v>
      </c>
      <c r="AY191" s="19">
        <v>0.0</v>
      </c>
      <c r="AZ191" s="19">
        <v>0.0</v>
      </c>
      <c r="BA191" s="19">
        <v>0.0</v>
      </c>
      <c r="BB191" s="19">
        <v>0.0</v>
      </c>
      <c r="BC191" s="19">
        <v>0.0</v>
      </c>
      <c r="BD191" s="19">
        <v>0.0</v>
      </c>
      <c r="BE191" s="13">
        <f t="shared" si="44"/>
        <v>1</v>
      </c>
    </row>
    <row r="192" ht="12.75" customHeight="1">
      <c r="A192" s="18"/>
      <c r="B192" s="55">
        <v>4.0</v>
      </c>
      <c r="C192" s="50" t="s">
        <v>169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9">
        <v>0.0</v>
      </c>
      <c r="AN192" s="19">
        <v>0.0</v>
      </c>
      <c r="AO192" s="19">
        <v>1.0</v>
      </c>
      <c r="AP192" s="19">
        <v>0.0</v>
      </c>
      <c r="AQ192" s="19">
        <v>0.0</v>
      </c>
      <c r="AR192" s="19">
        <v>0.0</v>
      </c>
      <c r="AS192" s="19">
        <v>0.0</v>
      </c>
      <c r="AT192" s="19">
        <v>0.0</v>
      </c>
      <c r="AU192" s="19">
        <v>0.0</v>
      </c>
      <c r="AV192" s="19">
        <v>0.0</v>
      </c>
      <c r="AW192" s="19">
        <v>0.0</v>
      </c>
      <c r="AX192" s="19">
        <v>0.0</v>
      </c>
      <c r="AY192" s="19">
        <v>0.0</v>
      </c>
      <c r="AZ192" s="19">
        <v>0.0</v>
      </c>
      <c r="BA192" s="19">
        <v>0.0</v>
      </c>
      <c r="BB192" s="19">
        <v>0.0</v>
      </c>
      <c r="BC192" s="19">
        <v>0.0</v>
      </c>
      <c r="BD192" s="19">
        <v>0.0</v>
      </c>
      <c r="BE192" s="13">
        <f t="shared" si="44"/>
        <v>1</v>
      </c>
    </row>
    <row r="193" ht="12.75" customHeight="1">
      <c r="A193" s="18"/>
      <c r="B193" s="55">
        <v>5.0</v>
      </c>
      <c r="C193" s="50" t="s">
        <v>170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1.0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9">
        <v>0.0</v>
      </c>
      <c r="AS193" s="19">
        <v>0.0</v>
      </c>
      <c r="AT193" s="19">
        <v>0.0</v>
      </c>
      <c r="AU193" s="19">
        <v>0.0</v>
      </c>
      <c r="AV193" s="19">
        <v>0.0</v>
      </c>
      <c r="AW193" s="19">
        <v>0.0</v>
      </c>
      <c r="AX193" s="19">
        <v>0.0</v>
      </c>
      <c r="AY193" s="19">
        <v>0.0</v>
      </c>
      <c r="AZ193" s="19">
        <v>0.0</v>
      </c>
      <c r="BA193" s="19">
        <v>0.0</v>
      </c>
      <c r="BB193" s="19">
        <v>0.0</v>
      </c>
      <c r="BC193" s="19">
        <v>0.0</v>
      </c>
      <c r="BD193" s="19">
        <v>0.0</v>
      </c>
      <c r="BE193" s="13">
        <f t="shared" si="44"/>
        <v>1</v>
      </c>
    </row>
    <row r="194" ht="12.75" customHeight="1">
      <c r="A194" s="18"/>
      <c r="B194" s="55">
        <v>6.0</v>
      </c>
      <c r="C194" s="50" t="s">
        <v>171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0.0</v>
      </c>
      <c r="AN194" s="19">
        <v>0.0</v>
      </c>
      <c r="AO194" s="19">
        <v>0.0</v>
      </c>
      <c r="AP194" s="19">
        <v>0.0</v>
      </c>
      <c r="AQ194" s="19">
        <v>0.0</v>
      </c>
      <c r="AR194" s="19">
        <v>0.0</v>
      </c>
      <c r="AS194" s="19">
        <v>0.0</v>
      </c>
      <c r="AT194" s="19">
        <v>0.0</v>
      </c>
      <c r="AU194" s="19">
        <v>0.0</v>
      </c>
      <c r="AV194" s="19">
        <v>0.0</v>
      </c>
      <c r="AW194" s="19">
        <v>0.0</v>
      </c>
      <c r="AX194" s="19">
        <v>0.0</v>
      </c>
      <c r="AY194" s="19">
        <v>0.0</v>
      </c>
      <c r="AZ194" s="19">
        <v>0.0</v>
      </c>
      <c r="BA194" s="19">
        <v>0.0</v>
      </c>
      <c r="BB194" s="19">
        <v>0.0</v>
      </c>
      <c r="BC194" s="19">
        <v>0.0</v>
      </c>
      <c r="BD194" s="19">
        <v>0.0</v>
      </c>
      <c r="BE194" s="13">
        <f t="shared" si="44"/>
        <v>0</v>
      </c>
    </row>
    <row r="195" ht="12.75" customHeight="1">
      <c r="A195" s="18"/>
      <c r="B195" s="55">
        <v>7.0</v>
      </c>
      <c r="C195" s="50" t="s">
        <v>172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1.0</v>
      </c>
      <c r="J195" s="19">
        <v>0.0</v>
      </c>
      <c r="K195" s="19">
        <v>0.0</v>
      </c>
      <c r="L195" s="19">
        <v>2.0</v>
      </c>
      <c r="M195" s="19">
        <v>0.0</v>
      </c>
      <c r="N195" s="19">
        <v>0.0</v>
      </c>
      <c r="O195" s="19">
        <v>1.0</v>
      </c>
      <c r="P195" s="19">
        <v>0.0</v>
      </c>
      <c r="Q195" s="19">
        <v>0.0</v>
      </c>
      <c r="R195" s="19">
        <v>1.0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0.0</v>
      </c>
      <c r="AN195" s="19">
        <v>3.0</v>
      </c>
      <c r="AO195" s="19">
        <v>0.0</v>
      </c>
      <c r="AP195" s="19">
        <v>0.0</v>
      </c>
      <c r="AQ195" s="19">
        <v>0.0</v>
      </c>
      <c r="AR195" s="19">
        <v>0.0</v>
      </c>
      <c r="AS195" s="19">
        <v>0.0</v>
      </c>
      <c r="AT195" s="19">
        <v>1.0</v>
      </c>
      <c r="AU195" s="19">
        <v>0.0</v>
      </c>
      <c r="AV195" s="19">
        <v>0.0</v>
      </c>
      <c r="AW195" s="19">
        <v>0.0</v>
      </c>
      <c r="AX195" s="19">
        <v>0.0</v>
      </c>
      <c r="AY195" s="19">
        <v>0.0</v>
      </c>
      <c r="AZ195" s="19">
        <v>0.0</v>
      </c>
      <c r="BA195" s="19">
        <v>0.0</v>
      </c>
      <c r="BB195" s="19">
        <v>0.0</v>
      </c>
      <c r="BC195" s="19">
        <v>0.0</v>
      </c>
      <c r="BD195" s="19">
        <v>1.0</v>
      </c>
      <c r="BE195" s="13">
        <f t="shared" si="44"/>
        <v>10</v>
      </c>
    </row>
    <row r="196" ht="12.75" customHeight="1">
      <c r="A196" s="19" t="s">
        <v>15</v>
      </c>
      <c r="B196" s="47" t="s">
        <v>47</v>
      </c>
      <c r="C196" s="15"/>
      <c r="D196" s="16"/>
      <c r="E196" s="13">
        <f t="shared" ref="E196:BE196" si="45">SUM(E188:E195)</f>
        <v>1</v>
      </c>
      <c r="F196" s="13">
        <f t="shared" si="45"/>
        <v>0</v>
      </c>
      <c r="G196" s="13">
        <f t="shared" si="45"/>
        <v>0</v>
      </c>
      <c r="H196" s="13">
        <f t="shared" si="45"/>
        <v>0</v>
      </c>
      <c r="I196" s="13">
        <f t="shared" si="45"/>
        <v>2</v>
      </c>
      <c r="J196" s="13">
        <f t="shared" si="45"/>
        <v>0</v>
      </c>
      <c r="K196" s="13">
        <f t="shared" si="45"/>
        <v>0</v>
      </c>
      <c r="L196" s="13">
        <f t="shared" si="45"/>
        <v>4</v>
      </c>
      <c r="M196" s="13">
        <f t="shared" si="45"/>
        <v>0</v>
      </c>
      <c r="N196" s="13">
        <f t="shared" si="45"/>
        <v>1</v>
      </c>
      <c r="O196" s="13">
        <f t="shared" si="45"/>
        <v>1</v>
      </c>
      <c r="P196" s="13">
        <f t="shared" si="45"/>
        <v>1</v>
      </c>
      <c r="Q196" s="13">
        <f t="shared" si="45"/>
        <v>0</v>
      </c>
      <c r="R196" s="13">
        <f t="shared" si="45"/>
        <v>3</v>
      </c>
      <c r="S196" s="13">
        <f t="shared" si="45"/>
        <v>0</v>
      </c>
      <c r="T196" s="13">
        <f t="shared" si="45"/>
        <v>0</v>
      </c>
      <c r="U196" s="13">
        <f t="shared" si="45"/>
        <v>1</v>
      </c>
      <c r="V196" s="13">
        <f t="shared" si="45"/>
        <v>0</v>
      </c>
      <c r="W196" s="13">
        <f t="shared" si="45"/>
        <v>0</v>
      </c>
      <c r="X196" s="13">
        <f t="shared" si="45"/>
        <v>0</v>
      </c>
      <c r="Y196" s="13">
        <f t="shared" si="45"/>
        <v>0</v>
      </c>
      <c r="Z196" s="13">
        <f t="shared" si="45"/>
        <v>0</v>
      </c>
      <c r="AA196" s="13">
        <f t="shared" si="45"/>
        <v>0</v>
      </c>
      <c r="AB196" s="13">
        <f t="shared" si="45"/>
        <v>0</v>
      </c>
      <c r="AC196" s="13">
        <f t="shared" si="45"/>
        <v>0</v>
      </c>
      <c r="AD196" s="13">
        <f t="shared" si="45"/>
        <v>0</v>
      </c>
      <c r="AE196" s="13">
        <f t="shared" si="45"/>
        <v>0</v>
      </c>
      <c r="AF196" s="13">
        <f t="shared" si="45"/>
        <v>0</v>
      </c>
      <c r="AG196" s="13">
        <f t="shared" si="45"/>
        <v>0</v>
      </c>
      <c r="AH196" s="13">
        <f t="shared" si="45"/>
        <v>0</v>
      </c>
      <c r="AI196" s="13">
        <f t="shared" si="45"/>
        <v>0</v>
      </c>
      <c r="AJ196" s="13">
        <f t="shared" si="45"/>
        <v>0</v>
      </c>
      <c r="AK196" s="13">
        <f t="shared" si="45"/>
        <v>0</v>
      </c>
      <c r="AL196" s="13">
        <f t="shared" si="45"/>
        <v>0</v>
      </c>
      <c r="AM196" s="13">
        <f t="shared" si="45"/>
        <v>0</v>
      </c>
      <c r="AN196" s="13">
        <f t="shared" si="45"/>
        <v>3</v>
      </c>
      <c r="AO196" s="13">
        <f t="shared" si="45"/>
        <v>1</v>
      </c>
      <c r="AP196" s="13">
        <f t="shared" si="45"/>
        <v>0</v>
      </c>
      <c r="AQ196" s="13">
        <f t="shared" si="45"/>
        <v>0</v>
      </c>
      <c r="AR196" s="13">
        <f t="shared" si="45"/>
        <v>0</v>
      </c>
      <c r="AS196" s="13">
        <f t="shared" si="45"/>
        <v>0</v>
      </c>
      <c r="AT196" s="13">
        <f t="shared" si="45"/>
        <v>1</v>
      </c>
      <c r="AU196" s="13">
        <f t="shared" si="45"/>
        <v>1</v>
      </c>
      <c r="AV196" s="13">
        <f t="shared" si="45"/>
        <v>0</v>
      </c>
      <c r="AW196" s="13">
        <f t="shared" si="45"/>
        <v>1</v>
      </c>
      <c r="AX196" s="13">
        <f t="shared" si="45"/>
        <v>2</v>
      </c>
      <c r="AY196" s="13">
        <f t="shared" si="45"/>
        <v>1</v>
      </c>
      <c r="AZ196" s="13">
        <f t="shared" si="45"/>
        <v>0</v>
      </c>
      <c r="BA196" s="13">
        <f t="shared" si="45"/>
        <v>0</v>
      </c>
      <c r="BB196" s="13">
        <f t="shared" si="45"/>
        <v>0</v>
      </c>
      <c r="BC196" s="13">
        <f t="shared" si="45"/>
        <v>0</v>
      </c>
      <c r="BD196" s="13">
        <f t="shared" si="45"/>
        <v>1</v>
      </c>
      <c r="BE196" s="13">
        <f t="shared" si="45"/>
        <v>25</v>
      </c>
    </row>
    <row r="197" ht="12.75" customHeight="1">
      <c r="A197" s="24"/>
      <c r="B197" s="15"/>
      <c r="C197" s="15"/>
      <c r="D197" s="15"/>
      <c r="E197" s="16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</row>
    <row r="198" ht="12.75" customHeight="1">
      <c r="A198" s="30" t="s">
        <v>37</v>
      </c>
      <c r="B198" s="47" t="s">
        <v>173</v>
      </c>
      <c r="C198" s="48" t="s">
        <v>174</v>
      </c>
      <c r="D198" s="16"/>
      <c r="E198" s="19">
        <v>0.0</v>
      </c>
      <c r="F198" s="19">
        <v>1.0</v>
      </c>
      <c r="G198" s="19">
        <v>0.0</v>
      </c>
      <c r="H198" s="19">
        <v>0.0</v>
      </c>
      <c r="I198" s="19">
        <v>1.0</v>
      </c>
      <c r="J198" s="19">
        <v>0.0</v>
      </c>
      <c r="K198" s="19">
        <v>2.0</v>
      </c>
      <c r="L198" s="19">
        <v>1.0</v>
      </c>
      <c r="M198" s="19">
        <v>0.0</v>
      </c>
      <c r="N198" s="19">
        <v>0.0</v>
      </c>
      <c r="O198" s="19">
        <v>0.0</v>
      </c>
      <c r="P198" s="19">
        <v>0.0</v>
      </c>
      <c r="Q198" s="19">
        <v>0.0</v>
      </c>
      <c r="R198" s="19">
        <v>0.0</v>
      </c>
      <c r="S198" s="19">
        <v>0.0</v>
      </c>
      <c r="T198" s="19">
        <v>0.0</v>
      </c>
      <c r="U198" s="19">
        <v>0.0</v>
      </c>
      <c r="V198" s="19">
        <v>1.0</v>
      </c>
      <c r="W198" s="19">
        <v>0.0</v>
      </c>
      <c r="X198" s="19">
        <v>0.0</v>
      </c>
      <c r="Y198" s="19">
        <v>0.0</v>
      </c>
      <c r="Z198" s="19">
        <v>0.0</v>
      </c>
      <c r="AA198" s="19">
        <v>0.0</v>
      </c>
      <c r="AB198" s="19">
        <v>0.0</v>
      </c>
      <c r="AC198" s="19">
        <v>0.0</v>
      </c>
      <c r="AD198" s="19">
        <v>1.0</v>
      </c>
      <c r="AE198" s="19">
        <v>0.0</v>
      </c>
      <c r="AF198" s="19">
        <v>0.0</v>
      </c>
      <c r="AG198" s="19">
        <v>1.0</v>
      </c>
      <c r="AH198" s="19">
        <v>1.0</v>
      </c>
      <c r="AI198" s="19">
        <v>1.0</v>
      </c>
      <c r="AJ198" s="19">
        <v>2.0</v>
      </c>
      <c r="AK198" s="19">
        <v>0.0</v>
      </c>
      <c r="AL198" s="19">
        <v>1.0</v>
      </c>
      <c r="AM198" s="19">
        <v>0.0</v>
      </c>
      <c r="AN198" s="19">
        <v>0.0</v>
      </c>
      <c r="AO198" s="19">
        <v>1.0</v>
      </c>
      <c r="AP198" s="19">
        <v>0.0</v>
      </c>
      <c r="AQ198" s="19">
        <v>0.0</v>
      </c>
      <c r="AR198" s="19">
        <v>0.0</v>
      </c>
      <c r="AS198" s="19">
        <v>0.0</v>
      </c>
      <c r="AT198" s="19">
        <v>1.0</v>
      </c>
      <c r="AU198" s="19">
        <v>1.0</v>
      </c>
      <c r="AV198" s="19">
        <v>3.0</v>
      </c>
      <c r="AW198" s="19">
        <v>0.0</v>
      </c>
      <c r="AX198" s="19"/>
      <c r="AY198" s="19">
        <v>1.0</v>
      </c>
      <c r="AZ198" s="19"/>
      <c r="BA198" s="19">
        <v>1.0</v>
      </c>
      <c r="BB198" s="19"/>
      <c r="BC198" s="19">
        <v>1.0</v>
      </c>
      <c r="BD198" s="19"/>
      <c r="BE198" s="13">
        <f t="shared" ref="BE198:BE205" si="46">SUM(E198:BD198)</f>
        <v>22</v>
      </c>
    </row>
    <row r="199" ht="12.75" customHeight="1">
      <c r="A199" s="30" t="s">
        <v>39</v>
      </c>
      <c r="B199" s="55">
        <v>1.0</v>
      </c>
      <c r="C199" s="50" t="s">
        <v>175</v>
      </c>
      <c r="D199" s="57"/>
      <c r="E199" s="19">
        <v>1.0</v>
      </c>
      <c r="F199" s="19">
        <v>1.0</v>
      </c>
      <c r="G199" s="19">
        <v>0.0</v>
      </c>
      <c r="H199" s="19">
        <v>0.0</v>
      </c>
      <c r="I199" s="19">
        <v>0.0</v>
      </c>
      <c r="J199" s="19">
        <v>0.0</v>
      </c>
      <c r="K199" s="19">
        <v>0.0</v>
      </c>
      <c r="L199" s="19">
        <v>1.0</v>
      </c>
      <c r="M199" s="19">
        <v>0.0</v>
      </c>
      <c r="N199" s="19">
        <v>0.0</v>
      </c>
      <c r="O199" s="19">
        <v>0.0</v>
      </c>
      <c r="P199" s="19">
        <v>0.0</v>
      </c>
      <c r="Q199" s="19">
        <v>0.0</v>
      </c>
      <c r="R199" s="19">
        <v>0.0</v>
      </c>
      <c r="S199" s="19">
        <v>0.0</v>
      </c>
      <c r="T199" s="19">
        <v>0.0</v>
      </c>
      <c r="U199" s="19">
        <v>0.0</v>
      </c>
      <c r="V199" s="19">
        <v>0.0</v>
      </c>
      <c r="W199" s="19">
        <v>0.0</v>
      </c>
      <c r="X199" s="19">
        <v>0.0</v>
      </c>
      <c r="Y199" s="19">
        <v>0.0</v>
      </c>
      <c r="Z199" s="19">
        <v>1.0</v>
      </c>
      <c r="AA199" s="19">
        <v>0.0</v>
      </c>
      <c r="AB199" s="19">
        <v>0.0</v>
      </c>
      <c r="AC199" s="19">
        <v>1.0</v>
      </c>
      <c r="AD199" s="19">
        <v>1.0</v>
      </c>
      <c r="AE199" s="19">
        <v>0.0</v>
      </c>
      <c r="AF199" s="19">
        <v>0.0</v>
      </c>
      <c r="AG199" s="19">
        <v>1.0</v>
      </c>
      <c r="AH199" s="19">
        <v>2.0</v>
      </c>
      <c r="AI199" s="19">
        <v>0.0</v>
      </c>
      <c r="AJ199" s="19">
        <v>0.0</v>
      </c>
      <c r="AK199" s="19">
        <v>0.0</v>
      </c>
      <c r="AL199" s="19">
        <v>0.0</v>
      </c>
      <c r="AM199" s="19">
        <v>0.0</v>
      </c>
      <c r="AN199" s="19">
        <v>1.0</v>
      </c>
      <c r="AO199" s="19">
        <v>1.0</v>
      </c>
      <c r="AP199" s="19">
        <v>0.0</v>
      </c>
      <c r="AQ199" s="19">
        <v>0.0</v>
      </c>
      <c r="AR199" s="19">
        <v>0.0</v>
      </c>
      <c r="AS199" s="19">
        <v>1.0</v>
      </c>
      <c r="AT199" s="19">
        <v>1.0</v>
      </c>
      <c r="AU199" s="19">
        <v>0.0</v>
      </c>
      <c r="AV199" s="19">
        <v>0.0</v>
      </c>
      <c r="AW199" s="19">
        <v>1.0</v>
      </c>
      <c r="AX199" s="19"/>
      <c r="AY199" s="19">
        <v>1.0</v>
      </c>
      <c r="AZ199" s="19"/>
      <c r="BA199" s="19"/>
      <c r="BB199" s="19"/>
      <c r="BC199" s="19"/>
      <c r="BD199" s="19">
        <v>1.0</v>
      </c>
      <c r="BE199" s="13">
        <f t="shared" si="46"/>
        <v>16</v>
      </c>
    </row>
    <row r="200" ht="12.75" customHeight="1">
      <c r="A200" s="18"/>
      <c r="B200" s="55">
        <v>2.0</v>
      </c>
      <c r="C200" s="50" t="s">
        <v>176</v>
      </c>
      <c r="D200" s="57"/>
      <c r="E200" s="19">
        <v>0.0</v>
      </c>
      <c r="F200" s="19">
        <v>1.0</v>
      </c>
      <c r="G200" s="19">
        <v>3.0</v>
      </c>
      <c r="H200" s="19">
        <v>4.0</v>
      </c>
      <c r="I200" s="19">
        <v>2.0</v>
      </c>
      <c r="J200" s="19">
        <v>0.0</v>
      </c>
      <c r="K200" s="19">
        <v>0.0</v>
      </c>
      <c r="L200" s="19">
        <v>0.0</v>
      </c>
      <c r="M200" s="19">
        <v>0.0</v>
      </c>
      <c r="N200" s="19">
        <v>0.0</v>
      </c>
      <c r="O200" s="19">
        <v>1.0</v>
      </c>
      <c r="P200" s="19">
        <v>2.0</v>
      </c>
      <c r="Q200" s="19">
        <v>2.0</v>
      </c>
      <c r="R200" s="19">
        <v>0.0</v>
      </c>
      <c r="S200" s="19">
        <v>0.0</v>
      </c>
      <c r="T200" s="19">
        <v>0.0</v>
      </c>
      <c r="U200" s="19">
        <v>0.0</v>
      </c>
      <c r="V200" s="19">
        <v>0.0</v>
      </c>
      <c r="W200" s="19">
        <v>1.0</v>
      </c>
      <c r="X200" s="19">
        <v>0.0</v>
      </c>
      <c r="Y200" s="19">
        <v>1.0</v>
      </c>
      <c r="Z200" s="19">
        <v>0.0</v>
      </c>
      <c r="AA200" s="19">
        <v>1.0</v>
      </c>
      <c r="AB200" s="19">
        <v>0.0</v>
      </c>
      <c r="AC200" s="19">
        <v>0.0</v>
      </c>
      <c r="AD200" s="19">
        <v>0.0</v>
      </c>
      <c r="AE200" s="19">
        <v>7.0</v>
      </c>
      <c r="AF200" s="19">
        <v>3.0</v>
      </c>
      <c r="AG200" s="19">
        <v>0.0</v>
      </c>
      <c r="AH200" s="19">
        <v>41.0</v>
      </c>
      <c r="AI200" s="19">
        <v>1.0</v>
      </c>
      <c r="AJ200" s="19">
        <v>0.0</v>
      </c>
      <c r="AK200" s="19">
        <v>0.0</v>
      </c>
      <c r="AL200" s="19">
        <v>0.0</v>
      </c>
      <c r="AM200" s="19">
        <v>0.0</v>
      </c>
      <c r="AN200" s="19">
        <v>0.0</v>
      </c>
      <c r="AO200" s="19">
        <v>1.0</v>
      </c>
      <c r="AP200" s="19">
        <v>0.0</v>
      </c>
      <c r="AQ200" s="19">
        <v>0.0</v>
      </c>
      <c r="AR200" s="19">
        <v>1.0</v>
      </c>
      <c r="AS200" s="19">
        <v>0.0</v>
      </c>
      <c r="AT200" s="19">
        <v>3.0</v>
      </c>
      <c r="AU200" s="19">
        <v>1.0</v>
      </c>
      <c r="AV200" s="19">
        <v>1.0</v>
      </c>
      <c r="AW200" s="19">
        <v>2.0</v>
      </c>
      <c r="AX200" s="19"/>
      <c r="AY200" s="19">
        <v>1.0</v>
      </c>
      <c r="AZ200" s="19">
        <v>1.0</v>
      </c>
      <c r="BA200" s="19"/>
      <c r="BB200" s="19"/>
      <c r="BC200" s="19"/>
      <c r="BD200" s="19"/>
      <c r="BE200" s="13">
        <f t="shared" si="46"/>
        <v>81</v>
      </c>
    </row>
    <row r="201" ht="12.75" customHeight="1">
      <c r="A201" s="18"/>
      <c r="B201" s="55">
        <v>3.0</v>
      </c>
      <c r="C201" s="50" t="s">
        <v>177</v>
      </c>
      <c r="D201" s="57"/>
      <c r="E201" s="19">
        <v>0.0</v>
      </c>
      <c r="F201" s="19">
        <v>1.0</v>
      </c>
      <c r="G201" s="19">
        <v>0.0</v>
      </c>
      <c r="H201" s="19">
        <v>0.0</v>
      </c>
      <c r="I201" s="19">
        <v>0.0</v>
      </c>
      <c r="J201" s="19">
        <v>0.0</v>
      </c>
      <c r="K201" s="19">
        <v>0.0</v>
      </c>
      <c r="L201" s="19">
        <v>0.0</v>
      </c>
      <c r="M201" s="19">
        <v>0.0</v>
      </c>
      <c r="N201" s="19">
        <v>0.0</v>
      </c>
      <c r="O201" s="19">
        <v>0.0</v>
      </c>
      <c r="P201" s="19">
        <v>0.0</v>
      </c>
      <c r="Q201" s="19">
        <v>0.0</v>
      </c>
      <c r="R201" s="19">
        <v>0.0</v>
      </c>
      <c r="S201" s="19">
        <v>1.0</v>
      </c>
      <c r="T201" s="19">
        <v>0.0</v>
      </c>
      <c r="U201" s="19">
        <v>0.0</v>
      </c>
      <c r="V201" s="19">
        <v>0.0</v>
      </c>
      <c r="W201" s="19">
        <v>0.0</v>
      </c>
      <c r="X201" s="19">
        <v>0.0</v>
      </c>
      <c r="Y201" s="19">
        <v>1.0</v>
      </c>
      <c r="Z201" s="19">
        <v>0.0</v>
      </c>
      <c r="AA201" s="19">
        <v>0.0</v>
      </c>
      <c r="AB201" s="19">
        <v>0.0</v>
      </c>
      <c r="AC201" s="19">
        <v>0.0</v>
      </c>
      <c r="AD201" s="19">
        <v>0.0</v>
      </c>
      <c r="AE201" s="19">
        <v>0.0</v>
      </c>
      <c r="AF201" s="19">
        <v>1.0</v>
      </c>
      <c r="AG201" s="19">
        <v>0.0</v>
      </c>
      <c r="AH201" s="19">
        <v>1.0</v>
      </c>
      <c r="AI201" s="19">
        <v>1.0</v>
      </c>
      <c r="AJ201" s="19">
        <v>0.0</v>
      </c>
      <c r="AK201" s="19">
        <v>0.0</v>
      </c>
      <c r="AL201" s="19">
        <v>1.0</v>
      </c>
      <c r="AM201" s="19">
        <v>0.0</v>
      </c>
      <c r="AN201" s="19">
        <v>0.0</v>
      </c>
      <c r="AO201" s="19">
        <v>0.0</v>
      </c>
      <c r="AP201" s="19">
        <v>0.0</v>
      </c>
      <c r="AQ201" s="19">
        <v>0.0</v>
      </c>
      <c r="AR201" s="19">
        <v>2.0</v>
      </c>
      <c r="AS201" s="19">
        <v>0.0</v>
      </c>
      <c r="AT201" s="19">
        <v>0.0</v>
      </c>
      <c r="AU201" s="19">
        <v>1.0</v>
      </c>
      <c r="AV201" s="19">
        <v>0.0</v>
      </c>
      <c r="AW201" s="19">
        <v>1.0</v>
      </c>
      <c r="AX201" s="19">
        <v>1.0</v>
      </c>
      <c r="AY201" s="19">
        <v>2.0</v>
      </c>
      <c r="AZ201" s="19"/>
      <c r="BA201" s="19"/>
      <c r="BB201" s="19"/>
      <c r="BC201" s="19"/>
      <c r="BD201" s="19"/>
      <c r="BE201" s="13">
        <f t="shared" si="46"/>
        <v>14</v>
      </c>
    </row>
    <row r="202" ht="12.75" customHeight="1">
      <c r="A202" s="18"/>
      <c r="B202" s="55">
        <v>4.0</v>
      </c>
      <c r="C202" s="50" t="s">
        <v>178</v>
      </c>
      <c r="D202" s="57"/>
      <c r="E202" s="19">
        <v>0.0</v>
      </c>
      <c r="F202" s="19">
        <v>0.0</v>
      </c>
      <c r="G202" s="19">
        <v>0.0</v>
      </c>
      <c r="H202" s="19">
        <v>1.0</v>
      </c>
      <c r="I202" s="19">
        <v>0.0</v>
      </c>
      <c r="J202" s="19">
        <v>0.0</v>
      </c>
      <c r="K202" s="19">
        <v>0.0</v>
      </c>
      <c r="L202" s="19">
        <v>0.0</v>
      </c>
      <c r="M202" s="19">
        <v>0.0</v>
      </c>
      <c r="N202" s="19">
        <v>0.0</v>
      </c>
      <c r="O202" s="19">
        <v>0.0</v>
      </c>
      <c r="P202" s="19">
        <v>0.0</v>
      </c>
      <c r="Q202" s="19">
        <v>0.0</v>
      </c>
      <c r="R202" s="19">
        <v>0.0</v>
      </c>
      <c r="S202" s="19">
        <v>0.0</v>
      </c>
      <c r="T202" s="19">
        <v>0.0</v>
      </c>
      <c r="U202" s="19">
        <v>0.0</v>
      </c>
      <c r="V202" s="19">
        <v>0.0</v>
      </c>
      <c r="W202" s="19">
        <v>0.0</v>
      </c>
      <c r="X202" s="19">
        <v>0.0</v>
      </c>
      <c r="Y202" s="19">
        <v>0.0</v>
      </c>
      <c r="Z202" s="19">
        <v>0.0</v>
      </c>
      <c r="AA202" s="19">
        <v>0.0</v>
      </c>
      <c r="AB202" s="19">
        <v>0.0</v>
      </c>
      <c r="AC202" s="19">
        <v>1.0</v>
      </c>
      <c r="AD202" s="19">
        <v>2.0</v>
      </c>
      <c r="AE202" s="19">
        <v>0.0</v>
      </c>
      <c r="AF202" s="19">
        <v>1.0</v>
      </c>
      <c r="AG202" s="19">
        <v>0.0</v>
      </c>
      <c r="AH202" s="19">
        <v>0.0</v>
      </c>
      <c r="AI202" s="19">
        <v>0.0</v>
      </c>
      <c r="AJ202" s="19">
        <v>2.0</v>
      </c>
      <c r="AK202" s="19">
        <v>0.0</v>
      </c>
      <c r="AL202" s="19">
        <v>0.0</v>
      </c>
      <c r="AM202" s="19">
        <v>0.0</v>
      </c>
      <c r="AN202" s="19">
        <v>0.0</v>
      </c>
      <c r="AO202" s="19">
        <v>0.0</v>
      </c>
      <c r="AP202" s="19">
        <v>1.0</v>
      </c>
      <c r="AQ202" s="19">
        <v>0.0</v>
      </c>
      <c r="AR202" s="19">
        <v>0.0</v>
      </c>
      <c r="AS202" s="19">
        <v>0.0</v>
      </c>
      <c r="AT202" s="19">
        <v>0.0</v>
      </c>
      <c r="AU202" s="19">
        <v>0.0</v>
      </c>
      <c r="AV202" s="19">
        <v>0.0</v>
      </c>
      <c r="AW202" s="19">
        <v>0.0</v>
      </c>
      <c r="AX202" s="19"/>
      <c r="AY202" s="19"/>
      <c r="AZ202" s="19"/>
      <c r="BA202" s="19">
        <v>1.0</v>
      </c>
      <c r="BB202" s="19"/>
      <c r="BC202" s="19"/>
      <c r="BD202" s="19"/>
      <c r="BE202" s="13">
        <f t="shared" si="46"/>
        <v>9</v>
      </c>
    </row>
    <row r="203" ht="12.75" customHeight="1">
      <c r="A203" s="18"/>
      <c r="B203" s="55">
        <v>5.0</v>
      </c>
      <c r="C203" s="50" t="s">
        <v>179</v>
      </c>
      <c r="D203" s="57"/>
      <c r="E203" s="19">
        <v>0.0</v>
      </c>
      <c r="F203" s="19">
        <v>0.0</v>
      </c>
      <c r="G203" s="19">
        <v>0.0</v>
      </c>
      <c r="H203" s="19">
        <v>0.0</v>
      </c>
      <c r="I203" s="19">
        <v>0.0</v>
      </c>
      <c r="J203" s="19">
        <v>0.0</v>
      </c>
      <c r="K203" s="19">
        <v>0.0</v>
      </c>
      <c r="L203" s="19">
        <v>0.0</v>
      </c>
      <c r="M203" s="19">
        <v>0.0</v>
      </c>
      <c r="N203" s="19">
        <v>0.0</v>
      </c>
      <c r="O203" s="19">
        <v>0.0</v>
      </c>
      <c r="P203" s="19">
        <v>0.0</v>
      </c>
      <c r="Q203" s="19">
        <v>0.0</v>
      </c>
      <c r="R203" s="19">
        <v>0.0</v>
      </c>
      <c r="S203" s="19">
        <v>0.0</v>
      </c>
      <c r="T203" s="19">
        <v>0.0</v>
      </c>
      <c r="U203" s="19">
        <v>1.0</v>
      </c>
      <c r="V203" s="19">
        <v>0.0</v>
      </c>
      <c r="W203" s="19">
        <v>0.0</v>
      </c>
      <c r="X203" s="19">
        <v>0.0</v>
      </c>
      <c r="Y203" s="19">
        <v>0.0</v>
      </c>
      <c r="Z203" s="19">
        <v>0.0</v>
      </c>
      <c r="AA203" s="19">
        <v>0.0</v>
      </c>
      <c r="AB203" s="19">
        <v>0.0</v>
      </c>
      <c r="AC203" s="19">
        <v>0.0</v>
      </c>
      <c r="AD203" s="19">
        <v>0.0</v>
      </c>
      <c r="AE203" s="19">
        <v>0.0</v>
      </c>
      <c r="AF203" s="19">
        <v>0.0</v>
      </c>
      <c r="AG203" s="19">
        <v>0.0</v>
      </c>
      <c r="AH203" s="19">
        <v>0.0</v>
      </c>
      <c r="AI203" s="19">
        <v>0.0</v>
      </c>
      <c r="AJ203" s="19">
        <v>0.0</v>
      </c>
      <c r="AK203" s="19">
        <v>0.0</v>
      </c>
      <c r="AL203" s="19">
        <v>0.0</v>
      </c>
      <c r="AM203" s="19">
        <v>0.0</v>
      </c>
      <c r="AN203" s="19">
        <v>0.0</v>
      </c>
      <c r="AO203" s="19">
        <v>0.0</v>
      </c>
      <c r="AP203" s="19">
        <v>0.0</v>
      </c>
      <c r="AQ203" s="19">
        <v>0.0</v>
      </c>
      <c r="AR203" s="19">
        <v>0.0</v>
      </c>
      <c r="AS203" s="19">
        <v>0.0</v>
      </c>
      <c r="AT203" s="19">
        <v>0.0</v>
      </c>
      <c r="AU203" s="19">
        <v>0.0</v>
      </c>
      <c r="AV203" s="19">
        <v>0.0</v>
      </c>
      <c r="AW203" s="19">
        <v>0.0</v>
      </c>
      <c r="AX203" s="19"/>
      <c r="AY203" s="19"/>
      <c r="AZ203" s="19"/>
      <c r="BA203" s="19"/>
      <c r="BB203" s="19"/>
      <c r="BC203" s="19"/>
      <c r="BD203" s="19"/>
      <c r="BE203" s="13">
        <f t="shared" si="46"/>
        <v>1</v>
      </c>
    </row>
    <row r="204" ht="12.75" customHeight="1">
      <c r="A204" s="18"/>
      <c r="B204" s="55">
        <v>6.0</v>
      </c>
      <c r="C204" s="50" t="s">
        <v>180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1.0</v>
      </c>
      <c r="S204" s="19">
        <v>0.0</v>
      </c>
      <c r="T204" s="19">
        <v>0.0</v>
      </c>
      <c r="U204" s="19">
        <v>0.0</v>
      </c>
      <c r="V204" s="19">
        <v>0.0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0.0</v>
      </c>
      <c r="AB204" s="19">
        <v>0.0</v>
      </c>
      <c r="AC204" s="19">
        <v>0.0</v>
      </c>
      <c r="AD204" s="19">
        <v>0.0</v>
      </c>
      <c r="AE204" s="19">
        <v>0.0</v>
      </c>
      <c r="AF204" s="19">
        <v>0.0</v>
      </c>
      <c r="AG204" s="19">
        <v>0.0</v>
      </c>
      <c r="AH204" s="19">
        <v>0.0</v>
      </c>
      <c r="AI204" s="19">
        <v>0.0</v>
      </c>
      <c r="AJ204" s="19">
        <v>0.0</v>
      </c>
      <c r="AK204" s="19">
        <v>0.0</v>
      </c>
      <c r="AL204" s="19">
        <v>0.0</v>
      </c>
      <c r="AM204" s="19">
        <v>0.0</v>
      </c>
      <c r="AN204" s="19">
        <v>0.0</v>
      </c>
      <c r="AO204" s="19">
        <v>0.0</v>
      </c>
      <c r="AP204" s="19">
        <v>0.0</v>
      </c>
      <c r="AQ204" s="19">
        <v>0.0</v>
      </c>
      <c r="AR204" s="19">
        <v>0.0</v>
      </c>
      <c r="AS204" s="19">
        <v>0.0</v>
      </c>
      <c r="AT204" s="19">
        <v>0.0</v>
      </c>
      <c r="AU204" s="19">
        <v>0.0</v>
      </c>
      <c r="AV204" s="19">
        <v>0.0</v>
      </c>
      <c r="AW204" s="19">
        <v>0.0</v>
      </c>
      <c r="AX204" s="19"/>
      <c r="AY204" s="19"/>
      <c r="AZ204" s="19"/>
      <c r="BA204" s="19"/>
      <c r="BB204" s="19"/>
      <c r="BC204" s="19"/>
      <c r="BD204" s="19"/>
      <c r="BE204" s="13">
        <f t="shared" si="46"/>
        <v>1</v>
      </c>
    </row>
    <row r="205" ht="12.75" customHeight="1">
      <c r="A205" s="18"/>
      <c r="B205" s="55">
        <v>7.0</v>
      </c>
      <c r="C205" s="50" t="s">
        <v>181</v>
      </c>
      <c r="D205" s="57"/>
      <c r="E205" s="19">
        <v>1.0</v>
      </c>
      <c r="F205" s="19">
        <v>1.0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3.0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1.0</v>
      </c>
      <c r="T205" s="19">
        <v>0.0</v>
      </c>
      <c r="U205" s="19">
        <v>0.0</v>
      </c>
      <c r="V205" s="19">
        <v>0.0</v>
      </c>
      <c r="W205" s="19">
        <v>0.0</v>
      </c>
      <c r="X205" s="19">
        <v>0.0</v>
      </c>
      <c r="Y205" s="19">
        <v>1.0</v>
      </c>
      <c r="Z205" s="19">
        <v>0.0</v>
      </c>
      <c r="AA205" s="19">
        <v>0.0</v>
      </c>
      <c r="AB205" s="19">
        <v>0.0</v>
      </c>
      <c r="AC205" s="19">
        <v>0.0</v>
      </c>
      <c r="AD205" s="19">
        <v>0.0</v>
      </c>
      <c r="AE205" s="19">
        <v>0.0</v>
      </c>
      <c r="AF205" s="19">
        <v>0.0</v>
      </c>
      <c r="AG205" s="19">
        <v>0.0</v>
      </c>
      <c r="AH205" s="19">
        <v>0.0</v>
      </c>
      <c r="AI205" s="19">
        <v>0.0</v>
      </c>
      <c r="AJ205" s="19">
        <v>0.0</v>
      </c>
      <c r="AK205" s="19">
        <v>0.0</v>
      </c>
      <c r="AL205" s="19">
        <v>0.0</v>
      </c>
      <c r="AM205" s="19">
        <v>1.0</v>
      </c>
      <c r="AN205" s="19">
        <v>0.0</v>
      </c>
      <c r="AO205" s="19">
        <v>0.0</v>
      </c>
      <c r="AP205" s="19">
        <v>0.0</v>
      </c>
      <c r="AQ205" s="19">
        <v>1.0</v>
      </c>
      <c r="AR205" s="19">
        <v>0.0</v>
      </c>
      <c r="AS205" s="19">
        <v>9.0</v>
      </c>
      <c r="AT205" s="19">
        <v>0.0</v>
      </c>
      <c r="AU205" s="19">
        <v>7.0</v>
      </c>
      <c r="AV205" s="19">
        <v>1.0</v>
      </c>
      <c r="AW205" s="19">
        <v>0.0</v>
      </c>
      <c r="AX205" s="19"/>
      <c r="AY205" s="19"/>
      <c r="AZ205" s="19"/>
      <c r="BA205" s="19"/>
      <c r="BB205" s="19">
        <v>3.0</v>
      </c>
      <c r="BC205" s="19"/>
      <c r="BD205" s="19">
        <v>3.0</v>
      </c>
      <c r="BE205" s="13">
        <f t="shared" si="46"/>
        <v>32</v>
      </c>
    </row>
    <row r="206" ht="12.75" customHeight="1">
      <c r="A206" s="19" t="s">
        <v>15</v>
      </c>
      <c r="B206" s="47" t="s">
        <v>47</v>
      </c>
      <c r="C206" s="15"/>
      <c r="D206" s="16"/>
      <c r="E206" s="13">
        <f t="shared" ref="E206:BE206" si="47">SUM(E198:E205)</f>
        <v>2</v>
      </c>
      <c r="F206" s="13">
        <f t="shared" si="47"/>
        <v>5</v>
      </c>
      <c r="G206" s="13">
        <f t="shared" si="47"/>
        <v>3</v>
      </c>
      <c r="H206" s="13">
        <f t="shared" si="47"/>
        <v>5</v>
      </c>
      <c r="I206" s="13">
        <f t="shared" si="47"/>
        <v>3</v>
      </c>
      <c r="J206" s="13">
        <f t="shared" si="47"/>
        <v>0</v>
      </c>
      <c r="K206" s="13">
        <f t="shared" si="47"/>
        <v>2</v>
      </c>
      <c r="L206" s="13">
        <f t="shared" si="47"/>
        <v>5</v>
      </c>
      <c r="M206" s="13">
        <f t="shared" si="47"/>
        <v>0</v>
      </c>
      <c r="N206" s="13">
        <f t="shared" si="47"/>
        <v>0</v>
      </c>
      <c r="O206" s="13">
        <f t="shared" si="47"/>
        <v>1</v>
      </c>
      <c r="P206" s="13">
        <f t="shared" si="47"/>
        <v>2</v>
      </c>
      <c r="Q206" s="13">
        <f t="shared" si="47"/>
        <v>2</v>
      </c>
      <c r="R206" s="13">
        <f t="shared" si="47"/>
        <v>1</v>
      </c>
      <c r="S206" s="13">
        <f t="shared" si="47"/>
        <v>2</v>
      </c>
      <c r="T206" s="13">
        <f t="shared" si="47"/>
        <v>0</v>
      </c>
      <c r="U206" s="13">
        <f t="shared" si="47"/>
        <v>1</v>
      </c>
      <c r="V206" s="13">
        <f t="shared" si="47"/>
        <v>1</v>
      </c>
      <c r="W206" s="13">
        <f t="shared" si="47"/>
        <v>1</v>
      </c>
      <c r="X206" s="13">
        <f t="shared" si="47"/>
        <v>0</v>
      </c>
      <c r="Y206" s="13">
        <f t="shared" si="47"/>
        <v>3</v>
      </c>
      <c r="Z206" s="13">
        <f t="shared" si="47"/>
        <v>1</v>
      </c>
      <c r="AA206" s="13">
        <f t="shared" si="47"/>
        <v>1</v>
      </c>
      <c r="AB206" s="13">
        <f t="shared" si="47"/>
        <v>0</v>
      </c>
      <c r="AC206" s="13">
        <f t="shared" si="47"/>
        <v>2</v>
      </c>
      <c r="AD206" s="13">
        <f t="shared" si="47"/>
        <v>4</v>
      </c>
      <c r="AE206" s="13">
        <f t="shared" si="47"/>
        <v>7</v>
      </c>
      <c r="AF206" s="13">
        <f t="shared" si="47"/>
        <v>5</v>
      </c>
      <c r="AG206" s="13">
        <f t="shared" si="47"/>
        <v>2</v>
      </c>
      <c r="AH206" s="13">
        <f t="shared" si="47"/>
        <v>45</v>
      </c>
      <c r="AI206" s="13">
        <f t="shared" si="47"/>
        <v>3</v>
      </c>
      <c r="AJ206" s="13">
        <f t="shared" si="47"/>
        <v>4</v>
      </c>
      <c r="AK206" s="13">
        <f t="shared" si="47"/>
        <v>0</v>
      </c>
      <c r="AL206" s="13">
        <f t="shared" si="47"/>
        <v>2</v>
      </c>
      <c r="AM206" s="13">
        <f t="shared" si="47"/>
        <v>1</v>
      </c>
      <c r="AN206" s="13">
        <f t="shared" si="47"/>
        <v>1</v>
      </c>
      <c r="AO206" s="13">
        <f t="shared" si="47"/>
        <v>3</v>
      </c>
      <c r="AP206" s="13">
        <f t="shared" si="47"/>
        <v>1</v>
      </c>
      <c r="AQ206" s="13">
        <f t="shared" si="47"/>
        <v>1</v>
      </c>
      <c r="AR206" s="13">
        <f t="shared" si="47"/>
        <v>3</v>
      </c>
      <c r="AS206" s="13">
        <f t="shared" si="47"/>
        <v>10</v>
      </c>
      <c r="AT206" s="13">
        <f t="shared" si="47"/>
        <v>5</v>
      </c>
      <c r="AU206" s="13">
        <f t="shared" si="47"/>
        <v>10</v>
      </c>
      <c r="AV206" s="13">
        <f t="shared" si="47"/>
        <v>5</v>
      </c>
      <c r="AW206" s="13">
        <f t="shared" si="47"/>
        <v>4</v>
      </c>
      <c r="AX206" s="13">
        <f t="shared" si="47"/>
        <v>1</v>
      </c>
      <c r="AY206" s="13">
        <f t="shared" si="47"/>
        <v>5</v>
      </c>
      <c r="AZ206" s="13">
        <f t="shared" si="47"/>
        <v>1</v>
      </c>
      <c r="BA206" s="13">
        <f t="shared" si="47"/>
        <v>2</v>
      </c>
      <c r="BB206" s="13">
        <f t="shared" si="47"/>
        <v>3</v>
      </c>
      <c r="BC206" s="13">
        <f t="shared" si="47"/>
        <v>1</v>
      </c>
      <c r="BD206" s="13">
        <f t="shared" si="47"/>
        <v>4</v>
      </c>
      <c r="BE206" s="13">
        <f t="shared" si="47"/>
        <v>176</v>
      </c>
    </row>
    <row r="207" ht="12.75" customHeight="1">
      <c r="A207" s="24"/>
      <c r="B207" s="15"/>
      <c r="C207" s="15"/>
      <c r="D207" s="15"/>
      <c r="E207" s="16"/>
    </row>
    <row r="208" ht="12.75" customHeight="1">
      <c r="A208" s="30" t="s">
        <v>37</v>
      </c>
      <c r="B208" s="47" t="s">
        <v>182</v>
      </c>
      <c r="C208" s="48" t="s">
        <v>183</v>
      </c>
      <c r="D208" s="16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1.0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1.0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0.0</v>
      </c>
      <c r="AF208" s="19">
        <v>0.0</v>
      </c>
      <c r="AG208" s="19">
        <v>0.0</v>
      </c>
      <c r="AH208" s="19">
        <v>0.0</v>
      </c>
      <c r="AI208" s="19">
        <v>0.0</v>
      </c>
      <c r="AJ208" s="19">
        <v>0.0</v>
      </c>
      <c r="AK208" s="19">
        <v>0.0</v>
      </c>
      <c r="AL208" s="19">
        <v>0.0</v>
      </c>
      <c r="AM208" s="19">
        <v>0.0</v>
      </c>
      <c r="AN208" s="19">
        <v>0.0</v>
      </c>
      <c r="AO208" s="19">
        <v>0.0</v>
      </c>
      <c r="AP208" s="19">
        <v>0.0</v>
      </c>
      <c r="AQ208" s="19">
        <v>2.0</v>
      </c>
      <c r="AR208" s="19">
        <v>0.0</v>
      </c>
      <c r="AS208" s="19">
        <v>0.0</v>
      </c>
      <c r="AT208" s="19">
        <v>0.0</v>
      </c>
      <c r="AU208" s="19">
        <v>0.0</v>
      </c>
      <c r="AV208" s="19">
        <v>0.0</v>
      </c>
      <c r="AW208" s="19">
        <v>0.0</v>
      </c>
      <c r="AX208" s="19"/>
      <c r="AY208" s="19"/>
      <c r="AZ208" s="19"/>
      <c r="BA208" s="19"/>
      <c r="BB208" s="19"/>
      <c r="BC208" s="19"/>
      <c r="BD208" s="19"/>
      <c r="BE208" s="13">
        <f t="shared" ref="BE208:BE214" si="48">SUM(E208:BD208)</f>
        <v>4</v>
      </c>
    </row>
    <row r="209" ht="12.75" customHeight="1">
      <c r="A209" s="30" t="s">
        <v>39</v>
      </c>
      <c r="B209" s="55">
        <v>1.0</v>
      </c>
      <c r="C209" s="61" t="s">
        <v>184</v>
      </c>
      <c r="D209" s="57"/>
      <c r="E209" s="19">
        <v>1.0</v>
      </c>
      <c r="F209" s="19">
        <v>0.0</v>
      </c>
      <c r="G209" s="19">
        <v>1.0</v>
      </c>
      <c r="H209" s="19">
        <v>1.0</v>
      </c>
      <c r="I209" s="19">
        <v>0.0</v>
      </c>
      <c r="J209" s="19">
        <v>0.0</v>
      </c>
      <c r="K209" s="19">
        <v>0.0</v>
      </c>
      <c r="L209" s="19">
        <v>0.0</v>
      </c>
      <c r="M209" s="19">
        <v>0.0</v>
      </c>
      <c r="N209" s="19">
        <v>0.0</v>
      </c>
      <c r="O209" s="19">
        <v>0.0</v>
      </c>
      <c r="P209" s="19">
        <v>1.0</v>
      </c>
      <c r="Q209" s="19">
        <v>0.0</v>
      </c>
      <c r="R209" s="19">
        <v>0.0</v>
      </c>
      <c r="S209" s="19">
        <v>0.0</v>
      </c>
      <c r="T209" s="19">
        <v>0.0</v>
      </c>
      <c r="U209" s="19">
        <v>0.0</v>
      </c>
      <c r="V209" s="19">
        <v>0.0</v>
      </c>
      <c r="W209" s="19">
        <v>0.0</v>
      </c>
      <c r="X209" s="19">
        <v>0.0</v>
      </c>
      <c r="Y209" s="19">
        <v>0.0</v>
      </c>
      <c r="Z209" s="19">
        <v>0.0</v>
      </c>
      <c r="AA209" s="19">
        <v>1.0</v>
      </c>
      <c r="AB209" s="19">
        <v>0.0</v>
      </c>
      <c r="AC209" s="19">
        <v>0.0</v>
      </c>
      <c r="AD209" s="19">
        <v>0.0</v>
      </c>
      <c r="AE209" s="19">
        <v>0.0</v>
      </c>
      <c r="AF209" s="19">
        <v>0.0</v>
      </c>
      <c r="AG209" s="19">
        <v>1.0</v>
      </c>
      <c r="AH209" s="19">
        <v>0.0</v>
      </c>
      <c r="AI209" s="19">
        <v>0.0</v>
      </c>
      <c r="AJ209" s="19">
        <v>0.0</v>
      </c>
      <c r="AK209" s="19">
        <v>0.0</v>
      </c>
      <c r="AL209" s="19">
        <v>1.0</v>
      </c>
      <c r="AM209" s="19">
        <v>0.0</v>
      </c>
      <c r="AN209" s="19">
        <v>0.0</v>
      </c>
      <c r="AO209" s="19">
        <v>0.0</v>
      </c>
      <c r="AP209" s="19">
        <v>0.0</v>
      </c>
      <c r="AQ209" s="19">
        <v>1.0</v>
      </c>
      <c r="AR209" s="19">
        <v>0.0</v>
      </c>
      <c r="AS209" s="19">
        <v>0.0</v>
      </c>
      <c r="AT209" s="19">
        <v>0.0</v>
      </c>
      <c r="AU209" s="19">
        <v>0.0</v>
      </c>
      <c r="AV209" s="19">
        <v>0.0</v>
      </c>
      <c r="AW209" s="19">
        <v>0.0</v>
      </c>
      <c r="AX209" s="19"/>
      <c r="AY209" s="19">
        <v>1.0</v>
      </c>
      <c r="AZ209" s="19"/>
      <c r="BA209" s="19"/>
      <c r="BB209" s="19"/>
      <c r="BC209" s="19"/>
      <c r="BD209" s="19"/>
      <c r="BE209" s="13">
        <f t="shared" si="48"/>
        <v>9</v>
      </c>
    </row>
    <row r="210" ht="12.75" customHeight="1">
      <c r="A210" s="18"/>
      <c r="B210" s="55">
        <v>2.0</v>
      </c>
      <c r="C210" s="61" t="s">
        <v>185</v>
      </c>
      <c r="D210" s="57"/>
      <c r="E210" s="19">
        <v>0.0</v>
      </c>
      <c r="F210" s="19">
        <v>0.0</v>
      </c>
      <c r="G210" s="19">
        <v>0.0</v>
      </c>
      <c r="H210" s="19">
        <v>0.0</v>
      </c>
      <c r="I210" s="19">
        <v>0.0</v>
      </c>
      <c r="J210" s="19">
        <v>0.0</v>
      </c>
      <c r="K210" s="19">
        <v>0.0</v>
      </c>
      <c r="L210" s="19">
        <v>0.0</v>
      </c>
      <c r="M210" s="19">
        <v>0.0</v>
      </c>
      <c r="N210" s="19">
        <v>0.0</v>
      </c>
      <c r="O210" s="19">
        <v>0.0</v>
      </c>
      <c r="P210" s="19">
        <v>0.0</v>
      </c>
      <c r="Q210" s="19">
        <v>0.0</v>
      </c>
      <c r="R210" s="19">
        <v>0.0</v>
      </c>
      <c r="S210" s="19">
        <v>0.0</v>
      </c>
      <c r="T210" s="19">
        <v>0.0</v>
      </c>
      <c r="U210" s="19">
        <v>0.0</v>
      </c>
      <c r="V210" s="19">
        <v>0.0</v>
      </c>
      <c r="W210" s="19">
        <v>0.0</v>
      </c>
      <c r="X210" s="19">
        <v>0.0</v>
      </c>
      <c r="Y210" s="19">
        <v>0.0</v>
      </c>
      <c r="Z210" s="19">
        <v>0.0</v>
      </c>
      <c r="AA210" s="19">
        <v>0.0</v>
      </c>
      <c r="AB210" s="19">
        <v>0.0</v>
      </c>
      <c r="AC210" s="19">
        <v>0.0</v>
      </c>
      <c r="AD210" s="19">
        <v>0.0</v>
      </c>
      <c r="AE210" s="19">
        <v>0.0</v>
      </c>
      <c r="AF210" s="19">
        <v>0.0</v>
      </c>
      <c r="AG210" s="19">
        <v>1.0</v>
      </c>
      <c r="AH210" s="19">
        <v>0.0</v>
      </c>
      <c r="AI210" s="19">
        <v>0.0</v>
      </c>
      <c r="AJ210" s="19">
        <v>0.0</v>
      </c>
      <c r="AK210" s="19">
        <v>0.0</v>
      </c>
      <c r="AL210" s="19">
        <v>1.0</v>
      </c>
      <c r="AM210" s="19">
        <v>0.0</v>
      </c>
      <c r="AN210" s="19">
        <v>0.0</v>
      </c>
      <c r="AO210" s="19">
        <v>1.0</v>
      </c>
      <c r="AP210" s="19">
        <v>0.0</v>
      </c>
      <c r="AQ210" s="19">
        <v>0.0</v>
      </c>
      <c r="AR210" s="19">
        <v>0.0</v>
      </c>
      <c r="AS210" s="19">
        <v>0.0</v>
      </c>
      <c r="AT210" s="19">
        <v>0.0</v>
      </c>
      <c r="AU210" s="19">
        <v>0.0</v>
      </c>
      <c r="AV210" s="19">
        <v>0.0</v>
      </c>
      <c r="AW210" s="19">
        <v>0.0</v>
      </c>
      <c r="AX210" s="19"/>
      <c r="AY210" s="19"/>
      <c r="AZ210" s="19"/>
      <c r="BA210" s="19"/>
      <c r="BB210" s="19"/>
      <c r="BC210" s="19"/>
      <c r="BD210" s="19"/>
      <c r="BE210" s="13">
        <f t="shared" si="48"/>
        <v>3</v>
      </c>
    </row>
    <row r="211" ht="12.75" customHeight="1">
      <c r="A211" s="18"/>
      <c r="B211" s="55">
        <v>3.0</v>
      </c>
      <c r="C211" s="61" t="s">
        <v>186</v>
      </c>
      <c r="D211" s="57"/>
      <c r="E211" s="19">
        <v>0.0</v>
      </c>
      <c r="F211" s="19">
        <v>0.0</v>
      </c>
      <c r="G211" s="19">
        <v>0.0</v>
      </c>
      <c r="H211" s="19">
        <v>0.0</v>
      </c>
      <c r="I211" s="19">
        <v>0.0</v>
      </c>
      <c r="J211" s="19">
        <v>0.0</v>
      </c>
      <c r="K211" s="19">
        <v>0.0</v>
      </c>
      <c r="L211" s="19">
        <v>0.0</v>
      </c>
      <c r="M211" s="19">
        <v>0.0</v>
      </c>
      <c r="N211" s="19">
        <v>0.0</v>
      </c>
      <c r="O211" s="19">
        <v>0.0</v>
      </c>
      <c r="P211" s="19">
        <v>0.0</v>
      </c>
      <c r="Q211" s="19">
        <v>0.0</v>
      </c>
      <c r="R211" s="19">
        <v>0.0</v>
      </c>
      <c r="S211" s="19">
        <v>0.0</v>
      </c>
      <c r="T211" s="19">
        <v>0.0</v>
      </c>
      <c r="U211" s="19">
        <v>0.0</v>
      </c>
      <c r="V211" s="19">
        <v>0.0</v>
      </c>
      <c r="W211" s="19">
        <v>0.0</v>
      </c>
      <c r="X211" s="19">
        <v>0.0</v>
      </c>
      <c r="Y211" s="19">
        <v>0.0</v>
      </c>
      <c r="Z211" s="19">
        <v>0.0</v>
      </c>
      <c r="AA211" s="19">
        <v>0.0</v>
      </c>
      <c r="AB211" s="19">
        <v>0.0</v>
      </c>
      <c r="AC211" s="19">
        <v>0.0</v>
      </c>
      <c r="AD211" s="19">
        <v>0.0</v>
      </c>
      <c r="AE211" s="19">
        <v>0.0</v>
      </c>
      <c r="AF211" s="19">
        <v>0.0</v>
      </c>
      <c r="AG211" s="19">
        <v>0.0</v>
      </c>
      <c r="AH211" s="19">
        <v>0.0</v>
      </c>
      <c r="AI211" s="19">
        <v>0.0</v>
      </c>
      <c r="AJ211" s="19">
        <v>0.0</v>
      </c>
      <c r="AK211" s="19">
        <v>0.0</v>
      </c>
      <c r="AL211" s="19">
        <v>0.0</v>
      </c>
      <c r="AM211" s="19">
        <v>0.0</v>
      </c>
      <c r="AN211" s="19">
        <v>1.0</v>
      </c>
      <c r="AO211" s="19">
        <v>0.0</v>
      </c>
      <c r="AP211" s="19">
        <v>0.0</v>
      </c>
      <c r="AQ211" s="19">
        <v>0.0</v>
      </c>
      <c r="AR211" s="19">
        <v>0.0</v>
      </c>
      <c r="AS211" s="19">
        <v>0.0</v>
      </c>
      <c r="AT211" s="19">
        <v>0.0</v>
      </c>
      <c r="AU211" s="19">
        <v>0.0</v>
      </c>
      <c r="AV211" s="19">
        <v>0.0</v>
      </c>
      <c r="AW211" s="19">
        <v>0.0</v>
      </c>
      <c r="AX211" s="19"/>
      <c r="AY211" s="19"/>
      <c r="AZ211" s="19"/>
      <c r="BA211" s="19"/>
      <c r="BB211" s="19"/>
      <c r="BC211" s="19"/>
      <c r="BD211" s="19"/>
      <c r="BE211" s="13">
        <f t="shared" si="48"/>
        <v>1</v>
      </c>
    </row>
    <row r="212" ht="12.75" customHeight="1">
      <c r="A212" s="18"/>
      <c r="B212" s="55">
        <v>4.0</v>
      </c>
      <c r="C212" s="61" t="s">
        <v>187</v>
      </c>
      <c r="D212" s="57"/>
      <c r="E212" s="19">
        <v>0.0</v>
      </c>
      <c r="F212" s="19">
        <v>0.0</v>
      </c>
      <c r="G212" s="19">
        <v>0.0</v>
      </c>
      <c r="H212" s="19">
        <v>0.0</v>
      </c>
      <c r="I212" s="19">
        <v>0.0</v>
      </c>
      <c r="J212" s="19">
        <v>0.0</v>
      </c>
      <c r="K212" s="19">
        <v>0.0</v>
      </c>
      <c r="L212" s="19">
        <v>0.0</v>
      </c>
      <c r="M212" s="19">
        <v>0.0</v>
      </c>
      <c r="N212" s="19">
        <v>0.0</v>
      </c>
      <c r="O212" s="19">
        <v>0.0</v>
      </c>
      <c r="P212" s="19">
        <v>0.0</v>
      </c>
      <c r="Q212" s="19">
        <v>0.0</v>
      </c>
      <c r="R212" s="19">
        <v>0.0</v>
      </c>
      <c r="S212" s="19">
        <v>0.0</v>
      </c>
      <c r="T212" s="19">
        <v>0.0</v>
      </c>
      <c r="U212" s="19">
        <v>0.0</v>
      </c>
      <c r="V212" s="19">
        <v>1.0</v>
      </c>
      <c r="W212" s="19">
        <v>1.0</v>
      </c>
      <c r="X212" s="19">
        <v>0.0</v>
      </c>
      <c r="Y212" s="19">
        <v>0.0</v>
      </c>
      <c r="Z212" s="19">
        <v>0.0</v>
      </c>
      <c r="AA212" s="19">
        <v>0.0</v>
      </c>
      <c r="AB212" s="19">
        <v>0.0</v>
      </c>
      <c r="AC212" s="19">
        <v>0.0</v>
      </c>
      <c r="AD212" s="19">
        <v>0.0</v>
      </c>
      <c r="AE212" s="19">
        <v>0.0</v>
      </c>
      <c r="AF212" s="19">
        <v>0.0</v>
      </c>
      <c r="AG212" s="19">
        <v>0.0</v>
      </c>
      <c r="AH212" s="19">
        <v>0.0</v>
      </c>
      <c r="AI212" s="19">
        <v>0.0</v>
      </c>
      <c r="AJ212" s="19">
        <v>0.0</v>
      </c>
      <c r="AK212" s="19">
        <v>0.0</v>
      </c>
      <c r="AL212" s="19">
        <v>0.0</v>
      </c>
      <c r="AM212" s="19">
        <v>0.0</v>
      </c>
      <c r="AN212" s="19">
        <v>0.0</v>
      </c>
      <c r="AO212" s="19">
        <v>0.0</v>
      </c>
      <c r="AP212" s="19">
        <v>0.0</v>
      </c>
      <c r="AQ212" s="19">
        <v>0.0</v>
      </c>
      <c r="AR212" s="19">
        <v>0.0</v>
      </c>
      <c r="AS212" s="19">
        <v>0.0</v>
      </c>
      <c r="AT212" s="19">
        <v>0.0</v>
      </c>
      <c r="AU212" s="19">
        <v>0.0</v>
      </c>
      <c r="AV212" s="19">
        <v>0.0</v>
      </c>
      <c r="AW212" s="19">
        <v>0.0</v>
      </c>
      <c r="AX212" s="19"/>
      <c r="AY212" s="19"/>
      <c r="AZ212" s="19"/>
      <c r="BA212" s="19"/>
      <c r="BB212" s="19"/>
      <c r="BC212" s="19"/>
      <c r="BD212" s="19"/>
      <c r="BE212" s="13">
        <f t="shared" si="48"/>
        <v>2</v>
      </c>
    </row>
    <row r="213" ht="12.75" customHeight="1">
      <c r="A213" s="18"/>
      <c r="B213" s="55">
        <v>5.0</v>
      </c>
      <c r="C213" s="61" t="s">
        <v>188</v>
      </c>
      <c r="D213" s="57"/>
      <c r="E213" s="19">
        <v>0.0</v>
      </c>
      <c r="F213" s="19">
        <v>0.0</v>
      </c>
      <c r="G213" s="19">
        <v>0.0</v>
      </c>
      <c r="H213" s="19">
        <v>0.0</v>
      </c>
      <c r="I213" s="19">
        <v>0.0</v>
      </c>
      <c r="J213" s="19">
        <v>0.0</v>
      </c>
      <c r="K213" s="19">
        <v>0.0</v>
      </c>
      <c r="L213" s="19">
        <v>0.0</v>
      </c>
      <c r="M213" s="19">
        <v>0.0</v>
      </c>
      <c r="N213" s="19">
        <v>0.0</v>
      </c>
      <c r="O213" s="19">
        <v>0.0</v>
      </c>
      <c r="P213" s="19">
        <v>0.0</v>
      </c>
      <c r="Q213" s="19">
        <v>0.0</v>
      </c>
      <c r="R213" s="19">
        <v>0.0</v>
      </c>
      <c r="S213" s="19">
        <v>0.0</v>
      </c>
      <c r="T213" s="19">
        <v>0.0</v>
      </c>
      <c r="U213" s="19">
        <v>0.0</v>
      </c>
      <c r="V213" s="19">
        <v>0.0</v>
      </c>
      <c r="W213" s="19">
        <v>0.0</v>
      </c>
      <c r="X213" s="19">
        <v>0.0</v>
      </c>
      <c r="Y213" s="19">
        <v>0.0</v>
      </c>
      <c r="Z213" s="19">
        <v>0.0</v>
      </c>
      <c r="AA213" s="19">
        <v>0.0</v>
      </c>
      <c r="AB213" s="19">
        <v>0.0</v>
      </c>
      <c r="AC213" s="19">
        <v>0.0</v>
      </c>
      <c r="AD213" s="19">
        <v>0.0</v>
      </c>
      <c r="AE213" s="19">
        <v>0.0</v>
      </c>
      <c r="AF213" s="19">
        <v>0.0</v>
      </c>
      <c r="AG213" s="19">
        <v>0.0</v>
      </c>
      <c r="AH213" s="19">
        <v>0.0</v>
      </c>
      <c r="AI213" s="19">
        <v>0.0</v>
      </c>
      <c r="AJ213" s="19">
        <v>0.0</v>
      </c>
      <c r="AK213" s="19">
        <v>0.0</v>
      </c>
      <c r="AL213" s="19">
        <v>0.0</v>
      </c>
      <c r="AM213" s="19">
        <v>0.0</v>
      </c>
      <c r="AN213" s="19">
        <v>0.0</v>
      </c>
      <c r="AO213" s="19">
        <v>0.0</v>
      </c>
      <c r="AP213" s="19">
        <v>0.0</v>
      </c>
      <c r="AQ213" s="19">
        <v>0.0</v>
      </c>
      <c r="AR213" s="19">
        <v>0.0</v>
      </c>
      <c r="AS213" s="19">
        <v>0.0</v>
      </c>
      <c r="AT213" s="19">
        <v>0.0</v>
      </c>
      <c r="AU213" s="19">
        <v>0.0</v>
      </c>
      <c r="AV213" s="19">
        <v>0.0</v>
      </c>
      <c r="AW213" s="19">
        <v>0.0</v>
      </c>
      <c r="AX213" s="19"/>
      <c r="AY213" s="19"/>
      <c r="AZ213" s="19"/>
      <c r="BA213" s="19"/>
      <c r="BB213" s="19"/>
      <c r="BC213" s="19"/>
      <c r="BD213" s="19"/>
      <c r="BE213" s="13">
        <f t="shared" si="48"/>
        <v>0</v>
      </c>
    </row>
    <row r="214" ht="12.75" customHeight="1">
      <c r="A214" s="18"/>
      <c r="B214" s="55">
        <v>6.0</v>
      </c>
      <c r="C214" s="61" t="s">
        <v>189</v>
      </c>
      <c r="D214" s="57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0.0</v>
      </c>
      <c r="Q214" s="19">
        <v>0.0</v>
      </c>
      <c r="R214" s="19">
        <v>0.0</v>
      </c>
      <c r="S214" s="19">
        <v>0.0</v>
      </c>
      <c r="T214" s="19">
        <v>0.0</v>
      </c>
      <c r="U214" s="19">
        <v>0.0</v>
      </c>
      <c r="V214" s="19">
        <v>0.0</v>
      </c>
      <c r="W214" s="19">
        <v>0.0</v>
      </c>
      <c r="X214" s="19">
        <v>0.0</v>
      </c>
      <c r="Y214" s="19">
        <v>0.0</v>
      </c>
      <c r="Z214" s="19">
        <v>0.0</v>
      </c>
      <c r="AA214" s="19">
        <v>0.0</v>
      </c>
      <c r="AB214" s="19">
        <v>0.0</v>
      </c>
      <c r="AC214" s="19">
        <v>1.0</v>
      </c>
      <c r="AD214" s="19">
        <v>0.0</v>
      </c>
      <c r="AE214" s="19">
        <v>0.0</v>
      </c>
      <c r="AF214" s="19">
        <v>0.0</v>
      </c>
      <c r="AG214" s="19">
        <v>0.0</v>
      </c>
      <c r="AH214" s="19">
        <v>0.0</v>
      </c>
      <c r="AI214" s="19">
        <v>0.0</v>
      </c>
      <c r="AJ214" s="19">
        <v>0.0</v>
      </c>
      <c r="AK214" s="19">
        <v>0.0</v>
      </c>
      <c r="AL214" s="19">
        <v>0.0</v>
      </c>
      <c r="AM214" s="19">
        <v>0.0</v>
      </c>
      <c r="AN214" s="19">
        <v>0.0</v>
      </c>
      <c r="AO214" s="19">
        <v>0.0</v>
      </c>
      <c r="AP214" s="19">
        <v>0.0</v>
      </c>
      <c r="AQ214" s="19">
        <v>0.0</v>
      </c>
      <c r="AR214" s="19">
        <v>0.0</v>
      </c>
      <c r="AS214" s="19">
        <v>0.0</v>
      </c>
      <c r="AT214" s="19">
        <v>0.0</v>
      </c>
      <c r="AU214" s="19">
        <v>0.0</v>
      </c>
      <c r="AV214" s="19">
        <v>0.0</v>
      </c>
      <c r="AW214" s="19">
        <v>0.0</v>
      </c>
      <c r="AX214" s="19"/>
      <c r="AY214" s="19"/>
      <c r="AZ214" s="19"/>
      <c r="BA214" s="19"/>
      <c r="BB214" s="19"/>
      <c r="BC214" s="19"/>
      <c r="BD214" s="19"/>
      <c r="BE214" s="13">
        <f t="shared" si="48"/>
        <v>1</v>
      </c>
    </row>
    <row r="215" ht="12.75" customHeight="1">
      <c r="A215" s="19" t="s">
        <v>15</v>
      </c>
      <c r="B215" s="47" t="s">
        <v>47</v>
      </c>
      <c r="C215" s="15"/>
      <c r="D215" s="16"/>
      <c r="E215" s="13">
        <f t="shared" ref="E215:BE215" si="49">SUM(E208:E214)</f>
        <v>1</v>
      </c>
      <c r="F215" s="13">
        <f t="shared" si="49"/>
        <v>0</v>
      </c>
      <c r="G215" s="13">
        <f t="shared" si="49"/>
        <v>1</v>
      </c>
      <c r="H215" s="13">
        <f t="shared" si="49"/>
        <v>1</v>
      </c>
      <c r="I215" s="13">
        <f t="shared" si="49"/>
        <v>0</v>
      </c>
      <c r="J215" s="13">
        <f t="shared" si="49"/>
        <v>0</v>
      </c>
      <c r="K215" s="13">
        <f t="shared" si="49"/>
        <v>0</v>
      </c>
      <c r="L215" s="13">
        <f t="shared" si="49"/>
        <v>0</v>
      </c>
      <c r="M215" s="13">
        <f t="shared" si="49"/>
        <v>0</v>
      </c>
      <c r="N215" s="13">
        <f t="shared" si="49"/>
        <v>0</v>
      </c>
      <c r="O215" s="13">
        <f t="shared" si="49"/>
        <v>1</v>
      </c>
      <c r="P215" s="13">
        <f t="shared" si="49"/>
        <v>1</v>
      </c>
      <c r="Q215" s="13">
        <f t="shared" si="49"/>
        <v>0</v>
      </c>
      <c r="R215" s="13">
        <f t="shared" si="49"/>
        <v>0</v>
      </c>
      <c r="S215" s="13">
        <f t="shared" si="49"/>
        <v>0</v>
      </c>
      <c r="T215" s="13">
        <f t="shared" si="49"/>
        <v>0</v>
      </c>
      <c r="U215" s="13">
        <f t="shared" si="49"/>
        <v>0</v>
      </c>
      <c r="V215" s="13">
        <f t="shared" si="49"/>
        <v>1</v>
      </c>
      <c r="W215" s="13">
        <f t="shared" si="49"/>
        <v>1</v>
      </c>
      <c r="X215" s="13">
        <f t="shared" si="49"/>
        <v>0</v>
      </c>
      <c r="Y215" s="13">
        <f t="shared" si="49"/>
        <v>1</v>
      </c>
      <c r="Z215" s="13">
        <f t="shared" si="49"/>
        <v>0</v>
      </c>
      <c r="AA215" s="13">
        <f t="shared" si="49"/>
        <v>1</v>
      </c>
      <c r="AB215" s="13">
        <f t="shared" si="49"/>
        <v>0</v>
      </c>
      <c r="AC215" s="13">
        <f t="shared" si="49"/>
        <v>1</v>
      </c>
      <c r="AD215" s="13">
        <f t="shared" si="49"/>
        <v>0</v>
      </c>
      <c r="AE215" s="13">
        <f t="shared" si="49"/>
        <v>0</v>
      </c>
      <c r="AF215" s="13">
        <f t="shared" si="49"/>
        <v>0</v>
      </c>
      <c r="AG215" s="13">
        <f t="shared" si="49"/>
        <v>2</v>
      </c>
      <c r="AH215" s="13">
        <f t="shared" si="49"/>
        <v>0</v>
      </c>
      <c r="AI215" s="13">
        <f t="shared" si="49"/>
        <v>0</v>
      </c>
      <c r="AJ215" s="13">
        <f t="shared" si="49"/>
        <v>0</v>
      </c>
      <c r="AK215" s="13">
        <f t="shared" si="49"/>
        <v>0</v>
      </c>
      <c r="AL215" s="13">
        <f t="shared" si="49"/>
        <v>2</v>
      </c>
      <c r="AM215" s="13">
        <f t="shared" si="49"/>
        <v>0</v>
      </c>
      <c r="AN215" s="13">
        <f t="shared" si="49"/>
        <v>1</v>
      </c>
      <c r="AO215" s="13">
        <f t="shared" si="49"/>
        <v>1</v>
      </c>
      <c r="AP215" s="13">
        <f t="shared" si="49"/>
        <v>0</v>
      </c>
      <c r="AQ215" s="13">
        <f t="shared" si="49"/>
        <v>3</v>
      </c>
      <c r="AR215" s="13">
        <f t="shared" si="49"/>
        <v>0</v>
      </c>
      <c r="AS215" s="13">
        <f t="shared" si="49"/>
        <v>0</v>
      </c>
      <c r="AT215" s="13">
        <f t="shared" si="49"/>
        <v>0</v>
      </c>
      <c r="AU215" s="13">
        <f t="shared" si="49"/>
        <v>0</v>
      </c>
      <c r="AV215" s="13">
        <f t="shared" si="49"/>
        <v>0</v>
      </c>
      <c r="AW215" s="13">
        <f t="shared" si="49"/>
        <v>0</v>
      </c>
      <c r="AX215" s="13">
        <f t="shared" si="49"/>
        <v>0</v>
      </c>
      <c r="AY215" s="13">
        <f t="shared" si="49"/>
        <v>1</v>
      </c>
      <c r="AZ215" s="13">
        <f t="shared" si="49"/>
        <v>0</v>
      </c>
      <c r="BA215" s="13">
        <f t="shared" si="49"/>
        <v>0</v>
      </c>
      <c r="BB215" s="13">
        <f t="shared" si="49"/>
        <v>0</v>
      </c>
      <c r="BC215" s="13">
        <f t="shared" si="49"/>
        <v>0</v>
      </c>
      <c r="BD215" s="13">
        <f t="shared" si="49"/>
        <v>0</v>
      </c>
      <c r="BE215" s="13">
        <f t="shared" si="49"/>
        <v>20</v>
      </c>
    </row>
    <row r="216" ht="12.75" customHeight="1"/>
    <row r="217" ht="12.75" customHeight="1">
      <c r="A217" s="42" t="s">
        <v>190</v>
      </c>
      <c r="B217" s="14" t="s">
        <v>191</v>
      </c>
      <c r="C217" s="15"/>
      <c r="D217" s="16"/>
      <c r="E217" s="13"/>
      <c r="F217" s="13"/>
      <c r="G217" s="13"/>
      <c r="H217" s="13"/>
      <c r="I217" s="13"/>
      <c r="J217" s="13"/>
      <c r="K217" s="13"/>
      <c r="L217" s="13"/>
      <c r="M217" s="13"/>
      <c r="N217" s="71"/>
      <c r="O217" s="71"/>
      <c r="P217" s="71"/>
      <c r="Q217" s="13"/>
      <c r="R217" s="13"/>
      <c r="S217" s="13"/>
      <c r="T217" s="13"/>
      <c r="U217" s="13"/>
      <c r="V217" s="13"/>
      <c r="W217" s="13"/>
      <c r="X217" s="13"/>
      <c r="Y217" s="71"/>
      <c r="Z217" s="71"/>
      <c r="AA217" s="71"/>
      <c r="AB217" s="13"/>
      <c r="AC217" s="13"/>
      <c r="AD217" s="13"/>
      <c r="AE217" s="13"/>
      <c r="AF217" s="13"/>
      <c r="AG217" s="13"/>
      <c r="AH217" s="13"/>
      <c r="AI217" s="13"/>
      <c r="AJ217" s="71"/>
      <c r="AK217" s="71"/>
      <c r="AL217" s="71"/>
      <c r="AM217" s="13"/>
      <c r="AN217" s="13"/>
      <c r="AO217" s="13"/>
      <c r="AP217" s="13"/>
      <c r="AQ217" s="13"/>
      <c r="AR217" s="13"/>
      <c r="AS217" s="13"/>
      <c r="AT217" s="13"/>
      <c r="AU217" s="71"/>
      <c r="AV217" s="71"/>
      <c r="AW217" s="71"/>
      <c r="AX217" s="13"/>
      <c r="AY217" s="13"/>
      <c r="AZ217" s="13"/>
      <c r="BA217" s="71"/>
      <c r="BB217" s="71"/>
      <c r="BC217" s="71"/>
      <c r="BD217" s="71"/>
      <c r="BE217" s="13"/>
    </row>
    <row r="218" ht="12.75" customHeight="1">
      <c r="A218" s="42"/>
      <c r="B218" s="64" t="s">
        <v>192</v>
      </c>
      <c r="C218" s="65" t="s">
        <v>193</v>
      </c>
      <c r="D218" s="16"/>
      <c r="E218" s="19">
        <f t="shared" ref="E218:BD218" si="50">E53+E63+E73+E83+E93+E103+E109+E119+E129+E136+E146+E156+E166+E176+E186+E196+E206+E215</f>
        <v>180</v>
      </c>
      <c r="F218" s="19">
        <f t="shared" si="50"/>
        <v>179</v>
      </c>
      <c r="G218" s="19">
        <f t="shared" si="50"/>
        <v>186</v>
      </c>
      <c r="H218" s="19">
        <f t="shared" si="50"/>
        <v>185</v>
      </c>
      <c r="I218" s="19">
        <f t="shared" si="50"/>
        <v>188</v>
      </c>
      <c r="J218" s="19">
        <f t="shared" si="50"/>
        <v>156</v>
      </c>
      <c r="K218" s="19">
        <f t="shared" si="50"/>
        <v>189</v>
      </c>
      <c r="L218" s="19">
        <f t="shared" si="50"/>
        <v>182</v>
      </c>
      <c r="M218" s="19">
        <f t="shared" si="50"/>
        <v>141</v>
      </c>
      <c r="N218" s="19">
        <f t="shared" si="50"/>
        <v>139</v>
      </c>
      <c r="O218" s="19">
        <f t="shared" si="50"/>
        <v>162</v>
      </c>
      <c r="P218" s="19">
        <f t="shared" si="50"/>
        <v>153</v>
      </c>
      <c r="Q218" s="19">
        <f t="shared" si="50"/>
        <v>215</v>
      </c>
      <c r="R218" s="19">
        <f t="shared" si="50"/>
        <v>192</v>
      </c>
      <c r="S218" s="19">
        <f t="shared" si="50"/>
        <v>172</v>
      </c>
      <c r="T218" s="19">
        <f t="shared" si="50"/>
        <v>181</v>
      </c>
      <c r="U218" s="19">
        <f t="shared" si="50"/>
        <v>160</v>
      </c>
      <c r="V218" s="19">
        <f t="shared" si="50"/>
        <v>189</v>
      </c>
      <c r="W218" s="19">
        <f t="shared" si="50"/>
        <v>157</v>
      </c>
      <c r="X218" s="19">
        <f t="shared" si="50"/>
        <v>158</v>
      </c>
      <c r="Y218" s="19">
        <f t="shared" si="50"/>
        <v>196</v>
      </c>
      <c r="Z218" s="19">
        <f t="shared" si="50"/>
        <v>191</v>
      </c>
      <c r="AA218" s="19">
        <f t="shared" si="50"/>
        <v>248</v>
      </c>
      <c r="AB218" s="19">
        <f t="shared" si="50"/>
        <v>215</v>
      </c>
      <c r="AC218" s="19">
        <f t="shared" si="50"/>
        <v>252</v>
      </c>
      <c r="AD218" s="19">
        <f t="shared" si="50"/>
        <v>247</v>
      </c>
      <c r="AE218" s="19">
        <f t="shared" si="50"/>
        <v>158</v>
      </c>
      <c r="AF218" s="19">
        <f t="shared" si="50"/>
        <v>215</v>
      </c>
      <c r="AG218" s="19">
        <f t="shared" si="50"/>
        <v>187</v>
      </c>
      <c r="AH218" s="19">
        <f t="shared" si="50"/>
        <v>217</v>
      </c>
      <c r="AI218" s="19">
        <f t="shared" si="50"/>
        <v>204</v>
      </c>
      <c r="AJ218" s="19">
        <f t="shared" si="50"/>
        <v>197</v>
      </c>
      <c r="AK218" s="19">
        <f t="shared" si="50"/>
        <v>193</v>
      </c>
      <c r="AL218" s="19">
        <f t="shared" si="50"/>
        <v>194</v>
      </c>
      <c r="AM218" s="19">
        <f t="shared" si="50"/>
        <v>169</v>
      </c>
      <c r="AN218" s="19">
        <f t="shared" si="50"/>
        <v>172</v>
      </c>
      <c r="AO218" s="19">
        <f t="shared" si="50"/>
        <v>185</v>
      </c>
      <c r="AP218" s="19">
        <f t="shared" si="50"/>
        <v>184</v>
      </c>
      <c r="AQ218" s="19">
        <f t="shared" si="50"/>
        <v>134</v>
      </c>
      <c r="AR218" s="19">
        <f t="shared" si="50"/>
        <v>202</v>
      </c>
      <c r="AS218" s="19">
        <f t="shared" si="50"/>
        <v>207</v>
      </c>
      <c r="AT218" s="19">
        <f t="shared" si="50"/>
        <v>175</v>
      </c>
      <c r="AU218" s="19">
        <f t="shared" si="50"/>
        <v>188</v>
      </c>
      <c r="AV218" s="19">
        <f t="shared" si="50"/>
        <v>201</v>
      </c>
      <c r="AW218" s="19">
        <f t="shared" si="50"/>
        <v>186</v>
      </c>
      <c r="AX218" s="19">
        <f t="shared" si="50"/>
        <v>185</v>
      </c>
      <c r="AY218" s="19">
        <f t="shared" si="50"/>
        <v>137</v>
      </c>
      <c r="AZ218" s="19">
        <f t="shared" si="50"/>
        <v>200</v>
      </c>
      <c r="BA218" s="19">
        <f t="shared" si="50"/>
        <v>176</v>
      </c>
      <c r="BB218" s="19">
        <f t="shared" si="50"/>
        <v>164</v>
      </c>
      <c r="BC218" s="19">
        <f t="shared" si="50"/>
        <v>183</v>
      </c>
      <c r="BD218" s="19">
        <f t="shared" si="50"/>
        <v>161</v>
      </c>
      <c r="BE218" s="13">
        <f t="shared" ref="BE218:BE220" si="51">SUM(E218:BD218)</f>
        <v>9587</v>
      </c>
    </row>
    <row r="219" ht="12.75" customHeight="1">
      <c r="A219" s="35"/>
      <c r="B219" s="64" t="s">
        <v>194</v>
      </c>
      <c r="C219" s="65" t="s">
        <v>195</v>
      </c>
      <c r="D219" s="16"/>
      <c r="E219" s="19">
        <v>21.0</v>
      </c>
      <c r="F219" s="19">
        <v>17.0</v>
      </c>
      <c r="G219" s="19">
        <v>30.0</v>
      </c>
      <c r="H219" s="19">
        <v>28.0</v>
      </c>
      <c r="I219" s="19">
        <v>31.0</v>
      </c>
      <c r="J219" s="19">
        <v>15.0</v>
      </c>
      <c r="K219" s="19">
        <v>11.0</v>
      </c>
      <c r="L219" s="19">
        <v>11.0</v>
      </c>
      <c r="M219" s="19">
        <v>19.0</v>
      </c>
      <c r="N219" s="19">
        <v>13.0</v>
      </c>
      <c r="O219" s="19">
        <v>15.0</v>
      </c>
      <c r="P219" s="19">
        <v>20.0</v>
      </c>
      <c r="Q219" s="19">
        <v>7.0</v>
      </c>
      <c r="R219" s="19">
        <v>18.0</v>
      </c>
      <c r="S219" s="19">
        <v>20.0</v>
      </c>
      <c r="T219" s="19">
        <v>17.0</v>
      </c>
      <c r="U219" s="19">
        <v>15.0</v>
      </c>
      <c r="V219" s="19">
        <v>17.0</v>
      </c>
      <c r="W219" s="19">
        <v>8.0</v>
      </c>
      <c r="X219" s="19">
        <v>15.0</v>
      </c>
      <c r="Y219" s="19">
        <v>25.0</v>
      </c>
      <c r="Z219" s="19">
        <v>29.0</v>
      </c>
      <c r="AA219" s="19">
        <v>20.0</v>
      </c>
      <c r="AB219" s="19">
        <v>35.0</v>
      </c>
      <c r="AC219" s="19">
        <v>17.0</v>
      </c>
      <c r="AD219" s="19">
        <v>29.0</v>
      </c>
      <c r="AE219" s="19">
        <v>32.0</v>
      </c>
      <c r="AF219" s="19">
        <v>21.0</v>
      </c>
      <c r="AG219" s="19">
        <v>36.0</v>
      </c>
      <c r="AH219" s="19">
        <v>36.0</v>
      </c>
      <c r="AI219" s="19">
        <v>24.0</v>
      </c>
      <c r="AJ219" s="19">
        <v>28.0</v>
      </c>
      <c r="AK219" s="19">
        <v>11.0</v>
      </c>
      <c r="AL219" s="19">
        <v>24.0</v>
      </c>
      <c r="AM219" s="19">
        <v>27.0</v>
      </c>
      <c r="AN219" s="19">
        <v>47.0</v>
      </c>
      <c r="AO219" s="19">
        <v>37.0</v>
      </c>
      <c r="AP219" s="19">
        <v>18.0</v>
      </c>
      <c r="AQ219" s="19">
        <v>29.0</v>
      </c>
      <c r="AR219" s="19">
        <v>17.0</v>
      </c>
      <c r="AS219" s="19">
        <v>12.0</v>
      </c>
      <c r="AT219" s="19">
        <v>30.0</v>
      </c>
      <c r="AU219" s="19">
        <v>17.0</v>
      </c>
      <c r="AV219" s="19">
        <v>24.0</v>
      </c>
      <c r="AW219" s="19">
        <v>25.0</v>
      </c>
      <c r="AX219" s="19">
        <v>16.0</v>
      </c>
      <c r="AY219" s="19">
        <v>14.0</v>
      </c>
      <c r="AZ219" s="19">
        <v>19.0</v>
      </c>
      <c r="BA219" s="19">
        <v>19.0</v>
      </c>
      <c r="BB219" s="19">
        <v>11.0</v>
      </c>
      <c r="BC219" s="19">
        <v>17.0</v>
      </c>
      <c r="BD219" s="19">
        <v>1.0</v>
      </c>
      <c r="BE219" s="13">
        <f t="shared" si="51"/>
        <v>1095</v>
      </c>
    </row>
    <row r="220" ht="12.75" customHeight="1">
      <c r="A220" s="41"/>
      <c r="B220" s="64" t="s">
        <v>196</v>
      </c>
      <c r="C220" s="65" t="s">
        <v>197</v>
      </c>
      <c r="D220" s="16"/>
      <c r="E220" s="13">
        <f t="shared" ref="E220:BD220" si="52">SUM(E218:E219)</f>
        <v>201</v>
      </c>
      <c r="F220" s="13">
        <f t="shared" si="52"/>
        <v>196</v>
      </c>
      <c r="G220" s="13">
        <f t="shared" si="52"/>
        <v>216</v>
      </c>
      <c r="H220" s="13">
        <f t="shared" si="52"/>
        <v>213</v>
      </c>
      <c r="I220" s="13">
        <f t="shared" si="52"/>
        <v>219</v>
      </c>
      <c r="J220" s="13">
        <f t="shared" si="52"/>
        <v>171</v>
      </c>
      <c r="K220" s="13">
        <f t="shared" si="52"/>
        <v>200</v>
      </c>
      <c r="L220" s="13">
        <f t="shared" si="52"/>
        <v>193</v>
      </c>
      <c r="M220" s="13">
        <f t="shared" si="52"/>
        <v>160</v>
      </c>
      <c r="N220" s="13">
        <f t="shared" si="52"/>
        <v>152</v>
      </c>
      <c r="O220" s="13">
        <f t="shared" si="52"/>
        <v>177</v>
      </c>
      <c r="P220" s="13">
        <f t="shared" si="52"/>
        <v>173</v>
      </c>
      <c r="Q220" s="13">
        <f t="shared" si="52"/>
        <v>222</v>
      </c>
      <c r="R220" s="13">
        <f t="shared" si="52"/>
        <v>210</v>
      </c>
      <c r="S220" s="13">
        <f t="shared" si="52"/>
        <v>192</v>
      </c>
      <c r="T220" s="13">
        <f t="shared" si="52"/>
        <v>198</v>
      </c>
      <c r="U220" s="13">
        <f t="shared" si="52"/>
        <v>175</v>
      </c>
      <c r="V220" s="13">
        <f t="shared" si="52"/>
        <v>206</v>
      </c>
      <c r="W220" s="13">
        <f t="shared" si="52"/>
        <v>165</v>
      </c>
      <c r="X220" s="13">
        <f t="shared" si="52"/>
        <v>173</v>
      </c>
      <c r="Y220" s="13">
        <f t="shared" si="52"/>
        <v>221</v>
      </c>
      <c r="Z220" s="13">
        <f t="shared" si="52"/>
        <v>220</v>
      </c>
      <c r="AA220" s="13">
        <f t="shared" si="52"/>
        <v>268</v>
      </c>
      <c r="AB220" s="13">
        <f t="shared" si="52"/>
        <v>250</v>
      </c>
      <c r="AC220" s="13">
        <f t="shared" si="52"/>
        <v>269</v>
      </c>
      <c r="AD220" s="13">
        <f t="shared" si="52"/>
        <v>276</v>
      </c>
      <c r="AE220" s="13">
        <f t="shared" si="52"/>
        <v>190</v>
      </c>
      <c r="AF220" s="13">
        <f t="shared" si="52"/>
        <v>236</v>
      </c>
      <c r="AG220" s="13">
        <f t="shared" si="52"/>
        <v>223</v>
      </c>
      <c r="AH220" s="13">
        <f t="shared" si="52"/>
        <v>253</v>
      </c>
      <c r="AI220" s="13">
        <f t="shared" si="52"/>
        <v>228</v>
      </c>
      <c r="AJ220" s="13">
        <f t="shared" si="52"/>
        <v>225</v>
      </c>
      <c r="AK220" s="13">
        <f t="shared" si="52"/>
        <v>204</v>
      </c>
      <c r="AL220" s="13">
        <f t="shared" si="52"/>
        <v>218</v>
      </c>
      <c r="AM220" s="13">
        <f t="shared" si="52"/>
        <v>196</v>
      </c>
      <c r="AN220" s="13">
        <f t="shared" si="52"/>
        <v>219</v>
      </c>
      <c r="AO220" s="13">
        <f t="shared" si="52"/>
        <v>222</v>
      </c>
      <c r="AP220" s="13">
        <f t="shared" si="52"/>
        <v>202</v>
      </c>
      <c r="AQ220" s="13">
        <f t="shared" si="52"/>
        <v>163</v>
      </c>
      <c r="AR220" s="13">
        <f t="shared" si="52"/>
        <v>219</v>
      </c>
      <c r="AS220" s="13">
        <f t="shared" si="52"/>
        <v>219</v>
      </c>
      <c r="AT220" s="13">
        <f t="shared" si="52"/>
        <v>205</v>
      </c>
      <c r="AU220" s="13">
        <f t="shared" si="52"/>
        <v>205</v>
      </c>
      <c r="AV220" s="13">
        <f t="shared" si="52"/>
        <v>225</v>
      </c>
      <c r="AW220" s="13">
        <f t="shared" si="52"/>
        <v>211</v>
      </c>
      <c r="AX220" s="13">
        <f t="shared" si="52"/>
        <v>201</v>
      </c>
      <c r="AY220" s="13">
        <f t="shared" si="52"/>
        <v>151</v>
      </c>
      <c r="AZ220" s="13">
        <f t="shared" si="52"/>
        <v>219</v>
      </c>
      <c r="BA220" s="13">
        <f t="shared" si="52"/>
        <v>195</v>
      </c>
      <c r="BB220" s="13">
        <f t="shared" si="52"/>
        <v>175</v>
      </c>
      <c r="BC220" s="13">
        <f t="shared" si="52"/>
        <v>200</v>
      </c>
      <c r="BD220" s="13">
        <f t="shared" si="52"/>
        <v>162</v>
      </c>
      <c r="BE220" s="13">
        <f t="shared" si="51"/>
        <v>10682</v>
      </c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C50:D50"/>
    <mergeCell ref="C51:D51"/>
    <mergeCell ref="C52:D52"/>
    <mergeCell ref="B53:D53"/>
    <mergeCell ref="A54:E54"/>
    <mergeCell ref="C55:D55"/>
    <mergeCell ref="B63:D63"/>
    <mergeCell ref="A64:E64"/>
    <mergeCell ref="C65:D65"/>
    <mergeCell ref="B73:D73"/>
    <mergeCell ref="A74:E74"/>
    <mergeCell ref="C75:D75"/>
    <mergeCell ref="B83:D83"/>
    <mergeCell ref="A84:E84"/>
    <mergeCell ref="A94:E94"/>
    <mergeCell ref="C95:D95"/>
    <mergeCell ref="B103:D103"/>
    <mergeCell ref="A104:E104"/>
    <mergeCell ref="C105:D105"/>
    <mergeCell ref="B109:D109"/>
    <mergeCell ref="A110:E110"/>
    <mergeCell ref="C111:D111"/>
    <mergeCell ref="B119:D119"/>
    <mergeCell ref="A120:E120"/>
    <mergeCell ref="C121:D121"/>
    <mergeCell ref="B129:D129"/>
    <mergeCell ref="A130:E130"/>
    <mergeCell ref="C131:D131"/>
    <mergeCell ref="B136:D136"/>
    <mergeCell ref="A137:E137"/>
    <mergeCell ref="C138:D138"/>
    <mergeCell ref="B146:D146"/>
    <mergeCell ref="A147:E147"/>
    <mergeCell ref="C148:D148"/>
    <mergeCell ref="B156:D156"/>
    <mergeCell ref="A157:E157"/>
    <mergeCell ref="C158:D158"/>
    <mergeCell ref="B166:D166"/>
    <mergeCell ref="A167:E167"/>
    <mergeCell ref="C168:D168"/>
    <mergeCell ref="B176:D176"/>
    <mergeCell ref="A177:E177"/>
    <mergeCell ref="B206:D206"/>
    <mergeCell ref="A207:E207"/>
    <mergeCell ref="C208:D208"/>
    <mergeCell ref="B215:D215"/>
    <mergeCell ref="B217:D217"/>
    <mergeCell ref="C218:D218"/>
    <mergeCell ref="C219:D219"/>
    <mergeCell ref="C220:D220"/>
    <mergeCell ref="C178:D178"/>
    <mergeCell ref="B186:D186"/>
    <mergeCell ref="A187:E187"/>
    <mergeCell ref="C188:D188"/>
    <mergeCell ref="B196:D196"/>
    <mergeCell ref="A197:E197"/>
    <mergeCell ref="C198:D198"/>
    <mergeCell ref="B12:D12"/>
    <mergeCell ref="E12:BD12"/>
    <mergeCell ref="BE12:BE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P37"/>
    <mergeCell ref="B38:D38"/>
    <mergeCell ref="B39:C41"/>
    <mergeCell ref="A42:D42"/>
    <mergeCell ref="E42:AP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85:D85"/>
    <mergeCell ref="B93:D93"/>
  </mergeCells>
  <conditionalFormatting sqref="E14:BD15">
    <cfRule type="containsBlanks" dxfId="0" priority="1">
      <formula>LEN(TRIM(E14))=0</formula>
    </cfRule>
  </conditionalFormatting>
  <conditionalFormatting sqref="E19:BD20">
    <cfRule type="containsBlanks" dxfId="0" priority="2">
      <formula>LEN(TRIM(E19))=0</formula>
    </cfRule>
  </conditionalFormatting>
  <conditionalFormatting sqref="E22:BD23 E25:BD26 E33:BD33 E35:BD35 E39:BD40">
    <cfRule type="containsBlanks" dxfId="0" priority="3">
      <formula>LEN(TRIM(E22))=0</formula>
    </cfRule>
  </conditionalFormatting>
  <conditionalFormatting sqref="E30:BD30">
    <cfRule type="expression" dxfId="1" priority="4">
      <formula>E30&lt;&gt;E47</formula>
    </cfRule>
  </conditionalFormatting>
  <conditionalFormatting sqref="E30:BD30">
    <cfRule type="expression" dxfId="1" priority="5">
      <formula>E30&lt;&gt;E34</formula>
    </cfRule>
  </conditionalFormatting>
  <conditionalFormatting sqref="E45:BD52">
    <cfRule type="containsBlanks" dxfId="0" priority="6">
      <formula>LEN(TRIM(E45))=0</formula>
    </cfRule>
  </conditionalFormatting>
  <conditionalFormatting sqref="E55:BD62">
    <cfRule type="containsBlanks" dxfId="0" priority="7">
      <formula>LEN(TRIM(E55))=0</formula>
    </cfRule>
  </conditionalFormatting>
  <conditionalFormatting sqref="E65:BD72">
    <cfRule type="containsBlanks" dxfId="0" priority="8">
      <formula>LEN(TRIM(E65))=0</formula>
    </cfRule>
  </conditionalFormatting>
  <conditionalFormatting sqref="E75:BD82">
    <cfRule type="containsBlanks" dxfId="0" priority="9">
      <formula>LEN(TRIM(E75))=0</formula>
    </cfRule>
  </conditionalFormatting>
  <conditionalFormatting sqref="E85:BD92">
    <cfRule type="containsBlanks" dxfId="0" priority="10">
      <formula>LEN(TRIM(E85))=0</formula>
    </cfRule>
  </conditionalFormatting>
  <conditionalFormatting sqref="E95:BD102">
    <cfRule type="containsBlanks" dxfId="0" priority="11">
      <formula>LEN(TRIM(E95))=0</formula>
    </cfRule>
  </conditionalFormatting>
  <conditionalFormatting sqref="E105:BD108">
    <cfRule type="containsBlanks" dxfId="0" priority="12">
      <formula>LEN(TRIM(E105))=0</formula>
    </cfRule>
  </conditionalFormatting>
  <conditionalFormatting sqref="E111:BD118">
    <cfRule type="containsBlanks" dxfId="0" priority="13">
      <formula>LEN(TRIM(E111))=0</formula>
    </cfRule>
  </conditionalFormatting>
  <conditionalFormatting sqref="E121:BD128">
    <cfRule type="containsBlanks" dxfId="0" priority="14">
      <formula>LEN(TRIM(E121))=0</formula>
    </cfRule>
  </conditionalFormatting>
  <conditionalFormatting sqref="E131:BD135">
    <cfRule type="containsBlanks" dxfId="0" priority="15">
      <formula>LEN(TRIM(E131))=0</formula>
    </cfRule>
  </conditionalFormatting>
  <conditionalFormatting sqref="E138:BD145">
    <cfRule type="containsBlanks" dxfId="0" priority="16">
      <formula>LEN(TRIM(E138))=0</formula>
    </cfRule>
  </conditionalFormatting>
  <conditionalFormatting sqref="E148:BD155">
    <cfRule type="containsBlanks" dxfId="0" priority="17">
      <formula>LEN(TRIM(E148))=0</formula>
    </cfRule>
  </conditionalFormatting>
  <conditionalFormatting sqref="E158:BD165">
    <cfRule type="containsBlanks" dxfId="0" priority="18">
      <formula>LEN(TRIM(E158))=0</formula>
    </cfRule>
  </conditionalFormatting>
  <conditionalFormatting sqref="E168:BD175">
    <cfRule type="containsBlanks" dxfId="0" priority="19">
      <formula>LEN(TRIM(E168))=0</formula>
    </cfRule>
  </conditionalFormatting>
  <conditionalFormatting sqref="E178:BD185">
    <cfRule type="containsBlanks" dxfId="0" priority="20">
      <formula>LEN(TRIM(E178))=0</formula>
    </cfRule>
  </conditionalFormatting>
  <conditionalFormatting sqref="E188:BD195">
    <cfRule type="containsBlanks" dxfId="0" priority="21">
      <formula>LEN(TRIM(E188))=0</formula>
    </cfRule>
  </conditionalFormatting>
  <conditionalFormatting sqref="E198:BD205">
    <cfRule type="containsBlanks" dxfId="0" priority="22">
      <formula>LEN(TRIM(E198))=0</formula>
    </cfRule>
  </conditionalFormatting>
  <conditionalFormatting sqref="E208:BD214">
    <cfRule type="containsBlanks" dxfId="0" priority="23">
      <formula>LEN(TRIM(E208))=0</formula>
    </cfRule>
  </conditionalFormatting>
  <conditionalFormatting sqref="E218:BD219">
    <cfRule type="containsBlanks" dxfId="0" priority="24">
      <formula>LEN(TRIM(E218))=0</formula>
    </cfRule>
  </conditionalFormatting>
  <conditionalFormatting sqref="E34:BD34">
    <cfRule type="expression" dxfId="2" priority="25">
      <formula>E30&lt;&gt;E34</formula>
    </cfRule>
  </conditionalFormatting>
  <conditionalFormatting sqref="E34:BD34">
    <cfRule type="expression" dxfId="3" priority="26">
      <formula>E30=E34</formula>
    </cfRule>
  </conditionalFormatting>
  <conditionalFormatting sqref="E34:BD34">
    <cfRule type="expression" dxfId="1" priority="27">
      <formula>E34&lt;&gt;E30</formula>
    </cfRule>
  </conditionalFormatting>
  <conditionalFormatting sqref="E34:BD34">
    <cfRule type="expression" dxfId="1" priority="28">
      <formula>E34&lt;&gt;E62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7" width="8.71"/>
    <col customWidth="1" min="48" max="48" width="13.29"/>
  </cols>
  <sheetData>
    <row r="1" ht="12.75" customHeight="1"/>
    <row r="2" ht="12.75" customHeight="1">
      <c r="C2" s="8" t="s">
        <v>0</v>
      </c>
      <c r="D2" s="8" t="s">
        <v>198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199</v>
      </c>
      <c r="D9" s="8" t="s">
        <v>257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  <c r="U11" s="1"/>
      <c r="V11" s="1"/>
      <c r="W11" s="1"/>
      <c r="X11" s="1"/>
      <c r="Y11" s="1"/>
      <c r="Z11" s="1"/>
      <c r="AA11" s="1"/>
      <c r="AB11" s="2"/>
      <c r="AH11" s="1"/>
      <c r="AI11" s="1"/>
      <c r="AJ11" s="1"/>
      <c r="AK11" s="1"/>
      <c r="AL11" s="1"/>
      <c r="AM11" s="1"/>
      <c r="AN11" s="1"/>
      <c r="AO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201</v>
      </c>
      <c r="F13" s="13" t="s">
        <v>202</v>
      </c>
      <c r="G13" s="13" t="s">
        <v>203</v>
      </c>
      <c r="H13" s="13" t="s">
        <v>204</v>
      </c>
      <c r="I13" s="13" t="s">
        <v>205</v>
      </c>
      <c r="J13" s="13" t="s">
        <v>206</v>
      </c>
      <c r="K13" s="13" t="s">
        <v>207</v>
      </c>
      <c r="L13" s="13" t="s">
        <v>208</v>
      </c>
      <c r="M13" s="13" t="s">
        <v>209</v>
      </c>
      <c r="N13" s="13" t="s">
        <v>210</v>
      </c>
      <c r="O13" s="13" t="s">
        <v>211</v>
      </c>
      <c r="P13" s="13" t="s">
        <v>212</v>
      </c>
      <c r="Q13" s="13" t="s">
        <v>213</v>
      </c>
      <c r="R13" s="13" t="s">
        <v>214</v>
      </c>
      <c r="S13" s="13" t="s">
        <v>215</v>
      </c>
      <c r="T13" s="13" t="s">
        <v>216</v>
      </c>
      <c r="U13" s="13" t="s">
        <v>217</v>
      </c>
      <c r="V13" s="13" t="s">
        <v>218</v>
      </c>
      <c r="W13" s="13" t="s">
        <v>219</v>
      </c>
      <c r="X13" s="13" t="s">
        <v>220</v>
      </c>
      <c r="Y13" s="13" t="s">
        <v>221</v>
      </c>
      <c r="Z13" s="13" t="s">
        <v>222</v>
      </c>
      <c r="AA13" s="13" t="s">
        <v>223</v>
      </c>
      <c r="AB13" s="13" t="s">
        <v>224</v>
      </c>
      <c r="AC13" s="13" t="s">
        <v>227</v>
      </c>
      <c r="AD13" s="13" t="s">
        <v>228</v>
      </c>
      <c r="AE13" s="13" t="s">
        <v>229</v>
      </c>
      <c r="AF13" s="13" t="s">
        <v>230</v>
      </c>
      <c r="AG13" s="13" t="s">
        <v>231</v>
      </c>
      <c r="AH13" s="13" t="s">
        <v>232</v>
      </c>
      <c r="AI13" s="13" t="s">
        <v>233</v>
      </c>
      <c r="AJ13" s="13" t="s">
        <v>234</v>
      </c>
      <c r="AK13" s="13" t="s">
        <v>235</v>
      </c>
      <c r="AL13" s="13" t="s">
        <v>236</v>
      </c>
      <c r="AM13" s="13" t="s">
        <v>237</v>
      </c>
      <c r="AN13" s="13" t="s">
        <v>238</v>
      </c>
      <c r="AO13" s="13" t="s">
        <v>239</v>
      </c>
      <c r="AP13" s="13" t="s">
        <v>240</v>
      </c>
      <c r="AQ13" s="13" t="s">
        <v>241</v>
      </c>
      <c r="AR13" s="13" t="s">
        <v>244</v>
      </c>
      <c r="AS13" s="13" t="s">
        <v>245</v>
      </c>
      <c r="AT13" s="13" t="s">
        <v>246</v>
      </c>
      <c r="AU13" s="13" t="s">
        <v>247</v>
      </c>
      <c r="AV13" s="36"/>
    </row>
    <row r="14" ht="12.75" customHeight="1">
      <c r="A14" s="18"/>
      <c r="B14" s="22" t="s">
        <v>11</v>
      </c>
      <c r="C14" s="23"/>
      <c r="D14" s="19" t="s">
        <v>12</v>
      </c>
      <c r="E14" s="19">
        <v>142.0</v>
      </c>
      <c r="F14" s="19">
        <v>137.0</v>
      </c>
      <c r="G14" s="19">
        <v>103.0</v>
      </c>
      <c r="H14" s="19">
        <v>135.0</v>
      </c>
      <c r="I14" s="19">
        <v>134.0</v>
      </c>
      <c r="J14" s="19">
        <v>137.0</v>
      </c>
      <c r="K14" s="19">
        <v>139.0</v>
      </c>
      <c r="L14" s="19">
        <v>142.0</v>
      </c>
      <c r="M14" s="19">
        <v>126.0</v>
      </c>
      <c r="N14" s="19">
        <v>153.0</v>
      </c>
      <c r="O14" s="19">
        <v>140.0</v>
      </c>
      <c r="P14" s="19">
        <v>133.0</v>
      </c>
      <c r="Q14" s="19">
        <v>133.0</v>
      </c>
      <c r="R14" s="19">
        <v>144.0</v>
      </c>
      <c r="S14" s="19">
        <v>133.0</v>
      </c>
      <c r="T14" s="19">
        <v>140.0</v>
      </c>
      <c r="U14" s="19">
        <v>147.0</v>
      </c>
      <c r="V14" s="19">
        <v>140.0</v>
      </c>
      <c r="W14" s="19">
        <v>152.0</v>
      </c>
      <c r="X14" s="19">
        <v>143.0</v>
      </c>
      <c r="Y14" s="19">
        <v>141.0</v>
      </c>
      <c r="Z14" s="19">
        <v>133.0</v>
      </c>
      <c r="AA14" s="19">
        <v>139.0</v>
      </c>
      <c r="AB14" s="19">
        <v>134.0</v>
      </c>
      <c r="AC14" s="19">
        <v>144.0</v>
      </c>
      <c r="AD14" s="19">
        <v>131.0</v>
      </c>
      <c r="AE14" s="19">
        <v>150.0</v>
      </c>
      <c r="AF14" s="19">
        <v>155.0</v>
      </c>
      <c r="AG14" s="19">
        <v>132.0</v>
      </c>
      <c r="AH14" s="19">
        <v>148.0</v>
      </c>
      <c r="AI14" s="19">
        <v>139.0</v>
      </c>
      <c r="AJ14" s="19">
        <v>148.0</v>
      </c>
      <c r="AK14" s="19">
        <v>137.0</v>
      </c>
      <c r="AL14" s="19">
        <v>106.0</v>
      </c>
      <c r="AM14" s="19">
        <v>131.0</v>
      </c>
      <c r="AN14" s="19">
        <v>128.0</v>
      </c>
      <c r="AO14" s="19">
        <v>123.0</v>
      </c>
      <c r="AP14" s="19">
        <v>134.0</v>
      </c>
      <c r="AQ14" s="19">
        <v>152.0</v>
      </c>
      <c r="AR14" s="19">
        <v>119.0</v>
      </c>
      <c r="AS14" s="19">
        <v>145.0</v>
      </c>
      <c r="AT14" s="19">
        <v>137.0</v>
      </c>
      <c r="AU14" s="19">
        <v>145.0</v>
      </c>
      <c r="AV14" s="13">
        <f t="shared" ref="AV14:AV16" si="1">SUM(E14:AU14)</f>
        <v>5904</v>
      </c>
    </row>
    <row r="15" ht="12.75" customHeight="1">
      <c r="A15" s="18"/>
      <c r="B15" s="26"/>
      <c r="C15" s="27"/>
      <c r="D15" s="19" t="s">
        <v>13</v>
      </c>
      <c r="E15" s="19">
        <v>141.0</v>
      </c>
      <c r="F15" s="19">
        <v>151.0</v>
      </c>
      <c r="G15" s="19">
        <v>117.0</v>
      </c>
      <c r="H15" s="19">
        <v>138.0</v>
      </c>
      <c r="I15" s="19">
        <v>161.0</v>
      </c>
      <c r="J15" s="19">
        <v>148.0</v>
      </c>
      <c r="K15" s="19">
        <v>154.0</v>
      </c>
      <c r="L15" s="19">
        <v>143.0</v>
      </c>
      <c r="M15" s="19">
        <v>163.0</v>
      </c>
      <c r="N15" s="19">
        <v>142.0</v>
      </c>
      <c r="O15" s="19">
        <v>152.0</v>
      </c>
      <c r="P15" s="19">
        <v>158.0</v>
      </c>
      <c r="Q15" s="19">
        <v>150.0</v>
      </c>
      <c r="R15" s="19">
        <v>138.0</v>
      </c>
      <c r="S15" s="19">
        <v>148.0</v>
      </c>
      <c r="T15" s="19">
        <v>147.0</v>
      </c>
      <c r="U15" s="19">
        <v>147.0</v>
      </c>
      <c r="V15" s="19">
        <v>148.0</v>
      </c>
      <c r="W15" s="19">
        <v>141.0</v>
      </c>
      <c r="X15" s="19">
        <v>146.0</v>
      </c>
      <c r="Y15" s="19">
        <v>141.0</v>
      </c>
      <c r="Z15" s="19">
        <v>148.0</v>
      </c>
      <c r="AA15" s="19">
        <v>151.0</v>
      </c>
      <c r="AB15" s="19">
        <v>148.0</v>
      </c>
      <c r="AC15" s="19">
        <v>146.0</v>
      </c>
      <c r="AD15" s="19">
        <v>135.0</v>
      </c>
      <c r="AE15" s="19">
        <v>142.0</v>
      </c>
      <c r="AF15" s="19">
        <v>140.0</v>
      </c>
      <c r="AG15" s="19">
        <v>146.0</v>
      </c>
      <c r="AH15" s="19">
        <v>150.0</v>
      </c>
      <c r="AI15" s="19">
        <v>151.0</v>
      </c>
      <c r="AJ15" s="19">
        <v>145.0</v>
      </c>
      <c r="AK15" s="19">
        <v>150.0</v>
      </c>
      <c r="AL15" s="19">
        <v>112.0</v>
      </c>
      <c r="AM15" s="19">
        <v>136.0</v>
      </c>
      <c r="AN15" s="19">
        <v>143.0</v>
      </c>
      <c r="AO15" s="19">
        <v>140.0</v>
      </c>
      <c r="AP15" s="19">
        <v>155.0</v>
      </c>
      <c r="AQ15" s="19">
        <v>143.0</v>
      </c>
      <c r="AR15" s="19">
        <v>123.0</v>
      </c>
      <c r="AS15" s="19">
        <v>144.0</v>
      </c>
      <c r="AT15" s="19">
        <v>158.0</v>
      </c>
      <c r="AU15" s="19">
        <v>146.0</v>
      </c>
      <c r="AV15" s="13">
        <f t="shared" si="1"/>
        <v>6226</v>
      </c>
    </row>
    <row r="16" ht="12.75" customHeight="1">
      <c r="A16" s="25"/>
      <c r="B16" s="21"/>
      <c r="C16" s="28"/>
      <c r="D16" s="13" t="s">
        <v>14</v>
      </c>
      <c r="E16" s="13">
        <f t="shared" ref="E16:AU16" si="2">SUM(E14:E15)</f>
        <v>283</v>
      </c>
      <c r="F16" s="13">
        <f t="shared" si="2"/>
        <v>288</v>
      </c>
      <c r="G16" s="13">
        <f t="shared" si="2"/>
        <v>220</v>
      </c>
      <c r="H16" s="13">
        <f t="shared" si="2"/>
        <v>273</v>
      </c>
      <c r="I16" s="13">
        <f t="shared" si="2"/>
        <v>295</v>
      </c>
      <c r="J16" s="13">
        <f t="shared" si="2"/>
        <v>285</v>
      </c>
      <c r="K16" s="13">
        <f t="shared" si="2"/>
        <v>293</v>
      </c>
      <c r="L16" s="13">
        <f t="shared" si="2"/>
        <v>285</v>
      </c>
      <c r="M16" s="13">
        <f t="shared" si="2"/>
        <v>289</v>
      </c>
      <c r="N16" s="13">
        <f t="shared" si="2"/>
        <v>295</v>
      </c>
      <c r="O16" s="13">
        <f t="shared" si="2"/>
        <v>292</v>
      </c>
      <c r="P16" s="13">
        <f t="shared" si="2"/>
        <v>291</v>
      </c>
      <c r="Q16" s="13">
        <f t="shared" si="2"/>
        <v>283</v>
      </c>
      <c r="R16" s="13">
        <f t="shared" si="2"/>
        <v>282</v>
      </c>
      <c r="S16" s="13">
        <f t="shared" si="2"/>
        <v>281</v>
      </c>
      <c r="T16" s="13">
        <f t="shared" si="2"/>
        <v>287</v>
      </c>
      <c r="U16" s="13">
        <f t="shared" si="2"/>
        <v>294</v>
      </c>
      <c r="V16" s="13">
        <f t="shared" si="2"/>
        <v>288</v>
      </c>
      <c r="W16" s="13">
        <f t="shared" si="2"/>
        <v>293</v>
      </c>
      <c r="X16" s="13">
        <f t="shared" si="2"/>
        <v>289</v>
      </c>
      <c r="Y16" s="13">
        <f t="shared" si="2"/>
        <v>282</v>
      </c>
      <c r="Z16" s="13">
        <f t="shared" si="2"/>
        <v>281</v>
      </c>
      <c r="AA16" s="13">
        <f t="shared" si="2"/>
        <v>290</v>
      </c>
      <c r="AB16" s="13">
        <f t="shared" si="2"/>
        <v>282</v>
      </c>
      <c r="AC16" s="13">
        <f t="shared" si="2"/>
        <v>290</v>
      </c>
      <c r="AD16" s="13">
        <f t="shared" si="2"/>
        <v>266</v>
      </c>
      <c r="AE16" s="13">
        <f t="shared" si="2"/>
        <v>292</v>
      </c>
      <c r="AF16" s="13">
        <f t="shared" si="2"/>
        <v>295</v>
      </c>
      <c r="AG16" s="13">
        <f t="shared" si="2"/>
        <v>278</v>
      </c>
      <c r="AH16" s="13">
        <f t="shared" si="2"/>
        <v>298</v>
      </c>
      <c r="AI16" s="13">
        <f t="shared" si="2"/>
        <v>290</v>
      </c>
      <c r="AJ16" s="13">
        <f t="shared" si="2"/>
        <v>293</v>
      </c>
      <c r="AK16" s="13">
        <f t="shared" si="2"/>
        <v>287</v>
      </c>
      <c r="AL16" s="13">
        <f t="shared" si="2"/>
        <v>218</v>
      </c>
      <c r="AM16" s="13">
        <f t="shared" si="2"/>
        <v>267</v>
      </c>
      <c r="AN16" s="13">
        <f t="shared" si="2"/>
        <v>271</v>
      </c>
      <c r="AO16" s="13">
        <f t="shared" si="2"/>
        <v>263</v>
      </c>
      <c r="AP16" s="13">
        <f t="shared" si="2"/>
        <v>289</v>
      </c>
      <c r="AQ16" s="13">
        <f t="shared" si="2"/>
        <v>295</v>
      </c>
      <c r="AR16" s="13">
        <f t="shared" si="2"/>
        <v>242</v>
      </c>
      <c r="AS16" s="13">
        <f t="shared" si="2"/>
        <v>289</v>
      </c>
      <c r="AT16" s="13">
        <f t="shared" si="2"/>
        <v>295</v>
      </c>
      <c r="AU16" s="13">
        <f t="shared" si="2"/>
        <v>291</v>
      </c>
      <c r="AV16" s="13">
        <f t="shared" si="1"/>
        <v>12130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69"/>
      <c r="P17" s="69"/>
      <c r="Q17" s="69"/>
      <c r="R17" s="69"/>
      <c r="S17" s="69"/>
      <c r="T17" s="19"/>
      <c r="U17" s="19"/>
      <c r="V17" s="19"/>
      <c r="W17" s="19"/>
      <c r="X17" s="19"/>
      <c r="Y17" s="19"/>
      <c r="Z17" s="19"/>
      <c r="AA17" s="19"/>
      <c r="AB17" s="69"/>
      <c r="AC17" s="69"/>
      <c r="AD17" s="69"/>
      <c r="AE17" s="69"/>
      <c r="AF17" s="69"/>
      <c r="AG17" s="69"/>
      <c r="AH17" s="19"/>
      <c r="AI17" s="19"/>
      <c r="AJ17" s="19"/>
      <c r="AK17" s="19"/>
      <c r="AL17" s="19"/>
      <c r="AM17" s="19"/>
      <c r="AN17" s="19"/>
      <c r="AO17" s="69"/>
      <c r="AP17" s="69"/>
      <c r="AQ17" s="69"/>
      <c r="AR17" s="69"/>
      <c r="AS17" s="69"/>
      <c r="AT17" s="69"/>
      <c r="AU17" s="69"/>
      <c r="AV17" s="7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69"/>
      <c r="P18" s="69"/>
      <c r="Q18" s="69"/>
      <c r="R18" s="69"/>
      <c r="S18" s="69"/>
      <c r="T18" s="19"/>
      <c r="U18" s="19"/>
      <c r="V18" s="19"/>
      <c r="W18" s="19"/>
      <c r="X18" s="19"/>
      <c r="Y18" s="19"/>
      <c r="Z18" s="19"/>
      <c r="AA18" s="19"/>
      <c r="AB18" s="69"/>
      <c r="AC18" s="69"/>
      <c r="AD18" s="69"/>
      <c r="AE18" s="69"/>
      <c r="AF18" s="69"/>
      <c r="AG18" s="69"/>
      <c r="AH18" s="19"/>
      <c r="AI18" s="19"/>
      <c r="AJ18" s="19"/>
      <c r="AK18" s="19"/>
      <c r="AL18" s="19"/>
      <c r="AM18" s="19"/>
      <c r="AN18" s="19"/>
      <c r="AO18" s="69"/>
      <c r="AP18" s="69"/>
      <c r="AQ18" s="69"/>
      <c r="AR18" s="69"/>
      <c r="AS18" s="69"/>
      <c r="AT18" s="69"/>
      <c r="AU18" s="69"/>
      <c r="AV18" s="7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114.0</v>
      </c>
      <c r="F19" s="19">
        <v>77.0</v>
      </c>
      <c r="G19" s="19">
        <v>75.0</v>
      </c>
      <c r="H19" s="19">
        <v>104.0</v>
      </c>
      <c r="I19" s="19">
        <v>97.0</v>
      </c>
      <c r="J19" s="19">
        <v>101.0</v>
      </c>
      <c r="K19" s="19">
        <v>98.0</v>
      </c>
      <c r="L19" s="19">
        <v>98.0</v>
      </c>
      <c r="M19" s="19">
        <v>85.0</v>
      </c>
      <c r="N19" s="19">
        <v>108.0</v>
      </c>
      <c r="O19" s="19">
        <v>87.0</v>
      </c>
      <c r="P19" s="19">
        <v>92.0</v>
      </c>
      <c r="Q19" s="19">
        <v>89.0</v>
      </c>
      <c r="R19" s="19">
        <v>106.0</v>
      </c>
      <c r="S19" s="19">
        <v>83.0</v>
      </c>
      <c r="T19" s="19">
        <v>102.0</v>
      </c>
      <c r="U19" s="19">
        <v>97.0</v>
      </c>
      <c r="V19" s="19">
        <v>87.0</v>
      </c>
      <c r="W19" s="19">
        <v>112.0</v>
      </c>
      <c r="X19" s="19">
        <v>98.0</v>
      </c>
      <c r="Y19" s="19">
        <v>102.0</v>
      </c>
      <c r="Z19" s="19">
        <v>99.0</v>
      </c>
      <c r="AA19" s="19">
        <v>106.0</v>
      </c>
      <c r="AB19" s="19">
        <v>100.0</v>
      </c>
      <c r="AC19" s="19">
        <v>98.0</v>
      </c>
      <c r="AD19" s="19">
        <v>92.0</v>
      </c>
      <c r="AE19" s="19">
        <v>106.0</v>
      </c>
      <c r="AF19" s="19">
        <v>113.0</v>
      </c>
      <c r="AG19" s="19">
        <v>95.0</v>
      </c>
      <c r="AH19" s="19">
        <v>88.0</v>
      </c>
      <c r="AI19" s="19">
        <v>89.0</v>
      </c>
      <c r="AJ19" s="19">
        <v>110.0</v>
      </c>
      <c r="AK19" s="19">
        <v>105.0</v>
      </c>
      <c r="AL19" s="19">
        <v>68.0</v>
      </c>
      <c r="AM19" s="19">
        <v>85.0</v>
      </c>
      <c r="AN19" s="19">
        <v>93.0</v>
      </c>
      <c r="AO19" s="19">
        <v>83.0</v>
      </c>
      <c r="AP19" s="19">
        <v>89.0</v>
      </c>
      <c r="AQ19" s="19">
        <v>95.0</v>
      </c>
      <c r="AR19" s="19">
        <v>77.0</v>
      </c>
      <c r="AS19" s="19">
        <v>92.0</v>
      </c>
      <c r="AT19" s="19">
        <v>121.0</v>
      </c>
      <c r="AU19" s="19">
        <v>79.0</v>
      </c>
      <c r="AV19" s="13">
        <f t="shared" ref="AV19:AV30" si="3">SUM(E19:AU19)</f>
        <v>4095</v>
      </c>
    </row>
    <row r="20" ht="12.75" customHeight="1">
      <c r="A20" s="33"/>
      <c r="B20" s="27"/>
      <c r="C20" s="34"/>
      <c r="D20" s="19" t="s">
        <v>13</v>
      </c>
      <c r="E20" s="19">
        <v>126.0</v>
      </c>
      <c r="F20" s="19">
        <v>107.0</v>
      </c>
      <c r="G20" s="19">
        <v>93.0</v>
      </c>
      <c r="H20" s="19">
        <v>108.0</v>
      </c>
      <c r="I20" s="19">
        <v>124.0</v>
      </c>
      <c r="J20" s="19">
        <v>109.0</v>
      </c>
      <c r="K20" s="19">
        <v>124.0</v>
      </c>
      <c r="L20" s="19">
        <v>116.0</v>
      </c>
      <c r="M20" s="19">
        <v>122.0</v>
      </c>
      <c r="N20" s="19">
        <v>116.0</v>
      </c>
      <c r="O20" s="19">
        <v>117.0</v>
      </c>
      <c r="P20" s="19">
        <v>120.0</v>
      </c>
      <c r="Q20" s="19">
        <v>118.0</v>
      </c>
      <c r="R20" s="19">
        <v>99.0</v>
      </c>
      <c r="S20" s="19">
        <v>119.0</v>
      </c>
      <c r="T20" s="19">
        <v>112.0</v>
      </c>
      <c r="U20" s="19">
        <v>110.0</v>
      </c>
      <c r="V20" s="19">
        <v>108.0</v>
      </c>
      <c r="W20" s="19">
        <v>109.0</v>
      </c>
      <c r="X20" s="19">
        <v>125.0</v>
      </c>
      <c r="Y20" s="19">
        <v>113.0</v>
      </c>
      <c r="Z20" s="19">
        <v>123.0</v>
      </c>
      <c r="AA20" s="19">
        <v>119.0</v>
      </c>
      <c r="AB20" s="19">
        <v>127.0</v>
      </c>
      <c r="AC20" s="19">
        <v>120.0</v>
      </c>
      <c r="AD20" s="19">
        <v>111.0</v>
      </c>
      <c r="AE20" s="19">
        <v>113.0</v>
      </c>
      <c r="AF20" s="19">
        <v>108.0</v>
      </c>
      <c r="AG20" s="19">
        <v>109.0</v>
      </c>
      <c r="AH20" s="19">
        <v>109.0</v>
      </c>
      <c r="AI20" s="19">
        <v>126.0</v>
      </c>
      <c r="AJ20" s="19">
        <v>109.0</v>
      </c>
      <c r="AK20" s="19">
        <v>126.0</v>
      </c>
      <c r="AL20" s="19">
        <v>74.0</v>
      </c>
      <c r="AM20" s="19">
        <v>101.0</v>
      </c>
      <c r="AN20" s="19">
        <v>111.0</v>
      </c>
      <c r="AO20" s="19">
        <v>105.0</v>
      </c>
      <c r="AP20" s="19">
        <v>113.0</v>
      </c>
      <c r="AQ20" s="19">
        <v>109.0</v>
      </c>
      <c r="AR20" s="19">
        <v>94.0</v>
      </c>
      <c r="AS20" s="19">
        <v>110.0</v>
      </c>
      <c r="AT20" s="19">
        <v>87.0</v>
      </c>
      <c r="AU20" s="19">
        <v>100.0</v>
      </c>
      <c r="AV20" s="13">
        <f t="shared" si="3"/>
        <v>4799</v>
      </c>
    </row>
    <row r="21" ht="12.75" customHeight="1">
      <c r="A21" s="35"/>
      <c r="B21" s="28"/>
      <c r="C21" s="36"/>
      <c r="D21" s="13" t="s">
        <v>14</v>
      </c>
      <c r="E21" s="13">
        <f t="shared" ref="E21:AU21" si="4">SUM(E19:E20)</f>
        <v>240</v>
      </c>
      <c r="F21" s="13">
        <f t="shared" si="4"/>
        <v>184</v>
      </c>
      <c r="G21" s="13">
        <f t="shared" si="4"/>
        <v>168</v>
      </c>
      <c r="H21" s="13">
        <f t="shared" si="4"/>
        <v>212</v>
      </c>
      <c r="I21" s="13">
        <f t="shared" si="4"/>
        <v>221</v>
      </c>
      <c r="J21" s="13">
        <f t="shared" si="4"/>
        <v>210</v>
      </c>
      <c r="K21" s="13">
        <f t="shared" si="4"/>
        <v>222</v>
      </c>
      <c r="L21" s="13">
        <f t="shared" si="4"/>
        <v>214</v>
      </c>
      <c r="M21" s="13">
        <f t="shared" si="4"/>
        <v>207</v>
      </c>
      <c r="N21" s="13">
        <f t="shared" si="4"/>
        <v>224</v>
      </c>
      <c r="O21" s="13">
        <f t="shared" si="4"/>
        <v>204</v>
      </c>
      <c r="P21" s="13">
        <f t="shared" si="4"/>
        <v>212</v>
      </c>
      <c r="Q21" s="13">
        <f t="shared" si="4"/>
        <v>207</v>
      </c>
      <c r="R21" s="13">
        <f t="shared" si="4"/>
        <v>205</v>
      </c>
      <c r="S21" s="13">
        <f t="shared" si="4"/>
        <v>202</v>
      </c>
      <c r="T21" s="13">
        <f t="shared" si="4"/>
        <v>214</v>
      </c>
      <c r="U21" s="13">
        <f t="shared" si="4"/>
        <v>207</v>
      </c>
      <c r="V21" s="13">
        <f t="shared" si="4"/>
        <v>195</v>
      </c>
      <c r="W21" s="13">
        <f t="shared" si="4"/>
        <v>221</v>
      </c>
      <c r="X21" s="13">
        <f t="shared" si="4"/>
        <v>223</v>
      </c>
      <c r="Y21" s="13">
        <f t="shared" si="4"/>
        <v>215</v>
      </c>
      <c r="Z21" s="13">
        <f t="shared" si="4"/>
        <v>222</v>
      </c>
      <c r="AA21" s="13">
        <f t="shared" si="4"/>
        <v>225</v>
      </c>
      <c r="AB21" s="13">
        <f t="shared" si="4"/>
        <v>227</v>
      </c>
      <c r="AC21" s="13">
        <f t="shared" si="4"/>
        <v>218</v>
      </c>
      <c r="AD21" s="13">
        <f t="shared" si="4"/>
        <v>203</v>
      </c>
      <c r="AE21" s="13">
        <f t="shared" si="4"/>
        <v>219</v>
      </c>
      <c r="AF21" s="13">
        <f t="shared" si="4"/>
        <v>221</v>
      </c>
      <c r="AG21" s="13">
        <f t="shared" si="4"/>
        <v>204</v>
      </c>
      <c r="AH21" s="13">
        <f t="shared" si="4"/>
        <v>197</v>
      </c>
      <c r="AI21" s="13">
        <f t="shared" si="4"/>
        <v>215</v>
      </c>
      <c r="AJ21" s="13">
        <f t="shared" si="4"/>
        <v>219</v>
      </c>
      <c r="AK21" s="13">
        <f t="shared" si="4"/>
        <v>231</v>
      </c>
      <c r="AL21" s="13">
        <f t="shared" si="4"/>
        <v>142</v>
      </c>
      <c r="AM21" s="13">
        <f t="shared" si="4"/>
        <v>186</v>
      </c>
      <c r="AN21" s="13">
        <f t="shared" si="4"/>
        <v>204</v>
      </c>
      <c r="AO21" s="13">
        <f t="shared" si="4"/>
        <v>188</v>
      </c>
      <c r="AP21" s="13">
        <f t="shared" si="4"/>
        <v>202</v>
      </c>
      <c r="AQ21" s="13">
        <f t="shared" si="4"/>
        <v>204</v>
      </c>
      <c r="AR21" s="13">
        <f t="shared" si="4"/>
        <v>171</v>
      </c>
      <c r="AS21" s="13">
        <f t="shared" si="4"/>
        <v>202</v>
      </c>
      <c r="AT21" s="13">
        <f t="shared" si="4"/>
        <v>208</v>
      </c>
      <c r="AU21" s="13">
        <f t="shared" si="4"/>
        <v>179</v>
      </c>
      <c r="AV21" s="13">
        <f t="shared" si="3"/>
        <v>8894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2.0</v>
      </c>
      <c r="H22" s="19">
        <v>1.0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1.0</v>
      </c>
      <c r="O22" s="19">
        <v>2.0</v>
      </c>
      <c r="P22" s="19">
        <v>0.0</v>
      </c>
      <c r="Q22" s="19">
        <v>0.0</v>
      </c>
      <c r="R22" s="19">
        <v>1.0</v>
      </c>
      <c r="S22" s="19">
        <v>1.0</v>
      </c>
      <c r="T22" s="19">
        <v>1.0</v>
      </c>
      <c r="U22" s="19">
        <v>1.0</v>
      </c>
      <c r="V22" s="19">
        <v>0.0</v>
      </c>
      <c r="W22" s="19">
        <v>2.0</v>
      </c>
      <c r="X22" s="19">
        <v>0.0</v>
      </c>
      <c r="Y22" s="19">
        <v>0.0</v>
      </c>
      <c r="Z22" s="19">
        <v>0.0</v>
      </c>
      <c r="AA22" s="19">
        <v>1.0</v>
      </c>
      <c r="AB22" s="19">
        <v>0.0</v>
      </c>
      <c r="AC22" s="19">
        <v>0.0</v>
      </c>
      <c r="AD22" s="19">
        <v>1.0</v>
      </c>
      <c r="AE22" s="19">
        <v>0.0</v>
      </c>
      <c r="AF22" s="19">
        <v>0.0</v>
      </c>
      <c r="AG22" s="19">
        <v>1.0</v>
      </c>
      <c r="AH22" s="19">
        <v>0.0</v>
      </c>
      <c r="AI22" s="19">
        <v>0.0</v>
      </c>
      <c r="AJ22" s="19">
        <v>0.0</v>
      </c>
      <c r="AK22" s="19">
        <v>0.0</v>
      </c>
      <c r="AL22" s="19">
        <v>1.0</v>
      </c>
      <c r="AM22" s="19">
        <v>1.0</v>
      </c>
      <c r="AN22" s="19">
        <v>0.0</v>
      </c>
      <c r="AO22" s="19">
        <v>0.0</v>
      </c>
      <c r="AP22" s="19">
        <v>2.0</v>
      </c>
      <c r="AQ22" s="19">
        <v>1.0</v>
      </c>
      <c r="AR22" s="19">
        <v>1.0</v>
      </c>
      <c r="AS22" s="19">
        <v>1.0</v>
      </c>
      <c r="AT22" s="19">
        <v>1.0</v>
      </c>
      <c r="AU22" s="19">
        <v>0.0</v>
      </c>
      <c r="AV22" s="13">
        <f t="shared" si="3"/>
        <v>24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1.0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2.0</v>
      </c>
      <c r="O23" s="19">
        <v>1.0</v>
      </c>
      <c r="P23" s="19">
        <v>1.0</v>
      </c>
      <c r="Q23" s="19">
        <v>0.0</v>
      </c>
      <c r="R23" s="19">
        <v>0.0</v>
      </c>
      <c r="S23" s="19">
        <v>0.0</v>
      </c>
      <c r="T23" s="19">
        <v>1.0</v>
      </c>
      <c r="U23" s="19">
        <v>0.0</v>
      </c>
      <c r="V23" s="19">
        <v>1.0</v>
      </c>
      <c r="W23" s="19">
        <v>1.0</v>
      </c>
      <c r="X23" s="19">
        <v>1.0</v>
      </c>
      <c r="Y23" s="19">
        <v>0.0</v>
      </c>
      <c r="Z23" s="19">
        <v>1.0</v>
      </c>
      <c r="AA23" s="19">
        <v>0.0</v>
      </c>
      <c r="AB23" s="19">
        <v>0.0</v>
      </c>
      <c r="AC23" s="19">
        <v>1.0</v>
      </c>
      <c r="AD23" s="19">
        <v>0.0</v>
      </c>
      <c r="AE23" s="19">
        <v>1.0</v>
      </c>
      <c r="AF23" s="19">
        <v>1.0</v>
      </c>
      <c r="AG23" s="19">
        <v>0.0</v>
      </c>
      <c r="AH23" s="19">
        <v>1.0</v>
      </c>
      <c r="AI23" s="19">
        <v>0.0</v>
      </c>
      <c r="AJ23" s="19">
        <v>0.0</v>
      </c>
      <c r="AK23" s="19">
        <v>1.0</v>
      </c>
      <c r="AL23" s="19">
        <v>0.0</v>
      </c>
      <c r="AM23" s="19">
        <v>0.0</v>
      </c>
      <c r="AN23" s="19">
        <v>1.0</v>
      </c>
      <c r="AO23" s="19">
        <v>1.0</v>
      </c>
      <c r="AP23" s="19">
        <v>3.0</v>
      </c>
      <c r="AQ23" s="19">
        <v>0.0</v>
      </c>
      <c r="AR23" s="19">
        <v>0.0</v>
      </c>
      <c r="AS23" s="19">
        <v>1.0</v>
      </c>
      <c r="AT23" s="19">
        <v>0.0</v>
      </c>
      <c r="AU23" s="19">
        <v>0.0</v>
      </c>
      <c r="AV23" s="13">
        <f t="shared" si="3"/>
        <v>23</v>
      </c>
    </row>
    <row r="24" ht="12.75" customHeight="1">
      <c r="A24" s="35"/>
      <c r="B24" s="28"/>
      <c r="C24" s="36"/>
      <c r="D24" s="13" t="s">
        <v>14</v>
      </c>
      <c r="E24" s="13">
        <f t="shared" ref="E24:AU24" si="5">SUM(E22:E23)</f>
        <v>0</v>
      </c>
      <c r="F24" s="13">
        <f t="shared" si="5"/>
        <v>1</v>
      </c>
      <c r="G24" s="13">
        <f t="shared" si="5"/>
        <v>3</v>
      </c>
      <c r="H24" s="13">
        <f t="shared" si="5"/>
        <v>2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3</v>
      </c>
      <c r="O24" s="13">
        <f t="shared" si="5"/>
        <v>3</v>
      </c>
      <c r="P24" s="13">
        <f t="shared" si="5"/>
        <v>1</v>
      </c>
      <c r="Q24" s="13">
        <f t="shared" si="5"/>
        <v>0</v>
      </c>
      <c r="R24" s="13">
        <f t="shared" si="5"/>
        <v>1</v>
      </c>
      <c r="S24" s="13">
        <f t="shared" si="5"/>
        <v>1</v>
      </c>
      <c r="T24" s="13">
        <f t="shared" si="5"/>
        <v>2</v>
      </c>
      <c r="U24" s="13">
        <f t="shared" si="5"/>
        <v>1</v>
      </c>
      <c r="V24" s="13">
        <f t="shared" si="5"/>
        <v>1</v>
      </c>
      <c r="W24" s="13">
        <f t="shared" si="5"/>
        <v>3</v>
      </c>
      <c r="X24" s="13">
        <f t="shared" si="5"/>
        <v>1</v>
      </c>
      <c r="Y24" s="13">
        <f t="shared" si="5"/>
        <v>0</v>
      </c>
      <c r="Z24" s="13">
        <f t="shared" si="5"/>
        <v>1</v>
      </c>
      <c r="AA24" s="13">
        <f t="shared" si="5"/>
        <v>1</v>
      </c>
      <c r="AB24" s="13">
        <f t="shared" si="5"/>
        <v>0</v>
      </c>
      <c r="AC24" s="13">
        <f t="shared" si="5"/>
        <v>1</v>
      </c>
      <c r="AD24" s="13">
        <f t="shared" si="5"/>
        <v>1</v>
      </c>
      <c r="AE24" s="13">
        <f t="shared" si="5"/>
        <v>1</v>
      </c>
      <c r="AF24" s="13">
        <f t="shared" si="5"/>
        <v>1</v>
      </c>
      <c r="AG24" s="13">
        <f t="shared" si="5"/>
        <v>1</v>
      </c>
      <c r="AH24" s="13">
        <f t="shared" si="5"/>
        <v>1</v>
      </c>
      <c r="AI24" s="13">
        <f t="shared" si="5"/>
        <v>0</v>
      </c>
      <c r="AJ24" s="13">
        <f t="shared" si="5"/>
        <v>0</v>
      </c>
      <c r="AK24" s="13">
        <f t="shared" si="5"/>
        <v>1</v>
      </c>
      <c r="AL24" s="13">
        <f t="shared" si="5"/>
        <v>1</v>
      </c>
      <c r="AM24" s="13">
        <f t="shared" si="5"/>
        <v>1</v>
      </c>
      <c r="AN24" s="13">
        <f t="shared" si="5"/>
        <v>1</v>
      </c>
      <c r="AO24" s="13">
        <f t="shared" si="5"/>
        <v>1</v>
      </c>
      <c r="AP24" s="13">
        <f t="shared" si="5"/>
        <v>5</v>
      </c>
      <c r="AQ24" s="13">
        <f t="shared" si="5"/>
        <v>1</v>
      </c>
      <c r="AR24" s="13">
        <f t="shared" si="5"/>
        <v>1</v>
      </c>
      <c r="AS24" s="13">
        <f t="shared" si="5"/>
        <v>2</v>
      </c>
      <c r="AT24" s="13">
        <f t="shared" si="5"/>
        <v>1</v>
      </c>
      <c r="AU24" s="13">
        <f t="shared" si="5"/>
        <v>0</v>
      </c>
      <c r="AV24" s="13">
        <f t="shared" si="3"/>
        <v>47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5.0</v>
      </c>
      <c r="F25" s="19">
        <v>1.0</v>
      </c>
      <c r="G25" s="19">
        <v>2.0</v>
      </c>
      <c r="H25" s="19">
        <v>8.0</v>
      </c>
      <c r="I25" s="19">
        <v>4.0</v>
      </c>
      <c r="J25" s="19">
        <v>2.0</v>
      </c>
      <c r="K25" s="19">
        <v>3.0</v>
      </c>
      <c r="L25" s="19">
        <v>0.0</v>
      </c>
      <c r="M25" s="19">
        <v>1.0</v>
      </c>
      <c r="N25" s="19">
        <v>0.0</v>
      </c>
      <c r="O25" s="19">
        <v>0.0</v>
      </c>
      <c r="P25" s="19">
        <v>0.0</v>
      </c>
      <c r="Q25" s="19">
        <v>1.0</v>
      </c>
      <c r="R25" s="19">
        <v>2.0</v>
      </c>
      <c r="S25" s="19">
        <v>0.0</v>
      </c>
      <c r="T25" s="19">
        <v>0.0</v>
      </c>
      <c r="U25" s="19">
        <v>0.0</v>
      </c>
      <c r="V25" s="19">
        <v>8.0</v>
      </c>
      <c r="W25" s="19">
        <v>2.0</v>
      </c>
      <c r="X25" s="19">
        <v>2.0</v>
      </c>
      <c r="Y25" s="19">
        <v>1.0</v>
      </c>
      <c r="Z25" s="19">
        <v>1.0</v>
      </c>
      <c r="AA25" s="19">
        <v>0.0</v>
      </c>
      <c r="AB25" s="19">
        <v>0.0</v>
      </c>
      <c r="AC25" s="19">
        <v>0.0</v>
      </c>
      <c r="AD25" s="19">
        <v>5.0</v>
      </c>
      <c r="AE25" s="19">
        <v>1.0</v>
      </c>
      <c r="AF25" s="19">
        <v>3.0</v>
      </c>
      <c r="AG25" s="19">
        <v>0.0</v>
      </c>
      <c r="AH25" s="19">
        <v>7.0</v>
      </c>
      <c r="AI25" s="19">
        <v>0.0</v>
      </c>
      <c r="AJ25" s="19">
        <v>5.0</v>
      </c>
      <c r="AK25" s="19">
        <v>2.0</v>
      </c>
      <c r="AL25" s="19">
        <v>1.0</v>
      </c>
      <c r="AM25" s="19">
        <v>1.0</v>
      </c>
      <c r="AN25" s="19">
        <v>2.0</v>
      </c>
      <c r="AO25" s="19">
        <v>1.0</v>
      </c>
      <c r="AP25" s="19">
        <v>5.0</v>
      </c>
      <c r="AQ25" s="19">
        <v>0.0</v>
      </c>
      <c r="AR25" s="19">
        <v>0.0</v>
      </c>
      <c r="AS25" s="19">
        <v>1.0</v>
      </c>
      <c r="AT25" s="19">
        <v>2.0</v>
      </c>
      <c r="AU25" s="19">
        <v>2.0</v>
      </c>
      <c r="AV25" s="13">
        <f t="shared" si="3"/>
        <v>81</v>
      </c>
    </row>
    <row r="26" ht="12.75" customHeight="1">
      <c r="A26" s="33"/>
      <c r="B26" s="27"/>
      <c r="C26" s="34"/>
      <c r="D26" s="19" t="s">
        <v>13</v>
      </c>
      <c r="E26" s="19">
        <v>6.0</v>
      </c>
      <c r="F26" s="19">
        <v>0.0</v>
      </c>
      <c r="G26" s="19">
        <v>3.0</v>
      </c>
      <c r="H26" s="19">
        <v>10.0</v>
      </c>
      <c r="I26" s="19">
        <v>1.0</v>
      </c>
      <c r="J26" s="19">
        <v>1.0</v>
      </c>
      <c r="K26" s="19">
        <v>3.0</v>
      </c>
      <c r="L26" s="19">
        <v>0.0</v>
      </c>
      <c r="M26" s="19">
        <v>2.0</v>
      </c>
      <c r="N26" s="19">
        <v>0.0</v>
      </c>
      <c r="O26" s="19">
        <v>1.0</v>
      </c>
      <c r="P26" s="19">
        <v>0.0</v>
      </c>
      <c r="Q26" s="19">
        <v>1.0</v>
      </c>
      <c r="R26" s="19">
        <v>1.0</v>
      </c>
      <c r="S26" s="19">
        <v>0.0</v>
      </c>
      <c r="T26" s="19">
        <v>0.0</v>
      </c>
      <c r="U26" s="19">
        <v>1.0</v>
      </c>
      <c r="V26" s="19">
        <v>9.0</v>
      </c>
      <c r="W26" s="19">
        <v>2.0</v>
      </c>
      <c r="X26" s="19">
        <v>0.0</v>
      </c>
      <c r="Y26" s="19">
        <v>1.0</v>
      </c>
      <c r="Z26" s="19">
        <v>2.0</v>
      </c>
      <c r="AA26" s="19">
        <v>0.0</v>
      </c>
      <c r="AB26" s="19">
        <v>0.0</v>
      </c>
      <c r="AC26" s="19">
        <v>0.0</v>
      </c>
      <c r="AD26" s="19">
        <v>5.0</v>
      </c>
      <c r="AE26" s="19">
        <v>0.0</v>
      </c>
      <c r="AF26" s="19">
        <v>3.0</v>
      </c>
      <c r="AG26" s="19">
        <v>1.0</v>
      </c>
      <c r="AH26" s="19">
        <v>3.0</v>
      </c>
      <c r="AI26" s="19">
        <v>0.0</v>
      </c>
      <c r="AJ26" s="19">
        <v>6.0</v>
      </c>
      <c r="AK26" s="19">
        <v>0.0</v>
      </c>
      <c r="AL26" s="19">
        <v>1.0</v>
      </c>
      <c r="AM26" s="19">
        <v>1.0</v>
      </c>
      <c r="AN26" s="19">
        <v>1.0</v>
      </c>
      <c r="AO26" s="19">
        <v>0.0</v>
      </c>
      <c r="AP26" s="19">
        <v>5.0</v>
      </c>
      <c r="AQ26" s="19">
        <v>1.0</v>
      </c>
      <c r="AR26" s="19">
        <v>0.0</v>
      </c>
      <c r="AS26" s="19">
        <v>2.0</v>
      </c>
      <c r="AT26" s="19">
        <v>2.0</v>
      </c>
      <c r="AU26" s="19">
        <v>2.0</v>
      </c>
      <c r="AV26" s="13">
        <f t="shared" si="3"/>
        <v>77</v>
      </c>
    </row>
    <row r="27" ht="12.75" customHeight="1">
      <c r="A27" s="35"/>
      <c r="B27" s="28"/>
      <c r="C27" s="36"/>
      <c r="D27" s="13" t="s">
        <v>14</v>
      </c>
      <c r="E27" s="13">
        <f t="shared" ref="E27:AU27" si="6">SUM(E25:E26)</f>
        <v>11</v>
      </c>
      <c r="F27" s="13">
        <f t="shared" si="6"/>
        <v>1</v>
      </c>
      <c r="G27" s="13">
        <f t="shared" si="6"/>
        <v>5</v>
      </c>
      <c r="H27" s="13">
        <f t="shared" si="6"/>
        <v>18</v>
      </c>
      <c r="I27" s="13">
        <f t="shared" si="6"/>
        <v>5</v>
      </c>
      <c r="J27" s="13">
        <f t="shared" si="6"/>
        <v>3</v>
      </c>
      <c r="K27" s="13">
        <f t="shared" si="6"/>
        <v>6</v>
      </c>
      <c r="L27" s="13">
        <f t="shared" si="6"/>
        <v>0</v>
      </c>
      <c r="M27" s="13">
        <f t="shared" si="6"/>
        <v>3</v>
      </c>
      <c r="N27" s="13">
        <f t="shared" si="6"/>
        <v>0</v>
      </c>
      <c r="O27" s="13">
        <f t="shared" si="6"/>
        <v>1</v>
      </c>
      <c r="P27" s="13">
        <f t="shared" si="6"/>
        <v>0</v>
      </c>
      <c r="Q27" s="13">
        <f t="shared" si="6"/>
        <v>2</v>
      </c>
      <c r="R27" s="13">
        <f t="shared" si="6"/>
        <v>3</v>
      </c>
      <c r="S27" s="13">
        <f t="shared" si="6"/>
        <v>0</v>
      </c>
      <c r="T27" s="13">
        <f t="shared" si="6"/>
        <v>0</v>
      </c>
      <c r="U27" s="13">
        <f t="shared" si="6"/>
        <v>1</v>
      </c>
      <c r="V27" s="13">
        <f t="shared" si="6"/>
        <v>17</v>
      </c>
      <c r="W27" s="13">
        <f t="shared" si="6"/>
        <v>4</v>
      </c>
      <c r="X27" s="13">
        <f t="shared" si="6"/>
        <v>2</v>
      </c>
      <c r="Y27" s="13">
        <f t="shared" si="6"/>
        <v>2</v>
      </c>
      <c r="Z27" s="13">
        <f t="shared" si="6"/>
        <v>3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10</v>
      </c>
      <c r="AE27" s="13">
        <f t="shared" si="6"/>
        <v>1</v>
      </c>
      <c r="AF27" s="13">
        <f t="shared" si="6"/>
        <v>6</v>
      </c>
      <c r="AG27" s="13">
        <f t="shared" si="6"/>
        <v>1</v>
      </c>
      <c r="AH27" s="13">
        <f t="shared" si="6"/>
        <v>10</v>
      </c>
      <c r="AI27" s="13">
        <f t="shared" si="6"/>
        <v>0</v>
      </c>
      <c r="AJ27" s="13">
        <f t="shared" si="6"/>
        <v>11</v>
      </c>
      <c r="AK27" s="13">
        <f t="shared" si="6"/>
        <v>2</v>
      </c>
      <c r="AL27" s="13">
        <f t="shared" si="6"/>
        <v>2</v>
      </c>
      <c r="AM27" s="13">
        <f t="shared" si="6"/>
        <v>2</v>
      </c>
      <c r="AN27" s="13">
        <f t="shared" si="6"/>
        <v>3</v>
      </c>
      <c r="AO27" s="13">
        <f t="shared" si="6"/>
        <v>1</v>
      </c>
      <c r="AP27" s="13">
        <f t="shared" si="6"/>
        <v>10</v>
      </c>
      <c r="AQ27" s="13">
        <f t="shared" si="6"/>
        <v>1</v>
      </c>
      <c r="AR27" s="13">
        <f t="shared" si="6"/>
        <v>0</v>
      </c>
      <c r="AS27" s="13">
        <f t="shared" si="6"/>
        <v>3</v>
      </c>
      <c r="AT27" s="13">
        <f t="shared" si="6"/>
        <v>4</v>
      </c>
      <c r="AU27" s="13">
        <f t="shared" si="6"/>
        <v>4</v>
      </c>
      <c r="AV27" s="13">
        <f t="shared" si="3"/>
        <v>158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U28" si="7">SUM(E19,E22,E25)</f>
        <v>119</v>
      </c>
      <c r="F28" s="13">
        <f t="shared" si="7"/>
        <v>78</v>
      </c>
      <c r="G28" s="13">
        <f t="shared" si="7"/>
        <v>79</v>
      </c>
      <c r="H28" s="13">
        <f t="shared" si="7"/>
        <v>113</v>
      </c>
      <c r="I28" s="13">
        <f t="shared" si="7"/>
        <v>101</v>
      </c>
      <c r="J28" s="13">
        <f t="shared" si="7"/>
        <v>103</v>
      </c>
      <c r="K28" s="13">
        <f t="shared" si="7"/>
        <v>101</v>
      </c>
      <c r="L28" s="13">
        <f t="shared" si="7"/>
        <v>98</v>
      </c>
      <c r="M28" s="13">
        <f t="shared" si="7"/>
        <v>87</v>
      </c>
      <c r="N28" s="13">
        <f t="shared" si="7"/>
        <v>109</v>
      </c>
      <c r="O28" s="13">
        <f t="shared" si="7"/>
        <v>89</v>
      </c>
      <c r="P28" s="13">
        <f t="shared" si="7"/>
        <v>92</v>
      </c>
      <c r="Q28" s="13">
        <f t="shared" si="7"/>
        <v>90</v>
      </c>
      <c r="R28" s="13">
        <f t="shared" si="7"/>
        <v>109</v>
      </c>
      <c r="S28" s="13">
        <f t="shared" si="7"/>
        <v>84</v>
      </c>
      <c r="T28" s="13">
        <f t="shared" si="7"/>
        <v>103</v>
      </c>
      <c r="U28" s="13">
        <f t="shared" si="7"/>
        <v>98</v>
      </c>
      <c r="V28" s="13">
        <f t="shared" si="7"/>
        <v>95</v>
      </c>
      <c r="W28" s="13">
        <f t="shared" si="7"/>
        <v>116</v>
      </c>
      <c r="X28" s="13">
        <f t="shared" si="7"/>
        <v>100</v>
      </c>
      <c r="Y28" s="13">
        <f t="shared" si="7"/>
        <v>103</v>
      </c>
      <c r="Z28" s="13">
        <f t="shared" si="7"/>
        <v>100</v>
      </c>
      <c r="AA28" s="13">
        <f t="shared" si="7"/>
        <v>107</v>
      </c>
      <c r="AB28" s="13">
        <f t="shared" si="7"/>
        <v>100</v>
      </c>
      <c r="AC28" s="13">
        <f t="shared" si="7"/>
        <v>98</v>
      </c>
      <c r="AD28" s="13">
        <f t="shared" si="7"/>
        <v>98</v>
      </c>
      <c r="AE28" s="13">
        <f t="shared" si="7"/>
        <v>107</v>
      </c>
      <c r="AF28" s="13">
        <f t="shared" si="7"/>
        <v>116</v>
      </c>
      <c r="AG28" s="13">
        <f t="shared" si="7"/>
        <v>96</v>
      </c>
      <c r="AH28" s="13">
        <f t="shared" si="7"/>
        <v>95</v>
      </c>
      <c r="AI28" s="13">
        <f t="shared" si="7"/>
        <v>89</v>
      </c>
      <c r="AJ28" s="13">
        <f t="shared" si="7"/>
        <v>115</v>
      </c>
      <c r="AK28" s="13">
        <f t="shared" si="7"/>
        <v>107</v>
      </c>
      <c r="AL28" s="13">
        <f t="shared" si="7"/>
        <v>70</v>
      </c>
      <c r="AM28" s="13">
        <f t="shared" si="7"/>
        <v>87</v>
      </c>
      <c r="AN28" s="13">
        <f t="shared" si="7"/>
        <v>95</v>
      </c>
      <c r="AO28" s="13">
        <f t="shared" si="7"/>
        <v>84</v>
      </c>
      <c r="AP28" s="13">
        <f t="shared" si="7"/>
        <v>96</v>
      </c>
      <c r="AQ28" s="13">
        <f t="shared" si="7"/>
        <v>96</v>
      </c>
      <c r="AR28" s="13">
        <f t="shared" si="7"/>
        <v>78</v>
      </c>
      <c r="AS28" s="13">
        <f t="shared" si="7"/>
        <v>94</v>
      </c>
      <c r="AT28" s="13">
        <f t="shared" si="7"/>
        <v>124</v>
      </c>
      <c r="AU28" s="13">
        <f t="shared" si="7"/>
        <v>81</v>
      </c>
      <c r="AV28" s="13">
        <f t="shared" si="3"/>
        <v>4200</v>
      </c>
    </row>
    <row r="29" ht="12.75" customHeight="1">
      <c r="A29" s="35"/>
      <c r="B29" s="27"/>
      <c r="C29" s="34"/>
      <c r="D29" s="13" t="s">
        <v>13</v>
      </c>
      <c r="E29" s="13">
        <f t="shared" ref="E29:AU29" si="8">SUM(E20,E23,E26)</f>
        <v>132</v>
      </c>
      <c r="F29" s="13">
        <f t="shared" si="8"/>
        <v>108</v>
      </c>
      <c r="G29" s="13">
        <f t="shared" si="8"/>
        <v>97</v>
      </c>
      <c r="H29" s="13">
        <f t="shared" si="8"/>
        <v>119</v>
      </c>
      <c r="I29" s="13">
        <f t="shared" si="8"/>
        <v>125</v>
      </c>
      <c r="J29" s="13">
        <f t="shared" si="8"/>
        <v>110</v>
      </c>
      <c r="K29" s="13">
        <f t="shared" si="8"/>
        <v>127</v>
      </c>
      <c r="L29" s="13">
        <f t="shared" si="8"/>
        <v>116</v>
      </c>
      <c r="M29" s="13">
        <f t="shared" si="8"/>
        <v>124</v>
      </c>
      <c r="N29" s="13">
        <f t="shared" si="8"/>
        <v>118</v>
      </c>
      <c r="O29" s="13">
        <f t="shared" si="8"/>
        <v>119</v>
      </c>
      <c r="P29" s="13">
        <f t="shared" si="8"/>
        <v>121</v>
      </c>
      <c r="Q29" s="13">
        <f t="shared" si="8"/>
        <v>119</v>
      </c>
      <c r="R29" s="13">
        <f t="shared" si="8"/>
        <v>100</v>
      </c>
      <c r="S29" s="13">
        <f t="shared" si="8"/>
        <v>119</v>
      </c>
      <c r="T29" s="13">
        <f t="shared" si="8"/>
        <v>113</v>
      </c>
      <c r="U29" s="13">
        <f t="shared" si="8"/>
        <v>111</v>
      </c>
      <c r="V29" s="13">
        <f t="shared" si="8"/>
        <v>118</v>
      </c>
      <c r="W29" s="13">
        <f t="shared" si="8"/>
        <v>112</v>
      </c>
      <c r="X29" s="13">
        <f t="shared" si="8"/>
        <v>126</v>
      </c>
      <c r="Y29" s="13">
        <f t="shared" si="8"/>
        <v>114</v>
      </c>
      <c r="Z29" s="13">
        <f t="shared" si="8"/>
        <v>126</v>
      </c>
      <c r="AA29" s="13">
        <f t="shared" si="8"/>
        <v>119</v>
      </c>
      <c r="AB29" s="13">
        <f t="shared" si="8"/>
        <v>127</v>
      </c>
      <c r="AC29" s="13">
        <f t="shared" si="8"/>
        <v>121</v>
      </c>
      <c r="AD29" s="13">
        <f t="shared" si="8"/>
        <v>116</v>
      </c>
      <c r="AE29" s="13">
        <f t="shared" si="8"/>
        <v>114</v>
      </c>
      <c r="AF29" s="13">
        <f t="shared" si="8"/>
        <v>112</v>
      </c>
      <c r="AG29" s="13">
        <f t="shared" si="8"/>
        <v>110</v>
      </c>
      <c r="AH29" s="13">
        <f t="shared" si="8"/>
        <v>113</v>
      </c>
      <c r="AI29" s="13">
        <f t="shared" si="8"/>
        <v>126</v>
      </c>
      <c r="AJ29" s="13">
        <f t="shared" si="8"/>
        <v>115</v>
      </c>
      <c r="AK29" s="13">
        <f t="shared" si="8"/>
        <v>127</v>
      </c>
      <c r="AL29" s="13">
        <f t="shared" si="8"/>
        <v>75</v>
      </c>
      <c r="AM29" s="13">
        <f t="shared" si="8"/>
        <v>102</v>
      </c>
      <c r="AN29" s="13">
        <f t="shared" si="8"/>
        <v>113</v>
      </c>
      <c r="AO29" s="13">
        <f t="shared" si="8"/>
        <v>106</v>
      </c>
      <c r="AP29" s="13">
        <f t="shared" si="8"/>
        <v>121</v>
      </c>
      <c r="AQ29" s="13">
        <f t="shared" si="8"/>
        <v>110</v>
      </c>
      <c r="AR29" s="13">
        <f t="shared" si="8"/>
        <v>94</v>
      </c>
      <c r="AS29" s="13">
        <f t="shared" si="8"/>
        <v>113</v>
      </c>
      <c r="AT29" s="13">
        <f t="shared" si="8"/>
        <v>89</v>
      </c>
      <c r="AU29" s="13">
        <f t="shared" si="8"/>
        <v>102</v>
      </c>
      <c r="AV29" s="13">
        <f t="shared" si="3"/>
        <v>4899</v>
      </c>
    </row>
    <row r="30" ht="12.75" customHeight="1">
      <c r="A30" s="35"/>
      <c r="B30" s="28"/>
      <c r="C30" s="36"/>
      <c r="D30" s="13" t="s">
        <v>14</v>
      </c>
      <c r="E30" s="13">
        <f t="shared" ref="E30:AU30" si="9">SUM(E28:E29)</f>
        <v>251</v>
      </c>
      <c r="F30" s="13">
        <f t="shared" si="9"/>
        <v>186</v>
      </c>
      <c r="G30" s="13">
        <f t="shared" si="9"/>
        <v>176</v>
      </c>
      <c r="H30" s="13">
        <f t="shared" si="9"/>
        <v>232</v>
      </c>
      <c r="I30" s="13">
        <f t="shared" si="9"/>
        <v>226</v>
      </c>
      <c r="J30" s="13">
        <f t="shared" si="9"/>
        <v>213</v>
      </c>
      <c r="K30" s="13">
        <f t="shared" si="9"/>
        <v>228</v>
      </c>
      <c r="L30" s="13">
        <f t="shared" si="9"/>
        <v>214</v>
      </c>
      <c r="M30" s="13">
        <f t="shared" si="9"/>
        <v>211</v>
      </c>
      <c r="N30" s="13">
        <f t="shared" si="9"/>
        <v>227</v>
      </c>
      <c r="O30" s="13">
        <f t="shared" si="9"/>
        <v>208</v>
      </c>
      <c r="P30" s="13">
        <f t="shared" si="9"/>
        <v>213</v>
      </c>
      <c r="Q30" s="13">
        <f t="shared" si="9"/>
        <v>209</v>
      </c>
      <c r="R30" s="13">
        <f t="shared" si="9"/>
        <v>209</v>
      </c>
      <c r="S30" s="13">
        <f t="shared" si="9"/>
        <v>203</v>
      </c>
      <c r="T30" s="13">
        <f t="shared" si="9"/>
        <v>216</v>
      </c>
      <c r="U30" s="13">
        <f t="shared" si="9"/>
        <v>209</v>
      </c>
      <c r="V30" s="13">
        <f t="shared" si="9"/>
        <v>213</v>
      </c>
      <c r="W30" s="13">
        <f t="shared" si="9"/>
        <v>228</v>
      </c>
      <c r="X30" s="13">
        <f t="shared" si="9"/>
        <v>226</v>
      </c>
      <c r="Y30" s="13">
        <f t="shared" si="9"/>
        <v>217</v>
      </c>
      <c r="Z30" s="13">
        <f t="shared" si="9"/>
        <v>226</v>
      </c>
      <c r="AA30" s="13">
        <f t="shared" si="9"/>
        <v>226</v>
      </c>
      <c r="AB30" s="13">
        <f t="shared" si="9"/>
        <v>227</v>
      </c>
      <c r="AC30" s="13">
        <f t="shared" si="9"/>
        <v>219</v>
      </c>
      <c r="AD30" s="13">
        <f t="shared" si="9"/>
        <v>214</v>
      </c>
      <c r="AE30" s="13">
        <f t="shared" si="9"/>
        <v>221</v>
      </c>
      <c r="AF30" s="13">
        <f t="shared" si="9"/>
        <v>228</v>
      </c>
      <c r="AG30" s="13">
        <f t="shared" si="9"/>
        <v>206</v>
      </c>
      <c r="AH30" s="13">
        <f t="shared" si="9"/>
        <v>208</v>
      </c>
      <c r="AI30" s="13">
        <f t="shared" si="9"/>
        <v>215</v>
      </c>
      <c r="AJ30" s="13">
        <f t="shared" si="9"/>
        <v>230</v>
      </c>
      <c r="AK30" s="13">
        <f t="shared" si="9"/>
        <v>234</v>
      </c>
      <c r="AL30" s="13">
        <f t="shared" si="9"/>
        <v>145</v>
      </c>
      <c r="AM30" s="13">
        <f t="shared" si="9"/>
        <v>189</v>
      </c>
      <c r="AN30" s="13">
        <f t="shared" si="9"/>
        <v>208</v>
      </c>
      <c r="AO30" s="13">
        <f t="shared" si="9"/>
        <v>190</v>
      </c>
      <c r="AP30" s="13">
        <f t="shared" si="9"/>
        <v>217</v>
      </c>
      <c r="AQ30" s="13">
        <f t="shared" si="9"/>
        <v>206</v>
      </c>
      <c r="AR30" s="13">
        <f t="shared" si="9"/>
        <v>172</v>
      </c>
      <c r="AS30" s="13">
        <f t="shared" si="9"/>
        <v>207</v>
      </c>
      <c r="AT30" s="13">
        <f t="shared" si="9"/>
        <v>213</v>
      </c>
      <c r="AU30" s="13">
        <f t="shared" si="9"/>
        <v>183</v>
      </c>
      <c r="AV30" s="13">
        <f t="shared" si="3"/>
        <v>9099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69"/>
      <c r="P31" s="69"/>
      <c r="Q31" s="69"/>
      <c r="R31" s="69"/>
      <c r="S31" s="69"/>
      <c r="T31" s="19"/>
      <c r="U31" s="19"/>
      <c r="V31" s="19"/>
      <c r="W31" s="19"/>
      <c r="X31" s="19"/>
      <c r="Y31" s="19"/>
      <c r="Z31" s="19"/>
      <c r="AA31" s="19"/>
      <c r="AB31" s="69"/>
      <c r="AC31" s="69"/>
      <c r="AD31" s="69"/>
      <c r="AE31" s="69"/>
      <c r="AF31" s="69"/>
      <c r="AG31" s="69"/>
      <c r="AH31" s="19"/>
      <c r="AI31" s="19"/>
      <c r="AJ31" s="19"/>
      <c r="AK31" s="19"/>
      <c r="AL31" s="19"/>
      <c r="AM31" s="19"/>
      <c r="AN31" s="19"/>
      <c r="AO31" s="69"/>
      <c r="AP31" s="69"/>
      <c r="AQ31" s="69"/>
      <c r="AR31" s="69"/>
      <c r="AS31" s="69"/>
      <c r="AT31" s="69"/>
      <c r="AU31" s="69"/>
      <c r="AV31" s="7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1"/>
      <c r="O32" s="71"/>
      <c r="P32" s="71"/>
      <c r="Q32" s="71"/>
      <c r="R32" s="71"/>
      <c r="S32" s="71"/>
      <c r="T32" s="13"/>
      <c r="U32" s="13"/>
      <c r="V32" s="13"/>
      <c r="W32" s="13"/>
      <c r="X32" s="13"/>
      <c r="Y32" s="13"/>
      <c r="Z32" s="13"/>
      <c r="AA32" s="13"/>
      <c r="AB32" s="71"/>
      <c r="AC32" s="71"/>
      <c r="AD32" s="71"/>
      <c r="AE32" s="71"/>
      <c r="AF32" s="71"/>
      <c r="AG32" s="71"/>
      <c r="AH32" s="13"/>
      <c r="AI32" s="13"/>
      <c r="AJ32" s="13"/>
      <c r="AK32" s="13"/>
      <c r="AL32" s="13"/>
      <c r="AM32" s="13"/>
      <c r="AN32" s="13"/>
      <c r="AO32" s="71"/>
      <c r="AP32" s="71"/>
      <c r="AQ32" s="71"/>
      <c r="AR32" s="71"/>
      <c r="AS32" s="71"/>
      <c r="AT32" s="71"/>
      <c r="AU32" s="71"/>
      <c r="AV32" s="70"/>
    </row>
    <row r="33" ht="12.75" customHeight="1">
      <c r="A33" s="19">
        <v>1.0</v>
      </c>
      <c r="B33" s="20" t="s">
        <v>27</v>
      </c>
      <c r="C33" s="15"/>
      <c r="D33" s="16"/>
      <c r="E33" s="19">
        <v>289.0</v>
      </c>
      <c r="F33" s="19">
        <v>293.0</v>
      </c>
      <c r="G33" s="19">
        <v>224.0</v>
      </c>
      <c r="H33" s="19">
        <v>264.0</v>
      </c>
      <c r="I33" s="19">
        <v>311.0</v>
      </c>
      <c r="J33" s="19">
        <v>291.0</v>
      </c>
      <c r="K33" s="19">
        <v>299.0</v>
      </c>
      <c r="L33" s="19">
        <v>290.0</v>
      </c>
      <c r="M33" s="19">
        <v>296.0</v>
      </c>
      <c r="N33" s="19">
        <v>302.0</v>
      </c>
      <c r="O33" s="19">
        <v>288.0</v>
      </c>
      <c r="P33" s="19">
        <v>267.0</v>
      </c>
      <c r="Q33" s="19">
        <v>289.0</v>
      </c>
      <c r="R33" s="19">
        <v>289.0</v>
      </c>
      <c r="S33" s="19">
        <v>277.0</v>
      </c>
      <c r="T33" s="19">
        <v>293.0</v>
      </c>
      <c r="U33" s="19">
        <v>300.0</v>
      </c>
      <c r="V33" s="19">
        <v>294.0</v>
      </c>
      <c r="W33" s="19">
        <v>299.0</v>
      </c>
      <c r="X33" s="19">
        <v>295.0</v>
      </c>
      <c r="Y33" s="19">
        <v>288.0</v>
      </c>
      <c r="Z33" s="19">
        <v>287.0</v>
      </c>
      <c r="AA33" s="19">
        <v>296.0</v>
      </c>
      <c r="AB33" s="19">
        <v>288.0</v>
      </c>
      <c r="AC33" s="19">
        <v>295.0</v>
      </c>
      <c r="AD33" s="19">
        <v>271.0</v>
      </c>
      <c r="AE33" s="19">
        <v>300.0</v>
      </c>
      <c r="AF33" s="19">
        <v>302.0</v>
      </c>
      <c r="AG33" s="19">
        <v>291.0</v>
      </c>
      <c r="AH33" s="19">
        <v>305.0</v>
      </c>
      <c r="AI33" s="19">
        <v>296.0</v>
      </c>
      <c r="AJ33" s="19">
        <v>289.0</v>
      </c>
      <c r="AK33" s="19">
        <v>293.0</v>
      </c>
      <c r="AL33" s="19">
        <v>222.0</v>
      </c>
      <c r="AM33" s="19">
        <v>273.0</v>
      </c>
      <c r="AN33" s="19">
        <v>276.0</v>
      </c>
      <c r="AO33" s="19">
        <v>269.0</v>
      </c>
      <c r="AP33" s="19">
        <v>295.0</v>
      </c>
      <c r="AQ33" s="19">
        <v>301.0</v>
      </c>
      <c r="AR33" s="19">
        <v>246.0</v>
      </c>
      <c r="AS33" s="19">
        <v>295.0</v>
      </c>
      <c r="AT33" s="19">
        <v>300.0</v>
      </c>
      <c r="AU33" s="19">
        <v>296.0</v>
      </c>
      <c r="AV33" s="13">
        <f t="shared" ref="AV33:AV36" si="10">SUM(E33:AU33)</f>
        <v>12324</v>
      </c>
    </row>
    <row r="34" ht="12.75" customHeight="1">
      <c r="A34" s="19">
        <v>2.0</v>
      </c>
      <c r="B34" s="20" t="s">
        <v>28</v>
      </c>
      <c r="C34" s="15"/>
      <c r="D34" s="16"/>
      <c r="E34" s="13">
        <v>251.0</v>
      </c>
      <c r="F34" s="13">
        <v>186.0</v>
      </c>
      <c r="G34" s="13">
        <v>176.0</v>
      </c>
      <c r="H34" s="13">
        <v>232.0</v>
      </c>
      <c r="I34" s="13">
        <v>226.0</v>
      </c>
      <c r="J34" s="13">
        <v>213.0</v>
      </c>
      <c r="K34" s="13">
        <v>228.0</v>
      </c>
      <c r="L34" s="13">
        <v>214.0</v>
      </c>
      <c r="M34" s="13">
        <v>211.0</v>
      </c>
      <c r="N34" s="13">
        <v>227.0</v>
      </c>
      <c r="O34" s="13">
        <v>208.0</v>
      </c>
      <c r="P34" s="13">
        <v>213.0</v>
      </c>
      <c r="Q34" s="13">
        <v>209.0</v>
      </c>
      <c r="R34" s="13">
        <v>209.0</v>
      </c>
      <c r="S34" s="13">
        <v>203.0</v>
      </c>
      <c r="T34" s="13">
        <v>216.0</v>
      </c>
      <c r="U34" s="13">
        <v>209.0</v>
      </c>
      <c r="V34" s="13">
        <v>213.0</v>
      </c>
      <c r="W34" s="13">
        <v>228.0</v>
      </c>
      <c r="X34" s="13">
        <v>226.0</v>
      </c>
      <c r="Y34" s="13">
        <v>217.0</v>
      </c>
      <c r="Z34" s="13">
        <v>226.0</v>
      </c>
      <c r="AA34" s="13">
        <v>226.0</v>
      </c>
      <c r="AB34" s="13">
        <v>227.0</v>
      </c>
      <c r="AC34" s="13">
        <v>219.0</v>
      </c>
      <c r="AD34" s="13">
        <v>214.0</v>
      </c>
      <c r="AE34" s="13">
        <v>221.0</v>
      </c>
      <c r="AF34" s="13">
        <v>228.0</v>
      </c>
      <c r="AG34" s="13">
        <v>206.0</v>
      </c>
      <c r="AH34" s="13">
        <v>208.0</v>
      </c>
      <c r="AI34" s="13">
        <v>215.0</v>
      </c>
      <c r="AJ34" s="13">
        <v>230.0</v>
      </c>
      <c r="AK34" s="13">
        <v>234.0</v>
      </c>
      <c r="AL34" s="13">
        <v>145.0</v>
      </c>
      <c r="AM34" s="13">
        <v>189.0</v>
      </c>
      <c r="AN34" s="13">
        <v>208.0</v>
      </c>
      <c r="AO34" s="13">
        <v>190.0</v>
      </c>
      <c r="AP34" s="13">
        <v>217.0</v>
      </c>
      <c r="AQ34" s="13">
        <v>206.0</v>
      </c>
      <c r="AR34" s="13">
        <v>172.0</v>
      </c>
      <c r="AS34" s="13">
        <v>207.0</v>
      </c>
      <c r="AT34" s="13">
        <v>213.0</v>
      </c>
      <c r="AU34" s="13">
        <v>183.0</v>
      </c>
      <c r="AV34" s="13">
        <f t="shared" si="10"/>
        <v>9099</v>
      </c>
    </row>
    <row r="35" ht="12.75" customHeight="1">
      <c r="A35" s="19">
        <v>3.0</v>
      </c>
      <c r="B35" s="20" t="s">
        <v>29</v>
      </c>
      <c r="C35" s="15"/>
      <c r="D35" s="16"/>
      <c r="E35" s="19">
        <v>2.0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1.0</v>
      </c>
      <c r="Q35" s="19">
        <v>1.0</v>
      </c>
      <c r="R35" s="19">
        <v>2.0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1.0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1.0</v>
      </c>
      <c r="AN35" s="19">
        <v>0.0</v>
      </c>
      <c r="AO35" s="19">
        <v>1.0</v>
      </c>
      <c r="AP35" s="19">
        <v>0.0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U36" si="11">E33-(E34+E35)</f>
        <v>36</v>
      </c>
      <c r="F36" s="13">
        <f t="shared" si="11"/>
        <v>107</v>
      </c>
      <c r="G36" s="13">
        <f t="shared" si="11"/>
        <v>48</v>
      </c>
      <c r="H36" s="13">
        <f t="shared" si="11"/>
        <v>32</v>
      </c>
      <c r="I36" s="13">
        <f t="shared" si="11"/>
        <v>85</v>
      </c>
      <c r="J36" s="13">
        <f t="shared" si="11"/>
        <v>78</v>
      </c>
      <c r="K36" s="13">
        <f t="shared" si="11"/>
        <v>71</v>
      </c>
      <c r="L36" s="13">
        <f t="shared" si="11"/>
        <v>76</v>
      </c>
      <c r="M36" s="13">
        <f t="shared" si="11"/>
        <v>85</v>
      </c>
      <c r="N36" s="13">
        <f t="shared" si="11"/>
        <v>75</v>
      </c>
      <c r="O36" s="13">
        <f t="shared" si="11"/>
        <v>79</v>
      </c>
      <c r="P36" s="13">
        <f t="shared" si="11"/>
        <v>53</v>
      </c>
      <c r="Q36" s="13">
        <f t="shared" si="11"/>
        <v>79</v>
      </c>
      <c r="R36" s="13">
        <f t="shared" si="11"/>
        <v>78</v>
      </c>
      <c r="S36" s="13">
        <f t="shared" si="11"/>
        <v>74</v>
      </c>
      <c r="T36" s="13">
        <f t="shared" si="11"/>
        <v>77</v>
      </c>
      <c r="U36" s="13">
        <f t="shared" si="11"/>
        <v>91</v>
      </c>
      <c r="V36" s="13">
        <f t="shared" si="11"/>
        <v>81</v>
      </c>
      <c r="W36" s="13">
        <f t="shared" si="11"/>
        <v>71</v>
      </c>
      <c r="X36" s="13">
        <f t="shared" si="11"/>
        <v>69</v>
      </c>
      <c r="Y36" s="13">
        <f t="shared" si="11"/>
        <v>71</v>
      </c>
      <c r="Z36" s="13">
        <f t="shared" si="11"/>
        <v>61</v>
      </c>
      <c r="AA36" s="13">
        <f t="shared" si="11"/>
        <v>70</v>
      </c>
      <c r="AB36" s="13">
        <f t="shared" si="11"/>
        <v>61</v>
      </c>
      <c r="AC36" s="13">
        <f t="shared" si="11"/>
        <v>76</v>
      </c>
      <c r="AD36" s="13">
        <f t="shared" si="11"/>
        <v>57</v>
      </c>
      <c r="AE36" s="13">
        <f t="shared" si="11"/>
        <v>78</v>
      </c>
      <c r="AF36" s="13">
        <f t="shared" si="11"/>
        <v>74</v>
      </c>
      <c r="AG36" s="13">
        <f t="shared" si="11"/>
        <v>85</v>
      </c>
      <c r="AH36" s="13">
        <f t="shared" si="11"/>
        <v>97</v>
      </c>
      <c r="AI36" s="13">
        <f t="shared" si="11"/>
        <v>81</v>
      </c>
      <c r="AJ36" s="13">
        <f t="shared" si="11"/>
        <v>59</v>
      </c>
      <c r="AK36" s="13">
        <f t="shared" si="11"/>
        <v>59</v>
      </c>
      <c r="AL36" s="13">
        <f t="shared" si="11"/>
        <v>77</v>
      </c>
      <c r="AM36" s="13">
        <f t="shared" si="11"/>
        <v>83</v>
      </c>
      <c r="AN36" s="13">
        <f t="shared" si="11"/>
        <v>68</v>
      </c>
      <c r="AO36" s="13">
        <f t="shared" si="11"/>
        <v>78</v>
      </c>
      <c r="AP36" s="13">
        <f t="shared" si="11"/>
        <v>78</v>
      </c>
      <c r="AQ36" s="13">
        <f t="shared" si="11"/>
        <v>95</v>
      </c>
      <c r="AR36" s="13">
        <f t="shared" si="11"/>
        <v>74</v>
      </c>
      <c r="AS36" s="13">
        <f t="shared" si="11"/>
        <v>88</v>
      </c>
      <c r="AT36" s="13">
        <f t="shared" si="11"/>
        <v>87</v>
      </c>
      <c r="AU36" s="13">
        <f t="shared" si="11"/>
        <v>113</v>
      </c>
      <c r="AV36" s="13">
        <f t="shared" si="10"/>
        <v>3215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6"/>
      <c r="AK37" s="19"/>
      <c r="AL37" s="19"/>
      <c r="AM37" s="19"/>
      <c r="AN37" s="19"/>
      <c r="AO37" s="69"/>
      <c r="AP37" s="75"/>
      <c r="AQ37" s="75"/>
      <c r="AR37" s="75"/>
      <c r="AS37" s="75"/>
      <c r="AT37" s="75"/>
      <c r="AU37" s="75"/>
      <c r="AV37" s="7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1"/>
      <c r="O38" s="71"/>
      <c r="P38" s="71"/>
      <c r="Q38" s="71"/>
      <c r="R38" s="71"/>
      <c r="S38" s="71"/>
      <c r="T38" s="13"/>
      <c r="U38" s="13"/>
      <c r="V38" s="13"/>
      <c r="W38" s="13"/>
      <c r="X38" s="13"/>
      <c r="Y38" s="13"/>
      <c r="Z38" s="13"/>
      <c r="AA38" s="13"/>
      <c r="AB38" s="71"/>
      <c r="AC38" s="71"/>
      <c r="AD38" s="71"/>
      <c r="AE38" s="71"/>
      <c r="AF38" s="71"/>
      <c r="AG38" s="71"/>
      <c r="AH38" s="13"/>
      <c r="AI38" s="13"/>
      <c r="AJ38" s="13"/>
      <c r="AK38" s="13"/>
      <c r="AL38" s="13"/>
      <c r="AM38" s="13"/>
      <c r="AN38" s="13"/>
      <c r="AO38" s="71"/>
      <c r="AP38" s="71"/>
      <c r="AQ38" s="71"/>
      <c r="AR38" s="71"/>
      <c r="AS38" s="71"/>
      <c r="AT38" s="71"/>
      <c r="AU38" s="71"/>
      <c r="AV38" s="70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1.0</v>
      </c>
      <c r="H39" s="19">
        <v>0.0</v>
      </c>
      <c r="I39" s="19">
        <v>0.0</v>
      </c>
      <c r="J39" s="19">
        <v>2.0</v>
      </c>
      <c r="K39" s="19">
        <v>0.0</v>
      </c>
      <c r="L39" s="19">
        <v>0.0</v>
      </c>
      <c r="M39" s="19">
        <v>1.0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3.0</v>
      </c>
      <c r="Y39" s="19">
        <v>0.0</v>
      </c>
      <c r="Z39" s="19">
        <v>0.0</v>
      </c>
      <c r="AA39" s="19">
        <v>1.0</v>
      </c>
      <c r="AB39" s="19">
        <v>0.0</v>
      </c>
      <c r="AC39" s="19">
        <v>0.0</v>
      </c>
      <c r="AD39" s="19">
        <v>0.0</v>
      </c>
      <c r="AE39" s="19">
        <v>0.0</v>
      </c>
      <c r="AF39" s="19">
        <v>1.0</v>
      </c>
      <c r="AG39" s="19">
        <v>0.0</v>
      </c>
      <c r="AH39" s="19">
        <v>0.0</v>
      </c>
      <c r="AI39" s="19">
        <v>1.0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1.0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1.0</v>
      </c>
      <c r="AV39" s="13">
        <f t="shared" ref="AV39:AV41" si="12">SUM(E39:AU39)</f>
        <v>13</v>
      </c>
    </row>
    <row r="40" ht="12.75" customHeight="1">
      <c r="A40" s="33"/>
      <c r="C40" s="27"/>
      <c r="D40" s="19" t="s">
        <v>13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2.0</v>
      </c>
      <c r="Q40" s="19">
        <v>0.0</v>
      </c>
      <c r="R40" s="19">
        <v>0.0</v>
      </c>
      <c r="S40" s="19">
        <v>0.0</v>
      </c>
      <c r="T40" s="19">
        <v>0.0</v>
      </c>
      <c r="U40" s="19">
        <v>1.0</v>
      </c>
      <c r="V40" s="19">
        <v>0.0</v>
      </c>
      <c r="W40" s="19">
        <v>0.0</v>
      </c>
      <c r="X40" s="19">
        <v>2.0</v>
      </c>
      <c r="Y40" s="19">
        <v>0.0</v>
      </c>
      <c r="Z40" s="19">
        <v>0.0</v>
      </c>
      <c r="AA40" s="19">
        <v>2.0</v>
      </c>
      <c r="AB40" s="19">
        <v>0.0</v>
      </c>
      <c r="AC40" s="19">
        <v>0.0</v>
      </c>
      <c r="AD40" s="19">
        <v>0.0</v>
      </c>
      <c r="AE40" s="19">
        <v>0.0</v>
      </c>
      <c r="AF40" s="19">
        <v>1.0</v>
      </c>
      <c r="AG40" s="19">
        <v>0.0</v>
      </c>
      <c r="AH40" s="19">
        <v>1.0</v>
      </c>
      <c r="AI40" s="19">
        <v>1.0</v>
      </c>
      <c r="AJ40" s="19">
        <v>0.0</v>
      </c>
      <c r="AK40" s="19">
        <v>0.0</v>
      </c>
      <c r="AL40" s="19">
        <v>0.0</v>
      </c>
      <c r="AM40" s="19">
        <v>1.0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1.0</v>
      </c>
      <c r="AV40" s="13">
        <f t="shared" si="12"/>
        <v>13</v>
      </c>
    </row>
    <row r="41" ht="12.75" customHeight="1">
      <c r="A41" s="41"/>
      <c r="B41" s="44"/>
      <c r="C41" s="28"/>
      <c r="D41" s="13" t="s">
        <v>14</v>
      </c>
      <c r="E41" s="13">
        <f t="shared" ref="E41:AU41" si="13">SUM(E39:E40)</f>
        <v>2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2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2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3"/>
        <v>0</v>
      </c>
      <c r="W41" s="13">
        <f t="shared" si="13"/>
        <v>0</v>
      </c>
      <c r="X41" s="13">
        <f t="shared" si="13"/>
        <v>5</v>
      </c>
      <c r="Y41" s="13">
        <f t="shared" si="13"/>
        <v>0</v>
      </c>
      <c r="Z41" s="13">
        <f t="shared" si="13"/>
        <v>0</v>
      </c>
      <c r="AA41" s="13">
        <f t="shared" si="13"/>
        <v>3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2</v>
      </c>
      <c r="AG41" s="13">
        <f t="shared" si="13"/>
        <v>0</v>
      </c>
      <c r="AH41" s="13">
        <f t="shared" si="13"/>
        <v>1</v>
      </c>
      <c r="AI41" s="13">
        <f t="shared" si="13"/>
        <v>2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1</v>
      </c>
      <c r="AN41" s="13">
        <f t="shared" si="13"/>
        <v>0</v>
      </c>
      <c r="AO41" s="13">
        <f t="shared" si="13"/>
        <v>1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2</v>
      </c>
      <c r="AV41" s="13">
        <f t="shared" si="12"/>
        <v>26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6"/>
      <c r="AK42" s="19"/>
      <c r="AL42" s="19"/>
      <c r="AM42" s="19"/>
      <c r="AN42" s="19"/>
      <c r="AO42" s="69"/>
      <c r="AP42" s="19"/>
      <c r="AQ42" s="69"/>
      <c r="AR42" s="19"/>
      <c r="AS42" s="69"/>
      <c r="AT42" s="19"/>
      <c r="AU42" s="69"/>
      <c r="A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1"/>
      <c r="O43" s="13"/>
      <c r="P43" s="71"/>
      <c r="Q43" s="13"/>
      <c r="R43" s="71"/>
      <c r="S43" s="13"/>
      <c r="T43" s="13"/>
      <c r="U43" s="13"/>
      <c r="V43" s="13"/>
      <c r="W43" s="13"/>
      <c r="X43" s="13"/>
      <c r="Y43" s="13"/>
      <c r="Z43" s="13"/>
      <c r="AA43" s="13"/>
      <c r="AB43" s="71"/>
      <c r="AC43" s="13"/>
      <c r="AD43" s="71"/>
      <c r="AE43" s="13"/>
      <c r="AF43" s="71"/>
      <c r="AG43" s="13"/>
      <c r="AH43" s="13"/>
      <c r="AI43" s="13"/>
      <c r="AJ43" s="13"/>
      <c r="AK43" s="13"/>
      <c r="AL43" s="13"/>
      <c r="AM43" s="13"/>
      <c r="AN43" s="13"/>
      <c r="AO43" s="71"/>
      <c r="AP43" s="13"/>
      <c r="AQ43" s="71"/>
      <c r="AR43" s="13"/>
      <c r="AS43" s="71"/>
      <c r="AT43" s="13"/>
      <c r="AU43" s="71"/>
      <c r="A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9"/>
      <c r="O44" s="19"/>
      <c r="P44" s="69"/>
      <c r="Q44" s="19"/>
      <c r="R44" s="69"/>
      <c r="S44" s="19"/>
      <c r="T44" s="19"/>
      <c r="U44" s="19"/>
      <c r="V44" s="19"/>
      <c r="W44" s="19"/>
      <c r="X44" s="19"/>
      <c r="Y44" s="19"/>
      <c r="Z44" s="19"/>
      <c r="AA44" s="19"/>
      <c r="AB44" s="69"/>
      <c r="AC44" s="19"/>
      <c r="AD44" s="69"/>
      <c r="AE44" s="19"/>
      <c r="AF44" s="69"/>
      <c r="AG44" s="19"/>
      <c r="AH44" s="19"/>
      <c r="AI44" s="19"/>
      <c r="AJ44" s="19"/>
      <c r="AK44" s="19"/>
      <c r="AL44" s="19"/>
      <c r="AM44" s="19"/>
      <c r="AN44" s="19"/>
      <c r="AO44" s="69"/>
      <c r="AP44" s="19"/>
      <c r="AQ44" s="69"/>
      <c r="AR44" s="19"/>
      <c r="AS44" s="69"/>
      <c r="AT44" s="19"/>
      <c r="AU44" s="69"/>
      <c r="AV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4.0</v>
      </c>
      <c r="F45" s="19">
        <v>4.0</v>
      </c>
      <c r="G45" s="19">
        <v>1.0</v>
      </c>
      <c r="H45" s="19">
        <v>3.0</v>
      </c>
      <c r="I45" s="19">
        <v>2.0</v>
      </c>
      <c r="J45" s="19">
        <v>2.0</v>
      </c>
      <c r="K45" s="19">
        <v>3.0</v>
      </c>
      <c r="L45" s="19">
        <v>4.0</v>
      </c>
      <c r="M45" s="19">
        <v>5.0</v>
      </c>
      <c r="N45" s="19">
        <v>10.0</v>
      </c>
      <c r="O45" s="19">
        <v>3.0</v>
      </c>
      <c r="P45" s="19">
        <v>4.0</v>
      </c>
      <c r="Q45" s="19">
        <v>1.0</v>
      </c>
      <c r="R45" s="19">
        <v>5.0</v>
      </c>
      <c r="S45" s="19">
        <v>4.0</v>
      </c>
      <c r="T45" s="19">
        <v>6.0</v>
      </c>
      <c r="U45" s="19">
        <v>2.0</v>
      </c>
      <c r="V45" s="19">
        <v>15.0</v>
      </c>
      <c r="W45" s="19">
        <v>4.0</v>
      </c>
      <c r="X45" s="19">
        <v>5.0</v>
      </c>
      <c r="Y45" s="19">
        <v>6.0</v>
      </c>
      <c r="Z45" s="19">
        <v>13.0</v>
      </c>
      <c r="AA45" s="19">
        <v>7.0</v>
      </c>
      <c r="AB45" s="19">
        <v>6.0</v>
      </c>
      <c r="AC45" s="19">
        <v>6.0</v>
      </c>
      <c r="AD45" s="19">
        <v>11.0</v>
      </c>
      <c r="AE45" s="19">
        <v>6.0</v>
      </c>
      <c r="AF45" s="19">
        <v>11.0</v>
      </c>
      <c r="AG45" s="19">
        <v>5.0</v>
      </c>
      <c r="AH45" s="19">
        <v>5.0</v>
      </c>
      <c r="AI45" s="19">
        <v>5.0</v>
      </c>
      <c r="AJ45" s="19">
        <v>12.0</v>
      </c>
      <c r="AK45" s="19">
        <v>12.0</v>
      </c>
      <c r="AL45" s="19">
        <v>2.0</v>
      </c>
      <c r="AM45" s="19">
        <v>3.0</v>
      </c>
      <c r="AN45" s="19">
        <v>3.0</v>
      </c>
      <c r="AO45" s="19">
        <v>6.0</v>
      </c>
      <c r="AP45" s="19">
        <v>1.0</v>
      </c>
      <c r="AQ45" s="19">
        <v>0.0</v>
      </c>
      <c r="AR45" s="19">
        <v>3.0</v>
      </c>
      <c r="AS45" s="19">
        <v>0.0</v>
      </c>
      <c r="AT45" s="19">
        <v>1.0</v>
      </c>
      <c r="AU45" s="19">
        <v>1.0</v>
      </c>
      <c r="AV45" s="13">
        <f t="shared" ref="AV45:AV52" si="14">SUM(E45:AU45)</f>
        <v>212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7.0</v>
      </c>
      <c r="F46" s="19">
        <v>3.0</v>
      </c>
      <c r="G46" s="19">
        <v>6.0</v>
      </c>
      <c r="H46" s="19">
        <v>2.0</v>
      </c>
      <c r="I46" s="19">
        <v>4.0</v>
      </c>
      <c r="J46" s="19">
        <v>1.0</v>
      </c>
      <c r="K46" s="19">
        <v>5.0</v>
      </c>
      <c r="L46" s="19">
        <v>9.0</v>
      </c>
      <c r="M46" s="19">
        <v>8.0</v>
      </c>
      <c r="N46" s="19">
        <v>11.0</v>
      </c>
      <c r="O46" s="19">
        <v>9.0</v>
      </c>
      <c r="P46" s="19">
        <v>4.0</v>
      </c>
      <c r="Q46" s="19">
        <v>4.0</v>
      </c>
      <c r="R46" s="19">
        <v>5.0</v>
      </c>
      <c r="S46" s="19">
        <v>7.0</v>
      </c>
      <c r="T46" s="19">
        <v>10.0</v>
      </c>
      <c r="U46" s="19">
        <v>7.0</v>
      </c>
      <c r="V46" s="19">
        <v>17.0</v>
      </c>
      <c r="W46" s="19">
        <v>10.0</v>
      </c>
      <c r="X46" s="19">
        <v>5.0</v>
      </c>
      <c r="Y46" s="19">
        <v>16.0</v>
      </c>
      <c r="Z46" s="19">
        <v>14.0</v>
      </c>
      <c r="AA46" s="19">
        <v>8.0</v>
      </c>
      <c r="AB46" s="19">
        <v>4.0</v>
      </c>
      <c r="AC46" s="19">
        <v>6.0</v>
      </c>
      <c r="AD46" s="19">
        <v>16.0</v>
      </c>
      <c r="AE46" s="19">
        <v>23.0</v>
      </c>
      <c r="AF46" s="19">
        <v>49.0</v>
      </c>
      <c r="AG46" s="19">
        <v>15.0</v>
      </c>
      <c r="AH46" s="19">
        <v>9.0</v>
      </c>
      <c r="AI46" s="19">
        <v>17.0</v>
      </c>
      <c r="AJ46" s="19">
        <v>27.0</v>
      </c>
      <c r="AK46" s="19">
        <v>34.0</v>
      </c>
      <c r="AL46" s="19">
        <v>6.0</v>
      </c>
      <c r="AM46" s="19">
        <v>9.0</v>
      </c>
      <c r="AN46" s="19">
        <v>6.0</v>
      </c>
      <c r="AO46" s="19">
        <v>4.0</v>
      </c>
      <c r="AP46" s="19">
        <v>9.0</v>
      </c>
      <c r="AQ46" s="19">
        <v>20.0</v>
      </c>
      <c r="AR46" s="19">
        <v>5.0</v>
      </c>
      <c r="AS46" s="19">
        <v>11.0</v>
      </c>
      <c r="AT46" s="19">
        <v>16.0</v>
      </c>
      <c r="AU46" s="19">
        <v>11.0</v>
      </c>
      <c r="AV46" s="13">
        <f t="shared" si="14"/>
        <v>469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0.0</v>
      </c>
      <c r="G47" s="19">
        <v>0.0</v>
      </c>
      <c r="H47" s="19">
        <v>5.0</v>
      </c>
      <c r="I47" s="19">
        <v>2.0</v>
      </c>
      <c r="J47" s="19">
        <v>4.0</v>
      </c>
      <c r="K47" s="19">
        <v>1.0</v>
      </c>
      <c r="L47" s="19">
        <v>3.0</v>
      </c>
      <c r="M47" s="19">
        <v>5.0</v>
      </c>
      <c r="N47" s="19">
        <v>2.0</v>
      </c>
      <c r="O47" s="19">
        <v>0.0</v>
      </c>
      <c r="P47" s="19">
        <v>1.0</v>
      </c>
      <c r="Q47" s="19">
        <v>0.0</v>
      </c>
      <c r="R47" s="19">
        <v>1.0</v>
      </c>
      <c r="S47" s="19">
        <v>0.0</v>
      </c>
      <c r="T47" s="19">
        <v>2.0</v>
      </c>
      <c r="U47" s="19">
        <v>0.0</v>
      </c>
      <c r="V47" s="19">
        <v>1.0</v>
      </c>
      <c r="W47" s="19">
        <v>1.0</v>
      </c>
      <c r="X47" s="19">
        <v>4.0</v>
      </c>
      <c r="Y47" s="19">
        <v>3.0</v>
      </c>
      <c r="Z47" s="19">
        <v>1.0</v>
      </c>
      <c r="AA47" s="19">
        <v>3.0</v>
      </c>
      <c r="AB47" s="19">
        <v>4.0</v>
      </c>
      <c r="AC47" s="19">
        <v>5.0</v>
      </c>
      <c r="AD47" s="19">
        <v>5.0</v>
      </c>
      <c r="AE47" s="19">
        <v>4.0</v>
      </c>
      <c r="AF47" s="19">
        <v>0.0</v>
      </c>
      <c r="AG47" s="19">
        <v>1.0</v>
      </c>
      <c r="AH47" s="19">
        <v>16.0</v>
      </c>
      <c r="AI47" s="19">
        <v>4.0</v>
      </c>
      <c r="AJ47" s="19">
        <v>6.0</v>
      </c>
      <c r="AK47" s="19">
        <v>2.0</v>
      </c>
      <c r="AL47" s="19">
        <v>0.0</v>
      </c>
      <c r="AM47" s="19">
        <v>1.0</v>
      </c>
      <c r="AN47" s="19">
        <v>1.0</v>
      </c>
      <c r="AO47" s="19">
        <v>0.0</v>
      </c>
      <c r="AP47" s="19">
        <v>3.0</v>
      </c>
      <c r="AQ47" s="19">
        <v>1.0</v>
      </c>
      <c r="AR47" s="19">
        <v>0.0</v>
      </c>
      <c r="AS47" s="19">
        <v>0.0</v>
      </c>
      <c r="AT47" s="19">
        <v>1.0</v>
      </c>
      <c r="AU47" s="19">
        <v>3.0</v>
      </c>
      <c r="AV47" s="13">
        <f t="shared" si="14"/>
        <v>97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0.0</v>
      </c>
      <c r="I48" s="19">
        <v>2.0</v>
      </c>
      <c r="J48" s="19">
        <v>2.0</v>
      </c>
      <c r="K48" s="19">
        <v>0.0</v>
      </c>
      <c r="L48" s="19">
        <v>1.0</v>
      </c>
      <c r="M48" s="19">
        <v>1.0</v>
      </c>
      <c r="N48" s="19">
        <v>1.0</v>
      </c>
      <c r="O48" s="19">
        <v>0.0</v>
      </c>
      <c r="P48" s="19">
        <v>0.0</v>
      </c>
      <c r="Q48" s="19">
        <v>1.0</v>
      </c>
      <c r="R48" s="19">
        <v>2.0</v>
      </c>
      <c r="S48" s="19">
        <v>2.0</v>
      </c>
      <c r="T48" s="19">
        <v>1.0</v>
      </c>
      <c r="U48" s="19">
        <v>0.0</v>
      </c>
      <c r="V48" s="19">
        <v>0.0</v>
      </c>
      <c r="W48" s="19">
        <v>0.0</v>
      </c>
      <c r="X48" s="19">
        <v>0.0</v>
      </c>
      <c r="Y48" s="19">
        <v>0.0</v>
      </c>
      <c r="Z48" s="19">
        <v>1.0</v>
      </c>
      <c r="AA48" s="19">
        <v>1.0</v>
      </c>
      <c r="AB48" s="19">
        <v>2.0</v>
      </c>
      <c r="AC48" s="19">
        <v>0.0</v>
      </c>
      <c r="AD48" s="19">
        <v>1.0</v>
      </c>
      <c r="AE48" s="19">
        <v>0.0</v>
      </c>
      <c r="AF48" s="19">
        <v>1.0</v>
      </c>
      <c r="AG48" s="19">
        <v>2.0</v>
      </c>
      <c r="AH48" s="19">
        <v>0.0</v>
      </c>
      <c r="AI48" s="19">
        <v>1.0</v>
      </c>
      <c r="AJ48" s="19">
        <v>0.0</v>
      </c>
      <c r="AK48" s="19">
        <v>1.0</v>
      </c>
      <c r="AL48" s="19">
        <v>3.0</v>
      </c>
      <c r="AM48" s="19">
        <v>2.0</v>
      </c>
      <c r="AN48" s="19">
        <v>0.0</v>
      </c>
      <c r="AO48" s="19">
        <v>0.0</v>
      </c>
      <c r="AP48" s="19">
        <v>2.0</v>
      </c>
      <c r="AQ48" s="19">
        <v>0.0</v>
      </c>
      <c r="AR48" s="19">
        <v>1.0</v>
      </c>
      <c r="AS48" s="19">
        <v>0.0</v>
      </c>
      <c r="AT48" s="19">
        <v>0.0</v>
      </c>
      <c r="AU48" s="19">
        <v>0.0</v>
      </c>
      <c r="AV48" s="13">
        <f t="shared" si="14"/>
        <v>31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0.0</v>
      </c>
      <c r="N49" s="19">
        <v>2.0</v>
      </c>
      <c r="O49" s="19">
        <v>1.0</v>
      </c>
      <c r="P49" s="19">
        <v>1.0</v>
      </c>
      <c r="Q49" s="19">
        <v>2.0</v>
      </c>
      <c r="R49" s="19">
        <v>0.0</v>
      </c>
      <c r="S49" s="19">
        <v>0.0</v>
      </c>
      <c r="T49" s="19">
        <v>0.0</v>
      </c>
      <c r="U49" s="19">
        <v>1.0</v>
      </c>
      <c r="V49" s="19">
        <v>0.0</v>
      </c>
      <c r="W49" s="19">
        <v>0.0</v>
      </c>
      <c r="X49" s="19">
        <v>1.0</v>
      </c>
      <c r="Y49" s="19">
        <v>0.0</v>
      </c>
      <c r="Z49" s="19">
        <v>0.0</v>
      </c>
      <c r="AA49" s="19">
        <v>0.0</v>
      </c>
      <c r="AB49" s="19">
        <v>0.0</v>
      </c>
      <c r="AC49" s="19">
        <v>0.0</v>
      </c>
      <c r="AD49" s="19">
        <v>0.0</v>
      </c>
      <c r="AE49" s="19">
        <v>3.0</v>
      </c>
      <c r="AF49" s="19">
        <v>0.0</v>
      </c>
      <c r="AG49" s="19">
        <v>3.0</v>
      </c>
      <c r="AH49" s="19">
        <v>0.0</v>
      </c>
      <c r="AI49" s="19">
        <v>0.0</v>
      </c>
      <c r="AJ49" s="19">
        <v>0.0</v>
      </c>
      <c r="AK49" s="19">
        <v>0.0</v>
      </c>
      <c r="AL49" s="19">
        <v>0.0</v>
      </c>
      <c r="AM49" s="19">
        <v>1.0</v>
      </c>
      <c r="AN49" s="19">
        <v>0.0</v>
      </c>
      <c r="AO49" s="19">
        <v>0.0</v>
      </c>
      <c r="AP49" s="19">
        <v>0.0</v>
      </c>
      <c r="AQ49" s="19">
        <v>1.0</v>
      </c>
      <c r="AR49" s="19">
        <v>1.0</v>
      </c>
      <c r="AS49" s="19">
        <v>1.0</v>
      </c>
      <c r="AT49" s="19">
        <v>0.0</v>
      </c>
      <c r="AU49" s="19">
        <v>0.0</v>
      </c>
      <c r="AV49" s="13">
        <f t="shared" si="14"/>
        <v>18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1.0</v>
      </c>
      <c r="L50" s="19">
        <v>0.0</v>
      </c>
      <c r="M50" s="19">
        <v>0.0</v>
      </c>
      <c r="N50" s="19">
        <v>2.0</v>
      </c>
      <c r="O50" s="19">
        <v>0.0</v>
      </c>
      <c r="P50" s="19">
        <v>0.0</v>
      </c>
      <c r="Q50" s="19">
        <v>0.0</v>
      </c>
      <c r="R50" s="19">
        <v>1.0</v>
      </c>
      <c r="S50" s="19">
        <v>0.0</v>
      </c>
      <c r="T50" s="19">
        <v>0.0</v>
      </c>
      <c r="U50" s="19">
        <v>0.0</v>
      </c>
      <c r="V50" s="19">
        <v>0.0</v>
      </c>
      <c r="W50" s="19">
        <v>1.0</v>
      </c>
      <c r="X50" s="19">
        <v>0.0</v>
      </c>
      <c r="Y50" s="19">
        <v>0.0</v>
      </c>
      <c r="Z50" s="19">
        <v>2.0</v>
      </c>
      <c r="AA50" s="19">
        <v>0.0</v>
      </c>
      <c r="AB50" s="19">
        <v>0.0</v>
      </c>
      <c r="AC50" s="19">
        <v>1.0</v>
      </c>
      <c r="AD50" s="19">
        <v>0.0</v>
      </c>
      <c r="AE50" s="19">
        <v>0.0</v>
      </c>
      <c r="AF50" s="19">
        <v>1.0</v>
      </c>
      <c r="AG50" s="19">
        <v>1.0</v>
      </c>
      <c r="AH50" s="19">
        <v>1.0</v>
      </c>
      <c r="AI50" s="19">
        <v>1.0</v>
      </c>
      <c r="AJ50" s="19">
        <v>0.0</v>
      </c>
      <c r="AK50" s="19">
        <v>0.0</v>
      </c>
      <c r="AL50" s="19">
        <v>1.0</v>
      </c>
      <c r="AM50" s="19">
        <v>0.0</v>
      </c>
      <c r="AN50" s="19">
        <v>0.0</v>
      </c>
      <c r="AO50" s="19">
        <v>0.0</v>
      </c>
      <c r="AP50" s="19">
        <v>1.0</v>
      </c>
      <c r="AQ50" s="19">
        <v>0.0</v>
      </c>
      <c r="AR50" s="19">
        <v>0.0</v>
      </c>
      <c r="AS50" s="19">
        <v>0.0</v>
      </c>
      <c r="AT50" s="19">
        <v>1.0</v>
      </c>
      <c r="AU50" s="19">
        <v>1.0</v>
      </c>
      <c r="AV50" s="13">
        <f t="shared" si="14"/>
        <v>17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1.0</v>
      </c>
      <c r="J51" s="19">
        <v>0.0</v>
      </c>
      <c r="K51" s="19">
        <v>0.0</v>
      </c>
      <c r="L51" s="19">
        <v>0.0</v>
      </c>
      <c r="M51" s="19">
        <v>1.0</v>
      </c>
      <c r="N51" s="19">
        <v>0.0</v>
      </c>
      <c r="O51" s="19">
        <v>0.0</v>
      </c>
      <c r="P51" s="19">
        <v>1.0</v>
      </c>
      <c r="Q51" s="19">
        <v>0.0</v>
      </c>
      <c r="R51" s="19">
        <v>0.0</v>
      </c>
      <c r="S51" s="19">
        <v>1.0</v>
      </c>
      <c r="T51" s="19">
        <v>0.0</v>
      </c>
      <c r="U51" s="19">
        <v>1.0</v>
      </c>
      <c r="V51" s="19">
        <v>0.0</v>
      </c>
      <c r="W51" s="19">
        <v>2.0</v>
      </c>
      <c r="X51" s="19">
        <v>0.0</v>
      </c>
      <c r="Y51" s="19">
        <v>0.0</v>
      </c>
      <c r="Z51" s="19">
        <v>0.0</v>
      </c>
      <c r="AA51" s="19">
        <v>0.0</v>
      </c>
      <c r="AB51" s="19">
        <v>1.0</v>
      </c>
      <c r="AC51" s="19">
        <v>1.0</v>
      </c>
      <c r="AD51" s="19">
        <v>0.0</v>
      </c>
      <c r="AE51" s="19">
        <v>1.0</v>
      </c>
      <c r="AF51" s="19">
        <v>0.0</v>
      </c>
      <c r="AG51" s="19">
        <v>0.0</v>
      </c>
      <c r="AH51" s="19">
        <v>0.0</v>
      </c>
      <c r="AI51" s="19">
        <v>0.0</v>
      </c>
      <c r="AJ51" s="19">
        <v>0.0</v>
      </c>
      <c r="AK51" s="19">
        <v>0.0</v>
      </c>
      <c r="AL51" s="19">
        <v>0.0</v>
      </c>
      <c r="AM51" s="19">
        <v>0.0</v>
      </c>
      <c r="AN51" s="19">
        <v>0.0</v>
      </c>
      <c r="AO51" s="19">
        <v>0.0</v>
      </c>
      <c r="AP51" s="19">
        <v>0.0</v>
      </c>
      <c r="AQ51" s="19">
        <v>0.0</v>
      </c>
      <c r="AR51" s="19">
        <v>0.0</v>
      </c>
      <c r="AS51" s="19">
        <v>0.0</v>
      </c>
      <c r="AT51" s="19">
        <v>0.0</v>
      </c>
      <c r="AU51" s="19">
        <v>0.0</v>
      </c>
      <c r="AV51" s="13">
        <f t="shared" si="14"/>
        <v>10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1.0</v>
      </c>
      <c r="O52" s="19">
        <v>0.0</v>
      </c>
      <c r="P52" s="19">
        <v>0.0</v>
      </c>
      <c r="Q52" s="19">
        <v>1.0</v>
      </c>
      <c r="R52" s="19">
        <v>0.0</v>
      </c>
      <c r="S52" s="19">
        <v>1.0</v>
      </c>
      <c r="T52" s="19">
        <v>0.0</v>
      </c>
      <c r="U52" s="19">
        <v>2.0</v>
      </c>
      <c r="V52" s="19">
        <v>0.0</v>
      </c>
      <c r="W52" s="19">
        <v>1.0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1.0</v>
      </c>
      <c r="AE52" s="19">
        <v>0.0</v>
      </c>
      <c r="AF52" s="19">
        <v>0.0</v>
      </c>
      <c r="AG52" s="19">
        <v>0.0</v>
      </c>
      <c r="AH52" s="19">
        <v>0.0</v>
      </c>
      <c r="AI52" s="19">
        <v>0.0</v>
      </c>
      <c r="AJ52" s="19">
        <v>0.0</v>
      </c>
      <c r="AK52" s="19">
        <v>0.0</v>
      </c>
      <c r="AL52" s="19">
        <v>0.0</v>
      </c>
      <c r="AM52" s="19">
        <v>0.0</v>
      </c>
      <c r="AN52" s="19">
        <v>1.0</v>
      </c>
      <c r="AO52" s="19">
        <v>1.0</v>
      </c>
      <c r="AP52" s="19">
        <v>0.0</v>
      </c>
      <c r="AQ52" s="19">
        <v>0.0</v>
      </c>
      <c r="AR52" s="19">
        <v>0.0</v>
      </c>
      <c r="AS52" s="19">
        <v>1.0</v>
      </c>
      <c r="AT52" s="19">
        <v>0.0</v>
      </c>
      <c r="AU52" s="19">
        <v>2.0</v>
      </c>
      <c r="AV52" s="13">
        <f t="shared" si="14"/>
        <v>13</v>
      </c>
    </row>
    <row r="53" ht="12.75" customHeight="1">
      <c r="A53" s="19" t="s">
        <v>15</v>
      </c>
      <c r="B53" s="47" t="s">
        <v>47</v>
      </c>
      <c r="C53" s="15"/>
      <c r="D53" s="16"/>
      <c r="E53" s="13">
        <f t="shared" ref="E53:AV53" si="15">SUM(E45:E52)</f>
        <v>14</v>
      </c>
      <c r="F53" s="13">
        <f t="shared" si="15"/>
        <v>7</v>
      </c>
      <c r="G53" s="13">
        <f t="shared" si="15"/>
        <v>7</v>
      </c>
      <c r="H53" s="13">
        <f t="shared" si="15"/>
        <v>10</v>
      </c>
      <c r="I53" s="13">
        <f t="shared" si="15"/>
        <v>11</v>
      </c>
      <c r="J53" s="13">
        <f t="shared" si="15"/>
        <v>9</v>
      </c>
      <c r="K53" s="13">
        <f t="shared" si="15"/>
        <v>10</v>
      </c>
      <c r="L53" s="13">
        <f t="shared" si="15"/>
        <v>17</v>
      </c>
      <c r="M53" s="13">
        <f t="shared" si="15"/>
        <v>20</v>
      </c>
      <c r="N53" s="13">
        <f t="shared" si="15"/>
        <v>29</v>
      </c>
      <c r="O53" s="13">
        <f t="shared" si="15"/>
        <v>13</v>
      </c>
      <c r="P53" s="13">
        <f t="shared" si="15"/>
        <v>11</v>
      </c>
      <c r="Q53" s="13">
        <f t="shared" si="15"/>
        <v>9</v>
      </c>
      <c r="R53" s="13">
        <f t="shared" si="15"/>
        <v>14</v>
      </c>
      <c r="S53" s="13">
        <f t="shared" si="15"/>
        <v>15</v>
      </c>
      <c r="T53" s="13">
        <f t="shared" si="15"/>
        <v>19</v>
      </c>
      <c r="U53" s="13">
        <f t="shared" si="15"/>
        <v>13</v>
      </c>
      <c r="V53" s="13">
        <f t="shared" si="15"/>
        <v>33</v>
      </c>
      <c r="W53" s="13">
        <f t="shared" si="15"/>
        <v>19</v>
      </c>
      <c r="X53" s="13">
        <f t="shared" si="15"/>
        <v>15</v>
      </c>
      <c r="Y53" s="13">
        <f t="shared" si="15"/>
        <v>25</v>
      </c>
      <c r="Z53" s="13">
        <f t="shared" si="15"/>
        <v>31</v>
      </c>
      <c r="AA53" s="13">
        <f t="shared" si="15"/>
        <v>19</v>
      </c>
      <c r="AB53" s="13">
        <f t="shared" si="15"/>
        <v>17</v>
      </c>
      <c r="AC53" s="13">
        <f t="shared" si="15"/>
        <v>19</v>
      </c>
      <c r="AD53" s="13">
        <f t="shared" si="15"/>
        <v>34</v>
      </c>
      <c r="AE53" s="13">
        <f t="shared" si="15"/>
        <v>37</v>
      </c>
      <c r="AF53" s="13">
        <f t="shared" si="15"/>
        <v>62</v>
      </c>
      <c r="AG53" s="13">
        <f t="shared" si="15"/>
        <v>27</v>
      </c>
      <c r="AH53" s="13">
        <f t="shared" si="15"/>
        <v>31</v>
      </c>
      <c r="AI53" s="13">
        <f t="shared" si="15"/>
        <v>28</v>
      </c>
      <c r="AJ53" s="13">
        <f t="shared" si="15"/>
        <v>45</v>
      </c>
      <c r="AK53" s="13">
        <f t="shared" si="15"/>
        <v>49</v>
      </c>
      <c r="AL53" s="13">
        <f t="shared" si="15"/>
        <v>12</v>
      </c>
      <c r="AM53" s="13">
        <f t="shared" si="15"/>
        <v>16</v>
      </c>
      <c r="AN53" s="13">
        <f t="shared" si="15"/>
        <v>11</v>
      </c>
      <c r="AO53" s="13">
        <f t="shared" si="15"/>
        <v>11</v>
      </c>
      <c r="AP53" s="13">
        <f t="shared" si="15"/>
        <v>16</v>
      </c>
      <c r="AQ53" s="13">
        <f t="shared" si="15"/>
        <v>22</v>
      </c>
      <c r="AR53" s="13">
        <f t="shared" si="15"/>
        <v>10</v>
      </c>
      <c r="AS53" s="13">
        <f t="shared" si="15"/>
        <v>13</v>
      </c>
      <c r="AT53" s="13">
        <f t="shared" si="15"/>
        <v>19</v>
      </c>
      <c r="AU53" s="13">
        <f t="shared" si="15"/>
        <v>18</v>
      </c>
      <c r="AV53" s="13">
        <f t="shared" si="15"/>
        <v>867</v>
      </c>
    </row>
    <row r="54" ht="12.75" customHeight="1">
      <c r="A54" s="45"/>
      <c r="B54" s="44"/>
      <c r="C54" s="44"/>
      <c r="D54" s="44"/>
      <c r="E54" s="44"/>
      <c r="AV54" s="13"/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18.0</v>
      </c>
      <c r="F55" s="19">
        <v>10.0</v>
      </c>
      <c r="G55" s="19">
        <v>17.0</v>
      </c>
      <c r="H55" s="19">
        <v>8.0</v>
      </c>
      <c r="I55" s="19">
        <v>14.0</v>
      </c>
      <c r="J55" s="19">
        <v>8.0</v>
      </c>
      <c r="K55" s="19">
        <v>5.0</v>
      </c>
      <c r="L55" s="19">
        <v>9.0</v>
      </c>
      <c r="M55" s="19">
        <v>13.0</v>
      </c>
      <c r="N55" s="19">
        <v>17.0</v>
      </c>
      <c r="O55" s="19">
        <v>27.0</v>
      </c>
      <c r="P55" s="19">
        <v>17.0</v>
      </c>
      <c r="Q55" s="19">
        <v>7.0</v>
      </c>
      <c r="R55" s="19">
        <v>14.0</v>
      </c>
      <c r="S55" s="19">
        <v>14.0</v>
      </c>
      <c r="T55" s="19">
        <v>12.0</v>
      </c>
      <c r="U55" s="19">
        <v>17.0</v>
      </c>
      <c r="V55" s="19">
        <v>6.0</v>
      </c>
      <c r="W55" s="19">
        <v>18.0</v>
      </c>
      <c r="X55" s="19">
        <v>14.0</v>
      </c>
      <c r="Y55" s="19">
        <v>12.0</v>
      </c>
      <c r="Z55" s="19">
        <v>12.0</v>
      </c>
      <c r="AA55" s="19">
        <v>16.0</v>
      </c>
      <c r="AB55" s="19">
        <v>10.0</v>
      </c>
      <c r="AC55" s="19">
        <v>14.0</v>
      </c>
      <c r="AD55" s="19">
        <v>15.0</v>
      </c>
      <c r="AE55" s="19">
        <v>10.0</v>
      </c>
      <c r="AF55" s="19">
        <v>9.0</v>
      </c>
      <c r="AG55" s="19">
        <v>11.0</v>
      </c>
      <c r="AH55" s="19">
        <v>6.0</v>
      </c>
      <c r="AI55" s="19">
        <v>8.0</v>
      </c>
      <c r="AJ55" s="19">
        <v>8.0</v>
      </c>
      <c r="AK55" s="19">
        <v>13.0</v>
      </c>
      <c r="AL55" s="19">
        <v>3.0</v>
      </c>
      <c r="AM55" s="19">
        <v>11.0</v>
      </c>
      <c r="AN55" s="19">
        <v>4.0</v>
      </c>
      <c r="AO55" s="19">
        <v>8.0</v>
      </c>
      <c r="AP55" s="19">
        <v>11.0</v>
      </c>
      <c r="AQ55" s="19">
        <v>14.0</v>
      </c>
      <c r="AR55" s="19">
        <v>6.0</v>
      </c>
      <c r="AS55" s="19">
        <v>7.0</v>
      </c>
      <c r="AT55" s="19">
        <v>11.0</v>
      </c>
      <c r="AU55" s="19">
        <v>12.0</v>
      </c>
      <c r="AV55" s="13">
        <f t="shared" ref="AV55:AV62" si="16">SUM(E55:AU55)</f>
        <v>496</v>
      </c>
    </row>
    <row r="56" ht="12.75" customHeight="1">
      <c r="A56" s="30" t="s">
        <v>39</v>
      </c>
      <c r="B56" s="55">
        <v>1.0</v>
      </c>
      <c r="C56" s="50" t="s">
        <v>49</v>
      </c>
      <c r="D56" s="56"/>
      <c r="E56" s="19">
        <v>9.0</v>
      </c>
      <c r="F56" s="19">
        <v>4.0</v>
      </c>
      <c r="G56" s="19">
        <v>14.0</v>
      </c>
      <c r="H56" s="19">
        <v>12.0</v>
      </c>
      <c r="I56" s="19">
        <v>17.0</v>
      </c>
      <c r="J56" s="19">
        <v>12.0</v>
      </c>
      <c r="K56" s="19">
        <v>10.0</v>
      </c>
      <c r="L56" s="19">
        <v>10.0</v>
      </c>
      <c r="M56" s="19">
        <v>10.0</v>
      </c>
      <c r="N56" s="19">
        <v>12.0</v>
      </c>
      <c r="O56" s="19">
        <v>23.0</v>
      </c>
      <c r="P56" s="19">
        <v>17.0</v>
      </c>
      <c r="Q56" s="19">
        <v>19.0</v>
      </c>
      <c r="R56" s="19">
        <v>16.0</v>
      </c>
      <c r="S56" s="19">
        <v>8.0</v>
      </c>
      <c r="T56" s="19">
        <v>11.0</v>
      </c>
      <c r="U56" s="19">
        <v>13.0</v>
      </c>
      <c r="V56" s="19">
        <v>14.0</v>
      </c>
      <c r="W56" s="19">
        <v>9.0</v>
      </c>
      <c r="X56" s="19">
        <v>13.0</v>
      </c>
      <c r="Y56" s="19">
        <v>14.0</v>
      </c>
      <c r="Z56" s="19">
        <v>15.0</v>
      </c>
      <c r="AA56" s="19">
        <v>14.0</v>
      </c>
      <c r="AB56" s="19">
        <v>29.0</v>
      </c>
      <c r="AC56" s="19">
        <v>27.0</v>
      </c>
      <c r="AD56" s="19">
        <v>7.0</v>
      </c>
      <c r="AE56" s="19">
        <v>11.0</v>
      </c>
      <c r="AF56" s="19">
        <v>7.0</v>
      </c>
      <c r="AG56" s="19">
        <v>18.0</v>
      </c>
      <c r="AH56" s="19">
        <v>9.0</v>
      </c>
      <c r="AI56" s="19">
        <v>15.0</v>
      </c>
      <c r="AJ56" s="19">
        <v>6.0</v>
      </c>
      <c r="AK56" s="19">
        <v>10.0</v>
      </c>
      <c r="AL56" s="19">
        <v>13.0</v>
      </c>
      <c r="AM56" s="19">
        <v>12.0</v>
      </c>
      <c r="AN56" s="19">
        <v>18.0</v>
      </c>
      <c r="AO56" s="19">
        <v>16.0</v>
      </c>
      <c r="AP56" s="19">
        <v>9.0</v>
      </c>
      <c r="AQ56" s="19">
        <v>8.0</v>
      </c>
      <c r="AR56" s="19">
        <v>16.0</v>
      </c>
      <c r="AS56" s="19">
        <v>19.0</v>
      </c>
      <c r="AT56" s="19">
        <v>19.0</v>
      </c>
      <c r="AU56" s="19">
        <v>19.0</v>
      </c>
      <c r="AV56" s="13">
        <f t="shared" si="16"/>
        <v>584</v>
      </c>
    </row>
    <row r="57" ht="12.75" customHeight="1">
      <c r="A57" s="18"/>
      <c r="B57" s="55">
        <v>2.0</v>
      </c>
      <c r="C57" s="50" t="s">
        <v>50</v>
      </c>
      <c r="D57" s="56"/>
      <c r="E57" s="19">
        <v>3.0</v>
      </c>
      <c r="F57" s="19">
        <v>1.0</v>
      </c>
      <c r="G57" s="19">
        <v>3.0</v>
      </c>
      <c r="H57" s="19">
        <v>1.0</v>
      </c>
      <c r="I57" s="19">
        <v>3.0</v>
      </c>
      <c r="J57" s="19">
        <v>3.0</v>
      </c>
      <c r="K57" s="19">
        <v>1.0</v>
      </c>
      <c r="L57" s="19">
        <v>4.0</v>
      </c>
      <c r="M57" s="19">
        <v>3.0</v>
      </c>
      <c r="N57" s="19">
        <v>6.0</v>
      </c>
      <c r="O57" s="19">
        <v>4.0</v>
      </c>
      <c r="P57" s="19">
        <v>1.0</v>
      </c>
      <c r="Q57" s="19">
        <v>3.0</v>
      </c>
      <c r="R57" s="19">
        <v>2.0</v>
      </c>
      <c r="S57" s="19">
        <v>2.0</v>
      </c>
      <c r="T57" s="19">
        <v>3.0</v>
      </c>
      <c r="U57" s="19">
        <v>2.0</v>
      </c>
      <c r="V57" s="19">
        <v>4.0</v>
      </c>
      <c r="W57" s="19">
        <v>4.0</v>
      </c>
      <c r="X57" s="19">
        <v>0.0</v>
      </c>
      <c r="Y57" s="19">
        <v>2.0</v>
      </c>
      <c r="Z57" s="19">
        <v>3.0</v>
      </c>
      <c r="AA57" s="19">
        <v>6.0</v>
      </c>
      <c r="AB57" s="19">
        <v>7.0</v>
      </c>
      <c r="AC57" s="19">
        <v>7.0</v>
      </c>
      <c r="AD57" s="19">
        <v>7.0</v>
      </c>
      <c r="AE57" s="19">
        <v>2.0</v>
      </c>
      <c r="AF57" s="19">
        <v>0.0</v>
      </c>
      <c r="AG57" s="19">
        <v>1.0</v>
      </c>
      <c r="AH57" s="19">
        <v>4.0</v>
      </c>
      <c r="AI57" s="19">
        <v>4.0</v>
      </c>
      <c r="AJ57" s="19">
        <v>6.0</v>
      </c>
      <c r="AK57" s="19">
        <v>5.0</v>
      </c>
      <c r="AL57" s="19">
        <v>2.0</v>
      </c>
      <c r="AM57" s="19">
        <v>3.0</v>
      </c>
      <c r="AN57" s="19">
        <v>4.0</v>
      </c>
      <c r="AO57" s="19">
        <v>5.0</v>
      </c>
      <c r="AP57" s="19">
        <v>3.0</v>
      </c>
      <c r="AQ57" s="19">
        <v>1.0</v>
      </c>
      <c r="AR57" s="19">
        <v>3.0</v>
      </c>
      <c r="AS57" s="19">
        <v>3.0</v>
      </c>
      <c r="AT57" s="19">
        <v>1.0</v>
      </c>
      <c r="AU57" s="19">
        <v>3.0</v>
      </c>
      <c r="AV57" s="13">
        <f t="shared" si="16"/>
        <v>135</v>
      </c>
    </row>
    <row r="58" ht="12.75" customHeight="1">
      <c r="A58" s="18"/>
      <c r="B58" s="55">
        <v>3.0</v>
      </c>
      <c r="C58" s="50" t="s">
        <v>51</v>
      </c>
      <c r="D58" s="56"/>
      <c r="E58" s="19">
        <v>3.0</v>
      </c>
      <c r="F58" s="19">
        <v>0.0</v>
      </c>
      <c r="G58" s="19">
        <v>1.0</v>
      </c>
      <c r="H58" s="19">
        <v>0.0</v>
      </c>
      <c r="I58" s="19">
        <v>4.0</v>
      </c>
      <c r="J58" s="19">
        <v>0.0</v>
      </c>
      <c r="K58" s="19">
        <v>2.0</v>
      </c>
      <c r="L58" s="19">
        <v>3.0</v>
      </c>
      <c r="M58" s="19">
        <v>2.0</v>
      </c>
      <c r="N58" s="19">
        <v>2.0</v>
      </c>
      <c r="O58" s="19">
        <v>1.0</v>
      </c>
      <c r="P58" s="19">
        <v>0.0</v>
      </c>
      <c r="Q58" s="19">
        <v>2.0</v>
      </c>
      <c r="R58" s="19">
        <v>1.0</v>
      </c>
      <c r="S58" s="19">
        <v>1.0</v>
      </c>
      <c r="T58" s="19">
        <v>2.0</v>
      </c>
      <c r="U58" s="19">
        <v>2.0</v>
      </c>
      <c r="V58" s="19">
        <v>1.0</v>
      </c>
      <c r="W58" s="19">
        <v>0.0</v>
      </c>
      <c r="X58" s="19">
        <v>1.0</v>
      </c>
      <c r="Y58" s="19">
        <v>0.0</v>
      </c>
      <c r="Z58" s="19">
        <v>1.0</v>
      </c>
      <c r="AA58" s="19">
        <v>1.0</v>
      </c>
      <c r="AB58" s="19">
        <v>0.0</v>
      </c>
      <c r="AC58" s="19">
        <v>1.0</v>
      </c>
      <c r="AD58" s="19">
        <v>2.0</v>
      </c>
      <c r="AE58" s="19">
        <v>0.0</v>
      </c>
      <c r="AF58" s="19">
        <v>2.0</v>
      </c>
      <c r="AG58" s="19">
        <v>3.0</v>
      </c>
      <c r="AH58" s="19">
        <v>0.0</v>
      </c>
      <c r="AI58" s="19">
        <v>2.0</v>
      </c>
      <c r="AJ58" s="19">
        <v>0.0</v>
      </c>
      <c r="AK58" s="19">
        <v>1.0</v>
      </c>
      <c r="AL58" s="19">
        <v>1.0</v>
      </c>
      <c r="AM58" s="19">
        <v>2.0</v>
      </c>
      <c r="AN58" s="19">
        <v>1.0</v>
      </c>
      <c r="AO58" s="19">
        <v>1.0</v>
      </c>
      <c r="AP58" s="19">
        <v>1.0</v>
      </c>
      <c r="AQ58" s="19">
        <v>3.0</v>
      </c>
      <c r="AR58" s="19">
        <v>1.0</v>
      </c>
      <c r="AS58" s="19">
        <v>2.0</v>
      </c>
      <c r="AT58" s="19">
        <v>2.0</v>
      </c>
      <c r="AU58" s="19">
        <v>2.0</v>
      </c>
      <c r="AV58" s="13">
        <f t="shared" si="16"/>
        <v>57</v>
      </c>
    </row>
    <row r="59" ht="12.75" customHeight="1">
      <c r="A59" s="18"/>
      <c r="B59" s="55">
        <v>4.0</v>
      </c>
      <c r="C59" s="50" t="s">
        <v>52</v>
      </c>
      <c r="D59" s="56"/>
      <c r="E59" s="19">
        <v>2.0</v>
      </c>
      <c r="F59" s="19">
        <v>0.0</v>
      </c>
      <c r="G59" s="19">
        <v>2.0</v>
      </c>
      <c r="H59" s="19">
        <v>0.0</v>
      </c>
      <c r="I59" s="19">
        <v>0.0</v>
      </c>
      <c r="J59" s="19">
        <v>0.0</v>
      </c>
      <c r="K59" s="19">
        <v>0.0</v>
      </c>
      <c r="L59" s="19">
        <v>1.0</v>
      </c>
      <c r="M59" s="19">
        <v>1.0</v>
      </c>
      <c r="N59" s="19">
        <v>3.0</v>
      </c>
      <c r="O59" s="19">
        <v>4.0</v>
      </c>
      <c r="P59" s="19">
        <v>0.0</v>
      </c>
      <c r="Q59" s="19">
        <v>2.0</v>
      </c>
      <c r="R59" s="19">
        <v>2.0</v>
      </c>
      <c r="S59" s="19">
        <v>1.0</v>
      </c>
      <c r="T59" s="19">
        <v>1.0</v>
      </c>
      <c r="U59" s="19">
        <v>1.0</v>
      </c>
      <c r="V59" s="19">
        <v>1.0</v>
      </c>
      <c r="W59" s="19">
        <v>2.0</v>
      </c>
      <c r="X59" s="19">
        <v>0.0</v>
      </c>
      <c r="Y59" s="19">
        <v>1.0</v>
      </c>
      <c r="Z59" s="19">
        <v>0.0</v>
      </c>
      <c r="AA59" s="19">
        <v>4.0</v>
      </c>
      <c r="AB59" s="19">
        <v>3.0</v>
      </c>
      <c r="AC59" s="19">
        <v>2.0</v>
      </c>
      <c r="AD59" s="19">
        <v>1.0</v>
      </c>
      <c r="AE59" s="19">
        <v>3.0</v>
      </c>
      <c r="AF59" s="19">
        <v>1.0</v>
      </c>
      <c r="AG59" s="19">
        <v>4.0</v>
      </c>
      <c r="AH59" s="19">
        <v>3.0</v>
      </c>
      <c r="AI59" s="19">
        <v>2.0</v>
      </c>
      <c r="AJ59" s="19">
        <v>3.0</v>
      </c>
      <c r="AK59" s="19">
        <v>0.0</v>
      </c>
      <c r="AL59" s="19">
        <v>1.0</v>
      </c>
      <c r="AM59" s="19">
        <v>2.0</v>
      </c>
      <c r="AN59" s="19">
        <v>6.0</v>
      </c>
      <c r="AO59" s="19">
        <v>4.0</v>
      </c>
      <c r="AP59" s="19">
        <v>1.0</v>
      </c>
      <c r="AQ59" s="19">
        <v>3.0</v>
      </c>
      <c r="AR59" s="19">
        <v>2.0</v>
      </c>
      <c r="AS59" s="19">
        <v>9.0</v>
      </c>
      <c r="AT59" s="19">
        <v>4.0</v>
      </c>
      <c r="AU59" s="19">
        <v>5.0</v>
      </c>
      <c r="AV59" s="13">
        <f t="shared" si="16"/>
        <v>87</v>
      </c>
    </row>
    <row r="60" ht="12.75" customHeight="1">
      <c r="A60" s="18"/>
      <c r="B60" s="55">
        <v>5.0</v>
      </c>
      <c r="C60" s="50" t="s">
        <v>53</v>
      </c>
      <c r="D60" s="56"/>
      <c r="E60" s="19">
        <v>0.0</v>
      </c>
      <c r="F60" s="19">
        <v>1.0</v>
      </c>
      <c r="G60" s="19">
        <v>0.0</v>
      </c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  <c r="M60" s="19">
        <v>0.0</v>
      </c>
      <c r="N60" s="19">
        <v>2.0</v>
      </c>
      <c r="O60" s="19">
        <v>1.0</v>
      </c>
      <c r="P60" s="19">
        <v>1.0</v>
      </c>
      <c r="Q60" s="19">
        <v>2.0</v>
      </c>
      <c r="R60" s="19">
        <v>0.0</v>
      </c>
      <c r="S60" s="19">
        <v>2.0</v>
      </c>
      <c r="T60" s="19">
        <v>2.0</v>
      </c>
      <c r="U60" s="19">
        <v>0.0</v>
      </c>
      <c r="V60" s="19">
        <v>0.0</v>
      </c>
      <c r="W60" s="19">
        <v>0.0</v>
      </c>
      <c r="X60" s="19">
        <v>1.0</v>
      </c>
      <c r="Y60" s="19">
        <v>0.0</v>
      </c>
      <c r="Z60" s="19">
        <v>1.0</v>
      </c>
      <c r="AA60" s="19">
        <v>0.0</v>
      </c>
      <c r="AB60" s="19">
        <v>1.0</v>
      </c>
      <c r="AC60" s="19">
        <v>0.0</v>
      </c>
      <c r="AD60" s="19">
        <v>1.0</v>
      </c>
      <c r="AE60" s="19">
        <v>0.0</v>
      </c>
      <c r="AF60" s="19">
        <v>0.0</v>
      </c>
      <c r="AG60" s="19">
        <v>0.0</v>
      </c>
      <c r="AH60" s="19">
        <v>0.0</v>
      </c>
      <c r="AI60" s="19">
        <v>3.0</v>
      </c>
      <c r="AJ60" s="19">
        <v>0.0</v>
      </c>
      <c r="AK60" s="19">
        <v>0.0</v>
      </c>
      <c r="AL60" s="19">
        <v>0.0</v>
      </c>
      <c r="AM60" s="19">
        <v>1.0</v>
      </c>
      <c r="AN60" s="19">
        <v>1.0</v>
      </c>
      <c r="AO60" s="19">
        <v>0.0</v>
      </c>
      <c r="AP60" s="19">
        <v>0.0</v>
      </c>
      <c r="AQ60" s="19">
        <v>1.0</v>
      </c>
      <c r="AR60" s="19">
        <v>0.0</v>
      </c>
      <c r="AS60" s="19">
        <v>0.0</v>
      </c>
      <c r="AT60" s="19">
        <v>0.0</v>
      </c>
      <c r="AU60" s="19">
        <v>2.0</v>
      </c>
      <c r="AV60" s="13">
        <f t="shared" si="16"/>
        <v>23</v>
      </c>
    </row>
    <row r="61" ht="12.75" customHeight="1">
      <c r="A61" s="18"/>
      <c r="B61" s="55">
        <v>6.0</v>
      </c>
      <c r="C61" s="50" t="s">
        <v>54</v>
      </c>
      <c r="D61" s="57"/>
      <c r="E61" s="19">
        <v>0.0</v>
      </c>
      <c r="F61" s="19">
        <v>0.0</v>
      </c>
      <c r="G61" s="19">
        <v>2.0</v>
      </c>
      <c r="H61" s="19">
        <v>2.0</v>
      </c>
      <c r="I61" s="19">
        <v>2.0</v>
      </c>
      <c r="J61" s="19">
        <v>0.0</v>
      </c>
      <c r="K61" s="19">
        <v>0.0</v>
      </c>
      <c r="L61" s="19">
        <v>0.0</v>
      </c>
      <c r="M61" s="19">
        <v>2.0</v>
      </c>
      <c r="N61" s="19">
        <v>0.0</v>
      </c>
      <c r="O61" s="19">
        <v>1.0</v>
      </c>
      <c r="P61" s="19">
        <v>0.0</v>
      </c>
      <c r="Q61" s="19">
        <v>4.0</v>
      </c>
      <c r="R61" s="19">
        <v>2.0</v>
      </c>
      <c r="S61" s="19">
        <v>0.0</v>
      </c>
      <c r="T61" s="19">
        <v>1.0</v>
      </c>
      <c r="U61" s="19">
        <v>1.0</v>
      </c>
      <c r="V61" s="19">
        <v>0.0</v>
      </c>
      <c r="W61" s="19">
        <v>1.0</v>
      </c>
      <c r="X61" s="19">
        <v>0.0</v>
      </c>
      <c r="Y61" s="19">
        <v>1.0</v>
      </c>
      <c r="Z61" s="19">
        <v>0.0</v>
      </c>
      <c r="AA61" s="19">
        <v>2.0</v>
      </c>
      <c r="AB61" s="19">
        <v>1.0</v>
      </c>
      <c r="AC61" s="19">
        <v>2.0</v>
      </c>
      <c r="AD61" s="19">
        <v>0.0</v>
      </c>
      <c r="AE61" s="19">
        <v>0.0</v>
      </c>
      <c r="AF61" s="19">
        <v>0.0</v>
      </c>
      <c r="AG61" s="19">
        <v>4.0</v>
      </c>
      <c r="AH61" s="19">
        <v>1.0</v>
      </c>
      <c r="AI61" s="19">
        <v>2.0</v>
      </c>
      <c r="AJ61" s="19">
        <v>0.0</v>
      </c>
      <c r="AK61" s="19">
        <v>2.0</v>
      </c>
      <c r="AL61" s="19">
        <v>1.0</v>
      </c>
      <c r="AM61" s="19">
        <v>0.0</v>
      </c>
      <c r="AN61" s="19">
        <v>3.0</v>
      </c>
      <c r="AO61" s="19">
        <v>3.0</v>
      </c>
      <c r="AP61" s="19">
        <v>0.0</v>
      </c>
      <c r="AQ61" s="19">
        <v>1.0</v>
      </c>
      <c r="AR61" s="19">
        <v>0.0</v>
      </c>
      <c r="AS61" s="19">
        <v>1.0</v>
      </c>
      <c r="AT61" s="19">
        <v>2.0</v>
      </c>
      <c r="AU61" s="19">
        <v>3.0</v>
      </c>
      <c r="AV61" s="13">
        <f t="shared" si="16"/>
        <v>47</v>
      </c>
    </row>
    <row r="62" ht="12.75" customHeight="1">
      <c r="A62" s="18"/>
      <c r="B62" s="55">
        <v>7.0</v>
      </c>
      <c r="C62" s="50" t="s">
        <v>55</v>
      </c>
      <c r="D62" s="56"/>
      <c r="E62" s="19">
        <v>0.0</v>
      </c>
      <c r="F62" s="19">
        <v>0.0</v>
      </c>
      <c r="G62" s="19">
        <v>1.0</v>
      </c>
      <c r="H62" s="19">
        <v>0.0</v>
      </c>
      <c r="I62" s="19">
        <v>0.0</v>
      </c>
      <c r="J62" s="19">
        <v>0.0</v>
      </c>
      <c r="K62" s="19">
        <v>0.0</v>
      </c>
      <c r="L62" s="19">
        <v>2.0</v>
      </c>
      <c r="M62" s="19">
        <v>0.0</v>
      </c>
      <c r="N62" s="19">
        <v>0.0</v>
      </c>
      <c r="O62" s="19">
        <v>1.0</v>
      </c>
      <c r="P62" s="19">
        <v>0.0</v>
      </c>
      <c r="Q62" s="19">
        <v>1.0</v>
      </c>
      <c r="R62" s="19">
        <v>1.0</v>
      </c>
      <c r="S62" s="19">
        <v>1.0</v>
      </c>
      <c r="T62" s="19">
        <v>0.0</v>
      </c>
      <c r="U62" s="19">
        <v>0.0</v>
      </c>
      <c r="V62" s="19">
        <v>0.0</v>
      </c>
      <c r="W62" s="19">
        <v>0.0</v>
      </c>
      <c r="X62" s="19">
        <v>0.0</v>
      </c>
      <c r="Y62" s="19">
        <v>0.0</v>
      </c>
      <c r="Z62" s="19">
        <v>0.0</v>
      </c>
      <c r="AA62" s="19">
        <v>0.0</v>
      </c>
      <c r="AB62" s="19">
        <v>0.0</v>
      </c>
      <c r="AC62" s="19">
        <v>1.0</v>
      </c>
      <c r="AD62" s="19">
        <v>0.0</v>
      </c>
      <c r="AE62" s="19">
        <v>0.0</v>
      </c>
      <c r="AF62" s="19">
        <v>0.0</v>
      </c>
      <c r="AG62" s="19">
        <v>0.0</v>
      </c>
      <c r="AH62" s="19">
        <v>0.0</v>
      </c>
      <c r="AI62" s="19">
        <v>1.0</v>
      </c>
      <c r="AJ62" s="19">
        <v>1.0</v>
      </c>
      <c r="AK62" s="19">
        <v>0.0</v>
      </c>
      <c r="AL62" s="19">
        <v>0.0</v>
      </c>
      <c r="AM62" s="19">
        <v>0.0</v>
      </c>
      <c r="AN62" s="19">
        <v>0.0</v>
      </c>
      <c r="AO62" s="19">
        <v>0.0</v>
      </c>
      <c r="AP62" s="19">
        <v>0.0</v>
      </c>
      <c r="AQ62" s="19">
        <v>1.0</v>
      </c>
      <c r="AR62" s="19">
        <v>0.0</v>
      </c>
      <c r="AS62" s="19">
        <v>0.0</v>
      </c>
      <c r="AT62" s="19">
        <v>1.0</v>
      </c>
      <c r="AU62" s="19">
        <v>1.0</v>
      </c>
      <c r="AV62" s="13">
        <f t="shared" si="16"/>
        <v>13</v>
      </c>
    </row>
    <row r="63" ht="12.75" customHeight="1">
      <c r="A63" s="19" t="s">
        <v>15</v>
      </c>
      <c r="B63" s="47" t="s">
        <v>47</v>
      </c>
      <c r="C63" s="15"/>
      <c r="D63" s="16"/>
      <c r="E63" s="13">
        <f t="shared" ref="E63:AV63" si="17">SUM(E55:E62)</f>
        <v>35</v>
      </c>
      <c r="F63" s="13">
        <f t="shared" si="17"/>
        <v>16</v>
      </c>
      <c r="G63" s="13">
        <f t="shared" si="17"/>
        <v>40</v>
      </c>
      <c r="H63" s="13">
        <f t="shared" si="17"/>
        <v>23</v>
      </c>
      <c r="I63" s="13">
        <f t="shared" si="17"/>
        <v>40</v>
      </c>
      <c r="J63" s="13">
        <f t="shared" si="17"/>
        <v>23</v>
      </c>
      <c r="K63" s="13">
        <f t="shared" si="17"/>
        <v>18</v>
      </c>
      <c r="L63" s="13">
        <f t="shared" si="17"/>
        <v>29</v>
      </c>
      <c r="M63" s="13">
        <f t="shared" si="17"/>
        <v>31</v>
      </c>
      <c r="N63" s="13">
        <f t="shared" si="17"/>
        <v>42</v>
      </c>
      <c r="O63" s="13">
        <f t="shared" si="17"/>
        <v>62</v>
      </c>
      <c r="P63" s="13">
        <f t="shared" si="17"/>
        <v>36</v>
      </c>
      <c r="Q63" s="13">
        <f t="shared" si="17"/>
        <v>40</v>
      </c>
      <c r="R63" s="13">
        <f t="shared" si="17"/>
        <v>38</v>
      </c>
      <c r="S63" s="13">
        <f t="shared" si="17"/>
        <v>29</v>
      </c>
      <c r="T63" s="13">
        <f t="shared" si="17"/>
        <v>32</v>
      </c>
      <c r="U63" s="13">
        <f t="shared" si="17"/>
        <v>36</v>
      </c>
      <c r="V63" s="13">
        <f t="shared" si="17"/>
        <v>26</v>
      </c>
      <c r="W63" s="13">
        <f t="shared" si="17"/>
        <v>34</v>
      </c>
      <c r="X63" s="13">
        <f t="shared" si="17"/>
        <v>29</v>
      </c>
      <c r="Y63" s="13">
        <f t="shared" si="17"/>
        <v>30</v>
      </c>
      <c r="Z63" s="13">
        <f t="shared" si="17"/>
        <v>32</v>
      </c>
      <c r="AA63" s="13">
        <f t="shared" si="17"/>
        <v>43</v>
      </c>
      <c r="AB63" s="13">
        <f t="shared" si="17"/>
        <v>51</v>
      </c>
      <c r="AC63" s="13">
        <f t="shared" si="17"/>
        <v>54</v>
      </c>
      <c r="AD63" s="13">
        <f t="shared" si="17"/>
        <v>33</v>
      </c>
      <c r="AE63" s="13">
        <f t="shared" si="17"/>
        <v>26</v>
      </c>
      <c r="AF63" s="13">
        <f t="shared" si="17"/>
        <v>19</v>
      </c>
      <c r="AG63" s="13">
        <f t="shared" si="17"/>
        <v>41</v>
      </c>
      <c r="AH63" s="13">
        <f t="shared" si="17"/>
        <v>23</v>
      </c>
      <c r="AI63" s="13">
        <f t="shared" si="17"/>
        <v>37</v>
      </c>
      <c r="AJ63" s="13">
        <f t="shared" si="17"/>
        <v>24</v>
      </c>
      <c r="AK63" s="13">
        <f t="shared" si="17"/>
        <v>31</v>
      </c>
      <c r="AL63" s="13">
        <f t="shared" si="17"/>
        <v>21</v>
      </c>
      <c r="AM63" s="13">
        <f t="shared" si="17"/>
        <v>31</v>
      </c>
      <c r="AN63" s="13">
        <f t="shared" si="17"/>
        <v>37</v>
      </c>
      <c r="AO63" s="13">
        <f t="shared" si="17"/>
        <v>37</v>
      </c>
      <c r="AP63" s="13">
        <f t="shared" si="17"/>
        <v>25</v>
      </c>
      <c r="AQ63" s="13">
        <f t="shared" si="17"/>
        <v>32</v>
      </c>
      <c r="AR63" s="13">
        <f t="shared" si="17"/>
        <v>28</v>
      </c>
      <c r="AS63" s="13">
        <f t="shared" si="17"/>
        <v>41</v>
      </c>
      <c r="AT63" s="13">
        <f t="shared" si="17"/>
        <v>40</v>
      </c>
      <c r="AU63" s="13">
        <f t="shared" si="17"/>
        <v>47</v>
      </c>
      <c r="AV63" s="13">
        <f t="shared" si="17"/>
        <v>1442</v>
      </c>
    </row>
    <row r="64" ht="12.75" customHeight="1">
      <c r="A64" s="45"/>
      <c r="B64" s="44"/>
      <c r="C64" s="44"/>
      <c r="D64" s="44"/>
      <c r="E64" s="44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46.0</v>
      </c>
      <c r="F65" s="19">
        <v>10.0</v>
      </c>
      <c r="G65" s="19">
        <v>12.0</v>
      </c>
      <c r="H65" s="19">
        <v>8.0</v>
      </c>
      <c r="I65" s="19">
        <v>12.0</v>
      </c>
      <c r="J65" s="19">
        <v>2.0</v>
      </c>
      <c r="K65" s="19">
        <v>8.0</v>
      </c>
      <c r="L65" s="19">
        <v>22.0</v>
      </c>
      <c r="M65" s="19">
        <v>13.0</v>
      </c>
      <c r="N65" s="19">
        <v>15.0</v>
      </c>
      <c r="O65" s="19">
        <v>6.0</v>
      </c>
      <c r="P65" s="19">
        <v>4.0</v>
      </c>
      <c r="Q65" s="19">
        <v>11.0</v>
      </c>
      <c r="R65" s="19">
        <v>7.0</v>
      </c>
      <c r="S65" s="19">
        <v>7.0</v>
      </c>
      <c r="T65" s="19">
        <v>8.0</v>
      </c>
      <c r="U65" s="19">
        <v>10.0</v>
      </c>
      <c r="V65" s="19">
        <v>15.0</v>
      </c>
      <c r="W65" s="19">
        <v>8.0</v>
      </c>
      <c r="X65" s="19">
        <v>7.0</v>
      </c>
      <c r="Y65" s="19">
        <v>7.0</v>
      </c>
      <c r="Z65" s="19">
        <v>8.0</v>
      </c>
      <c r="AA65" s="19">
        <v>8.0</v>
      </c>
      <c r="AB65" s="19">
        <v>8.0</v>
      </c>
      <c r="AC65" s="19">
        <v>5.0</v>
      </c>
      <c r="AD65" s="19">
        <v>6.0</v>
      </c>
      <c r="AE65" s="19">
        <v>14.0</v>
      </c>
      <c r="AF65" s="19">
        <v>11.0</v>
      </c>
      <c r="AG65" s="19">
        <v>8.0</v>
      </c>
      <c r="AH65" s="19">
        <v>7.0</v>
      </c>
      <c r="AI65" s="19">
        <v>9.0</v>
      </c>
      <c r="AJ65" s="19">
        <v>17.0</v>
      </c>
      <c r="AK65" s="19">
        <v>11.0</v>
      </c>
      <c r="AL65" s="19">
        <v>5.0</v>
      </c>
      <c r="AM65" s="19">
        <v>3.0</v>
      </c>
      <c r="AN65" s="19">
        <v>6.0</v>
      </c>
      <c r="AO65" s="19">
        <v>3.0</v>
      </c>
      <c r="AP65" s="19">
        <v>6.0</v>
      </c>
      <c r="AQ65" s="19">
        <v>3.0</v>
      </c>
      <c r="AR65" s="19">
        <v>7.0</v>
      </c>
      <c r="AS65" s="19">
        <v>2.0</v>
      </c>
      <c r="AT65" s="19">
        <v>6.0</v>
      </c>
      <c r="AU65" s="19">
        <v>4.0</v>
      </c>
      <c r="AV65" s="13">
        <f t="shared" ref="AV65:AV72" si="18">SUM(E65:AU65)</f>
        <v>395</v>
      </c>
    </row>
    <row r="66" ht="12.75" customHeight="1">
      <c r="A66" s="30" t="s">
        <v>39</v>
      </c>
      <c r="B66" s="55">
        <v>1.0</v>
      </c>
      <c r="C66" s="50" t="s">
        <v>57</v>
      </c>
      <c r="D66" s="57"/>
      <c r="E66" s="19">
        <v>18.0</v>
      </c>
      <c r="F66" s="19">
        <v>8.0</v>
      </c>
      <c r="G66" s="19">
        <v>9.0</v>
      </c>
      <c r="H66" s="19">
        <v>4.0</v>
      </c>
      <c r="I66" s="19">
        <v>19.0</v>
      </c>
      <c r="J66" s="19">
        <v>3.0</v>
      </c>
      <c r="K66" s="19">
        <v>4.0</v>
      </c>
      <c r="L66" s="19">
        <v>9.0</v>
      </c>
      <c r="M66" s="19">
        <v>8.0</v>
      </c>
      <c r="N66" s="19">
        <v>8.0</v>
      </c>
      <c r="O66" s="19">
        <v>6.0</v>
      </c>
      <c r="P66" s="19">
        <v>16.0</v>
      </c>
      <c r="Q66" s="19">
        <v>15.0</v>
      </c>
      <c r="R66" s="19">
        <v>14.0</v>
      </c>
      <c r="S66" s="19">
        <v>4.0</v>
      </c>
      <c r="T66" s="19">
        <v>7.0</v>
      </c>
      <c r="U66" s="19">
        <v>11.0</v>
      </c>
      <c r="V66" s="19">
        <v>5.0</v>
      </c>
      <c r="W66" s="19">
        <v>7.0</v>
      </c>
      <c r="X66" s="19">
        <v>9.0</v>
      </c>
      <c r="Y66" s="19">
        <v>7.0</v>
      </c>
      <c r="Z66" s="19">
        <v>3.0</v>
      </c>
      <c r="AA66" s="19">
        <v>10.0</v>
      </c>
      <c r="AB66" s="19">
        <v>6.0</v>
      </c>
      <c r="AC66" s="19">
        <v>10.0</v>
      </c>
      <c r="AD66" s="19">
        <v>7.0</v>
      </c>
      <c r="AE66" s="19">
        <v>11.0</v>
      </c>
      <c r="AF66" s="19">
        <v>5.0</v>
      </c>
      <c r="AG66" s="19">
        <v>4.0</v>
      </c>
      <c r="AH66" s="19">
        <v>6.0</v>
      </c>
      <c r="AI66" s="19">
        <v>7.0</v>
      </c>
      <c r="AJ66" s="19">
        <v>12.0</v>
      </c>
      <c r="AK66" s="19">
        <v>22.0</v>
      </c>
      <c r="AL66" s="19">
        <v>9.0</v>
      </c>
      <c r="AM66" s="19">
        <v>12.0</v>
      </c>
      <c r="AN66" s="19">
        <v>11.0</v>
      </c>
      <c r="AO66" s="19">
        <v>15.0</v>
      </c>
      <c r="AP66" s="19">
        <v>14.0</v>
      </c>
      <c r="AQ66" s="19">
        <v>14.0</v>
      </c>
      <c r="AR66" s="19">
        <v>10.0</v>
      </c>
      <c r="AS66" s="19">
        <v>13.0</v>
      </c>
      <c r="AT66" s="19">
        <v>14.0</v>
      </c>
      <c r="AU66" s="19">
        <v>10.0</v>
      </c>
      <c r="AV66" s="13">
        <f t="shared" si="18"/>
        <v>416</v>
      </c>
    </row>
    <row r="67" ht="12.75" customHeight="1">
      <c r="A67" s="18"/>
      <c r="B67" s="55">
        <v>2.0</v>
      </c>
      <c r="C67" s="50" t="s">
        <v>58</v>
      </c>
      <c r="D67" s="57"/>
      <c r="E67" s="19">
        <v>21.0</v>
      </c>
      <c r="F67" s="19">
        <v>8.0</v>
      </c>
      <c r="G67" s="19">
        <v>12.0</v>
      </c>
      <c r="H67" s="19">
        <v>10.0</v>
      </c>
      <c r="I67" s="19">
        <v>8.0</v>
      </c>
      <c r="J67" s="19">
        <v>2.0</v>
      </c>
      <c r="K67" s="19">
        <v>3.0</v>
      </c>
      <c r="L67" s="19">
        <v>8.0</v>
      </c>
      <c r="M67" s="19">
        <v>11.0</v>
      </c>
      <c r="N67" s="19">
        <v>16.0</v>
      </c>
      <c r="O67" s="19">
        <v>13.0</v>
      </c>
      <c r="P67" s="19">
        <v>10.0</v>
      </c>
      <c r="Q67" s="19">
        <v>11.0</v>
      </c>
      <c r="R67" s="19">
        <v>25.0</v>
      </c>
      <c r="S67" s="19">
        <v>3.0</v>
      </c>
      <c r="T67" s="19">
        <v>11.0</v>
      </c>
      <c r="U67" s="19">
        <v>12.0</v>
      </c>
      <c r="V67" s="19">
        <v>23.0</v>
      </c>
      <c r="W67" s="19">
        <v>10.0</v>
      </c>
      <c r="X67" s="19">
        <v>8.0</v>
      </c>
      <c r="Y67" s="19">
        <v>17.0</v>
      </c>
      <c r="Z67" s="19">
        <v>15.0</v>
      </c>
      <c r="AA67" s="19">
        <v>15.0</v>
      </c>
      <c r="AB67" s="19">
        <v>7.0</v>
      </c>
      <c r="AC67" s="19">
        <v>6.0</v>
      </c>
      <c r="AD67" s="19">
        <v>17.0</v>
      </c>
      <c r="AE67" s="19">
        <v>19.0</v>
      </c>
      <c r="AF67" s="19">
        <v>12.0</v>
      </c>
      <c r="AG67" s="19">
        <v>14.0</v>
      </c>
      <c r="AH67" s="19">
        <v>7.0</v>
      </c>
      <c r="AI67" s="19">
        <v>11.0</v>
      </c>
      <c r="AJ67" s="19">
        <v>23.0</v>
      </c>
      <c r="AK67" s="19">
        <v>25.0</v>
      </c>
      <c r="AL67" s="19">
        <v>2.0</v>
      </c>
      <c r="AM67" s="19">
        <v>5.0</v>
      </c>
      <c r="AN67" s="19">
        <v>6.0</v>
      </c>
      <c r="AO67" s="19">
        <v>7.0</v>
      </c>
      <c r="AP67" s="19">
        <v>9.0</v>
      </c>
      <c r="AQ67" s="19">
        <v>8.0</v>
      </c>
      <c r="AR67" s="19">
        <v>6.0</v>
      </c>
      <c r="AS67" s="19">
        <v>12.0</v>
      </c>
      <c r="AT67" s="19">
        <v>13.0</v>
      </c>
      <c r="AU67" s="19">
        <v>9.0</v>
      </c>
      <c r="AV67" s="13">
        <f t="shared" si="18"/>
        <v>490</v>
      </c>
    </row>
    <row r="68" ht="12.75" customHeight="1">
      <c r="A68" s="18"/>
      <c r="B68" s="55">
        <v>3.0</v>
      </c>
      <c r="C68" s="50" t="s">
        <v>59</v>
      </c>
      <c r="D68" s="57"/>
      <c r="E68" s="19">
        <v>3.0</v>
      </c>
      <c r="F68" s="19">
        <v>3.0</v>
      </c>
      <c r="G68" s="19">
        <v>3.0</v>
      </c>
      <c r="H68" s="19">
        <v>3.0</v>
      </c>
      <c r="I68" s="19">
        <v>1.0</v>
      </c>
      <c r="J68" s="19">
        <v>3.0</v>
      </c>
      <c r="K68" s="19">
        <v>4.0</v>
      </c>
      <c r="L68" s="19">
        <v>4.0</v>
      </c>
      <c r="M68" s="19">
        <v>2.0</v>
      </c>
      <c r="N68" s="19">
        <v>7.0</v>
      </c>
      <c r="O68" s="19">
        <v>2.0</v>
      </c>
      <c r="P68" s="19">
        <v>4.0</v>
      </c>
      <c r="Q68" s="19">
        <v>6.0</v>
      </c>
      <c r="R68" s="19">
        <v>2.0</v>
      </c>
      <c r="S68" s="19">
        <v>2.0</v>
      </c>
      <c r="T68" s="19">
        <v>3.0</v>
      </c>
      <c r="U68" s="19">
        <v>0.0</v>
      </c>
      <c r="V68" s="19">
        <v>4.0</v>
      </c>
      <c r="W68" s="19">
        <v>1.0</v>
      </c>
      <c r="X68" s="19">
        <v>0.0</v>
      </c>
      <c r="Y68" s="19">
        <v>1.0</v>
      </c>
      <c r="Z68" s="19">
        <v>2.0</v>
      </c>
      <c r="AA68" s="19">
        <v>3.0</v>
      </c>
      <c r="AB68" s="19">
        <v>5.0</v>
      </c>
      <c r="AC68" s="19">
        <v>1.0</v>
      </c>
      <c r="AD68" s="19">
        <v>4.0</v>
      </c>
      <c r="AE68" s="19">
        <v>7.0</v>
      </c>
      <c r="AF68" s="19">
        <v>4.0</v>
      </c>
      <c r="AG68" s="19">
        <v>3.0</v>
      </c>
      <c r="AH68" s="19">
        <v>2.0</v>
      </c>
      <c r="AI68" s="19">
        <v>1.0</v>
      </c>
      <c r="AJ68" s="19">
        <v>4.0</v>
      </c>
      <c r="AK68" s="19">
        <v>3.0</v>
      </c>
      <c r="AL68" s="19">
        <v>1.0</v>
      </c>
      <c r="AM68" s="19">
        <v>4.0</v>
      </c>
      <c r="AN68" s="19">
        <v>1.0</v>
      </c>
      <c r="AO68" s="19">
        <v>1.0</v>
      </c>
      <c r="AP68" s="19">
        <v>6.0</v>
      </c>
      <c r="AQ68" s="19">
        <v>2.0</v>
      </c>
      <c r="AR68" s="19">
        <v>3.0</v>
      </c>
      <c r="AS68" s="19">
        <v>0.0</v>
      </c>
      <c r="AT68" s="19">
        <v>0.0</v>
      </c>
      <c r="AU68" s="19">
        <v>4.0</v>
      </c>
      <c r="AV68" s="13">
        <f t="shared" si="18"/>
        <v>119</v>
      </c>
    </row>
    <row r="69" ht="12.75" customHeight="1">
      <c r="A69" s="18"/>
      <c r="B69" s="55">
        <v>4.0</v>
      </c>
      <c r="C69" s="50" t="s">
        <v>60</v>
      </c>
      <c r="D69" s="57"/>
      <c r="E69" s="19">
        <v>2.0</v>
      </c>
      <c r="F69" s="19">
        <v>0.0</v>
      </c>
      <c r="G69" s="19">
        <v>0.0</v>
      </c>
      <c r="H69" s="19">
        <v>0.0</v>
      </c>
      <c r="I69" s="19">
        <v>3.0</v>
      </c>
      <c r="J69" s="19">
        <v>0.0</v>
      </c>
      <c r="K69" s="19">
        <v>1.0</v>
      </c>
      <c r="L69" s="19">
        <v>0.0</v>
      </c>
      <c r="M69" s="19">
        <v>1.0</v>
      </c>
      <c r="N69" s="19">
        <v>0.0</v>
      </c>
      <c r="O69" s="19">
        <v>3.0</v>
      </c>
      <c r="P69" s="19">
        <v>1.0</v>
      </c>
      <c r="Q69" s="19">
        <v>1.0</v>
      </c>
      <c r="R69" s="19">
        <v>0.0</v>
      </c>
      <c r="S69" s="19">
        <v>2.0</v>
      </c>
      <c r="T69" s="19">
        <v>1.0</v>
      </c>
      <c r="U69" s="19">
        <v>0.0</v>
      </c>
      <c r="V69" s="19">
        <v>1.0</v>
      </c>
      <c r="W69" s="19">
        <v>0.0</v>
      </c>
      <c r="X69" s="19">
        <v>1.0</v>
      </c>
      <c r="Y69" s="19">
        <v>1.0</v>
      </c>
      <c r="Z69" s="19">
        <v>2.0</v>
      </c>
      <c r="AA69" s="19">
        <v>0.0</v>
      </c>
      <c r="AB69" s="19">
        <v>0.0</v>
      </c>
      <c r="AC69" s="19">
        <v>0.0</v>
      </c>
      <c r="AD69" s="19">
        <v>1.0</v>
      </c>
      <c r="AE69" s="19">
        <v>6.0</v>
      </c>
      <c r="AF69" s="19">
        <v>2.0</v>
      </c>
      <c r="AG69" s="19">
        <v>1.0</v>
      </c>
      <c r="AH69" s="19">
        <v>0.0</v>
      </c>
      <c r="AI69" s="19">
        <v>0.0</v>
      </c>
      <c r="AJ69" s="19">
        <v>1.0</v>
      </c>
      <c r="AK69" s="19">
        <v>0.0</v>
      </c>
      <c r="AL69" s="19">
        <v>0.0</v>
      </c>
      <c r="AM69" s="19">
        <v>0.0</v>
      </c>
      <c r="AN69" s="19">
        <v>0.0</v>
      </c>
      <c r="AO69" s="19">
        <v>0.0</v>
      </c>
      <c r="AP69" s="19">
        <v>2.0</v>
      </c>
      <c r="AQ69" s="19">
        <v>0.0</v>
      </c>
      <c r="AR69" s="19">
        <v>1.0</v>
      </c>
      <c r="AS69" s="19">
        <v>1.0</v>
      </c>
      <c r="AT69" s="19">
        <v>0.0</v>
      </c>
      <c r="AU69" s="19">
        <v>1.0</v>
      </c>
      <c r="AV69" s="13">
        <f t="shared" si="18"/>
        <v>36</v>
      </c>
    </row>
    <row r="70" ht="12.75" customHeight="1">
      <c r="A70" s="18"/>
      <c r="B70" s="55">
        <v>5.0</v>
      </c>
      <c r="C70" s="50" t="s">
        <v>61</v>
      </c>
      <c r="D70" s="57"/>
      <c r="E70" s="19">
        <v>9.0</v>
      </c>
      <c r="F70" s="19">
        <v>4.0</v>
      </c>
      <c r="G70" s="19">
        <v>5.0</v>
      </c>
      <c r="H70" s="19">
        <v>2.0</v>
      </c>
      <c r="I70" s="19">
        <v>6.0</v>
      </c>
      <c r="J70" s="19">
        <v>5.0</v>
      </c>
      <c r="K70" s="19">
        <v>5.0</v>
      </c>
      <c r="L70" s="19">
        <v>8.0</v>
      </c>
      <c r="M70" s="19">
        <v>5.0</v>
      </c>
      <c r="N70" s="19">
        <v>6.0</v>
      </c>
      <c r="O70" s="19">
        <v>8.0</v>
      </c>
      <c r="P70" s="19">
        <v>15.0</v>
      </c>
      <c r="Q70" s="19">
        <v>16.0</v>
      </c>
      <c r="R70" s="19">
        <v>7.0</v>
      </c>
      <c r="S70" s="19">
        <v>2.0</v>
      </c>
      <c r="T70" s="19">
        <v>6.0</v>
      </c>
      <c r="U70" s="19">
        <v>2.0</v>
      </c>
      <c r="V70" s="19">
        <v>4.0</v>
      </c>
      <c r="W70" s="19">
        <v>4.0</v>
      </c>
      <c r="X70" s="19">
        <v>4.0</v>
      </c>
      <c r="Y70" s="19">
        <v>5.0</v>
      </c>
      <c r="Z70" s="19">
        <v>23.0</v>
      </c>
      <c r="AA70" s="19">
        <v>11.0</v>
      </c>
      <c r="AB70" s="19">
        <v>14.0</v>
      </c>
      <c r="AC70" s="19">
        <v>18.0</v>
      </c>
      <c r="AD70" s="19">
        <v>11.0</v>
      </c>
      <c r="AE70" s="19">
        <v>6.0</v>
      </c>
      <c r="AF70" s="19">
        <v>9.0</v>
      </c>
      <c r="AG70" s="19">
        <v>10.0</v>
      </c>
      <c r="AH70" s="19">
        <v>2.0</v>
      </c>
      <c r="AI70" s="19">
        <v>14.0</v>
      </c>
      <c r="AJ70" s="19">
        <v>6.0</v>
      </c>
      <c r="AK70" s="19">
        <v>2.0</v>
      </c>
      <c r="AL70" s="19">
        <v>9.0</v>
      </c>
      <c r="AM70" s="19">
        <v>8.0</v>
      </c>
      <c r="AN70" s="19">
        <v>9.0</v>
      </c>
      <c r="AO70" s="19">
        <v>5.0</v>
      </c>
      <c r="AP70" s="19">
        <v>18.0</v>
      </c>
      <c r="AQ70" s="19">
        <v>8.0</v>
      </c>
      <c r="AR70" s="19">
        <v>4.0</v>
      </c>
      <c r="AS70" s="19">
        <v>11.0</v>
      </c>
      <c r="AT70" s="19">
        <v>12.0</v>
      </c>
      <c r="AU70" s="19">
        <v>9.0</v>
      </c>
      <c r="AV70" s="13">
        <f t="shared" si="18"/>
        <v>347</v>
      </c>
    </row>
    <row r="71" ht="12.75" customHeight="1">
      <c r="A71" s="18"/>
      <c r="B71" s="55">
        <v>6.0</v>
      </c>
      <c r="C71" s="50" t="s">
        <v>62</v>
      </c>
      <c r="D71" s="57"/>
      <c r="E71" s="19">
        <v>1.0</v>
      </c>
      <c r="F71" s="19">
        <v>0.0</v>
      </c>
      <c r="G71" s="19">
        <v>0.0</v>
      </c>
      <c r="H71" s="19">
        <v>1.0</v>
      </c>
      <c r="I71" s="19">
        <v>0.0</v>
      </c>
      <c r="J71" s="19">
        <v>0.0</v>
      </c>
      <c r="K71" s="19">
        <v>0.0</v>
      </c>
      <c r="L71" s="19">
        <v>1.0</v>
      </c>
      <c r="M71" s="19">
        <v>0.0</v>
      </c>
      <c r="N71" s="19">
        <v>0.0</v>
      </c>
      <c r="O71" s="19">
        <v>0.0</v>
      </c>
      <c r="P71" s="19">
        <v>0.0</v>
      </c>
      <c r="Q71" s="19">
        <v>3.0</v>
      </c>
      <c r="R71" s="19">
        <v>1.0</v>
      </c>
      <c r="S71" s="19">
        <v>0.0</v>
      </c>
      <c r="T71" s="19">
        <v>0.0</v>
      </c>
      <c r="U71" s="19">
        <v>0.0</v>
      </c>
      <c r="V71" s="19">
        <v>0.0</v>
      </c>
      <c r="W71" s="19">
        <v>0.0</v>
      </c>
      <c r="X71" s="19">
        <v>0.0</v>
      </c>
      <c r="Y71" s="19">
        <v>0.0</v>
      </c>
      <c r="Z71" s="19">
        <v>0.0</v>
      </c>
      <c r="AA71" s="19">
        <v>0.0</v>
      </c>
      <c r="AB71" s="19">
        <v>0.0</v>
      </c>
      <c r="AC71" s="19">
        <v>0.0</v>
      </c>
      <c r="AD71" s="19">
        <v>0.0</v>
      </c>
      <c r="AE71" s="19">
        <v>0.0</v>
      </c>
      <c r="AF71" s="19">
        <v>1.0</v>
      </c>
      <c r="AG71" s="19">
        <v>2.0</v>
      </c>
      <c r="AH71" s="19">
        <v>0.0</v>
      </c>
      <c r="AI71" s="19">
        <v>0.0</v>
      </c>
      <c r="AJ71" s="19">
        <v>0.0</v>
      </c>
      <c r="AK71" s="19">
        <v>0.0</v>
      </c>
      <c r="AL71" s="19">
        <v>1.0</v>
      </c>
      <c r="AM71" s="19">
        <v>1.0</v>
      </c>
      <c r="AN71" s="19">
        <v>1.0</v>
      </c>
      <c r="AO71" s="19">
        <v>0.0</v>
      </c>
      <c r="AP71" s="19">
        <v>0.0</v>
      </c>
      <c r="AQ71" s="19">
        <v>0.0</v>
      </c>
      <c r="AR71" s="19">
        <v>0.0</v>
      </c>
      <c r="AS71" s="19">
        <v>0.0</v>
      </c>
      <c r="AT71" s="19">
        <v>0.0</v>
      </c>
      <c r="AU71" s="19">
        <v>0.0</v>
      </c>
      <c r="AV71" s="13">
        <f t="shared" si="18"/>
        <v>13</v>
      </c>
    </row>
    <row r="72" ht="12.75" customHeight="1">
      <c r="A72" s="18"/>
      <c r="B72" s="55">
        <v>7.0</v>
      </c>
      <c r="C72" s="50" t="s">
        <v>63</v>
      </c>
      <c r="D72" s="57"/>
      <c r="E72" s="19">
        <v>2.0</v>
      </c>
      <c r="F72" s="19">
        <v>4.0</v>
      </c>
      <c r="G72" s="19">
        <v>1.0</v>
      </c>
      <c r="H72" s="19">
        <v>6.0</v>
      </c>
      <c r="I72" s="19">
        <v>1.0</v>
      </c>
      <c r="J72" s="19">
        <v>2.0</v>
      </c>
      <c r="K72" s="19">
        <v>0.0</v>
      </c>
      <c r="L72" s="19">
        <v>0.0</v>
      </c>
      <c r="M72" s="19">
        <v>0.0</v>
      </c>
      <c r="N72" s="19">
        <v>2.0</v>
      </c>
      <c r="O72" s="19">
        <v>0.0</v>
      </c>
      <c r="P72" s="19">
        <v>4.0</v>
      </c>
      <c r="Q72" s="19">
        <v>1.0</v>
      </c>
      <c r="R72" s="19">
        <v>1.0</v>
      </c>
      <c r="S72" s="19">
        <v>1.0</v>
      </c>
      <c r="T72" s="19">
        <v>1.0</v>
      </c>
      <c r="U72" s="19">
        <v>4.0</v>
      </c>
      <c r="V72" s="19">
        <v>2.0</v>
      </c>
      <c r="W72" s="19">
        <v>6.0</v>
      </c>
      <c r="X72" s="19">
        <v>0.0</v>
      </c>
      <c r="Y72" s="19">
        <v>4.0</v>
      </c>
      <c r="Z72" s="19">
        <v>2.0</v>
      </c>
      <c r="AA72" s="19">
        <v>0.0</v>
      </c>
      <c r="AB72" s="19">
        <v>0.0</v>
      </c>
      <c r="AC72" s="19">
        <v>0.0</v>
      </c>
      <c r="AD72" s="19">
        <v>0.0</v>
      </c>
      <c r="AE72" s="19">
        <v>1.0</v>
      </c>
      <c r="AF72" s="19">
        <v>0.0</v>
      </c>
      <c r="AG72" s="19">
        <v>1.0</v>
      </c>
      <c r="AH72" s="19">
        <v>1.0</v>
      </c>
      <c r="AI72" s="19">
        <v>1.0</v>
      </c>
      <c r="AJ72" s="19">
        <v>1.0</v>
      </c>
      <c r="AK72" s="19">
        <v>0.0</v>
      </c>
      <c r="AL72" s="19">
        <v>0.0</v>
      </c>
      <c r="AM72" s="19">
        <v>2.0</v>
      </c>
      <c r="AN72" s="19">
        <v>4.0</v>
      </c>
      <c r="AO72" s="19">
        <v>2.0</v>
      </c>
      <c r="AP72" s="19">
        <v>3.0</v>
      </c>
      <c r="AQ72" s="19">
        <v>0.0</v>
      </c>
      <c r="AR72" s="19">
        <v>0.0</v>
      </c>
      <c r="AS72" s="19">
        <v>3.0</v>
      </c>
      <c r="AT72" s="19">
        <v>5.0</v>
      </c>
      <c r="AU72" s="19">
        <v>3.0</v>
      </c>
      <c r="AV72" s="13">
        <f t="shared" si="18"/>
        <v>71</v>
      </c>
    </row>
    <row r="73" ht="12.75" customHeight="1">
      <c r="A73" s="19" t="s">
        <v>15</v>
      </c>
      <c r="B73" s="47" t="s">
        <v>47</v>
      </c>
      <c r="C73" s="15"/>
      <c r="D73" s="16"/>
      <c r="E73" s="13">
        <f t="shared" ref="E73:AV73" si="19">SUM(E65:E72)</f>
        <v>102</v>
      </c>
      <c r="F73" s="13">
        <f t="shared" si="19"/>
        <v>37</v>
      </c>
      <c r="G73" s="13">
        <f t="shared" si="19"/>
        <v>42</v>
      </c>
      <c r="H73" s="13">
        <f t="shared" si="19"/>
        <v>34</v>
      </c>
      <c r="I73" s="13">
        <f t="shared" si="19"/>
        <v>50</v>
      </c>
      <c r="J73" s="13">
        <f t="shared" si="19"/>
        <v>17</v>
      </c>
      <c r="K73" s="13">
        <f t="shared" si="19"/>
        <v>25</v>
      </c>
      <c r="L73" s="13">
        <f t="shared" si="19"/>
        <v>52</v>
      </c>
      <c r="M73" s="13">
        <f t="shared" si="19"/>
        <v>40</v>
      </c>
      <c r="N73" s="13">
        <f t="shared" si="19"/>
        <v>54</v>
      </c>
      <c r="O73" s="13">
        <f t="shared" si="19"/>
        <v>38</v>
      </c>
      <c r="P73" s="13">
        <f t="shared" si="19"/>
        <v>54</v>
      </c>
      <c r="Q73" s="13">
        <f t="shared" si="19"/>
        <v>64</v>
      </c>
      <c r="R73" s="13">
        <f t="shared" si="19"/>
        <v>57</v>
      </c>
      <c r="S73" s="13">
        <f t="shared" si="19"/>
        <v>21</v>
      </c>
      <c r="T73" s="13">
        <f t="shared" si="19"/>
        <v>37</v>
      </c>
      <c r="U73" s="13">
        <f t="shared" si="19"/>
        <v>39</v>
      </c>
      <c r="V73" s="13">
        <f t="shared" si="19"/>
        <v>54</v>
      </c>
      <c r="W73" s="13">
        <f t="shared" si="19"/>
        <v>36</v>
      </c>
      <c r="X73" s="13">
        <f t="shared" si="19"/>
        <v>29</v>
      </c>
      <c r="Y73" s="13">
        <f t="shared" si="19"/>
        <v>42</v>
      </c>
      <c r="Z73" s="13">
        <f t="shared" si="19"/>
        <v>55</v>
      </c>
      <c r="AA73" s="13">
        <f t="shared" si="19"/>
        <v>47</v>
      </c>
      <c r="AB73" s="13">
        <f t="shared" si="19"/>
        <v>40</v>
      </c>
      <c r="AC73" s="13">
        <f t="shared" si="19"/>
        <v>40</v>
      </c>
      <c r="AD73" s="13">
        <f t="shared" si="19"/>
        <v>46</v>
      </c>
      <c r="AE73" s="13">
        <f t="shared" si="19"/>
        <v>64</v>
      </c>
      <c r="AF73" s="13">
        <f t="shared" si="19"/>
        <v>44</v>
      </c>
      <c r="AG73" s="13">
        <f t="shared" si="19"/>
        <v>43</v>
      </c>
      <c r="AH73" s="13">
        <f t="shared" si="19"/>
        <v>25</v>
      </c>
      <c r="AI73" s="13">
        <f t="shared" si="19"/>
        <v>43</v>
      </c>
      <c r="AJ73" s="13">
        <f t="shared" si="19"/>
        <v>64</v>
      </c>
      <c r="AK73" s="13">
        <f t="shared" si="19"/>
        <v>63</v>
      </c>
      <c r="AL73" s="13">
        <f t="shared" si="19"/>
        <v>27</v>
      </c>
      <c r="AM73" s="13">
        <f t="shared" si="19"/>
        <v>35</v>
      </c>
      <c r="AN73" s="13">
        <f t="shared" si="19"/>
        <v>38</v>
      </c>
      <c r="AO73" s="13">
        <f t="shared" si="19"/>
        <v>33</v>
      </c>
      <c r="AP73" s="13">
        <f t="shared" si="19"/>
        <v>58</v>
      </c>
      <c r="AQ73" s="13">
        <f t="shared" si="19"/>
        <v>35</v>
      </c>
      <c r="AR73" s="13">
        <f t="shared" si="19"/>
        <v>31</v>
      </c>
      <c r="AS73" s="13">
        <f t="shared" si="19"/>
        <v>42</v>
      </c>
      <c r="AT73" s="13">
        <f t="shared" si="19"/>
        <v>50</v>
      </c>
      <c r="AU73" s="13">
        <f t="shared" si="19"/>
        <v>40</v>
      </c>
      <c r="AV73" s="13">
        <f t="shared" si="19"/>
        <v>1887</v>
      </c>
    </row>
    <row r="74" ht="12.75" customHeight="1">
      <c r="A74" s="45"/>
      <c r="B74" s="44"/>
      <c r="C74" s="44"/>
      <c r="D74" s="44"/>
      <c r="E74" s="44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2.0</v>
      </c>
      <c r="F75" s="19">
        <v>0.0</v>
      </c>
      <c r="G75" s="19">
        <v>1.0</v>
      </c>
      <c r="H75" s="19">
        <v>1.0</v>
      </c>
      <c r="I75" s="19">
        <v>5.0</v>
      </c>
      <c r="J75" s="19">
        <v>0.0</v>
      </c>
      <c r="K75" s="19">
        <v>0.0</v>
      </c>
      <c r="L75" s="19">
        <v>2.0</v>
      </c>
      <c r="M75" s="19">
        <v>4.0</v>
      </c>
      <c r="N75" s="19">
        <v>2.0</v>
      </c>
      <c r="O75" s="19">
        <v>3.0</v>
      </c>
      <c r="P75" s="19">
        <v>4.0</v>
      </c>
      <c r="Q75" s="19">
        <v>2.0</v>
      </c>
      <c r="R75" s="19">
        <v>8.0</v>
      </c>
      <c r="S75" s="19">
        <v>3.0</v>
      </c>
      <c r="T75" s="19">
        <v>3.0</v>
      </c>
      <c r="U75" s="19">
        <v>5.0</v>
      </c>
      <c r="V75" s="19">
        <v>2.0</v>
      </c>
      <c r="W75" s="19">
        <v>1.0</v>
      </c>
      <c r="X75" s="19">
        <v>7.0</v>
      </c>
      <c r="Y75" s="19">
        <v>3.0</v>
      </c>
      <c r="Z75" s="19">
        <v>3.0</v>
      </c>
      <c r="AA75" s="19">
        <v>6.0</v>
      </c>
      <c r="AB75" s="19">
        <v>11.0</v>
      </c>
      <c r="AC75" s="19">
        <v>1.0</v>
      </c>
      <c r="AD75" s="19">
        <v>3.0</v>
      </c>
      <c r="AE75" s="19">
        <v>4.0</v>
      </c>
      <c r="AF75" s="19">
        <v>4.0</v>
      </c>
      <c r="AG75" s="19">
        <v>5.0</v>
      </c>
      <c r="AH75" s="19">
        <v>5.0</v>
      </c>
      <c r="AI75" s="19">
        <v>3.0</v>
      </c>
      <c r="AJ75" s="19">
        <v>6.0</v>
      </c>
      <c r="AK75" s="19">
        <v>15.0</v>
      </c>
      <c r="AL75" s="19">
        <v>7.0</v>
      </c>
      <c r="AM75" s="19">
        <v>9.0</v>
      </c>
      <c r="AN75" s="19">
        <v>7.0</v>
      </c>
      <c r="AO75" s="19">
        <v>7.0</v>
      </c>
      <c r="AP75" s="19">
        <v>6.0</v>
      </c>
      <c r="AQ75" s="19">
        <v>16.0</v>
      </c>
      <c r="AR75" s="19">
        <v>14.0</v>
      </c>
      <c r="AS75" s="19">
        <v>6.0</v>
      </c>
      <c r="AT75" s="19">
        <v>17.0</v>
      </c>
      <c r="AU75" s="19">
        <v>5.0</v>
      </c>
      <c r="AV75" s="13">
        <f t="shared" ref="AV75:AV82" si="20">SUM(E75:AU75)</f>
        <v>218</v>
      </c>
    </row>
    <row r="76" ht="12.75" customHeight="1">
      <c r="A76" s="30" t="s">
        <v>39</v>
      </c>
      <c r="B76" s="55">
        <v>1.0</v>
      </c>
      <c r="C76" s="50" t="s">
        <v>65</v>
      </c>
      <c r="D76" s="57"/>
      <c r="E76" s="19">
        <v>4.0</v>
      </c>
      <c r="F76" s="19">
        <v>1.0</v>
      </c>
      <c r="G76" s="19">
        <v>0.0</v>
      </c>
      <c r="H76" s="19">
        <v>2.0</v>
      </c>
      <c r="I76" s="19">
        <v>5.0</v>
      </c>
      <c r="J76" s="19">
        <v>2.0</v>
      </c>
      <c r="K76" s="19">
        <v>2.0</v>
      </c>
      <c r="L76" s="19">
        <v>4.0</v>
      </c>
      <c r="M76" s="19">
        <v>1.0</v>
      </c>
      <c r="N76" s="19">
        <v>6.0</v>
      </c>
      <c r="O76" s="19">
        <v>2.0</v>
      </c>
      <c r="P76" s="19">
        <v>3.0</v>
      </c>
      <c r="Q76" s="19">
        <v>6.0</v>
      </c>
      <c r="R76" s="19">
        <v>4.0</v>
      </c>
      <c r="S76" s="19">
        <v>1.0</v>
      </c>
      <c r="T76" s="19">
        <v>0.0</v>
      </c>
      <c r="U76" s="19">
        <v>4.0</v>
      </c>
      <c r="V76" s="19">
        <v>3.0</v>
      </c>
      <c r="W76" s="19">
        <v>5.0</v>
      </c>
      <c r="X76" s="19">
        <v>12.0</v>
      </c>
      <c r="Y76" s="19">
        <v>3.0</v>
      </c>
      <c r="Z76" s="19">
        <v>3.0</v>
      </c>
      <c r="AA76" s="19">
        <v>6.0</v>
      </c>
      <c r="AB76" s="19">
        <v>12.0</v>
      </c>
      <c r="AC76" s="19">
        <v>6.0</v>
      </c>
      <c r="AD76" s="19">
        <v>17.0</v>
      </c>
      <c r="AE76" s="19">
        <v>4.0</v>
      </c>
      <c r="AF76" s="19">
        <v>27.0</v>
      </c>
      <c r="AG76" s="19">
        <v>6.0</v>
      </c>
      <c r="AH76" s="19">
        <v>3.0</v>
      </c>
      <c r="AI76" s="19">
        <v>4.0</v>
      </c>
      <c r="AJ76" s="19">
        <v>13.0</v>
      </c>
      <c r="AK76" s="19">
        <v>5.0</v>
      </c>
      <c r="AL76" s="19">
        <v>8.0</v>
      </c>
      <c r="AM76" s="19">
        <v>4.0</v>
      </c>
      <c r="AN76" s="19">
        <v>11.0</v>
      </c>
      <c r="AO76" s="19">
        <v>4.0</v>
      </c>
      <c r="AP76" s="19">
        <v>11.0</v>
      </c>
      <c r="AQ76" s="19">
        <v>9.0</v>
      </c>
      <c r="AR76" s="19">
        <v>10.0</v>
      </c>
      <c r="AS76" s="19">
        <v>13.0</v>
      </c>
      <c r="AT76" s="19">
        <v>8.0</v>
      </c>
      <c r="AU76" s="19">
        <v>7.0</v>
      </c>
      <c r="AV76" s="13">
        <f t="shared" si="20"/>
        <v>261</v>
      </c>
    </row>
    <row r="77" ht="12.75" customHeight="1">
      <c r="A77" s="18"/>
      <c r="B77" s="55">
        <v>2.0</v>
      </c>
      <c r="C77" s="50" t="s">
        <v>66</v>
      </c>
      <c r="D77" s="57"/>
      <c r="E77" s="19">
        <v>0.0</v>
      </c>
      <c r="F77" s="19">
        <v>4.0</v>
      </c>
      <c r="G77" s="19">
        <v>4.0</v>
      </c>
      <c r="H77" s="19">
        <v>2.0</v>
      </c>
      <c r="I77" s="19">
        <v>1.0</v>
      </c>
      <c r="J77" s="19">
        <v>0.0</v>
      </c>
      <c r="K77" s="19">
        <v>2.0</v>
      </c>
      <c r="L77" s="19">
        <v>0.0</v>
      </c>
      <c r="M77" s="19">
        <v>6.0</v>
      </c>
      <c r="N77" s="19">
        <v>2.0</v>
      </c>
      <c r="O77" s="19">
        <v>1.0</v>
      </c>
      <c r="P77" s="19">
        <v>4.0</v>
      </c>
      <c r="Q77" s="19">
        <v>0.0</v>
      </c>
      <c r="R77" s="19">
        <v>0.0</v>
      </c>
      <c r="S77" s="19">
        <v>0.0</v>
      </c>
      <c r="T77" s="19">
        <v>1.0</v>
      </c>
      <c r="U77" s="19">
        <v>7.0</v>
      </c>
      <c r="V77" s="19">
        <v>4.0</v>
      </c>
      <c r="W77" s="19">
        <v>5.0</v>
      </c>
      <c r="X77" s="19">
        <v>2.0</v>
      </c>
      <c r="Y77" s="19">
        <v>3.0</v>
      </c>
      <c r="Z77" s="19">
        <v>1.0</v>
      </c>
      <c r="AA77" s="19">
        <v>5.0</v>
      </c>
      <c r="AB77" s="19">
        <v>3.0</v>
      </c>
      <c r="AC77" s="19">
        <v>3.0</v>
      </c>
      <c r="AD77" s="19">
        <v>0.0</v>
      </c>
      <c r="AE77" s="19">
        <v>0.0</v>
      </c>
      <c r="AF77" s="19">
        <v>0.0</v>
      </c>
      <c r="AG77" s="19">
        <v>2.0</v>
      </c>
      <c r="AH77" s="19">
        <v>2.0</v>
      </c>
      <c r="AI77" s="19">
        <v>0.0</v>
      </c>
      <c r="AJ77" s="19">
        <v>5.0</v>
      </c>
      <c r="AK77" s="19">
        <v>11.0</v>
      </c>
      <c r="AL77" s="19">
        <v>2.0</v>
      </c>
      <c r="AM77" s="19">
        <v>5.0</v>
      </c>
      <c r="AN77" s="19">
        <v>12.0</v>
      </c>
      <c r="AO77" s="19">
        <v>11.0</v>
      </c>
      <c r="AP77" s="19">
        <v>7.0</v>
      </c>
      <c r="AQ77" s="19">
        <v>8.0</v>
      </c>
      <c r="AR77" s="19">
        <v>1.0</v>
      </c>
      <c r="AS77" s="19">
        <v>9.0</v>
      </c>
      <c r="AT77" s="19">
        <v>6.0</v>
      </c>
      <c r="AU77" s="19">
        <v>10.0</v>
      </c>
      <c r="AV77" s="13">
        <f t="shared" si="20"/>
        <v>151</v>
      </c>
    </row>
    <row r="78" ht="12.75" customHeight="1">
      <c r="A78" s="18"/>
      <c r="B78" s="55">
        <v>3.0</v>
      </c>
      <c r="C78" s="50" t="s">
        <v>67</v>
      </c>
      <c r="D78" s="57"/>
      <c r="E78" s="19">
        <v>0.0</v>
      </c>
      <c r="F78" s="19">
        <v>1.0</v>
      </c>
      <c r="G78" s="19">
        <v>0.0</v>
      </c>
      <c r="H78" s="19">
        <v>0.0</v>
      </c>
      <c r="I78" s="19">
        <v>0.0</v>
      </c>
      <c r="J78" s="19">
        <v>2.0</v>
      </c>
      <c r="K78" s="19">
        <v>2.0</v>
      </c>
      <c r="L78" s="19">
        <v>2.0</v>
      </c>
      <c r="M78" s="19">
        <v>1.0</v>
      </c>
      <c r="N78" s="19">
        <v>1.0</v>
      </c>
      <c r="O78" s="19">
        <v>0.0</v>
      </c>
      <c r="P78" s="19">
        <v>1.0</v>
      </c>
      <c r="Q78" s="19">
        <v>0.0</v>
      </c>
      <c r="R78" s="19">
        <v>0.0</v>
      </c>
      <c r="S78" s="19">
        <v>0.0</v>
      </c>
      <c r="T78" s="19">
        <v>0.0</v>
      </c>
      <c r="U78" s="19">
        <v>2.0</v>
      </c>
      <c r="V78" s="19">
        <v>1.0</v>
      </c>
      <c r="W78" s="19">
        <v>5.0</v>
      </c>
      <c r="X78" s="19">
        <v>1.0</v>
      </c>
      <c r="Y78" s="19">
        <v>1.0</v>
      </c>
      <c r="Z78" s="19">
        <v>1.0</v>
      </c>
      <c r="AA78" s="19">
        <v>0.0</v>
      </c>
      <c r="AB78" s="19">
        <v>2.0</v>
      </c>
      <c r="AC78" s="19">
        <v>2.0</v>
      </c>
      <c r="AD78" s="19">
        <v>0.0</v>
      </c>
      <c r="AE78" s="19">
        <v>1.0</v>
      </c>
      <c r="AF78" s="19">
        <v>0.0</v>
      </c>
      <c r="AG78" s="19">
        <v>4.0</v>
      </c>
      <c r="AH78" s="19">
        <v>1.0</v>
      </c>
      <c r="AI78" s="19">
        <v>0.0</v>
      </c>
      <c r="AJ78" s="19">
        <v>2.0</v>
      </c>
      <c r="AK78" s="19">
        <v>0.0</v>
      </c>
      <c r="AL78" s="19">
        <v>0.0</v>
      </c>
      <c r="AM78" s="19">
        <v>2.0</v>
      </c>
      <c r="AN78" s="19">
        <v>1.0</v>
      </c>
      <c r="AO78" s="19">
        <v>0.0</v>
      </c>
      <c r="AP78" s="19">
        <v>4.0</v>
      </c>
      <c r="AQ78" s="19">
        <v>1.0</v>
      </c>
      <c r="AR78" s="19">
        <v>4.0</v>
      </c>
      <c r="AS78" s="19">
        <v>3.0</v>
      </c>
      <c r="AT78" s="19">
        <v>0.0</v>
      </c>
      <c r="AU78" s="19">
        <v>0.0</v>
      </c>
      <c r="AV78" s="13">
        <f t="shared" si="20"/>
        <v>48</v>
      </c>
    </row>
    <row r="79" ht="12.75" customHeight="1">
      <c r="A79" s="18"/>
      <c r="B79" s="55">
        <v>4.0</v>
      </c>
      <c r="C79" s="50" t="s">
        <v>68</v>
      </c>
      <c r="D79" s="57"/>
      <c r="E79" s="19">
        <v>1.0</v>
      </c>
      <c r="F79" s="19">
        <v>0.0</v>
      </c>
      <c r="G79" s="19">
        <v>0.0</v>
      </c>
      <c r="H79" s="19">
        <v>1.0</v>
      </c>
      <c r="I79" s="19">
        <v>0.0</v>
      </c>
      <c r="J79" s="19">
        <v>0.0</v>
      </c>
      <c r="K79" s="19">
        <v>0.0</v>
      </c>
      <c r="L79" s="19">
        <v>0.0</v>
      </c>
      <c r="M79" s="19">
        <v>0.0</v>
      </c>
      <c r="N79" s="19">
        <v>0.0</v>
      </c>
      <c r="O79" s="19">
        <v>3.0</v>
      </c>
      <c r="P79" s="19">
        <v>0.0</v>
      </c>
      <c r="Q79" s="19">
        <v>0.0</v>
      </c>
      <c r="R79" s="19">
        <v>0.0</v>
      </c>
      <c r="S79" s="19">
        <v>2.0</v>
      </c>
      <c r="T79" s="19">
        <v>0.0</v>
      </c>
      <c r="U79" s="19">
        <v>1.0</v>
      </c>
      <c r="V79" s="19">
        <v>0.0</v>
      </c>
      <c r="W79" s="19">
        <v>0.0</v>
      </c>
      <c r="X79" s="19">
        <v>1.0</v>
      </c>
      <c r="Y79" s="19">
        <v>1.0</v>
      </c>
      <c r="Z79" s="19">
        <v>0.0</v>
      </c>
      <c r="AA79" s="19">
        <v>0.0</v>
      </c>
      <c r="AB79" s="19">
        <v>0.0</v>
      </c>
      <c r="AC79" s="19">
        <v>2.0</v>
      </c>
      <c r="AD79" s="19">
        <v>2.0</v>
      </c>
      <c r="AE79" s="19">
        <v>0.0</v>
      </c>
      <c r="AF79" s="19">
        <v>1.0</v>
      </c>
      <c r="AG79" s="19">
        <v>3.0</v>
      </c>
      <c r="AH79" s="19">
        <v>2.0</v>
      </c>
      <c r="AI79" s="19">
        <v>0.0</v>
      </c>
      <c r="AJ79" s="19">
        <v>0.0</v>
      </c>
      <c r="AK79" s="19">
        <v>0.0</v>
      </c>
      <c r="AL79" s="19">
        <v>3.0</v>
      </c>
      <c r="AM79" s="19">
        <v>1.0</v>
      </c>
      <c r="AN79" s="19">
        <v>1.0</v>
      </c>
      <c r="AO79" s="19">
        <v>2.0</v>
      </c>
      <c r="AP79" s="19">
        <v>0.0</v>
      </c>
      <c r="AQ79" s="19">
        <v>1.0</v>
      </c>
      <c r="AR79" s="19">
        <v>4.0</v>
      </c>
      <c r="AS79" s="19">
        <v>3.0</v>
      </c>
      <c r="AT79" s="19">
        <v>1.0</v>
      </c>
      <c r="AU79" s="19">
        <v>0.0</v>
      </c>
      <c r="AV79" s="13">
        <f t="shared" si="20"/>
        <v>36</v>
      </c>
    </row>
    <row r="80" ht="12.75" customHeight="1">
      <c r="A80" s="18"/>
      <c r="B80" s="55">
        <v>5.0</v>
      </c>
      <c r="C80" s="50" t="s">
        <v>69</v>
      </c>
      <c r="D80" s="57"/>
      <c r="E80" s="19">
        <v>1.0</v>
      </c>
      <c r="F80" s="19">
        <v>1.0</v>
      </c>
      <c r="G80" s="19">
        <v>0.0</v>
      </c>
      <c r="H80" s="19">
        <v>0.0</v>
      </c>
      <c r="I80" s="19">
        <v>0.0</v>
      </c>
      <c r="J80" s="19">
        <v>0.0</v>
      </c>
      <c r="K80" s="19">
        <v>1.0</v>
      </c>
      <c r="L80" s="19">
        <v>0.0</v>
      </c>
      <c r="M80" s="19">
        <v>0.0</v>
      </c>
      <c r="N80" s="19">
        <v>1.0</v>
      </c>
      <c r="O80" s="19">
        <v>0.0</v>
      </c>
      <c r="P80" s="19">
        <v>1.0</v>
      </c>
      <c r="Q80" s="19">
        <v>0.0</v>
      </c>
      <c r="R80" s="19">
        <v>1.0</v>
      </c>
      <c r="S80" s="19">
        <v>0.0</v>
      </c>
      <c r="T80" s="19">
        <v>0.0</v>
      </c>
      <c r="U80" s="19">
        <v>1.0</v>
      </c>
      <c r="V80" s="19">
        <v>2.0</v>
      </c>
      <c r="W80" s="19">
        <v>15.0</v>
      </c>
      <c r="X80" s="19">
        <v>3.0</v>
      </c>
      <c r="Y80" s="19">
        <v>4.0</v>
      </c>
      <c r="Z80" s="19">
        <v>0.0</v>
      </c>
      <c r="AA80" s="19">
        <v>4.0</v>
      </c>
      <c r="AB80" s="19">
        <v>10.0</v>
      </c>
      <c r="AC80" s="19">
        <v>10.0</v>
      </c>
      <c r="AD80" s="19">
        <v>1.0</v>
      </c>
      <c r="AE80" s="19">
        <v>0.0</v>
      </c>
      <c r="AF80" s="19">
        <v>2.0</v>
      </c>
      <c r="AG80" s="19">
        <v>2.0</v>
      </c>
      <c r="AH80" s="19">
        <v>3.0</v>
      </c>
      <c r="AI80" s="19">
        <v>0.0</v>
      </c>
      <c r="AJ80" s="19">
        <v>1.0</v>
      </c>
      <c r="AK80" s="19">
        <v>0.0</v>
      </c>
      <c r="AL80" s="19">
        <v>2.0</v>
      </c>
      <c r="AM80" s="19">
        <v>0.0</v>
      </c>
      <c r="AN80" s="19">
        <v>0.0</v>
      </c>
      <c r="AO80" s="19">
        <v>0.0</v>
      </c>
      <c r="AP80" s="19">
        <v>0.0</v>
      </c>
      <c r="AQ80" s="19">
        <v>0.0</v>
      </c>
      <c r="AR80" s="19">
        <v>2.0</v>
      </c>
      <c r="AS80" s="19">
        <v>3.0</v>
      </c>
      <c r="AT80" s="19">
        <v>1.0</v>
      </c>
      <c r="AU80" s="19">
        <v>0.0</v>
      </c>
      <c r="AV80" s="13">
        <f t="shared" si="20"/>
        <v>72</v>
      </c>
    </row>
    <row r="81" ht="12.75" customHeight="1">
      <c r="A81" s="18"/>
      <c r="B81" s="55">
        <v>6.0</v>
      </c>
      <c r="C81" s="50" t="s">
        <v>70</v>
      </c>
      <c r="D81" s="57"/>
      <c r="E81" s="19">
        <v>0.0</v>
      </c>
      <c r="F81" s="19">
        <v>0.0</v>
      </c>
      <c r="G81" s="19">
        <v>0.0</v>
      </c>
      <c r="H81" s="19">
        <v>0.0</v>
      </c>
      <c r="I81" s="19">
        <v>1.0</v>
      </c>
      <c r="J81" s="19">
        <v>0.0</v>
      </c>
      <c r="K81" s="19">
        <v>0.0</v>
      </c>
      <c r="L81" s="19">
        <v>0.0</v>
      </c>
      <c r="M81" s="19">
        <v>0.0</v>
      </c>
      <c r="N81" s="19">
        <v>0.0</v>
      </c>
      <c r="O81" s="19">
        <v>2.0</v>
      </c>
      <c r="P81" s="19">
        <v>1.0</v>
      </c>
      <c r="Q81" s="19">
        <v>0.0</v>
      </c>
      <c r="R81" s="19">
        <v>0.0</v>
      </c>
      <c r="S81" s="19">
        <v>0.0</v>
      </c>
      <c r="T81" s="19">
        <v>0.0</v>
      </c>
      <c r="U81" s="19">
        <v>0.0</v>
      </c>
      <c r="V81" s="19">
        <v>0.0</v>
      </c>
      <c r="W81" s="19">
        <v>1.0</v>
      </c>
      <c r="X81" s="19">
        <v>0.0</v>
      </c>
      <c r="Y81" s="19">
        <v>0.0</v>
      </c>
      <c r="Z81" s="19">
        <v>0.0</v>
      </c>
      <c r="AA81" s="19">
        <v>0.0</v>
      </c>
      <c r="AB81" s="19">
        <v>2.0</v>
      </c>
      <c r="AC81" s="19">
        <v>0.0</v>
      </c>
      <c r="AD81" s="19">
        <v>0.0</v>
      </c>
      <c r="AE81" s="19">
        <v>0.0</v>
      </c>
      <c r="AF81" s="19">
        <v>0.0</v>
      </c>
      <c r="AG81" s="19">
        <v>0.0</v>
      </c>
      <c r="AH81" s="19">
        <v>0.0</v>
      </c>
      <c r="AI81" s="19">
        <v>1.0</v>
      </c>
      <c r="AJ81" s="19">
        <v>1.0</v>
      </c>
      <c r="AK81" s="19">
        <v>0.0</v>
      </c>
      <c r="AL81" s="19">
        <v>0.0</v>
      </c>
      <c r="AM81" s="19">
        <v>1.0</v>
      </c>
      <c r="AN81" s="19">
        <v>1.0</v>
      </c>
      <c r="AO81" s="19">
        <v>0.0</v>
      </c>
      <c r="AP81" s="19">
        <v>1.0</v>
      </c>
      <c r="AQ81" s="19">
        <v>1.0</v>
      </c>
      <c r="AR81" s="19">
        <v>0.0</v>
      </c>
      <c r="AS81" s="19">
        <v>0.0</v>
      </c>
      <c r="AT81" s="19">
        <v>0.0</v>
      </c>
      <c r="AU81" s="19">
        <v>0.0</v>
      </c>
      <c r="AV81" s="13">
        <f t="shared" si="20"/>
        <v>13</v>
      </c>
    </row>
    <row r="82" ht="12.75" customHeight="1">
      <c r="A82" s="18"/>
      <c r="B82" s="55">
        <v>7.0</v>
      </c>
      <c r="C82" s="50" t="s">
        <v>71</v>
      </c>
      <c r="D82" s="57"/>
      <c r="E82" s="19">
        <v>0.0</v>
      </c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19">
        <v>0.0</v>
      </c>
      <c r="L82" s="19">
        <v>0.0</v>
      </c>
      <c r="M82" s="19">
        <v>0.0</v>
      </c>
      <c r="N82" s="19">
        <v>0.0</v>
      </c>
      <c r="O82" s="19">
        <v>1.0</v>
      </c>
      <c r="P82" s="19">
        <v>0.0</v>
      </c>
      <c r="Q82" s="19">
        <v>0.0</v>
      </c>
      <c r="R82" s="19">
        <v>0.0</v>
      </c>
      <c r="S82" s="19">
        <v>0.0</v>
      </c>
      <c r="T82" s="19">
        <v>0.0</v>
      </c>
      <c r="U82" s="19">
        <v>0.0</v>
      </c>
      <c r="V82" s="19">
        <v>1.0</v>
      </c>
      <c r="W82" s="19">
        <v>0.0</v>
      </c>
      <c r="X82" s="19">
        <v>0.0</v>
      </c>
      <c r="Y82" s="19">
        <v>0.0</v>
      </c>
      <c r="Z82" s="19">
        <v>0.0</v>
      </c>
      <c r="AA82" s="19">
        <v>1.0</v>
      </c>
      <c r="AB82" s="19">
        <v>0.0</v>
      </c>
      <c r="AC82" s="19">
        <v>0.0</v>
      </c>
      <c r="AD82" s="19">
        <v>0.0</v>
      </c>
      <c r="AE82" s="19">
        <v>0.0</v>
      </c>
      <c r="AF82" s="19">
        <v>0.0</v>
      </c>
      <c r="AG82" s="19">
        <v>1.0</v>
      </c>
      <c r="AH82" s="19">
        <v>0.0</v>
      </c>
      <c r="AI82" s="19">
        <v>0.0</v>
      </c>
      <c r="AJ82" s="19">
        <v>0.0</v>
      </c>
      <c r="AK82" s="19">
        <v>0.0</v>
      </c>
      <c r="AL82" s="19">
        <v>0.0</v>
      </c>
      <c r="AM82" s="19">
        <v>0.0</v>
      </c>
      <c r="AN82" s="19">
        <v>0.0</v>
      </c>
      <c r="AO82" s="19">
        <v>0.0</v>
      </c>
      <c r="AP82" s="19">
        <v>0.0</v>
      </c>
      <c r="AQ82" s="19">
        <v>0.0</v>
      </c>
      <c r="AR82" s="19">
        <v>0.0</v>
      </c>
      <c r="AS82" s="19">
        <v>0.0</v>
      </c>
      <c r="AT82" s="19">
        <v>0.0</v>
      </c>
      <c r="AU82" s="19">
        <v>0.0</v>
      </c>
      <c r="AV82" s="13">
        <f t="shared" si="20"/>
        <v>4</v>
      </c>
    </row>
    <row r="83" ht="12.75" customHeight="1">
      <c r="A83" s="19" t="s">
        <v>15</v>
      </c>
      <c r="B83" s="47" t="s">
        <v>47</v>
      </c>
      <c r="C83" s="15"/>
      <c r="D83" s="16"/>
      <c r="E83" s="13">
        <f t="shared" ref="E83:AV83" si="21">SUM(E75:E82)</f>
        <v>8</v>
      </c>
      <c r="F83" s="13">
        <f t="shared" si="21"/>
        <v>7</v>
      </c>
      <c r="G83" s="13">
        <f t="shared" si="21"/>
        <v>5</v>
      </c>
      <c r="H83" s="13">
        <f t="shared" si="21"/>
        <v>6</v>
      </c>
      <c r="I83" s="13">
        <f t="shared" si="21"/>
        <v>12</v>
      </c>
      <c r="J83" s="13">
        <f t="shared" si="21"/>
        <v>4</v>
      </c>
      <c r="K83" s="13">
        <f t="shared" si="21"/>
        <v>7</v>
      </c>
      <c r="L83" s="13">
        <f t="shared" si="21"/>
        <v>8</v>
      </c>
      <c r="M83" s="13">
        <f t="shared" si="21"/>
        <v>12</v>
      </c>
      <c r="N83" s="13">
        <f t="shared" si="21"/>
        <v>12</v>
      </c>
      <c r="O83" s="13">
        <f t="shared" si="21"/>
        <v>12</v>
      </c>
      <c r="P83" s="13">
        <f t="shared" si="21"/>
        <v>14</v>
      </c>
      <c r="Q83" s="13">
        <f t="shared" si="21"/>
        <v>8</v>
      </c>
      <c r="R83" s="13">
        <f t="shared" si="21"/>
        <v>13</v>
      </c>
      <c r="S83" s="13">
        <f t="shared" si="21"/>
        <v>6</v>
      </c>
      <c r="T83" s="13">
        <f t="shared" si="21"/>
        <v>4</v>
      </c>
      <c r="U83" s="13">
        <f t="shared" si="21"/>
        <v>20</v>
      </c>
      <c r="V83" s="13">
        <f t="shared" si="21"/>
        <v>13</v>
      </c>
      <c r="W83" s="13">
        <f t="shared" si="21"/>
        <v>32</v>
      </c>
      <c r="X83" s="13">
        <f t="shared" si="21"/>
        <v>26</v>
      </c>
      <c r="Y83" s="13">
        <f t="shared" si="21"/>
        <v>15</v>
      </c>
      <c r="Z83" s="13">
        <f t="shared" si="21"/>
        <v>8</v>
      </c>
      <c r="AA83" s="13">
        <f t="shared" si="21"/>
        <v>22</v>
      </c>
      <c r="AB83" s="13">
        <f t="shared" si="21"/>
        <v>40</v>
      </c>
      <c r="AC83" s="13">
        <f t="shared" si="21"/>
        <v>24</v>
      </c>
      <c r="AD83" s="13">
        <f t="shared" si="21"/>
        <v>23</v>
      </c>
      <c r="AE83" s="13">
        <f t="shared" si="21"/>
        <v>9</v>
      </c>
      <c r="AF83" s="13">
        <f t="shared" si="21"/>
        <v>34</v>
      </c>
      <c r="AG83" s="13">
        <f t="shared" si="21"/>
        <v>23</v>
      </c>
      <c r="AH83" s="13">
        <f t="shared" si="21"/>
        <v>16</v>
      </c>
      <c r="AI83" s="13">
        <f t="shared" si="21"/>
        <v>8</v>
      </c>
      <c r="AJ83" s="13">
        <f t="shared" si="21"/>
        <v>28</v>
      </c>
      <c r="AK83" s="13">
        <f t="shared" si="21"/>
        <v>31</v>
      </c>
      <c r="AL83" s="13">
        <f t="shared" si="21"/>
        <v>22</v>
      </c>
      <c r="AM83" s="13">
        <f t="shared" si="21"/>
        <v>22</v>
      </c>
      <c r="AN83" s="13">
        <f t="shared" si="21"/>
        <v>33</v>
      </c>
      <c r="AO83" s="13">
        <f t="shared" si="21"/>
        <v>24</v>
      </c>
      <c r="AP83" s="13">
        <f t="shared" si="21"/>
        <v>29</v>
      </c>
      <c r="AQ83" s="13">
        <f t="shared" si="21"/>
        <v>36</v>
      </c>
      <c r="AR83" s="13">
        <f t="shared" si="21"/>
        <v>35</v>
      </c>
      <c r="AS83" s="13">
        <f t="shared" si="21"/>
        <v>37</v>
      </c>
      <c r="AT83" s="13">
        <f t="shared" si="21"/>
        <v>33</v>
      </c>
      <c r="AU83" s="13">
        <f t="shared" si="21"/>
        <v>22</v>
      </c>
      <c r="AV83" s="13">
        <f t="shared" si="21"/>
        <v>803</v>
      </c>
    </row>
    <row r="84" ht="12.75" customHeight="1">
      <c r="A84" s="45"/>
      <c r="B84" s="44"/>
      <c r="C84" s="44"/>
      <c r="D84" s="44"/>
      <c r="E84" s="44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0.0</v>
      </c>
      <c r="F85" s="19">
        <v>0.0</v>
      </c>
      <c r="G85" s="19">
        <v>3.0</v>
      </c>
      <c r="H85" s="19">
        <v>1.0</v>
      </c>
      <c r="I85" s="19">
        <v>2.0</v>
      </c>
      <c r="J85" s="19">
        <v>4.0</v>
      </c>
      <c r="K85" s="19">
        <v>0.0</v>
      </c>
      <c r="L85" s="19">
        <v>0.0</v>
      </c>
      <c r="M85" s="19">
        <v>1.0</v>
      </c>
      <c r="N85" s="19">
        <v>2.0</v>
      </c>
      <c r="O85" s="19">
        <v>5.0</v>
      </c>
      <c r="P85" s="19">
        <v>2.0</v>
      </c>
      <c r="Q85" s="19">
        <v>1.0</v>
      </c>
      <c r="R85" s="19">
        <v>1.0</v>
      </c>
      <c r="S85" s="19">
        <v>1.0</v>
      </c>
      <c r="T85" s="19">
        <v>1.0</v>
      </c>
      <c r="U85" s="19">
        <v>1.0</v>
      </c>
      <c r="V85" s="19">
        <v>2.0</v>
      </c>
      <c r="W85" s="19">
        <v>0.0</v>
      </c>
      <c r="X85" s="19">
        <v>1.0</v>
      </c>
      <c r="Y85" s="19">
        <v>0.0</v>
      </c>
      <c r="Z85" s="19">
        <v>1.0</v>
      </c>
      <c r="AA85" s="19">
        <v>1.0</v>
      </c>
      <c r="AB85" s="19">
        <v>0.0</v>
      </c>
      <c r="AC85" s="19">
        <v>1.0</v>
      </c>
      <c r="AD85" s="19">
        <v>2.0</v>
      </c>
      <c r="AE85" s="19">
        <v>0.0</v>
      </c>
      <c r="AF85" s="19">
        <v>1.0</v>
      </c>
      <c r="AG85" s="19">
        <v>1.0</v>
      </c>
      <c r="AH85" s="19">
        <v>0.0</v>
      </c>
      <c r="AI85" s="19">
        <v>2.0</v>
      </c>
      <c r="AJ85" s="19">
        <v>1.0</v>
      </c>
      <c r="AK85" s="19">
        <v>2.0</v>
      </c>
      <c r="AL85" s="19">
        <v>0.0</v>
      </c>
      <c r="AM85" s="19">
        <v>3.0</v>
      </c>
      <c r="AN85" s="19">
        <v>4.0</v>
      </c>
      <c r="AO85" s="19">
        <v>2.0</v>
      </c>
      <c r="AP85" s="19">
        <v>5.0</v>
      </c>
      <c r="AQ85" s="19">
        <v>0.0</v>
      </c>
      <c r="AR85" s="19">
        <v>0.0</v>
      </c>
      <c r="AS85" s="19">
        <v>2.0</v>
      </c>
      <c r="AT85" s="19">
        <v>1.0</v>
      </c>
      <c r="AU85" s="19">
        <v>0.0</v>
      </c>
      <c r="AV85" s="13">
        <f t="shared" ref="AV85:AV92" si="22">SUM(E85:AU85)</f>
        <v>57</v>
      </c>
    </row>
    <row r="86" ht="12.75" customHeight="1">
      <c r="A86" s="30" t="s">
        <v>39</v>
      </c>
      <c r="B86" s="55">
        <v>1.0</v>
      </c>
      <c r="C86" s="50" t="s">
        <v>74</v>
      </c>
      <c r="D86" s="57"/>
      <c r="E86" s="19">
        <v>0.0</v>
      </c>
      <c r="F86" s="19">
        <v>0.0</v>
      </c>
      <c r="G86" s="19">
        <v>0.0</v>
      </c>
      <c r="H86" s="19">
        <v>3.0</v>
      </c>
      <c r="I86" s="19">
        <v>2.0</v>
      </c>
      <c r="J86" s="19">
        <v>1.0</v>
      </c>
      <c r="K86" s="19">
        <v>0.0</v>
      </c>
      <c r="L86" s="19">
        <v>4.0</v>
      </c>
      <c r="M86" s="19">
        <v>2.0</v>
      </c>
      <c r="N86" s="19">
        <v>0.0</v>
      </c>
      <c r="O86" s="19">
        <v>0.0</v>
      </c>
      <c r="P86" s="19">
        <v>1.0</v>
      </c>
      <c r="Q86" s="19">
        <v>2.0</v>
      </c>
      <c r="R86" s="19">
        <v>0.0</v>
      </c>
      <c r="S86" s="19">
        <v>3.0</v>
      </c>
      <c r="T86" s="19">
        <v>0.0</v>
      </c>
      <c r="U86" s="19">
        <v>1.0</v>
      </c>
      <c r="V86" s="19">
        <v>0.0</v>
      </c>
      <c r="W86" s="19">
        <v>0.0</v>
      </c>
      <c r="X86" s="19">
        <v>1.0</v>
      </c>
      <c r="Y86" s="19">
        <v>1.0</v>
      </c>
      <c r="Z86" s="19">
        <v>3.0</v>
      </c>
      <c r="AA86" s="19">
        <v>0.0</v>
      </c>
      <c r="AB86" s="19">
        <v>0.0</v>
      </c>
      <c r="AC86" s="19">
        <v>3.0</v>
      </c>
      <c r="AD86" s="19">
        <v>2.0</v>
      </c>
      <c r="AE86" s="19">
        <v>3.0</v>
      </c>
      <c r="AF86" s="19">
        <v>1.0</v>
      </c>
      <c r="AG86" s="19">
        <v>0.0</v>
      </c>
      <c r="AH86" s="19">
        <v>0.0</v>
      </c>
      <c r="AI86" s="19">
        <v>3.0</v>
      </c>
      <c r="AJ86" s="19">
        <v>2.0</v>
      </c>
      <c r="AK86" s="19">
        <v>2.0</v>
      </c>
      <c r="AL86" s="19">
        <v>1.0</v>
      </c>
      <c r="AM86" s="19">
        <v>0.0</v>
      </c>
      <c r="AN86" s="19">
        <v>0.0</v>
      </c>
      <c r="AO86" s="19">
        <v>4.0</v>
      </c>
      <c r="AP86" s="19">
        <v>2.0</v>
      </c>
      <c r="AQ86" s="19">
        <v>0.0</v>
      </c>
      <c r="AR86" s="19">
        <v>1.0</v>
      </c>
      <c r="AS86" s="19">
        <v>1.0</v>
      </c>
      <c r="AT86" s="19">
        <v>2.0</v>
      </c>
      <c r="AU86" s="19">
        <v>0.0</v>
      </c>
      <c r="AV86" s="13">
        <f t="shared" si="22"/>
        <v>51</v>
      </c>
    </row>
    <row r="87" ht="12.75" customHeight="1">
      <c r="A87" s="18"/>
      <c r="B87" s="55">
        <v>2.0</v>
      </c>
      <c r="C87" s="50" t="s">
        <v>75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1.0</v>
      </c>
      <c r="L87" s="19">
        <v>1.0</v>
      </c>
      <c r="M87" s="19">
        <v>0.0</v>
      </c>
      <c r="N87" s="19">
        <v>1.0</v>
      </c>
      <c r="O87" s="19">
        <v>0.0</v>
      </c>
      <c r="P87" s="19">
        <v>0.0</v>
      </c>
      <c r="Q87" s="19">
        <v>0.0</v>
      </c>
      <c r="R87" s="19">
        <v>0.0</v>
      </c>
      <c r="S87" s="19">
        <v>1.0</v>
      </c>
      <c r="T87" s="19">
        <v>1.0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3.0</v>
      </c>
      <c r="AA87" s="19">
        <v>7.0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9">
        <v>2.0</v>
      </c>
      <c r="AI87" s="19">
        <v>0.0</v>
      </c>
      <c r="AJ87" s="19">
        <v>0.0</v>
      </c>
      <c r="AK87" s="19">
        <v>0.0</v>
      </c>
      <c r="AL87" s="19">
        <v>0.0</v>
      </c>
      <c r="AM87" s="19">
        <v>0.0</v>
      </c>
      <c r="AN87" s="19">
        <v>0.0</v>
      </c>
      <c r="AO87" s="19">
        <v>0.0</v>
      </c>
      <c r="AP87" s="19">
        <v>0.0</v>
      </c>
      <c r="AQ87" s="19">
        <v>0.0</v>
      </c>
      <c r="AR87" s="19">
        <v>3.0</v>
      </c>
      <c r="AS87" s="19">
        <v>1.0</v>
      </c>
      <c r="AT87" s="19">
        <v>0.0</v>
      </c>
      <c r="AU87" s="19">
        <v>1.0</v>
      </c>
      <c r="AV87" s="13">
        <f t="shared" si="22"/>
        <v>22</v>
      </c>
    </row>
    <row r="88" ht="12.75" customHeight="1">
      <c r="A88" s="18"/>
      <c r="B88" s="55">
        <v>3.0</v>
      </c>
      <c r="C88" s="50" t="s">
        <v>76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1.0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1.0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9">
        <v>0.0</v>
      </c>
      <c r="AQ88" s="19">
        <v>0.0</v>
      </c>
      <c r="AR88" s="19">
        <v>0.0</v>
      </c>
      <c r="AS88" s="19">
        <v>0.0</v>
      </c>
      <c r="AT88" s="19">
        <v>1.0</v>
      </c>
      <c r="AU88" s="19">
        <v>2.0</v>
      </c>
      <c r="AV88" s="13">
        <f t="shared" si="22"/>
        <v>5</v>
      </c>
    </row>
    <row r="89" ht="12.75" customHeight="1">
      <c r="A89" s="18"/>
      <c r="B89" s="55">
        <v>4.0</v>
      </c>
      <c r="C89" s="50" t="s">
        <v>77</v>
      </c>
      <c r="D89" s="57"/>
      <c r="E89" s="19">
        <v>1.0</v>
      </c>
      <c r="F89" s="19">
        <v>0.0</v>
      </c>
      <c r="G89" s="19">
        <v>0.0</v>
      </c>
      <c r="H89" s="19">
        <v>0.0</v>
      </c>
      <c r="I89" s="19">
        <v>0.0</v>
      </c>
      <c r="J89" s="19">
        <v>0.0</v>
      </c>
      <c r="K89" s="19">
        <v>1.0</v>
      </c>
      <c r="L89" s="19">
        <v>0.0</v>
      </c>
      <c r="M89" s="19">
        <v>0.0</v>
      </c>
      <c r="N89" s="19">
        <v>0.0</v>
      </c>
      <c r="O89" s="19">
        <v>0.0</v>
      </c>
      <c r="P89" s="19">
        <v>0.0</v>
      </c>
      <c r="Q89" s="19">
        <v>0.0</v>
      </c>
      <c r="R89" s="19">
        <v>0.0</v>
      </c>
      <c r="S89" s="19">
        <v>1.0</v>
      </c>
      <c r="T89" s="19">
        <v>0.0</v>
      </c>
      <c r="U89" s="19">
        <v>0.0</v>
      </c>
      <c r="V89" s="19">
        <v>0.0</v>
      </c>
      <c r="W89" s="19">
        <v>0.0</v>
      </c>
      <c r="X89" s="19">
        <v>0.0</v>
      </c>
      <c r="Y89" s="19">
        <v>0.0</v>
      </c>
      <c r="Z89" s="19">
        <v>2.0</v>
      </c>
      <c r="AA89" s="19">
        <v>1.0</v>
      </c>
      <c r="AB89" s="19">
        <v>0.0</v>
      </c>
      <c r="AC89" s="19">
        <v>0.0</v>
      </c>
      <c r="AD89" s="19">
        <v>0.0</v>
      </c>
      <c r="AE89" s="19">
        <v>0.0</v>
      </c>
      <c r="AF89" s="19">
        <v>0.0</v>
      </c>
      <c r="AG89" s="19">
        <v>0.0</v>
      </c>
      <c r="AH89" s="19">
        <v>0.0</v>
      </c>
      <c r="AI89" s="19">
        <v>0.0</v>
      </c>
      <c r="AJ89" s="19">
        <v>2.0</v>
      </c>
      <c r="AK89" s="19">
        <v>0.0</v>
      </c>
      <c r="AL89" s="19">
        <v>1.0</v>
      </c>
      <c r="AM89" s="19">
        <v>0.0</v>
      </c>
      <c r="AN89" s="19">
        <v>0.0</v>
      </c>
      <c r="AO89" s="19">
        <v>1.0</v>
      </c>
      <c r="AP89" s="19">
        <v>0.0</v>
      </c>
      <c r="AQ89" s="19">
        <v>0.0</v>
      </c>
      <c r="AR89" s="19">
        <v>2.0</v>
      </c>
      <c r="AS89" s="19">
        <v>0.0</v>
      </c>
      <c r="AT89" s="19">
        <v>0.0</v>
      </c>
      <c r="AU89" s="19">
        <v>0.0</v>
      </c>
      <c r="AV89" s="13">
        <f t="shared" si="22"/>
        <v>12</v>
      </c>
    </row>
    <row r="90" ht="12.75" customHeight="1">
      <c r="A90" s="18"/>
      <c r="B90" s="55">
        <v>5.0</v>
      </c>
      <c r="C90" s="50" t="s">
        <v>78</v>
      </c>
      <c r="D90" s="57"/>
      <c r="E90" s="19">
        <v>1.0</v>
      </c>
      <c r="F90" s="19">
        <v>0.0</v>
      </c>
      <c r="G90" s="19">
        <v>1.0</v>
      </c>
      <c r="H90" s="19">
        <v>0.0</v>
      </c>
      <c r="I90" s="19">
        <v>0.0</v>
      </c>
      <c r="J90" s="19">
        <v>0.0</v>
      </c>
      <c r="K90" s="19">
        <v>0.0</v>
      </c>
      <c r="L90" s="19">
        <v>0.0</v>
      </c>
      <c r="M90" s="19">
        <v>0.0</v>
      </c>
      <c r="N90" s="19">
        <v>0.0</v>
      </c>
      <c r="O90" s="19">
        <v>0.0</v>
      </c>
      <c r="P90" s="19">
        <v>2.0</v>
      </c>
      <c r="Q90" s="19">
        <v>0.0</v>
      </c>
      <c r="R90" s="19">
        <v>0.0</v>
      </c>
      <c r="S90" s="19">
        <v>0.0</v>
      </c>
      <c r="T90" s="19">
        <v>0.0</v>
      </c>
      <c r="U90" s="19">
        <v>1.0</v>
      </c>
      <c r="V90" s="19">
        <v>0.0</v>
      </c>
      <c r="W90" s="19">
        <v>0.0</v>
      </c>
      <c r="X90" s="19">
        <v>0.0</v>
      </c>
      <c r="Y90" s="19">
        <v>0.0</v>
      </c>
      <c r="Z90" s="19">
        <v>0.0</v>
      </c>
      <c r="AA90" s="19">
        <v>0.0</v>
      </c>
      <c r="AB90" s="19">
        <v>0.0</v>
      </c>
      <c r="AC90" s="19">
        <v>0.0</v>
      </c>
      <c r="AD90" s="19">
        <v>1.0</v>
      </c>
      <c r="AE90" s="19">
        <v>0.0</v>
      </c>
      <c r="AF90" s="19">
        <v>0.0</v>
      </c>
      <c r="AG90" s="19">
        <v>0.0</v>
      </c>
      <c r="AH90" s="19">
        <v>0.0</v>
      </c>
      <c r="AI90" s="19">
        <v>0.0</v>
      </c>
      <c r="AJ90" s="19">
        <v>0.0</v>
      </c>
      <c r="AK90" s="19">
        <v>0.0</v>
      </c>
      <c r="AL90" s="19">
        <v>0.0</v>
      </c>
      <c r="AM90" s="19">
        <v>1.0</v>
      </c>
      <c r="AN90" s="19">
        <v>0.0</v>
      </c>
      <c r="AO90" s="19">
        <v>0.0</v>
      </c>
      <c r="AP90" s="19">
        <v>0.0</v>
      </c>
      <c r="AQ90" s="19">
        <v>0.0</v>
      </c>
      <c r="AR90" s="19">
        <v>0.0</v>
      </c>
      <c r="AS90" s="19">
        <v>0.0</v>
      </c>
      <c r="AT90" s="19">
        <v>0.0</v>
      </c>
      <c r="AU90" s="19">
        <v>0.0</v>
      </c>
      <c r="AV90" s="13">
        <f t="shared" si="22"/>
        <v>7</v>
      </c>
    </row>
    <row r="91" ht="12.75" customHeight="1">
      <c r="A91" s="18"/>
      <c r="B91" s="55">
        <v>6.0</v>
      </c>
      <c r="C91" s="50" t="s">
        <v>79</v>
      </c>
      <c r="D91" s="57"/>
      <c r="E91" s="19">
        <v>0.0</v>
      </c>
      <c r="F91" s="19">
        <v>0.0</v>
      </c>
      <c r="G91" s="19">
        <v>0.0</v>
      </c>
      <c r="H91" s="19">
        <v>0.0</v>
      </c>
      <c r="I91" s="19">
        <v>0.0</v>
      </c>
      <c r="J91" s="19">
        <v>0.0</v>
      </c>
      <c r="K91" s="19">
        <v>0.0</v>
      </c>
      <c r="L91" s="19">
        <v>0.0</v>
      </c>
      <c r="M91" s="19">
        <v>0.0</v>
      </c>
      <c r="N91" s="19">
        <v>0.0</v>
      </c>
      <c r="O91" s="19">
        <v>0.0</v>
      </c>
      <c r="P91" s="19">
        <v>0.0</v>
      </c>
      <c r="Q91" s="19">
        <v>0.0</v>
      </c>
      <c r="R91" s="19">
        <v>0.0</v>
      </c>
      <c r="S91" s="19">
        <v>0.0</v>
      </c>
      <c r="T91" s="19">
        <v>1.0</v>
      </c>
      <c r="U91" s="19">
        <v>0.0</v>
      </c>
      <c r="V91" s="19">
        <v>0.0</v>
      </c>
      <c r="W91" s="19">
        <v>0.0</v>
      </c>
      <c r="X91" s="19">
        <v>2.0</v>
      </c>
      <c r="Y91" s="19">
        <v>1.0</v>
      </c>
      <c r="Z91" s="19">
        <v>0.0</v>
      </c>
      <c r="AA91" s="19">
        <v>0.0</v>
      </c>
      <c r="AB91" s="19">
        <v>0.0</v>
      </c>
      <c r="AC91" s="19">
        <v>0.0</v>
      </c>
      <c r="AD91" s="19">
        <v>0.0</v>
      </c>
      <c r="AE91" s="19">
        <v>0.0</v>
      </c>
      <c r="AF91" s="19">
        <v>0.0</v>
      </c>
      <c r="AG91" s="19">
        <v>0.0</v>
      </c>
      <c r="AH91" s="19">
        <v>0.0</v>
      </c>
      <c r="AI91" s="19">
        <v>0.0</v>
      </c>
      <c r="AJ91" s="19">
        <v>1.0</v>
      </c>
      <c r="AK91" s="19">
        <v>4.0</v>
      </c>
      <c r="AL91" s="19">
        <v>0.0</v>
      </c>
      <c r="AM91" s="19">
        <v>0.0</v>
      </c>
      <c r="AN91" s="19">
        <v>0.0</v>
      </c>
      <c r="AO91" s="19">
        <v>0.0</v>
      </c>
      <c r="AP91" s="19">
        <v>0.0</v>
      </c>
      <c r="AQ91" s="19">
        <v>0.0</v>
      </c>
      <c r="AR91" s="19">
        <v>0.0</v>
      </c>
      <c r="AS91" s="19">
        <v>0.0</v>
      </c>
      <c r="AT91" s="19">
        <v>0.0</v>
      </c>
      <c r="AU91" s="19">
        <v>0.0</v>
      </c>
      <c r="AV91" s="13">
        <f t="shared" si="22"/>
        <v>9</v>
      </c>
    </row>
    <row r="92" ht="12.75" customHeight="1">
      <c r="A92" s="18"/>
      <c r="B92" s="55">
        <v>7.0</v>
      </c>
      <c r="C92" s="50" t="s">
        <v>80</v>
      </c>
      <c r="D92" s="57"/>
      <c r="E92" s="19">
        <v>0.0</v>
      </c>
      <c r="F92" s="19">
        <v>0.0</v>
      </c>
      <c r="G92" s="19">
        <v>1.0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0.0</v>
      </c>
      <c r="N92" s="19">
        <v>0.0</v>
      </c>
      <c r="O92" s="19">
        <v>0.0</v>
      </c>
      <c r="P92" s="19">
        <v>0.0</v>
      </c>
      <c r="Q92" s="19">
        <v>0.0</v>
      </c>
      <c r="R92" s="19">
        <v>0.0</v>
      </c>
      <c r="S92" s="19">
        <v>0.0</v>
      </c>
      <c r="T92" s="19">
        <v>0.0</v>
      </c>
      <c r="U92" s="19">
        <v>0.0</v>
      </c>
      <c r="V92" s="19">
        <v>0.0</v>
      </c>
      <c r="W92" s="19">
        <v>0.0</v>
      </c>
      <c r="X92" s="19">
        <v>1.0</v>
      </c>
      <c r="Y92" s="19">
        <v>0.0</v>
      </c>
      <c r="Z92" s="19">
        <v>0.0</v>
      </c>
      <c r="AA92" s="19">
        <v>0.0</v>
      </c>
      <c r="AB92" s="19">
        <v>0.0</v>
      </c>
      <c r="AC92" s="19">
        <v>0.0</v>
      </c>
      <c r="AD92" s="19">
        <v>0.0</v>
      </c>
      <c r="AE92" s="19">
        <v>0.0</v>
      </c>
      <c r="AF92" s="19">
        <v>0.0</v>
      </c>
      <c r="AG92" s="19">
        <v>0.0</v>
      </c>
      <c r="AH92" s="19">
        <v>0.0</v>
      </c>
      <c r="AI92" s="19">
        <v>0.0</v>
      </c>
      <c r="AJ92" s="19">
        <v>0.0</v>
      </c>
      <c r="AK92" s="19">
        <v>1.0</v>
      </c>
      <c r="AL92" s="19">
        <v>3.0</v>
      </c>
      <c r="AM92" s="19">
        <v>0.0</v>
      </c>
      <c r="AN92" s="19">
        <v>0.0</v>
      </c>
      <c r="AO92" s="19">
        <v>1.0</v>
      </c>
      <c r="AP92" s="19">
        <v>0.0</v>
      </c>
      <c r="AQ92" s="19">
        <v>0.0</v>
      </c>
      <c r="AR92" s="19">
        <v>0.0</v>
      </c>
      <c r="AS92" s="19">
        <v>0.0</v>
      </c>
      <c r="AT92" s="19">
        <v>0.0</v>
      </c>
      <c r="AU92" s="19">
        <v>1.0</v>
      </c>
      <c r="AV92" s="13">
        <f t="shared" si="22"/>
        <v>8</v>
      </c>
    </row>
    <row r="93" ht="12.75" customHeight="1">
      <c r="A93" s="19" t="s">
        <v>15</v>
      </c>
      <c r="B93" s="47" t="s">
        <v>47</v>
      </c>
      <c r="C93" s="15"/>
      <c r="D93" s="16"/>
      <c r="E93" s="13">
        <f t="shared" ref="E93:AV93" si="23">SUM(E85:E92)</f>
        <v>2</v>
      </c>
      <c r="F93" s="13">
        <f t="shared" si="23"/>
        <v>0</v>
      </c>
      <c r="G93" s="13">
        <f t="shared" si="23"/>
        <v>5</v>
      </c>
      <c r="H93" s="13">
        <f t="shared" si="23"/>
        <v>4</v>
      </c>
      <c r="I93" s="13">
        <f t="shared" si="23"/>
        <v>4</v>
      </c>
      <c r="J93" s="13">
        <f t="shared" si="23"/>
        <v>5</v>
      </c>
      <c r="K93" s="13">
        <f t="shared" si="23"/>
        <v>3</v>
      </c>
      <c r="L93" s="13">
        <f t="shared" si="23"/>
        <v>5</v>
      </c>
      <c r="M93" s="13">
        <f t="shared" si="23"/>
        <v>3</v>
      </c>
      <c r="N93" s="13">
        <f t="shared" si="23"/>
        <v>3</v>
      </c>
      <c r="O93" s="13">
        <f t="shared" si="23"/>
        <v>5</v>
      </c>
      <c r="P93" s="13">
        <f t="shared" si="23"/>
        <v>5</v>
      </c>
      <c r="Q93" s="13">
        <f t="shared" si="23"/>
        <v>3</v>
      </c>
      <c r="R93" s="13">
        <f t="shared" si="23"/>
        <v>1</v>
      </c>
      <c r="S93" s="13">
        <f t="shared" si="23"/>
        <v>7</v>
      </c>
      <c r="T93" s="13">
        <f t="shared" si="23"/>
        <v>3</v>
      </c>
      <c r="U93" s="13">
        <f t="shared" si="23"/>
        <v>3</v>
      </c>
      <c r="V93" s="13">
        <f t="shared" si="23"/>
        <v>2</v>
      </c>
      <c r="W93" s="13">
        <f t="shared" si="23"/>
        <v>0</v>
      </c>
      <c r="X93" s="13">
        <f t="shared" si="23"/>
        <v>5</v>
      </c>
      <c r="Y93" s="13">
        <f t="shared" si="23"/>
        <v>2</v>
      </c>
      <c r="Z93" s="13">
        <f t="shared" si="23"/>
        <v>9</v>
      </c>
      <c r="AA93" s="13">
        <f t="shared" si="23"/>
        <v>9</v>
      </c>
      <c r="AB93" s="13">
        <f t="shared" si="23"/>
        <v>0</v>
      </c>
      <c r="AC93" s="13">
        <f t="shared" si="23"/>
        <v>4</v>
      </c>
      <c r="AD93" s="13">
        <f t="shared" si="23"/>
        <v>5</v>
      </c>
      <c r="AE93" s="13">
        <f t="shared" si="23"/>
        <v>3</v>
      </c>
      <c r="AF93" s="13">
        <f t="shared" si="23"/>
        <v>2</v>
      </c>
      <c r="AG93" s="13">
        <f t="shared" si="23"/>
        <v>1</v>
      </c>
      <c r="AH93" s="13">
        <f t="shared" si="23"/>
        <v>2</v>
      </c>
      <c r="AI93" s="13">
        <f t="shared" si="23"/>
        <v>5</v>
      </c>
      <c r="AJ93" s="13">
        <f t="shared" si="23"/>
        <v>6</v>
      </c>
      <c r="AK93" s="13">
        <f t="shared" si="23"/>
        <v>9</v>
      </c>
      <c r="AL93" s="13">
        <f t="shared" si="23"/>
        <v>5</v>
      </c>
      <c r="AM93" s="13">
        <f t="shared" si="23"/>
        <v>4</v>
      </c>
      <c r="AN93" s="13">
        <f t="shared" si="23"/>
        <v>4</v>
      </c>
      <c r="AO93" s="13">
        <f t="shared" si="23"/>
        <v>8</v>
      </c>
      <c r="AP93" s="13">
        <f t="shared" si="23"/>
        <v>7</v>
      </c>
      <c r="AQ93" s="13">
        <f t="shared" si="23"/>
        <v>0</v>
      </c>
      <c r="AR93" s="13">
        <f t="shared" si="23"/>
        <v>6</v>
      </c>
      <c r="AS93" s="13">
        <f t="shared" si="23"/>
        <v>4</v>
      </c>
      <c r="AT93" s="13">
        <f t="shared" si="23"/>
        <v>4</v>
      </c>
      <c r="AU93" s="13">
        <f t="shared" si="23"/>
        <v>4</v>
      </c>
      <c r="AV93" s="13">
        <f t="shared" si="23"/>
        <v>171</v>
      </c>
    </row>
    <row r="94" ht="12.75" customHeight="1">
      <c r="A94" s="45"/>
      <c r="B94" s="44"/>
      <c r="C94" s="44"/>
      <c r="D94" s="44"/>
      <c r="E94" s="44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1.0</v>
      </c>
      <c r="K95" s="19">
        <v>1.0</v>
      </c>
      <c r="L95" s="19">
        <v>1.0</v>
      </c>
      <c r="M95" s="19">
        <v>1.0</v>
      </c>
      <c r="N95" s="19">
        <v>0.0</v>
      </c>
      <c r="O95" s="19">
        <v>1.0</v>
      </c>
      <c r="P95" s="19">
        <v>0.0</v>
      </c>
      <c r="Q95" s="19">
        <v>0.0</v>
      </c>
      <c r="R95" s="19">
        <v>0.0</v>
      </c>
      <c r="S95" s="19">
        <v>0.0</v>
      </c>
      <c r="T95" s="19">
        <v>1.0</v>
      </c>
      <c r="U95" s="19">
        <v>2.0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9">
        <v>0.0</v>
      </c>
      <c r="AC95" s="19">
        <v>0.0</v>
      </c>
      <c r="AD95" s="19">
        <v>0.0</v>
      </c>
      <c r="AE95" s="19">
        <v>0.0</v>
      </c>
      <c r="AF95" s="19">
        <v>1.0</v>
      </c>
      <c r="AG95" s="19">
        <v>1.0</v>
      </c>
      <c r="AH95" s="19">
        <v>3.0</v>
      </c>
      <c r="AI95" s="19">
        <v>1.0</v>
      </c>
      <c r="AJ95" s="19">
        <v>1.0</v>
      </c>
      <c r="AK95" s="19">
        <v>0.0</v>
      </c>
      <c r="AL95" s="19">
        <v>0.0</v>
      </c>
      <c r="AM95" s="19">
        <v>1.0</v>
      </c>
      <c r="AN95" s="19">
        <v>2.0</v>
      </c>
      <c r="AO95" s="19">
        <v>0.0</v>
      </c>
      <c r="AP95" s="19">
        <v>0.0</v>
      </c>
      <c r="AQ95" s="19">
        <v>0.0</v>
      </c>
      <c r="AR95" s="19">
        <v>0.0</v>
      </c>
      <c r="AS95" s="19">
        <v>0.0</v>
      </c>
      <c r="AT95" s="19">
        <v>0.0</v>
      </c>
      <c r="AU95" s="19">
        <v>0.0</v>
      </c>
      <c r="AV95" s="13">
        <f t="shared" ref="AV95:AV102" si="24">SUM(E95:AU95)</f>
        <v>18</v>
      </c>
    </row>
    <row r="96" ht="12.75" customHeight="1">
      <c r="A96" s="30" t="s">
        <v>39</v>
      </c>
      <c r="B96" s="55">
        <v>1.0</v>
      </c>
      <c r="C96" s="50" t="s">
        <v>83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1.0</v>
      </c>
      <c r="P96" s="19">
        <v>1.0</v>
      </c>
      <c r="Q96" s="19">
        <v>0.0</v>
      </c>
      <c r="R96" s="19">
        <v>0.0</v>
      </c>
      <c r="S96" s="19">
        <v>0.0</v>
      </c>
      <c r="T96" s="19">
        <v>1.0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2.0</v>
      </c>
      <c r="AD96" s="19">
        <v>0.0</v>
      </c>
      <c r="AE96" s="19">
        <v>0.0</v>
      </c>
      <c r="AF96" s="19">
        <v>0.0</v>
      </c>
      <c r="AG96" s="19">
        <v>1.0</v>
      </c>
      <c r="AH96" s="19">
        <v>0.0</v>
      </c>
      <c r="AI96" s="19">
        <v>0.0</v>
      </c>
      <c r="AJ96" s="19">
        <v>0.0</v>
      </c>
      <c r="AK96" s="19">
        <v>0.0</v>
      </c>
      <c r="AL96" s="19">
        <v>0.0</v>
      </c>
      <c r="AM96" s="19">
        <v>0.0</v>
      </c>
      <c r="AN96" s="19">
        <v>1.0</v>
      </c>
      <c r="AO96" s="19">
        <v>0.0</v>
      </c>
      <c r="AP96" s="19">
        <v>0.0</v>
      </c>
      <c r="AQ96" s="19">
        <v>1.0</v>
      </c>
      <c r="AR96" s="19">
        <v>1.0</v>
      </c>
      <c r="AS96" s="19">
        <v>0.0</v>
      </c>
      <c r="AT96" s="19">
        <v>0.0</v>
      </c>
      <c r="AU96" s="19">
        <v>0.0</v>
      </c>
      <c r="AV96" s="13">
        <f t="shared" si="24"/>
        <v>9</v>
      </c>
    </row>
    <row r="97" ht="12.75" customHeight="1">
      <c r="A97" s="18"/>
      <c r="B97" s="55">
        <v>2.0</v>
      </c>
      <c r="C97" s="50" t="s">
        <v>84</v>
      </c>
      <c r="D97" s="57"/>
      <c r="E97" s="19">
        <v>0.0</v>
      </c>
      <c r="F97" s="19">
        <v>0.0</v>
      </c>
      <c r="G97" s="19">
        <v>1.0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1.0</v>
      </c>
      <c r="N97" s="19">
        <v>1.0</v>
      </c>
      <c r="O97" s="19">
        <v>0.0</v>
      </c>
      <c r="P97" s="19">
        <v>1.0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1.0</v>
      </c>
      <c r="X97" s="19">
        <v>1.0</v>
      </c>
      <c r="Y97" s="19">
        <v>1.0</v>
      </c>
      <c r="Z97" s="19">
        <v>0.0</v>
      </c>
      <c r="AA97" s="19">
        <v>0.0</v>
      </c>
      <c r="AB97" s="19">
        <v>0.0</v>
      </c>
      <c r="AC97" s="19">
        <v>0.0</v>
      </c>
      <c r="AD97" s="19">
        <v>0.0</v>
      </c>
      <c r="AE97" s="19">
        <v>0.0</v>
      </c>
      <c r="AF97" s="19">
        <v>0.0</v>
      </c>
      <c r="AG97" s="19">
        <v>0.0</v>
      </c>
      <c r="AH97" s="19">
        <v>0.0</v>
      </c>
      <c r="AI97" s="19">
        <v>0.0</v>
      </c>
      <c r="AJ97" s="19">
        <v>0.0</v>
      </c>
      <c r="AK97" s="19">
        <v>1.0</v>
      </c>
      <c r="AL97" s="19">
        <v>0.0</v>
      </c>
      <c r="AM97" s="19">
        <v>0.0</v>
      </c>
      <c r="AN97" s="19">
        <v>1.0</v>
      </c>
      <c r="AO97" s="19">
        <v>0.0</v>
      </c>
      <c r="AP97" s="19">
        <v>0.0</v>
      </c>
      <c r="AQ97" s="19">
        <v>0.0</v>
      </c>
      <c r="AR97" s="19">
        <v>0.0</v>
      </c>
      <c r="AS97" s="19">
        <v>1.0</v>
      </c>
      <c r="AT97" s="19">
        <v>0.0</v>
      </c>
      <c r="AU97" s="19">
        <v>0.0</v>
      </c>
      <c r="AV97" s="13">
        <f t="shared" si="24"/>
        <v>10</v>
      </c>
    </row>
    <row r="98" ht="12.75" customHeight="1">
      <c r="A98" s="18"/>
      <c r="B98" s="55">
        <v>3.0</v>
      </c>
      <c r="C98" s="50" t="s">
        <v>85</v>
      </c>
      <c r="D98" s="57"/>
      <c r="E98" s="73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1.0</v>
      </c>
      <c r="AA98" s="19">
        <v>1.0</v>
      </c>
      <c r="AB98" s="19">
        <v>0.0</v>
      </c>
      <c r="AC98" s="19">
        <v>0.0</v>
      </c>
      <c r="AD98" s="19">
        <v>1.0</v>
      </c>
      <c r="AE98" s="19">
        <v>0.0</v>
      </c>
      <c r="AF98" s="19">
        <v>0.0</v>
      </c>
      <c r="AG98" s="19">
        <v>0.0</v>
      </c>
      <c r="AH98" s="19">
        <v>0.0</v>
      </c>
      <c r="AI98" s="19">
        <v>1.0</v>
      </c>
      <c r="AJ98" s="19">
        <v>0.0</v>
      </c>
      <c r="AK98" s="19">
        <v>0.0</v>
      </c>
      <c r="AL98" s="19">
        <v>0.0</v>
      </c>
      <c r="AM98" s="19">
        <v>0.0</v>
      </c>
      <c r="AN98" s="19">
        <v>0.0</v>
      </c>
      <c r="AO98" s="19">
        <v>0.0</v>
      </c>
      <c r="AP98" s="19">
        <v>0.0</v>
      </c>
      <c r="AQ98" s="19">
        <v>0.0</v>
      </c>
      <c r="AR98" s="19">
        <v>0.0</v>
      </c>
      <c r="AS98" s="19">
        <v>0.0</v>
      </c>
      <c r="AT98" s="19">
        <v>0.0</v>
      </c>
      <c r="AU98" s="19">
        <v>0.0</v>
      </c>
      <c r="AV98" s="13">
        <f t="shared" si="24"/>
        <v>4</v>
      </c>
    </row>
    <row r="99" ht="12.75" customHeight="1">
      <c r="A99" s="18"/>
      <c r="B99" s="55">
        <v>4.0</v>
      </c>
      <c r="C99" s="50" t="s">
        <v>86</v>
      </c>
      <c r="D99" s="57"/>
      <c r="E99" s="73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0.0</v>
      </c>
      <c r="AK99" s="19">
        <v>0.0</v>
      </c>
      <c r="AL99" s="19">
        <v>0.0</v>
      </c>
      <c r="AM99" s="19">
        <v>0.0</v>
      </c>
      <c r="AN99" s="19">
        <v>0.0</v>
      </c>
      <c r="AO99" s="19">
        <v>0.0</v>
      </c>
      <c r="AP99" s="19">
        <v>1.0</v>
      </c>
      <c r="AQ99" s="19">
        <v>0.0</v>
      </c>
      <c r="AR99" s="19">
        <v>0.0</v>
      </c>
      <c r="AS99" s="19">
        <v>0.0</v>
      </c>
      <c r="AT99" s="19">
        <v>0.0</v>
      </c>
      <c r="AU99" s="19">
        <v>0.0</v>
      </c>
      <c r="AV99" s="13">
        <f t="shared" si="24"/>
        <v>1</v>
      </c>
    </row>
    <row r="100" ht="12.75" customHeight="1">
      <c r="A100" s="18"/>
      <c r="B100" s="55">
        <v>5.0</v>
      </c>
      <c r="C100" s="50" t="s">
        <v>87</v>
      </c>
      <c r="D100" s="57"/>
      <c r="E100" s="73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9">
        <v>0.0</v>
      </c>
      <c r="AL100" s="19">
        <v>0.0</v>
      </c>
      <c r="AM100" s="19">
        <v>0.0</v>
      </c>
      <c r="AN100" s="19">
        <v>0.0</v>
      </c>
      <c r="AO100" s="19">
        <v>0.0</v>
      </c>
      <c r="AP100" s="19">
        <v>0.0</v>
      </c>
      <c r="AQ100" s="19">
        <v>0.0</v>
      </c>
      <c r="AR100" s="19">
        <v>0.0</v>
      </c>
      <c r="AS100" s="19">
        <v>0.0</v>
      </c>
      <c r="AT100" s="19">
        <v>0.0</v>
      </c>
      <c r="AU100" s="19">
        <v>0.0</v>
      </c>
      <c r="AV100" s="13">
        <f t="shared" si="24"/>
        <v>0</v>
      </c>
    </row>
    <row r="101" ht="12.75" customHeight="1">
      <c r="A101" s="18"/>
      <c r="B101" s="55">
        <v>6.0</v>
      </c>
      <c r="C101" s="50" t="s">
        <v>88</v>
      </c>
      <c r="D101" s="57"/>
      <c r="E101" s="73">
        <v>0.0</v>
      </c>
      <c r="F101" s="19">
        <v>0.0</v>
      </c>
      <c r="G101" s="19">
        <v>0.0</v>
      </c>
      <c r="H101" s="19">
        <v>0.0</v>
      </c>
      <c r="I101" s="19">
        <v>0.0</v>
      </c>
      <c r="J101" s="19">
        <v>1.0</v>
      </c>
      <c r="K101" s="19">
        <v>0.0</v>
      </c>
      <c r="L101" s="19">
        <v>0.0</v>
      </c>
      <c r="M101" s="19">
        <v>1.0</v>
      </c>
      <c r="N101" s="19">
        <v>0.0</v>
      </c>
      <c r="O101" s="19">
        <v>0.0</v>
      </c>
      <c r="P101" s="19">
        <v>0.0</v>
      </c>
      <c r="Q101" s="19">
        <v>0.0</v>
      </c>
      <c r="R101" s="19">
        <v>0.0</v>
      </c>
      <c r="S101" s="19">
        <v>0.0</v>
      </c>
      <c r="T101" s="19">
        <v>0.0</v>
      </c>
      <c r="U101" s="19">
        <v>0.0</v>
      </c>
      <c r="V101" s="19">
        <v>0.0</v>
      </c>
      <c r="W101" s="19">
        <v>0.0</v>
      </c>
      <c r="X101" s="19">
        <v>0.0</v>
      </c>
      <c r="Y101" s="19">
        <v>0.0</v>
      </c>
      <c r="Z101" s="19">
        <v>0.0</v>
      </c>
      <c r="AA101" s="19">
        <v>0.0</v>
      </c>
      <c r="AB101" s="19">
        <v>0.0</v>
      </c>
      <c r="AC101" s="19">
        <v>0.0</v>
      </c>
      <c r="AD101" s="19">
        <v>0.0</v>
      </c>
      <c r="AE101" s="19">
        <v>0.0</v>
      </c>
      <c r="AF101" s="19">
        <v>0.0</v>
      </c>
      <c r="AG101" s="19">
        <v>0.0</v>
      </c>
      <c r="AH101" s="19">
        <v>0.0</v>
      </c>
      <c r="AI101" s="19">
        <v>0.0</v>
      </c>
      <c r="AJ101" s="19">
        <v>0.0</v>
      </c>
      <c r="AK101" s="19">
        <v>0.0</v>
      </c>
      <c r="AL101" s="19">
        <v>0.0</v>
      </c>
      <c r="AM101" s="19">
        <v>0.0</v>
      </c>
      <c r="AN101" s="19">
        <v>0.0</v>
      </c>
      <c r="AO101" s="19">
        <v>0.0</v>
      </c>
      <c r="AP101" s="19">
        <v>0.0</v>
      </c>
      <c r="AQ101" s="19">
        <v>1.0</v>
      </c>
      <c r="AR101" s="19">
        <v>0.0</v>
      </c>
      <c r="AS101" s="19">
        <v>0.0</v>
      </c>
      <c r="AT101" s="19">
        <v>0.0</v>
      </c>
      <c r="AU101" s="19">
        <v>0.0</v>
      </c>
      <c r="AV101" s="13">
        <f t="shared" si="24"/>
        <v>3</v>
      </c>
    </row>
    <row r="102" ht="12.75" customHeight="1">
      <c r="A102" s="18"/>
      <c r="B102" s="55">
        <v>7.0</v>
      </c>
      <c r="C102" s="50" t="s">
        <v>89</v>
      </c>
      <c r="D102" s="57"/>
      <c r="E102" s="73">
        <v>0.0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9">
        <v>0.0</v>
      </c>
      <c r="N102" s="19">
        <v>0.0</v>
      </c>
      <c r="O102" s="19">
        <v>1.0</v>
      </c>
      <c r="P102" s="19">
        <v>0.0</v>
      </c>
      <c r="Q102" s="19">
        <v>0.0</v>
      </c>
      <c r="R102" s="19">
        <v>0.0</v>
      </c>
      <c r="S102" s="19">
        <v>0.0</v>
      </c>
      <c r="T102" s="19">
        <v>0.0</v>
      </c>
      <c r="U102" s="19">
        <v>0.0</v>
      </c>
      <c r="V102" s="19">
        <v>0.0</v>
      </c>
      <c r="W102" s="19">
        <v>0.0</v>
      </c>
      <c r="X102" s="19">
        <v>0.0</v>
      </c>
      <c r="Y102" s="19">
        <v>0.0</v>
      </c>
      <c r="Z102" s="19">
        <v>0.0</v>
      </c>
      <c r="AA102" s="19">
        <v>0.0</v>
      </c>
      <c r="AB102" s="19">
        <v>0.0</v>
      </c>
      <c r="AC102" s="19">
        <v>0.0</v>
      </c>
      <c r="AD102" s="19">
        <v>0.0</v>
      </c>
      <c r="AE102" s="19">
        <v>0.0</v>
      </c>
      <c r="AF102" s="19">
        <v>0.0</v>
      </c>
      <c r="AG102" s="19">
        <v>0.0</v>
      </c>
      <c r="AH102" s="19">
        <v>1.0</v>
      </c>
      <c r="AI102" s="19">
        <v>0.0</v>
      </c>
      <c r="AJ102" s="19">
        <v>0.0</v>
      </c>
      <c r="AK102" s="19">
        <v>0.0</v>
      </c>
      <c r="AL102" s="19">
        <v>0.0</v>
      </c>
      <c r="AM102" s="19">
        <v>0.0</v>
      </c>
      <c r="AN102" s="19">
        <v>0.0</v>
      </c>
      <c r="AO102" s="19">
        <v>1.0</v>
      </c>
      <c r="AP102" s="19">
        <v>0.0</v>
      </c>
      <c r="AQ102" s="19">
        <v>0.0</v>
      </c>
      <c r="AR102" s="19">
        <v>0.0</v>
      </c>
      <c r="AS102" s="19">
        <v>0.0</v>
      </c>
      <c r="AT102" s="19">
        <v>0.0</v>
      </c>
      <c r="AU102" s="19">
        <v>0.0</v>
      </c>
      <c r="AV102" s="13">
        <f t="shared" si="24"/>
        <v>3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V103" si="25">SUM(E95:E102)</f>
        <v>0</v>
      </c>
      <c r="F103" s="13">
        <f t="shared" si="25"/>
        <v>0</v>
      </c>
      <c r="G103" s="13">
        <f t="shared" si="25"/>
        <v>1</v>
      </c>
      <c r="H103" s="13">
        <f t="shared" si="25"/>
        <v>0</v>
      </c>
      <c r="I103" s="13">
        <f t="shared" si="25"/>
        <v>0</v>
      </c>
      <c r="J103" s="13">
        <f t="shared" si="25"/>
        <v>2</v>
      </c>
      <c r="K103" s="13">
        <f t="shared" si="25"/>
        <v>1</v>
      </c>
      <c r="L103" s="13">
        <f t="shared" si="25"/>
        <v>1</v>
      </c>
      <c r="M103" s="13">
        <f t="shared" si="25"/>
        <v>3</v>
      </c>
      <c r="N103" s="13">
        <f t="shared" si="25"/>
        <v>1</v>
      </c>
      <c r="O103" s="13">
        <f t="shared" si="25"/>
        <v>3</v>
      </c>
      <c r="P103" s="13">
        <f t="shared" si="25"/>
        <v>2</v>
      </c>
      <c r="Q103" s="13">
        <f t="shared" si="25"/>
        <v>0</v>
      </c>
      <c r="R103" s="13">
        <f t="shared" si="25"/>
        <v>0</v>
      </c>
      <c r="S103" s="13">
        <f t="shared" si="25"/>
        <v>0</v>
      </c>
      <c r="T103" s="13">
        <f t="shared" si="25"/>
        <v>2</v>
      </c>
      <c r="U103" s="13">
        <f t="shared" si="25"/>
        <v>2</v>
      </c>
      <c r="V103" s="13">
        <f t="shared" si="25"/>
        <v>0</v>
      </c>
      <c r="W103" s="13">
        <f t="shared" si="25"/>
        <v>1</v>
      </c>
      <c r="X103" s="13">
        <f t="shared" si="25"/>
        <v>1</v>
      </c>
      <c r="Y103" s="13">
        <f t="shared" si="25"/>
        <v>1</v>
      </c>
      <c r="Z103" s="13">
        <f t="shared" si="25"/>
        <v>1</v>
      </c>
      <c r="AA103" s="13">
        <f t="shared" si="25"/>
        <v>1</v>
      </c>
      <c r="AB103" s="13">
        <f t="shared" si="25"/>
        <v>0</v>
      </c>
      <c r="AC103" s="13">
        <f t="shared" si="25"/>
        <v>2</v>
      </c>
      <c r="AD103" s="13">
        <f t="shared" si="25"/>
        <v>1</v>
      </c>
      <c r="AE103" s="13">
        <f t="shared" si="25"/>
        <v>0</v>
      </c>
      <c r="AF103" s="13">
        <f t="shared" si="25"/>
        <v>1</v>
      </c>
      <c r="AG103" s="13">
        <f t="shared" si="25"/>
        <v>2</v>
      </c>
      <c r="AH103" s="13">
        <f t="shared" si="25"/>
        <v>4</v>
      </c>
      <c r="AI103" s="13">
        <f t="shared" si="25"/>
        <v>2</v>
      </c>
      <c r="AJ103" s="13">
        <f t="shared" si="25"/>
        <v>1</v>
      </c>
      <c r="AK103" s="13">
        <f t="shared" si="25"/>
        <v>1</v>
      </c>
      <c r="AL103" s="13">
        <f t="shared" si="25"/>
        <v>0</v>
      </c>
      <c r="AM103" s="13">
        <f t="shared" si="25"/>
        <v>1</v>
      </c>
      <c r="AN103" s="13">
        <f t="shared" si="25"/>
        <v>4</v>
      </c>
      <c r="AO103" s="13">
        <f t="shared" si="25"/>
        <v>1</v>
      </c>
      <c r="AP103" s="13">
        <f t="shared" si="25"/>
        <v>1</v>
      </c>
      <c r="AQ103" s="13">
        <f t="shared" si="25"/>
        <v>2</v>
      </c>
      <c r="AR103" s="13">
        <f t="shared" si="25"/>
        <v>1</v>
      </c>
      <c r="AS103" s="13">
        <f t="shared" si="25"/>
        <v>1</v>
      </c>
      <c r="AT103" s="13">
        <f t="shared" si="25"/>
        <v>0</v>
      </c>
      <c r="AU103" s="13">
        <f t="shared" si="25"/>
        <v>0</v>
      </c>
      <c r="AV103" s="13">
        <f t="shared" si="25"/>
        <v>48</v>
      </c>
    </row>
    <row r="104" ht="12.75" customHeight="1">
      <c r="A104" s="24"/>
      <c r="B104" s="15"/>
      <c r="C104" s="15"/>
      <c r="D104" s="15"/>
      <c r="E104" s="16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13"/>
    </row>
    <row r="105" ht="12.75" customHeight="1">
      <c r="A105" s="30" t="s">
        <v>37</v>
      </c>
      <c r="B105" s="47" t="s">
        <v>90</v>
      </c>
      <c r="C105" s="48" t="s">
        <v>91</v>
      </c>
      <c r="D105" s="16"/>
      <c r="E105" s="19">
        <v>1.0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1.0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9">
        <v>0.0</v>
      </c>
      <c r="Y105" s="19">
        <v>1.0</v>
      </c>
      <c r="Z105" s="19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19">
        <v>2.0</v>
      </c>
      <c r="AG105" s="19">
        <v>2.0</v>
      </c>
      <c r="AH105" s="19">
        <v>0.0</v>
      </c>
      <c r="AI105" s="19">
        <v>1.0</v>
      </c>
      <c r="AJ105" s="19">
        <v>0.0</v>
      </c>
      <c r="AK105" s="19">
        <v>0.0</v>
      </c>
      <c r="AL105" s="19">
        <v>0.0</v>
      </c>
      <c r="AM105" s="19">
        <v>0.0</v>
      </c>
      <c r="AN105" s="19">
        <v>1.0</v>
      </c>
      <c r="AO105" s="19">
        <v>0.0</v>
      </c>
      <c r="AP105" s="19">
        <v>0.0</v>
      </c>
      <c r="AQ105" s="19">
        <v>0.0</v>
      </c>
      <c r="AR105" s="19">
        <v>0.0</v>
      </c>
      <c r="AS105" s="19">
        <v>0.0</v>
      </c>
      <c r="AT105" s="19">
        <v>0.0</v>
      </c>
      <c r="AU105" s="19">
        <v>1.0</v>
      </c>
      <c r="AV105" s="13">
        <f t="shared" ref="AV105:AV108" si="26">SUM(E105:AU105)</f>
        <v>10</v>
      </c>
    </row>
    <row r="106" ht="12.75" customHeight="1">
      <c r="A106" s="30" t="s">
        <v>39</v>
      </c>
      <c r="B106" s="55">
        <v>1.0</v>
      </c>
      <c r="C106" s="50" t="s">
        <v>92</v>
      </c>
      <c r="D106" s="57"/>
      <c r="E106" s="19">
        <v>0.0</v>
      </c>
      <c r="F106" s="19">
        <v>0.0</v>
      </c>
      <c r="G106" s="19">
        <v>1.0</v>
      </c>
      <c r="H106" s="19">
        <v>0.0</v>
      </c>
      <c r="I106" s="19">
        <v>0.0</v>
      </c>
      <c r="J106" s="19">
        <v>0.0</v>
      </c>
      <c r="K106" s="19">
        <v>2.0</v>
      </c>
      <c r="L106" s="19">
        <v>1.0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1.0</v>
      </c>
      <c r="T106" s="19">
        <v>0.0</v>
      </c>
      <c r="U106" s="19">
        <v>1.0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1.0</v>
      </c>
      <c r="AE106" s="19">
        <v>0.0</v>
      </c>
      <c r="AF106" s="19">
        <v>1.0</v>
      </c>
      <c r="AG106" s="19">
        <v>0.0</v>
      </c>
      <c r="AH106" s="19">
        <v>0.0</v>
      </c>
      <c r="AI106" s="19">
        <v>1.0</v>
      </c>
      <c r="AJ106" s="19">
        <v>1.0</v>
      </c>
      <c r="AK106" s="19">
        <v>0.0</v>
      </c>
      <c r="AL106" s="19">
        <v>0.0</v>
      </c>
      <c r="AM106" s="19">
        <v>0.0</v>
      </c>
      <c r="AN106" s="19">
        <v>1.0</v>
      </c>
      <c r="AO106" s="19">
        <v>3.0</v>
      </c>
      <c r="AP106" s="19">
        <v>1.0</v>
      </c>
      <c r="AQ106" s="19">
        <v>0.0</v>
      </c>
      <c r="AR106" s="19">
        <v>0.0</v>
      </c>
      <c r="AS106" s="19">
        <v>0.0</v>
      </c>
      <c r="AT106" s="19">
        <v>0.0</v>
      </c>
      <c r="AU106" s="19">
        <v>0.0</v>
      </c>
      <c r="AV106" s="13">
        <f t="shared" si="26"/>
        <v>15</v>
      </c>
    </row>
    <row r="107" ht="12.75" customHeight="1">
      <c r="A107" s="18"/>
      <c r="B107" s="55">
        <v>2.0</v>
      </c>
      <c r="C107" s="50" t="s">
        <v>93</v>
      </c>
      <c r="D107" s="57"/>
      <c r="E107" s="19">
        <v>0.0</v>
      </c>
      <c r="F107" s="19">
        <v>0.0</v>
      </c>
      <c r="G107" s="19">
        <v>0.0</v>
      </c>
      <c r="H107" s="19">
        <v>1.0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1.0</v>
      </c>
      <c r="Q107" s="19">
        <v>0.0</v>
      </c>
      <c r="R107" s="19">
        <v>1.0</v>
      </c>
      <c r="S107" s="19">
        <v>1.0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0.0</v>
      </c>
      <c r="AK107" s="19">
        <v>0.0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0.0</v>
      </c>
      <c r="AQ107" s="19">
        <v>0.0</v>
      </c>
      <c r="AR107" s="19">
        <v>0.0</v>
      </c>
      <c r="AS107" s="19">
        <v>0.0</v>
      </c>
      <c r="AT107" s="19">
        <v>0.0</v>
      </c>
      <c r="AU107" s="19">
        <v>0.0</v>
      </c>
      <c r="AV107" s="13">
        <f t="shared" si="26"/>
        <v>4</v>
      </c>
    </row>
    <row r="108" ht="12.75" customHeight="1">
      <c r="A108" s="18"/>
      <c r="B108" s="55">
        <v>3.0</v>
      </c>
      <c r="C108" s="50" t="s">
        <v>94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1.0</v>
      </c>
      <c r="N108" s="19">
        <v>0.0</v>
      </c>
      <c r="O108" s="19">
        <v>1.0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0.0</v>
      </c>
      <c r="AO108" s="19">
        <v>0.0</v>
      </c>
      <c r="AP108" s="19">
        <v>0.0</v>
      </c>
      <c r="AQ108" s="19">
        <v>0.0</v>
      </c>
      <c r="AR108" s="19">
        <v>0.0</v>
      </c>
      <c r="AS108" s="19">
        <v>0.0</v>
      </c>
      <c r="AT108" s="19">
        <v>0.0</v>
      </c>
      <c r="AU108" s="19">
        <v>0.0</v>
      </c>
      <c r="AV108" s="13">
        <f t="shared" si="26"/>
        <v>2</v>
      </c>
    </row>
    <row r="109" ht="12.75" customHeight="1">
      <c r="A109" s="19" t="s">
        <v>15</v>
      </c>
      <c r="B109" s="47" t="s">
        <v>47</v>
      </c>
      <c r="C109" s="15"/>
      <c r="D109" s="16"/>
      <c r="E109" s="13">
        <f t="shared" ref="E109:AV109" si="27">SUM(E105:E108)</f>
        <v>1</v>
      </c>
      <c r="F109" s="13">
        <f t="shared" si="27"/>
        <v>0</v>
      </c>
      <c r="G109" s="13">
        <f t="shared" si="27"/>
        <v>1</v>
      </c>
      <c r="H109" s="13">
        <f t="shared" si="27"/>
        <v>1</v>
      </c>
      <c r="I109" s="13">
        <f t="shared" si="27"/>
        <v>0</v>
      </c>
      <c r="J109" s="13">
        <f t="shared" si="27"/>
        <v>0</v>
      </c>
      <c r="K109" s="13">
        <f t="shared" si="27"/>
        <v>3</v>
      </c>
      <c r="L109" s="13">
        <f t="shared" si="27"/>
        <v>1</v>
      </c>
      <c r="M109" s="13">
        <f t="shared" si="27"/>
        <v>1</v>
      </c>
      <c r="N109" s="13">
        <f t="shared" si="27"/>
        <v>0</v>
      </c>
      <c r="O109" s="13">
        <f t="shared" si="27"/>
        <v>1</v>
      </c>
      <c r="P109" s="13">
        <f t="shared" si="27"/>
        <v>1</v>
      </c>
      <c r="Q109" s="13">
        <f t="shared" si="27"/>
        <v>0</v>
      </c>
      <c r="R109" s="13">
        <f t="shared" si="27"/>
        <v>1</v>
      </c>
      <c r="S109" s="13">
        <f t="shared" si="27"/>
        <v>2</v>
      </c>
      <c r="T109" s="13">
        <f t="shared" si="27"/>
        <v>0</v>
      </c>
      <c r="U109" s="13">
        <f t="shared" si="27"/>
        <v>1</v>
      </c>
      <c r="V109" s="13">
        <f t="shared" si="27"/>
        <v>0</v>
      </c>
      <c r="W109" s="13">
        <f t="shared" si="27"/>
        <v>0</v>
      </c>
      <c r="X109" s="13">
        <f t="shared" si="27"/>
        <v>0</v>
      </c>
      <c r="Y109" s="13">
        <f t="shared" si="27"/>
        <v>1</v>
      </c>
      <c r="Z109" s="13">
        <f t="shared" si="27"/>
        <v>0</v>
      </c>
      <c r="AA109" s="13">
        <f t="shared" si="27"/>
        <v>0</v>
      </c>
      <c r="AB109" s="13">
        <f t="shared" si="27"/>
        <v>0</v>
      </c>
      <c r="AC109" s="13">
        <f t="shared" si="27"/>
        <v>0</v>
      </c>
      <c r="AD109" s="13">
        <f t="shared" si="27"/>
        <v>1</v>
      </c>
      <c r="AE109" s="13">
        <f t="shared" si="27"/>
        <v>0</v>
      </c>
      <c r="AF109" s="13">
        <f t="shared" si="27"/>
        <v>3</v>
      </c>
      <c r="AG109" s="13">
        <f t="shared" si="27"/>
        <v>2</v>
      </c>
      <c r="AH109" s="13">
        <f t="shared" si="27"/>
        <v>0</v>
      </c>
      <c r="AI109" s="13">
        <f t="shared" si="27"/>
        <v>2</v>
      </c>
      <c r="AJ109" s="13">
        <f t="shared" si="27"/>
        <v>1</v>
      </c>
      <c r="AK109" s="13">
        <f t="shared" si="27"/>
        <v>0</v>
      </c>
      <c r="AL109" s="13">
        <f t="shared" si="27"/>
        <v>0</v>
      </c>
      <c r="AM109" s="13">
        <f t="shared" si="27"/>
        <v>0</v>
      </c>
      <c r="AN109" s="13">
        <f t="shared" si="27"/>
        <v>2</v>
      </c>
      <c r="AO109" s="13">
        <f t="shared" si="27"/>
        <v>3</v>
      </c>
      <c r="AP109" s="13">
        <f t="shared" si="27"/>
        <v>1</v>
      </c>
      <c r="AQ109" s="13">
        <f t="shared" si="27"/>
        <v>0</v>
      </c>
      <c r="AR109" s="13">
        <f t="shared" si="27"/>
        <v>0</v>
      </c>
      <c r="AS109" s="13">
        <f t="shared" si="27"/>
        <v>0</v>
      </c>
      <c r="AT109" s="13">
        <f t="shared" si="27"/>
        <v>0</v>
      </c>
      <c r="AU109" s="13">
        <f t="shared" si="27"/>
        <v>1</v>
      </c>
      <c r="AV109" s="13">
        <f t="shared" si="27"/>
        <v>31</v>
      </c>
    </row>
    <row r="110" ht="12.75" customHeight="1">
      <c r="A110" s="24"/>
      <c r="B110" s="15"/>
      <c r="C110" s="15"/>
      <c r="D110" s="15"/>
      <c r="E110" s="16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</row>
    <row r="111" ht="12.75" customHeight="1">
      <c r="A111" s="30" t="s">
        <v>37</v>
      </c>
      <c r="B111" s="47" t="s">
        <v>95</v>
      </c>
      <c r="C111" s="48" t="s">
        <v>96</v>
      </c>
      <c r="D111" s="16"/>
      <c r="E111" s="19">
        <v>0.0</v>
      </c>
      <c r="F111" s="19">
        <v>9.0</v>
      </c>
      <c r="G111" s="19">
        <v>1.0</v>
      </c>
      <c r="H111" s="19">
        <v>1.0</v>
      </c>
      <c r="I111" s="19">
        <v>2.0</v>
      </c>
      <c r="J111" s="19">
        <v>5.0</v>
      </c>
      <c r="K111" s="19">
        <v>4.0</v>
      </c>
      <c r="L111" s="19">
        <v>1.0</v>
      </c>
      <c r="M111" s="19">
        <v>1.0</v>
      </c>
      <c r="N111" s="19">
        <v>3.0</v>
      </c>
      <c r="O111" s="19">
        <v>2.0</v>
      </c>
      <c r="P111" s="19">
        <v>4.0</v>
      </c>
      <c r="Q111" s="19">
        <v>3.0</v>
      </c>
      <c r="R111" s="19">
        <v>0.0</v>
      </c>
      <c r="S111" s="19">
        <v>5.0</v>
      </c>
      <c r="T111" s="19">
        <v>7.0</v>
      </c>
      <c r="U111" s="19">
        <v>5.0</v>
      </c>
      <c r="V111" s="19">
        <v>0.0</v>
      </c>
      <c r="W111" s="19">
        <v>1.0</v>
      </c>
      <c r="X111" s="19">
        <v>3.0</v>
      </c>
      <c r="Y111" s="19">
        <v>3.0</v>
      </c>
      <c r="Z111" s="19">
        <v>1.0</v>
      </c>
      <c r="AA111" s="19">
        <v>0.0</v>
      </c>
      <c r="AB111" s="19">
        <v>1.0</v>
      </c>
      <c r="AC111" s="19">
        <v>0.0</v>
      </c>
      <c r="AD111" s="19">
        <v>1.0</v>
      </c>
      <c r="AE111" s="19">
        <v>7.0</v>
      </c>
      <c r="AF111" s="19">
        <v>2.0</v>
      </c>
      <c r="AG111" s="19">
        <v>2.0</v>
      </c>
      <c r="AH111" s="19">
        <v>6.0</v>
      </c>
      <c r="AI111" s="19">
        <v>5.0</v>
      </c>
      <c r="AJ111" s="19">
        <v>1.0</v>
      </c>
      <c r="AK111" s="19">
        <v>0.0</v>
      </c>
      <c r="AL111" s="19">
        <v>1.0</v>
      </c>
      <c r="AM111" s="19">
        <v>9.0</v>
      </c>
      <c r="AN111" s="19">
        <v>7.0</v>
      </c>
      <c r="AO111" s="19">
        <v>6.0</v>
      </c>
      <c r="AP111" s="19">
        <v>2.0</v>
      </c>
      <c r="AQ111" s="19">
        <v>3.0</v>
      </c>
      <c r="AR111" s="19">
        <v>5.0</v>
      </c>
      <c r="AS111" s="19">
        <v>2.0</v>
      </c>
      <c r="AT111" s="19">
        <v>1.0</v>
      </c>
      <c r="AU111" s="19">
        <v>0.0</v>
      </c>
      <c r="AV111" s="13">
        <f t="shared" ref="AV111:AV118" si="28">SUM(E111:AU111)</f>
        <v>122</v>
      </c>
    </row>
    <row r="112" ht="12.75" customHeight="1">
      <c r="A112" s="30" t="s">
        <v>39</v>
      </c>
      <c r="B112" s="55">
        <v>1.0</v>
      </c>
      <c r="C112" s="50" t="s">
        <v>97</v>
      </c>
      <c r="D112" s="56"/>
      <c r="E112" s="19">
        <v>1.0</v>
      </c>
      <c r="F112" s="19">
        <v>10.0</v>
      </c>
      <c r="G112" s="19">
        <v>0.0</v>
      </c>
      <c r="H112" s="19">
        <v>2.0</v>
      </c>
      <c r="I112" s="19">
        <v>8.0</v>
      </c>
      <c r="J112" s="19">
        <v>7.0</v>
      </c>
      <c r="K112" s="19">
        <v>4.0</v>
      </c>
      <c r="L112" s="19">
        <v>6.0</v>
      </c>
      <c r="M112" s="19">
        <v>10.0</v>
      </c>
      <c r="N112" s="19">
        <v>4.0</v>
      </c>
      <c r="O112" s="19">
        <v>1.0</v>
      </c>
      <c r="P112" s="19">
        <v>1.0</v>
      </c>
      <c r="Q112" s="19">
        <v>5.0</v>
      </c>
      <c r="R112" s="19">
        <v>3.0</v>
      </c>
      <c r="S112" s="19">
        <v>9.0</v>
      </c>
      <c r="T112" s="19">
        <v>2.0</v>
      </c>
      <c r="U112" s="19">
        <v>3.0</v>
      </c>
      <c r="V112" s="19">
        <v>9.0</v>
      </c>
      <c r="W112" s="19">
        <v>10.0</v>
      </c>
      <c r="X112" s="19">
        <v>16.0</v>
      </c>
      <c r="Y112" s="19">
        <v>8.0</v>
      </c>
      <c r="Z112" s="19">
        <v>5.0</v>
      </c>
      <c r="AA112" s="19">
        <v>1.0</v>
      </c>
      <c r="AB112" s="19">
        <v>1.0</v>
      </c>
      <c r="AC112" s="19">
        <v>3.0</v>
      </c>
      <c r="AD112" s="19">
        <v>2.0</v>
      </c>
      <c r="AE112" s="19">
        <v>6.0</v>
      </c>
      <c r="AF112" s="19">
        <v>10.0</v>
      </c>
      <c r="AG112" s="19">
        <v>5.0</v>
      </c>
      <c r="AH112" s="19">
        <v>7.0</v>
      </c>
      <c r="AI112" s="19">
        <v>4.0</v>
      </c>
      <c r="AJ112" s="19">
        <v>2.0</v>
      </c>
      <c r="AK112" s="19">
        <v>3.0</v>
      </c>
      <c r="AL112" s="19">
        <v>3.0</v>
      </c>
      <c r="AM112" s="19">
        <v>6.0</v>
      </c>
      <c r="AN112" s="19">
        <v>5.0</v>
      </c>
      <c r="AO112" s="19">
        <v>7.0</v>
      </c>
      <c r="AP112" s="19">
        <v>10.0</v>
      </c>
      <c r="AQ112" s="19">
        <v>8.0</v>
      </c>
      <c r="AR112" s="19">
        <v>4.0</v>
      </c>
      <c r="AS112" s="19">
        <v>5.0</v>
      </c>
      <c r="AT112" s="19">
        <v>2.0</v>
      </c>
      <c r="AU112" s="19">
        <v>4.0</v>
      </c>
      <c r="AV112" s="13">
        <f t="shared" si="28"/>
        <v>222</v>
      </c>
    </row>
    <row r="113" ht="12.75" customHeight="1">
      <c r="A113" s="18"/>
      <c r="B113" s="55">
        <v>2.0</v>
      </c>
      <c r="C113" s="50" t="s">
        <v>98</v>
      </c>
      <c r="D113" s="56"/>
      <c r="E113" s="19">
        <v>2.0</v>
      </c>
      <c r="F113" s="19">
        <v>1.0</v>
      </c>
      <c r="G113" s="19">
        <v>0.0</v>
      </c>
      <c r="H113" s="19">
        <v>0.0</v>
      </c>
      <c r="I113" s="19">
        <v>0.0</v>
      </c>
      <c r="J113" s="19">
        <v>7.0</v>
      </c>
      <c r="K113" s="19">
        <v>9.0</v>
      </c>
      <c r="L113" s="19">
        <v>0.0</v>
      </c>
      <c r="M113" s="19">
        <v>3.0</v>
      </c>
      <c r="N113" s="19">
        <v>0.0</v>
      </c>
      <c r="O113" s="19">
        <v>4.0</v>
      </c>
      <c r="P113" s="19">
        <v>6.0</v>
      </c>
      <c r="Q113" s="19">
        <v>4.0</v>
      </c>
      <c r="R113" s="19">
        <v>1.0</v>
      </c>
      <c r="S113" s="19">
        <v>1.0</v>
      </c>
      <c r="T113" s="19">
        <v>3.0</v>
      </c>
      <c r="U113" s="19">
        <v>7.0</v>
      </c>
      <c r="V113" s="19">
        <v>2.0</v>
      </c>
      <c r="W113" s="19">
        <v>0.0</v>
      </c>
      <c r="X113" s="19">
        <v>2.0</v>
      </c>
      <c r="Y113" s="19">
        <v>0.0</v>
      </c>
      <c r="Z113" s="19">
        <v>0.0</v>
      </c>
      <c r="AA113" s="19">
        <v>0.0</v>
      </c>
      <c r="AB113" s="19">
        <v>4.0</v>
      </c>
      <c r="AC113" s="19">
        <v>4.0</v>
      </c>
      <c r="AD113" s="19">
        <v>4.0</v>
      </c>
      <c r="AE113" s="19">
        <v>4.0</v>
      </c>
      <c r="AF113" s="19">
        <v>0.0</v>
      </c>
      <c r="AG113" s="19">
        <v>2.0</v>
      </c>
      <c r="AH113" s="19">
        <v>1.0</v>
      </c>
      <c r="AI113" s="19">
        <v>2.0</v>
      </c>
      <c r="AJ113" s="19">
        <v>1.0</v>
      </c>
      <c r="AK113" s="19">
        <v>1.0</v>
      </c>
      <c r="AL113" s="19">
        <v>3.0</v>
      </c>
      <c r="AM113" s="19">
        <v>4.0</v>
      </c>
      <c r="AN113" s="19">
        <v>8.0</v>
      </c>
      <c r="AO113" s="19">
        <v>4.0</v>
      </c>
      <c r="AP113" s="19">
        <v>5.0</v>
      </c>
      <c r="AQ113" s="19">
        <v>2.0</v>
      </c>
      <c r="AR113" s="19">
        <v>2.0</v>
      </c>
      <c r="AS113" s="19">
        <v>3.0</v>
      </c>
      <c r="AT113" s="19">
        <v>1.0</v>
      </c>
      <c r="AU113" s="19">
        <v>1.0</v>
      </c>
      <c r="AV113" s="13">
        <f t="shared" si="28"/>
        <v>108</v>
      </c>
    </row>
    <row r="114" ht="12.75" customHeight="1">
      <c r="A114" s="18"/>
      <c r="B114" s="55">
        <v>3.0</v>
      </c>
      <c r="C114" s="50" t="s">
        <v>99</v>
      </c>
      <c r="D114" s="56"/>
      <c r="E114" s="19">
        <v>0.0</v>
      </c>
      <c r="F114" s="19">
        <v>2.0</v>
      </c>
      <c r="G114" s="19">
        <v>1.0</v>
      </c>
      <c r="H114" s="19">
        <v>1.0</v>
      </c>
      <c r="I114" s="19">
        <v>0.0</v>
      </c>
      <c r="J114" s="19">
        <v>2.0</v>
      </c>
      <c r="K114" s="19">
        <v>0.0</v>
      </c>
      <c r="L114" s="19">
        <v>0.0</v>
      </c>
      <c r="M114" s="19">
        <v>0.0</v>
      </c>
      <c r="N114" s="19">
        <v>0.0</v>
      </c>
      <c r="O114" s="19">
        <v>2.0</v>
      </c>
      <c r="P114" s="19">
        <v>0.0</v>
      </c>
      <c r="Q114" s="19">
        <v>1.0</v>
      </c>
      <c r="R114" s="19">
        <v>0.0</v>
      </c>
      <c r="S114" s="19">
        <v>1.0</v>
      </c>
      <c r="T114" s="19">
        <v>1.0</v>
      </c>
      <c r="U114" s="19">
        <v>2.0</v>
      </c>
      <c r="V114" s="19">
        <v>0.0</v>
      </c>
      <c r="W114" s="19">
        <v>0.0</v>
      </c>
      <c r="X114" s="19">
        <v>0.0</v>
      </c>
      <c r="Y114" s="19">
        <v>0.0</v>
      </c>
      <c r="Z114" s="19">
        <v>1.0</v>
      </c>
      <c r="AA114" s="19">
        <v>0.0</v>
      </c>
      <c r="AB114" s="19">
        <v>0.0</v>
      </c>
      <c r="AC114" s="19">
        <v>0.0</v>
      </c>
      <c r="AD114" s="19">
        <v>0.0</v>
      </c>
      <c r="AE114" s="19">
        <v>1.0</v>
      </c>
      <c r="AF114" s="19">
        <v>0.0</v>
      </c>
      <c r="AG114" s="19">
        <v>0.0</v>
      </c>
      <c r="AH114" s="19">
        <v>0.0</v>
      </c>
      <c r="AI114" s="19">
        <v>2.0</v>
      </c>
      <c r="AJ114" s="19">
        <v>0.0</v>
      </c>
      <c r="AK114" s="19">
        <v>0.0</v>
      </c>
      <c r="AL114" s="19">
        <v>0.0</v>
      </c>
      <c r="AM114" s="19">
        <v>0.0</v>
      </c>
      <c r="AN114" s="19">
        <v>2.0</v>
      </c>
      <c r="AO114" s="19">
        <v>0.0</v>
      </c>
      <c r="AP114" s="19">
        <v>0.0</v>
      </c>
      <c r="AQ114" s="19">
        <v>0.0</v>
      </c>
      <c r="AR114" s="19">
        <v>0.0</v>
      </c>
      <c r="AS114" s="19">
        <v>2.0</v>
      </c>
      <c r="AT114" s="19">
        <v>2.0</v>
      </c>
      <c r="AU114" s="19">
        <v>1.0</v>
      </c>
      <c r="AV114" s="13">
        <f t="shared" si="28"/>
        <v>24</v>
      </c>
    </row>
    <row r="115" ht="12.75" customHeight="1">
      <c r="A115" s="18"/>
      <c r="B115" s="55">
        <v>4.0</v>
      </c>
      <c r="C115" s="50" t="s">
        <v>100</v>
      </c>
      <c r="D115" s="56"/>
      <c r="E115" s="19">
        <v>0.0</v>
      </c>
      <c r="F115" s="19">
        <v>0.0</v>
      </c>
      <c r="G115" s="19">
        <v>0.0</v>
      </c>
      <c r="H115" s="19">
        <v>0.0</v>
      </c>
      <c r="I115" s="19">
        <v>0.0</v>
      </c>
      <c r="J115" s="19">
        <v>0.0</v>
      </c>
      <c r="K115" s="19">
        <v>0.0</v>
      </c>
      <c r="L115" s="19">
        <v>0.0</v>
      </c>
      <c r="M115" s="19">
        <v>0.0</v>
      </c>
      <c r="N115" s="19">
        <v>0.0</v>
      </c>
      <c r="O115" s="19">
        <v>0.0</v>
      </c>
      <c r="P115" s="19">
        <v>0.0</v>
      </c>
      <c r="Q115" s="19">
        <v>0.0</v>
      </c>
      <c r="R115" s="19">
        <v>0.0</v>
      </c>
      <c r="S115" s="19">
        <v>0.0</v>
      </c>
      <c r="T115" s="19">
        <v>0.0</v>
      </c>
      <c r="U115" s="19">
        <v>0.0</v>
      </c>
      <c r="V115" s="19">
        <v>1.0</v>
      </c>
      <c r="W115" s="19">
        <v>0.0</v>
      </c>
      <c r="X115" s="19">
        <v>1.0</v>
      </c>
      <c r="Y115" s="19">
        <v>0.0</v>
      </c>
      <c r="Z115" s="19">
        <v>0.0</v>
      </c>
      <c r="AA115" s="19">
        <v>0.0</v>
      </c>
      <c r="AB115" s="19">
        <v>0.0</v>
      </c>
      <c r="AC115" s="19">
        <v>0.0</v>
      </c>
      <c r="AD115" s="19">
        <v>0.0</v>
      </c>
      <c r="AE115" s="19">
        <v>1.0</v>
      </c>
      <c r="AF115" s="19">
        <v>0.0</v>
      </c>
      <c r="AG115" s="19">
        <v>0.0</v>
      </c>
      <c r="AH115" s="19">
        <v>0.0</v>
      </c>
      <c r="AI115" s="19">
        <v>0.0</v>
      </c>
      <c r="AJ115" s="19">
        <v>0.0</v>
      </c>
      <c r="AK115" s="19">
        <v>0.0</v>
      </c>
      <c r="AL115" s="19">
        <v>0.0</v>
      </c>
      <c r="AM115" s="19">
        <v>2.0</v>
      </c>
      <c r="AN115" s="19">
        <v>0.0</v>
      </c>
      <c r="AO115" s="19">
        <v>1.0</v>
      </c>
      <c r="AP115" s="19">
        <v>0.0</v>
      </c>
      <c r="AQ115" s="19">
        <v>0.0</v>
      </c>
      <c r="AR115" s="19">
        <v>0.0</v>
      </c>
      <c r="AS115" s="19">
        <v>1.0</v>
      </c>
      <c r="AT115" s="19">
        <v>0.0</v>
      </c>
      <c r="AU115" s="19">
        <v>0.0</v>
      </c>
      <c r="AV115" s="13">
        <f t="shared" si="28"/>
        <v>7</v>
      </c>
    </row>
    <row r="116" ht="12.75" customHeight="1">
      <c r="A116" s="18"/>
      <c r="B116" s="55">
        <v>5.0</v>
      </c>
      <c r="C116" s="50" t="s">
        <v>101</v>
      </c>
      <c r="D116" s="56"/>
      <c r="E116" s="19">
        <v>0.0</v>
      </c>
      <c r="F116" s="19">
        <v>0.0</v>
      </c>
      <c r="G116" s="19">
        <v>0.0</v>
      </c>
      <c r="H116" s="19">
        <v>0.0</v>
      </c>
      <c r="I116" s="19">
        <v>0.0</v>
      </c>
      <c r="J116" s="19">
        <v>0.0</v>
      </c>
      <c r="K116" s="19">
        <v>0.0</v>
      </c>
      <c r="L116" s="19">
        <v>0.0</v>
      </c>
      <c r="M116" s="19">
        <v>0.0</v>
      </c>
      <c r="N116" s="19">
        <v>0.0</v>
      </c>
      <c r="O116" s="19">
        <v>1.0</v>
      </c>
      <c r="P116" s="19">
        <v>2.0</v>
      </c>
      <c r="Q116" s="19">
        <v>0.0</v>
      </c>
      <c r="R116" s="19">
        <v>1.0</v>
      </c>
      <c r="S116" s="19">
        <v>0.0</v>
      </c>
      <c r="T116" s="19">
        <v>0.0</v>
      </c>
      <c r="U116" s="19">
        <v>0.0</v>
      </c>
      <c r="V116" s="19">
        <v>0.0</v>
      </c>
      <c r="W116" s="19">
        <v>1.0</v>
      </c>
      <c r="X116" s="19">
        <v>0.0</v>
      </c>
      <c r="Y116" s="19">
        <v>0.0</v>
      </c>
      <c r="Z116" s="19">
        <v>0.0</v>
      </c>
      <c r="AA116" s="19">
        <v>0.0</v>
      </c>
      <c r="AB116" s="19">
        <v>0.0</v>
      </c>
      <c r="AC116" s="19">
        <v>0.0</v>
      </c>
      <c r="AD116" s="19">
        <v>0.0</v>
      </c>
      <c r="AE116" s="19">
        <v>0.0</v>
      </c>
      <c r="AF116" s="19">
        <v>0.0</v>
      </c>
      <c r="AG116" s="19">
        <v>0.0</v>
      </c>
      <c r="AH116" s="19">
        <v>0.0</v>
      </c>
      <c r="AI116" s="19">
        <v>0.0</v>
      </c>
      <c r="AJ116" s="19">
        <v>0.0</v>
      </c>
      <c r="AK116" s="19">
        <v>0.0</v>
      </c>
      <c r="AL116" s="19">
        <v>0.0</v>
      </c>
      <c r="AM116" s="19">
        <v>0.0</v>
      </c>
      <c r="AN116" s="19">
        <v>1.0</v>
      </c>
      <c r="AO116" s="19">
        <v>0.0</v>
      </c>
      <c r="AP116" s="19">
        <v>0.0</v>
      </c>
      <c r="AQ116" s="19">
        <v>0.0</v>
      </c>
      <c r="AR116" s="19">
        <v>0.0</v>
      </c>
      <c r="AS116" s="19">
        <v>0.0</v>
      </c>
      <c r="AT116" s="19">
        <v>0.0</v>
      </c>
      <c r="AU116" s="19">
        <v>0.0</v>
      </c>
      <c r="AV116" s="13">
        <f t="shared" si="28"/>
        <v>6</v>
      </c>
    </row>
    <row r="117" ht="12.75" customHeight="1">
      <c r="A117" s="18"/>
      <c r="B117" s="55">
        <v>6.0</v>
      </c>
      <c r="C117" s="50" t="s">
        <v>102</v>
      </c>
      <c r="D117" s="57"/>
      <c r="E117" s="19">
        <v>0.0</v>
      </c>
      <c r="F117" s="19">
        <v>1.0</v>
      </c>
      <c r="G117" s="19">
        <v>1.0</v>
      </c>
      <c r="H117" s="19">
        <v>0.0</v>
      </c>
      <c r="I117" s="19">
        <v>1.0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1.0</v>
      </c>
      <c r="R117" s="19">
        <v>0.0</v>
      </c>
      <c r="S117" s="19">
        <v>3.0</v>
      </c>
      <c r="T117" s="19">
        <v>2.0</v>
      </c>
      <c r="U117" s="19">
        <v>2.0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0.0</v>
      </c>
      <c r="AD117" s="19">
        <v>0.0</v>
      </c>
      <c r="AE117" s="19">
        <v>0.0</v>
      </c>
      <c r="AF117" s="19">
        <v>0.0</v>
      </c>
      <c r="AG117" s="19">
        <v>0.0</v>
      </c>
      <c r="AH117" s="19">
        <v>1.0</v>
      </c>
      <c r="AI117" s="19">
        <v>0.0</v>
      </c>
      <c r="AJ117" s="19">
        <v>0.0</v>
      </c>
      <c r="AK117" s="19">
        <v>0.0</v>
      </c>
      <c r="AL117" s="19">
        <v>0.0</v>
      </c>
      <c r="AM117" s="19">
        <v>0.0</v>
      </c>
      <c r="AN117" s="19">
        <v>0.0</v>
      </c>
      <c r="AO117" s="19">
        <v>0.0</v>
      </c>
      <c r="AP117" s="19">
        <v>0.0</v>
      </c>
      <c r="AQ117" s="19">
        <v>0.0</v>
      </c>
      <c r="AR117" s="19">
        <v>0.0</v>
      </c>
      <c r="AS117" s="19">
        <v>0.0</v>
      </c>
      <c r="AT117" s="19">
        <v>1.0</v>
      </c>
      <c r="AU117" s="19">
        <v>0.0</v>
      </c>
      <c r="AV117" s="13">
        <f t="shared" si="28"/>
        <v>13</v>
      </c>
    </row>
    <row r="118" ht="12.75" customHeight="1">
      <c r="A118" s="18"/>
      <c r="B118" s="55">
        <v>7.0</v>
      </c>
      <c r="C118" s="50" t="s">
        <v>103</v>
      </c>
      <c r="D118" s="56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1.0</v>
      </c>
      <c r="K118" s="19">
        <v>1.0</v>
      </c>
      <c r="L118" s="19">
        <v>0.0</v>
      </c>
      <c r="M118" s="19">
        <v>0.0</v>
      </c>
      <c r="N118" s="19">
        <v>0.0</v>
      </c>
      <c r="O118" s="19">
        <v>1.0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0.0</v>
      </c>
      <c r="AK118" s="19">
        <v>0.0</v>
      </c>
      <c r="AL118" s="19">
        <v>0.0</v>
      </c>
      <c r="AM118" s="19">
        <v>1.0</v>
      </c>
      <c r="AN118" s="19">
        <v>0.0</v>
      </c>
      <c r="AO118" s="19">
        <v>1.0</v>
      </c>
      <c r="AP118" s="19">
        <v>0.0</v>
      </c>
      <c r="AQ118" s="19">
        <v>0.0</v>
      </c>
      <c r="AR118" s="19">
        <v>0.0</v>
      </c>
      <c r="AS118" s="19">
        <v>0.0</v>
      </c>
      <c r="AT118" s="19">
        <v>0.0</v>
      </c>
      <c r="AU118" s="19">
        <v>0.0</v>
      </c>
      <c r="AV118" s="13">
        <f t="shared" si="28"/>
        <v>5</v>
      </c>
    </row>
    <row r="119" ht="12.75" customHeight="1">
      <c r="A119" s="19" t="s">
        <v>15</v>
      </c>
      <c r="B119" s="47" t="s">
        <v>47</v>
      </c>
      <c r="C119" s="15"/>
      <c r="D119" s="16"/>
      <c r="E119" s="13">
        <f t="shared" ref="E119:AV119" si="29">SUM(E111:E118)</f>
        <v>3</v>
      </c>
      <c r="F119" s="13">
        <f t="shared" si="29"/>
        <v>23</v>
      </c>
      <c r="G119" s="13">
        <f t="shared" si="29"/>
        <v>3</v>
      </c>
      <c r="H119" s="13">
        <f t="shared" si="29"/>
        <v>4</v>
      </c>
      <c r="I119" s="13">
        <f t="shared" si="29"/>
        <v>11</v>
      </c>
      <c r="J119" s="13">
        <f t="shared" si="29"/>
        <v>22</v>
      </c>
      <c r="K119" s="13">
        <f t="shared" si="29"/>
        <v>18</v>
      </c>
      <c r="L119" s="13">
        <f t="shared" si="29"/>
        <v>7</v>
      </c>
      <c r="M119" s="13">
        <f t="shared" si="29"/>
        <v>14</v>
      </c>
      <c r="N119" s="13">
        <f t="shared" si="29"/>
        <v>7</v>
      </c>
      <c r="O119" s="13">
        <f t="shared" si="29"/>
        <v>11</v>
      </c>
      <c r="P119" s="13">
        <f t="shared" si="29"/>
        <v>13</v>
      </c>
      <c r="Q119" s="13">
        <f t="shared" si="29"/>
        <v>14</v>
      </c>
      <c r="R119" s="13">
        <f t="shared" si="29"/>
        <v>5</v>
      </c>
      <c r="S119" s="13">
        <f t="shared" si="29"/>
        <v>19</v>
      </c>
      <c r="T119" s="13">
        <f t="shared" si="29"/>
        <v>15</v>
      </c>
      <c r="U119" s="13">
        <f t="shared" si="29"/>
        <v>19</v>
      </c>
      <c r="V119" s="13">
        <f t="shared" si="29"/>
        <v>12</v>
      </c>
      <c r="W119" s="13">
        <f t="shared" si="29"/>
        <v>12</v>
      </c>
      <c r="X119" s="13">
        <f t="shared" si="29"/>
        <v>22</v>
      </c>
      <c r="Y119" s="13">
        <f t="shared" si="29"/>
        <v>11</v>
      </c>
      <c r="Z119" s="13">
        <f t="shared" si="29"/>
        <v>7</v>
      </c>
      <c r="AA119" s="13">
        <f t="shared" si="29"/>
        <v>1</v>
      </c>
      <c r="AB119" s="13">
        <f t="shared" si="29"/>
        <v>6</v>
      </c>
      <c r="AC119" s="13">
        <f t="shared" si="29"/>
        <v>7</v>
      </c>
      <c r="AD119" s="13">
        <f t="shared" si="29"/>
        <v>7</v>
      </c>
      <c r="AE119" s="13">
        <f t="shared" si="29"/>
        <v>19</v>
      </c>
      <c r="AF119" s="13">
        <f t="shared" si="29"/>
        <v>12</v>
      </c>
      <c r="AG119" s="13">
        <f t="shared" si="29"/>
        <v>9</v>
      </c>
      <c r="AH119" s="13">
        <f t="shared" si="29"/>
        <v>15</v>
      </c>
      <c r="AI119" s="13">
        <f t="shared" si="29"/>
        <v>13</v>
      </c>
      <c r="AJ119" s="13">
        <f t="shared" si="29"/>
        <v>4</v>
      </c>
      <c r="AK119" s="13">
        <f t="shared" si="29"/>
        <v>4</v>
      </c>
      <c r="AL119" s="13">
        <f t="shared" si="29"/>
        <v>7</v>
      </c>
      <c r="AM119" s="13">
        <f t="shared" si="29"/>
        <v>22</v>
      </c>
      <c r="AN119" s="13">
        <f t="shared" si="29"/>
        <v>23</v>
      </c>
      <c r="AO119" s="13">
        <f t="shared" si="29"/>
        <v>19</v>
      </c>
      <c r="AP119" s="13">
        <f t="shared" si="29"/>
        <v>17</v>
      </c>
      <c r="AQ119" s="13">
        <f t="shared" si="29"/>
        <v>13</v>
      </c>
      <c r="AR119" s="13">
        <f t="shared" si="29"/>
        <v>11</v>
      </c>
      <c r="AS119" s="13">
        <f t="shared" si="29"/>
        <v>13</v>
      </c>
      <c r="AT119" s="13">
        <f t="shared" si="29"/>
        <v>7</v>
      </c>
      <c r="AU119" s="13">
        <f t="shared" si="29"/>
        <v>6</v>
      </c>
      <c r="AV119" s="13">
        <f t="shared" si="29"/>
        <v>507</v>
      </c>
    </row>
    <row r="120" ht="12.75" customHeight="1">
      <c r="A120" s="24"/>
      <c r="B120" s="15"/>
      <c r="C120" s="15"/>
      <c r="D120" s="15"/>
      <c r="E120" s="16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</row>
    <row r="121" ht="12.75" customHeight="1">
      <c r="A121" s="30" t="s">
        <v>37</v>
      </c>
      <c r="B121" s="47" t="s">
        <v>104</v>
      </c>
      <c r="C121" s="48" t="s">
        <v>105</v>
      </c>
      <c r="D121" s="16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9">
        <v>0.0</v>
      </c>
      <c r="X121" s="19">
        <v>0.0</v>
      </c>
      <c r="Y121" s="19">
        <v>0.0</v>
      </c>
      <c r="Z121" s="19">
        <v>0.0</v>
      </c>
      <c r="AA121" s="19">
        <v>0.0</v>
      </c>
      <c r="AB121" s="19">
        <v>0.0</v>
      </c>
      <c r="AC121" s="19">
        <v>0.0</v>
      </c>
      <c r="AD121" s="19">
        <v>0.0</v>
      </c>
      <c r="AE121" s="19">
        <v>0.0</v>
      </c>
      <c r="AF121" s="19">
        <v>0.0</v>
      </c>
      <c r="AG121" s="19">
        <v>0.0</v>
      </c>
      <c r="AH121" s="19">
        <v>0.0</v>
      </c>
      <c r="AI121" s="19">
        <v>0.0</v>
      </c>
      <c r="AJ121" s="19">
        <v>0.0</v>
      </c>
      <c r="AK121" s="19">
        <v>0.0</v>
      </c>
      <c r="AL121" s="19">
        <v>0.0</v>
      </c>
      <c r="AM121" s="19">
        <v>0.0</v>
      </c>
      <c r="AN121" s="19">
        <v>0.0</v>
      </c>
      <c r="AO121" s="19">
        <v>0.0</v>
      </c>
      <c r="AP121" s="19">
        <v>0.0</v>
      </c>
      <c r="AQ121" s="19">
        <v>0.0</v>
      </c>
      <c r="AR121" s="19">
        <v>0.0</v>
      </c>
      <c r="AS121" s="19">
        <v>0.0</v>
      </c>
      <c r="AT121" s="19">
        <v>0.0</v>
      </c>
      <c r="AU121" s="19">
        <v>0.0</v>
      </c>
      <c r="AV121" s="13">
        <f t="shared" ref="AV121:AV128" si="30">SUM(E121:AU121)</f>
        <v>0</v>
      </c>
    </row>
    <row r="122" ht="12.75" customHeight="1">
      <c r="A122" s="30" t="s">
        <v>39</v>
      </c>
      <c r="B122" s="55">
        <v>1.0</v>
      </c>
      <c r="C122" s="50" t="s">
        <v>106</v>
      </c>
      <c r="D122" s="57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1.0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9">
        <v>0.0</v>
      </c>
      <c r="T122" s="19">
        <v>0.0</v>
      </c>
      <c r="U122" s="19">
        <v>0.0</v>
      </c>
      <c r="V122" s="19">
        <v>0.0</v>
      </c>
      <c r="W122" s="19">
        <v>0.0</v>
      </c>
      <c r="X122" s="19">
        <v>0.0</v>
      </c>
      <c r="Y122" s="19">
        <v>0.0</v>
      </c>
      <c r="Z122" s="19">
        <v>0.0</v>
      </c>
      <c r="AA122" s="19">
        <v>0.0</v>
      </c>
      <c r="AB122" s="19">
        <v>0.0</v>
      </c>
      <c r="AC122" s="19">
        <v>0.0</v>
      </c>
      <c r="AD122" s="19">
        <v>0.0</v>
      </c>
      <c r="AE122" s="19">
        <v>0.0</v>
      </c>
      <c r="AF122" s="19">
        <v>0.0</v>
      </c>
      <c r="AG122" s="19">
        <v>0.0</v>
      </c>
      <c r="AH122" s="19">
        <v>0.0</v>
      </c>
      <c r="AI122" s="19">
        <v>0.0</v>
      </c>
      <c r="AJ122" s="19">
        <v>0.0</v>
      </c>
      <c r="AK122" s="19">
        <v>0.0</v>
      </c>
      <c r="AL122" s="19">
        <v>0.0</v>
      </c>
      <c r="AM122" s="19">
        <v>0.0</v>
      </c>
      <c r="AN122" s="19">
        <v>0.0</v>
      </c>
      <c r="AO122" s="19">
        <v>0.0</v>
      </c>
      <c r="AP122" s="19">
        <v>0.0</v>
      </c>
      <c r="AQ122" s="19">
        <v>0.0</v>
      </c>
      <c r="AR122" s="19">
        <v>0.0</v>
      </c>
      <c r="AS122" s="19">
        <v>0.0</v>
      </c>
      <c r="AT122" s="19">
        <v>0.0</v>
      </c>
      <c r="AU122" s="19">
        <v>0.0</v>
      </c>
      <c r="AV122" s="13">
        <f t="shared" si="30"/>
        <v>1</v>
      </c>
    </row>
    <row r="123" ht="12.75" customHeight="1">
      <c r="A123" s="18"/>
      <c r="B123" s="55">
        <v>2.0</v>
      </c>
      <c r="C123" s="50" t="s">
        <v>107</v>
      </c>
      <c r="D123" s="57"/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9">
        <v>0.0</v>
      </c>
      <c r="T123" s="19">
        <v>0.0</v>
      </c>
      <c r="U123" s="19">
        <v>1.0</v>
      </c>
      <c r="V123" s="19">
        <v>0.0</v>
      </c>
      <c r="W123" s="19">
        <v>0.0</v>
      </c>
      <c r="X123" s="19">
        <v>0.0</v>
      </c>
      <c r="Y123" s="19">
        <v>0.0</v>
      </c>
      <c r="Z123" s="19">
        <v>0.0</v>
      </c>
      <c r="AA123" s="19">
        <v>0.0</v>
      </c>
      <c r="AB123" s="19">
        <v>0.0</v>
      </c>
      <c r="AC123" s="19">
        <v>1.0</v>
      </c>
      <c r="AD123" s="19">
        <v>0.0</v>
      </c>
      <c r="AE123" s="19">
        <v>0.0</v>
      </c>
      <c r="AF123" s="19">
        <v>0.0</v>
      </c>
      <c r="AG123" s="19">
        <v>0.0</v>
      </c>
      <c r="AH123" s="19">
        <v>0.0</v>
      </c>
      <c r="AI123" s="19">
        <v>0.0</v>
      </c>
      <c r="AJ123" s="19">
        <v>0.0</v>
      </c>
      <c r="AK123" s="19">
        <v>0.0</v>
      </c>
      <c r="AL123" s="19">
        <v>0.0</v>
      </c>
      <c r="AM123" s="19">
        <v>0.0</v>
      </c>
      <c r="AN123" s="19">
        <v>0.0</v>
      </c>
      <c r="AO123" s="19">
        <v>0.0</v>
      </c>
      <c r="AP123" s="19">
        <v>0.0</v>
      </c>
      <c r="AQ123" s="19">
        <v>0.0</v>
      </c>
      <c r="AR123" s="19">
        <v>0.0</v>
      </c>
      <c r="AS123" s="19">
        <v>0.0</v>
      </c>
      <c r="AT123" s="19">
        <v>0.0</v>
      </c>
      <c r="AU123" s="19">
        <v>0.0</v>
      </c>
      <c r="AV123" s="13">
        <f t="shared" si="30"/>
        <v>2</v>
      </c>
    </row>
    <row r="124" ht="12.75" customHeight="1">
      <c r="A124" s="18"/>
      <c r="B124" s="55">
        <v>3.0</v>
      </c>
      <c r="C124" s="50" t="s">
        <v>108</v>
      </c>
      <c r="D124" s="57"/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9">
        <v>0.0</v>
      </c>
      <c r="S124" s="19">
        <v>0.0</v>
      </c>
      <c r="T124" s="19">
        <v>0.0</v>
      </c>
      <c r="U124" s="19">
        <v>0.0</v>
      </c>
      <c r="V124" s="19">
        <v>0.0</v>
      </c>
      <c r="W124" s="19">
        <v>0.0</v>
      </c>
      <c r="X124" s="19">
        <v>0.0</v>
      </c>
      <c r="Y124" s="19">
        <v>0.0</v>
      </c>
      <c r="Z124" s="19">
        <v>0.0</v>
      </c>
      <c r="AA124" s="19">
        <v>0.0</v>
      </c>
      <c r="AB124" s="19">
        <v>0.0</v>
      </c>
      <c r="AC124" s="19">
        <v>0.0</v>
      </c>
      <c r="AD124" s="19">
        <v>0.0</v>
      </c>
      <c r="AE124" s="19">
        <v>0.0</v>
      </c>
      <c r="AF124" s="19">
        <v>0.0</v>
      </c>
      <c r="AG124" s="19">
        <v>0.0</v>
      </c>
      <c r="AH124" s="19">
        <v>0.0</v>
      </c>
      <c r="AI124" s="19">
        <v>0.0</v>
      </c>
      <c r="AJ124" s="19">
        <v>0.0</v>
      </c>
      <c r="AK124" s="19">
        <v>0.0</v>
      </c>
      <c r="AL124" s="19">
        <v>0.0</v>
      </c>
      <c r="AM124" s="19">
        <v>0.0</v>
      </c>
      <c r="AN124" s="19">
        <v>0.0</v>
      </c>
      <c r="AO124" s="19">
        <v>0.0</v>
      </c>
      <c r="AP124" s="19">
        <v>0.0</v>
      </c>
      <c r="AQ124" s="19">
        <v>0.0</v>
      </c>
      <c r="AR124" s="19">
        <v>0.0</v>
      </c>
      <c r="AS124" s="19">
        <v>0.0</v>
      </c>
      <c r="AT124" s="19">
        <v>0.0</v>
      </c>
      <c r="AU124" s="19">
        <v>0.0</v>
      </c>
      <c r="AV124" s="13">
        <f t="shared" si="30"/>
        <v>0</v>
      </c>
    </row>
    <row r="125" ht="12.75" customHeight="1">
      <c r="A125" s="18"/>
      <c r="B125" s="55">
        <v>4.0</v>
      </c>
      <c r="C125" s="50" t="s">
        <v>109</v>
      </c>
      <c r="D125" s="57"/>
      <c r="E125" s="19">
        <v>0.0</v>
      </c>
      <c r="F125" s="19">
        <v>0.0</v>
      </c>
      <c r="G125" s="19">
        <v>0.0</v>
      </c>
      <c r="H125" s="19">
        <v>0.0</v>
      </c>
      <c r="I125" s="19">
        <v>0.0</v>
      </c>
      <c r="J125" s="19">
        <v>0.0</v>
      </c>
      <c r="K125" s="19">
        <v>0.0</v>
      </c>
      <c r="L125" s="19">
        <v>0.0</v>
      </c>
      <c r="M125" s="19">
        <v>0.0</v>
      </c>
      <c r="N125" s="19">
        <v>0.0</v>
      </c>
      <c r="O125" s="19">
        <v>0.0</v>
      </c>
      <c r="P125" s="19">
        <v>0.0</v>
      </c>
      <c r="Q125" s="19">
        <v>0.0</v>
      </c>
      <c r="R125" s="19">
        <v>0.0</v>
      </c>
      <c r="S125" s="19">
        <v>0.0</v>
      </c>
      <c r="T125" s="19">
        <v>0.0</v>
      </c>
      <c r="U125" s="19">
        <v>0.0</v>
      </c>
      <c r="V125" s="19">
        <v>0.0</v>
      </c>
      <c r="W125" s="19">
        <v>0.0</v>
      </c>
      <c r="X125" s="19">
        <v>0.0</v>
      </c>
      <c r="Y125" s="19">
        <v>0.0</v>
      </c>
      <c r="Z125" s="19">
        <v>0.0</v>
      </c>
      <c r="AA125" s="19">
        <v>0.0</v>
      </c>
      <c r="AB125" s="19">
        <v>0.0</v>
      </c>
      <c r="AC125" s="19">
        <v>0.0</v>
      </c>
      <c r="AD125" s="19">
        <v>0.0</v>
      </c>
      <c r="AE125" s="19">
        <v>0.0</v>
      </c>
      <c r="AF125" s="19">
        <v>0.0</v>
      </c>
      <c r="AG125" s="19">
        <v>0.0</v>
      </c>
      <c r="AH125" s="19">
        <v>0.0</v>
      </c>
      <c r="AI125" s="19">
        <v>0.0</v>
      </c>
      <c r="AJ125" s="19">
        <v>0.0</v>
      </c>
      <c r="AK125" s="19">
        <v>0.0</v>
      </c>
      <c r="AL125" s="19">
        <v>0.0</v>
      </c>
      <c r="AM125" s="19">
        <v>0.0</v>
      </c>
      <c r="AN125" s="19">
        <v>1.0</v>
      </c>
      <c r="AO125" s="19">
        <v>0.0</v>
      </c>
      <c r="AP125" s="19">
        <v>0.0</v>
      </c>
      <c r="AQ125" s="19">
        <v>0.0</v>
      </c>
      <c r="AR125" s="19">
        <v>1.0</v>
      </c>
      <c r="AS125" s="19">
        <v>0.0</v>
      </c>
      <c r="AT125" s="19">
        <v>1.0</v>
      </c>
      <c r="AU125" s="19">
        <v>0.0</v>
      </c>
      <c r="AV125" s="13">
        <f t="shared" si="30"/>
        <v>3</v>
      </c>
    </row>
    <row r="126" ht="12.75" customHeight="1">
      <c r="A126" s="18"/>
      <c r="B126" s="55">
        <v>5.0</v>
      </c>
      <c r="C126" s="50" t="s">
        <v>110</v>
      </c>
      <c r="D126" s="57"/>
      <c r="E126" s="19">
        <v>0.0</v>
      </c>
      <c r="F126" s="19">
        <v>0.0</v>
      </c>
      <c r="G126" s="19">
        <v>0.0</v>
      </c>
      <c r="H126" s="19">
        <v>0.0</v>
      </c>
      <c r="I126" s="19">
        <v>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0.0</v>
      </c>
      <c r="Q126" s="19">
        <v>0.0</v>
      </c>
      <c r="R126" s="19">
        <v>0.0</v>
      </c>
      <c r="S126" s="19">
        <v>0.0</v>
      </c>
      <c r="T126" s="19">
        <v>0.0</v>
      </c>
      <c r="U126" s="19">
        <v>0.0</v>
      </c>
      <c r="V126" s="19">
        <v>0.0</v>
      </c>
      <c r="W126" s="19">
        <v>0.0</v>
      </c>
      <c r="X126" s="19">
        <v>0.0</v>
      </c>
      <c r="Y126" s="19">
        <v>0.0</v>
      </c>
      <c r="Z126" s="19">
        <v>0.0</v>
      </c>
      <c r="AA126" s="19">
        <v>0.0</v>
      </c>
      <c r="AB126" s="19">
        <v>0.0</v>
      </c>
      <c r="AC126" s="19">
        <v>0.0</v>
      </c>
      <c r="AD126" s="19">
        <v>0.0</v>
      </c>
      <c r="AE126" s="19">
        <v>0.0</v>
      </c>
      <c r="AF126" s="19">
        <v>0.0</v>
      </c>
      <c r="AG126" s="19">
        <v>0.0</v>
      </c>
      <c r="AH126" s="19">
        <v>0.0</v>
      </c>
      <c r="AI126" s="19">
        <v>0.0</v>
      </c>
      <c r="AJ126" s="19">
        <v>0.0</v>
      </c>
      <c r="AK126" s="19">
        <v>0.0</v>
      </c>
      <c r="AL126" s="19">
        <v>0.0</v>
      </c>
      <c r="AM126" s="19">
        <v>0.0</v>
      </c>
      <c r="AN126" s="19">
        <v>0.0</v>
      </c>
      <c r="AO126" s="19">
        <v>0.0</v>
      </c>
      <c r="AP126" s="19">
        <v>0.0</v>
      </c>
      <c r="AQ126" s="19">
        <v>0.0</v>
      </c>
      <c r="AR126" s="19">
        <v>0.0</v>
      </c>
      <c r="AS126" s="19">
        <v>0.0</v>
      </c>
      <c r="AT126" s="19">
        <v>0.0</v>
      </c>
      <c r="AU126" s="19">
        <v>0.0</v>
      </c>
      <c r="AV126" s="13">
        <f t="shared" si="30"/>
        <v>0</v>
      </c>
    </row>
    <row r="127" ht="12.75" customHeight="1">
      <c r="A127" s="18"/>
      <c r="B127" s="55">
        <v>6.0</v>
      </c>
      <c r="C127" s="50" t="s">
        <v>111</v>
      </c>
      <c r="D127" s="57"/>
      <c r="E127" s="19">
        <v>0.0</v>
      </c>
      <c r="F127" s="19">
        <v>0.0</v>
      </c>
      <c r="G127" s="19">
        <v>0.0</v>
      </c>
      <c r="H127" s="19">
        <v>0.0</v>
      </c>
      <c r="I127" s="19">
        <v>0.0</v>
      </c>
      <c r="J127" s="19">
        <v>0.0</v>
      </c>
      <c r="K127" s="19">
        <v>0.0</v>
      </c>
      <c r="L127" s="19">
        <v>0.0</v>
      </c>
      <c r="M127" s="19">
        <v>0.0</v>
      </c>
      <c r="N127" s="19">
        <v>0.0</v>
      </c>
      <c r="O127" s="19">
        <v>0.0</v>
      </c>
      <c r="P127" s="19">
        <v>0.0</v>
      </c>
      <c r="Q127" s="19">
        <v>0.0</v>
      </c>
      <c r="R127" s="19">
        <v>0.0</v>
      </c>
      <c r="S127" s="19">
        <v>0.0</v>
      </c>
      <c r="T127" s="19">
        <v>0.0</v>
      </c>
      <c r="U127" s="19">
        <v>0.0</v>
      </c>
      <c r="V127" s="19">
        <v>0.0</v>
      </c>
      <c r="W127" s="19">
        <v>0.0</v>
      </c>
      <c r="X127" s="19">
        <v>0.0</v>
      </c>
      <c r="Y127" s="19">
        <v>0.0</v>
      </c>
      <c r="Z127" s="19">
        <v>0.0</v>
      </c>
      <c r="AA127" s="19">
        <v>0.0</v>
      </c>
      <c r="AB127" s="19">
        <v>0.0</v>
      </c>
      <c r="AC127" s="19">
        <v>0.0</v>
      </c>
      <c r="AD127" s="19">
        <v>0.0</v>
      </c>
      <c r="AE127" s="19">
        <v>0.0</v>
      </c>
      <c r="AF127" s="19">
        <v>0.0</v>
      </c>
      <c r="AG127" s="19">
        <v>0.0</v>
      </c>
      <c r="AH127" s="19">
        <v>0.0</v>
      </c>
      <c r="AI127" s="19">
        <v>0.0</v>
      </c>
      <c r="AJ127" s="19">
        <v>0.0</v>
      </c>
      <c r="AK127" s="19">
        <v>0.0</v>
      </c>
      <c r="AL127" s="19">
        <v>0.0</v>
      </c>
      <c r="AM127" s="19">
        <v>0.0</v>
      </c>
      <c r="AN127" s="19">
        <v>0.0</v>
      </c>
      <c r="AO127" s="19">
        <v>0.0</v>
      </c>
      <c r="AP127" s="19">
        <v>0.0</v>
      </c>
      <c r="AQ127" s="19">
        <v>0.0</v>
      </c>
      <c r="AR127" s="19">
        <v>0.0</v>
      </c>
      <c r="AS127" s="19">
        <v>0.0</v>
      </c>
      <c r="AT127" s="19">
        <v>0.0</v>
      </c>
      <c r="AU127" s="19">
        <v>0.0</v>
      </c>
      <c r="AV127" s="13">
        <f t="shared" si="30"/>
        <v>0</v>
      </c>
    </row>
    <row r="128" ht="12.75" customHeight="1">
      <c r="A128" s="18"/>
      <c r="B128" s="55">
        <v>7.0</v>
      </c>
      <c r="C128" s="50" t="s">
        <v>112</v>
      </c>
      <c r="D128" s="57"/>
      <c r="E128" s="19">
        <v>0.0</v>
      </c>
      <c r="F128" s="19">
        <v>0.0</v>
      </c>
      <c r="G128" s="19">
        <v>0.0</v>
      </c>
      <c r="H128" s="19">
        <v>0.0</v>
      </c>
      <c r="I128" s="19">
        <v>0.0</v>
      </c>
      <c r="J128" s="19">
        <v>0.0</v>
      </c>
      <c r="K128" s="19">
        <v>0.0</v>
      </c>
      <c r="L128" s="19">
        <v>0.0</v>
      </c>
      <c r="M128" s="19">
        <v>0.0</v>
      </c>
      <c r="N128" s="19">
        <v>0.0</v>
      </c>
      <c r="O128" s="19">
        <v>0.0</v>
      </c>
      <c r="P128" s="19">
        <v>0.0</v>
      </c>
      <c r="Q128" s="19">
        <v>0.0</v>
      </c>
      <c r="R128" s="19">
        <v>0.0</v>
      </c>
      <c r="S128" s="19">
        <v>0.0</v>
      </c>
      <c r="T128" s="19">
        <v>0.0</v>
      </c>
      <c r="U128" s="19">
        <v>0.0</v>
      </c>
      <c r="V128" s="19">
        <v>0.0</v>
      </c>
      <c r="W128" s="19">
        <v>0.0</v>
      </c>
      <c r="X128" s="19">
        <v>0.0</v>
      </c>
      <c r="Y128" s="19">
        <v>0.0</v>
      </c>
      <c r="Z128" s="19">
        <v>0.0</v>
      </c>
      <c r="AA128" s="19">
        <v>0.0</v>
      </c>
      <c r="AB128" s="19">
        <v>0.0</v>
      </c>
      <c r="AC128" s="19">
        <v>0.0</v>
      </c>
      <c r="AD128" s="19">
        <v>0.0</v>
      </c>
      <c r="AE128" s="19">
        <v>0.0</v>
      </c>
      <c r="AF128" s="19">
        <v>0.0</v>
      </c>
      <c r="AG128" s="19">
        <v>0.0</v>
      </c>
      <c r="AH128" s="19">
        <v>0.0</v>
      </c>
      <c r="AI128" s="19">
        <v>0.0</v>
      </c>
      <c r="AJ128" s="19">
        <v>0.0</v>
      </c>
      <c r="AK128" s="19">
        <v>0.0</v>
      </c>
      <c r="AL128" s="19">
        <v>0.0</v>
      </c>
      <c r="AM128" s="19">
        <v>0.0</v>
      </c>
      <c r="AN128" s="19">
        <v>0.0</v>
      </c>
      <c r="AO128" s="19">
        <v>0.0</v>
      </c>
      <c r="AP128" s="19">
        <v>0.0</v>
      </c>
      <c r="AQ128" s="19">
        <v>0.0</v>
      </c>
      <c r="AR128" s="19">
        <v>0.0</v>
      </c>
      <c r="AS128" s="19">
        <v>0.0</v>
      </c>
      <c r="AT128" s="19">
        <v>0.0</v>
      </c>
      <c r="AU128" s="19">
        <v>0.0</v>
      </c>
      <c r="AV128" s="13">
        <f t="shared" si="30"/>
        <v>0</v>
      </c>
    </row>
    <row r="129" ht="12.75" customHeight="1">
      <c r="A129" s="19" t="s">
        <v>15</v>
      </c>
      <c r="B129" s="47" t="s">
        <v>47</v>
      </c>
      <c r="C129" s="15"/>
      <c r="D129" s="16"/>
      <c r="E129" s="13">
        <f t="shared" ref="E129:AV129" si="31">SUM(E121:E128)</f>
        <v>0</v>
      </c>
      <c r="F129" s="13">
        <f t="shared" si="31"/>
        <v>0</v>
      </c>
      <c r="G129" s="13">
        <f t="shared" si="31"/>
        <v>0</v>
      </c>
      <c r="H129" s="13">
        <f t="shared" si="31"/>
        <v>0</v>
      </c>
      <c r="I129" s="13">
        <f t="shared" si="31"/>
        <v>0</v>
      </c>
      <c r="J129" s="13">
        <f t="shared" si="31"/>
        <v>1</v>
      </c>
      <c r="K129" s="13">
        <f t="shared" si="31"/>
        <v>0</v>
      </c>
      <c r="L129" s="13">
        <f t="shared" si="31"/>
        <v>0</v>
      </c>
      <c r="M129" s="13">
        <f t="shared" si="31"/>
        <v>0</v>
      </c>
      <c r="N129" s="13">
        <f t="shared" si="31"/>
        <v>0</v>
      </c>
      <c r="O129" s="13">
        <f t="shared" si="31"/>
        <v>0</v>
      </c>
      <c r="P129" s="13">
        <f t="shared" si="31"/>
        <v>0</v>
      </c>
      <c r="Q129" s="13">
        <f t="shared" si="31"/>
        <v>0</v>
      </c>
      <c r="R129" s="13">
        <f t="shared" si="31"/>
        <v>0</v>
      </c>
      <c r="S129" s="13">
        <f t="shared" si="31"/>
        <v>0</v>
      </c>
      <c r="T129" s="13">
        <f t="shared" si="31"/>
        <v>0</v>
      </c>
      <c r="U129" s="13">
        <f t="shared" si="31"/>
        <v>1</v>
      </c>
      <c r="V129" s="13">
        <f t="shared" si="31"/>
        <v>0</v>
      </c>
      <c r="W129" s="13">
        <f t="shared" si="31"/>
        <v>0</v>
      </c>
      <c r="X129" s="13">
        <f t="shared" si="31"/>
        <v>0</v>
      </c>
      <c r="Y129" s="13">
        <f t="shared" si="31"/>
        <v>0</v>
      </c>
      <c r="Z129" s="13">
        <f t="shared" si="31"/>
        <v>0</v>
      </c>
      <c r="AA129" s="13">
        <f t="shared" si="31"/>
        <v>0</v>
      </c>
      <c r="AB129" s="13">
        <f t="shared" si="31"/>
        <v>0</v>
      </c>
      <c r="AC129" s="13">
        <f t="shared" si="31"/>
        <v>1</v>
      </c>
      <c r="AD129" s="13">
        <f t="shared" si="31"/>
        <v>0</v>
      </c>
      <c r="AE129" s="13">
        <f t="shared" si="31"/>
        <v>0</v>
      </c>
      <c r="AF129" s="13">
        <f t="shared" si="31"/>
        <v>0</v>
      </c>
      <c r="AG129" s="13">
        <f t="shared" si="31"/>
        <v>0</v>
      </c>
      <c r="AH129" s="13">
        <f t="shared" si="31"/>
        <v>0</v>
      </c>
      <c r="AI129" s="13">
        <f t="shared" si="31"/>
        <v>0</v>
      </c>
      <c r="AJ129" s="13">
        <f t="shared" si="31"/>
        <v>0</v>
      </c>
      <c r="AK129" s="13">
        <f t="shared" si="31"/>
        <v>0</v>
      </c>
      <c r="AL129" s="13">
        <f t="shared" si="31"/>
        <v>0</v>
      </c>
      <c r="AM129" s="13">
        <f t="shared" si="31"/>
        <v>0</v>
      </c>
      <c r="AN129" s="13">
        <f t="shared" si="31"/>
        <v>1</v>
      </c>
      <c r="AO129" s="13">
        <f t="shared" si="31"/>
        <v>0</v>
      </c>
      <c r="AP129" s="13">
        <f t="shared" si="31"/>
        <v>0</v>
      </c>
      <c r="AQ129" s="13">
        <f t="shared" si="31"/>
        <v>0</v>
      </c>
      <c r="AR129" s="13">
        <f t="shared" si="31"/>
        <v>1</v>
      </c>
      <c r="AS129" s="13">
        <f t="shared" si="31"/>
        <v>0</v>
      </c>
      <c r="AT129" s="13">
        <f t="shared" si="31"/>
        <v>1</v>
      </c>
      <c r="AU129" s="13">
        <f t="shared" si="31"/>
        <v>0</v>
      </c>
      <c r="AV129" s="13">
        <f t="shared" si="31"/>
        <v>6</v>
      </c>
    </row>
    <row r="130" ht="12.75" customHeight="1">
      <c r="A130" s="24"/>
      <c r="B130" s="15"/>
      <c r="C130" s="15"/>
      <c r="D130" s="15"/>
      <c r="E130" s="16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13"/>
    </row>
    <row r="131" ht="12.75" customHeight="1">
      <c r="A131" s="30" t="s">
        <v>37</v>
      </c>
      <c r="B131" s="17" t="s">
        <v>113</v>
      </c>
      <c r="C131" s="59" t="s">
        <v>114</v>
      </c>
      <c r="D131" s="23"/>
      <c r="E131" s="19">
        <v>2.0</v>
      </c>
      <c r="F131" s="19">
        <v>0.0</v>
      </c>
      <c r="G131" s="19">
        <v>1.0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1.0</v>
      </c>
      <c r="N131" s="19">
        <v>1.0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1.0</v>
      </c>
      <c r="Y131" s="19">
        <v>0.0</v>
      </c>
      <c r="Z131" s="19">
        <v>4.0</v>
      </c>
      <c r="AA131" s="19">
        <v>3.0</v>
      </c>
      <c r="AB131" s="19">
        <v>3.0</v>
      </c>
      <c r="AC131" s="19">
        <v>5.0</v>
      </c>
      <c r="AD131" s="19">
        <v>0.0</v>
      </c>
      <c r="AE131" s="19">
        <v>0.0</v>
      </c>
      <c r="AF131" s="19">
        <v>0.0</v>
      </c>
      <c r="AG131" s="19">
        <v>0.0</v>
      </c>
      <c r="AH131" s="19">
        <v>0.0</v>
      </c>
      <c r="AI131" s="19">
        <v>0.0</v>
      </c>
      <c r="AJ131" s="19">
        <v>1.0</v>
      </c>
      <c r="AK131" s="19">
        <v>1.0</v>
      </c>
      <c r="AL131" s="19">
        <v>0.0</v>
      </c>
      <c r="AM131" s="19">
        <v>0.0</v>
      </c>
      <c r="AN131" s="19">
        <v>0.0</v>
      </c>
      <c r="AO131" s="19">
        <v>0.0</v>
      </c>
      <c r="AP131" s="19">
        <v>0.0</v>
      </c>
      <c r="AQ131" s="19">
        <v>0.0</v>
      </c>
      <c r="AR131" s="19">
        <v>0.0</v>
      </c>
      <c r="AS131" s="19">
        <v>0.0</v>
      </c>
      <c r="AT131" s="19">
        <v>0.0</v>
      </c>
      <c r="AU131" s="19">
        <v>1.0</v>
      </c>
      <c r="AV131" s="13">
        <f t="shared" ref="AV131:AV135" si="32">SUM(E131:AU131)</f>
        <v>24</v>
      </c>
    </row>
    <row r="132" ht="12.75" customHeight="1">
      <c r="A132" s="60" t="s">
        <v>39</v>
      </c>
      <c r="B132" s="55">
        <v>1.0</v>
      </c>
      <c r="C132" s="61" t="s">
        <v>115</v>
      </c>
      <c r="D132" s="57"/>
      <c r="E132" s="74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1.0</v>
      </c>
      <c r="M132" s="19">
        <v>2.0</v>
      </c>
      <c r="N132" s="19">
        <v>1.0</v>
      </c>
      <c r="O132" s="19">
        <v>0.0</v>
      </c>
      <c r="P132" s="19">
        <v>1.0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1.0</v>
      </c>
      <c r="X132" s="19">
        <v>0.0</v>
      </c>
      <c r="Y132" s="19">
        <v>0.0</v>
      </c>
      <c r="Z132" s="19">
        <v>3.0</v>
      </c>
      <c r="AA132" s="19">
        <v>2.0</v>
      </c>
      <c r="AB132" s="19">
        <v>6.0</v>
      </c>
      <c r="AC132" s="19">
        <v>6.0</v>
      </c>
      <c r="AD132" s="19">
        <v>1.0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0.0</v>
      </c>
      <c r="AK132" s="19">
        <v>2.0</v>
      </c>
      <c r="AL132" s="19">
        <v>0.0</v>
      </c>
      <c r="AM132" s="19">
        <v>0.0</v>
      </c>
      <c r="AN132" s="19">
        <v>0.0</v>
      </c>
      <c r="AO132" s="19">
        <v>0.0</v>
      </c>
      <c r="AP132" s="19">
        <v>0.0</v>
      </c>
      <c r="AQ132" s="19">
        <v>1.0</v>
      </c>
      <c r="AR132" s="19">
        <v>0.0</v>
      </c>
      <c r="AS132" s="19">
        <v>1.0</v>
      </c>
      <c r="AT132" s="19">
        <v>0.0</v>
      </c>
      <c r="AU132" s="19">
        <v>0.0</v>
      </c>
      <c r="AV132" s="13">
        <f t="shared" si="32"/>
        <v>28</v>
      </c>
    </row>
    <row r="133" ht="12.75" customHeight="1">
      <c r="A133" s="18"/>
      <c r="B133" s="55">
        <v>2.0</v>
      </c>
      <c r="C133" s="61" t="s">
        <v>116</v>
      </c>
      <c r="D133" s="57"/>
      <c r="E133" s="74">
        <v>0.0</v>
      </c>
      <c r="F133" s="19">
        <v>0.0</v>
      </c>
      <c r="G133" s="19">
        <v>1.0</v>
      </c>
      <c r="H133" s="19">
        <v>0.0</v>
      </c>
      <c r="I133" s="19">
        <v>0.0</v>
      </c>
      <c r="J133" s="19">
        <v>0.0</v>
      </c>
      <c r="K133" s="19">
        <v>0.0</v>
      </c>
      <c r="L133" s="19">
        <v>1.0</v>
      </c>
      <c r="M133" s="19">
        <v>1.0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2.0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9">
        <v>0.0</v>
      </c>
      <c r="AM133" s="19">
        <v>0.0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0.0</v>
      </c>
      <c r="AS133" s="19">
        <v>0.0</v>
      </c>
      <c r="AT133" s="19">
        <v>0.0</v>
      </c>
      <c r="AU133" s="19">
        <v>0.0</v>
      </c>
      <c r="AV133" s="13">
        <f t="shared" si="32"/>
        <v>5</v>
      </c>
    </row>
    <row r="134" ht="12.75" customHeight="1">
      <c r="A134" s="18"/>
      <c r="B134" s="55">
        <v>3.0</v>
      </c>
      <c r="C134" s="61" t="s">
        <v>117</v>
      </c>
      <c r="D134" s="57"/>
      <c r="E134" s="74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1.0</v>
      </c>
      <c r="AN134" s="19">
        <v>0.0</v>
      </c>
      <c r="AO134" s="19">
        <v>0.0</v>
      </c>
      <c r="AP134" s="19">
        <v>0.0</v>
      </c>
      <c r="AQ134" s="19">
        <v>0.0</v>
      </c>
      <c r="AR134" s="19">
        <v>0.0</v>
      </c>
      <c r="AS134" s="19">
        <v>1.0</v>
      </c>
      <c r="AT134" s="19">
        <v>0.0</v>
      </c>
      <c r="AU134" s="19">
        <v>0.0</v>
      </c>
      <c r="AV134" s="13">
        <f t="shared" si="32"/>
        <v>2</v>
      </c>
    </row>
    <row r="135" ht="12.75" customHeight="1">
      <c r="A135" s="18"/>
      <c r="B135" s="55">
        <v>4.0</v>
      </c>
      <c r="C135" s="61" t="s">
        <v>118</v>
      </c>
      <c r="D135" s="57"/>
      <c r="E135" s="74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0.0</v>
      </c>
      <c r="AQ135" s="19">
        <v>0.0</v>
      </c>
      <c r="AR135" s="19">
        <v>1.0</v>
      </c>
      <c r="AS135" s="19">
        <v>0.0</v>
      </c>
      <c r="AT135" s="19">
        <v>0.0</v>
      </c>
      <c r="AU135" s="19">
        <v>0.0</v>
      </c>
      <c r="AV135" s="13">
        <f t="shared" si="32"/>
        <v>1</v>
      </c>
    </row>
    <row r="136" ht="12.75" customHeight="1">
      <c r="A136" s="19" t="s">
        <v>15</v>
      </c>
      <c r="B136" s="62" t="s">
        <v>47</v>
      </c>
      <c r="C136" s="44"/>
      <c r="D136" s="28"/>
      <c r="E136" s="13">
        <f t="shared" ref="E136:AV136" si="33">SUM(E131:E135)</f>
        <v>2</v>
      </c>
      <c r="F136" s="13">
        <f t="shared" si="33"/>
        <v>0</v>
      </c>
      <c r="G136" s="13">
        <f t="shared" si="33"/>
        <v>2</v>
      </c>
      <c r="H136" s="13">
        <f t="shared" si="33"/>
        <v>0</v>
      </c>
      <c r="I136" s="13">
        <f t="shared" si="33"/>
        <v>0</v>
      </c>
      <c r="J136" s="13">
        <f t="shared" si="33"/>
        <v>0</v>
      </c>
      <c r="K136" s="13">
        <f t="shared" si="33"/>
        <v>0</v>
      </c>
      <c r="L136" s="13">
        <f t="shared" si="33"/>
        <v>2</v>
      </c>
      <c r="M136" s="13">
        <f t="shared" si="33"/>
        <v>4</v>
      </c>
      <c r="N136" s="13">
        <f t="shared" si="33"/>
        <v>2</v>
      </c>
      <c r="O136" s="13">
        <f t="shared" si="33"/>
        <v>0</v>
      </c>
      <c r="P136" s="13">
        <f t="shared" si="33"/>
        <v>1</v>
      </c>
      <c r="Q136" s="13">
        <f t="shared" si="33"/>
        <v>0</v>
      </c>
      <c r="R136" s="13">
        <f t="shared" si="33"/>
        <v>0</v>
      </c>
      <c r="S136" s="13">
        <f t="shared" si="33"/>
        <v>0</v>
      </c>
      <c r="T136" s="13">
        <f t="shared" si="33"/>
        <v>0</v>
      </c>
      <c r="U136" s="13">
        <f t="shared" si="33"/>
        <v>0</v>
      </c>
      <c r="V136" s="13">
        <f t="shared" si="33"/>
        <v>0</v>
      </c>
      <c r="W136" s="13">
        <f t="shared" si="33"/>
        <v>1</v>
      </c>
      <c r="X136" s="13">
        <f t="shared" si="33"/>
        <v>3</v>
      </c>
      <c r="Y136" s="13">
        <f t="shared" si="33"/>
        <v>0</v>
      </c>
      <c r="Z136" s="13">
        <f t="shared" si="33"/>
        <v>7</v>
      </c>
      <c r="AA136" s="13">
        <f t="shared" si="33"/>
        <v>5</v>
      </c>
      <c r="AB136" s="13">
        <f t="shared" si="33"/>
        <v>9</v>
      </c>
      <c r="AC136" s="13">
        <f t="shared" si="33"/>
        <v>11</v>
      </c>
      <c r="AD136" s="13">
        <f t="shared" si="33"/>
        <v>1</v>
      </c>
      <c r="AE136" s="13">
        <f t="shared" si="33"/>
        <v>0</v>
      </c>
      <c r="AF136" s="13">
        <f t="shared" si="33"/>
        <v>0</v>
      </c>
      <c r="AG136" s="13">
        <f t="shared" si="33"/>
        <v>0</v>
      </c>
      <c r="AH136" s="13">
        <f t="shared" si="33"/>
        <v>0</v>
      </c>
      <c r="AI136" s="13">
        <f t="shared" si="33"/>
        <v>0</v>
      </c>
      <c r="AJ136" s="13">
        <f t="shared" si="33"/>
        <v>1</v>
      </c>
      <c r="AK136" s="13">
        <f t="shared" si="33"/>
        <v>3</v>
      </c>
      <c r="AL136" s="13">
        <f t="shared" si="33"/>
        <v>0</v>
      </c>
      <c r="AM136" s="13">
        <f t="shared" si="33"/>
        <v>1</v>
      </c>
      <c r="AN136" s="13">
        <f t="shared" si="33"/>
        <v>0</v>
      </c>
      <c r="AO136" s="13">
        <f t="shared" si="33"/>
        <v>0</v>
      </c>
      <c r="AP136" s="13">
        <f t="shared" si="33"/>
        <v>0</v>
      </c>
      <c r="AQ136" s="13">
        <f t="shared" si="33"/>
        <v>1</v>
      </c>
      <c r="AR136" s="13">
        <f t="shared" si="33"/>
        <v>1</v>
      </c>
      <c r="AS136" s="13">
        <f t="shared" si="33"/>
        <v>2</v>
      </c>
      <c r="AT136" s="13">
        <f t="shared" si="33"/>
        <v>0</v>
      </c>
      <c r="AU136" s="13">
        <f t="shared" si="33"/>
        <v>1</v>
      </c>
      <c r="AV136" s="13">
        <f t="shared" si="33"/>
        <v>60</v>
      </c>
    </row>
    <row r="137" ht="12.75" customHeight="1">
      <c r="A137" s="24"/>
      <c r="B137" s="15"/>
      <c r="C137" s="15"/>
      <c r="D137" s="15"/>
      <c r="E137" s="16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</row>
    <row r="138" ht="12.75" customHeight="1">
      <c r="A138" s="30" t="s">
        <v>37</v>
      </c>
      <c r="B138" s="47" t="s">
        <v>119</v>
      </c>
      <c r="C138" s="48" t="s">
        <v>120</v>
      </c>
      <c r="D138" s="16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1.0</v>
      </c>
      <c r="K138" s="19">
        <v>0.0</v>
      </c>
      <c r="L138" s="19">
        <v>0.0</v>
      </c>
      <c r="M138" s="19">
        <v>0.0</v>
      </c>
      <c r="N138" s="19">
        <v>0.0</v>
      </c>
      <c r="O138" s="19">
        <v>0.0</v>
      </c>
      <c r="P138" s="19">
        <v>0.0</v>
      </c>
      <c r="Q138" s="19">
        <v>0.0</v>
      </c>
      <c r="R138" s="19">
        <v>0.0</v>
      </c>
      <c r="S138" s="19">
        <v>0.0</v>
      </c>
      <c r="T138" s="19">
        <v>0.0</v>
      </c>
      <c r="U138" s="19">
        <v>0.0</v>
      </c>
      <c r="V138" s="19">
        <v>0.0</v>
      </c>
      <c r="W138" s="19">
        <v>0.0</v>
      </c>
      <c r="X138" s="19">
        <v>0.0</v>
      </c>
      <c r="Y138" s="19">
        <v>0.0</v>
      </c>
      <c r="Z138" s="19">
        <v>3.0</v>
      </c>
      <c r="AA138" s="19">
        <v>0.0</v>
      </c>
      <c r="AB138" s="19">
        <v>2.0</v>
      </c>
      <c r="AC138" s="19">
        <v>0.0</v>
      </c>
      <c r="AD138" s="19">
        <v>0.0</v>
      </c>
      <c r="AE138" s="19">
        <v>0.0</v>
      </c>
      <c r="AF138" s="19">
        <v>0.0</v>
      </c>
      <c r="AG138" s="19">
        <v>0.0</v>
      </c>
      <c r="AH138" s="19">
        <v>0.0</v>
      </c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3">
        <f t="shared" ref="AV138:AV145" si="34">SUM(E138:AU138)</f>
        <v>6</v>
      </c>
    </row>
    <row r="139" ht="12.75" customHeight="1">
      <c r="A139" s="30" t="s">
        <v>39</v>
      </c>
      <c r="B139" s="55">
        <v>1.0</v>
      </c>
      <c r="C139" s="50" t="s">
        <v>121</v>
      </c>
      <c r="D139" s="57"/>
      <c r="E139" s="19">
        <v>0.0</v>
      </c>
      <c r="F139" s="19">
        <v>0.0</v>
      </c>
      <c r="G139" s="19">
        <v>0.0</v>
      </c>
      <c r="H139" s="19">
        <v>0.0</v>
      </c>
      <c r="I139" s="19">
        <v>0.0</v>
      </c>
      <c r="J139" s="19">
        <v>0.0</v>
      </c>
      <c r="K139" s="19">
        <v>1.0</v>
      </c>
      <c r="L139" s="19">
        <v>0.0</v>
      </c>
      <c r="M139" s="19">
        <v>0.0</v>
      </c>
      <c r="N139" s="19">
        <v>0.0</v>
      </c>
      <c r="O139" s="19">
        <v>0.0</v>
      </c>
      <c r="P139" s="19">
        <v>1.0</v>
      </c>
      <c r="Q139" s="19">
        <v>0.0</v>
      </c>
      <c r="R139" s="19">
        <v>0.0</v>
      </c>
      <c r="S139" s="19">
        <v>0.0</v>
      </c>
      <c r="T139" s="19">
        <v>0.0</v>
      </c>
      <c r="U139" s="19">
        <v>0.0</v>
      </c>
      <c r="V139" s="19">
        <v>0.0</v>
      </c>
      <c r="W139" s="19">
        <v>0.0</v>
      </c>
      <c r="X139" s="19">
        <v>0.0</v>
      </c>
      <c r="Y139" s="19">
        <v>0.0</v>
      </c>
      <c r="Z139" s="19">
        <v>0.0</v>
      </c>
      <c r="AA139" s="19">
        <v>1.0</v>
      </c>
      <c r="AB139" s="19">
        <v>1.0</v>
      </c>
      <c r="AC139" s="19">
        <v>0.0</v>
      </c>
      <c r="AD139" s="19">
        <v>0.0</v>
      </c>
      <c r="AE139" s="19">
        <v>0.0</v>
      </c>
      <c r="AF139" s="19">
        <v>0.0</v>
      </c>
      <c r="AG139" s="19">
        <v>0.0</v>
      </c>
      <c r="AH139" s="19">
        <v>0.0</v>
      </c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3">
        <f t="shared" si="34"/>
        <v>4</v>
      </c>
    </row>
    <row r="140" ht="12.75" customHeight="1">
      <c r="A140" s="18"/>
      <c r="B140" s="55">
        <v>2.0</v>
      </c>
      <c r="C140" s="50" t="s">
        <v>122</v>
      </c>
      <c r="D140" s="57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1.0</v>
      </c>
      <c r="P140" s="19">
        <v>0.0</v>
      </c>
      <c r="Q140" s="19">
        <v>1.0</v>
      </c>
      <c r="R140" s="19">
        <v>0.0</v>
      </c>
      <c r="S140" s="19">
        <v>0.0</v>
      </c>
      <c r="T140" s="19">
        <v>0.0</v>
      </c>
      <c r="U140" s="19">
        <v>0.0</v>
      </c>
      <c r="V140" s="19">
        <v>0.0</v>
      </c>
      <c r="W140" s="19">
        <v>0.0</v>
      </c>
      <c r="X140" s="19">
        <v>0.0</v>
      </c>
      <c r="Y140" s="19">
        <v>0.0</v>
      </c>
      <c r="Z140" s="19">
        <v>0.0</v>
      </c>
      <c r="AA140" s="19">
        <v>0.0</v>
      </c>
      <c r="AB140" s="19">
        <v>0.0</v>
      </c>
      <c r="AC140" s="19">
        <v>0.0</v>
      </c>
      <c r="AD140" s="19">
        <v>0.0</v>
      </c>
      <c r="AE140" s="19">
        <v>0.0</v>
      </c>
      <c r="AF140" s="19">
        <v>0.0</v>
      </c>
      <c r="AG140" s="19">
        <v>0.0</v>
      </c>
      <c r="AH140" s="19">
        <v>0.0</v>
      </c>
      <c r="AI140" s="19"/>
      <c r="AJ140" s="19"/>
      <c r="AK140" s="19"/>
      <c r="AL140" s="19"/>
      <c r="AM140" s="19">
        <v>1.0</v>
      </c>
      <c r="AN140" s="19"/>
      <c r="AO140" s="19"/>
      <c r="AP140" s="19"/>
      <c r="AQ140" s="19"/>
      <c r="AR140" s="19"/>
      <c r="AS140" s="19"/>
      <c r="AT140" s="19"/>
      <c r="AU140" s="19"/>
      <c r="AV140" s="13">
        <f t="shared" si="34"/>
        <v>3</v>
      </c>
    </row>
    <row r="141" ht="12.75" customHeight="1">
      <c r="A141" s="18"/>
      <c r="B141" s="55">
        <v>3.0</v>
      </c>
      <c r="C141" s="50" t="s">
        <v>123</v>
      </c>
      <c r="D141" s="57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1.0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1.0</v>
      </c>
      <c r="AG141" s="19">
        <v>0.0</v>
      </c>
      <c r="AH141" s="19">
        <v>0.0</v>
      </c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3">
        <f t="shared" si="34"/>
        <v>2</v>
      </c>
    </row>
    <row r="142" ht="12.75" customHeight="1">
      <c r="A142" s="18"/>
      <c r="B142" s="55">
        <v>4.0</v>
      </c>
      <c r="C142" s="50" t="s">
        <v>124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3">
        <f t="shared" si="34"/>
        <v>0</v>
      </c>
    </row>
    <row r="143" ht="12.75" customHeight="1">
      <c r="A143" s="18"/>
      <c r="B143" s="55">
        <v>5.0</v>
      </c>
      <c r="C143" s="50" t="s">
        <v>125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3">
        <f t="shared" si="34"/>
        <v>0</v>
      </c>
    </row>
    <row r="144" ht="12.75" customHeight="1">
      <c r="A144" s="18"/>
      <c r="B144" s="55">
        <v>6.0</v>
      </c>
      <c r="C144" s="50" t="s">
        <v>126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3">
        <f t="shared" si="34"/>
        <v>0</v>
      </c>
    </row>
    <row r="145" ht="12.75" customHeight="1">
      <c r="A145" s="18"/>
      <c r="B145" s="55">
        <v>7.0</v>
      </c>
      <c r="C145" s="50" t="s">
        <v>127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1.0</v>
      </c>
      <c r="AH145" s="19">
        <v>0.0</v>
      </c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3">
        <f t="shared" si="34"/>
        <v>1</v>
      </c>
    </row>
    <row r="146" ht="12.75" customHeight="1">
      <c r="A146" s="19" t="s">
        <v>15</v>
      </c>
      <c r="B146" s="47" t="s">
        <v>47</v>
      </c>
      <c r="C146" s="15"/>
      <c r="D146" s="16"/>
      <c r="E146" s="13">
        <f t="shared" ref="E146:AV146" si="35">SUM(E138:E145)</f>
        <v>0</v>
      </c>
      <c r="F146" s="13">
        <f t="shared" si="35"/>
        <v>0</v>
      </c>
      <c r="G146" s="13">
        <f t="shared" si="35"/>
        <v>0</v>
      </c>
      <c r="H146" s="13">
        <f t="shared" si="35"/>
        <v>0</v>
      </c>
      <c r="I146" s="13">
        <f t="shared" si="35"/>
        <v>0</v>
      </c>
      <c r="J146" s="13">
        <f t="shared" si="35"/>
        <v>1</v>
      </c>
      <c r="K146" s="13">
        <f t="shared" si="35"/>
        <v>1</v>
      </c>
      <c r="L146" s="13">
        <f t="shared" si="35"/>
        <v>0</v>
      </c>
      <c r="M146" s="13">
        <f t="shared" si="35"/>
        <v>1</v>
      </c>
      <c r="N146" s="13">
        <f t="shared" si="35"/>
        <v>0</v>
      </c>
      <c r="O146" s="13">
        <f t="shared" si="35"/>
        <v>1</v>
      </c>
      <c r="P146" s="13">
        <f t="shared" si="35"/>
        <v>1</v>
      </c>
      <c r="Q146" s="13">
        <f t="shared" si="35"/>
        <v>1</v>
      </c>
      <c r="R146" s="13">
        <f t="shared" si="35"/>
        <v>0</v>
      </c>
      <c r="S146" s="13">
        <f t="shared" si="35"/>
        <v>0</v>
      </c>
      <c r="T146" s="13">
        <f t="shared" si="35"/>
        <v>0</v>
      </c>
      <c r="U146" s="13">
        <f t="shared" si="35"/>
        <v>0</v>
      </c>
      <c r="V146" s="13">
        <f t="shared" si="35"/>
        <v>0</v>
      </c>
      <c r="W146" s="13">
        <f t="shared" si="35"/>
        <v>0</v>
      </c>
      <c r="X146" s="13">
        <f t="shared" si="35"/>
        <v>0</v>
      </c>
      <c r="Y146" s="13">
        <f t="shared" si="35"/>
        <v>0</v>
      </c>
      <c r="Z146" s="13">
        <f t="shared" si="35"/>
        <v>3</v>
      </c>
      <c r="AA146" s="13">
        <f t="shared" si="35"/>
        <v>1</v>
      </c>
      <c r="AB146" s="13">
        <f t="shared" si="35"/>
        <v>3</v>
      </c>
      <c r="AC146" s="13">
        <f t="shared" si="35"/>
        <v>0</v>
      </c>
      <c r="AD146" s="13">
        <f t="shared" si="35"/>
        <v>0</v>
      </c>
      <c r="AE146" s="13">
        <f t="shared" si="35"/>
        <v>0</v>
      </c>
      <c r="AF146" s="13">
        <f t="shared" si="35"/>
        <v>1</v>
      </c>
      <c r="AG146" s="13">
        <f t="shared" si="35"/>
        <v>1</v>
      </c>
      <c r="AH146" s="13">
        <f t="shared" si="35"/>
        <v>0</v>
      </c>
      <c r="AI146" s="13">
        <f t="shared" si="35"/>
        <v>0</v>
      </c>
      <c r="AJ146" s="13">
        <f t="shared" si="35"/>
        <v>0</v>
      </c>
      <c r="AK146" s="13">
        <f t="shared" si="35"/>
        <v>0</v>
      </c>
      <c r="AL146" s="13">
        <f t="shared" si="35"/>
        <v>0</v>
      </c>
      <c r="AM146" s="13">
        <f t="shared" si="35"/>
        <v>1</v>
      </c>
      <c r="AN146" s="13">
        <f t="shared" si="35"/>
        <v>0</v>
      </c>
      <c r="AO146" s="13">
        <f t="shared" si="35"/>
        <v>0</v>
      </c>
      <c r="AP146" s="13">
        <f t="shared" si="35"/>
        <v>0</v>
      </c>
      <c r="AQ146" s="13">
        <f t="shared" si="35"/>
        <v>0</v>
      </c>
      <c r="AR146" s="13">
        <f t="shared" si="35"/>
        <v>0</v>
      </c>
      <c r="AS146" s="13">
        <f t="shared" si="35"/>
        <v>0</v>
      </c>
      <c r="AT146" s="13">
        <f t="shared" si="35"/>
        <v>0</v>
      </c>
      <c r="AU146" s="13">
        <f t="shared" si="35"/>
        <v>0</v>
      </c>
      <c r="AV146" s="13">
        <f t="shared" si="35"/>
        <v>16</v>
      </c>
    </row>
    <row r="147" ht="12.75" customHeight="1">
      <c r="A147" s="24"/>
      <c r="B147" s="15"/>
      <c r="C147" s="15"/>
      <c r="D147" s="15"/>
      <c r="E147" s="16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</row>
    <row r="148" ht="12.75" customHeight="1">
      <c r="A148" s="30" t="s">
        <v>37</v>
      </c>
      <c r="B148" s="47" t="s">
        <v>128</v>
      </c>
      <c r="C148" s="48" t="s">
        <v>129</v>
      </c>
      <c r="D148" s="16"/>
      <c r="E148" s="19">
        <v>2.0</v>
      </c>
      <c r="F148" s="19">
        <v>0.0</v>
      </c>
      <c r="G148" s="19">
        <v>2.0</v>
      </c>
      <c r="H148" s="19">
        <v>1.0</v>
      </c>
      <c r="I148" s="19">
        <v>1.0</v>
      </c>
      <c r="J148" s="19">
        <v>0.0</v>
      </c>
      <c r="K148" s="19">
        <v>2.0</v>
      </c>
      <c r="L148" s="19">
        <v>2.0</v>
      </c>
      <c r="M148" s="19">
        <v>0.0</v>
      </c>
      <c r="N148" s="19">
        <v>3.0</v>
      </c>
      <c r="O148" s="19">
        <v>2.0</v>
      </c>
      <c r="P148" s="19">
        <v>0.0</v>
      </c>
      <c r="Q148" s="19">
        <v>1.0</v>
      </c>
      <c r="R148" s="19">
        <v>1.0</v>
      </c>
      <c r="S148" s="19">
        <v>1.0</v>
      </c>
      <c r="T148" s="19">
        <v>1.0</v>
      </c>
      <c r="U148" s="19">
        <v>1.0</v>
      </c>
      <c r="V148" s="19">
        <v>1.0</v>
      </c>
      <c r="W148" s="19">
        <v>2.0</v>
      </c>
      <c r="X148" s="19">
        <v>1.0</v>
      </c>
      <c r="Y148" s="19">
        <v>4.0</v>
      </c>
      <c r="Z148" s="19">
        <v>1.0</v>
      </c>
      <c r="AA148" s="19">
        <v>0.0</v>
      </c>
      <c r="AB148" s="19">
        <v>0.0</v>
      </c>
      <c r="AC148" s="19">
        <v>4.0</v>
      </c>
      <c r="AD148" s="19">
        <v>1.0</v>
      </c>
      <c r="AE148" s="19">
        <v>4.0</v>
      </c>
      <c r="AF148" s="19">
        <v>1.0</v>
      </c>
      <c r="AG148" s="19">
        <v>0.0</v>
      </c>
      <c r="AH148" s="19">
        <v>2.0</v>
      </c>
      <c r="AI148" s="19">
        <v>3.0</v>
      </c>
      <c r="AJ148" s="19"/>
      <c r="AK148" s="19">
        <v>1.0</v>
      </c>
      <c r="AL148" s="19">
        <v>2.0</v>
      </c>
      <c r="AM148" s="19">
        <v>1.0</v>
      </c>
      <c r="AN148" s="19">
        <v>3.0</v>
      </c>
      <c r="AO148" s="19">
        <v>1.0</v>
      </c>
      <c r="AP148" s="19"/>
      <c r="AQ148" s="19">
        <v>1.0</v>
      </c>
      <c r="AR148" s="19">
        <v>1.0</v>
      </c>
      <c r="AS148" s="19">
        <v>3.0</v>
      </c>
      <c r="AT148" s="19">
        <v>4.0</v>
      </c>
      <c r="AU148" s="19">
        <v>1.0</v>
      </c>
      <c r="AV148" s="13">
        <f t="shared" ref="AV148:AV155" si="36">SUM(E148:AU148)</f>
        <v>62</v>
      </c>
    </row>
    <row r="149" ht="12.75" customHeight="1">
      <c r="A149" s="30" t="s">
        <v>39</v>
      </c>
      <c r="B149" s="55">
        <v>1.0</v>
      </c>
      <c r="C149" s="50" t="s">
        <v>130</v>
      </c>
      <c r="D149" s="57"/>
      <c r="E149" s="19">
        <v>0.0</v>
      </c>
      <c r="F149" s="19">
        <v>0.0</v>
      </c>
      <c r="G149" s="19">
        <v>0.0</v>
      </c>
      <c r="H149" s="19">
        <v>1.0</v>
      </c>
      <c r="I149" s="19">
        <v>0.0</v>
      </c>
      <c r="J149" s="19">
        <v>0.0</v>
      </c>
      <c r="K149" s="19">
        <v>1.0</v>
      </c>
      <c r="L149" s="19">
        <v>0.0</v>
      </c>
      <c r="M149" s="19">
        <v>1.0</v>
      </c>
      <c r="N149" s="19">
        <v>1.0</v>
      </c>
      <c r="O149" s="19">
        <v>1.0</v>
      </c>
      <c r="P149" s="19">
        <v>2.0</v>
      </c>
      <c r="Q149" s="19">
        <v>0.0</v>
      </c>
      <c r="R149" s="19">
        <v>0.0</v>
      </c>
      <c r="S149" s="19">
        <v>0.0</v>
      </c>
      <c r="T149" s="19">
        <v>1.0</v>
      </c>
      <c r="U149" s="19">
        <v>1.0</v>
      </c>
      <c r="V149" s="19">
        <v>1.0</v>
      </c>
      <c r="W149" s="19">
        <v>2.0</v>
      </c>
      <c r="X149" s="19">
        <v>0.0</v>
      </c>
      <c r="Y149" s="19">
        <v>5.0</v>
      </c>
      <c r="Z149" s="19">
        <v>7.0</v>
      </c>
      <c r="AA149" s="19">
        <v>2.0</v>
      </c>
      <c r="AB149" s="19">
        <v>1.0</v>
      </c>
      <c r="AC149" s="19">
        <v>0.0</v>
      </c>
      <c r="AD149" s="19">
        <v>0.0</v>
      </c>
      <c r="AE149" s="19">
        <v>2.0</v>
      </c>
      <c r="AF149" s="19">
        <v>1.0</v>
      </c>
      <c r="AG149" s="19">
        <v>1.0</v>
      </c>
      <c r="AH149" s="19">
        <v>0.0</v>
      </c>
      <c r="AI149" s="19">
        <v>1.0</v>
      </c>
      <c r="AJ149" s="19">
        <v>1.0</v>
      </c>
      <c r="AK149" s="19"/>
      <c r="AL149" s="19"/>
      <c r="AM149" s="19">
        <v>1.0</v>
      </c>
      <c r="AN149" s="19">
        <v>2.0</v>
      </c>
      <c r="AO149" s="19"/>
      <c r="AP149" s="19">
        <v>2.0</v>
      </c>
      <c r="AQ149" s="19"/>
      <c r="AR149" s="19"/>
      <c r="AS149" s="19"/>
      <c r="AT149" s="19">
        <v>1.0</v>
      </c>
      <c r="AU149" s="19"/>
      <c r="AV149" s="13">
        <f t="shared" si="36"/>
        <v>39</v>
      </c>
    </row>
    <row r="150" ht="12.75" customHeight="1">
      <c r="A150" s="18"/>
      <c r="B150" s="55">
        <v>2.0</v>
      </c>
      <c r="C150" s="50" t="s">
        <v>131</v>
      </c>
      <c r="D150" s="57"/>
      <c r="E150" s="19">
        <v>0.0</v>
      </c>
      <c r="F150" s="19">
        <v>0.0</v>
      </c>
      <c r="G150" s="19">
        <v>0.0</v>
      </c>
      <c r="H150" s="19">
        <v>0.0</v>
      </c>
      <c r="I150" s="19">
        <v>0.0</v>
      </c>
      <c r="J150" s="19">
        <v>0.0</v>
      </c>
      <c r="K150" s="19">
        <v>2.0</v>
      </c>
      <c r="L150" s="19">
        <v>1.0</v>
      </c>
      <c r="M150" s="19">
        <v>2.0</v>
      </c>
      <c r="N150" s="19">
        <v>0.0</v>
      </c>
      <c r="O150" s="19">
        <v>1.0</v>
      </c>
      <c r="P150" s="19">
        <v>4.0</v>
      </c>
      <c r="Q150" s="19">
        <v>1.0</v>
      </c>
      <c r="R150" s="19">
        <v>0.0</v>
      </c>
      <c r="S150" s="19">
        <v>0.0</v>
      </c>
      <c r="T150" s="19">
        <v>0.0</v>
      </c>
      <c r="U150" s="19">
        <v>0.0</v>
      </c>
      <c r="V150" s="19">
        <v>0.0</v>
      </c>
      <c r="W150" s="19">
        <v>1.0</v>
      </c>
      <c r="X150" s="19">
        <v>0.0</v>
      </c>
      <c r="Y150" s="19">
        <v>2.0</v>
      </c>
      <c r="Z150" s="19">
        <v>1.0</v>
      </c>
      <c r="AA150" s="19">
        <v>0.0</v>
      </c>
      <c r="AB150" s="19">
        <v>1.0</v>
      </c>
      <c r="AC150" s="19">
        <v>0.0</v>
      </c>
      <c r="AD150" s="19">
        <v>0.0</v>
      </c>
      <c r="AE150" s="19">
        <v>0.0</v>
      </c>
      <c r="AF150" s="19">
        <v>2.0</v>
      </c>
      <c r="AG150" s="19">
        <v>0.0</v>
      </c>
      <c r="AH150" s="19">
        <v>0.0</v>
      </c>
      <c r="AI150" s="19">
        <v>1.0</v>
      </c>
      <c r="AJ150" s="19"/>
      <c r="AK150" s="19"/>
      <c r="AL150" s="19">
        <v>1.0</v>
      </c>
      <c r="AM150" s="19">
        <v>1.0</v>
      </c>
      <c r="AN150" s="19">
        <v>3.0</v>
      </c>
      <c r="AO150" s="19"/>
      <c r="AP150" s="19">
        <v>1.0</v>
      </c>
      <c r="AQ150" s="19">
        <v>1.0</v>
      </c>
      <c r="AR150" s="19"/>
      <c r="AS150" s="19"/>
      <c r="AT150" s="19">
        <v>1.0</v>
      </c>
      <c r="AU150" s="19"/>
      <c r="AV150" s="13">
        <f t="shared" si="36"/>
        <v>27</v>
      </c>
    </row>
    <row r="151" ht="12.75" customHeight="1">
      <c r="A151" s="18"/>
      <c r="B151" s="55">
        <v>3.0</v>
      </c>
      <c r="C151" s="50" t="s">
        <v>132</v>
      </c>
      <c r="D151" s="57"/>
      <c r="E151" s="19">
        <v>0.0</v>
      </c>
      <c r="F151" s="19">
        <v>0.0</v>
      </c>
      <c r="G151" s="19">
        <v>0.0</v>
      </c>
      <c r="H151" s="19">
        <v>0.0</v>
      </c>
      <c r="I151" s="19">
        <v>0.0</v>
      </c>
      <c r="J151" s="19">
        <v>1.0</v>
      </c>
      <c r="K151" s="19">
        <v>0.0</v>
      </c>
      <c r="L151" s="19">
        <v>0.0</v>
      </c>
      <c r="M151" s="19">
        <v>1.0</v>
      </c>
      <c r="N151" s="19">
        <v>0.0</v>
      </c>
      <c r="O151" s="19">
        <v>0.0</v>
      </c>
      <c r="P151" s="19">
        <v>0.0</v>
      </c>
      <c r="Q151" s="19">
        <v>1.0</v>
      </c>
      <c r="R151" s="19">
        <v>1.0</v>
      </c>
      <c r="S151" s="19">
        <v>1.0</v>
      </c>
      <c r="T151" s="19">
        <v>0.0</v>
      </c>
      <c r="U151" s="19">
        <v>0.0</v>
      </c>
      <c r="V151" s="19">
        <v>0.0</v>
      </c>
      <c r="W151" s="19">
        <v>0.0</v>
      </c>
      <c r="X151" s="19">
        <v>0.0</v>
      </c>
      <c r="Y151" s="19">
        <v>0.0</v>
      </c>
      <c r="Z151" s="19">
        <v>1.0</v>
      </c>
      <c r="AA151" s="19">
        <v>1.0</v>
      </c>
      <c r="AB151" s="19">
        <v>0.0</v>
      </c>
      <c r="AC151" s="19">
        <v>1.0</v>
      </c>
      <c r="AD151" s="19">
        <v>0.0</v>
      </c>
      <c r="AE151" s="19">
        <v>0.0</v>
      </c>
      <c r="AF151" s="19">
        <v>0.0</v>
      </c>
      <c r="AG151" s="19">
        <v>0.0</v>
      </c>
      <c r="AH151" s="19">
        <v>0.0</v>
      </c>
      <c r="AI151" s="19">
        <v>1.0</v>
      </c>
      <c r="AJ151" s="19"/>
      <c r="AK151" s="19"/>
      <c r="AL151" s="19"/>
      <c r="AM151" s="19">
        <v>1.0</v>
      </c>
      <c r="AN151" s="19"/>
      <c r="AO151" s="19">
        <v>1.0</v>
      </c>
      <c r="AP151" s="19">
        <v>2.0</v>
      </c>
      <c r="AQ151" s="19"/>
      <c r="AR151" s="19"/>
      <c r="AS151" s="19"/>
      <c r="AT151" s="19">
        <v>1.0</v>
      </c>
      <c r="AU151" s="19"/>
      <c r="AV151" s="13">
        <f t="shared" si="36"/>
        <v>14</v>
      </c>
    </row>
    <row r="152" ht="12.75" customHeight="1">
      <c r="A152" s="18"/>
      <c r="B152" s="55">
        <v>4.0</v>
      </c>
      <c r="C152" s="50" t="s">
        <v>133</v>
      </c>
      <c r="D152" s="57"/>
      <c r="E152" s="19">
        <v>0.0</v>
      </c>
      <c r="F152" s="19">
        <v>1.0</v>
      </c>
      <c r="G152" s="19">
        <v>0.0</v>
      </c>
      <c r="H152" s="19">
        <v>0.0</v>
      </c>
      <c r="I152" s="19">
        <v>0.0</v>
      </c>
      <c r="J152" s="19">
        <v>1.0</v>
      </c>
      <c r="K152" s="19">
        <v>1.0</v>
      </c>
      <c r="L152" s="19">
        <v>0.0</v>
      </c>
      <c r="M152" s="19">
        <v>0.0</v>
      </c>
      <c r="N152" s="19">
        <v>1.0</v>
      </c>
      <c r="O152" s="19">
        <v>0.0</v>
      </c>
      <c r="P152" s="19">
        <v>0.0</v>
      </c>
      <c r="Q152" s="19">
        <v>1.0</v>
      </c>
      <c r="R152" s="19">
        <v>0.0</v>
      </c>
      <c r="S152" s="19">
        <v>0.0</v>
      </c>
      <c r="T152" s="19">
        <v>0.0</v>
      </c>
      <c r="U152" s="19">
        <v>1.0</v>
      </c>
      <c r="V152" s="19">
        <v>0.0</v>
      </c>
      <c r="W152" s="19">
        <v>0.0</v>
      </c>
      <c r="X152" s="19">
        <v>0.0</v>
      </c>
      <c r="Y152" s="19">
        <v>1.0</v>
      </c>
      <c r="Z152" s="19">
        <v>1.0</v>
      </c>
      <c r="AA152" s="19">
        <v>2.0</v>
      </c>
      <c r="AB152" s="19">
        <v>1.0</v>
      </c>
      <c r="AC152" s="19">
        <v>0.0</v>
      </c>
      <c r="AD152" s="19">
        <v>1.0</v>
      </c>
      <c r="AE152" s="19">
        <v>0.0</v>
      </c>
      <c r="AF152" s="19">
        <v>0.0</v>
      </c>
      <c r="AG152" s="19">
        <v>1.0</v>
      </c>
      <c r="AH152" s="19">
        <v>0.0</v>
      </c>
      <c r="AI152" s="19"/>
      <c r="AJ152" s="19"/>
      <c r="AK152" s="19"/>
      <c r="AL152" s="19"/>
      <c r="AM152" s="19"/>
      <c r="AN152" s="19"/>
      <c r="AO152" s="19"/>
      <c r="AP152" s="19">
        <v>1.0</v>
      </c>
      <c r="AQ152" s="19"/>
      <c r="AR152" s="19"/>
      <c r="AS152" s="19"/>
      <c r="AT152" s="19">
        <v>2.0</v>
      </c>
      <c r="AU152" s="19"/>
      <c r="AV152" s="13">
        <f t="shared" si="36"/>
        <v>16</v>
      </c>
    </row>
    <row r="153" ht="12.75" customHeight="1">
      <c r="A153" s="18"/>
      <c r="B153" s="55">
        <v>5.0</v>
      </c>
      <c r="C153" s="50" t="s">
        <v>134</v>
      </c>
      <c r="D153" s="57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1.0</v>
      </c>
      <c r="AA153" s="19">
        <v>0.0</v>
      </c>
      <c r="AB153" s="19">
        <v>0.0</v>
      </c>
      <c r="AC153" s="19">
        <v>3.0</v>
      </c>
      <c r="AD153" s="19">
        <v>0.0</v>
      </c>
      <c r="AE153" s="19">
        <v>0.0</v>
      </c>
      <c r="AF153" s="19">
        <v>1.0</v>
      </c>
      <c r="AG153" s="19">
        <v>0.0</v>
      </c>
      <c r="AH153" s="19">
        <v>0.0</v>
      </c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3">
        <f t="shared" si="36"/>
        <v>5</v>
      </c>
    </row>
    <row r="154" ht="12.75" customHeight="1">
      <c r="A154" s="18"/>
      <c r="B154" s="55">
        <v>6.0</v>
      </c>
      <c r="C154" s="50" t="s">
        <v>135</v>
      </c>
      <c r="D154" s="57"/>
      <c r="E154" s="19">
        <v>0.0</v>
      </c>
      <c r="F154" s="19">
        <v>0.0</v>
      </c>
      <c r="G154" s="19">
        <v>1.0</v>
      </c>
      <c r="H154" s="19">
        <v>0.0</v>
      </c>
      <c r="I154" s="19">
        <v>0.0</v>
      </c>
      <c r="J154" s="19">
        <v>0.0</v>
      </c>
      <c r="K154" s="19">
        <v>1.0</v>
      </c>
      <c r="L154" s="19">
        <v>0.0</v>
      </c>
      <c r="M154" s="19">
        <v>0.0</v>
      </c>
      <c r="N154" s="19">
        <v>0.0</v>
      </c>
      <c r="O154" s="19">
        <v>0.0</v>
      </c>
      <c r="P154" s="19">
        <v>1.0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1.0</v>
      </c>
      <c r="AB154" s="19">
        <v>0.0</v>
      </c>
      <c r="AC154" s="19">
        <v>1.0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/>
      <c r="AJ154" s="19"/>
      <c r="AK154" s="19"/>
      <c r="AL154" s="19"/>
      <c r="AM154" s="19">
        <v>1.0</v>
      </c>
      <c r="AN154" s="19"/>
      <c r="AO154" s="19"/>
      <c r="AP154" s="19"/>
      <c r="AQ154" s="19"/>
      <c r="AR154" s="19"/>
      <c r="AS154" s="19"/>
      <c r="AT154" s="19">
        <v>1.0</v>
      </c>
      <c r="AU154" s="19"/>
      <c r="AV154" s="13">
        <f t="shared" si="36"/>
        <v>7</v>
      </c>
    </row>
    <row r="155" ht="12.75" customHeight="1">
      <c r="A155" s="18"/>
      <c r="B155" s="55">
        <v>7.0</v>
      </c>
      <c r="C155" s="50" t="s">
        <v>136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1.0</v>
      </c>
      <c r="L155" s="19">
        <v>1.0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1.0</v>
      </c>
      <c r="Y155" s="19">
        <v>0.0</v>
      </c>
      <c r="Z155" s="19">
        <v>3.0</v>
      </c>
      <c r="AA155" s="19">
        <v>1.0</v>
      </c>
      <c r="AB155" s="19">
        <v>0.0</v>
      </c>
      <c r="AC155" s="19">
        <v>0.0</v>
      </c>
      <c r="AD155" s="19">
        <v>10.0</v>
      </c>
      <c r="AE155" s="19">
        <v>5.0</v>
      </c>
      <c r="AF155" s="19">
        <v>0.0</v>
      </c>
      <c r="AG155" s="19">
        <v>0.0</v>
      </c>
      <c r="AH155" s="19">
        <v>0.0</v>
      </c>
      <c r="AI155" s="19"/>
      <c r="AJ155" s="19"/>
      <c r="AK155" s="19">
        <v>1.0</v>
      </c>
      <c r="AL155" s="19"/>
      <c r="AM155" s="19">
        <v>1.0</v>
      </c>
      <c r="AN155" s="19"/>
      <c r="AO155" s="19"/>
      <c r="AP155" s="19">
        <v>1.0</v>
      </c>
      <c r="AQ155" s="19"/>
      <c r="AR155" s="19"/>
      <c r="AS155" s="19"/>
      <c r="AT155" s="19"/>
      <c r="AU155" s="19"/>
      <c r="AV155" s="13">
        <f t="shared" si="36"/>
        <v>25</v>
      </c>
    </row>
    <row r="156" ht="12.75" customHeight="1">
      <c r="A156" s="19" t="s">
        <v>15</v>
      </c>
      <c r="B156" s="47" t="s">
        <v>47</v>
      </c>
      <c r="C156" s="15"/>
      <c r="D156" s="16"/>
      <c r="E156" s="13">
        <f t="shared" ref="E156:AV156" si="37">SUM(E148:E155)</f>
        <v>2</v>
      </c>
      <c r="F156" s="13">
        <f t="shared" si="37"/>
        <v>1</v>
      </c>
      <c r="G156" s="13">
        <f t="shared" si="37"/>
        <v>3</v>
      </c>
      <c r="H156" s="13">
        <f t="shared" si="37"/>
        <v>2</v>
      </c>
      <c r="I156" s="13">
        <f t="shared" si="37"/>
        <v>1</v>
      </c>
      <c r="J156" s="13">
        <f t="shared" si="37"/>
        <v>2</v>
      </c>
      <c r="K156" s="13">
        <f t="shared" si="37"/>
        <v>8</v>
      </c>
      <c r="L156" s="13">
        <f t="shared" si="37"/>
        <v>4</v>
      </c>
      <c r="M156" s="13">
        <f t="shared" si="37"/>
        <v>4</v>
      </c>
      <c r="N156" s="13">
        <f t="shared" si="37"/>
        <v>5</v>
      </c>
      <c r="O156" s="13">
        <f t="shared" si="37"/>
        <v>4</v>
      </c>
      <c r="P156" s="13">
        <f t="shared" si="37"/>
        <v>7</v>
      </c>
      <c r="Q156" s="13">
        <f t="shared" si="37"/>
        <v>4</v>
      </c>
      <c r="R156" s="13">
        <f t="shared" si="37"/>
        <v>2</v>
      </c>
      <c r="S156" s="13">
        <f t="shared" si="37"/>
        <v>2</v>
      </c>
      <c r="T156" s="13">
        <f t="shared" si="37"/>
        <v>2</v>
      </c>
      <c r="U156" s="13">
        <f t="shared" si="37"/>
        <v>3</v>
      </c>
      <c r="V156" s="13">
        <f t="shared" si="37"/>
        <v>2</v>
      </c>
      <c r="W156" s="13">
        <f t="shared" si="37"/>
        <v>5</v>
      </c>
      <c r="X156" s="13">
        <f t="shared" si="37"/>
        <v>2</v>
      </c>
      <c r="Y156" s="13">
        <f t="shared" si="37"/>
        <v>12</v>
      </c>
      <c r="Z156" s="13">
        <f t="shared" si="37"/>
        <v>15</v>
      </c>
      <c r="AA156" s="13">
        <f t="shared" si="37"/>
        <v>7</v>
      </c>
      <c r="AB156" s="13">
        <f t="shared" si="37"/>
        <v>3</v>
      </c>
      <c r="AC156" s="13">
        <f t="shared" si="37"/>
        <v>9</v>
      </c>
      <c r="AD156" s="13">
        <f t="shared" si="37"/>
        <v>12</v>
      </c>
      <c r="AE156" s="13">
        <f t="shared" si="37"/>
        <v>11</v>
      </c>
      <c r="AF156" s="13">
        <f t="shared" si="37"/>
        <v>5</v>
      </c>
      <c r="AG156" s="13">
        <f t="shared" si="37"/>
        <v>2</v>
      </c>
      <c r="AH156" s="13">
        <f t="shared" si="37"/>
        <v>2</v>
      </c>
      <c r="AI156" s="13">
        <f t="shared" si="37"/>
        <v>6</v>
      </c>
      <c r="AJ156" s="13">
        <f t="shared" si="37"/>
        <v>1</v>
      </c>
      <c r="AK156" s="13">
        <f t="shared" si="37"/>
        <v>2</v>
      </c>
      <c r="AL156" s="13">
        <f t="shared" si="37"/>
        <v>3</v>
      </c>
      <c r="AM156" s="13">
        <f t="shared" si="37"/>
        <v>6</v>
      </c>
      <c r="AN156" s="13">
        <f t="shared" si="37"/>
        <v>8</v>
      </c>
      <c r="AO156" s="13">
        <f t="shared" si="37"/>
        <v>2</v>
      </c>
      <c r="AP156" s="13">
        <f t="shared" si="37"/>
        <v>7</v>
      </c>
      <c r="AQ156" s="13">
        <f t="shared" si="37"/>
        <v>2</v>
      </c>
      <c r="AR156" s="13">
        <f t="shared" si="37"/>
        <v>1</v>
      </c>
      <c r="AS156" s="13">
        <f t="shared" si="37"/>
        <v>3</v>
      </c>
      <c r="AT156" s="13">
        <f t="shared" si="37"/>
        <v>10</v>
      </c>
      <c r="AU156" s="13">
        <f t="shared" si="37"/>
        <v>1</v>
      </c>
      <c r="AV156" s="13">
        <f t="shared" si="37"/>
        <v>195</v>
      </c>
    </row>
    <row r="157" ht="12.75" customHeight="1">
      <c r="A157" s="24"/>
      <c r="B157" s="15"/>
      <c r="C157" s="15"/>
      <c r="D157" s="15"/>
      <c r="E157" s="16"/>
      <c r="F157" s="72"/>
      <c r="G157" s="72"/>
      <c r="H157" s="72"/>
      <c r="I157" s="72"/>
      <c r="J157" s="72"/>
      <c r="K157" s="72"/>
      <c r="L157" s="72"/>
      <c r="M157" s="72"/>
      <c r="N157" s="72"/>
      <c r="T157" s="72"/>
      <c r="U157" s="72"/>
      <c r="V157" s="72"/>
      <c r="W157" s="72"/>
      <c r="X157" s="72"/>
      <c r="Y157" s="72"/>
      <c r="Z157" s="72"/>
      <c r="AA157" s="72"/>
      <c r="AB157" s="72"/>
      <c r="AH157" s="72"/>
      <c r="AI157" s="72"/>
      <c r="AJ157" s="72"/>
      <c r="AK157" s="72"/>
      <c r="AL157" s="72"/>
      <c r="AM157" s="72"/>
      <c r="AN157" s="72"/>
      <c r="AO157" s="72"/>
      <c r="AV157" s="13"/>
    </row>
    <row r="158" ht="12.75" customHeight="1">
      <c r="A158" s="30" t="s">
        <v>37</v>
      </c>
      <c r="B158" s="47" t="s">
        <v>137</v>
      </c>
      <c r="C158" s="48" t="s">
        <v>138</v>
      </c>
      <c r="D158" s="16"/>
      <c r="E158" s="19">
        <v>0.0</v>
      </c>
      <c r="F158" s="19">
        <v>0.0</v>
      </c>
      <c r="G158" s="19">
        <v>0.0</v>
      </c>
      <c r="H158" s="19">
        <v>0.0</v>
      </c>
      <c r="I158" s="19">
        <v>0.0</v>
      </c>
      <c r="J158" s="19">
        <v>0.0</v>
      </c>
      <c r="K158" s="19">
        <v>1.0</v>
      </c>
      <c r="L158" s="19">
        <v>0.0</v>
      </c>
      <c r="M158" s="19">
        <v>0.0</v>
      </c>
      <c r="N158" s="19">
        <v>0.0</v>
      </c>
      <c r="O158" s="19">
        <v>0.0</v>
      </c>
      <c r="P158" s="19">
        <v>1.0</v>
      </c>
      <c r="Q158" s="19">
        <v>0.0</v>
      </c>
      <c r="R158" s="19">
        <v>0.0</v>
      </c>
      <c r="S158" s="19">
        <v>0.0</v>
      </c>
      <c r="T158" s="19">
        <v>0.0</v>
      </c>
      <c r="U158" s="19">
        <v>0.0</v>
      </c>
      <c r="V158" s="19">
        <v>0.0</v>
      </c>
      <c r="W158" s="19">
        <v>0.0</v>
      </c>
      <c r="X158" s="19">
        <v>0.0</v>
      </c>
      <c r="Y158" s="19">
        <v>0.0</v>
      </c>
      <c r="Z158" s="19">
        <v>1.0</v>
      </c>
      <c r="AA158" s="19">
        <v>0.0</v>
      </c>
      <c r="AB158" s="19">
        <v>0.0</v>
      </c>
      <c r="AC158" s="19">
        <v>0.0</v>
      </c>
      <c r="AD158" s="19">
        <v>0.0</v>
      </c>
      <c r="AE158" s="19">
        <v>0.0</v>
      </c>
      <c r="AF158" s="19">
        <v>1.0</v>
      </c>
      <c r="AG158" s="19">
        <v>0.0</v>
      </c>
      <c r="AH158" s="19">
        <v>0.0</v>
      </c>
      <c r="AI158" s="19">
        <v>0.0</v>
      </c>
      <c r="AJ158" s="19">
        <v>0.0</v>
      </c>
      <c r="AK158" s="19">
        <v>0.0</v>
      </c>
      <c r="AL158" s="19">
        <v>1.0</v>
      </c>
      <c r="AM158" s="19">
        <v>0.0</v>
      </c>
      <c r="AN158" s="19">
        <v>0.0</v>
      </c>
      <c r="AO158" s="19">
        <v>0.0</v>
      </c>
      <c r="AP158" s="19">
        <v>0.0</v>
      </c>
      <c r="AQ158" s="19">
        <v>0.0</v>
      </c>
      <c r="AR158" s="19">
        <v>0.0</v>
      </c>
      <c r="AS158" s="19">
        <v>0.0</v>
      </c>
      <c r="AT158" s="19">
        <v>0.0</v>
      </c>
      <c r="AU158" s="19">
        <v>0.0</v>
      </c>
      <c r="AV158" s="13">
        <f t="shared" ref="AV158:AV165" si="38">SUM(E158:AU158)</f>
        <v>5</v>
      </c>
    </row>
    <row r="159" ht="12.75" customHeight="1">
      <c r="A159" s="30" t="s">
        <v>39</v>
      </c>
      <c r="B159" s="55">
        <v>1.0</v>
      </c>
      <c r="C159" s="50" t="s">
        <v>139</v>
      </c>
      <c r="D159" s="57"/>
      <c r="E159" s="19">
        <v>0.0</v>
      </c>
      <c r="F159" s="19">
        <v>0.0</v>
      </c>
      <c r="G159" s="19">
        <v>0.0</v>
      </c>
      <c r="H159" s="19">
        <v>0.0</v>
      </c>
      <c r="I159" s="19">
        <v>0.0</v>
      </c>
      <c r="J159" s="19">
        <v>0.0</v>
      </c>
      <c r="K159" s="19">
        <v>0.0</v>
      </c>
      <c r="L159" s="19">
        <v>0.0</v>
      </c>
      <c r="M159" s="19">
        <v>0.0</v>
      </c>
      <c r="N159" s="19">
        <v>0.0</v>
      </c>
      <c r="O159" s="19">
        <v>0.0</v>
      </c>
      <c r="P159" s="19">
        <v>0.0</v>
      </c>
      <c r="Q159" s="19">
        <v>0.0</v>
      </c>
      <c r="R159" s="19">
        <v>0.0</v>
      </c>
      <c r="S159" s="19">
        <v>0.0</v>
      </c>
      <c r="T159" s="19">
        <v>0.0</v>
      </c>
      <c r="U159" s="19">
        <v>0.0</v>
      </c>
      <c r="V159" s="19">
        <v>0.0</v>
      </c>
      <c r="W159" s="19">
        <v>0.0</v>
      </c>
      <c r="X159" s="19">
        <v>1.0</v>
      </c>
      <c r="Y159" s="19">
        <v>0.0</v>
      </c>
      <c r="Z159" s="19">
        <v>0.0</v>
      </c>
      <c r="AA159" s="19">
        <v>2.0</v>
      </c>
      <c r="AB159" s="19">
        <v>0.0</v>
      </c>
      <c r="AC159" s="19">
        <v>0.0</v>
      </c>
      <c r="AD159" s="19">
        <v>0.0</v>
      </c>
      <c r="AE159" s="19">
        <v>1.0</v>
      </c>
      <c r="AF159" s="19">
        <v>0.0</v>
      </c>
      <c r="AG159" s="19">
        <v>0.0</v>
      </c>
      <c r="AH159" s="19">
        <v>0.0</v>
      </c>
      <c r="AI159" s="19">
        <v>0.0</v>
      </c>
      <c r="AJ159" s="19">
        <v>0.0</v>
      </c>
      <c r="AK159" s="19">
        <v>0.0</v>
      </c>
      <c r="AL159" s="19">
        <v>0.0</v>
      </c>
      <c r="AM159" s="19">
        <v>0.0</v>
      </c>
      <c r="AN159" s="19">
        <v>0.0</v>
      </c>
      <c r="AO159" s="19">
        <v>2.0</v>
      </c>
      <c r="AP159" s="19">
        <v>0.0</v>
      </c>
      <c r="AQ159" s="19">
        <v>0.0</v>
      </c>
      <c r="AR159" s="19">
        <v>0.0</v>
      </c>
      <c r="AS159" s="19">
        <v>0.0</v>
      </c>
      <c r="AT159" s="19">
        <v>0.0</v>
      </c>
      <c r="AU159" s="19">
        <v>0.0</v>
      </c>
      <c r="AV159" s="13">
        <f t="shared" si="38"/>
        <v>6</v>
      </c>
    </row>
    <row r="160" ht="12.75" customHeight="1">
      <c r="A160" s="18"/>
      <c r="B160" s="55">
        <v>2.0</v>
      </c>
      <c r="C160" s="50" t="s">
        <v>140</v>
      </c>
      <c r="D160" s="57"/>
      <c r="E160" s="19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1.0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9">
        <v>0.0</v>
      </c>
      <c r="T160" s="19">
        <v>0.0</v>
      </c>
      <c r="U160" s="19">
        <v>0.0</v>
      </c>
      <c r="V160" s="19">
        <v>1.0</v>
      </c>
      <c r="W160" s="19">
        <v>0.0</v>
      </c>
      <c r="X160" s="19">
        <v>1.0</v>
      </c>
      <c r="Y160" s="19">
        <v>0.0</v>
      </c>
      <c r="Z160" s="19">
        <v>0.0</v>
      </c>
      <c r="AA160" s="19">
        <v>0.0</v>
      </c>
      <c r="AB160" s="19">
        <v>1.0</v>
      </c>
      <c r="AC160" s="19">
        <v>0.0</v>
      </c>
      <c r="AD160" s="19">
        <v>0.0</v>
      </c>
      <c r="AE160" s="19">
        <v>0.0</v>
      </c>
      <c r="AF160" s="19">
        <v>0.0</v>
      </c>
      <c r="AG160" s="19">
        <v>0.0</v>
      </c>
      <c r="AH160" s="19">
        <v>1.0</v>
      </c>
      <c r="AI160" s="19">
        <v>0.0</v>
      </c>
      <c r="AJ160" s="19">
        <v>0.0</v>
      </c>
      <c r="AK160" s="19">
        <v>0.0</v>
      </c>
      <c r="AL160" s="19">
        <v>0.0</v>
      </c>
      <c r="AM160" s="19">
        <v>0.0</v>
      </c>
      <c r="AN160" s="19">
        <v>0.0</v>
      </c>
      <c r="AO160" s="19">
        <v>0.0</v>
      </c>
      <c r="AP160" s="19">
        <v>0.0</v>
      </c>
      <c r="AQ160" s="19">
        <v>1.0</v>
      </c>
      <c r="AR160" s="19">
        <v>0.0</v>
      </c>
      <c r="AS160" s="19">
        <v>0.0</v>
      </c>
      <c r="AT160" s="19">
        <v>0.0</v>
      </c>
      <c r="AU160" s="19">
        <v>0.0</v>
      </c>
      <c r="AV160" s="13">
        <f t="shared" si="38"/>
        <v>6</v>
      </c>
    </row>
    <row r="161" ht="12.75" customHeight="1">
      <c r="A161" s="18"/>
      <c r="B161" s="55">
        <v>3.0</v>
      </c>
      <c r="C161" s="50" t="s">
        <v>141</v>
      </c>
      <c r="D161" s="57"/>
      <c r="E161" s="19">
        <v>0.0</v>
      </c>
      <c r="F161" s="19">
        <v>0.0</v>
      </c>
      <c r="G161" s="19">
        <v>0.0</v>
      </c>
      <c r="H161" s="19">
        <v>0.0</v>
      </c>
      <c r="I161" s="19">
        <v>0.0</v>
      </c>
      <c r="J161" s="19">
        <v>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0.0</v>
      </c>
      <c r="P161" s="19">
        <v>0.0</v>
      </c>
      <c r="Q161" s="19">
        <v>0.0</v>
      </c>
      <c r="R161" s="19">
        <v>0.0</v>
      </c>
      <c r="S161" s="19">
        <v>0.0</v>
      </c>
      <c r="T161" s="19">
        <v>0.0</v>
      </c>
      <c r="U161" s="19">
        <v>0.0</v>
      </c>
      <c r="V161" s="19">
        <v>0.0</v>
      </c>
      <c r="W161" s="19">
        <v>0.0</v>
      </c>
      <c r="X161" s="19">
        <v>0.0</v>
      </c>
      <c r="Y161" s="19">
        <v>0.0</v>
      </c>
      <c r="Z161" s="19">
        <v>0.0</v>
      </c>
      <c r="AA161" s="19">
        <v>0.0</v>
      </c>
      <c r="AB161" s="19">
        <v>0.0</v>
      </c>
      <c r="AC161" s="19">
        <v>0.0</v>
      </c>
      <c r="AD161" s="19">
        <v>0.0</v>
      </c>
      <c r="AE161" s="19">
        <v>0.0</v>
      </c>
      <c r="AF161" s="19">
        <v>0.0</v>
      </c>
      <c r="AG161" s="19">
        <v>0.0</v>
      </c>
      <c r="AH161" s="19">
        <v>0.0</v>
      </c>
      <c r="AI161" s="19">
        <v>0.0</v>
      </c>
      <c r="AJ161" s="19">
        <v>0.0</v>
      </c>
      <c r="AK161" s="19">
        <v>0.0</v>
      </c>
      <c r="AL161" s="19">
        <v>0.0</v>
      </c>
      <c r="AM161" s="19">
        <v>0.0</v>
      </c>
      <c r="AN161" s="19">
        <v>0.0</v>
      </c>
      <c r="AO161" s="19">
        <v>0.0</v>
      </c>
      <c r="AP161" s="19">
        <v>0.0</v>
      </c>
      <c r="AQ161" s="19">
        <v>0.0</v>
      </c>
      <c r="AR161" s="19">
        <v>0.0</v>
      </c>
      <c r="AS161" s="19">
        <v>0.0</v>
      </c>
      <c r="AT161" s="19">
        <v>0.0</v>
      </c>
      <c r="AU161" s="19">
        <v>0.0</v>
      </c>
      <c r="AV161" s="13">
        <f t="shared" si="38"/>
        <v>0</v>
      </c>
    </row>
    <row r="162" ht="12.75" customHeight="1">
      <c r="A162" s="18"/>
      <c r="B162" s="55">
        <v>4.0</v>
      </c>
      <c r="C162" s="50" t="s">
        <v>142</v>
      </c>
      <c r="D162" s="57"/>
      <c r="E162" s="19">
        <v>0.0</v>
      </c>
      <c r="F162" s="19">
        <v>0.0</v>
      </c>
      <c r="G162" s="19">
        <v>0.0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0.0</v>
      </c>
      <c r="R162" s="19">
        <v>0.0</v>
      </c>
      <c r="S162" s="19">
        <v>0.0</v>
      </c>
      <c r="T162" s="19">
        <v>0.0</v>
      </c>
      <c r="U162" s="19">
        <v>0.0</v>
      </c>
      <c r="V162" s="19">
        <v>0.0</v>
      </c>
      <c r="W162" s="19">
        <v>0.0</v>
      </c>
      <c r="X162" s="19">
        <v>0.0</v>
      </c>
      <c r="Y162" s="19">
        <v>0.0</v>
      </c>
      <c r="Z162" s="19">
        <v>0.0</v>
      </c>
      <c r="AA162" s="19">
        <v>0.0</v>
      </c>
      <c r="AB162" s="19">
        <v>0.0</v>
      </c>
      <c r="AC162" s="19">
        <v>0.0</v>
      </c>
      <c r="AD162" s="19">
        <v>0.0</v>
      </c>
      <c r="AE162" s="19">
        <v>0.0</v>
      </c>
      <c r="AF162" s="19">
        <v>0.0</v>
      </c>
      <c r="AG162" s="19">
        <v>0.0</v>
      </c>
      <c r="AH162" s="19">
        <v>0.0</v>
      </c>
      <c r="AI162" s="19">
        <v>0.0</v>
      </c>
      <c r="AJ162" s="19">
        <v>0.0</v>
      </c>
      <c r="AK162" s="19">
        <v>0.0</v>
      </c>
      <c r="AL162" s="19">
        <v>0.0</v>
      </c>
      <c r="AM162" s="19">
        <v>0.0</v>
      </c>
      <c r="AN162" s="19">
        <v>0.0</v>
      </c>
      <c r="AO162" s="19">
        <v>0.0</v>
      </c>
      <c r="AP162" s="19">
        <v>0.0</v>
      </c>
      <c r="AQ162" s="19">
        <v>0.0</v>
      </c>
      <c r="AR162" s="19">
        <v>0.0</v>
      </c>
      <c r="AS162" s="19">
        <v>0.0</v>
      </c>
      <c r="AT162" s="19">
        <v>0.0</v>
      </c>
      <c r="AU162" s="19">
        <v>0.0</v>
      </c>
      <c r="AV162" s="13">
        <f t="shared" si="38"/>
        <v>0</v>
      </c>
    </row>
    <row r="163" ht="12.75" customHeight="1">
      <c r="A163" s="18"/>
      <c r="B163" s="55">
        <v>5.0</v>
      </c>
      <c r="C163" s="50" t="s">
        <v>143</v>
      </c>
      <c r="D163" s="57"/>
      <c r="E163" s="19">
        <v>0.0</v>
      </c>
      <c r="F163" s="19">
        <v>0.0</v>
      </c>
      <c r="G163" s="19">
        <v>0.0</v>
      </c>
      <c r="H163" s="19">
        <v>0.0</v>
      </c>
      <c r="I163" s="19">
        <v>0.0</v>
      </c>
      <c r="J163" s="19">
        <v>0.0</v>
      </c>
      <c r="K163" s="19">
        <v>1.0</v>
      </c>
      <c r="L163" s="19">
        <v>0.0</v>
      </c>
      <c r="M163" s="19">
        <v>0.0</v>
      </c>
      <c r="N163" s="19">
        <v>0.0</v>
      </c>
      <c r="O163" s="19">
        <v>0.0</v>
      </c>
      <c r="P163" s="19">
        <v>0.0</v>
      </c>
      <c r="Q163" s="19">
        <v>0.0</v>
      </c>
      <c r="R163" s="19">
        <v>0.0</v>
      </c>
      <c r="S163" s="19">
        <v>0.0</v>
      </c>
      <c r="T163" s="19">
        <v>0.0</v>
      </c>
      <c r="U163" s="19">
        <v>0.0</v>
      </c>
      <c r="V163" s="19">
        <v>0.0</v>
      </c>
      <c r="W163" s="19">
        <v>0.0</v>
      </c>
      <c r="X163" s="19">
        <v>0.0</v>
      </c>
      <c r="Y163" s="19">
        <v>0.0</v>
      </c>
      <c r="Z163" s="19">
        <v>0.0</v>
      </c>
      <c r="AA163" s="19">
        <v>0.0</v>
      </c>
      <c r="AB163" s="19">
        <v>0.0</v>
      </c>
      <c r="AC163" s="19">
        <v>0.0</v>
      </c>
      <c r="AD163" s="19">
        <v>0.0</v>
      </c>
      <c r="AE163" s="19">
        <v>0.0</v>
      </c>
      <c r="AF163" s="19">
        <v>0.0</v>
      </c>
      <c r="AG163" s="19">
        <v>0.0</v>
      </c>
      <c r="AH163" s="19">
        <v>0.0</v>
      </c>
      <c r="AI163" s="19">
        <v>0.0</v>
      </c>
      <c r="AJ163" s="19">
        <v>0.0</v>
      </c>
      <c r="AK163" s="19">
        <v>0.0</v>
      </c>
      <c r="AL163" s="19">
        <v>0.0</v>
      </c>
      <c r="AM163" s="19">
        <v>0.0</v>
      </c>
      <c r="AN163" s="19">
        <v>0.0</v>
      </c>
      <c r="AO163" s="19">
        <v>0.0</v>
      </c>
      <c r="AP163" s="19">
        <v>0.0</v>
      </c>
      <c r="AQ163" s="19">
        <v>0.0</v>
      </c>
      <c r="AR163" s="19">
        <v>0.0</v>
      </c>
      <c r="AS163" s="19">
        <v>0.0</v>
      </c>
      <c r="AT163" s="19">
        <v>0.0</v>
      </c>
      <c r="AU163" s="19">
        <v>0.0</v>
      </c>
      <c r="AV163" s="13">
        <f t="shared" si="38"/>
        <v>1</v>
      </c>
    </row>
    <row r="164" ht="12.75" customHeight="1">
      <c r="A164" s="18"/>
      <c r="B164" s="55">
        <v>6.0</v>
      </c>
      <c r="C164" s="50" t="s">
        <v>144</v>
      </c>
      <c r="D164" s="57"/>
      <c r="E164" s="19">
        <v>0.0</v>
      </c>
      <c r="F164" s="19">
        <v>0.0</v>
      </c>
      <c r="G164" s="19">
        <v>0.0</v>
      </c>
      <c r="H164" s="19">
        <v>0.0</v>
      </c>
      <c r="I164" s="19">
        <v>0.0</v>
      </c>
      <c r="J164" s="19">
        <v>0.0</v>
      </c>
      <c r="K164" s="19">
        <v>0.0</v>
      </c>
      <c r="L164" s="19">
        <v>0.0</v>
      </c>
      <c r="M164" s="19">
        <v>0.0</v>
      </c>
      <c r="N164" s="19">
        <v>0.0</v>
      </c>
      <c r="O164" s="19">
        <v>0.0</v>
      </c>
      <c r="P164" s="19">
        <v>0.0</v>
      </c>
      <c r="Q164" s="19">
        <v>0.0</v>
      </c>
      <c r="R164" s="19">
        <v>0.0</v>
      </c>
      <c r="S164" s="19">
        <v>0.0</v>
      </c>
      <c r="T164" s="19">
        <v>0.0</v>
      </c>
      <c r="U164" s="19">
        <v>0.0</v>
      </c>
      <c r="V164" s="19">
        <v>0.0</v>
      </c>
      <c r="W164" s="19">
        <v>0.0</v>
      </c>
      <c r="X164" s="19">
        <v>0.0</v>
      </c>
      <c r="Y164" s="19">
        <v>0.0</v>
      </c>
      <c r="Z164" s="19">
        <v>0.0</v>
      </c>
      <c r="AA164" s="19">
        <v>0.0</v>
      </c>
      <c r="AB164" s="19">
        <v>0.0</v>
      </c>
      <c r="AC164" s="19">
        <v>0.0</v>
      </c>
      <c r="AD164" s="19">
        <v>0.0</v>
      </c>
      <c r="AE164" s="19">
        <v>0.0</v>
      </c>
      <c r="AF164" s="19">
        <v>0.0</v>
      </c>
      <c r="AG164" s="19">
        <v>0.0</v>
      </c>
      <c r="AH164" s="19">
        <v>0.0</v>
      </c>
      <c r="AI164" s="19">
        <v>0.0</v>
      </c>
      <c r="AJ164" s="19">
        <v>0.0</v>
      </c>
      <c r="AK164" s="19">
        <v>0.0</v>
      </c>
      <c r="AL164" s="19">
        <v>0.0</v>
      </c>
      <c r="AM164" s="19">
        <v>0.0</v>
      </c>
      <c r="AN164" s="19">
        <v>1.0</v>
      </c>
      <c r="AO164" s="19">
        <v>0.0</v>
      </c>
      <c r="AP164" s="19">
        <v>0.0</v>
      </c>
      <c r="AQ164" s="19">
        <v>0.0</v>
      </c>
      <c r="AR164" s="19">
        <v>0.0</v>
      </c>
      <c r="AS164" s="19">
        <v>0.0</v>
      </c>
      <c r="AT164" s="19">
        <v>0.0</v>
      </c>
      <c r="AU164" s="19">
        <v>0.0</v>
      </c>
      <c r="AV164" s="13">
        <f t="shared" si="38"/>
        <v>1</v>
      </c>
    </row>
    <row r="165" ht="12.75" customHeight="1">
      <c r="A165" s="18"/>
      <c r="B165" s="55">
        <v>7.0</v>
      </c>
      <c r="C165" s="50" t="s">
        <v>145</v>
      </c>
      <c r="D165" s="57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0.0</v>
      </c>
      <c r="AK165" s="19">
        <v>0.0</v>
      </c>
      <c r="AL165" s="19">
        <v>0.0</v>
      </c>
      <c r="AM165" s="19">
        <v>0.0</v>
      </c>
      <c r="AN165" s="19">
        <v>0.0</v>
      </c>
      <c r="AO165" s="19">
        <v>0.0</v>
      </c>
      <c r="AP165" s="19">
        <v>0.0</v>
      </c>
      <c r="AQ165" s="19">
        <v>0.0</v>
      </c>
      <c r="AR165" s="19">
        <v>0.0</v>
      </c>
      <c r="AS165" s="19">
        <v>0.0</v>
      </c>
      <c r="AT165" s="19">
        <v>0.0</v>
      </c>
      <c r="AU165" s="19">
        <v>0.0</v>
      </c>
      <c r="AV165" s="13">
        <f t="shared" si="38"/>
        <v>0</v>
      </c>
    </row>
    <row r="166" ht="12.75" customHeight="1">
      <c r="A166" s="19" t="s">
        <v>15</v>
      </c>
      <c r="B166" s="47" t="s">
        <v>47</v>
      </c>
      <c r="C166" s="15"/>
      <c r="D166" s="16"/>
      <c r="E166" s="13">
        <f t="shared" ref="E166:AV166" si="39">SUM(E158:E165)</f>
        <v>0</v>
      </c>
      <c r="F166" s="13">
        <f t="shared" si="39"/>
        <v>0</v>
      </c>
      <c r="G166" s="13">
        <f t="shared" si="39"/>
        <v>0</v>
      </c>
      <c r="H166" s="13">
        <f t="shared" si="39"/>
        <v>0</v>
      </c>
      <c r="I166" s="13">
        <f t="shared" si="39"/>
        <v>0</v>
      </c>
      <c r="J166" s="13">
        <f t="shared" si="39"/>
        <v>0</v>
      </c>
      <c r="K166" s="13">
        <f t="shared" si="39"/>
        <v>2</v>
      </c>
      <c r="L166" s="13">
        <f t="shared" si="39"/>
        <v>1</v>
      </c>
      <c r="M166" s="13">
        <f t="shared" si="39"/>
        <v>0</v>
      </c>
      <c r="N166" s="13">
        <f t="shared" si="39"/>
        <v>0</v>
      </c>
      <c r="O166" s="13">
        <f t="shared" si="39"/>
        <v>0</v>
      </c>
      <c r="P166" s="13">
        <f t="shared" si="39"/>
        <v>1</v>
      </c>
      <c r="Q166" s="13">
        <f t="shared" si="39"/>
        <v>0</v>
      </c>
      <c r="R166" s="13">
        <f t="shared" si="39"/>
        <v>0</v>
      </c>
      <c r="S166" s="13">
        <f t="shared" si="39"/>
        <v>0</v>
      </c>
      <c r="T166" s="13">
        <f t="shared" si="39"/>
        <v>0</v>
      </c>
      <c r="U166" s="13">
        <f t="shared" si="39"/>
        <v>0</v>
      </c>
      <c r="V166" s="13">
        <f t="shared" si="39"/>
        <v>1</v>
      </c>
      <c r="W166" s="13">
        <f t="shared" si="39"/>
        <v>0</v>
      </c>
      <c r="X166" s="13">
        <f t="shared" si="39"/>
        <v>2</v>
      </c>
      <c r="Y166" s="13">
        <f t="shared" si="39"/>
        <v>0</v>
      </c>
      <c r="Z166" s="13">
        <f t="shared" si="39"/>
        <v>1</v>
      </c>
      <c r="AA166" s="13">
        <f t="shared" si="39"/>
        <v>2</v>
      </c>
      <c r="AB166" s="13">
        <f t="shared" si="39"/>
        <v>1</v>
      </c>
      <c r="AC166" s="13">
        <f t="shared" si="39"/>
        <v>0</v>
      </c>
      <c r="AD166" s="13">
        <f t="shared" si="39"/>
        <v>0</v>
      </c>
      <c r="AE166" s="13">
        <f t="shared" si="39"/>
        <v>1</v>
      </c>
      <c r="AF166" s="13">
        <f t="shared" si="39"/>
        <v>1</v>
      </c>
      <c r="AG166" s="13">
        <f t="shared" si="39"/>
        <v>0</v>
      </c>
      <c r="AH166" s="13">
        <f t="shared" si="39"/>
        <v>1</v>
      </c>
      <c r="AI166" s="13">
        <f t="shared" si="39"/>
        <v>0</v>
      </c>
      <c r="AJ166" s="13">
        <f t="shared" si="39"/>
        <v>0</v>
      </c>
      <c r="AK166" s="13">
        <f t="shared" si="39"/>
        <v>0</v>
      </c>
      <c r="AL166" s="13">
        <f t="shared" si="39"/>
        <v>1</v>
      </c>
      <c r="AM166" s="13">
        <f t="shared" si="39"/>
        <v>0</v>
      </c>
      <c r="AN166" s="13">
        <f t="shared" si="39"/>
        <v>1</v>
      </c>
      <c r="AO166" s="13">
        <f t="shared" si="39"/>
        <v>2</v>
      </c>
      <c r="AP166" s="13">
        <f t="shared" si="39"/>
        <v>0</v>
      </c>
      <c r="AQ166" s="13">
        <f t="shared" si="39"/>
        <v>1</v>
      </c>
      <c r="AR166" s="13">
        <f t="shared" si="39"/>
        <v>0</v>
      </c>
      <c r="AS166" s="13">
        <f t="shared" si="39"/>
        <v>0</v>
      </c>
      <c r="AT166" s="13">
        <f t="shared" si="39"/>
        <v>0</v>
      </c>
      <c r="AU166" s="13">
        <f t="shared" si="39"/>
        <v>0</v>
      </c>
      <c r="AV166" s="13">
        <f t="shared" si="39"/>
        <v>19</v>
      </c>
    </row>
    <row r="167" ht="12.75" customHeight="1">
      <c r="A167" s="24"/>
      <c r="B167" s="15"/>
      <c r="C167" s="15"/>
      <c r="D167" s="15"/>
      <c r="E167" s="16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</row>
    <row r="168" ht="12.75" customHeight="1">
      <c r="A168" s="30" t="s">
        <v>37</v>
      </c>
      <c r="B168" s="47" t="s">
        <v>146</v>
      </c>
      <c r="C168" s="48" t="s">
        <v>147</v>
      </c>
      <c r="D168" s="16"/>
      <c r="E168" s="19">
        <v>1.0</v>
      </c>
      <c r="F168" s="19">
        <v>2.0</v>
      </c>
      <c r="G168" s="19">
        <v>1.0</v>
      </c>
      <c r="H168" s="19">
        <v>1.0</v>
      </c>
      <c r="I168" s="19">
        <v>2.0</v>
      </c>
      <c r="J168" s="19">
        <v>3.0</v>
      </c>
      <c r="K168" s="19">
        <v>1.0</v>
      </c>
      <c r="L168" s="19">
        <v>1.0</v>
      </c>
      <c r="M168" s="19">
        <v>3.0</v>
      </c>
      <c r="N168" s="19">
        <v>2.0</v>
      </c>
      <c r="O168" s="19">
        <v>7.0</v>
      </c>
      <c r="P168" s="19">
        <v>5.0</v>
      </c>
      <c r="Q168" s="19">
        <v>2.0</v>
      </c>
      <c r="R168" s="19">
        <v>3.0</v>
      </c>
      <c r="S168" s="19">
        <v>6.0</v>
      </c>
      <c r="T168" s="19">
        <v>10.0</v>
      </c>
      <c r="U168" s="19">
        <v>2.0</v>
      </c>
      <c r="V168" s="19">
        <v>2.0</v>
      </c>
      <c r="W168" s="19">
        <v>1.0</v>
      </c>
      <c r="X168" s="19">
        <v>3.0</v>
      </c>
      <c r="Y168" s="19">
        <v>5.0</v>
      </c>
      <c r="Z168" s="19">
        <v>2.0</v>
      </c>
      <c r="AA168" s="19">
        <v>2.0</v>
      </c>
      <c r="AB168" s="19">
        <v>6.0</v>
      </c>
      <c r="AC168" s="19">
        <v>4.0</v>
      </c>
      <c r="AD168" s="19">
        <v>3.0</v>
      </c>
      <c r="AE168" s="19">
        <v>2.0</v>
      </c>
      <c r="AF168" s="19">
        <v>2.0</v>
      </c>
      <c r="AG168" s="19">
        <v>3.0</v>
      </c>
      <c r="AH168" s="19">
        <v>7.0</v>
      </c>
      <c r="AI168" s="19">
        <v>2.0</v>
      </c>
      <c r="AJ168" s="19">
        <v>3.0</v>
      </c>
      <c r="AK168" s="19">
        <v>8.0</v>
      </c>
      <c r="AL168" s="19">
        <v>3.0</v>
      </c>
      <c r="AM168" s="19">
        <v>7.0</v>
      </c>
      <c r="AN168" s="19">
        <v>7.0</v>
      </c>
      <c r="AO168" s="19">
        <v>3.0</v>
      </c>
      <c r="AP168" s="19">
        <v>2.0</v>
      </c>
      <c r="AQ168" s="19">
        <v>4.0</v>
      </c>
      <c r="AR168" s="19">
        <v>5.0</v>
      </c>
      <c r="AS168" s="19">
        <v>2.0</v>
      </c>
      <c r="AT168" s="19">
        <v>7.0</v>
      </c>
      <c r="AU168" s="19">
        <v>2.0</v>
      </c>
      <c r="AV168" s="13">
        <f t="shared" ref="AV168:AV175" si="40">SUM(E168:AU168)</f>
        <v>149</v>
      </c>
    </row>
    <row r="169" ht="12.75" customHeight="1">
      <c r="A169" s="30" t="s">
        <v>39</v>
      </c>
      <c r="B169" s="55">
        <v>1.0</v>
      </c>
      <c r="C169" s="50" t="s">
        <v>148</v>
      </c>
      <c r="D169" s="57"/>
      <c r="E169" s="19">
        <v>1.0</v>
      </c>
      <c r="F169" s="19">
        <v>2.0</v>
      </c>
      <c r="G169" s="19">
        <v>2.0</v>
      </c>
      <c r="H169" s="19">
        <v>0.0</v>
      </c>
      <c r="I169" s="19">
        <v>5.0</v>
      </c>
      <c r="J169" s="19">
        <v>4.0</v>
      </c>
      <c r="K169" s="19">
        <v>3.0</v>
      </c>
      <c r="L169" s="19">
        <v>0.0</v>
      </c>
      <c r="M169" s="19">
        <v>4.0</v>
      </c>
      <c r="N169" s="19">
        <v>3.0</v>
      </c>
      <c r="O169" s="19">
        <v>5.0</v>
      </c>
      <c r="P169" s="19">
        <v>9.0</v>
      </c>
      <c r="Q169" s="19">
        <v>10.0</v>
      </c>
      <c r="R169" s="19">
        <v>4.0</v>
      </c>
      <c r="S169" s="19">
        <v>7.0</v>
      </c>
      <c r="T169" s="19">
        <v>7.0</v>
      </c>
      <c r="U169" s="19">
        <v>3.0</v>
      </c>
      <c r="V169" s="19">
        <v>1.0</v>
      </c>
      <c r="W169" s="19">
        <v>1.0</v>
      </c>
      <c r="X169" s="19">
        <v>3.0</v>
      </c>
      <c r="Y169" s="19">
        <v>7.0</v>
      </c>
      <c r="Z169" s="19">
        <v>2.0</v>
      </c>
      <c r="AA169" s="19">
        <v>2.0</v>
      </c>
      <c r="AB169" s="19">
        <v>1.0</v>
      </c>
      <c r="AC169" s="19">
        <v>3.0</v>
      </c>
      <c r="AD169" s="19">
        <v>2.0</v>
      </c>
      <c r="AE169" s="19">
        <v>2.0</v>
      </c>
      <c r="AF169" s="19">
        <v>1.0</v>
      </c>
      <c r="AG169" s="19">
        <v>4.0</v>
      </c>
      <c r="AH169" s="19">
        <v>3.0</v>
      </c>
      <c r="AI169" s="19">
        <v>0.0</v>
      </c>
      <c r="AJ169" s="19">
        <v>0.0</v>
      </c>
      <c r="AK169" s="19">
        <v>2.0</v>
      </c>
      <c r="AL169" s="19">
        <v>7.0</v>
      </c>
      <c r="AM169" s="19">
        <v>3.0</v>
      </c>
      <c r="AN169" s="19">
        <v>5.0</v>
      </c>
      <c r="AO169" s="19">
        <v>3.0</v>
      </c>
      <c r="AP169" s="19">
        <v>3.0</v>
      </c>
      <c r="AQ169" s="19">
        <v>3.0</v>
      </c>
      <c r="AR169" s="19">
        <v>5.0</v>
      </c>
      <c r="AS169" s="19">
        <v>6.0</v>
      </c>
      <c r="AT169" s="19">
        <v>4.0</v>
      </c>
      <c r="AU169" s="19">
        <v>7.0</v>
      </c>
      <c r="AV169" s="13">
        <f t="shared" si="40"/>
        <v>149</v>
      </c>
    </row>
    <row r="170" ht="12.75" customHeight="1">
      <c r="A170" s="18"/>
      <c r="B170" s="55">
        <v>2.0</v>
      </c>
      <c r="C170" s="50" t="s">
        <v>149</v>
      </c>
      <c r="D170" s="57"/>
      <c r="E170" s="19">
        <v>0.0</v>
      </c>
      <c r="F170" s="19">
        <v>1.0</v>
      </c>
      <c r="G170" s="19">
        <v>2.0</v>
      </c>
      <c r="H170" s="19">
        <v>0.0</v>
      </c>
      <c r="I170" s="19">
        <v>1.0</v>
      </c>
      <c r="J170" s="19">
        <v>1.0</v>
      </c>
      <c r="K170" s="19">
        <v>0.0</v>
      </c>
      <c r="L170" s="19">
        <v>2.0</v>
      </c>
      <c r="M170" s="19">
        <v>1.0</v>
      </c>
      <c r="N170" s="19">
        <v>1.0</v>
      </c>
      <c r="O170" s="19">
        <v>2.0</v>
      </c>
      <c r="P170" s="19">
        <v>1.0</v>
      </c>
      <c r="Q170" s="19">
        <v>5.0</v>
      </c>
      <c r="R170" s="19">
        <v>1.0</v>
      </c>
      <c r="S170" s="19">
        <v>6.0</v>
      </c>
      <c r="T170" s="19">
        <v>5.0</v>
      </c>
      <c r="U170" s="19">
        <v>3.0</v>
      </c>
      <c r="V170" s="19">
        <v>1.0</v>
      </c>
      <c r="W170" s="19">
        <v>0.0</v>
      </c>
      <c r="X170" s="19">
        <v>1.0</v>
      </c>
      <c r="Y170" s="19">
        <v>1.0</v>
      </c>
      <c r="Z170" s="19">
        <v>0.0</v>
      </c>
      <c r="AA170" s="19">
        <v>0.0</v>
      </c>
      <c r="AB170" s="19">
        <v>1.0</v>
      </c>
      <c r="AC170" s="19">
        <v>2.0</v>
      </c>
      <c r="AD170" s="19">
        <v>3.0</v>
      </c>
      <c r="AE170" s="19">
        <v>3.0</v>
      </c>
      <c r="AF170" s="19">
        <v>2.0</v>
      </c>
      <c r="AG170" s="19">
        <v>2.0</v>
      </c>
      <c r="AH170" s="19">
        <v>0.0</v>
      </c>
      <c r="AI170" s="19">
        <v>1.0</v>
      </c>
      <c r="AJ170" s="19">
        <v>2.0</v>
      </c>
      <c r="AK170" s="19">
        <v>1.0</v>
      </c>
      <c r="AL170" s="19">
        <v>3.0</v>
      </c>
      <c r="AM170" s="19">
        <v>5.0</v>
      </c>
      <c r="AN170" s="19">
        <v>1.0</v>
      </c>
      <c r="AO170" s="19">
        <v>1.0</v>
      </c>
      <c r="AP170" s="19">
        <v>3.0</v>
      </c>
      <c r="AQ170" s="19">
        <v>1.0</v>
      </c>
      <c r="AR170" s="19">
        <v>0.0</v>
      </c>
      <c r="AS170" s="19">
        <v>2.0</v>
      </c>
      <c r="AT170" s="19">
        <v>0.0</v>
      </c>
      <c r="AU170" s="19">
        <v>3.0</v>
      </c>
      <c r="AV170" s="13">
        <f t="shared" si="40"/>
        <v>71</v>
      </c>
    </row>
    <row r="171" ht="12.75" customHeight="1">
      <c r="A171" s="18"/>
      <c r="B171" s="55">
        <v>3.0</v>
      </c>
      <c r="C171" s="50" t="s">
        <v>150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1.0</v>
      </c>
      <c r="S171" s="19">
        <v>1.0</v>
      </c>
      <c r="T171" s="19">
        <v>0.0</v>
      </c>
      <c r="U171" s="19">
        <v>1.0</v>
      </c>
      <c r="V171" s="19">
        <v>1.0</v>
      </c>
      <c r="W171" s="19">
        <v>0.0</v>
      </c>
      <c r="X171" s="19">
        <v>0.0</v>
      </c>
      <c r="Y171" s="19">
        <v>0.0</v>
      </c>
      <c r="Z171" s="19">
        <v>1.0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1.0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1.0</v>
      </c>
      <c r="AN171" s="19">
        <v>0.0</v>
      </c>
      <c r="AO171" s="19">
        <v>0.0</v>
      </c>
      <c r="AP171" s="19">
        <v>0.0</v>
      </c>
      <c r="AQ171" s="19">
        <v>0.0</v>
      </c>
      <c r="AR171" s="19">
        <v>0.0</v>
      </c>
      <c r="AS171" s="19">
        <v>0.0</v>
      </c>
      <c r="AT171" s="19">
        <v>0.0</v>
      </c>
      <c r="AU171" s="19">
        <v>0.0</v>
      </c>
      <c r="AV171" s="13">
        <f t="shared" si="40"/>
        <v>7</v>
      </c>
    </row>
    <row r="172" ht="12.75" customHeight="1">
      <c r="A172" s="18"/>
      <c r="B172" s="55">
        <v>4.0</v>
      </c>
      <c r="C172" s="50" t="s">
        <v>151</v>
      </c>
      <c r="D172" s="57"/>
      <c r="E172" s="19">
        <v>0.0</v>
      </c>
      <c r="F172" s="19">
        <v>1.0</v>
      </c>
      <c r="G172" s="19">
        <v>2.0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1.0</v>
      </c>
      <c r="Q172" s="19">
        <v>4.0</v>
      </c>
      <c r="R172" s="19">
        <v>0.0</v>
      </c>
      <c r="S172" s="19">
        <v>1.0</v>
      </c>
      <c r="T172" s="19">
        <v>4.0</v>
      </c>
      <c r="U172" s="19">
        <v>3.0</v>
      </c>
      <c r="V172" s="19">
        <v>3.0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1.0</v>
      </c>
      <c r="AC172" s="19">
        <v>0.0</v>
      </c>
      <c r="AD172" s="19">
        <v>1.0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5.0</v>
      </c>
      <c r="AJ172" s="19">
        <v>3.0</v>
      </c>
      <c r="AK172" s="19">
        <v>1.0</v>
      </c>
      <c r="AL172" s="19">
        <v>1.0</v>
      </c>
      <c r="AM172" s="19">
        <v>1.0</v>
      </c>
      <c r="AN172" s="19">
        <v>5.0</v>
      </c>
      <c r="AO172" s="19">
        <v>0.0</v>
      </c>
      <c r="AP172" s="19">
        <v>1.0</v>
      </c>
      <c r="AQ172" s="19">
        <v>3.0</v>
      </c>
      <c r="AR172" s="19">
        <v>1.0</v>
      </c>
      <c r="AS172" s="19">
        <v>1.0</v>
      </c>
      <c r="AT172" s="19">
        <v>0.0</v>
      </c>
      <c r="AU172" s="19">
        <v>0.0</v>
      </c>
      <c r="AV172" s="13">
        <f t="shared" si="40"/>
        <v>43</v>
      </c>
    </row>
    <row r="173" ht="12.75" customHeight="1">
      <c r="A173" s="18"/>
      <c r="B173" s="55">
        <v>5.0</v>
      </c>
      <c r="C173" s="50" t="s">
        <v>152</v>
      </c>
      <c r="D173" s="57"/>
      <c r="E173" s="19">
        <v>0.0</v>
      </c>
      <c r="F173" s="19">
        <v>0.0</v>
      </c>
      <c r="G173" s="19">
        <v>0.0</v>
      </c>
      <c r="H173" s="19">
        <v>0.0</v>
      </c>
      <c r="I173" s="19">
        <v>1.0</v>
      </c>
      <c r="J173" s="19">
        <v>0.0</v>
      </c>
      <c r="K173" s="19">
        <v>0.0</v>
      </c>
      <c r="L173" s="19">
        <v>0.0</v>
      </c>
      <c r="M173" s="19">
        <v>1.0</v>
      </c>
      <c r="N173" s="19">
        <v>0.0</v>
      </c>
      <c r="O173" s="19">
        <v>0.0</v>
      </c>
      <c r="P173" s="19">
        <v>0.0</v>
      </c>
      <c r="Q173" s="19">
        <v>1.0</v>
      </c>
      <c r="R173" s="19">
        <v>0.0</v>
      </c>
      <c r="S173" s="19">
        <v>0.0</v>
      </c>
      <c r="T173" s="19">
        <v>0.0</v>
      </c>
      <c r="U173" s="19">
        <v>0.0</v>
      </c>
      <c r="V173" s="19">
        <v>0.0</v>
      </c>
      <c r="W173" s="19">
        <v>0.0</v>
      </c>
      <c r="X173" s="19">
        <v>0.0</v>
      </c>
      <c r="Y173" s="19">
        <v>0.0</v>
      </c>
      <c r="Z173" s="19">
        <v>0.0</v>
      </c>
      <c r="AA173" s="19">
        <v>1.0</v>
      </c>
      <c r="AB173" s="19">
        <v>1.0</v>
      </c>
      <c r="AC173" s="19">
        <v>2.0</v>
      </c>
      <c r="AD173" s="19">
        <v>0.0</v>
      </c>
      <c r="AE173" s="19">
        <v>0.0</v>
      </c>
      <c r="AF173" s="19">
        <v>1.0</v>
      </c>
      <c r="AG173" s="19">
        <v>0.0</v>
      </c>
      <c r="AH173" s="19">
        <v>0.0</v>
      </c>
      <c r="AI173" s="19">
        <v>1.0</v>
      </c>
      <c r="AJ173" s="19">
        <v>0.0</v>
      </c>
      <c r="AK173" s="19">
        <v>0.0</v>
      </c>
      <c r="AL173" s="19">
        <v>0.0</v>
      </c>
      <c r="AM173" s="19">
        <v>1.0</v>
      </c>
      <c r="AN173" s="19">
        <v>0.0</v>
      </c>
      <c r="AO173" s="19">
        <v>1.0</v>
      </c>
      <c r="AP173" s="19">
        <v>0.0</v>
      </c>
      <c r="AQ173" s="19">
        <v>1.0</v>
      </c>
      <c r="AR173" s="19">
        <v>0.0</v>
      </c>
      <c r="AS173" s="19">
        <v>0.0</v>
      </c>
      <c r="AT173" s="19">
        <v>2.0</v>
      </c>
      <c r="AU173" s="19">
        <v>0.0</v>
      </c>
      <c r="AV173" s="13">
        <f t="shared" si="40"/>
        <v>14</v>
      </c>
    </row>
    <row r="174" ht="12.75" customHeight="1">
      <c r="A174" s="18"/>
      <c r="B174" s="55">
        <v>6.0</v>
      </c>
      <c r="C174" s="50" t="s">
        <v>153</v>
      </c>
      <c r="D174" s="57"/>
      <c r="E174" s="19">
        <v>0.0</v>
      </c>
      <c r="F174" s="19">
        <v>0.0</v>
      </c>
      <c r="G174" s="19">
        <v>0.0</v>
      </c>
      <c r="H174" s="19">
        <v>0.0</v>
      </c>
      <c r="I174" s="19">
        <v>0.0</v>
      </c>
      <c r="J174" s="19">
        <v>4.0</v>
      </c>
      <c r="K174" s="19">
        <v>0.0</v>
      </c>
      <c r="L174" s="19">
        <v>0.0</v>
      </c>
      <c r="M174" s="19">
        <v>0.0</v>
      </c>
      <c r="N174" s="19">
        <v>0.0</v>
      </c>
      <c r="O174" s="19">
        <v>0.0</v>
      </c>
      <c r="P174" s="19">
        <v>0.0</v>
      </c>
      <c r="Q174" s="19">
        <v>1.0</v>
      </c>
      <c r="R174" s="19">
        <v>0.0</v>
      </c>
      <c r="S174" s="19">
        <v>1.0</v>
      </c>
      <c r="T174" s="19">
        <v>1.0</v>
      </c>
      <c r="U174" s="19">
        <v>4.0</v>
      </c>
      <c r="V174" s="19">
        <v>0.0</v>
      </c>
      <c r="W174" s="19">
        <v>0.0</v>
      </c>
      <c r="X174" s="19">
        <v>0.0</v>
      </c>
      <c r="Y174" s="19">
        <v>3.0</v>
      </c>
      <c r="Z174" s="19">
        <v>2.0</v>
      </c>
      <c r="AA174" s="19">
        <v>0.0</v>
      </c>
      <c r="AB174" s="19">
        <v>0.0</v>
      </c>
      <c r="AC174" s="19">
        <v>0.0</v>
      </c>
      <c r="AD174" s="19">
        <v>0.0</v>
      </c>
      <c r="AE174" s="19">
        <v>0.0</v>
      </c>
      <c r="AF174" s="19">
        <v>0.0</v>
      </c>
      <c r="AG174" s="19">
        <v>4.0</v>
      </c>
      <c r="AH174" s="19">
        <v>0.0</v>
      </c>
      <c r="AI174" s="19">
        <v>2.0</v>
      </c>
      <c r="AJ174" s="19">
        <v>0.0</v>
      </c>
      <c r="AK174" s="19">
        <v>0.0</v>
      </c>
      <c r="AL174" s="19">
        <v>0.0</v>
      </c>
      <c r="AM174" s="19">
        <v>1.0</v>
      </c>
      <c r="AN174" s="19">
        <v>0.0</v>
      </c>
      <c r="AO174" s="19">
        <v>1.0</v>
      </c>
      <c r="AP174" s="19">
        <v>0.0</v>
      </c>
      <c r="AQ174" s="19">
        <v>1.0</v>
      </c>
      <c r="AR174" s="19">
        <v>0.0</v>
      </c>
      <c r="AS174" s="19">
        <v>0.0</v>
      </c>
      <c r="AT174" s="19">
        <v>6.0</v>
      </c>
      <c r="AU174" s="19">
        <v>0.0</v>
      </c>
      <c r="AV174" s="13">
        <f t="shared" si="40"/>
        <v>31</v>
      </c>
    </row>
    <row r="175" ht="12.75" customHeight="1">
      <c r="A175" s="18"/>
      <c r="B175" s="55">
        <v>7.0</v>
      </c>
      <c r="C175" s="50" t="s">
        <v>154</v>
      </c>
      <c r="D175" s="57"/>
      <c r="E175" s="19">
        <v>0.0</v>
      </c>
      <c r="F175" s="19">
        <v>0.0</v>
      </c>
      <c r="G175" s="19">
        <v>0.0</v>
      </c>
      <c r="H175" s="19">
        <v>0.0</v>
      </c>
      <c r="I175" s="19">
        <v>0.0</v>
      </c>
      <c r="J175" s="19">
        <v>0.0</v>
      </c>
      <c r="K175" s="19">
        <v>0.0</v>
      </c>
      <c r="L175" s="19">
        <v>0.0</v>
      </c>
      <c r="M175" s="19">
        <v>0.0</v>
      </c>
      <c r="N175" s="19">
        <v>0.0</v>
      </c>
      <c r="O175" s="19">
        <v>2.0</v>
      </c>
      <c r="P175" s="19">
        <v>0.0</v>
      </c>
      <c r="Q175" s="19">
        <v>0.0</v>
      </c>
      <c r="R175" s="19">
        <v>1.0</v>
      </c>
      <c r="S175" s="19">
        <v>0.0</v>
      </c>
      <c r="T175" s="19">
        <v>1.0</v>
      </c>
      <c r="U175" s="19">
        <v>0.0</v>
      </c>
      <c r="V175" s="19">
        <v>0.0</v>
      </c>
      <c r="W175" s="19">
        <v>0.0</v>
      </c>
      <c r="X175" s="19">
        <v>0.0</v>
      </c>
      <c r="Y175" s="19">
        <v>1.0</v>
      </c>
      <c r="Z175" s="19">
        <v>0.0</v>
      </c>
      <c r="AA175" s="19">
        <v>1.0</v>
      </c>
      <c r="AB175" s="19">
        <v>1.0</v>
      </c>
      <c r="AC175" s="19">
        <v>0.0</v>
      </c>
      <c r="AD175" s="19">
        <v>0.0</v>
      </c>
      <c r="AE175" s="19">
        <v>0.0</v>
      </c>
      <c r="AF175" s="19">
        <v>0.0</v>
      </c>
      <c r="AG175" s="19">
        <v>1.0</v>
      </c>
      <c r="AH175" s="19">
        <v>0.0</v>
      </c>
      <c r="AI175" s="19">
        <v>0.0</v>
      </c>
      <c r="AJ175" s="19">
        <v>1.0</v>
      </c>
      <c r="AK175" s="19">
        <v>0.0</v>
      </c>
      <c r="AL175" s="19">
        <v>0.0</v>
      </c>
      <c r="AM175" s="19">
        <v>0.0</v>
      </c>
      <c r="AN175" s="19">
        <v>0.0</v>
      </c>
      <c r="AO175" s="19">
        <v>0.0</v>
      </c>
      <c r="AP175" s="19">
        <v>0.0</v>
      </c>
      <c r="AQ175" s="19">
        <v>0.0</v>
      </c>
      <c r="AR175" s="19">
        <v>0.0</v>
      </c>
      <c r="AS175" s="19">
        <v>0.0</v>
      </c>
      <c r="AT175" s="19">
        <v>0.0</v>
      </c>
      <c r="AU175" s="19">
        <v>0.0</v>
      </c>
      <c r="AV175" s="13">
        <f t="shared" si="40"/>
        <v>9</v>
      </c>
    </row>
    <row r="176" ht="12.75" customHeight="1">
      <c r="A176" s="19" t="s">
        <v>15</v>
      </c>
      <c r="B176" s="47" t="s">
        <v>47</v>
      </c>
      <c r="C176" s="15"/>
      <c r="D176" s="16"/>
      <c r="E176" s="13">
        <f t="shared" ref="E176:AV176" si="41">SUM(E168:E175)</f>
        <v>2</v>
      </c>
      <c r="F176" s="13">
        <f t="shared" si="41"/>
        <v>6</v>
      </c>
      <c r="G176" s="13">
        <f t="shared" si="41"/>
        <v>7</v>
      </c>
      <c r="H176" s="13">
        <f t="shared" si="41"/>
        <v>1</v>
      </c>
      <c r="I176" s="13">
        <f t="shared" si="41"/>
        <v>9</v>
      </c>
      <c r="J176" s="13">
        <f t="shared" si="41"/>
        <v>12</v>
      </c>
      <c r="K176" s="13">
        <f t="shared" si="41"/>
        <v>4</v>
      </c>
      <c r="L176" s="13">
        <f t="shared" si="41"/>
        <v>3</v>
      </c>
      <c r="M176" s="13">
        <f t="shared" si="41"/>
        <v>9</v>
      </c>
      <c r="N176" s="13">
        <f t="shared" si="41"/>
        <v>6</v>
      </c>
      <c r="O176" s="13">
        <f t="shared" si="41"/>
        <v>16</v>
      </c>
      <c r="P176" s="13">
        <f t="shared" si="41"/>
        <v>16</v>
      </c>
      <c r="Q176" s="13">
        <f t="shared" si="41"/>
        <v>23</v>
      </c>
      <c r="R176" s="13">
        <f t="shared" si="41"/>
        <v>10</v>
      </c>
      <c r="S176" s="13">
        <f t="shared" si="41"/>
        <v>22</v>
      </c>
      <c r="T176" s="13">
        <f t="shared" si="41"/>
        <v>28</v>
      </c>
      <c r="U176" s="13">
        <f t="shared" si="41"/>
        <v>16</v>
      </c>
      <c r="V176" s="13">
        <f t="shared" si="41"/>
        <v>8</v>
      </c>
      <c r="W176" s="13">
        <f t="shared" si="41"/>
        <v>2</v>
      </c>
      <c r="X176" s="13">
        <f t="shared" si="41"/>
        <v>7</v>
      </c>
      <c r="Y176" s="13">
        <f t="shared" si="41"/>
        <v>17</v>
      </c>
      <c r="Z176" s="13">
        <f t="shared" si="41"/>
        <v>7</v>
      </c>
      <c r="AA176" s="13">
        <f t="shared" si="41"/>
        <v>6</v>
      </c>
      <c r="AB176" s="13">
        <f t="shared" si="41"/>
        <v>11</v>
      </c>
      <c r="AC176" s="13">
        <f t="shared" si="41"/>
        <v>11</v>
      </c>
      <c r="AD176" s="13">
        <f t="shared" si="41"/>
        <v>9</v>
      </c>
      <c r="AE176" s="13">
        <f t="shared" si="41"/>
        <v>7</v>
      </c>
      <c r="AF176" s="13">
        <f t="shared" si="41"/>
        <v>6</v>
      </c>
      <c r="AG176" s="13">
        <f t="shared" si="41"/>
        <v>15</v>
      </c>
      <c r="AH176" s="13">
        <f t="shared" si="41"/>
        <v>10</v>
      </c>
      <c r="AI176" s="13">
        <f t="shared" si="41"/>
        <v>11</v>
      </c>
      <c r="AJ176" s="13">
        <f t="shared" si="41"/>
        <v>9</v>
      </c>
      <c r="AK176" s="13">
        <f t="shared" si="41"/>
        <v>12</v>
      </c>
      <c r="AL176" s="13">
        <f t="shared" si="41"/>
        <v>14</v>
      </c>
      <c r="AM176" s="13">
        <f t="shared" si="41"/>
        <v>19</v>
      </c>
      <c r="AN176" s="13">
        <f t="shared" si="41"/>
        <v>18</v>
      </c>
      <c r="AO176" s="13">
        <f t="shared" si="41"/>
        <v>9</v>
      </c>
      <c r="AP176" s="13">
        <f t="shared" si="41"/>
        <v>9</v>
      </c>
      <c r="AQ176" s="13">
        <f t="shared" si="41"/>
        <v>13</v>
      </c>
      <c r="AR176" s="13">
        <f t="shared" si="41"/>
        <v>11</v>
      </c>
      <c r="AS176" s="13">
        <f t="shared" si="41"/>
        <v>11</v>
      </c>
      <c r="AT176" s="13">
        <f t="shared" si="41"/>
        <v>19</v>
      </c>
      <c r="AU176" s="13">
        <f t="shared" si="41"/>
        <v>12</v>
      </c>
      <c r="AV176" s="13">
        <f t="shared" si="41"/>
        <v>473</v>
      </c>
    </row>
    <row r="177" ht="12.75" customHeight="1">
      <c r="A177" s="24"/>
      <c r="B177" s="15"/>
      <c r="C177" s="15"/>
      <c r="D177" s="15"/>
      <c r="E177" s="16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</row>
    <row r="178" ht="12.75" customHeight="1">
      <c r="A178" s="30" t="s">
        <v>37</v>
      </c>
      <c r="B178" s="47" t="s">
        <v>155</v>
      </c>
      <c r="C178" s="48" t="s">
        <v>156</v>
      </c>
      <c r="D178" s="16"/>
      <c r="E178" s="19">
        <v>1.0</v>
      </c>
      <c r="F178" s="19">
        <v>1.0</v>
      </c>
      <c r="G178" s="19">
        <v>5.0</v>
      </c>
      <c r="H178" s="19">
        <v>0.0</v>
      </c>
      <c r="I178" s="19">
        <v>4.0</v>
      </c>
      <c r="J178" s="19">
        <v>9.0</v>
      </c>
      <c r="K178" s="19">
        <v>0.0</v>
      </c>
      <c r="L178" s="19">
        <v>1.0</v>
      </c>
      <c r="M178" s="19">
        <v>1.0</v>
      </c>
      <c r="N178" s="19">
        <v>4.0</v>
      </c>
      <c r="O178" s="19">
        <v>6.0</v>
      </c>
      <c r="P178" s="19">
        <v>2.0</v>
      </c>
      <c r="Q178" s="19">
        <v>4.0</v>
      </c>
      <c r="R178" s="19">
        <v>4.0</v>
      </c>
      <c r="S178" s="19">
        <v>5.0</v>
      </c>
      <c r="T178" s="19">
        <v>3.0</v>
      </c>
      <c r="U178" s="19">
        <v>4.0</v>
      </c>
      <c r="V178" s="19">
        <v>6.0</v>
      </c>
      <c r="W178" s="19">
        <v>1.0</v>
      </c>
      <c r="X178" s="19">
        <v>0.0</v>
      </c>
      <c r="Y178" s="19">
        <v>1.0</v>
      </c>
      <c r="Z178" s="19">
        <v>1.0</v>
      </c>
      <c r="AA178" s="19">
        <v>0.0</v>
      </c>
      <c r="AB178" s="19">
        <v>4.0</v>
      </c>
      <c r="AC178" s="19">
        <v>1.0</v>
      </c>
      <c r="AD178" s="19">
        <v>9.0</v>
      </c>
      <c r="AE178" s="19">
        <v>0.0</v>
      </c>
      <c r="AF178" s="19">
        <v>2.0</v>
      </c>
      <c r="AG178" s="19">
        <v>2.0</v>
      </c>
      <c r="AH178" s="19">
        <v>1.0</v>
      </c>
      <c r="AI178" s="19">
        <v>4.0</v>
      </c>
      <c r="AJ178" s="19">
        <v>1.0</v>
      </c>
      <c r="AK178" s="19">
        <v>1.0</v>
      </c>
      <c r="AL178" s="19">
        <v>2.0</v>
      </c>
      <c r="AM178" s="19">
        <v>5.0</v>
      </c>
      <c r="AN178" s="19">
        <v>2.0</v>
      </c>
      <c r="AO178" s="19">
        <v>2.0</v>
      </c>
      <c r="AP178" s="19">
        <v>5.0</v>
      </c>
      <c r="AQ178" s="19">
        <v>2.0</v>
      </c>
      <c r="AR178" s="19">
        <v>3.0</v>
      </c>
      <c r="AS178" s="19">
        <v>5.0</v>
      </c>
      <c r="AT178" s="19">
        <v>2.0</v>
      </c>
      <c r="AU178" s="19">
        <v>4.0</v>
      </c>
      <c r="AV178" s="13">
        <f t="shared" ref="AV178:AV185" si="42">SUM(E178:AU178)</f>
        <v>120</v>
      </c>
    </row>
    <row r="179" ht="12.75" customHeight="1">
      <c r="A179" s="30" t="s">
        <v>39</v>
      </c>
      <c r="B179" s="55">
        <v>1.0</v>
      </c>
      <c r="C179" s="50" t="s">
        <v>157</v>
      </c>
      <c r="D179" s="56"/>
      <c r="E179" s="19">
        <v>2.0</v>
      </c>
      <c r="F179" s="19">
        <v>0.0</v>
      </c>
      <c r="G179" s="19">
        <v>3.0</v>
      </c>
      <c r="H179" s="19">
        <v>0.0</v>
      </c>
      <c r="I179" s="19">
        <v>5.0</v>
      </c>
      <c r="J179" s="19">
        <v>4.0</v>
      </c>
      <c r="K179" s="19">
        <v>4.0</v>
      </c>
      <c r="L179" s="19">
        <v>2.0</v>
      </c>
      <c r="M179" s="19">
        <v>2.0</v>
      </c>
      <c r="N179" s="19">
        <v>2.0</v>
      </c>
      <c r="O179" s="19">
        <v>1.0</v>
      </c>
      <c r="P179" s="19">
        <v>1.0</v>
      </c>
      <c r="Q179" s="19">
        <v>1.0</v>
      </c>
      <c r="R179" s="19">
        <v>6.0</v>
      </c>
      <c r="S179" s="19">
        <v>1.0</v>
      </c>
      <c r="T179" s="19">
        <v>4.0</v>
      </c>
      <c r="U179" s="19">
        <v>1.0</v>
      </c>
      <c r="V179" s="19">
        <v>1.0</v>
      </c>
      <c r="W179" s="19">
        <v>3.0</v>
      </c>
      <c r="X179" s="19">
        <v>0.0</v>
      </c>
      <c r="Y179" s="19">
        <v>1.0</v>
      </c>
      <c r="Z179" s="19">
        <v>1.0</v>
      </c>
      <c r="AA179" s="19">
        <v>0.0</v>
      </c>
      <c r="AB179" s="19">
        <v>4.0</v>
      </c>
      <c r="AC179" s="19">
        <v>1.0</v>
      </c>
      <c r="AD179" s="19">
        <v>0.0</v>
      </c>
      <c r="AE179" s="19">
        <v>2.0</v>
      </c>
      <c r="AF179" s="19">
        <v>2.0</v>
      </c>
      <c r="AG179" s="19">
        <v>5.0</v>
      </c>
      <c r="AH179" s="19">
        <v>2.0</v>
      </c>
      <c r="AI179" s="19">
        <v>0.0</v>
      </c>
      <c r="AJ179" s="19">
        <v>2.0</v>
      </c>
      <c r="AK179" s="19">
        <v>3.0</v>
      </c>
      <c r="AL179" s="19">
        <v>3.0</v>
      </c>
      <c r="AM179" s="19">
        <v>4.0</v>
      </c>
      <c r="AN179" s="19">
        <v>2.0</v>
      </c>
      <c r="AO179" s="19">
        <v>4.0</v>
      </c>
      <c r="AP179" s="19">
        <v>1.0</v>
      </c>
      <c r="AQ179" s="19">
        <v>0.0</v>
      </c>
      <c r="AR179" s="19">
        <v>4.0</v>
      </c>
      <c r="AS179" s="19">
        <v>2.0</v>
      </c>
      <c r="AT179" s="19">
        <v>2.0</v>
      </c>
      <c r="AU179" s="19">
        <v>1.0</v>
      </c>
      <c r="AV179" s="13">
        <f t="shared" si="42"/>
        <v>89</v>
      </c>
    </row>
    <row r="180" ht="12.75" customHeight="1">
      <c r="A180" s="18"/>
      <c r="B180" s="55">
        <v>2.0</v>
      </c>
      <c r="C180" s="50" t="s">
        <v>158</v>
      </c>
      <c r="D180" s="56"/>
      <c r="E180" s="19">
        <v>0.0</v>
      </c>
      <c r="F180" s="19">
        <v>0.0</v>
      </c>
      <c r="G180" s="19">
        <v>0.0</v>
      </c>
      <c r="H180" s="19">
        <v>2.0</v>
      </c>
      <c r="I180" s="19">
        <v>2.0</v>
      </c>
      <c r="J180" s="19">
        <v>1.0</v>
      </c>
      <c r="K180" s="19">
        <v>2.0</v>
      </c>
      <c r="L180" s="19">
        <v>1.0</v>
      </c>
      <c r="M180" s="19">
        <v>0.0</v>
      </c>
      <c r="N180" s="19">
        <v>0.0</v>
      </c>
      <c r="O180" s="19">
        <v>1.0</v>
      </c>
      <c r="P180" s="19">
        <v>1.0</v>
      </c>
      <c r="Q180" s="19">
        <v>1.0</v>
      </c>
      <c r="R180" s="19">
        <v>1.0</v>
      </c>
      <c r="S180" s="19">
        <v>4.0</v>
      </c>
      <c r="T180" s="19">
        <v>0.0</v>
      </c>
      <c r="U180" s="19">
        <v>1.0</v>
      </c>
      <c r="V180" s="19">
        <v>1.0</v>
      </c>
      <c r="W180" s="19">
        <v>1.0</v>
      </c>
      <c r="X180" s="19">
        <v>0.0</v>
      </c>
      <c r="Y180" s="19">
        <v>2.0</v>
      </c>
      <c r="Z180" s="19">
        <v>0.0</v>
      </c>
      <c r="AA180" s="19">
        <v>2.0</v>
      </c>
      <c r="AB180" s="19">
        <v>0.0</v>
      </c>
      <c r="AC180" s="19">
        <v>2.0</v>
      </c>
      <c r="AD180" s="19">
        <v>1.0</v>
      </c>
      <c r="AE180" s="19">
        <v>3.0</v>
      </c>
      <c r="AF180" s="19">
        <v>0.0</v>
      </c>
      <c r="AG180" s="19">
        <v>1.0</v>
      </c>
      <c r="AH180" s="19">
        <v>1.0</v>
      </c>
      <c r="AI180" s="19">
        <v>1.0</v>
      </c>
      <c r="AJ180" s="19">
        <v>2.0</v>
      </c>
      <c r="AK180" s="19">
        <v>1.0</v>
      </c>
      <c r="AL180" s="19">
        <v>0.0</v>
      </c>
      <c r="AM180" s="19">
        <v>1.0</v>
      </c>
      <c r="AN180" s="19">
        <v>0.0</v>
      </c>
      <c r="AO180" s="19">
        <v>3.0</v>
      </c>
      <c r="AP180" s="19">
        <v>0.0</v>
      </c>
      <c r="AQ180" s="19">
        <v>1.0</v>
      </c>
      <c r="AR180" s="19">
        <v>3.0</v>
      </c>
      <c r="AS180" s="19">
        <v>4.0</v>
      </c>
      <c r="AT180" s="19">
        <v>0.0</v>
      </c>
      <c r="AU180" s="19">
        <v>2.0</v>
      </c>
      <c r="AV180" s="13">
        <f t="shared" si="42"/>
        <v>49</v>
      </c>
    </row>
    <row r="181" ht="12.75" customHeight="1">
      <c r="A181" s="18"/>
      <c r="B181" s="55">
        <v>3.0</v>
      </c>
      <c r="C181" s="63" t="s">
        <v>159</v>
      </c>
      <c r="E181" s="19">
        <v>0.0</v>
      </c>
      <c r="F181" s="19">
        <v>0.0</v>
      </c>
      <c r="G181" s="19">
        <v>0.0</v>
      </c>
      <c r="H181" s="19">
        <v>0.0</v>
      </c>
      <c r="I181" s="19">
        <v>1.0</v>
      </c>
      <c r="J181" s="19">
        <v>0.0</v>
      </c>
      <c r="K181" s="19">
        <v>0.0</v>
      </c>
      <c r="L181" s="19">
        <v>0.0</v>
      </c>
      <c r="M181" s="19">
        <v>0.0</v>
      </c>
      <c r="N181" s="19">
        <v>1.0</v>
      </c>
      <c r="O181" s="19">
        <v>0.0</v>
      </c>
      <c r="P181" s="19">
        <v>1.0</v>
      </c>
      <c r="Q181" s="19">
        <v>1.0</v>
      </c>
      <c r="R181" s="19">
        <v>2.0</v>
      </c>
      <c r="S181" s="19">
        <v>0.0</v>
      </c>
      <c r="T181" s="19">
        <v>1.0</v>
      </c>
      <c r="U181" s="19">
        <v>1.0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1.0</v>
      </c>
      <c r="AB181" s="19">
        <v>0.0</v>
      </c>
      <c r="AC181" s="19">
        <v>0.0</v>
      </c>
      <c r="AD181" s="19">
        <v>1.0</v>
      </c>
      <c r="AE181" s="19">
        <v>0.0</v>
      </c>
      <c r="AF181" s="19">
        <v>0.0</v>
      </c>
      <c r="AG181" s="19">
        <v>0.0</v>
      </c>
      <c r="AH181" s="19">
        <v>0.0</v>
      </c>
      <c r="AI181" s="19">
        <v>0.0</v>
      </c>
      <c r="AJ181" s="19">
        <v>1.0</v>
      </c>
      <c r="AK181" s="19">
        <v>0.0</v>
      </c>
      <c r="AL181" s="19">
        <v>0.0</v>
      </c>
      <c r="AM181" s="19">
        <v>1.0</v>
      </c>
      <c r="AN181" s="19">
        <v>1.0</v>
      </c>
      <c r="AO181" s="19">
        <v>0.0</v>
      </c>
      <c r="AP181" s="19">
        <v>2.0</v>
      </c>
      <c r="AQ181" s="19">
        <v>0.0</v>
      </c>
      <c r="AR181" s="19">
        <v>0.0</v>
      </c>
      <c r="AS181" s="19">
        <v>0.0</v>
      </c>
      <c r="AT181" s="19">
        <v>0.0</v>
      </c>
      <c r="AU181" s="19">
        <v>0.0</v>
      </c>
      <c r="AV181" s="13">
        <f t="shared" si="42"/>
        <v>15</v>
      </c>
    </row>
    <row r="182" ht="12.75" customHeight="1">
      <c r="A182" s="18"/>
      <c r="B182" s="55">
        <v>4.0</v>
      </c>
      <c r="C182" s="50" t="s">
        <v>160</v>
      </c>
      <c r="D182" s="56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1.0</v>
      </c>
      <c r="U182" s="19">
        <v>1.0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1.0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1.0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0.0</v>
      </c>
      <c r="AO182" s="19">
        <v>0.0</v>
      </c>
      <c r="AP182" s="19">
        <v>0.0</v>
      </c>
      <c r="AQ182" s="19">
        <v>0.0</v>
      </c>
      <c r="AR182" s="19">
        <v>0.0</v>
      </c>
      <c r="AS182" s="19">
        <v>0.0</v>
      </c>
      <c r="AT182" s="19">
        <v>0.0</v>
      </c>
      <c r="AU182" s="19">
        <v>0.0</v>
      </c>
      <c r="AV182" s="13">
        <f t="shared" si="42"/>
        <v>4</v>
      </c>
    </row>
    <row r="183" ht="12.75" customHeight="1">
      <c r="A183" s="18"/>
      <c r="B183" s="55">
        <v>5.0</v>
      </c>
      <c r="C183" s="50" t="s">
        <v>161</v>
      </c>
      <c r="D183" s="56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1.0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1.0</v>
      </c>
      <c r="W183" s="19">
        <v>0.0</v>
      </c>
      <c r="X183" s="19">
        <v>3.0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1.0</v>
      </c>
      <c r="AG183" s="19">
        <v>0.0</v>
      </c>
      <c r="AH183" s="19">
        <v>0.0</v>
      </c>
      <c r="AI183" s="19">
        <v>1.0</v>
      </c>
      <c r="AJ183" s="19">
        <v>0.0</v>
      </c>
      <c r="AK183" s="19">
        <v>0.0</v>
      </c>
      <c r="AL183" s="19">
        <v>1.0</v>
      </c>
      <c r="AM183" s="19">
        <v>0.0</v>
      </c>
      <c r="AN183" s="19">
        <v>0.0</v>
      </c>
      <c r="AO183" s="19">
        <v>0.0</v>
      </c>
      <c r="AP183" s="19">
        <v>0.0</v>
      </c>
      <c r="AQ183" s="19">
        <v>0.0</v>
      </c>
      <c r="AR183" s="19">
        <v>0.0</v>
      </c>
      <c r="AS183" s="19">
        <v>0.0</v>
      </c>
      <c r="AT183" s="19">
        <v>0.0</v>
      </c>
      <c r="AU183" s="19">
        <v>0.0</v>
      </c>
      <c r="AV183" s="13">
        <f t="shared" si="42"/>
        <v>8</v>
      </c>
    </row>
    <row r="184" ht="12.75" customHeight="1">
      <c r="A184" s="18"/>
      <c r="B184" s="55">
        <v>6.0</v>
      </c>
      <c r="C184" s="50" t="s">
        <v>162</v>
      </c>
      <c r="D184" s="56"/>
      <c r="E184" s="19">
        <v>1.0</v>
      </c>
      <c r="F184" s="19">
        <v>0.0</v>
      </c>
      <c r="G184" s="19">
        <v>0.0</v>
      </c>
      <c r="H184" s="19">
        <v>1.0</v>
      </c>
      <c r="I184" s="19">
        <v>1.0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1.0</v>
      </c>
      <c r="R184" s="19">
        <v>1.0</v>
      </c>
      <c r="S184" s="19">
        <v>0.0</v>
      </c>
      <c r="T184" s="19">
        <v>1.0</v>
      </c>
      <c r="U184" s="19">
        <v>0.0</v>
      </c>
      <c r="V184" s="19">
        <v>0.0</v>
      </c>
      <c r="W184" s="19">
        <v>0.0</v>
      </c>
      <c r="X184" s="19">
        <v>0.0</v>
      </c>
      <c r="Y184" s="19">
        <v>1.0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1.0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9">
        <v>0.0</v>
      </c>
      <c r="AN184" s="19">
        <v>0.0</v>
      </c>
      <c r="AO184" s="19">
        <v>0.0</v>
      </c>
      <c r="AP184" s="19">
        <v>0.0</v>
      </c>
      <c r="AQ184" s="19">
        <v>0.0</v>
      </c>
      <c r="AR184" s="19">
        <v>0.0</v>
      </c>
      <c r="AS184" s="19">
        <v>0.0</v>
      </c>
      <c r="AT184" s="19">
        <v>0.0</v>
      </c>
      <c r="AU184" s="19">
        <v>0.0</v>
      </c>
      <c r="AV184" s="13">
        <f t="shared" si="42"/>
        <v>8</v>
      </c>
    </row>
    <row r="185" ht="12.75" customHeight="1">
      <c r="A185" s="18"/>
      <c r="B185" s="55">
        <v>7.0</v>
      </c>
      <c r="C185" s="50" t="s">
        <v>163</v>
      </c>
      <c r="D185" s="56"/>
      <c r="E185" s="19">
        <v>2.0</v>
      </c>
      <c r="F185" s="19">
        <v>0.0</v>
      </c>
      <c r="G185" s="19">
        <v>0.0</v>
      </c>
      <c r="H185" s="19">
        <v>1.0</v>
      </c>
      <c r="I185" s="19">
        <v>0.0</v>
      </c>
      <c r="J185" s="19">
        <v>0.0</v>
      </c>
      <c r="K185" s="19">
        <v>0.0</v>
      </c>
      <c r="L185" s="19">
        <v>0.0</v>
      </c>
      <c r="M185" s="19">
        <v>0.0</v>
      </c>
      <c r="N185" s="19">
        <v>0.0</v>
      </c>
      <c r="O185" s="19">
        <v>3.0</v>
      </c>
      <c r="P185" s="19">
        <v>0.0</v>
      </c>
      <c r="Q185" s="19">
        <v>1.0</v>
      </c>
      <c r="R185" s="19">
        <v>1.0</v>
      </c>
      <c r="S185" s="19">
        <v>0.0</v>
      </c>
      <c r="T185" s="19">
        <v>0.0</v>
      </c>
      <c r="U185" s="19">
        <v>0.0</v>
      </c>
      <c r="V185" s="19">
        <v>2.0</v>
      </c>
      <c r="W185" s="19">
        <v>0.0</v>
      </c>
      <c r="X185" s="19">
        <v>0.0</v>
      </c>
      <c r="Y185" s="19">
        <v>0.0</v>
      </c>
      <c r="Z185" s="19">
        <v>0.0</v>
      </c>
      <c r="AA185" s="19">
        <v>0.0</v>
      </c>
      <c r="AB185" s="19">
        <v>0.0</v>
      </c>
      <c r="AC185" s="19">
        <v>0.0</v>
      </c>
      <c r="AD185" s="19">
        <v>1.0</v>
      </c>
      <c r="AE185" s="19">
        <v>1.0</v>
      </c>
      <c r="AF185" s="19">
        <v>0.0</v>
      </c>
      <c r="AG185" s="19">
        <v>0.0</v>
      </c>
      <c r="AH185" s="19">
        <v>1.0</v>
      </c>
      <c r="AI185" s="19">
        <v>0.0</v>
      </c>
      <c r="AJ185" s="19">
        <v>0.0</v>
      </c>
      <c r="AK185" s="19">
        <v>1.0</v>
      </c>
      <c r="AL185" s="19">
        <v>0.0</v>
      </c>
      <c r="AM185" s="19">
        <v>1.0</v>
      </c>
      <c r="AN185" s="19">
        <v>0.0</v>
      </c>
      <c r="AO185" s="19">
        <v>0.0</v>
      </c>
      <c r="AP185" s="19">
        <v>1.0</v>
      </c>
      <c r="AQ185" s="19">
        <v>0.0</v>
      </c>
      <c r="AR185" s="19">
        <v>1.0</v>
      </c>
      <c r="AS185" s="19">
        <v>0.0</v>
      </c>
      <c r="AT185" s="19">
        <v>0.0</v>
      </c>
      <c r="AU185" s="19">
        <v>0.0</v>
      </c>
      <c r="AV185" s="13">
        <f t="shared" si="42"/>
        <v>17</v>
      </c>
    </row>
    <row r="186" ht="12.75" customHeight="1">
      <c r="A186" s="19" t="s">
        <v>15</v>
      </c>
      <c r="B186" s="47" t="s">
        <v>47</v>
      </c>
      <c r="C186" s="15"/>
      <c r="D186" s="16"/>
      <c r="E186" s="13">
        <f t="shared" ref="E186:AV186" si="43">SUM(E178:E185)</f>
        <v>6</v>
      </c>
      <c r="F186" s="13">
        <f t="shared" si="43"/>
        <v>1</v>
      </c>
      <c r="G186" s="13">
        <f t="shared" si="43"/>
        <v>8</v>
      </c>
      <c r="H186" s="13">
        <f t="shared" si="43"/>
        <v>4</v>
      </c>
      <c r="I186" s="13">
        <f t="shared" si="43"/>
        <v>13</v>
      </c>
      <c r="J186" s="13">
        <f t="shared" si="43"/>
        <v>14</v>
      </c>
      <c r="K186" s="13">
        <f t="shared" si="43"/>
        <v>6</v>
      </c>
      <c r="L186" s="13">
        <f t="shared" si="43"/>
        <v>4</v>
      </c>
      <c r="M186" s="13">
        <f t="shared" si="43"/>
        <v>3</v>
      </c>
      <c r="N186" s="13">
        <f t="shared" si="43"/>
        <v>8</v>
      </c>
      <c r="O186" s="13">
        <f t="shared" si="43"/>
        <v>11</v>
      </c>
      <c r="P186" s="13">
        <f t="shared" si="43"/>
        <v>5</v>
      </c>
      <c r="Q186" s="13">
        <f t="shared" si="43"/>
        <v>9</v>
      </c>
      <c r="R186" s="13">
        <f t="shared" si="43"/>
        <v>15</v>
      </c>
      <c r="S186" s="13">
        <f t="shared" si="43"/>
        <v>10</v>
      </c>
      <c r="T186" s="13">
        <f t="shared" si="43"/>
        <v>10</v>
      </c>
      <c r="U186" s="13">
        <f t="shared" si="43"/>
        <v>8</v>
      </c>
      <c r="V186" s="13">
        <f t="shared" si="43"/>
        <v>11</v>
      </c>
      <c r="W186" s="13">
        <f t="shared" si="43"/>
        <v>5</v>
      </c>
      <c r="X186" s="13">
        <f t="shared" si="43"/>
        <v>3</v>
      </c>
      <c r="Y186" s="13">
        <f t="shared" si="43"/>
        <v>5</v>
      </c>
      <c r="Z186" s="13">
        <f t="shared" si="43"/>
        <v>2</v>
      </c>
      <c r="AA186" s="13">
        <f t="shared" si="43"/>
        <v>3</v>
      </c>
      <c r="AB186" s="13">
        <f t="shared" si="43"/>
        <v>9</v>
      </c>
      <c r="AC186" s="13">
        <f t="shared" si="43"/>
        <v>4</v>
      </c>
      <c r="AD186" s="13">
        <f t="shared" si="43"/>
        <v>12</v>
      </c>
      <c r="AE186" s="13">
        <f t="shared" si="43"/>
        <v>6</v>
      </c>
      <c r="AF186" s="13">
        <f t="shared" si="43"/>
        <v>5</v>
      </c>
      <c r="AG186" s="13">
        <f t="shared" si="43"/>
        <v>10</v>
      </c>
      <c r="AH186" s="13">
        <f t="shared" si="43"/>
        <v>5</v>
      </c>
      <c r="AI186" s="13">
        <f t="shared" si="43"/>
        <v>6</v>
      </c>
      <c r="AJ186" s="13">
        <f t="shared" si="43"/>
        <v>6</v>
      </c>
      <c r="AK186" s="13">
        <f t="shared" si="43"/>
        <v>6</v>
      </c>
      <c r="AL186" s="13">
        <f t="shared" si="43"/>
        <v>6</v>
      </c>
      <c r="AM186" s="13">
        <f t="shared" si="43"/>
        <v>12</v>
      </c>
      <c r="AN186" s="13">
        <f t="shared" si="43"/>
        <v>5</v>
      </c>
      <c r="AO186" s="13">
        <f t="shared" si="43"/>
        <v>9</v>
      </c>
      <c r="AP186" s="13">
        <f t="shared" si="43"/>
        <v>9</v>
      </c>
      <c r="AQ186" s="13">
        <f t="shared" si="43"/>
        <v>3</v>
      </c>
      <c r="AR186" s="13">
        <f t="shared" si="43"/>
        <v>11</v>
      </c>
      <c r="AS186" s="13">
        <f t="shared" si="43"/>
        <v>11</v>
      </c>
      <c r="AT186" s="13">
        <f t="shared" si="43"/>
        <v>4</v>
      </c>
      <c r="AU186" s="13">
        <f t="shared" si="43"/>
        <v>7</v>
      </c>
      <c r="AV186" s="13">
        <f t="shared" si="43"/>
        <v>310</v>
      </c>
    </row>
    <row r="187" ht="12.75" customHeight="1">
      <c r="A187" s="24"/>
      <c r="B187" s="15"/>
      <c r="C187" s="15"/>
      <c r="D187" s="15"/>
      <c r="E187" s="16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</row>
    <row r="188" ht="12.75" customHeight="1">
      <c r="A188" s="30" t="s">
        <v>37</v>
      </c>
      <c r="B188" s="47" t="s">
        <v>164</v>
      </c>
      <c r="C188" s="48" t="s">
        <v>165</v>
      </c>
      <c r="D188" s="16"/>
      <c r="E188" s="19">
        <v>0.0</v>
      </c>
      <c r="F188" s="19">
        <v>0.0</v>
      </c>
      <c r="G188" s="19">
        <v>0.0</v>
      </c>
      <c r="H188" s="19">
        <v>0.0</v>
      </c>
      <c r="I188" s="19">
        <v>0.0</v>
      </c>
      <c r="J188" s="19">
        <v>0.0</v>
      </c>
      <c r="K188" s="19">
        <v>0.0</v>
      </c>
      <c r="L188" s="19">
        <v>1.0</v>
      </c>
      <c r="M188" s="19">
        <v>1.0</v>
      </c>
      <c r="N188" s="19">
        <v>1.0</v>
      </c>
      <c r="O188" s="19">
        <v>0.0</v>
      </c>
      <c r="P188" s="19">
        <v>1.0</v>
      </c>
      <c r="Q188" s="19">
        <v>0.0</v>
      </c>
      <c r="R188" s="19">
        <v>0.0</v>
      </c>
      <c r="S188" s="19">
        <v>0.0</v>
      </c>
      <c r="T188" s="19">
        <v>1.0</v>
      </c>
      <c r="U188" s="19">
        <v>0.0</v>
      </c>
      <c r="V188" s="19">
        <v>0.0</v>
      </c>
      <c r="W188" s="19">
        <v>0.0</v>
      </c>
      <c r="X188" s="19">
        <v>1.0</v>
      </c>
      <c r="Y188" s="19">
        <v>0.0</v>
      </c>
      <c r="Z188" s="19">
        <v>0.0</v>
      </c>
      <c r="AA188" s="19">
        <v>0.0</v>
      </c>
      <c r="AB188" s="19">
        <v>0.0</v>
      </c>
      <c r="AC188" s="19">
        <v>1.0</v>
      </c>
      <c r="AD188" s="19">
        <v>0.0</v>
      </c>
      <c r="AE188" s="19">
        <v>0.0</v>
      </c>
      <c r="AF188" s="19">
        <v>0.0</v>
      </c>
      <c r="AG188" s="19">
        <v>0.0</v>
      </c>
      <c r="AH188" s="19">
        <v>0.0</v>
      </c>
      <c r="AI188" s="19">
        <v>0.0</v>
      </c>
      <c r="AJ188" s="19">
        <v>0.0</v>
      </c>
      <c r="AK188" s="19">
        <v>0.0</v>
      </c>
      <c r="AL188" s="19">
        <v>0.0</v>
      </c>
      <c r="AM188" s="19">
        <v>0.0</v>
      </c>
      <c r="AN188" s="19">
        <v>0.0</v>
      </c>
      <c r="AO188" s="19">
        <v>0.0</v>
      </c>
      <c r="AP188" s="19">
        <v>0.0</v>
      </c>
      <c r="AQ188" s="19">
        <v>0.0</v>
      </c>
      <c r="AR188" s="19">
        <v>0.0</v>
      </c>
      <c r="AS188" s="19">
        <v>1.0</v>
      </c>
      <c r="AT188" s="19">
        <v>0.0</v>
      </c>
      <c r="AU188" s="19">
        <v>0.0</v>
      </c>
      <c r="AV188" s="13">
        <f t="shared" ref="AV188:AV195" si="44">SUM(E188:AU188)</f>
        <v>8</v>
      </c>
    </row>
    <row r="189" ht="12.75" customHeight="1">
      <c r="A189" s="30" t="s">
        <v>39</v>
      </c>
      <c r="B189" s="55">
        <v>1.0</v>
      </c>
      <c r="C189" s="50" t="s">
        <v>166</v>
      </c>
      <c r="D189" s="57"/>
      <c r="E189" s="19">
        <v>1.0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1.0</v>
      </c>
      <c r="L189" s="19">
        <v>0.0</v>
      </c>
      <c r="M189" s="19">
        <v>0.0</v>
      </c>
      <c r="N189" s="19">
        <v>0.0</v>
      </c>
      <c r="O189" s="19">
        <v>0.0</v>
      </c>
      <c r="P189" s="19">
        <v>1.0</v>
      </c>
      <c r="Q189" s="19">
        <v>0.0</v>
      </c>
      <c r="R189" s="19">
        <v>0.0</v>
      </c>
      <c r="S189" s="19">
        <v>0.0</v>
      </c>
      <c r="T189" s="19">
        <v>1.0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1.0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0.0</v>
      </c>
      <c r="AI189" s="19">
        <v>0.0</v>
      </c>
      <c r="AJ189" s="19">
        <v>0.0</v>
      </c>
      <c r="AK189" s="19">
        <v>0.0</v>
      </c>
      <c r="AL189" s="19">
        <v>0.0</v>
      </c>
      <c r="AM189" s="19">
        <v>0.0</v>
      </c>
      <c r="AN189" s="19">
        <v>1.0</v>
      </c>
      <c r="AO189" s="19">
        <v>0.0</v>
      </c>
      <c r="AP189" s="19">
        <v>0.0</v>
      </c>
      <c r="AQ189" s="19">
        <v>0.0</v>
      </c>
      <c r="AR189" s="19">
        <v>0.0</v>
      </c>
      <c r="AS189" s="19">
        <v>0.0</v>
      </c>
      <c r="AT189" s="19">
        <v>1.0</v>
      </c>
      <c r="AU189" s="19">
        <v>0.0</v>
      </c>
      <c r="AV189" s="13">
        <f t="shared" si="44"/>
        <v>7</v>
      </c>
    </row>
    <row r="190" ht="12.75" customHeight="1">
      <c r="A190" s="18"/>
      <c r="B190" s="55">
        <v>2.0</v>
      </c>
      <c r="C190" s="50" t="s">
        <v>167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1.0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1.0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0.0</v>
      </c>
      <c r="AL190" s="19">
        <v>0.0</v>
      </c>
      <c r="AM190" s="19">
        <v>0.0</v>
      </c>
      <c r="AN190" s="19">
        <v>0.0</v>
      </c>
      <c r="AO190" s="19">
        <v>0.0</v>
      </c>
      <c r="AP190" s="19">
        <v>0.0</v>
      </c>
      <c r="AQ190" s="19">
        <v>0.0</v>
      </c>
      <c r="AR190" s="19">
        <v>0.0</v>
      </c>
      <c r="AS190" s="19">
        <v>0.0</v>
      </c>
      <c r="AT190" s="19">
        <v>0.0</v>
      </c>
      <c r="AU190" s="19">
        <v>0.0</v>
      </c>
      <c r="AV190" s="13">
        <f t="shared" si="44"/>
        <v>2</v>
      </c>
    </row>
    <row r="191" ht="12.75" customHeight="1">
      <c r="A191" s="18"/>
      <c r="B191" s="55">
        <v>3.0</v>
      </c>
      <c r="C191" s="50" t="s">
        <v>168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1.0</v>
      </c>
      <c r="AJ191" s="19">
        <v>0.0</v>
      </c>
      <c r="AK191" s="19">
        <v>0.0</v>
      </c>
      <c r="AL191" s="19">
        <v>0.0</v>
      </c>
      <c r="AM191" s="19">
        <v>0.0</v>
      </c>
      <c r="AN191" s="19">
        <v>0.0</v>
      </c>
      <c r="AO191" s="19">
        <v>0.0</v>
      </c>
      <c r="AP191" s="19">
        <v>1.0</v>
      </c>
      <c r="AQ191" s="19">
        <v>0.0</v>
      </c>
      <c r="AR191" s="19">
        <v>0.0</v>
      </c>
      <c r="AS191" s="19">
        <v>0.0</v>
      </c>
      <c r="AT191" s="19">
        <v>0.0</v>
      </c>
      <c r="AU191" s="19">
        <v>0.0</v>
      </c>
      <c r="AV191" s="13">
        <f t="shared" si="44"/>
        <v>2</v>
      </c>
    </row>
    <row r="192" ht="12.75" customHeight="1">
      <c r="A192" s="18"/>
      <c r="B192" s="55">
        <v>4.0</v>
      </c>
      <c r="C192" s="50" t="s">
        <v>169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1.0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9">
        <v>0.0</v>
      </c>
      <c r="AN192" s="19">
        <v>0.0</v>
      </c>
      <c r="AO192" s="19">
        <v>0.0</v>
      </c>
      <c r="AP192" s="19">
        <v>0.0</v>
      </c>
      <c r="AQ192" s="19">
        <v>0.0</v>
      </c>
      <c r="AR192" s="19">
        <v>0.0</v>
      </c>
      <c r="AS192" s="19">
        <v>0.0</v>
      </c>
      <c r="AT192" s="19">
        <v>0.0</v>
      </c>
      <c r="AU192" s="19">
        <v>0.0</v>
      </c>
      <c r="AV192" s="13">
        <f t="shared" si="44"/>
        <v>1</v>
      </c>
    </row>
    <row r="193" ht="12.75" customHeight="1">
      <c r="A193" s="18"/>
      <c r="B193" s="55">
        <v>5.0</v>
      </c>
      <c r="C193" s="50" t="s">
        <v>170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1.0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1.0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9">
        <v>0.0</v>
      </c>
      <c r="AS193" s="19">
        <v>0.0</v>
      </c>
      <c r="AT193" s="19">
        <v>0.0</v>
      </c>
      <c r="AU193" s="19">
        <v>0.0</v>
      </c>
      <c r="AV193" s="13">
        <f t="shared" si="44"/>
        <v>2</v>
      </c>
    </row>
    <row r="194" ht="12.75" customHeight="1">
      <c r="A194" s="18"/>
      <c r="B194" s="55">
        <v>6.0</v>
      </c>
      <c r="C194" s="50" t="s">
        <v>171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1.0</v>
      </c>
      <c r="Z194" s="19">
        <v>0.0</v>
      </c>
      <c r="AA194" s="19">
        <v>1.0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0.0</v>
      </c>
      <c r="AN194" s="19">
        <v>0.0</v>
      </c>
      <c r="AO194" s="19">
        <v>0.0</v>
      </c>
      <c r="AP194" s="19">
        <v>0.0</v>
      </c>
      <c r="AQ194" s="19">
        <v>0.0</v>
      </c>
      <c r="AR194" s="19">
        <v>0.0</v>
      </c>
      <c r="AS194" s="19">
        <v>0.0</v>
      </c>
      <c r="AT194" s="19">
        <v>0.0</v>
      </c>
      <c r="AU194" s="19">
        <v>0.0</v>
      </c>
      <c r="AV194" s="13">
        <f t="shared" si="44"/>
        <v>2</v>
      </c>
    </row>
    <row r="195" ht="12.75" customHeight="1">
      <c r="A195" s="18"/>
      <c r="B195" s="55">
        <v>7.0</v>
      </c>
      <c r="C195" s="50" t="s">
        <v>172</v>
      </c>
      <c r="D195" s="57"/>
      <c r="E195" s="19">
        <v>0.0</v>
      </c>
      <c r="F195" s="19">
        <v>1.0</v>
      </c>
      <c r="G195" s="19">
        <v>1.0</v>
      </c>
      <c r="H195" s="19">
        <v>1.0</v>
      </c>
      <c r="I195" s="19">
        <v>0.0</v>
      </c>
      <c r="J195" s="19">
        <v>1.0</v>
      </c>
      <c r="K195" s="19">
        <v>0.0</v>
      </c>
      <c r="L195" s="19">
        <v>2.0</v>
      </c>
      <c r="M195" s="19">
        <v>0.0</v>
      </c>
      <c r="N195" s="19">
        <v>1.0</v>
      </c>
      <c r="O195" s="19">
        <v>0.0</v>
      </c>
      <c r="P195" s="19">
        <v>0.0</v>
      </c>
      <c r="Q195" s="19">
        <v>0.0</v>
      </c>
      <c r="R195" s="19">
        <v>2.0</v>
      </c>
      <c r="S195" s="19">
        <v>0.0</v>
      </c>
      <c r="T195" s="19">
        <v>0.0</v>
      </c>
      <c r="U195" s="19">
        <v>0.0</v>
      </c>
      <c r="V195" s="19">
        <v>1.0</v>
      </c>
      <c r="W195" s="19">
        <v>2.0</v>
      </c>
      <c r="X195" s="19">
        <v>1.0</v>
      </c>
      <c r="Y195" s="19">
        <v>3.0</v>
      </c>
      <c r="Z195" s="19">
        <v>0.0</v>
      </c>
      <c r="AA195" s="19">
        <v>0.0</v>
      </c>
      <c r="AB195" s="19">
        <v>0.0</v>
      </c>
      <c r="AC195" s="19">
        <v>1.0</v>
      </c>
      <c r="AD195" s="19">
        <v>1.0</v>
      </c>
      <c r="AE195" s="19">
        <v>0.0</v>
      </c>
      <c r="AF195" s="19">
        <v>0.0</v>
      </c>
      <c r="AG195" s="19">
        <v>1.0</v>
      </c>
      <c r="AH195" s="19">
        <v>0.0</v>
      </c>
      <c r="AI195" s="19">
        <v>0.0</v>
      </c>
      <c r="AJ195" s="19">
        <v>0.0</v>
      </c>
      <c r="AK195" s="19">
        <v>1.0</v>
      </c>
      <c r="AL195" s="19">
        <v>5.0</v>
      </c>
      <c r="AM195" s="19">
        <v>3.0</v>
      </c>
      <c r="AN195" s="19">
        <v>1.0</v>
      </c>
      <c r="AO195" s="19">
        <v>6.0</v>
      </c>
      <c r="AP195" s="19">
        <v>1.0</v>
      </c>
      <c r="AQ195" s="19">
        <v>1.0</v>
      </c>
      <c r="AR195" s="19">
        <v>3.0</v>
      </c>
      <c r="AS195" s="19">
        <v>0.0</v>
      </c>
      <c r="AT195" s="19">
        <v>0.0</v>
      </c>
      <c r="AU195" s="19">
        <v>0.0</v>
      </c>
      <c r="AV195" s="13">
        <f t="shared" si="44"/>
        <v>40</v>
      </c>
    </row>
    <row r="196" ht="12.75" customHeight="1">
      <c r="A196" s="19" t="s">
        <v>15</v>
      </c>
      <c r="B196" s="47" t="s">
        <v>47</v>
      </c>
      <c r="C196" s="15"/>
      <c r="D196" s="16"/>
      <c r="E196" s="13">
        <f t="shared" ref="E196:AV196" si="45">SUM(E188:E195)</f>
        <v>1</v>
      </c>
      <c r="F196" s="13">
        <f t="shared" si="45"/>
        <v>1</v>
      </c>
      <c r="G196" s="13">
        <f t="shared" si="45"/>
        <v>1</v>
      </c>
      <c r="H196" s="13">
        <f t="shared" si="45"/>
        <v>1</v>
      </c>
      <c r="I196" s="13">
        <f t="shared" si="45"/>
        <v>0</v>
      </c>
      <c r="J196" s="13">
        <f t="shared" si="45"/>
        <v>1</v>
      </c>
      <c r="K196" s="13">
        <f t="shared" si="45"/>
        <v>1</v>
      </c>
      <c r="L196" s="13">
        <f t="shared" si="45"/>
        <v>3</v>
      </c>
      <c r="M196" s="13">
        <f t="shared" si="45"/>
        <v>1</v>
      </c>
      <c r="N196" s="13">
        <f t="shared" si="45"/>
        <v>2</v>
      </c>
      <c r="O196" s="13">
        <f t="shared" si="45"/>
        <v>0</v>
      </c>
      <c r="P196" s="13">
        <f t="shared" si="45"/>
        <v>2</v>
      </c>
      <c r="Q196" s="13">
        <f t="shared" si="45"/>
        <v>1</v>
      </c>
      <c r="R196" s="13">
        <f t="shared" si="45"/>
        <v>2</v>
      </c>
      <c r="S196" s="13">
        <f t="shared" si="45"/>
        <v>1</v>
      </c>
      <c r="T196" s="13">
        <f t="shared" si="45"/>
        <v>3</v>
      </c>
      <c r="U196" s="13">
        <f t="shared" si="45"/>
        <v>0</v>
      </c>
      <c r="V196" s="13">
        <f t="shared" si="45"/>
        <v>1</v>
      </c>
      <c r="W196" s="13">
        <f t="shared" si="45"/>
        <v>2</v>
      </c>
      <c r="X196" s="13">
        <f t="shared" si="45"/>
        <v>2</v>
      </c>
      <c r="Y196" s="13">
        <f t="shared" si="45"/>
        <v>4</v>
      </c>
      <c r="Z196" s="13">
        <f t="shared" si="45"/>
        <v>0</v>
      </c>
      <c r="AA196" s="13">
        <f t="shared" si="45"/>
        <v>1</v>
      </c>
      <c r="AB196" s="13">
        <f t="shared" si="45"/>
        <v>0</v>
      </c>
      <c r="AC196" s="13">
        <f t="shared" si="45"/>
        <v>3</v>
      </c>
      <c r="AD196" s="13">
        <f t="shared" si="45"/>
        <v>2</v>
      </c>
      <c r="AE196" s="13">
        <f t="shared" si="45"/>
        <v>0</v>
      </c>
      <c r="AF196" s="13">
        <f t="shared" si="45"/>
        <v>0</v>
      </c>
      <c r="AG196" s="13">
        <f t="shared" si="45"/>
        <v>1</v>
      </c>
      <c r="AH196" s="13">
        <f t="shared" si="45"/>
        <v>0</v>
      </c>
      <c r="AI196" s="13">
        <f t="shared" si="45"/>
        <v>2</v>
      </c>
      <c r="AJ196" s="13">
        <f t="shared" si="45"/>
        <v>0</v>
      </c>
      <c r="AK196" s="13">
        <f t="shared" si="45"/>
        <v>1</v>
      </c>
      <c r="AL196" s="13">
        <f t="shared" si="45"/>
        <v>5</v>
      </c>
      <c r="AM196" s="13">
        <f t="shared" si="45"/>
        <v>3</v>
      </c>
      <c r="AN196" s="13">
        <f t="shared" si="45"/>
        <v>2</v>
      </c>
      <c r="AO196" s="13">
        <f t="shared" si="45"/>
        <v>6</v>
      </c>
      <c r="AP196" s="13">
        <f t="shared" si="45"/>
        <v>2</v>
      </c>
      <c r="AQ196" s="13">
        <f t="shared" si="45"/>
        <v>1</v>
      </c>
      <c r="AR196" s="13">
        <f t="shared" si="45"/>
        <v>3</v>
      </c>
      <c r="AS196" s="13">
        <f t="shared" si="45"/>
        <v>1</v>
      </c>
      <c r="AT196" s="13">
        <f t="shared" si="45"/>
        <v>1</v>
      </c>
      <c r="AU196" s="13">
        <f t="shared" si="45"/>
        <v>0</v>
      </c>
      <c r="AV196" s="13">
        <f t="shared" si="45"/>
        <v>64</v>
      </c>
    </row>
    <row r="197" ht="12.75" customHeight="1">
      <c r="A197" s="24"/>
      <c r="B197" s="15"/>
      <c r="C197" s="15"/>
      <c r="D197" s="15"/>
      <c r="E197" s="16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</row>
    <row r="198" ht="12.75" customHeight="1">
      <c r="A198" s="30" t="s">
        <v>37</v>
      </c>
      <c r="B198" s="47" t="s">
        <v>173</v>
      </c>
      <c r="C198" s="48" t="s">
        <v>174</v>
      </c>
      <c r="D198" s="16"/>
      <c r="E198" s="19">
        <v>7.0</v>
      </c>
      <c r="F198" s="19">
        <v>10.0</v>
      </c>
      <c r="G198" s="19">
        <v>0.0</v>
      </c>
      <c r="H198" s="19">
        <v>4.0</v>
      </c>
      <c r="I198" s="19">
        <v>3.0</v>
      </c>
      <c r="J198" s="19">
        <v>4.0</v>
      </c>
      <c r="K198" s="19">
        <v>12.0</v>
      </c>
      <c r="L198" s="19">
        <v>3.0</v>
      </c>
      <c r="M198" s="19">
        <v>3.0</v>
      </c>
      <c r="N198" s="19">
        <v>1.0</v>
      </c>
      <c r="O198" s="19">
        <v>1.0</v>
      </c>
      <c r="P198" s="19">
        <v>0.0</v>
      </c>
      <c r="Q198" s="19">
        <v>2.0</v>
      </c>
      <c r="R198" s="19">
        <v>1.0</v>
      </c>
      <c r="S198" s="19">
        <v>4.0</v>
      </c>
      <c r="T198" s="19">
        <v>3.0</v>
      </c>
      <c r="U198" s="19">
        <v>0.0</v>
      </c>
      <c r="V198" s="19">
        <v>1.0</v>
      </c>
      <c r="W198" s="19">
        <v>3.0</v>
      </c>
      <c r="X198" s="19">
        <v>3.0</v>
      </c>
      <c r="Y198" s="19">
        <v>3.0</v>
      </c>
      <c r="Z198" s="19">
        <v>1.0</v>
      </c>
      <c r="AA198" s="19">
        <v>1.0</v>
      </c>
      <c r="AB198" s="19">
        <v>1.0</v>
      </c>
      <c r="AC198" s="19">
        <v>1.0</v>
      </c>
      <c r="AD198" s="19">
        <v>2.0</v>
      </c>
      <c r="AE198" s="19">
        <v>1.0</v>
      </c>
      <c r="AF198" s="19">
        <v>1.0</v>
      </c>
      <c r="AG198" s="19">
        <v>1.0</v>
      </c>
      <c r="AH198" s="19">
        <v>2.0</v>
      </c>
      <c r="AI198" s="19">
        <v>5.0</v>
      </c>
      <c r="AJ198" s="19">
        <v>4.0</v>
      </c>
      <c r="AK198" s="19">
        <v>0.0</v>
      </c>
      <c r="AL198" s="19">
        <v>0.0</v>
      </c>
      <c r="AM198" s="19">
        <v>0.0</v>
      </c>
      <c r="AN198" s="19">
        <v>0.0</v>
      </c>
      <c r="AO198" s="19">
        <v>0.0</v>
      </c>
      <c r="AP198" s="19">
        <v>0.0</v>
      </c>
      <c r="AQ198" s="19">
        <v>2.0</v>
      </c>
      <c r="AR198" s="19">
        <v>0.0</v>
      </c>
      <c r="AS198" s="19">
        <v>3.0</v>
      </c>
      <c r="AT198" s="19">
        <v>0.0</v>
      </c>
      <c r="AU198" s="19">
        <v>0.0</v>
      </c>
      <c r="AV198" s="13">
        <f t="shared" ref="AV198:AV205" si="46">SUM(E198:AU198)</f>
        <v>93</v>
      </c>
    </row>
    <row r="199" ht="12.75" customHeight="1">
      <c r="A199" s="30" t="s">
        <v>39</v>
      </c>
      <c r="B199" s="55">
        <v>1.0</v>
      </c>
      <c r="C199" s="50" t="s">
        <v>175</v>
      </c>
      <c r="D199" s="57"/>
      <c r="E199" s="19">
        <v>3.0</v>
      </c>
      <c r="F199" s="19">
        <v>0.0</v>
      </c>
      <c r="G199" s="19">
        <v>0.0</v>
      </c>
      <c r="H199" s="19">
        <v>2.0</v>
      </c>
      <c r="I199" s="19">
        <v>1.0</v>
      </c>
      <c r="J199" s="19">
        <v>0.0</v>
      </c>
      <c r="K199" s="19">
        <v>1.0</v>
      </c>
      <c r="L199" s="19">
        <v>2.0</v>
      </c>
      <c r="M199" s="19">
        <v>1.0</v>
      </c>
      <c r="N199" s="19">
        <v>2.0</v>
      </c>
      <c r="O199" s="19">
        <v>0.0</v>
      </c>
      <c r="P199" s="19">
        <v>1.0</v>
      </c>
      <c r="Q199" s="19">
        <v>0.0</v>
      </c>
      <c r="R199" s="19">
        <v>1.0</v>
      </c>
      <c r="S199" s="19">
        <v>1.0</v>
      </c>
      <c r="T199" s="19">
        <v>1.0</v>
      </c>
      <c r="U199" s="19">
        <v>1.0</v>
      </c>
      <c r="V199" s="19">
        <v>0.0</v>
      </c>
      <c r="W199" s="19">
        <v>0.0</v>
      </c>
      <c r="X199" s="19">
        <v>1.0</v>
      </c>
      <c r="Y199" s="19">
        <v>0.0</v>
      </c>
      <c r="Z199" s="19">
        <v>1.0</v>
      </c>
      <c r="AA199" s="19">
        <v>2.0</v>
      </c>
      <c r="AB199" s="19">
        <v>0.0</v>
      </c>
      <c r="AC199" s="19">
        <v>0.0</v>
      </c>
      <c r="AD199" s="19">
        <v>1.0</v>
      </c>
      <c r="AE199" s="19">
        <v>0.0</v>
      </c>
      <c r="AF199" s="19">
        <v>0.0</v>
      </c>
      <c r="AG199" s="19">
        <v>2.0</v>
      </c>
      <c r="AH199" s="19">
        <v>3.0</v>
      </c>
      <c r="AI199" s="19">
        <v>0.0</v>
      </c>
      <c r="AJ199" s="19">
        <v>0.0</v>
      </c>
      <c r="AK199" s="19">
        <v>2.0</v>
      </c>
      <c r="AL199" s="19">
        <v>0.0</v>
      </c>
      <c r="AM199" s="19">
        <v>0.0</v>
      </c>
      <c r="AN199" s="19">
        <v>0.0</v>
      </c>
      <c r="AO199" s="19">
        <v>0.0</v>
      </c>
      <c r="AP199" s="19">
        <v>1.0</v>
      </c>
      <c r="AQ199" s="19">
        <v>0.0</v>
      </c>
      <c r="AR199" s="19">
        <v>0.0</v>
      </c>
      <c r="AS199" s="19">
        <v>0.0</v>
      </c>
      <c r="AT199" s="19">
        <v>0.0</v>
      </c>
      <c r="AU199" s="19">
        <v>2.0</v>
      </c>
      <c r="AV199" s="13">
        <f t="shared" si="46"/>
        <v>32</v>
      </c>
    </row>
    <row r="200" ht="12.75" customHeight="1">
      <c r="A200" s="18"/>
      <c r="B200" s="55">
        <v>2.0</v>
      </c>
      <c r="C200" s="50" t="s">
        <v>176</v>
      </c>
      <c r="D200" s="57"/>
      <c r="E200" s="19">
        <v>53.0</v>
      </c>
      <c r="F200" s="19">
        <v>56.0</v>
      </c>
      <c r="G200" s="19">
        <v>23.0</v>
      </c>
      <c r="H200" s="19">
        <v>122.0</v>
      </c>
      <c r="I200" s="19">
        <v>43.0</v>
      </c>
      <c r="J200" s="19">
        <v>70.0</v>
      </c>
      <c r="K200" s="19">
        <v>86.0</v>
      </c>
      <c r="L200" s="19">
        <v>32.0</v>
      </c>
      <c r="M200" s="19">
        <v>32.0</v>
      </c>
      <c r="N200" s="19">
        <v>26.0</v>
      </c>
      <c r="O200" s="19">
        <v>12.0</v>
      </c>
      <c r="P200" s="19">
        <v>12.0</v>
      </c>
      <c r="Q200" s="19">
        <v>7.0</v>
      </c>
      <c r="R200" s="19">
        <v>19.0</v>
      </c>
      <c r="S200" s="19">
        <v>42.0</v>
      </c>
      <c r="T200" s="19">
        <v>23.0</v>
      </c>
      <c r="U200" s="19">
        <v>15.0</v>
      </c>
      <c r="V200" s="19">
        <v>19.0</v>
      </c>
      <c r="W200" s="19">
        <v>53.0</v>
      </c>
      <c r="X200" s="19">
        <v>43.0</v>
      </c>
      <c r="Y200" s="19">
        <v>18.0</v>
      </c>
      <c r="Z200" s="19">
        <v>10.0</v>
      </c>
      <c r="AA200" s="19">
        <v>11.0</v>
      </c>
      <c r="AB200" s="19">
        <v>5.0</v>
      </c>
      <c r="AC200" s="19">
        <v>4.0</v>
      </c>
      <c r="AD200" s="19">
        <v>1.0</v>
      </c>
      <c r="AE200" s="19">
        <v>3.0</v>
      </c>
      <c r="AF200" s="19">
        <v>1.0</v>
      </c>
      <c r="AG200" s="19">
        <v>5.0</v>
      </c>
      <c r="AH200" s="19">
        <v>46.0</v>
      </c>
      <c r="AI200" s="19">
        <v>26.0</v>
      </c>
      <c r="AJ200" s="19">
        <v>17.0</v>
      </c>
      <c r="AK200" s="19">
        <v>3.0</v>
      </c>
      <c r="AL200" s="19">
        <v>1.0</v>
      </c>
      <c r="AM200" s="19">
        <v>0.0</v>
      </c>
      <c r="AN200" s="19">
        <v>0.0</v>
      </c>
      <c r="AO200" s="19">
        <v>0.0</v>
      </c>
      <c r="AP200" s="19">
        <v>0.0</v>
      </c>
      <c r="AQ200" s="19">
        <v>10.0</v>
      </c>
      <c r="AR200" s="19">
        <v>5.0</v>
      </c>
      <c r="AS200" s="19">
        <v>0.0</v>
      </c>
      <c r="AT200" s="19">
        <v>1.0</v>
      </c>
      <c r="AU200" s="19">
        <v>4.0</v>
      </c>
      <c r="AV200" s="13">
        <f t="shared" si="46"/>
        <v>959</v>
      </c>
    </row>
    <row r="201" ht="12.75" customHeight="1">
      <c r="A201" s="18"/>
      <c r="B201" s="55">
        <v>3.0</v>
      </c>
      <c r="C201" s="50" t="s">
        <v>177</v>
      </c>
      <c r="D201" s="57"/>
      <c r="E201" s="19">
        <v>2.0</v>
      </c>
      <c r="F201" s="19">
        <v>2.0</v>
      </c>
      <c r="G201" s="19">
        <v>0.0</v>
      </c>
      <c r="H201" s="19">
        <v>0.0</v>
      </c>
      <c r="I201" s="19">
        <v>0.0</v>
      </c>
      <c r="J201" s="19">
        <v>0.0</v>
      </c>
      <c r="K201" s="19">
        <v>0.0</v>
      </c>
      <c r="L201" s="19">
        <v>1.0</v>
      </c>
      <c r="M201" s="19">
        <v>0.0</v>
      </c>
      <c r="N201" s="19">
        <v>1.0</v>
      </c>
      <c r="O201" s="19">
        <v>0.0</v>
      </c>
      <c r="P201" s="19">
        <v>0.0</v>
      </c>
      <c r="Q201" s="19">
        <v>0.0</v>
      </c>
      <c r="R201" s="19">
        <v>0.0</v>
      </c>
      <c r="S201" s="19">
        <v>0.0</v>
      </c>
      <c r="T201" s="19">
        <v>1.0</v>
      </c>
      <c r="U201" s="19">
        <v>0.0</v>
      </c>
      <c r="V201" s="19">
        <v>2.0</v>
      </c>
      <c r="W201" s="19">
        <v>0.0</v>
      </c>
      <c r="X201" s="19">
        <v>1.0</v>
      </c>
      <c r="Y201" s="19">
        <v>0.0</v>
      </c>
      <c r="Z201" s="19">
        <v>2.0</v>
      </c>
      <c r="AA201" s="19">
        <v>2.0</v>
      </c>
      <c r="AB201" s="19">
        <v>0.0</v>
      </c>
      <c r="AC201" s="19">
        <v>1.0</v>
      </c>
      <c r="AD201" s="19">
        <v>0.0</v>
      </c>
      <c r="AE201" s="19">
        <v>1.0</v>
      </c>
      <c r="AF201" s="19">
        <v>1.0</v>
      </c>
      <c r="AG201" s="19">
        <v>0.0</v>
      </c>
      <c r="AH201" s="19">
        <v>1.0</v>
      </c>
      <c r="AI201" s="19">
        <v>0.0</v>
      </c>
      <c r="AJ201" s="19">
        <v>0.0</v>
      </c>
      <c r="AK201" s="19">
        <v>1.0</v>
      </c>
      <c r="AL201" s="19">
        <v>0.0</v>
      </c>
      <c r="AM201" s="19">
        <v>0.0</v>
      </c>
      <c r="AN201" s="19">
        <v>0.0</v>
      </c>
      <c r="AO201" s="19">
        <v>0.0</v>
      </c>
      <c r="AP201" s="19">
        <v>1.0</v>
      </c>
      <c r="AQ201" s="19">
        <v>0.0</v>
      </c>
      <c r="AR201" s="19">
        <v>0.0</v>
      </c>
      <c r="AS201" s="19">
        <v>0.0</v>
      </c>
      <c r="AT201" s="19">
        <v>0.0</v>
      </c>
      <c r="AU201" s="19">
        <v>0.0</v>
      </c>
      <c r="AV201" s="13">
        <f t="shared" si="46"/>
        <v>20</v>
      </c>
    </row>
    <row r="202" ht="12.75" customHeight="1">
      <c r="A202" s="18"/>
      <c r="B202" s="55">
        <v>4.0</v>
      </c>
      <c r="C202" s="50" t="s">
        <v>178</v>
      </c>
      <c r="D202" s="57"/>
      <c r="E202" s="19">
        <v>0.0</v>
      </c>
      <c r="F202" s="19">
        <v>0.0</v>
      </c>
      <c r="G202" s="19">
        <v>0.0</v>
      </c>
      <c r="H202" s="19">
        <v>0.0</v>
      </c>
      <c r="I202" s="19">
        <v>0.0</v>
      </c>
      <c r="J202" s="19">
        <v>0.0</v>
      </c>
      <c r="K202" s="19">
        <v>0.0</v>
      </c>
      <c r="L202" s="19">
        <v>0.0</v>
      </c>
      <c r="M202" s="19">
        <v>0.0</v>
      </c>
      <c r="N202" s="19">
        <v>0.0</v>
      </c>
      <c r="O202" s="19">
        <v>1.0</v>
      </c>
      <c r="P202" s="19">
        <v>0.0</v>
      </c>
      <c r="Q202" s="19">
        <v>1.0</v>
      </c>
      <c r="R202" s="19">
        <v>1.0</v>
      </c>
      <c r="S202" s="19">
        <v>0.0</v>
      </c>
      <c r="T202" s="19">
        <v>0.0</v>
      </c>
      <c r="U202" s="19">
        <v>0.0</v>
      </c>
      <c r="V202" s="19">
        <v>0.0</v>
      </c>
      <c r="W202" s="19">
        <v>0.0</v>
      </c>
      <c r="X202" s="19">
        <v>0.0</v>
      </c>
      <c r="Y202" s="19">
        <v>0.0</v>
      </c>
      <c r="Z202" s="19">
        <v>3.0</v>
      </c>
      <c r="AA202" s="19">
        <v>3.0</v>
      </c>
      <c r="AB202" s="19">
        <v>1.0</v>
      </c>
      <c r="AC202" s="19">
        <v>0.0</v>
      </c>
      <c r="AD202" s="19">
        <v>1.0</v>
      </c>
      <c r="AE202" s="19">
        <v>0.0</v>
      </c>
      <c r="AF202" s="19">
        <v>0.0</v>
      </c>
      <c r="AG202" s="19">
        <v>0.0</v>
      </c>
      <c r="AH202" s="19">
        <v>0.0</v>
      </c>
      <c r="AI202" s="19">
        <v>0.0</v>
      </c>
      <c r="AJ202" s="19">
        <v>1.0</v>
      </c>
      <c r="AK202" s="19">
        <v>1.0</v>
      </c>
      <c r="AL202" s="19">
        <v>0.0</v>
      </c>
      <c r="AM202" s="19">
        <v>0.0</v>
      </c>
      <c r="AN202" s="19">
        <v>1.0</v>
      </c>
      <c r="AO202" s="19">
        <v>0.0</v>
      </c>
      <c r="AP202" s="19">
        <v>0.0</v>
      </c>
      <c r="AQ202" s="19">
        <v>1.0</v>
      </c>
      <c r="AR202" s="19">
        <v>0.0</v>
      </c>
      <c r="AS202" s="19">
        <v>0.0</v>
      </c>
      <c r="AT202" s="19">
        <v>0.0</v>
      </c>
      <c r="AU202" s="19">
        <v>0.0</v>
      </c>
      <c r="AV202" s="13">
        <f t="shared" si="46"/>
        <v>15</v>
      </c>
    </row>
    <row r="203" ht="12.75" customHeight="1">
      <c r="A203" s="18"/>
      <c r="B203" s="55">
        <v>5.0</v>
      </c>
      <c r="C203" s="50" t="s">
        <v>179</v>
      </c>
      <c r="D203" s="57"/>
      <c r="E203" s="19">
        <v>0.0</v>
      </c>
      <c r="F203" s="19">
        <v>0.0</v>
      </c>
      <c r="G203" s="19">
        <v>0.0</v>
      </c>
      <c r="H203" s="19">
        <v>0.0</v>
      </c>
      <c r="I203" s="19">
        <v>0.0</v>
      </c>
      <c r="J203" s="19">
        <v>0.0</v>
      </c>
      <c r="K203" s="19">
        <v>0.0</v>
      </c>
      <c r="L203" s="19">
        <v>0.0</v>
      </c>
      <c r="M203" s="19">
        <v>0.0</v>
      </c>
      <c r="N203" s="19">
        <v>0.0</v>
      </c>
      <c r="O203" s="19">
        <v>0.0</v>
      </c>
      <c r="P203" s="19">
        <v>0.0</v>
      </c>
      <c r="Q203" s="19">
        <v>1.0</v>
      </c>
      <c r="R203" s="19">
        <v>0.0</v>
      </c>
      <c r="S203" s="19">
        <v>0.0</v>
      </c>
      <c r="T203" s="19">
        <v>3.0</v>
      </c>
      <c r="U203" s="19">
        <v>0.0</v>
      </c>
      <c r="V203" s="19">
        <v>1.0</v>
      </c>
      <c r="W203" s="19">
        <v>0.0</v>
      </c>
      <c r="X203" s="19">
        <v>0.0</v>
      </c>
      <c r="Y203" s="19">
        <v>0.0</v>
      </c>
      <c r="Z203" s="19">
        <v>0.0</v>
      </c>
      <c r="AA203" s="19">
        <v>1.0</v>
      </c>
      <c r="AB203" s="19">
        <v>0.0</v>
      </c>
      <c r="AC203" s="19">
        <v>1.0</v>
      </c>
      <c r="AD203" s="19">
        <v>0.0</v>
      </c>
      <c r="AE203" s="19">
        <v>0.0</v>
      </c>
      <c r="AF203" s="19">
        <v>0.0</v>
      </c>
      <c r="AG203" s="19">
        <v>0.0</v>
      </c>
      <c r="AH203" s="19">
        <v>0.0</v>
      </c>
      <c r="AI203" s="19">
        <v>0.0</v>
      </c>
      <c r="AJ203" s="19">
        <v>0.0</v>
      </c>
      <c r="AK203" s="19">
        <v>0.0</v>
      </c>
      <c r="AL203" s="19">
        <v>0.0</v>
      </c>
      <c r="AM203" s="19">
        <v>0.0</v>
      </c>
      <c r="AN203" s="19">
        <v>0.0</v>
      </c>
      <c r="AO203" s="19">
        <v>0.0</v>
      </c>
      <c r="AP203" s="19">
        <v>0.0</v>
      </c>
      <c r="AQ203" s="19">
        <v>0.0</v>
      </c>
      <c r="AR203" s="19">
        <v>0.0</v>
      </c>
      <c r="AS203" s="19">
        <v>0.0</v>
      </c>
      <c r="AT203" s="19">
        <v>0.0</v>
      </c>
      <c r="AU203" s="19">
        <v>0.0</v>
      </c>
      <c r="AV203" s="13">
        <f t="shared" si="46"/>
        <v>7</v>
      </c>
    </row>
    <row r="204" ht="12.75" customHeight="1">
      <c r="A204" s="18"/>
      <c r="B204" s="55">
        <v>6.0</v>
      </c>
      <c r="C204" s="50" t="s">
        <v>180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1.0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1.0</v>
      </c>
      <c r="V204" s="19">
        <v>0.0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0.0</v>
      </c>
      <c r="AB204" s="19">
        <v>0.0</v>
      </c>
      <c r="AC204" s="19">
        <v>1.0</v>
      </c>
      <c r="AD204" s="19">
        <v>0.0</v>
      </c>
      <c r="AE204" s="19">
        <v>1.0</v>
      </c>
      <c r="AF204" s="19">
        <v>0.0</v>
      </c>
      <c r="AG204" s="19">
        <v>0.0</v>
      </c>
      <c r="AH204" s="19">
        <v>0.0</v>
      </c>
      <c r="AI204" s="19">
        <v>0.0</v>
      </c>
      <c r="AJ204" s="19">
        <v>0.0</v>
      </c>
      <c r="AK204" s="19">
        <v>0.0</v>
      </c>
      <c r="AL204" s="19">
        <v>1.0</v>
      </c>
      <c r="AM204" s="19">
        <v>0.0</v>
      </c>
      <c r="AN204" s="19">
        <v>1.0</v>
      </c>
      <c r="AO204" s="19">
        <v>0.0</v>
      </c>
      <c r="AP204" s="19">
        <v>0.0</v>
      </c>
      <c r="AQ204" s="19">
        <v>0.0</v>
      </c>
      <c r="AR204" s="19">
        <v>0.0</v>
      </c>
      <c r="AS204" s="19">
        <v>0.0</v>
      </c>
      <c r="AT204" s="19">
        <v>0.0</v>
      </c>
      <c r="AU204" s="19">
        <v>0.0</v>
      </c>
      <c r="AV204" s="13">
        <f t="shared" si="46"/>
        <v>6</v>
      </c>
    </row>
    <row r="205" ht="12.75" customHeight="1">
      <c r="A205" s="18"/>
      <c r="B205" s="55">
        <v>7.0</v>
      </c>
      <c r="C205" s="50" t="s">
        <v>181</v>
      </c>
      <c r="D205" s="57"/>
      <c r="E205" s="19">
        <v>0.0</v>
      </c>
      <c r="F205" s="19">
        <v>0.0</v>
      </c>
      <c r="G205" s="19">
        <v>0.0</v>
      </c>
      <c r="H205" s="19">
        <v>0.0</v>
      </c>
      <c r="I205" s="19">
        <v>1.0</v>
      </c>
      <c r="J205" s="19">
        <v>0.0</v>
      </c>
      <c r="K205" s="19">
        <v>1.0</v>
      </c>
      <c r="L205" s="19">
        <v>3.0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0.0</v>
      </c>
      <c r="V205" s="19">
        <v>0.0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1.0</v>
      </c>
      <c r="AC205" s="19">
        <v>0.0</v>
      </c>
      <c r="AD205" s="19">
        <v>0.0</v>
      </c>
      <c r="AE205" s="19">
        <v>1.0</v>
      </c>
      <c r="AF205" s="19">
        <v>0.0</v>
      </c>
      <c r="AG205" s="19">
        <v>0.0</v>
      </c>
      <c r="AH205" s="19">
        <v>1.0</v>
      </c>
      <c r="AI205" s="19">
        <v>1.0</v>
      </c>
      <c r="AJ205" s="19">
        <v>0.0</v>
      </c>
      <c r="AK205" s="19">
        <v>0.0</v>
      </c>
      <c r="AL205" s="19">
        <v>0.0</v>
      </c>
      <c r="AM205" s="19">
        <v>0.0</v>
      </c>
      <c r="AN205" s="19">
        <v>1.0</v>
      </c>
      <c r="AO205" s="19">
        <v>0.0</v>
      </c>
      <c r="AP205" s="19">
        <v>1.0</v>
      </c>
      <c r="AQ205" s="19">
        <v>0.0</v>
      </c>
      <c r="AR205" s="19">
        <v>2.0</v>
      </c>
      <c r="AS205" s="19">
        <v>0.0</v>
      </c>
      <c r="AT205" s="19">
        <v>0.0</v>
      </c>
      <c r="AU205" s="19">
        <v>0.0</v>
      </c>
      <c r="AV205" s="13">
        <f t="shared" si="46"/>
        <v>13</v>
      </c>
    </row>
    <row r="206" ht="12.75" customHeight="1">
      <c r="A206" s="19" t="s">
        <v>15</v>
      </c>
      <c r="B206" s="47" t="s">
        <v>47</v>
      </c>
      <c r="C206" s="15"/>
      <c r="D206" s="16"/>
      <c r="E206" s="13">
        <f t="shared" ref="E206:AV206" si="47">SUM(E198:E205)</f>
        <v>65</v>
      </c>
      <c r="F206" s="13">
        <f t="shared" si="47"/>
        <v>68</v>
      </c>
      <c r="G206" s="13">
        <f t="shared" si="47"/>
        <v>23</v>
      </c>
      <c r="H206" s="13">
        <f t="shared" si="47"/>
        <v>128</v>
      </c>
      <c r="I206" s="13">
        <f t="shared" si="47"/>
        <v>48</v>
      </c>
      <c r="J206" s="13">
        <f t="shared" si="47"/>
        <v>74</v>
      </c>
      <c r="K206" s="13">
        <f t="shared" si="47"/>
        <v>101</v>
      </c>
      <c r="L206" s="13">
        <f t="shared" si="47"/>
        <v>41</v>
      </c>
      <c r="M206" s="13">
        <f t="shared" si="47"/>
        <v>36</v>
      </c>
      <c r="N206" s="13">
        <f t="shared" si="47"/>
        <v>30</v>
      </c>
      <c r="O206" s="13">
        <f t="shared" si="47"/>
        <v>14</v>
      </c>
      <c r="P206" s="13">
        <f t="shared" si="47"/>
        <v>13</v>
      </c>
      <c r="Q206" s="13">
        <f t="shared" si="47"/>
        <v>11</v>
      </c>
      <c r="R206" s="13">
        <f t="shared" si="47"/>
        <v>22</v>
      </c>
      <c r="S206" s="13">
        <f t="shared" si="47"/>
        <v>47</v>
      </c>
      <c r="T206" s="13">
        <f t="shared" si="47"/>
        <v>31</v>
      </c>
      <c r="U206" s="13">
        <f t="shared" si="47"/>
        <v>17</v>
      </c>
      <c r="V206" s="13">
        <f t="shared" si="47"/>
        <v>23</v>
      </c>
      <c r="W206" s="13">
        <f t="shared" si="47"/>
        <v>56</v>
      </c>
      <c r="X206" s="13">
        <f t="shared" si="47"/>
        <v>48</v>
      </c>
      <c r="Y206" s="13">
        <f t="shared" si="47"/>
        <v>21</v>
      </c>
      <c r="Z206" s="13">
        <f t="shared" si="47"/>
        <v>17</v>
      </c>
      <c r="AA206" s="13">
        <f t="shared" si="47"/>
        <v>20</v>
      </c>
      <c r="AB206" s="13">
        <f t="shared" si="47"/>
        <v>8</v>
      </c>
      <c r="AC206" s="13">
        <f t="shared" si="47"/>
        <v>8</v>
      </c>
      <c r="AD206" s="13">
        <f t="shared" si="47"/>
        <v>5</v>
      </c>
      <c r="AE206" s="13">
        <f t="shared" si="47"/>
        <v>7</v>
      </c>
      <c r="AF206" s="13">
        <f t="shared" si="47"/>
        <v>3</v>
      </c>
      <c r="AG206" s="13">
        <f t="shared" si="47"/>
        <v>8</v>
      </c>
      <c r="AH206" s="13">
        <f t="shared" si="47"/>
        <v>53</v>
      </c>
      <c r="AI206" s="13">
        <f t="shared" si="47"/>
        <v>32</v>
      </c>
      <c r="AJ206" s="13">
        <f t="shared" si="47"/>
        <v>22</v>
      </c>
      <c r="AK206" s="13">
        <f t="shared" si="47"/>
        <v>7</v>
      </c>
      <c r="AL206" s="13">
        <f t="shared" si="47"/>
        <v>2</v>
      </c>
      <c r="AM206" s="13">
        <f t="shared" si="47"/>
        <v>0</v>
      </c>
      <c r="AN206" s="13">
        <f t="shared" si="47"/>
        <v>3</v>
      </c>
      <c r="AO206" s="13">
        <f t="shared" si="47"/>
        <v>0</v>
      </c>
      <c r="AP206" s="13">
        <f t="shared" si="47"/>
        <v>3</v>
      </c>
      <c r="AQ206" s="13">
        <f t="shared" si="47"/>
        <v>13</v>
      </c>
      <c r="AR206" s="13">
        <f t="shared" si="47"/>
        <v>7</v>
      </c>
      <c r="AS206" s="13">
        <f t="shared" si="47"/>
        <v>3</v>
      </c>
      <c r="AT206" s="13">
        <f t="shared" si="47"/>
        <v>1</v>
      </c>
      <c r="AU206" s="13">
        <f t="shared" si="47"/>
        <v>6</v>
      </c>
      <c r="AV206" s="13">
        <f t="shared" si="47"/>
        <v>1145</v>
      </c>
    </row>
    <row r="207" ht="12.75" customHeight="1">
      <c r="A207" s="24"/>
      <c r="B207" s="15"/>
      <c r="C207" s="15"/>
      <c r="D207" s="15"/>
      <c r="E207" s="16"/>
    </row>
    <row r="208" ht="12.75" customHeight="1">
      <c r="A208" s="30" t="s">
        <v>37</v>
      </c>
      <c r="B208" s="47" t="s">
        <v>182</v>
      </c>
      <c r="C208" s="48" t="s">
        <v>183</v>
      </c>
      <c r="D208" s="16"/>
      <c r="E208" s="19">
        <v>0.0</v>
      </c>
      <c r="F208" s="19">
        <v>1.0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1.0</v>
      </c>
      <c r="P208" s="19">
        <v>1.0</v>
      </c>
      <c r="Q208" s="19">
        <v>0.0</v>
      </c>
      <c r="R208" s="19">
        <v>0.0</v>
      </c>
      <c r="S208" s="19">
        <v>0.0</v>
      </c>
      <c r="T208" s="19">
        <v>1.0</v>
      </c>
      <c r="U208" s="19">
        <v>0.0</v>
      </c>
      <c r="V208" s="19">
        <v>0.0</v>
      </c>
      <c r="W208" s="19">
        <v>0.0</v>
      </c>
      <c r="X208" s="19">
        <v>0.0</v>
      </c>
      <c r="Y208" s="19">
        <v>1.0</v>
      </c>
      <c r="Z208" s="19">
        <v>1.0</v>
      </c>
      <c r="AA208" s="19">
        <v>0.0</v>
      </c>
      <c r="AB208" s="19">
        <v>0.0</v>
      </c>
      <c r="AC208" s="19">
        <v>0.0</v>
      </c>
      <c r="AD208" s="19">
        <v>1.0</v>
      </c>
      <c r="AE208" s="19">
        <v>0.0</v>
      </c>
      <c r="AF208" s="19">
        <v>0.0</v>
      </c>
      <c r="AG208" s="19">
        <v>1.0</v>
      </c>
      <c r="AH208" s="19">
        <v>0.0</v>
      </c>
      <c r="AI208" s="19">
        <v>1.0</v>
      </c>
      <c r="AJ208" s="19">
        <v>0.0</v>
      </c>
      <c r="AK208" s="19">
        <v>1.0</v>
      </c>
      <c r="AL208" s="19">
        <v>0.0</v>
      </c>
      <c r="AM208" s="19">
        <v>0.0</v>
      </c>
      <c r="AN208" s="19">
        <v>0.0</v>
      </c>
      <c r="AO208" s="19">
        <v>0.0</v>
      </c>
      <c r="AP208" s="19">
        <v>0.0</v>
      </c>
      <c r="AQ208" s="19">
        <v>1.0</v>
      </c>
      <c r="AR208" s="19">
        <v>0.0</v>
      </c>
      <c r="AS208" s="19">
        <v>0.0</v>
      </c>
      <c r="AT208" s="19">
        <v>0.0</v>
      </c>
      <c r="AU208" s="19">
        <v>0.0</v>
      </c>
      <c r="AV208" s="13">
        <f t="shared" ref="AV208:AV214" si="48">SUM(E208:AU208)</f>
        <v>11</v>
      </c>
    </row>
    <row r="209" ht="12.75" customHeight="1">
      <c r="A209" s="30" t="s">
        <v>39</v>
      </c>
      <c r="B209" s="55">
        <v>1.0</v>
      </c>
      <c r="C209" s="61" t="s">
        <v>184</v>
      </c>
      <c r="D209" s="57"/>
      <c r="E209" s="19">
        <v>0.0</v>
      </c>
      <c r="F209" s="19">
        <v>0.0</v>
      </c>
      <c r="G209" s="19">
        <v>0.0</v>
      </c>
      <c r="H209" s="19">
        <v>0.0</v>
      </c>
      <c r="I209" s="19">
        <v>1.0</v>
      </c>
      <c r="J209" s="19">
        <v>0.0</v>
      </c>
      <c r="K209" s="19">
        <v>0.0</v>
      </c>
      <c r="L209" s="19">
        <v>0.0</v>
      </c>
      <c r="M209" s="19">
        <v>0.0</v>
      </c>
      <c r="N209" s="19">
        <v>0.0</v>
      </c>
      <c r="O209" s="19">
        <v>0.0</v>
      </c>
      <c r="P209" s="19">
        <v>0.0</v>
      </c>
      <c r="Q209" s="19">
        <v>0.0</v>
      </c>
      <c r="R209" s="19">
        <v>0.0</v>
      </c>
      <c r="S209" s="19">
        <v>0.0</v>
      </c>
      <c r="T209" s="19">
        <v>0.0</v>
      </c>
      <c r="U209" s="19">
        <v>0.0</v>
      </c>
      <c r="V209" s="19">
        <v>0.0</v>
      </c>
      <c r="W209" s="19">
        <v>0.0</v>
      </c>
      <c r="X209" s="19">
        <v>0.0</v>
      </c>
      <c r="Y209" s="19">
        <v>0.0</v>
      </c>
      <c r="Z209" s="19">
        <v>0.0</v>
      </c>
      <c r="AA209" s="19">
        <v>1.0</v>
      </c>
      <c r="AB209" s="19">
        <v>0.0</v>
      </c>
      <c r="AC209" s="19">
        <v>0.0</v>
      </c>
      <c r="AD209" s="19">
        <v>0.0</v>
      </c>
      <c r="AE209" s="19">
        <v>0.0</v>
      </c>
      <c r="AF209" s="19">
        <v>0.0</v>
      </c>
      <c r="AG209" s="19">
        <v>0.0</v>
      </c>
      <c r="AH209" s="19">
        <v>0.0</v>
      </c>
      <c r="AI209" s="19">
        <v>1.0</v>
      </c>
      <c r="AJ209" s="19">
        <v>0.0</v>
      </c>
      <c r="AK209" s="19">
        <v>0.0</v>
      </c>
      <c r="AL209" s="19">
        <v>2.0</v>
      </c>
      <c r="AM209" s="19">
        <v>1.0</v>
      </c>
      <c r="AN209" s="19">
        <v>2.0</v>
      </c>
      <c r="AO209" s="19">
        <v>0.0</v>
      </c>
      <c r="AP209" s="19">
        <v>2.0</v>
      </c>
      <c r="AQ209" s="19">
        <v>0.0</v>
      </c>
      <c r="AR209" s="19">
        <v>0.0</v>
      </c>
      <c r="AS209" s="19">
        <v>1.0</v>
      </c>
      <c r="AT209" s="19">
        <v>0.0</v>
      </c>
      <c r="AU209" s="19">
        <v>0.0</v>
      </c>
      <c r="AV209" s="13">
        <f t="shared" si="48"/>
        <v>11</v>
      </c>
    </row>
    <row r="210" ht="12.75" customHeight="1">
      <c r="A210" s="18"/>
      <c r="B210" s="55">
        <v>2.0</v>
      </c>
      <c r="C210" s="61" t="s">
        <v>185</v>
      </c>
      <c r="D210" s="57"/>
      <c r="E210" s="19">
        <v>0.0</v>
      </c>
      <c r="F210" s="19">
        <v>0.0</v>
      </c>
      <c r="G210" s="19">
        <v>0.0</v>
      </c>
      <c r="H210" s="19">
        <v>0.0</v>
      </c>
      <c r="I210" s="19">
        <v>0.0</v>
      </c>
      <c r="J210" s="19">
        <v>0.0</v>
      </c>
      <c r="K210" s="19">
        <v>1.0</v>
      </c>
      <c r="L210" s="19">
        <v>0.0</v>
      </c>
      <c r="M210" s="19">
        <v>0.0</v>
      </c>
      <c r="N210" s="19">
        <v>0.0</v>
      </c>
      <c r="O210" s="19">
        <v>0.0</v>
      </c>
      <c r="P210" s="19">
        <v>1.0</v>
      </c>
      <c r="Q210" s="19">
        <v>1.0</v>
      </c>
      <c r="R210" s="19">
        <v>0.0</v>
      </c>
      <c r="S210" s="19">
        <v>1.0</v>
      </c>
      <c r="T210" s="19">
        <v>1.0</v>
      </c>
      <c r="U210" s="19">
        <v>0.0</v>
      </c>
      <c r="V210" s="19">
        <v>0.0</v>
      </c>
      <c r="W210" s="19">
        <v>1.0</v>
      </c>
      <c r="X210" s="19">
        <v>0.0</v>
      </c>
      <c r="Y210" s="19">
        <v>0.0</v>
      </c>
      <c r="Z210" s="19">
        <v>0.0</v>
      </c>
      <c r="AA210" s="19">
        <v>0.0</v>
      </c>
      <c r="AB210" s="19">
        <v>0.0</v>
      </c>
      <c r="AC210" s="19">
        <v>0.0</v>
      </c>
      <c r="AD210" s="19">
        <v>0.0</v>
      </c>
      <c r="AE210" s="19">
        <v>0.0</v>
      </c>
      <c r="AF210" s="19">
        <v>0.0</v>
      </c>
      <c r="AG210" s="19">
        <v>1.0</v>
      </c>
      <c r="AH210" s="19">
        <v>0.0</v>
      </c>
      <c r="AI210" s="19">
        <v>0.0</v>
      </c>
      <c r="AJ210" s="19">
        <v>0.0</v>
      </c>
      <c r="AK210" s="19">
        <v>0.0</v>
      </c>
      <c r="AL210" s="19">
        <v>0.0</v>
      </c>
      <c r="AM210" s="19">
        <v>0.0</v>
      </c>
      <c r="AN210" s="19">
        <v>0.0</v>
      </c>
      <c r="AO210" s="19">
        <v>0.0</v>
      </c>
      <c r="AP210" s="19">
        <v>1.0</v>
      </c>
      <c r="AQ210" s="19">
        <v>2.0</v>
      </c>
      <c r="AR210" s="19">
        <v>0.0</v>
      </c>
      <c r="AS210" s="19">
        <v>1.0</v>
      </c>
      <c r="AT210" s="19">
        <v>0.0</v>
      </c>
      <c r="AU210" s="19">
        <v>0.0</v>
      </c>
      <c r="AV210" s="13">
        <f t="shared" si="48"/>
        <v>11</v>
      </c>
    </row>
    <row r="211" ht="12.75" customHeight="1">
      <c r="A211" s="18"/>
      <c r="B211" s="55">
        <v>3.0</v>
      </c>
      <c r="C211" s="61" t="s">
        <v>186</v>
      </c>
      <c r="D211" s="57"/>
      <c r="E211" s="19">
        <v>0.0</v>
      </c>
      <c r="F211" s="19">
        <v>0.0</v>
      </c>
      <c r="G211" s="19">
        <v>0.0</v>
      </c>
      <c r="H211" s="19">
        <v>0.0</v>
      </c>
      <c r="I211" s="19">
        <v>0.0</v>
      </c>
      <c r="J211" s="19">
        <v>0.0</v>
      </c>
      <c r="K211" s="19">
        <v>0.0</v>
      </c>
      <c r="L211" s="19">
        <v>0.0</v>
      </c>
      <c r="M211" s="19">
        <v>0.0</v>
      </c>
      <c r="N211" s="19">
        <v>0.0</v>
      </c>
      <c r="O211" s="19">
        <v>0.0</v>
      </c>
      <c r="P211" s="19">
        <v>0.0</v>
      </c>
      <c r="Q211" s="19">
        <v>0.0</v>
      </c>
      <c r="R211" s="19">
        <v>0.0</v>
      </c>
      <c r="S211" s="19">
        <v>0.0</v>
      </c>
      <c r="T211" s="19">
        <v>0.0</v>
      </c>
      <c r="U211" s="19">
        <v>0.0</v>
      </c>
      <c r="V211" s="19">
        <v>0.0</v>
      </c>
      <c r="W211" s="19">
        <v>0.0</v>
      </c>
      <c r="X211" s="19">
        <v>0.0</v>
      </c>
      <c r="Y211" s="19">
        <v>0.0</v>
      </c>
      <c r="Z211" s="19">
        <v>0.0</v>
      </c>
      <c r="AA211" s="19">
        <v>1.0</v>
      </c>
      <c r="AB211" s="19">
        <v>0.0</v>
      </c>
      <c r="AC211" s="19">
        <v>0.0</v>
      </c>
      <c r="AD211" s="19">
        <v>0.0</v>
      </c>
      <c r="AE211" s="19">
        <v>0.0</v>
      </c>
      <c r="AF211" s="19">
        <v>0.0</v>
      </c>
      <c r="AG211" s="19">
        <v>0.0</v>
      </c>
      <c r="AH211" s="19">
        <v>0.0</v>
      </c>
      <c r="AI211" s="19">
        <v>0.0</v>
      </c>
      <c r="AJ211" s="19">
        <v>0.0</v>
      </c>
      <c r="AK211" s="19">
        <v>0.0</v>
      </c>
      <c r="AL211" s="19">
        <v>0.0</v>
      </c>
      <c r="AM211" s="19">
        <v>0.0</v>
      </c>
      <c r="AN211" s="19">
        <v>0.0</v>
      </c>
      <c r="AO211" s="19">
        <v>0.0</v>
      </c>
      <c r="AP211" s="19">
        <v>0.0</v>
      </c>
      <c r="AQ211" s="19">
        <v>0.0</v>
      </c>
      <c r="AR211" s="19">
        <v>0.0</v>
      </c>
      <c r="AS211" s="19">
        <v>0.0</v>
      </c>
      <c r="AT211" s="19">
        <v>0.0</v>
      </c>
      <c r="AU211" s="19">
        <v>0.0</v>
      </c>
      <c r="AV211" s="13">
        <f t="shared" si="48"/>
        <v>1</v>
      </c>
    </row>
    <row r="212" ht="12.75" customHeight="1">
      <c r="A212" s="18"/>
      <c r="B212" s="55">
        <v>4.0</v>
      </c>
      <c r="C212" s="61" t="s">
        <v>187</v>
      </c>
      <c r="D212" s="57"/>
      <c r="E212" s="19">
        <v>0.0</v>
      </c>
      <c r="F212" s="19">
        <v>0.0</v>
      </c>
      <c r="G212" s="19">
        <v>0.0</v>
      </c>
      <c r="H212" s="19">
        <v>0.0</v>
      </c>
      <c r="I212" s="19">
        <v>0.0</v>
      </c>
      <c r="J212" s="19">
        <v>0.0</v>
      </c>
      <c r="K212" s="19">
        <v>0.0</v>
      </c>
      <c r="L212" s="19">
        <v>0.0</v>
      </c>
      <c r="M212" s="19">
        <v>0.0</v>
      </c>
      <c r="N212" s="19">
        <v>0.0</v>
      </c>
      <c r="O212" s="19">
        <v>0.0</v>
      </c>
      <c r="P212" s="19">
        <v>0.0</v>
      </c>
      <c r="Q212" s="19">
        <v>0.0</v>
      </c>
      <c r="R212" s="19">
        <v>0.0</v>
      </c>
      <c r="S212" s="19">
        <v>0.0</v>
      </c>
      <c r="T212" s="19">
        <v>0.0</v>
      </c>
      <c r="U212" s="19">
        <v>0.0</v>
      </c>
      <c r="V212" s="19">
        <v>0.0</v>
      </c>
      <c r="W212" s="19">
        <v>0.0</v>
      </c>
      <c r="X212" s="19">
        <v>0.0</v>
      </c>
      <c r="Y212" s="19">
        <v>0.0</v>
      </c>
      <c r="Z212" s="19">
        <v>0.0</v>
      </c>
      <c r="AA212" s="19">
        <v>0.0</v>
      </c>
      <c r="AB212" s="19">
        <v>0.0</v>
      </c>
      <c r="AC212" s="19">
        <v>0.0</v>
      </c>
      <c r="AD212" s="19">
        <v>0.0</v>
      </c>
      <c r="AE212" s="19">
        <v>0.0</v>
      </c>
      <c r="AF212" s="19">
        <v>0.0</v>
      </c>
      <c r="AG212" s="19">
        <v>0.0</v>
      </c>
      <c r="AH212" s="19">
        <v>0.0</v>
      </c>
      <c r="AI212" s="19">
        <v>0.0</v>
      </c>
      <c r="AJ212" s="19">
        <v>0.0</v>
      </c>
      <c r="AK212" s="19">
        <v>0.0</v>
      </c>
      <c r="AL212" s="19">
        <v>0.0</v>
      </c>
      <c r="AM212" s="19">
        <v>0.0</v>
      </c>
      <c r="AN212" s="19">
        <v>0.0</v>
      </c>
      <c r="AO212" s="19">
        <v>0.0</v>
      </c>
      <c r="AP212" s="19">
        <v>0.0</v>
      </c>
      <c r="AQ212" s="19">
        <v>0.0</v>
      </c>
      <c r="AR212" s="19">
        <v>0.0</v>
      </c>
      <c r="AS212" s="19">
        <v>0.0</v>
      </c>
      <c r="AT212" s="19">
        <v>0.0</v>
      </c>
      <c r="AU212" s="19">
        <v>0.0</v>
      </c>
      <c r="AV212" s="13">
        <f t="shared" si="48"/>
        <v>0</v>
      </c>
    </row>
    <row r="213" ht="12.75" customHeight="1">
      <c r="A213" s="18"/>
      <c r="B213" s="55">
        <v>5.0</v>
      </c>
      <c r="C213" s="61" t="s">
        <v>188</v>
      </c>
      <c r="D213" s="57"/>
      <c r="E213" s="19">
        <v>0.0</v>
      </c>
      <c r="F213" s="19">
        <v>0.0</v>
      </c>
      <c r="G213" s="19">
        <v>0.0</v>
      </c>
      <c r="H213" s="19">
        <v>0.0</v>
      </c>
      <c r="I213" s="19">
        <v>0.0</v>
      </c>
      <c r="J213" s="19">
        <v>0.0</v>
      </c>
      <c r="K213" s="19">
        <v>0.0</v>
      </c>
      <c r="L213" s="19">
        <v>0.0</v>
      </c>
      <c r="M213" s="19">
        <v>0.0</v>
      </c>
      <c r="N213" s="19">
        <v>0.0</v>
      </c>
      <c r="O213" s="19">
        <v>0.0</v>
      </c>
      <c r="P213" s="19">
        <v>0.0</v>
      </c>
      <c r="Q213" s="19">
        <v>0.0</v>
      </c>
      <c r="R213" s="19">
        <v>0.0</v>
      </c>
      <c r="S213" s="19">
        <v>1.0</v>
      </c>
      <c r="T213" s="19">
        <v>0.0</v>
      </c>
      <c r="U213" s="19">
        <v>0.0</v>
      </c>
      <c r="V213" s="19">
        <v>0.0</v>
      </c>
      <c r="W213" s="19">
        <v>0.0</v>
      </c>
      <c r="X213" s="19">
        <v>0.0</v>
      </c>
      <c r="Y213" s="19">
        <v>0.0</v>
      </c>
      <c r="Z213" s="19">
        <v>0.0</v>
      </c>
      <c r="AA213" s="19">
        <v>0.0</v>
      </c>
      <c r="AB213" s="19">
        <v>0.0</v>
      </c>
      <c r="AC213" s="19">
        <v>0.0</v>
      </c>
      <c r="AD213" s="19">
        <v>0.0</v>
      </c>
      <c r="AE213" s="19">
        <v>0.0</v>
      </c>
      <c r="AF213" s="19">
        <v>0.0</v>
      </c>
      <c r="AG213" s="19">
        <v>0.0</v>
      </c>
      <c r="AH213" s="19">
        <v>0.0</v>
      </c>
      <c r="AI213" s="19">
        <v>0.0</v>
      </c>
      <c r="AJ213" s="19">
        <v>0.0</v>
      </c>
      <c r="AK213" s="19">
        <v>0.0</v>
      </c>
      <c r="AL213" s="19">
        <v>0.0</v>
      </c>
      <c r="AM213" s="19">
        <v>0.0</v>
      </c>
      <c r="AN213" s="19">
        <v>0.0</v>
      </c>
      <c r="AO213" s="19">
        <v>0.0</v>
      </c>
      <c r="AP213" s="19">
        <v>0.0</v>
      </c>
      <c r="AQ213" s="19">
        <v>1.0</v>
      </c>
      <c r="AR213" s="19">
        <v>0.0</v>
      </c>
      <c r="AS213" s="19">
        <v>0.0</v>
      </c>
      <c r="AT213" s="19">
        <v>0.0</v>
      </c>
      <c r="AU213" s="19">
        <v>0.0</v>
      </c>
      <c r="AV213" s="13">
        <f t="shared" si="48"/>
        <v>2</v>
      </c>
    </row>
    <row r="214" ht="12.75" customHeight="1">
      <c r="A214" s="18"/>
      <c r="B214" s="55">
        <v>6.0</v>
      </c>
      <c r="C214" s="61" t="s">
        <v>189</v>
      </c>
      <c r="D214" s="57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1.0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1.0</v>
      </c>
      <c r="Q214" s="19">
        <v>0.0</v>
      </c>
      <c r="R214" s="19">
        <v>0.0</v>
      </c>
      <c r="S214" s="19">
        <v>0.0</v>
      </c>
      <c r="T214" s="19">
        <v>0.0</v>
      </c>
      <c r="U214" s="19">
        <v>0.0</v>
      </c>
      <c r="V214" s="19">
        <v>0.0</v>
      </c>
      <c r="W214" s="19">
        <v>0.0</v>
      </c>
      <c r="X214" s="19">
        <v>0.0</v>
      </c>
      <c r="Y214" s="19">
        <v>0.0</v>
      </c>
      <c r="Z214" s="19">
        <v>0.0</v>
      </c>
      <c r="AA214" s="19">
        <v>0.0</v>
      </c>
      <c r="AB214" s="19">
        <v>0.0</v>
      </c>
      <c r="AC214" s="19">
        <v>0.0</v>
      </c>
      <c r="AD214" s="19">
        <v>0.0</v>
      </c>
      <c r="AE214" s="19">
        <v>0.0</v>
      </c>
      <c r="AF214" s="19">
        <v>0.0</v>
      </c>
      <c r="AG214" s="19">
        <v>0.0</v>
      </c>
      <c r="AH214" s="19">
        <v>0.0</v>
      </c>
      <c r="AI214" s="19">
        <v>0.0</v>
      </c>
      <c r="AJ214" s="19">
        <v>0.0</v>
      </c>
      <c r="AK214" s="19">
        <v>0.0</v>
      </c>
      <c r="AL214" s="19">
        <v>0.0</v>
      </c>
      <c r="AM214" s="19">
        <v>0.0</v>
      </c>
      <c r="AN214" s="19">
        <v>0.0</v>
      </c>
      <c r="AO214" s="19">
        <v>0.0</v>
      </c>
      <c r="AP214" s="19">
        <v>0.0</v>
      </c>
      <c r="AQ214" s="19">
        <v>1.0</v>
      </c>
      <c r="AR214" s="19">
        <v>0.0</v>
      </c>
      <c r="AS214" s="19">
        <v>0.0</v>
      </c>
      <c r="AT214" s="19">
        <v>0.0</v>
      </c>
      <c r="AU214" s="19">
        <v>0.0</v>
      </c>
      <c r="AV214" s="13">
        <f t="shared" si="48"/>
        <v>3</v>
      </c>
    </row>
    <row r="215" ht="12.75" customHeight="1">
      <c r="A215" s="19" t="s">
        <v>15</v>
      </c>
      <c r="B215" s="47" t="s">
        <v>47</v>
      </c>
      <c r="C215" s="15"/>
      <c r="D215" s="16"/>
      <c r="E215" s="13">
        <f t="shared" ref="E215:AV215" si="49">SUM(E208:E214)</f>
        <v>0</v>
      </c>
      <c r="F215" s="13">
        <f t="shared" si="49"/>
        <v>1</v>
      </c>
      <c r="G215" s="13">
        <f t="shared" si="49"/>
        <v>0</v>
      </c>
      <c r="H215" s="13">
        <f t="shared" si="49"/>
        <v>0</v>
      </c>
      <c r="I215" s="13">
        <f t="shared" si="49"/>
        <v>1</v>
      </c>
      <c r="J215" s="13">
        <f t="shared" si="49"/>
        <v>1</v>
      </c>
      <c r="K215" s="13">
        <f t="shared" si="49"/>
        <v>1</v>
      </c>
      <c r="L215" s="13">
        <f t="shared" si="49"/>
        <v>0</v>
      </c>
      <c r="M215" s="13">
        <f t="shared" si="49"/>
        <v>0</v>
      </c>
      <c r="N215" s="13">
        <f t="shared" si="49"/>
        <v>0</v>
      </c>
      <c r="O215" s="13">
        <f t="shared" si="49"/>
        <v>1</v>
      </c>
      <c r="P215" s="13">
        <f t="shared" si="49"/>
        <v>3</v>
      </c>
      <c r="Q215" s="13">
        <f t="shared" si="49"/>
        <v>1</v>
      </c>
      <c r="R215" s="13">
        <f t="shared" si="49"/>
        <v>0</v>
      </c>
      <c r="S215" s="13">
        <f t="shared" si="49"/>
        <v>2</v>
      </c>
      <c r="T215" s="13">
        <f t="shared" si="49"/>
        <v>2</v>
      </c>
      <c r="U215" s="13">
        <f t="shared" si="49"/>
        <v>0</v>
      </c>
      <c r="V215" s="13">
        <f t="shared" si="49"/>
        <v>0</v>
      </c>
      <c r="W215" s="13">
        <f t="shared" si="49"/>
        <v>1</v>
      </c>
      <c r="X215" s="13">
        <f t="shared" si="49"/>
        <v>0</v>
      </c>
      <c r="Y215" s="13">
        <f t="shared" si="49"/>
        <v>1</v>
      </c>
      <c r="Z215" s="13">
        <f t="shared" si="49"/>
        <v>1</v>
      </c>
      <c r="AA215" s="13">
        <f t="shared" si="49"/>
        <v>2</v>
      </c>
      <c r="AB215" s="13">
        <f t="shared" si="49"/>
        <v>0</v>
      </c>
      <c r="AC215" s="13">
        <f t="shared" si="49"/>
        <v>0</v>
      </c>
      <c r="AD215" s="13">
        <f t="shared" si="49"/>
        <v>1</v>
      </c>
      <c r="AE215" s="13">
        <f t="shared" si="49"/>
        <v>0</v>
      </c>
      <c r="AF215" s="13">
        <f t="shared" si="49"/>
        <v>0</v>
      </c>
      <c r="AG215" s="13">
        <f t="shared" si="49"/>
        <v>2</v>
      </c>
      <c r="AH215" s="13">
        <f t="shared" si="49"/>
        <v>0</v>
      </c>
      <c r="AI215" s="13">
        <f t="shared" si="49"/>
        <v>2</v>
      </c>
      <c r="AJ215" s="13">
        <f t="shared" si="49"/>
        <v>0</v>
      </c>
      <c r="AK215" s="13">
        <f t="shared" si="49"/>
        <v>1</v>
      </c>
      <c r="AL215" s="13">
        <f t="shared" si="49"/>
        <v>2</v>
      </c>
      <c r="AM215" s="13">
        <f t="shared" si="49"/>
        <v>1</v>
      </c>
      <c r="AN215" s="13">
        <f t="shared" si="49"/>
        <v>2</v>
      </c>
      <c r="AO215" s="13">
        <f t="shared" si="49"/>
        <v>0</v>
      </c>
      <c r="AP215" s="13">
        <f t="shared" si="49"/>
        <v>3</v>
      </c>
      <c r="AQ215" s="13">
        <f t="shared" si="49"/>
        <v>5</v>
      </c>
      <c r="AR215" s="13">
        <f t="shared" si="49"/>
        <v>0</v>
      </c>
      <c r="AS215" s="13">
        <f t="shared" si="49"/>
        <v>2</v>
      </c>
      <c r="AT215" s="13">
        <f t="shared" si="49"/>
        <v>0</v>
      </c>
      <c r="AU215" s="13">
        <f t="shared" si="49"/>
        <v>0</v>
      </c>
      <c r="AV215" s="13">
        <f t="shared" si="49"/>
        <v>39</v>
      </c>
    </row>
    <row r="216" ht="12.75" customHeight="1"/>
    <row r="217" ht="12.75" customHeight="1">
      <c r="A217" s="42" t="s">
        <v>190</v>
      </c>
      <c r="B217" s="14" t="s">
        <v>191</v>
      </c>
      <c r="C217" s="15"/>
      <c r="D217" s="16"/>
      <c r="E217" s="13"/>
      <c r="F217" s="13"/>
      <c r="G217" s="13"/>
      <c r="H217" s="13"/>
      <c r="I217" s="13"/>
      <c r="J217" s="13"/>
      <c r="K217" s="13"/>
      <c r="L217" s="13"/>
      <c r="M217" s="13"/>
      <c r="N217" s="71"/>
      <c r="O217" s="71"/>
      <c r="P217" s="71"/>
      <c r="Q217" s="71"/>
      <c r="R217" s="71"/>
      <c r="S217" s="71"/>
      <c r="T217" s="13"/>
      <c r="U217" s="13"/>
      <c r="V217" s="13"/>
      <c r="W217" s="13"/>
      <c r="X217" s="13"/>
      <c r="Y217" s="13"/>
      <c r="Z217" s="13"/>
      <c r="AA217" s="13"/>
      <c r="AB217" s="71"/>
      <c r="AC217" s="71"/>
      <c r="AD217" s="71"/>
      <c r="AE217" s="71"/>
      <c r="AF217" s="71"/>
      <c r="AG217" s="71"/>
      <c r="AH217" s="13"/>
      <c r="AI217" s="13"/>
      <c r="AJ217" s="13"/>
      <c r="AK217" s="13"/>
      <c r="AL217" s="13"/>
      <c r="AM217" s="13"/>
      <c r="AN217" s="13"/>
      <c r="AO217" s="71"/>
      <c r="AP217" s="71"/>
      <c r="AQ217" s="71"/>
      <c r="AR217" s="71"/>
      <c r="AS217" s="71"/>
      <c r="AT217" s="71"/>
      <c r="AU217" s="71"/>
      <c r="AV217" s="13"/>
    </row>
    <row r="218" ht="12.75" customHeight="1">
      <c r="A218" s="42"/>
      <c r="B218" s="64" t="s">
        <v>192</v>
      </c>
      <c r="C218" s="65" t="s">
        <v>193</v>
      </c>
      <c r="D218" s="16"/>
      <c r="E218" s="19">
        <f t="shared" ref="E218:AU218" si="50">E53+E63+E73+E83+E93+E103+E109+E119+E129+E136+E146+E156+E166+E176+E186+E196+E206+E215</f>
        <v>243</v>
      </c>
      <c r="F218" s="19">
        <f t="shared" si="50"/>
        <v>168</v>
      </c>
      <c r="G218" s="19">
        <f t="shared" si="50"/>
        <v>148</v>
      </c>
      <c r="H218" s="19">
        <f t="shared" si="50"/>
        <v>218</v>
      </c>
      <c r="I218" s="19">
        <f t="shared" si="50"/>
        <v>200</v>
      </c>
      <c r="J218" s="19">
        <f t="shared" si="50"/>
        <v>188</v>
      </c>
      <c r="K218" s="19">
        <f t="shared" si="50"/>
        <v>209</v>
      </c>
      <c r="L218" s="19">
        <f t="shared" si="50"/>
        <v>178</v>
      </c>
      <c r="M218" s="19">
        <f t="shared" si="50"/>
        <v>182</v>
      </c>
      <c r="N218" s="19">
        <f t="shared" si="50"/>
        <v>201</v>
      </c>
      <c r="O218" s="19">
        <f t="shared" si="50"/>
        <v>192</v>
      </c>
      <c r="P218" s="19">
        <f t="shared" si="50"/>
        <v>185</v>
      </c>
      <c r="Q218" s="19">
        <f t="shared" si="50"/>
        <v>188</v>
      </c>
      <c r="R218" s="19">
        <f t="shared" si="50"/>
        <v>180</v>
      </c>
      <c r="S218" s="19">
        <f t="shared" si="50"/>
        <v>183</v>
      </c>
      <c r="T218" s="19">
        <f t="shared" si="50"/>
        <v>188</v>
      </c>
      <c r="U218" s="19">
        <f t="shared" si="50"/>
        <v>178</v>
      </c>
      <c r="V218" s="19">
        <f t="shared" si="50"/>
        <v>186</v>
      </c>
      <c r="W218" s="19">
        <f t="shared" si="50"/>
        <v>206</v>
      </c>
      <c r="X218" s="19">
        <f t="shared" si="50"/>
        <v>194</v>
      </c>
      <c r="Y218" s="19">
        <f t="shared" si="50"/>
        <v>187</v>
      </c>
      <c r="Z218" s="19">
        <f t="shared" si="50"/>
        <v>196</v>
      </c>
      <c r="AA218" s="19">
        <f t="shared" si="50"/>
        <v>189</v>
      </c>
      <c r="AB218" s="19">
        <f t="shared" si="50"/>
        <v>198</v>
      </c>
      <c r="AC218" s="19">
        <f t="shared" si="50"/>
        <v>197</v>
      </c>
      <c r="AD218" s="19">
        <f t="shared" si="50"/>
        <v>192</v>
      </c>
      <c r="AE218" s="19">
        <f t="shared" si="50"/>
        <v>190</v>
      </c>
      <c r="AF218" s="19">
        <f t="shared" si="50"/>
        <v>198</v>
      </c>
      <c r="AG218" s="19">
        <f t="shared" si="50"/>
        <v>187</v>
      </c>
      <c r="AH218" s="19">
        <f t="shared" si="50"/>
        <v>187</v>
      </c>
      <c r="AI218" s="19">
        <f t="shared" si="50"/>
        <v>197</v>
      </c>
      <c r="AJ218" s="19">
        <f t="shared" si="50"/>
        <v>212</v>
      </c>
      <c r="AK218" s="19">
        <f t="shared" si="50"/>
        <v>220</v>
      </c>
      <c r="AL218" s="19">
        <f t="shared" si="50"/>
        <v>127</v>
      </c>
      <c r="AM218" s="19">
        <f t="shared" si="50"/>
        <v>174</v>
      </c>
      <c r="AN218" s="19">
        <f t="shared" si="50"/>
        <v>192</v>
      </c>
      <c r="AO218" s="19">
        <f t="shared" si="50"/>
        <v>164</v>
      </c>
      <c r="AP218" s="19">
        <f t="shared" si="50"/>
        <v>187</v>
      </c>
      <c r="AQ218" s="19">
        <f t="shared" si="50"/>
        <v>179</v>
      </c>
      <c r="AR218" s="19">
        <f t="shared" si="50"/>
        <v>157</v>
      </c>
      <c r="AS218" s="19">
        <f t="shared" si="50"/>
        <v>184</v>
      </c>
      <c r="AT218" s="19">
        <f t="shared" si="50"/>
        <v>189</v>
      </c>
      <c r="AU218" s="19">
        <f t="shared" si="50"/>
        <v>165</v>
      </c>
      <c r="AV218" s="13">
        <f t="shared" ref="AV218:AV220" si="51">SUM(E218:AU218)</f>
        <v>8083</v>
      </c>
    </row>
    <row r="219" ht="12.75" customHeight="1">
      <c r="A219" s="35"/>
      <c r="B219" s="64" t="s">
        <v>194</v>
      </c>
      <c r="C219" s="65" t="s">
        <v>195</v>
      </c>
      <c r="D219" s="16"/>
      <c r="E219" s="19">
        <v>8.0</v>
      </c>
      <c r="F219" s="19">
        <v>18.0</v>
      </c>
      <c r="G219" s="19">
        <v>28.0</v>
      </c>
      <c r="H219" s="19">
        <v>14.0</v>
      </c>
      <c r="I219" s="19">
        <v>26.0</v>
      </c>
      <c r="J219" s="19">
        <v>25.0</v>
      </c>
      <c r="K219" s="19">
        <v>19.0</v>
      </c>
      <c r="L219" s="19">
        <v>36.0</v>
      </c>
      <c r="M219" s="19">
        <v>29.0</v>
      </c>
      <c r="N219" s="19">
        <v>26.0</v>
      </c>
      <c r="O219" s="19">
        <v>16.0</v>
      </c>
      <c r="P219" s="19">
        <v>28.0</v>
      </c>
      <c r="Q219" s="19">
        <v>21.0</v>
      </c>
      <c r="R219" s="19">
        <v>29.0</v>
      </c>
      <c r="S219" s="19">
        <v>20.0</v>
      </c>
      <c r="T219" s="19">
        <v>28.0</v>
      </c>
      <c r="U219" s="19">
        <v>31.0</v>
      </c>
      <c r="V219" s="19">
        <v>27.0</v>
      </c>
      <c r="W219" s="19">
        <v>22.0</v>
      </c>
      <c r="X219" s="19">
        <v>32.0</v>
      </c>
      <c r="Y219" s="19">
        <v>30.0</v>
      </c>
      <c r="Z219" s="19">
        <v>30.0</v>
      </c>
      <c r="AA219" s="19">
        <v>37.0</v>
      </c>
      <c r="AB219" s="19">
        <v>29.0</v>
      </c>
      <c r="AC219" s="19">
        <v>22.0</v>
      </c>
      <c r="AD219" s="19">
        <v>22.0</v>
      </c>
      <c r="AE219" s="19">
        <v>31.0</v>
      </c>
      <c r="AF219" s="19">
        <v>30.0</v>
      </c>
      <c r="AG219" s="19">
        <v>19.0</v>
      </c>
      <c r="AH219" s="19">
        <v>21.0</v>
      </c>
      <c r="AI219" s="19">
        <v>18.0</v>
      </c>
      <c r="AJ219" s="19">
        <v>18.0</v>
      </c>
      <c r="AK219" s="19">
        <v>14.0</v>
      </c>
      <c r="AL219" s="19">
        <v>18.0</v>
      </c>
      <c r="AM219" s="19">
        <v>15.0</v>
      </c>
      <c r="AN219" s="19">
        <v>16.0</v>
      </c>
      <c r="AO219" s="19">
        <v>26.0</v>
      </c>
      <c r="AP219" s="19">
        <v>30.0</v>
      </c>
      <c r="AQ219" s="19">
        <v>27.0</v>
      </c>
      <c r="AR219" s="19">
        <v>15.0</v>
      </c>
      <c r="AS219" s="19">
        <v>23.0</v>
      </c>
      <c r="AT219" s="19">
        <v>24.0</v>
      </c>
      <c r="AU219" s="19">
        <v>18.0</v>
      </c>
      <c r="AV219" s="13">
        <f t="shared" si="51"/>
        <v>1016</v>
      </c>
    </row>
    <row r="220" ht="12.75" customHeight="1">
      <c r="A220" s="41"/>
      <c r="B220" s="64" t="s">
        <v>196</v>
      </c>
      <c r="C220" s="65" t="s">
        <v>197</v>
      </c>
      <c r="D220" s="16"/>
      <c r="E220" s="13">
        <f t="shared" ref="E220:AU220" si="52">SUM(E218:E219)</f>
        <v>251</v>
      </c>
      <c r="F220" s="13">
        <f t="shared" si="52"/>
        <v>186</v>
      </c>
      <c r="G220" s="13">
        <f t="shared" si="52"/>
        <v>176</v>
      </c>
      <c r="H220" s="13">
        <f t="shared" si="52"/>
        <v>232</v>
      </c>
      <c r="I220" s="13">
        <f t="shared" si="52"/>
        <v>226</v>
      </c>
      <c r="J220" s="13">
        <f t="shared" si="52"/>
        <v>213</v>
      </c>
      <c r="K220" s="13">
        <f t="shared" si="52"/>
        <v>228</v>
      </c>
      <c r="L220" s="13">
        <f t="shared" si="52"/>
        <v>214</v>
      </c>
      <c r="M220" s="13">
        <f t="shared" si="52"/>
        <v>211</v>
      </c>
      <c r="N220" s="13">
        <f t="shared" si="52"/>
        <v>227</v>
      </c>
      <c r="O220" s="13">
        <f t="shared" si="52"/>
        <v>208</v>
      </c>
      <c r="P220" s="13">
        <f t="shared" si="52"/>
        <v>213</v>
      </c>
      <c r="Q220" s="13">
        <f t="shared" si="52"/>
        <v>209</v>
      </c>
      <c r="R220" s="13">
        <f t="shared" si="52"/>
        <v>209</v>
      </c>
      <c r="S220" s="13">
        <f t="shared" si="52"/>
        <v>203</v>
      </c>
      <c r="T220" s="13">
        <f t="shared" si="52"/>
        <v>216</v>
      </c>
      <c r="U220" s="13">
        <f t="shared" si="52"/>
        <v>209</v>
      </c>
      <c r="V220" s="13">
        <f t="shared" si="52"/>
        <v>213</v>
      </c>
      <c r="W220" s="13">
        <f t="shared" si="52"/>
        <v>228</v>
      </c>
      <c r="X220" s="13">
        <f t="shared" si="52"/>
        <v>226</v>
      </c>
      <c r="Y220" s="13">
        <f t="shared" si="52"/>
        <v>217</v>
      </c>
      <c r="Z220" s="13">
        <f t="shared" si="52"/>
        <v>226</v>
      </c>
      <c r="AA220" s="13">
        <f t="shared" si="52"/>
        <v>226</v>
      </c>
      <c r="AB220" s="13">
        <f t="shared" si="52"/>
        <v>227</v>
      </c>
      <c r="AC220" s="13">
        <f t="shared" si="52"/>
        <v>219</v>
      </c>
      <c r="AD220" s="13">
        <f t="shared" si="52"/>
        <v>214</v>
      </c>
      <c r="AE220" s="13">
        <f t="shared" si="52"/>
        <v>221</v>
      </c>
      <c r="AF220" s="13">
        <f t="shared" si="52"/>
        <v>228</v>
      </c>
      <c r="AG220" s="13">
        <f t="shared" si="52"/>
        <v>206</v>
      </c>
      <c r="AH220" s="13">
        <f t="shared" si="52"/>
        <v>208</v>
      </c>
      <c r="AI220" s="13">
        <f t="shared" si="52"/>
        <v>215</v>
      </c>
      <c r="AJ220" s="13">
        <f t="shared" si="52"/>
        <v>230</v>
      </c>
      <c r="AK220" s="13">
        <f t="shared" si="52"/>
        <v>234</v>
      </c>
      <c r="AL220" s="13">
        <f t="shared" si="52"/>
        <v>145</v>
      </c>
      <c r="AM220" s="13">
        <f t="shared" si="52"/>
        <v>189</v>
      </c>
      <c r="AN220" s="13">
        <f t="shared" si="52"/>
        <v>208</v>
      </c>
      <c r="AO220" s="13">
        <f t="shared" si="52"/>
        <v>190</v>
      </c>
      <c r="AP220" s="13">
        <f t="shared" si="52"/>
        <v>217</v>
      </c>
      <c r="AQ220" s="13">
        <f t="shared" si="52"/>
        <v>206</v>
      </c>
      <c r="AR220" s="13">
        <f t="shared" si="52"/>
        <v>172</v>
      </c>
      <c r="AS220" s="13">
        <f t="shared" si="52"/>
        <v>207</v>
      </c>
      <c r="AT220" s="13">
        <f t="shared" si="52"/>
        <v>213</v>
      </c>
      <c r="AU220" s="13">
        <f t="shared" si="52"/>
        <v>183</v>
      </c>
      <c r="AV220" s="13">
        <f t="shared" si="51"/>
        <v>9099</v>
      </c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C50:D50"/>
    <mergeCell ref="C51:D51"/>
    <mergeCell ref="C52:D52"/>
    <mergeCell ref="B53:D53"/>
    <mergeCell ref="A54:E54"/>
    <mergeCell ref="C55:D55"/>
    <mergeCell ref="B63:D63"/>
    <mergeCell ref="A64:E64"/>
    <mergeCell ref="C65:D65"/>
    <mergeCell ref="B73:D73"/>
    <mergeCell ref="A74:E74"/>
    <mergeCell ref="C75:D75"/>
    <mergeCell ref="B83:D83"/>
    <mergeCell ref="A84:E84"/>
    <mergeCell ref="B103:D103"/>
    <mergeCell ref="A104:E104"/>
    <mergeCell ref="C105:D105"/>
    <mergeCell ref="B109:D109"/>
    <mergeCell ref="A110:E110"/>
    <mergeCell ref="C111:D111"/>
    <mergeCell ref="B119:D119"/>
    <mergeCell ref="A120:E120"/>
    <mergeCell ref="C121:D121"/>
    <mergeCell ref="B129:D129"/>
    <mergeCell ref="A130:E130"/>
    <mergeCell ref="C131:D131"/>
    <mergeCell ref="B136:D136"/>
    <mergeCell ref="A137:E137"/>
    <mergeCell ref="C138:D138"/>
    <mergeCell ref="B146:D146"/>
    <mergeCell ref="A147:E147"/>
    <mergeCell ref="C148:D148"/>
    <mergeCell ref="B156:D156"/>
    <mergeCell ref="A157:E157"/>
    <mergeCell ref="C158:D158"/>
    <mergeCell ref="B166:D166"/>
    <mergeCell ref="A167:E167"/>
    <mergeCell ref="C168:D168"/>
    <mergeCell ref="B176:D176"/>
    <mergeCell ref="A177:E177"/>
    <mergeCell ref="C178:D178"/>
    <mergeCell ref="B186:D186"/>
    <mergeCell ref="C208:D208"/>
    <mergeCell ref="B215:D215"/>
    <mergeCell ref="B217:D217"/>
    <mergeCell ref="C218:D218"/>
    <mergeCell ref="C219:D219"/>
    <mergeCell ref="C220:D220"/>
    <mergeCell ref="A187:E187"/>
    <mergeCell ref="C188:D188"/>
    <mergeCell ref="B196:D196"/>
    <mergeCell ref="A197:E197"/>
    <mergeCell ref="C198:D198"/>
    <mergeCell ref="B206:D206"/>
    <mergeCell ref="A207:E207"/>
    <mergeCell ref="B12:D12"/>
    <mergeCell ref="E12:AU12"/>
    <mergeCell ref="AV12:A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J37"/>
    <mergeCell ref="B38:D38"/>
    <mergeCell ref="B39:C41"/>
    <mergeCell ref="A42:D42"/>
    <mergeCell ref="E42:AJ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85:D85"/>
    <mergeCell ref="B93:D93"/>
    <mergeCell ref="A94:E94"/>
    <mergeCell ref="C95:D95"/>
  </mergeCells>
  <conditionalFormatting sqref="E14:AU15">
    <cfRule type="containsBlanks" dxfId="0" priority="1">
      <formula>LEN(TRIM(E14))=0</formula>
    </cfRule>
  </conditionalFormatting>
  <conditionalFormatting sqref="E19:AU20">
    <cfRule type="containsBlanks" dxfId="0" priority="2">
      <formula>LEN(TRIM(E19))=0</formula>
    </cfRule>
  </conditionalFormatting>
  <conditionalFormatting sqref="E22:AU23 E25:AU26 E33:AU33 E35:AU35 E39:AU40">
    <cfRule type="containsBlanks" dxfId="0" priority="3">
      <formula>LEN(TRIM(E22))=0</formula>
    </cfRule>
  </conditionalFormatting>
  <conditionalFormatting sqref="E30:AU30">
    <cfRule type="expression" dxfId="1" priority="4">
      <formula>E30&lt;&gt;E47</formula>
    </cfRule>
  </conditionalFormatting>
  <conditionalFormatting sqref="E30:AU30">
    <cfRule type="expression" dxfId="1" priority="5">
      <formula>E30&lt;&gt;E34</formula>
    </cfRule>
  </conditionalFormatting>
  <conditionalFormatting sqref="E45:AU52">
    <cfRule type="containsBlanks" dxfId="0" priority="6">
      <formula>LEN(TRIM(E45))=0</formula>
    </cfRule>
  </conditionalFormatting>
  <conditionalFormatting sqref="E55:AU62">
    <cfRule type="containsBlanks" dxfId="0" priority="7">
      <formula>LEN(TRIM(E55))=0</formula>
    </cfRule>
  </conditionalFormatting>
  <conditionalFormatting sqref="E65:AU72">
    <cfRule type="containsBlanks" dxfId="0" priority="8">
      <formula>LEN(TRIM(E65))=0</formula>
    </cfRule>
  </conditionalFormatting>
  <conditionalFormatting sqref="E75:AU82">
    <cfRule type="containsBlanks" dxfId="0" priority="9">
      <formula>LEN(TRIM(E75))=0</formula>
    </cfRule>
  </conditionalFormatting>
  <conditionalFormatting sqref="E85:AU92">
    <cfRule type="containsBlanks" dxfId="0" priority="10">
      <formula>LEN(TRIM(E85))=0</formula>
    </cfRule>
  </conditionalFormatting>
  <conditionalFormatting sqref="E95:AU102">
    <cfRule type="containsBlanks" dxfId="0" priority="11">
      <formula>LEN(TRIM(E95))=0</formula>
    </cfRule>
  </conditionalFormatting>
  <conditionalFormatting sqref="E105:AU108">
    <cfRule type="containsBlanks" dxfId="0" priority="12">
      <formula>LEN(TRIM(E105))=0</formula>
    </cfRule>
  </conditionalFormatting>
  <conditionalFormatting sqref="E111:AU118">
    <cfRule type="containsBlanks" dxfId="0" priority="13">
      <formula>LEN(TRIM(E111))=0</formula>
    </cfRule>
  </conditionalFormatting>
  <conditionalFormatting sqref="E121:AU128">
    <cfRule type="containsBlanks" dxfId="0" priority="14">
      <formula>LEN(TRIM(E121))=0</formula>
    </cfRule>
  </conditionalFormatting>
  <conditionalFormatting sqref="E131:AU135">
    <cfRule type="containsBlanks" dxfId="0" priority="15">
      <formula>LEN(TRIM(E131))=0</formula>
    </cfRule>
  </conditionalFormatting>
  <conditionalFormatting sqref="E138:AU145">
    <cfRule type="containsBlanks" dxfId="0" priority="16">
      <formula>LEN(TRIM(E138))=0</formula>
    </cfRule>
  </conditionalFormatting>
  <conditionalFormatting sqref="E148:AU155">
    <cfRule type="containsBlanks" dxfId="0" priority="17">
      <formula>LEN(TRIM(E148))=0</formula>
    </cfRule>
  </conditionalFormatting>
  <conditionalFormatting sqref="E158:AU165">
    <cfRule type="containsBlanks" dxfId="0" priority="18">
      <formula>LEN(TRIM(E158))=0</formula>
    </cfRule>
  </conditionalFormatting>
  <conditionalFormatting sqref="E168:AU175">
    <cfRule type="containsBlanks" dxfId="0" priority="19">
      <formula>LEN(TRIM(E168))=0</formula>
    </cfRule>
  </conditionalFormatting>
  <conditionalFormatting sqref="E178:AU185">
    <cfRule type="containsBlanks" dxfId="0" priority="20">
      <formula>LEN(TRIM(E178))=0</formula>
    </cfRule>
  </conditionalFormatting>
  <conditionalFormatting sqref="E188:AU195">
    <cfRule type="containsBlanks" dxfId="0" priority="21">
      <formula>LEN(TRIM(E188))=0</formula>
    </cfRule>
  </conditionalFormatting>
  <conditionalFormatting sqref="E198:AU205">
    <cfRule type="containsBlanks" dxfId="0" priority="22">
      <formula>LEN(TRIM(E198))=0</formula>
    </cfRule>
  </conditionalFormatting>
  <conditionalFormatting sqref="E208:AU214">
    <cfRule type="containsBlanks" dxfId="0" priority="23">
      <formula>LEN(TRIM(E208))=0</formula>
    </cfRule>
  </conditionalFormatting>
  <conditionalFormatting sqref="E218:AU219">
    <cfRule type="containsBlanks" dxfId="0" priority="24">
      <formula>LEN(TRIM(E218))=0</formula>
    </cfRule>
  </conditionalFormatting>
  <conditionalFormatting sqref="E34:AU34">
    <cfRule type="expression" dxfId="2" priority="25">
      <formula>E30&lt;&gt;E34</formula>
    </cfRule>
  </conditionalFormatting>
  <conditionalFormatting sqref="E34:AU34">
    <cfRule type="expression" dxfId="3" priority="26">
      <formula>E30=E34</formula>
    </cfRule>
  </conditionalFormatting>
  <conditionalFormatting sqref="E34:AU34">
    <cfRule type="expression" dxfId="1" priority="27">
      <formula>E34&lt;&gt;E30</formula>
    </cfRule>
  </conditionalFormatting>
  <conditionalFormatting sqref="E34:AU34">
    <cfRule type="expression" dxfId="1" priority="28">
      <formula>E34&lt;&gt;E62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7" width="8.71"/>
    <col customWidth="1" min="18" max="18" width="13.29"/>
    <col customWidth="1" min="19" max="26" width="8.71"/>
  </cols>
  <sheetData>
    <row r="1" ht="12.75" customHeight="1"/>
    <row r="2" ht="12.75" customHeight="1">
      <c r="C2" s="8" t="s">
        <v>0</v>
      </c>
      <c r="D2" s="8" t="s">
        <v>198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199</v>
      </c>
      <c r="D9" s="8" t="s">
        <v>258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201</v>
      </c>
      <c r="F13" s="13" t="s">
        <v>202</v>
      </c>
      <c r="G13" s="13" t="s">
        <v>203</v>
      </c>
      <c r="H13" s="13" t="s">
        <v>204</v>
      </c>
      <c r="I13" s="13" t="s">
        <v>205</v>
      </c>
      <c r="J13" s="13" t="s">
        <v>206</v>
      </c>
      <c r="K13" s="13" t="s">
        <v>207</v>
      </c>
      <c r="L13" s="13" t="s">
        <v>208</v>
      </c>
      <c r="M13" s="13" t="s">
        <v>209</v>
      </c>
      <c r="N13" s="13" t="s">
        <v>210</v>
      </c>
      <c r="O13" s="13" t="s">
        <v>211</v>
      </c>
      <c r="P13" s="13" t="s">
        <v>212</v>
      </c>
      <c r="Q13" s="13" t="s">
        <v>213</v>
      </c>
      <c r="R13" s="36"/>
    </row>
    <row r="14" ht="12.75" customHeight="1">
      <c r="A14" s="18"/>
      <c r="B14" s="22" t="s">
        <v>11</v>
      </c>
      <c r="C14" s="23"/>
      <c r="D14" s="19" t="s">
        <v>12</v>
      </c>
      <c r="E14" s="19">
        <v>130.0</v>
      </c>
      <c r="F14" s="19">
        <v>128.0</v>
      </c>
      <c r="G14" s="19">
        <v>120.0</v>
      </c>
      <c r="H14" s="19">
        <v>102.0</v>
      </c>
      <c r="I14" s="19">
        <v>109.0</v>
      </c>
      <c r="J14" s="19">
        <v>127.0</v>
      </c>
      <c r="K14" s="19">
        <v>138.0</v>
      </c>
      <c r="L14" s="19">
        <v>139.0</v>
      </c>
      <c r="M14" s="19">
        <v>142.0</v>
      </c>
      <c r="N14" s="19">
        <v>146.0</v>
      </c>
      <c r="O14" s="19">
        <v>142.0</v>
      </c>
      <c r="P14" s="19">
        <v>137.0</v>
      </c>
      <c r="Q14" s="19">
        <v>129.0</v>
      </c>
      <c r="R14" s="13">
        <f t="shared" ref="R14:R16" si="1">SUM(E14:Q14)</f>
        <v>1689</v>
      </c>
    </row>
    <row r="15" ht="12.75" customHeight="1">
      <c r="A15" s="18"/>
      <c r="B15" s="26"/>
      <c r="C15" s="27"/>
      <c r="D15" s="19" t="s">
        <v>13</v>
      </c>
      <c r="E15" s="19">
        <v>119.0</v>
      </c>
      <c r="F15" s="19">
        <v>135.0</v>
      </c>
      <c r="G15" s="19">
        <v>117.0</v>
      </c>
      <c r="H15" s="19">
        <v>111.0</v>
      </c>
      <c r="I15" s="19">
        <v>109.0</v>
      </c>
      <c r="J15" s="19">
        <v>121.0</v>
      </c>
      <c r="K15" s="19">
        <v>137.0</v>
      </c>
      <c r="L15" s="19">
        <v>143.0</v>
      </c>
      <c r="M15" s="19">
        <v>146.0</v>
      </c>
      <c r="N15" s="19">
        <v>140.0</v>
      </c>
      <c r="O15" s="19">
        <v>144.0</v>
      </c>
      <c r="P15" s="19">
        <v>138.0</v>
      </c>
      <c r="Q15" s="19">
        <v>147.0</v>
      </c>
      <c r="R15" s="13">
        <f t="shared" si="1"/>
        <v>1707</v>
      </c>
    </row>
    <row r="16" ht="12.75" customHeight="1">
      <c r="A16" s="25"/>
      <c r="B16" s="21"/>
      <c r="C16" s="28"/>
      <c r="D16" s="13" t="s">
        <v>14</v>
      </c>
      <c r="E16" s="13">
        <f t="shared" ref="E16:Q16" si="2">SUM(E14:E15)</f>
        <v>249</v>
      </c>
      <c r="F16" s="13">
        <f t="shared" si="2"/>
        <v>263</v>
      </c>
      <c r="G16" s="13">
        <f t="shared" si="2"/>
        <v>237</v>
      </c>
      <c r="H16" s="13">
        <f t="shared" si="2"/>
        <v>213</v>
      </c>
      <c r="I16" s="13">
        <f t="shared" si="2"/>
        <v>218</v>
      </c>
      <c r="J16" s="13">
        <f t="shared" si="2"/>
        <v>248</v>
      </c>
      <c r="K16" s="13">
        <f t="shared" si="2"/>
        <v>275</v>
      </c>
      <c r="L16" s="13">
        <f t="shared" si="2"/>
        <v>282</v>
      </c>
      <c r="M16" s="13">
        <f t="shared" si="2"/>
        <v>288</v>
      </c>
      <c r="N16" s="13">
        <f t="shared" si="2"/>
        <v>286</v>
      </c>
      <c r="O16" s="13">
        <f t="shared" si="2"/>
        <v>286</v>
      </c>
      <c r="P16" s="13">
        <f t="shared" si="2"/>
        <v>275</v>
      </c>
      <c r="Q16" s="13">
        <f t="shared" si="2"/>
        <v>276</v>
      </c>
      <c r="R16" s="13">
        <f t="shared" si="1"/>
        <v>3396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19"/>
      <c r="P17" s="69"/>
      <c r="Q17" s="69"/>
      <c r="R17" s="7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19"/>
      <c r="P18" s="69"/>
      <c r="Q18" s="69"/>
      <c r="R18" s="7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97.0</v>
      </c>
      <c r="F19" s="19">
        <v>88.0</v>
      </c>
      <c r="G19" s="19">
        <v>92.0</v>
      </c>
      <c r="H19" s="19">
        <v>76.0</v>
      </c>
      <c r="I19" s="19">
        <v>87.0</v>
      </c>
      <c r="J19" s="19">
        <v>104.0</v>
      </c>
      <c r="K19" s="19">
        <v>114.0</v>
      </c>
      <c r="L19" s="19">
        <v>109.0</v>
      </c>
      <c r="M19" s="19">
        <v>118.0</v>
      </c>
      <c r="N19" s="19">
        <v>102.0</v>
      </c>
      <c r="O19" s="19">
        <v>110.0</v>
      </c>
      <c r="P19" s="19">
        <v>103.0</v>
      </c>
      <c r="Q19" s="19">
        <v>113.0</v>
      </c>
      <c r="R19" s="13">
        <f t="shared" ref="R19:R30" si="3">SUM(E19:Q19)</f>
        <v>1313</v>
      </c>
    </row>
    <row r="20" ht="12.75" customHeight="1">
      <c r="A20" s="33"/>
      <c r="B20" s="27"/>
      <c r="C20" s="34"/>
      <c r="D20" s="19" t="s">
        <v>13</v>
      </c>
      <c r="E20" s="19">
        <v>102.0</v>
      </c>
      <c r="F20" s="19">
        <v>111.0</v>
      </c>
      <c r="G20" s="19">
        <v>102.0</v>
      </c>
      <c r="H20" s="19">
        <v>88.0</v>
      </c>
      <c r="I20" s="19">
        <v>88.0</v>
      </c>
      <c r="J20" s="19">
        <v>93.0</v>
      </c>
      <c r="K20" s="19">
        <v>109.0</v>
      </c>
      <c r="L20" s="19">
        <v>120.0</v>
      </c>
      <c r="M20" s="19">
        <v>132.0</v>
      </c>
      <c r="N20" s="19">
        <v>120.0</v>
      </c>
      <c r="O20" s="19">
        <v>121.0</v>
      </c>
      <c r="P20" s="19">
        <v>115.0</v>
      </c>
      <c r="Q20" s="19">
        <v>129.0</v>
      </c>
      <c r="R20" s="13">
        <f t="shared" si="3"/>
        <v>1430</v>
      </c>
    </row>
    <row r="21" ht="12.75" customHeight="1">
      <c r="A21" s="35"/>
      <c r="B21" s="28"/>
      <c r="C21" s="36"/>
      <c r="D21" s="13" t="s">
        <v>14</v>
      </c>
      <c r="E21" s="13">
        <f t="shared" ref="E21:Q21" si="4">SUM(E19:E20)</f>
        <v>199</v>
      </c>
      <c r="F21" s="13">
        <f t="shared" si="4"/>
        <v>199</v>
      </c>
      <c r="G21" s="13">
        <f t="shared" si="4"/>
        <v>194</v>
      </c>
      <c r="H21" s="13">
        <f t="shared" si="4"/>
        <v>164</v>
      </c>
      <c r="I21" s="13">
        <f t="shared" si="4"/>
        <v>175</v>
      </c>
      <c r="J21" s="13">
        <f t="shared" si="4"/>
        <v>197</v>
      </c>
      <c r="K21" s="13">
        <f t="shared" si="4"/>
        <v>223</v>
      </c>
      <c r="L21" s="13">
        <f t="shared" si="4"/>
        <v>229</v>
      </c>
      <c r="M21" s="13">
        <f t="shared" si="4"/>
        <v>250</v>
      </c>
      <c r="N21" s="13">
        <f t="shared" si="4"/>
        <v>222</v>
      </c>
      <c r="O21" s="13">
        <f t="shared" si="4"/>
        <v>231</v>
      </c>
      <c r="P21" s="13">
        <f t="shared" si="4"/>
        <v>218</v>
      </c>
      <c r="Q21" s="13">
        <f t="shared" si="4"/>
        <v>242</v>
      </c>
      <c r="R21" s="13">
        <f t="shared" si="3"/>
        <v>2743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1.0</v>
      </c>
      <c r="I22" s="19">
        <v>0.0</v>
      </c>
      <c r="J22" s="19">
        <v>1.0</v>
      </c>
      <c r="K22" s="19">
        <v>0.0</v>
      </c>
      <c r="L22" s="19">
        <v>1.0</v>
      </c>
      <c r="M22" s="19">
        <v>1.0</v>
      </c>
      <c r="N22" s="19">
        <v>1.0</v>
      </c>
      <c r="O22" s="19">
        <v>1.0</v>
      </c>
      <c r="P22" s="19">
        <v>0.0</v>
      </c>
      <c r="Q22" s="19">
        <v>1.0</v>
      </c>
      <c r="R22" s="13">
        <f t="shared" si="3"/>
        <v>8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Q24" si="5">SUM(E22:E23)</f>
        <v>0</v>
      </c>
      <c r="F24" s="13">
        <f t="shared" si="5"/>
        <v>1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1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1</v>
      </c>
      <c r="P24" s="13">
        <f t="shared" si="5"/>
        <v>0</v>
      </c>
      <c r="Q24" s="13">
        <f t="shared" si="5"/>
        <v>1</v>
      </c>
      <c r="R24" s="13">
        <f t="shared" si="3"/>
        <v>10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1.0</v>
      </c>
      <c r="H25" s="19">
        <v>0.0</v>
      </c>
      <c r="I25" s="19">
        <v>0.0</v>
      </c>
      <c r="J25" s="19">
        <v>1.0</v>
      </c>
      <c r="K25" s="19">
        <v>2.0</v>
      </c>
      <c r="L25" s="19">
        <v>3.0</v>
      </c>
      <c r="M25" s="19">
        <v>0.0</v>
      </c>
      <c r="N25" s="19">
        <v>1.0</v>
      </c>
      <c r="O25" s="19">
        <v>2.0</v>
      </c>
      <c r="P25" s="19">
        <v>1.0</v>
      </c>
      <c r="Q25" s="19">
        <v>3.0</v>
      </c>
      <c r="R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4.0</v>
      </c>
      <c r="H26" s="19">
        <v>1.0</v>
      </c>
      <c r="I26" s="19">
        <v>1.0</v>
      </c>
      <c r="J26" s="19">
        <v>3.0</v>
      </c>
      <c r="K26" s="19">
        <v>4.0</v>
      </c>
      <c r="L26" s="19">
        <v>2.0</v>
      </c>
      <c r="M26" s="19">
        <v>1.0</v>
      </c>
      <c r="N26" s="19">
        <v>0.0</v>
      </c>
      <c r="O26" s="19">
        <v>1.0</v>
      </c>
      <c r="P26" s="19">
        <v>4.0</v>
      </c>
      <c r="Q26" s="19">
        <v>1.0</v>
      </c>
      <c r="R26" s="13">
        <f t="shared" si="3"/>
        <v>25</v>
      </c>
    </row>
    <row r="27" ht="12.75" customHeight="1">
      <c r="A27" s="35"/>
      <c r="B27" s="28"/>
      <c r="C27" s="36"/>
      <c r="D27" s="13" t="s">
        <v>14</v>
      </c>
      <c r="E27" s="13">
        <f t="shared" ref="E27:Q27" si="6">SUM(E25:E26)</f>
        <v>2</v>
      </c>
      <c r="F27" s="13">
        <f t="shared" si="6"/>
        <v>2</v>
      </c>
      <c r="G27" s="13">
        <f t="shared" si="6"/>
        <v>5</v>
      </c>
      <c r="H27" s="13">
        <f t="shared" si="6"/>
        <v>1</v>
      </c>
      <c r="I27" s="13">
        <f t="shared" si="6"/>
        <v>1</v>
      </c>
      <c r="J27" s="13">
        <f t="shared" si="6"/>
        <v>4</v>
      </c>
      <c r="K27" s="13">
        <f t="shared" si="6"/>
        <v>6</v>
      </c>
      <c r="L27" s="13">
        <f t="shared" si="6"/>
        <v>5</v>
      </c>
      <c r="M27" s="13">
        <f t="shared" si="6"/>
        <v>1</v>
      </c>
      <c r="N27" s="13">
        <f t="shared" si="6"/>
        <v>1</v>
      </c>
      <c r="O27" s="13">
        <f t="shared" si="6"/>
        <v>3</v>
      </c>
      <c r="P27" s="13">
        <f t="shared" si="6"/>
        <v>5</v>
      </c>
      <c r="Q27" s="13">
        <f t="shared" si="6"/>
        <v>4</v>
      </c>
      <c r="R27" s="13">
        <f t="shared" si="3"/>
        <v>40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Q28" si="7">SUM(E19,E22,E25)</f>
        <v>97</v>
      </c>
      <c r="F28" s="13">
        <f t="shared" si="7"/>
        <v>90</v>
      </c>
      <c r="G28" s="13">
        <f t="shared" si="7"/>
        <v>93</v>
      </c>
      <c r="H28" s="13">
        <f t="shared" si="7"/>
        <v>77</v>
      </c>
      <c r="I28" s="13">
        <f t="shared" si="7"/>
        <v>87</v>
      </c>
      <c r="J28" s="13">
        <f t="shared" si="7"/>
        <v>106</v>
      </c>
      <c r="K28" s="13">
        <f t="shared" si="7"/>
        <v>116</v>
      </c>
      <c r="L28" s="13">
        <f t="shared" si="7"/>
        <v>113</v>
      </c>
      <c r="M28" s="13">
        <f t="shared" si="7"/>
        <v>119</v>
      </c>
      <c r="N28" s="13">
        <f t="shared" si="7"/>
        <v>104</v>
      </c>
      <c r="O28" s="13">
        <f t="shared" si="7"/>
        <v>113</v>
      </c>
      <c r="P28" s="13">
        <f t="shared" si="7"/>
        <v>104</v>
      </c>
      <c r="Q28" s="13">
        <f t="shared" si="7"/>
        <v>117</v>
      </c>
      <c r="R28" s="13">
        <f t="shared" si="3"/>
        <v>1336</v>
      </c>
    </row>
    <row r="29" ht="12.75" customHeight="1">
      <c r="A29" s="35"/>
      <c r="B29" s="27"/>
      <c r="C29" s="34"/>
      <c r="D29" s="13" t="s">
        <v>13</v>
      </c>
      <c r="E29" s="13">
        <f t="shared" ref="E29:Q29" si="8">SUM(E20,E23,E26)</f>
        <v>104</v>
      </c>
      <c r="F29" s="13">
        <f t="shared" si="8"/>
        <v>112</v>
      </c>
      <c r="G29" s="13">
        <f t="shared" si="8"/>
        <v>107</v>
      </c>
      <c r="H29" s="13">
        <f t="shared" si="8"/>
        <v>89</v>
      </c>
      <c r="I29" s="13">
        <f t="shared" si="8"/>
        <v>90</v>
      </c>
      <c r="J29" s="13">
        <f t="shared" si="8"/>
        <v>96</v>
      </c>
      <c r="K29" s="13">
        <f t="shared" si="8"/>
        <v>113</v>
      </c>
      <c r="L29" s="13">
        <f t="shared" si="8"/>
        <v>122</v>
      </c>
      <c r="M29" s="13">
        <f t="shared" si="8"/>
        <v>133</v>
      </c>
      <c r="N29" s="13">
        <f t="shared" si="8"/>
        <v>120</v>
      </c>
      <c r="O29" s="13">
        <f t="shared" si="8"/>
        <v>122</v>
      </c>
      <c r="P29" s="13">
        <f t="shared" si="8"/>
        <v>119</v>
      </c>
      <c r="Q29" s="13">
        <f t="shared" si="8"/>
        <v>130</v>
      </c>
      <c r="R29" s="13">
        <f t="shared" si="3"/>
        <v>1457</v>
      </c>
    </row>
    <row r="30" ht="12.75" customHeight="1">
      <c r="A30" s="35"/>
      <c r="B30" s="28"/>
      <c r="C30" s="36"/>
      <c r="D30" s="13" t="s">
        <v>14</v>
      </c>
      <c r="E30" s="13">
        <f t="shared" ref="E30:Q30" si="9">SUM(E28:E29)</f>
        <v>201</v>
      </c>
      <c r="F30" s="13">
        <f t="shared" si="9"/>
        <v>202</v>
      </c>
      <c r="G30" s="13">
        <f t="shared" si="9"/>
        <v>200</v>
      </c>
      <c r="H30" s="13">
        <f t="shared" si="9"/>
        <v>166</v>
      </c>
      <c r="I30" s="13">
        <f t="shared" si="9"/>
        <v>177</v>
      </c>
      <c r="J30" s="13">
        <f t="shared" si="9"/>
        <v>202</v>
      </c>
      <c r="K30" s="13">
        <f t="shared" si="9"/>
        <v>229</v>
      </c>
      <c r="L30" s="13">
        <f t="shared" si="9"/>
        <v>235</v>
      </c>
      <c r="M30" s="13">
        <f t="shared" si="9"/>
        <v>252</v>
      </c>
      <c r="N30" s="13">
        <f t="shared" si="9"/>
        <v>224</v>
      </c>
      <c r="O30" s="13">
        <f t="shared" si="9"/>
        <v>235</v>
      </c>
      <c r="P30" s="13">
        <f t="shared" si="9"/>
        <v>223</v>
      </c>
      <c r="Q30" s="13">
        <f t="shared" si="9"/>
        <v>247</v>
      </c>
      <c r="R30" s="13">
        <f t="shared" si="3"/>
        <v>2793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19"/>
      <c r="P31" s="69"/>
      <c r="Q31" s="69"/>
      <c r="R31" s="7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1"/>
      <c r="O32" s="13"/>
      <c r="P32" s="71"/>
      <c r="Q32" s="71"/>
      <c r="R32" s="70"/>
    </row>
    <row r="33" ht="12.75" customHeight="1">
      <c r="A33" s="19">
        <v>1.0</v>
      </c>
      <c r="B33" s="20" t="s">
        <v>27</v>
      </c>
      <c r="C33" s="15"/>
      <c r="D33" s="16"/>
      <c r="E33" s="19">
        <v>254.0</v>
      </c>
      <c r="F33" s="19">
        <v>269.0</v>
      </c>
      <c r="G33" s="19">
        <v>242.0</v>
      </c>
      <c r="H33" s="19">
        <v>238.0</v>
      </c>
      <c r="I33" s="19">
        <v>223.0</v>
      </c>
      <c r="J33" s="19">
        <v>253.0</v>
      </c>
      <c r="K33" s="19">
        <v>282.0</v>
      </c>
      <c r="L33" s="19">
        <v>288.0</v>
      </c>
      <c r="M33" s="19">
        <v>294.0</v>
      </c>
      <c r="N33" s="19">
        <v>293.0</v>
      </c>
      <c r="O33" s="19">
        <v>291.0</v>
      </c>
      <c r="P33" s="19">
        <v>279.0</v>
      </c>
      <c r="Q33" s="19">
        <v>282.0</v>
      </c>
      <c r="R33" s="13">
        <f t="shared" ref="R33:R36" si="10">SUM(E33:Q33)</f>
        <v>3488</v>
      </c>
    </row>
    <row r="34" ht="12.75" customHeight="1">
      <c r="A34" s="19">
        <v>2.0</v>
      </c>
      <c r="B34" s="20" t="s">
        <v>28</v>
      </c>
      <c r="C34" s="15"/>
      <c r="D34" s="16"/>
      <c r="E34" s="13">
        <v>201.0</v>
      </c>
      <c r="F34" s="13">
        <v>202.0</v>
      </c>
      <c r="G34" s="13">
        <v>200.0</v>
      </c>
      <c r="H34" s="13">
        <v>166.0</v>
      </c>
      <c r="I34" s="13">
        <v>177.0</v>
      </c>
      <c r="J34" s="13">
        <v>202.0</v>
      </c>
      <c r="K34" s="13">
        <v>229.0</v>
      </c>
      <c r="L34" s="13">
        <v>235.0</v>
      </c>
      <c r="M34" s="13">
        <v>252.0</v>
      </c>
      <c r="N34" s="13">
        <v>224.0</v>
      </c>
      <c r="O34" s="13">
        <v>235.0</v>
      </c>
      <c r="P34" s="13">
        <v>223.0</v>
      </c>
      <c r="Q34" s="13">
        <v>247.0</v>
      </c>
      <c r="R34" s="13">
        <f t="shared" si="10"/>
        <v>2793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>
        <v>1.0</v>
      </c>
      <c r="I35" s="19"/>
      <c r="J35" s="19"/>
      <c r="K35" s="19"/>
      <c r="L35" s="19"/>
      <c r="M35" s="19">
        <v>1.0</v>
      </c>
      <c r="N35" s="19"/>
      <c r="O35" s="19"/>
      <c r="P35" s="19"/>
      <c r="Q35" s="19">
        <v>1.0</v>
      </c>
      <c r="R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Q36" si="11">E33-(E34+E35)</f>
        <v>53</v>
      </c>
      <c r="F36" s="13">
        <f t="shared" si="11"/>
        <v>67</v>
      </c>
      <c r="G36" s="13">
        <f t="shared" si="11"/>
        <v>42</v>
      </c>
      <c r="H36" s="13">
        <f t="shared" si="11"/>
        <v>71</v>
      </c>
      <c r="I36" s="13">
        <f t="shared" si="11"/>
        <v>46</v>
      </c>
      <c r="J36" s="13">
        <f t="shared" si="11"/>
        <v>51</v>
      </c>
      <c r="K36" s="13">
        <f t="shared" si="11"/>
        <v>53</v>
      </c>
      <c r="L36" s="13">
        <f t="shared" si="11"/>
        <v>53</v>
      </c>
      <c r="M36" s="13">
        <f t="shared" si="11"/>
        <v>41</v>
      </c>
      <c r="N36" s="13">
        <f t="shared" si="11"/>
        <v>69</v>
      </c>
      <c r="O36" s="13">
        <f t="shared" si="11"/>
        <v>56</v>
      </c>
      <c r="P36" s="13">
        <f t="shared" si="11"/>
        <v>56</v>
      </c>
      <c r="Q36" s="13">
        <f t="shared" si="11"/>
        <v>34</v>
      </c>
      <c r="R36" s="13">
        <f t="shared" si="10"/>
        <v>692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9"/>
      <c r="O37" s="19"/>
      <c r="P37" s="69"/>
      <c r="Q37" s="75"/>
      <c r="R37" s="7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1"/>
      <c r="O38" s="13"/>
      <c r="P38" s="71"/>
      <c r="Q38" s="71"/>
      <c r="R38" s="70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>
        <v>2.0</v>
      </c>
      <c r="G39" s="19"/>
      <c r="H39" s="19"/>
      <c r="I39" s="19"/>
      <c r="J39" s="19"/>
      <c r="K39" s="19">
        <v>1.0</v>
      </c>
      <c r="L39" s="19"/>
      <c r="M39" s="19"/>
      <c r="N39" s="19"/>
      <c r="O39" s="19"/>
      <c r="P39" s="19"/>
      <c r="Q39" s="19">
        <v>2.0</v>
      </c>
      <c r="R39" s="13">
        <f t="shared" ref="R39:R41" si="12">SUM(E39:Q39)</f>
        <v>5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>
        <v>3.0</v>
      </c>
      <c r="R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Q41" si="13">SUM(E39:E40)</f>
        <v>0</v>
      </c>
      <c r="F41" s="13">
        <f t="shared" si="13"/>
        <v>2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5</v>
      </c>
      <c r="R41" s="13">
        <f t="shared" si="12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9"/>
      <c r="O42" s="19"/>
      <c r="P42" s="69"/>
      <c r="Q42" s="19"/>
      <c r="R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1"/>
      <c r="O43" s="13"/>
      <c r="P43" s="71"/>
      <c r="Q43" s="13"/>
      <c r="R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9"/>
      <c r="O44" s="19"/>
      <c r="P44" s="69"/>
      <c r="Q44" s="19"/>
      <c r="R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8.0</v>
      </c>
      <c r="F45" s="19">
        <v>15.0</v>
      </c>
      <c r="G45" s="19">
        <v>6.0</v>
      </c>
      <c r="H45" s="19">
        <v>9.0</v>
      </c>
      <c r="I45" s="19">
        <v>7.0</v>
      </c>
      <c r="J45" s="19">
        <v>6.0</v>
      </c>
      <c r="K45" s="19">
        <v>12.0</v>
      </c>
      <c r="L45" s="19">
        <v>15.0</v>
      </c>
      <c r="M45" s="19">
        <v>2.0</v>
      </c>
      <c r="N45" s="19">
        <v>7.0</v>
      </c>
      <c r="O45" s="19">
        <v>5.0</v>
      </c>
      <c r="P45" s="19">
        <v>9.0</v>
      </c>
      <c r="Q45" s="19">
        <v>14.0</v>
      </c>
      <c r="R45" s="13">
        <f t="shared" ref="R45:R52" si="14">SUM(E45:Q45)</f>
        <v>115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13.0</v>
      </c>
      <c r="F46" s="19">
        <v>30.0</v>
      </c>
      <c r="G46" s="19">
        <v>7.0</v>
      </c>
      <c r="H46" s="19">
        <v>12.0</v>
      </c>
      <c r="I46" s="19">
        <v>14.0</v>
      </c>
      <c r="J46" s="19">
        <v>15.0</v>
      </c>
      <c r="K46" s="19">
        <v>29.0</v>
      </c>
      <c r="L46" s="19">
        <v>26.0</v>
      </c>
      <c r="M46" s="19">
        <v>51.0</v>
      </c>
      <c r="N46" s="19">
        <v>31.0</v>
      </c>
      <c r="O46" s="19">
        <v>31.0</v>
      </c>
      <c r="P46" s="19">
        <v>21.0</v>
      </c>
      <c r="Q46" s="19">
        <v>50.0</v>
      </c>
      <c r="R46" s="13">
        <f t="shared" si="14"/>
        <v>330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1.0</v>
      </c>
      <c r="G47" s="19">
        <v>3.0</v>
      </c>
      <c r="H47" s="19">
        <v>2.0</v>
      </c>
      <c r="I47" s="19">
        <v>0.0</v>
      </c>
      <c r="J47" s="19">
        <v>0.0</v>
      </c>
      <c r="K47" s="19">
        <v>7.0</v>
      </c>
      <c r="L47" s="19">
        <v>6.0</v>
      </c>
      <c r="M47" s="19">
        <v>2.0</v>
      </c>
      <c r="N47" s="19">
        <v>6.0</v>
      </c>
      <c r="O47" s="19">
        <v>1.0</v>
      </c>
      <c r="P47" s="19">
        <v>0.0</v>
      </c>
      <c r="Q47" s="19">
        <v>0.0</v>
      </c>
      <c r="R47" s="13">
        <f t="shared" si="14"/>
        <v>30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19">
        <v>2.0</v>
      </c>
      <c r="L48" s="19">
        <v>0.0</v>
      </c>
      <c r="M48" s="19">
        <v>2.0</v>
      </c>
      <c r="N48" s="19">
        <v>1.0</v>
      </c>
      <c r="O48" s="19">
        <v>1.0</v>
      </c>
      <c r="P48" s="19">
        <v>0.0</v>
      </c>
      <c r="Q48" s="19">
        <v>0.0</v>
      </c>
      <c r="R48" s="13">
        <f t="shared" si="14"/>
        <v>6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2.0</v>
      </c>
      <c r="L49" s="19">
        <v>0.0</v>
      </c>
      <c r="M49" s="19">
        <v>1.0</v>
      </c>
      <c r="N49" s="19">
        <v>0.0</v>
      </c>
      <c r="O49" s="19">
        <v>0.0</v>
      </c>
      <c r="P49" s="19">
        <v>0.0</v>
      </c>
      <c r="Q49" s="19">
        <v>0.0</v>
      </c>
      <c r="R49" s="13">
        <f t="shared" si="14"/>
        <v>3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1.0</v>
      </c>
      <c r="N50" s="19">
        <v>2.0</v>
      </c>
      <c r="O50" s="19">
        <v>0.0</v>
      </c>
      <c r="P50" s="19">
        <v>0.0</v>
      </c>
      <c r="Q50" s="19">
        <v>0.0</v>
      </c>
      <c r="R50" s="13">
        <f t="shared" si="14"/>
        <v>3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3">
        <f t="shared" si="14"/>
        <v>0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1.0</v>
      </c>
      <c r="L52" s="19">
        <v>1.0</v>
      </c>
      <c r="M52" s="19">
        <v>0.0</v>
      </c>
      <c r="N52" s="19">
        <v>0.0</v>
      </c>
      <c r="O52" s="19">
        <v>0.0</v>
      </c>
      <c r="P52" s="19">
        <v>1.0</v>
      </c>
      <c r="Q52" s="19">
        <v>0.0</v>
      </c>
      <c r="R52" s="13">
        <f t="shared" si="14"/>
        <v>3</v>
      </c>
    </row>
    <row r="53" ht="12.75" customHeight="1">
      <c r="A53" s="19" t="s">
        <v>15</v>
      </c>
      <c r="B53" s="47" t="s">
        <v>47</v>
      </c>
      <c r="C53" s="15"/>
      <c r="D53" s="16"/>
      <c r="E53" s="13">
        <f t="shared" ref="E53:R53" si="15">SUM(E45:E52)</f>
        <v>23</v>
      </c>
      <c r="F53" s="13">
        <f t="shared" si="15"/>
        <v>46</v>
      </c>
      <c r="G53" s="13">
        <f t="shared" si="15"/>
        <v>16</v>
      </c>
      <c r="H53" s="13">
        <f t="shared" si="15"/>
        <v>23</v>
      </c>
      <c r="I53" s="13">
        <f t="shared" si="15"/>
        <v>21</v>
      </c>
      <c r="J53" s="13">
        <f t="shared" si="15"/>
        <v>21</v>
      </c>
      <c r="K53" s="13">
        <f t="shared" si="15"/>
        <v>53</v>
      </c>
      <c r="L53" s="13">
        <f t="shared" si="15"/>
        <v>48</v>
      </c>
      <c r="M53" s="13">
        <f t="shared" si="15"/>
        <v>59</v>
      </c>
      <c r="N53" s="13">
        <f t="shared" si="15"/>
        <v>47</v>
      </c>
      <c r="O53" s="13">
        <f t="shared" si="15"/>
        <v>38</v>
      </c>
      <c r="P53" s="13">
        <f t="shared" si="15"/>
        <v>31</v>
      </c>
      <c r="Q53" s="13">
        <f t="shared" si="15"/>
        <v>64</v>
      </c>
      <c r="R53" s="13">
        <f t="shared" si="15"/>
        <v>490</v>
      </c>
    </row>
    <row r="54" ht="12.75" customHeight="1">
      <c r="A54" s="45"/>
      <c r="B54" s="44"/>
      <c r="C54" s="44"/>
      <c r="D54" s="44"/>
      <c r="E54" s="44"/>
      <c r="R54" s="13"/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10.0</v>
      </c>
      <c r="F55" s="19">
        <v>8.0</v>
      </c>
      <c r="G55" s="19">
        <v>9.0</v>
      </c>
      <c r="H55" s="19">
        <v>7.0</v>
      </c>
      <c r="I55" s="19">
        <v>13.0</v>
      </c>
      <c r="J55" s="19">
        <v>13.0</v>
      </c>
      <c r="K55" s="19">
        <v>11.0</v>
      </c>
      <c r="L55" s="19">
        <v>5.0</v>
      </c>
      <c r="M55" s="19">
        <v>5.0</v>
      </c>
      <c r="N55" s="19">
        <v>5.0</v>
      </c>
      <c r="O55" s="19">
        <v>7.0</v>
      </c>
      <c r="P55" s="19">
        <v>13.0</v>
      </c>
      <c r="Q55" s="19">
        <v>14.0</v>
      </c>
      <c r="R55" s="13">
        <f t="shared" ref="R55:R62" si="16">SUM(E55:Q55)</f>
        <v>120</v>
      </c>
    </row>
    <row r="56" ht="12.75" customHeight="1">
      <c r="A56" s="30" t="s">
        <v>39</v>
      </c>
      <c r="B56" s="55">
        <v>1.0</v>
      </c>
      <c r="C56" s="50" t="s">
        <v>49</v>
      </c>
      <c r="D56" s="56"/>
      <c r="E56" s="19">
        <v>14.0</v>
      </c>
      <c r="F56" s="19">
        <v>7.0</v>
      </c>
      <c r="G56" s="19">
        <v>14.0</v>
      </c>
      <c r="H56" s="19">
        <v>3.0</v>
      </c>
      <c r="I56" s="19">
        <v>10.0</v>
      </c>
      <c r="J56" s="19">
        <v>5.0</v>
      </c>
      <c r="K56" s="19">
        <v>3.0</v>
      </c>
      <c r="L56" s="19">
        <v>8.0</v>
      </c>
      <c r="M56" s="19">
        <v>15.0</v>
      </c>
      <c r="N56" s="19">
        <v>19.0</v>
      </c>
      <c r="O56" s="19">
        <v>38.0</v>
      </c>
      <c r="P56" s="19">
        <v>62.0</v>
      </c>
      <c r="Q56" s="19">
        <v>26.0</v>
      </c>
      <c r="R56" s="13">
        <f t="shared" si="16"/>
        <v>224</v>
      </c>
    </row>
    <row r="57" ht="12.75" customHeight="1">
      <c r="A57" s="18"/>
      <c r="B57" s="55">
        <v>2.0</v>
      </c>
      <c r="C57" s="50" t="s">
        <v>50</v>
      </c>
      <c r="D57" s="56"/>
      <c r="E57" s="19">
        <v>3.0</v>
      </c>
      <c r="F57" s="19">
        <v>10.0</v>
      </c>
      <c r="G57" s="19">
        <v>8.0</v>
      </c>
      <c r="H57" s="19">
        <v>13.0</v>
      </c>
      <c r="I57" s="19">
        <v>20.0</v>
      </c>
      <c r="J57" s="19">
        <v>46.0</v>
      </c>
      <c r="K57" s="19">
        <v>23.0</v>
      </c>
      <c r="L57" s="19">
        <v>15.0</v>
      </c>
      <c r="M57" s="19">
        <v>53.0</v>
      </c>
      <c r="N57" s="19">
        <v>12.0</v>
      </c>
      <c r="O57" s="19">
        <v>7.0</v>
      </c>
      <c r="P57" s="19">
        <v>12.0</v>
      </c>
      <c r="Q57" s="19">
        <v>5.0</v>
      </c>
      <c r="R57" s="13">
        <f t="shared" si="16"/>
        <v>227</v>
      </c>
    </row>
    <row r="58" ht="12.75" customHeight="1">
      <c r="A58" s="18"/>
      <c r="B58" s="55">
        <v>3.0</v>
      </c>
      <c r="C58" s="50" t="s">
        <v>51</v>
      </c>
      <c r="D58" s="56"/>
      <c r="E58" s="19">
        <v>1.0</v>
      </c>
      <c r="F58" s="19">
        <v>1.0</v>
      </c>
      <c r="G58" s="19">
        <v>0.0</v>
      </c>
      <c r="H58" s="19">
        <v>3.0</v>
      </c>
      <c r="I58" s="19">
        <v>2.0</v>
      </c>
      <c r="J58" s="19">
        <v>0.0</v>
      </c>
      <c r="K58" s="19">
        <v>3.0</v>
      </c>
      <c r="L58" s="19">
        <v>2.0</v>
      </c>
      <c r="M58" s="19">
        <v>0.0</v>
      </c>
      <c r="N58" s="19">
        <v>0.0</v>
      </c>
      <c r="O58" s="19">
        <v>0.0</v>
      </c>
      <c r="P58" s="19">
        <v>1.0</v>
      </c>
      <c r="Q58" s="19">
        <v>3.0</v>
      </c>
      <c r="R58" s="13">
        <f t="shared" si="16"/>
        <v>16</v>
      </c>
    </row>
    <row r="59" ht="12.75" customHeight="1">
      <c r="A59" s="18"/>
      <c r="B59" s="55">
        <v>4.0</v>
      </c>
      <c r="C59" s="50" t="s">
        <v>52</v>
      </c>
      <c r="D59" s="56"/>
      <c r="E59" s="19">
        <v>0.0</v>
      </c>
      <c r="F59" s="19">
        <v>1.0</v>
      </c>
      <c r="G59" s="19">
        <v>1.0</v>
      </c>
      <c r="H59" s="19">
        <v>0.0</v>
      </c>
      <c r="I59" s="19">
        <v>1.0</v>
      </c>
      <c r="J59" s="19">
        <v>0.0</v>
      </c>
      <c r="K59" s="19">
        <v>0.0</v>
      </c>
      <c r="L59" s="19">
        <v>2.0</v>
      </c>
      <c r="M59" s="19">
        <v>1.0</v>
      </c>
      <c r="N59" s="19">
        <v>0.0</v>
      </c>
      <c r="O59" s="19">
        <v>0.0</v>
      </c>
      <c r="P59" s="19">
        <v>0.0</v>
      </c>
      <c r="Q59" s="19">
        <v>0.0</v>
      </c>
      <c r="R59" s="13">
        <f t="shared" si="16"/>
        <v>6</v>
      </c>
    </row>
    <row r="60" ht="12.75" customHeight="1">
      <c r="A60" s="18"/>
      <c r="B60" s="55">
        <v>5.0</v>
      </c>
      <c r="C60" s="50" t="s">
        <v>53</v>
      </c>
      <c r="D60" s="56"/>
      <c r="E60" s="19">
        <v>0.0</v>
      </c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  <c r="M60" s="19">
        <v>0.0</v>
      </c>
      <c r="N60" s="19">
        <v>0.0</v>
      </c>
      <c r="O60" s="19">
        <v>0.0</v>
      </c>
      <c r="P60" s="19">
        <v>0.0</v>
      </c>
      <c r="Q60" s="19">
        <v>1.0</v>
      </c>
      <c r="R60" s="13">
        <f t="shared" si="16"/>
        <v>1</v>
      </c>
    </row>
    <row r="61" ht="12.75" customHeight="1">
      <c r="A61" s="18"/>
      <c r="B61" s="55">
        <v>6.0</v>
      </c>
      <c r="C61" s="50" t="s">
        <v>54</v>
      </c>
      <c r="D61" s="57"/>
      <c r="E61" s="19">
        <v>1.0</v>
      </c>
      <c r="F61" s="19">
        <v>1.0</v>
      </c>
      <c r="G61" s="19">
        <v>1.0</v>
      </c>
      <c r="H61" s="19">
        <v>0.0</v>
      </c>
      <c r="I61" s="19">
        <v>0.0</v>
      </c>
      <c r="J61" s="19">
        <v>0.0</v>
      </c>
      <c r="K61" s="19">
        <v>0.0</v>
      </c>
      <c r="L61" s="19">
        <v>0.0</v>
      </c>
      <c r="M61" s="19">
        <v>0.0</v>
      </c>
      <c r="N61" s="19">
        <v>1.0</v>
      </c>
      <c r="O61" s="19">
        <v>0.0</v>
      </c>
      <c r="P61" s="19">
        <v>0.0</v>
      </c>
      <c r="Q61" s="19">
        <v>0.0</v>
      </c>
      <c r="R61" s="13">
        <f t="shared" si="16"/>
        <v>4</v>
      </c>
    </row>
    <row r="62" ht="12.75" customHeight="1">
      <c r="A62" s="18"/>
      <c r="B62" s="55">
        <v>7.0</v>
      </c>
      <c r="C62" s="50" t="s">
        <v>55</v>
      </c>
      <c r="D62" s="56"/>
      <c r="E62" s="19">
        <v>0.0</v>
      </c>
      <c r="F62" s="19">
        <v>0.0</v>
      </c>
      <c r="G62" s="19">
        <v>0.0</v>
      </c>
      <c r="H62" s="19">
        <v>1.0</v>
      </c>
      <c r="I62" s="19">
        <v>0.0</v>
      </c>
      <c r="J62" s="19">
        <v>1.0</v>
      </c>
      <c r="K62" s="19">
        <v>0.0</v>
      </c>
      <c r="L62" s="19">
        <v>1.0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3">
        <f t="shared" si="16"/>
        <v>3</v>
      </c>
    </row>
    <row r="63" ht="12.75" customHeight="1">
      <c r="A63" s="19" t="s">
        <v>15</v>
      </c>
      <c r="B63" s="47" t="s">
        <v>47</v>
      </c>
      <c r="C63" s="15"/>
      <c r="D63" s="16"/>
      <c r="E63" s="13">
        <f t="shared" ref="E63:R63" si="17">SUM(E55:E62)</f>
        <v>29</v>
      </c>
      <c r="F63" s="13">
        <f t="shared" si="17"/>
        <v>28</v>
      </c>
      <c r="G63" s="13">
        <f t="shared" si="17"/>
        <v>33</v>
      </c>
      <c r="H63" s="13">
        <f t="shared" si="17"/>
        <v>27</v>
      </c>
      <c r="I63" s="13">
        <f t="shared" si="17"/>
        <v>46</v>
      </c>
      <c r="J63" s="13">
        <f t="shared" si="17"/>
        <v>65</v>
      </c>
      <c r="K63" s="13">
        <f t="shared" si="17"/>
        <v>40</v>
      </c>
      <c r="L63" s="13">
        <f t="shared" si="17"/>
        <v>33</v>
      </c>
      <c r="M63" s="13">
        <f t="shared" si="17"/>
        <v>74</v>
      </c>
      <c r="N63" s="13">
        <f t="shared" si="17"/>
        <v>37</v>
      </c>
      <c r="O63" s="13">
        <f t="shared" si="17"/>
        <v>52</v>
      </c>
      <c r="P63" s="13">
        <f t="shared" si="17"/>
        <v>88</v>
      </c>
      <c r="Q63" s="13">
        <f t="shared" si="17"/>
        <v>49</v>
      </c>
      <c r="R63" s="13">
        <f t="shared" si="17"/>
        <v>601</v>
      </c>
    </row>
    <row r="64" ht="12.75" customHeight="1">
      <c r="A64" s="45"/>
      <c r="B64" s="44"/>
      <c r="C64" s="44"/>
      <c r="D64" s="44"/>
      <c r="E64" s="44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9.0</v>
      </c>
      <c r="F65" s="19">
        <v>7.0</v>
      </c>
      <c r="G65" s="19">
        <v>9.0</v>
      </c>
      <c r="H65" s="19">
        <v>4.0</v>
      </c>
      <c r="I65" s="19">
        <v>3.0</v>
      </c>
      <c r="J65" s="19">
        <v>9.0</v>
      </c>
      <c r="K65" s="19">
        <v>3.0</v>
      </c>
      <c r="L65" s="19">
        <v>3.0</v>
      </c>
      <c r="M65" s="19">
        <v>6.0</v>
      </c>
      <c r="N65" s="19">
        <v>5.0</v>
      </c>
      <c r="O65" s="19">
        <v>10.0</v>
      </c>
      <c r="P65" s="19">
        <v>4.0</v>
      </c>
      <c r="Q65" s="19">
        <v>6.0</v>
      </c>
      <c r="R65" s="13">
        <f t="shared" ref="R65:R72" si="18">SUM(E65:Q65)</f>
        <v>78</v>
      </c>
    </row>
    <row r="66" ht="12.75" customHeight="1">
      <c r="A66" s="30" t="s">
        <v>39</v>
      </c>
      <c r="B66" s="55">
        <v>1.0</v>
      </c>
      <c r="C66" s="50" t="s">
        <v>57</v>
      </c>
      <c r="D66" s="57"/>
      <c r="E66" s="19">
        <v>21.0</v>
      </c>
      <c r="F66" s="19">
        <v>4.0</v>
      </c>
      <c r="G66" s="19">
        <v>37.0</v>
      </c>
      <c r="H66" s="19">
        <v>4.0</v>
      </c>
      <c r="I66" s="19">
        <v>12.0</v>
      </c>
      <c r="J66" s="19">
        <v>9.0</v>
      </c>
      <c r="K66" s="19">
        <v>8.0</v>
      </c>
      <c r="L66" s="19">
        <v>4.0</v>
      </c>
      <c r="M66" s="19">
        <v>7.0</v>
      </c>
      <c r="N66" s="19">
        <v>20.0</v>
      </c>
      <c r="O66" s="19">
        <v>10.0</v>
      </c>
      <c r="P66" s="19">
        <v>8.0</v>
      </c>
      <c r="Q66" s="19">
        <v>9.0</v>
      </c>
      <c r="R66" s="13">
        <f t="shared" si="18"/>
        <v>153</v>
      </c>
    </row>
    <row r="67" ht="12.75" customHeight="1">
      <c r="A67" s="18"/>
      <c r="B67" s="55">
        <v>2.0</v>
      </c>
      <c r="C67" s="50" t="s">
        <v>58</v>
      </c>
      <c r="D67" s="57"/>
      <c r="E67" s="19">
        <v>2.0</v>
      </c>
      <c r="F67" s="19">
        <v>5.0</v>
      </c>
      <c r="G67" s="19">
        <v>4.0</v>
      </c>
      <c r="H67" s="19">
        <v>3.0</v>
      </c>
      <c r="I67" s="19">
        <v>1.0</v>
      </c>
      <c r="J67" s="19">
        <v>4.0</v>
      </c>
      <c r="K67" s="19">
        <v>4.0</v>
      </c>
      <c r="L67" s="19">
        <v>2.0</v>
      </c>
      <c r="M67" s="19">
        <v>9.0</v>
      </c>
      <c r="N67" s="19">
        <v>7.0</v>
      </c>
      <c r="O67" s="19">
        <v>8.0</v>
      </c>
      <c r="P67" s="19">
        <v>3.0</v>
      </c>
      <c r="Q67" s="19">
        <v>5.0</v>
      </c>
      <c r="R67" s="13">
        <f t="shared" si="18"/>
        <v>57</v>
      </c>
    </row>
    <row r="68" ht="12.75" customHeight="1">
      <c r="A68" s="18"/>
      <c r="B68" s="55">
        <v>3.0</v>
      </c>
      <c r="C68" s="50" t="s">
        <v>59</v>
      </c>
      <c r="D68" s="57"/>
      <c r="E68" s="19">
        <v>8.0</v>
      </c>
      <c r="F68" s="19">
        <v>0.0</v>
      </c>
      <c r="G68" s="19">
        <v>3.0</v>
      </c>
      <c r="H68" s="19">
        <v>3.0</v>
      </c>
      <c r="I68" s="19">
        <v>0.0</v>
      </c>
      <c r="J68" s="19">
        <v>2.0</v>
      </c>
      <c r="K68" s="19">
        <v>0.0</v>
      </c>
      <c r="L68" s="19">
        <v>0.0</v>
      </c>
      <c r="M68" s="19">
        <v>2.0</v>
      </c>
      <c r="N68" s="19">
        <v>0.0</v>
      </c>
      <c r="O68" s="19">
        <v>0.0</v>
      </c>
      <c r="P68" s="19">
        <v>1.0</v>
      </c>
      <c r="Q68" s="19">
        <v>0.0</v>
      </c>
      <c r="R68" s="13">
        <f t="shared" si="18"/>
        <v>19</v>
      </c>
    </row>
    <row r="69" ht="12.75" customHeight="1">
      <c r="A69" s="18"/>
      <c r="B69" s="55">
        <v>4.0</v>
      </c>
      <c r="C69" s="50" t="s">
        <v>60</v>
      </c>
      <c r="D69" s="57"/>
      <c r="E69" s="19">
        <v>0.0</v>
      </c>
      <c r="F69" s="19">
        <v>0.0</v>
      </c>
      <c r="G69" s="19">
        <v>0.0</v>
      </c>
      <c r="H69" s="19">
        <v>1.0</v>
      </c>
      <c r="I69" s="19">
        <v>0.0</v>
      </c>
      <c r="J69" s="19">
        <v>0.0</v>
      </c>
      <c r="K69" s="19">
        <v>0.0</v>
      </c>
      <c r="L69" s="19">
        <v>0.0</v>
      </c>
      <c r="M69" s="19">
        <v>0.0</v>
      </c>
      <c r="N69" s="19">
        <v>1.0</v>
      </c>
      <c r="O69" s="19">
        <v>0.0</v>
      </c>
      <c r="P69" s="19">
        <v>2.0</v>
      </c>
      <c r="Q69" s="19">
        <v>1.0</v>
      </c>
      <c r="R69" s="13">
        <f t="shared" si="18"/>
        <v>5</v>
      </c>
    </row>
    <row r="70" ht="12.75" customHeight="1">
      <c r="A70" s="18"/>
      <c r="B70" s="55">
        <v>5.0</v>
      </c>
      <c r="C70" s="50" t="s">
        <v>61</v>
      </c>
      <c r="D70" s="57"/>
      <c r="E70" s="19">
        <v>4.0</v>
      </c>
      <c r="F70" s="19">
        <v>6.0</v>
      </c>
      <c r="G70" s="19">
        <v>0.0</v>
      </c>
      <c r="H70" s="19">
        <v>2.0</v>
      </c>
      <c r="I70" s="19">
        <v>2.0</v>
      </c>
      <c r="J70" s="19">
        <v>1.0</v>
      </c>
      <c r="K70" s="19">
        <v>4.0</v>
      </c>
      <c r="L70" s="19">
        <v>13.0</v>
      </c>
      <c r="M70" s="19">
        <v>8.0</v>
      </c>
      <c r="N70" s="19">
        <v>2.0</v>
      </c>
      <c r="O70" s="19">
        <v>2.0</v>
      </c>
      <c r="P70" s="19">
        <v>0.0</v>
      </c>
      <c r="Q70" s="19">
        <v>5.0</v>
      </c>
      <c r="R70" s="13">
        <f t="shared" si="18"/>
        <v>49</v>
      </c>
    </row>
    <row r="71" ht="12.75" customHeight="1">
      <c r="A71" s="18"/>
      <c r="B71" s="55">
        <v>6.0</v>
      </c>
      <c r="C71" s="50" t="s">
        <v>62</v>
      </c>
      <c r="D71" s="57"/>
      <c r="E71" s="19">
        <v>0.0</v>
      </c>
      <c r="F71" s="19">
        <v>0.0</v>
      </c>
      <c r="G71" s="19">
        <v>0.0</v>
      </c>
      <c r="H71" s="19">
        <v>0.0</v>
      </c>
      <c r="I71" s="19">
        <v>0.0</v>
      </c>
      <c r="J71" s="19">
        <v>0.0</v>
      </c>
      <c r="K71" s="19">
        <v>1.0</v>
      </c>
      <c r="L71" s="19">
        <v>0.0</v>
      </c>
      <c r="M71" s="19">
        <v>0.0</v>
      </c>
      <c r="N71" s="19">
        <v>0.0</v>
      </c>
      <c r="O71" s="19">
        <v>0.0</v>
      </c>
      <c r="P71" s="19">
        <v>0.0</v>
      </c>
      <c r="Q71" s="19">
        <v>0.0</v>
      </c>
      <c r="R71" s="13">
        <f t="shared" si="18"/>
        <v>1</v>
      </c>
    </row>
    <row r="72" ht="12.75" customHeight="1">
      <c r="A72" s="18"/>
      <c r="B72" s="55">
        <v>7.0</v>
      </c>
      <c r="C72" s="50" t="s">
        <v>63</v>
      </c>
      <c r="D72" s="57"/>
      <c r="E72" s="19">
        <v>0.0</v>
      </c>
      <c r="F72" s="19">
        <v>0.0</v>
      </c>
      <c r="G72" s="19">
        <v>0.0</v>
      </c>
      <c r="H72" s="19">
        <v>0.0</v>
      </c>
      <c r="I72" s="19">
        <v>0.0</v>
      </c>
      <c r="J72" s="19">
        <v>0.0</v>
      </c>
      <c r="K72" s="19">
        <v>0.0</v>
      </c>
      <c r="L72" s="19">
        <v>1.0</v>
      </c>
      <c r="M72" s="19">
        <v>0.0</v>
      </c>
      <c r="N72" s="19">
        <v>1.0</v>
      </c>
      <c r="O72" s="19">
        <v>0.0</v>
      </c>
      <c r="P72" s="19">
        <v>0.0</v>
      </c>
      <c r="Q72" s="19">
        <v>0.0</v>
      </c>
      <c r="R72" s="13">
        <f t="shared" si="18"/>
        <v>2</v>
      </c>
    </row>
    <row r="73" ht="12.75" customHeight="1">
      <c r="A73" s="19" t="s">
        <v>15</v>
      </c>
      <c r="B73" s="47" t="s">
        <v>47</v>
      </c>
      <c r="C73" s="15"/>
      <c r="D73" s="16"/>
      <c r="E73" s="13">
        <f t="shared" ref="E73:R73" si="19">SUM(E65:E72)</f>
        <v>44</v>
      </c>
      <c r="F73" s="13">
        <f t="shared" si="19"/>
        <v>22</v>
      </c>
      <c r="G73" s="13">
        <f t="shared" si="19"/>
        <v>53</v>
      </c>
      <c r="H73" s="13">
        <f t="shared" si="19"/>
        <v>17</v>
      </c>
      <c r="I73" s="13">
        <f t="shared" si="19"/>
        <v>18</v>
      </c>
      <c r="J73" s="13">
        <f t="shared" si="19"/>
        <v>25</v>
      </c>
      <c r="K73" s="13">
        <f t="shared" si="19"/>
        <v>20</v>
      </c>
      <c r="L73" s="13">
        <f t="shared" si="19"/>
        <v>23</v>
      </c>
      <c r="M73" s="13">
        <f t="shared" si="19"/>
        <v>32</v>
      </c>
      <c r="N73" s="13">
        <f t="shared" si="19"/>
        <v>36</v>
      </c>
      <c r="O73" s="13">
        <f t="shared" si="19"/>
        <v>30</v>
      </c>
      <c r="P73" s="13">
        <f t="shared" si="19"/>
        <v>18</v>
      </c>
      <c r="Q73" s="13">
        <f t="shared" si="19"/>
        <v>26</v>
      </c>
      <c r="R73" s="13">
        <f t="shared" si="19"/>
        <v>364</v>
      </c>
    </row>
    <row r="74" ht="12.75" customHeight="1">
      <c r="A74" s="45"/>
      <c r="B74" s="44"/>
      <c r="C74" s="44"/>
      <c r="D74" s="44"/>
      <c r="E74" s="44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3.0</v>
      </c>
      <c r="F75" s="19">
        <v>11.0</v>
      </c>
      <c r="G75" s="19">
        <v>12.0</v>
      </c>
      <c r="H75" s="19">
        <v>10.0</v>
      </c>
      <c r="I75" s="19">
        <v>5.0</v>
      </c>
      <c r="J75" s="19">
        <v>10.0</v>
      </c>
      <c r="K75" s="19">
        <v>8.0</v>
      </c>
      <c r="L75" s="19">
        <v>1.0</v>
      </c>
      <c r="M75" s="19">
        <v>1.0</v>
      </c>
      <c r="N75" s="19">
        <v>2.0</v>
      </c>
      <c r="O75" s="19">
        <v>4.0</v>
      </c>
      <c r="P75" s="19">
        <v>2.0</v>
      </c>
      <c r="Q75" s="19">
        <v>2.0</v>
      </c>
      <c r="R75" s="13">
        <f t="shared" ref="R75:R82" si="20">SUM(E75:Q75)</f>
        <v>71</v>
      </c>
    </row>
    <row r="76" ht="12.75" customHeight="1">
      <c r="A76" s="30" t="s">
        <v>39</v>
      </c>
      <c r="B76" s="55">
        <v>1.0</v>
      </c>
      <c r="C76" s="50" t="s">
        <v>65</v>
      </c>
      <c r="D76" s="57"/>
      <c r="E76" s="19">
        <v>15.0</v>
      </c>
      <c r="F76" s="19">
        <v>25.0</v>
      </c>
      <c r="G76" s="19">
        <v>23.0</v>
      </c>
      <c r="H76" s="19">
        <v>23.0</v>
      </c>
      <c r="I76" s="19">
        <v>9.0</v>
      </c>
      <c r="J76" s="19">
        <v>17.0</v>
      </c>
      <c r="K76" s="19">
        <v>7.0</v>
      </c>
      <c r="L76" s="19">
        <v>3.0</v>
      </c>
      <c r="M76" s="19">
        <v>9.0</v>
      </c>
      <c r="N76" s="19">
        <v>3.0</v>
      </c>
      <c r="O76" s="19">
        <v>5.0</v>
      </c>
      <c r="P76" s="19">
        <v>17.0</v>
      </c>
      <c r="Q76" s="19">
        <v>11.0</v>
      </c>
      <c r="R76" s="13">
        <f t="shared" si="20"/>
        <v>167</v>
      </c>
    </row>
    <row r="77" ht="12.75" customHeight="1">
      <c r="A77" s="18"/>
      <c r="B77" s="55">
        <v>2.0</v>
      </c>
      <c r="C77" s="50" t="s">
        <v>66</v>
      </c>
      <c r="D77" s="57"/>
      <c r="E77" s="19">
        <v>0.0</v>
      </c>
      <c r="F77" s="19">
        <v>1.0</v>
      </c>
      <c r="G77" s="19">
        <v>1.0</v>
      </c>
      <c r="H77" s="19">
        <v>2.0</v>
      </c>
      <c r="I77" s="19">
        <v>2.0</v>
      </c>
      <c r="J77" s="19">
        <v>3.0</v>
      </c>
      <c r="K77" s="19">
        <v>2.0</v>
      </c>
      <c r="L77" s="19">
        <v>0.0</v>
      </c>
      <c r="M77" s="19">
        <v>2.0</v>
      </c>
      <c r="N77" s="19">
        <v>1.0</v>
      </c>
      <c r="O77" s="19">
        <v>0.0</v>
      </c>
      <c r="P77" s="19">
        <v>3.0</v>
      </c>
      <c r="Q77" s="19">
        <v>1.0</v>
      </c>
      <c r="R77" s="13">
        <f t="shared" si="20"/>
        <v>18</v>
      </c>
    </row>
    <row r="78" ht="12.75" customHeight="1">
      <c r="A78" s="18"/>
      <c r="B78" s="55">
        <v>3.0</v>
      </c>
      <c r="C78" s="50" t="s">
        <v>67</v>
      </c>
      <c r="D78" s="57"/>
      <c r="E78" s="19">
        <v>0.0</v>
      </c>
      <c r="F78" s="19">
        <v>1.0</v>
      </c>
      <c r="G78" s="19">
        <v>1.0</v>
      </c>
      <c r="H78" s="19">
        <v>2.0</v>
      </c>
      <c r="I78" s="19">
        <v>0.0</v>
      </c>
      <c r="J78" s="19">
        <v>4.0</v>
      </c>
      <c r="K78" s="19">
        <v>1.0</v>
      </c>
      <c r="L78" s="19">
        <v>0.0</v>
      </c>
      <c r="M78" s="19">
        <v>1.0</v>
      </c>
      <c r="N78" s="19">
        <v>0.0</v>
      </c>
      <c r="O78" s="19">
        <v>0.0</v>
      </c>
      <c r="P78" s="19">
        <v>1.0</v>
      </c>
      <c r="Q78" s="19">
        <v>0.0</v>
      </c>
      <c r="R78" s="13">
        <f t="shared" si="20"/>
        <v>11</v>
      </c>
    </row>
    <row r="79" ht="12.75" customHeight="1">
      <c r="A79" s="18"/>
      <c r="B79" s="55">
        <v>4.0</v>
      </c>
      <c r="C79" s="50" t="s">
        <v>68</v>
      </c>
      <c r="D79" s="57"/>
      <c r="E79" s="19">
        <v>0.0</v>
      </c>
      <c r="F79" s="19">
        <v>0.0</v>
      </c>
      <c r="G79" s="19">
        <v>0.0</v>
      </c>
      <c r="H79" s="19">
        <v>0.0</v>
      </c>
      <c r="I79" s="19">
        <v>0.0</v>
      </c>
      <c r="J79" s="19">
        <v>0.0</v>
      </c>
      <c r="K79" s="19">
        <v>0.0</v>
      </c>
      <c r="L79" s="19">
        <v>0.0</v>
      </c>
      <c r="M79" s="19">
        <v>0.0</v>
      </c>
      <c r="N79" s="19">
        <v>1.0</v>
      </c>
      <c r="O79" s="19">
        <v>4.0</v>
      </c>
      <c r="P79" s="19">
        <v>1.0</v>
      </c>
      <c r="Q79" s="19">
        <v>0.0</v>
      </c>
      <c r="R79" s="13">
        <f t="shared" si="20"/>
        <v>6</v>
      </c>
    </row>
    <row r="80" ht="12.75" customHeight="1">
      <c r="A80" s="18"/>
      <c r="B80" s="55">
        <v>5.0</v>
      </c>
      <c r="C80" s="50" t="s">
        <v>69</v>
      </c>
      <c r="D80" s="57"/>
      <c r="E80" s="19">
        <v>2.0</v>
      </c>
      <c r="F80" s="19">
        <v>0.0</v>
      </c>
      <c r="G80" s="19">
        <v>1.0</v>
      </c>
      <c r="H80" s="19">
        <v>1.0</v>
      </c>
      <c r="I80" s="19">
        <v>18.0</v>
      </c>
      <c r="J80" s="19">
        <v>3.0</v>
      </c>
      <c r="K80" s="19">
        <v>0.0</v>
      </c>
      <c r="L80" s="19">
        <v>0.0</v>
      </c>
      <c r="M80" s="19">
        <v>1.0</v>
      </c>
      <c r="N80" s="19">
        <v>1.0</v>
      </c>
      <c r="O80" s="19">
        <v>4.0</v>
      </c>
      <c r="P80" s="19">
        <v>2.0</v>
      </c>
      <c r="Q80" s="19">
        <v>2.0</v>
      </c>
      <c r="R80" s="13">
        <f t="shared" si="20"/>
        <v>35</v>
      </c>
    </row>
    <row r="81" ht="12.75" customHeight="1">
      <c r="A81" s="18"/>
      <c r="B81" s="55">
        <v>6.0</v>
      </c>
      <c r="C81" s="50" t="s">
        <v>70</v>
      </c>
      <c r="D81" s="57"/>
      <c r="E81" s="19">
        <v>0.0</v>
      </c>
      <c r="F81" s="19">
        <v>0.0</v>
      </c>
      <c r="G81" s="19">
        <v>0.0</v>
      </c>
      <c r="H81" s="19">
        <v>0.0</v>
      </c>
      <c r="I81" s="19">
        <v>0.0</v>
      </c>
      <c r="J81" s="19">
        <v>0.0</v>
      </c>
      <c r="K81" s="19">
        <v>0.0</v>
      </c>
      <c r="L81" s="19">
        <v>0.0</v>
      </c>
      <c r="M81" s="19">
        <v>0.0</v>
      </c>
      <c r="N81" s="19">
        <v>0.0</v>
      </c>
      <c r="O81" s="19">
        <v>0.0</v>
      </c>
      <c r="P81" s="19">
        <v>0.0</v>
      </c>
      <c r="Q81" s="19">
        <v>0.0</v>
      </c>
      <c r="R81" s="13">
        <f t="shared" si="20"/>
        <v>0</v>
      </c>
    </row>
    <row r="82" ht="12.75" customHeight="1">
      <c r="A82" s="18"/>
      <c r="B82" s="55">
        <v>7.0</v>
      </c>
      <c r="C82" s="50" t="s">
        <v>71</v>
      </c>
      <c r="D82" s="57"/>
      <c r="E82" s="19">
        <v>0.0</v>
      </c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19">
        <v>0.0</v>
      </c>
      <c r="L82" s="19">
        <v>0.0</v>
      </c>
      <c r="M82" s="19">
        <v>0.0</v>
      </c>
      <c r="N82" s="19">
        <v>0.0</v>
      </c>
      <c r="O82" s="19">
        <v>0.0</v>
      </c>
      <c r="P82" s="19">
        <v>0.0</v>
      </c>
      <c r="Q82" s="19">
        <v>0.0</v>
      </c>
      <c r="R82" s="13">
        <f t="shared" si="20"/>
        <v>0</v>
      </c>
    </row>
    <row r="83" ht="12.75" customHeight="1">
      <c r="A83" s="19" t="s">
        <v>15</v>
      </c>
      <c r="B83" s="47" t="s">
        <v>47</v>
      </c>
      <c r="C83" s="15"/>
      <c r="D83" s="16"/>
      <c r="E83" s="13">
        <f t="shared" ref="E83:R83" si="21">SUM(E75:E82)</f>
        <v>20</v>
      </c>
      <c r="F83" s="13">
        <f t="shared" si="21"/>
        <v>38</v>
      </c>
      <c r="G83" s="13">
        <f t="shared" si="21"/>
        <v>38</v>
      </c>
      <c r="H83" s="13">
        <f t="shared" si="21"/>
        <v>38</v>
      </c>
      <c r="I83" s="13">
        <f t="shared" si="21"/>
        <v>34</v>
      </c>
      <c r="J83" s="13">
        <f t="shared" si="21"/>
        <v>37</v>
      </c>
      <c r="K83" s="13">
        <f t="shared" si="21"/>
        <v>18</v>
      </c>
      <c r="L83" s="13">
        <f t="shared" si="21"/>
        <v>4</v>
      </c>
      <c r="M83" s="13">
        <f t="shared" si="21"/>
        <v>14</v>
      </c>
      <c r="N83" s="13">
        <f t="shared" si="21"/>
        <v>8</v>
      </c>
      <c r="O83" s="13">
        <f t="shared" si="21"/>
        <v>17</v>
      </c>
      <c r="P83" s="13">
        <f t="shared" si="21"/>
        <v>26</v>
      </c>
      <c r="Q83" s="13">
        <f t="shared" si="21"/>
        <v>16</v>
      </c>
      <c r="R83" s="13">
        <f t="shared" si="21"/>
        <v>308</v>
      </c>
    </row>
    <row r="84" ht="12.75" customHeight="1">
      <c r="A84" s="45"/>
      <c r="B84" s="44"/>
      <c r="C84" s="44"/>
      <c r="D84" s="44"/>
      <c r="E84" s="44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2.0</v>
      </c>
      <c r="F85" s="19">
        <v>1.0</v>
      </c>
      <c r="G85" s="19">
        <v>4.0</v>
      </c>
      <c r="H85" s="19">
        <v>3.0</v>
      </c>
      <c r="I85" s="19">
        <v>2.0</v>
      </c>
      <c r="J85" s="19">
        <v>0.0</v>
      </c>
      <c r="K85" s="19">
        <v>1.0</v>
      </c>
      <c r="L85" s="19">
        <v>3.0</v>
      </c>
      <c r="M85" s="19">
        <v>4.0</v>
      </c>
      <c r="N85" s="19">
        <v>2.0</v>
      </c>
      <c r="O85" s="19">
        <v>5.0</v>
      </c>
      <c r="P85" s="19">
        <v>3.0</v>
      </c>
      <c r="Q85" s="19">
        <v>11.0</v>
      </c>
      <c r="R85" s="13">
        <f t="shared" ref="R85:R92" si="22">SUM(E85:Q85)</f>
        <v>41</v>
      </c>
    </row>
    <row r="86" ht="12.75" customHeight="1">
      <c r="A86" s="30" t="s">
        <v>39</v>
      </c>
      <c r="B86" s="55">
        <v>1.0</v>
      </c>
      <c r="C86" s="50" t="s">
        <v>74</v>
      </c>
      <c r="D86" s="57"/>
      <c r="E86" s="19">
        <v>24.0</v>
      </c>
      <c r="F86" s="19">
        <v>15.0</v>
      </c>
      <c r="G86" s="19">
        <v>11.0</v>
      </c>
      <c r="H86" s="19">
        <v>9.0</v>
      </c>
      <c r="I86" s="19">
        <v>7.0</v>
      </c>
      <c r="J86" s="19">
        <v>1.0</v>
      </c>
      <c r="K86" s="19">
        <v>10.0</v>
      </c>
      <c r="L86" s="19">
        <v>14.0</v>
      </c>
      <c r="M86" s="19">
        <v>15.0</v>
      </c>
      <c r="N86" s="19">
        <v>22.0</v>
      </c>
      <c r="O86" s="19">
        <v>52.0</v>
      </c>
      <c r="P86" s="19">
        <v>12.0</v>
      </c>
      <c r="Q86" s="19">
        <v>24.0</v>
      </c>
      <c r="R86" s="13">
        <f t="shared" si="22"/>
        <v>216</v>
      </c>
    </row>
    <row r="87" ht="12.75" customHeight="1">
      <c r="A87" s="18"/>
      <c r="B87" s="55">
        <v>2.0</v>
      </c>
      <c r="C87" s="50" t="s">
        <v>75</v>
      </c>
      <c r="D87" s="57"/>
      <c r="E87" s="19">
        <v>0.0</v>
      </c>
      <c r="F87" s="19">
        <v>1.0</v>
      </c>
      <c r="G87" s="19">
        <v>1.0</v>
      </c>
      <c r="H87" s="19">
        <v>0.0</v>
      </c>
      <c r="I87" s="19">
        <v>0.0</v>
      </c>
      <c r="J87" s="19">
        <v>0.0</v>
      </c>
      <c r="K87" s="19">
        <v>2.0</v>
      </c>
      <c r="L87" s="19">
        <v>1.0</v>
      </c>
      <c r="M87" s="19">
        <v>0.0</v>
      </c>
      <c r="N87" s="19">
        <v>1.0</v>
      </c>
      <c r="O87" s="19">
        <v>0.0</v>
      </c>
      <c r="P87" s="19">
        <v>0.0</v>
      </c>
      <c r="Q87" s="19">
        <v>0.0</v>
      </c>
      <c r="R87" s="13">
        <f t="shared" si="22"/>
        <v>6</v>
      </c>
    </row>
    <row r="88" ht="12.75" customHeight="1">
      <c r="A88" s="18"/>
      <c r="B88" s="55">
        <v>3.0</v>
      </c>
      <c r="C88" s="50" t="s">
        <v>76</v>
      </c>
      <c r="D88" s="57"/>
      <c r="E88" s="19">
        <v>0.0</v>
      </c>
      <c r="F88" s="19">
        <v>1.0</v>
      </c>
      <c r="G88" s="19">
        <v>1.0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3">
        <f t="shared" si="22"/>
        <v>2</v>
      </c>
    </row>
    <row r="89" ht="12.75" customHeight="1">
      <c r="A89" s="18"/>
      <c r="B89" s="55">
        <v>4.0</v>
      </c>
      <c r="C89" s="50" t="s">
        <v>77</v>
      </c>
      <c r="D89" s="57"/>
      <c r="E89" s="19">
        <v>0.0</v>
      </c>
      <c r="F89" s="19">
        <v>0.0</v>
      </c>
      <c r="G89" s="19">
        <v>0.0</v>
      </c>
      <c r="H89" s="19">
        <v>0.0</v>
      </c>
      <c r="I89" s="19">
        <v>0.0</v>
      </c>
      <c r="J89" s="19">
        <v>0.0</v>
      </c>
      <c r="K89" s="19">
        <v>0.0</v>
      </c>
      <c r="L89" s="19">
        <v>0.0</v>
      </c>
      <c r="M89" s="19">
        <v>0.0</v>
      </c>
      <c r="N89" s="19">
        <v>1.0</v>
      </c>
      <c r="O89" s="19">
        <v>1.0</v>
      </c>
      <c r="P89" s="19">
        <v>0.0</v>
      </c>
      <c r="Q89" s="19">
        <v>0.0</v>
      </c>
      <c r="R89" s="13">
        <f t="shared" si="22"/>
        <v>2</v>
      </c>
    </row>
    <row r="90" ht="12.75" customHeight="1">
      <c r="A90" s="18"/>
      <c r="B90" s="55">
        <v>5.0</v>
      </c>
      <c r="C90" s="50" t="s">
        <v>78</v>
      </c>
      <c r="D90" s="57"/>
      <c r="E90" s="19">
        <v>0.0</v>
      </c>
      <c r="F90" s="19">
        <v>0.0</v>
      </c>
      <c r="G90" s="19">
        <v>0.0</v>
      </c>
      <c r="H90" s="19">
        <v>0.0</v>
      </c>
      <c r="I90" s="19">
        <v>0.0</v>
      </c>
      <c r="J90" s="19">
        <v>0.0</v>
      </c>
      <c r="K90" s="19">
        <v>1.0</v>
      </c>
      <c r="L90" s="19">
        <v>0.0</v>
      </c>
      <c r="M90" s="19">
        <v>0.0</v>
      </c>
      <c r="N90" s="19">
        <v>0.0</v>
      </c>
      <c r="O90" s="19">
        <v>0.0</v>
      </c>
      <c r="P90" s="19">
        <v>0.0</v>
      </c>
      <c r="Q90" s="19">
        <v>0.0</v>
      </c>
      <c r="R90" s="13">
        <f t="shared" si="22"/>
        <v>1</v>
      </c>
    </row>
    <row r="91" ht="12.75" customHeight="1">
      <c r="A91" s="18"/>
      <c r="B91" s="55">
        <v>6.0</v>
      </c>
      <c r="C91" s="50" t="s">
        <v>79</v>
      </c>
      <c r="D91" s="57"/>
      <c r="E91" s="19">
        <v>0.0</v>
      </c>
      <c r="F91" s="19">
        <v>0.0</v>
      </c>
      <c r="G91" s="19">
        <v>0.0</v>
      </c>
      <c r="H91" s="19">
        <v>0.0</v>
      </c>
      <c r="I91" s="19">
        <v>0.0</v>
      </c>
      <c r="J91" s="19">
        <v>0.0</v>
      </c>
      <c r="K91" s="19">
        <v>1.0</v>
      </c>
      <c r="L91" s="19">
        <v>0.0</v>
      </c>
      <c r="M91" s="19">
        <v>0.0</v>
      </c>
      <c r="N91" s="19">
        <v>1.0</v>
      </c>
      <c r="O91" s="19">
        <v>4.0</v>
      </c>
      <c r="P91" s="19">
        <v>0.0</v>
      </c>
      <c r="Q91" s="19">
        <v>0.0</v>
      </c>
      <c r="R91" s="13">
        <f t="shared" si="22"/>
        <v>6</v>
      </c>
    </row>
    <row r="92" ht="12.75" customHeight="1">
      <c r="A92" s="18"/>
      <c r="B92" s="55">
        <v>7.0</v>
      </c>
      <c r="C92" s="50" t="s">
        <v>80</v>
      </c>
      <c r="D92" s="57"/>
      <c r="E92" s="19">
        <v>1.0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2.0</v>
      </c>
      <c r="N92" s="19">
        <v>1.0</v>
      </c>
      <c r="O92" s="19">
        <v>0.0</v>
      </c>
      <c r="P92" s="19">
        <v>0.0</v>
      </c>
      <c r="Q92" s="19">
        <v>1.0</v>
      </c>
      <c r="R92" s="13">
        <f t="shared" si="22"/>
        <v>5</v>
      </c>
    </row>
    <row r="93" ht="12.75" customHeight="1">
      <c r="A93" s="19" t="s">
        <v>15</v>
      </c>
      <c r="B93" s="47" t="s">
        <v>47</v>
      </c>
      <c r="C93" s="15"/>
      <c r="D93" s="16"/>
      <c r="E93" s="13">
        <f t="shared" ref="E93:R93" si="23">SUM(E85:E92)</f>
        <v>27</v>
      </c>
      <c r="F93" s="13">
        <f t="shared" si="23"/>
        <v>18</v>
      </c>
      <c r="G93" s="13">
        <f t="shared" si="23"/>
        <v>17</v>
      </c>
      <c r="H93" s="13">
        <f t="shared" si="23"/>
        <v>12</v>
      </c>
      <c r="I93" s="13">
        <f t="shared" si="23"/>
        <v>9</v>
      </c>
      <c r="J93" s="13">
        <f t="shared" si="23"/>
        <v>1</v>
      </c>
      <c r="K93" s="13">
        <f t="shared" si="23"/>
        <v>15</v>
      </c>
      <c r="L93" s="13">
        <f t="shared" si="23"/>
        <v>18</v>
      </c>
      <c r="M93" s="13">
        <f t="shared" si="23"/>
        <v>21</v>
      </c>
      <c r="N93" s="13">
        <f t="shared" si="23"/>
        <v>28</v>
      </c>
      <c r="O93" s="13">
        <f t="shared" si="23"/>
        <v>62</v>
      </c>
      <c r="P93" s="13">
        <f t="shared" si="23"/>
        <v>15</v>
      </c>
      <c r="Q93" s="13">
        <f t="shared" si="23"/>
        <v>36</v>
      </c>
      <c r="R93" s="13">
        <f t="shared" si="23"/>
        <v>279</v>
      </c>
    </row>
    <row r="94" ht="12.75" customHeight="1">
      <c r="A94" s="45"/>
      <c r="B94" s="44"/>
      <c r="C94" s="44"/>
      <c r="D94" s="44"/>
      <c r="E94" s="44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>
        <v>0.0</v>
      </c>
      <c r="F95" s="19">
        <v>0.0</v>
      </c>
      <c r="G95" s="19">
        <v>0.0</v>
      </c>
      <c r="H95" s="19">
        <v>0.0</v>
      </c>
      <c r="I95" s="19">
        <v>1.0</v>
      </c>
      <c r="J95" s="19">
        <v>0.0</v>
      </c>
      <c r="K95" s="19">
        <v>1.0</v>
      </c>
      <c r="L95" s="19">
        <v>0.0</v>
      </c>
      <c r="M95" s="19">
        <v>1.0</v>
      </c>
      <c r="N95" s="19">
        <v>0.0</v>
      </c>
      <c r="O95" s="19">
        <v>2.0</v>
      </c>
      <c r="P95" s="19">
        <v>1.0</v>
      </c>
      <c r="Q95" s="19">
        <v>1.0</v>
      </c>
      <c r="R95" s="13">
        <f t="shared" ref="R95:R102" si="24">SUM(E95:Q95)</f>
        <v>7</v>
      </c>
    </row>
    <row r="96" ht="12.75" customHeight="1">
      <c r="A96" s="30" t="s">
        <v>39</v>
      </c>
      <c r="B96" s="55">
        <v>1.0</v>
      </c>
      <c r="C96" s="50" t="s">
        <v>83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1.0</v>
      </c>
      <c r="N96" s="19">
        <v>3.0</v>
      </c>
      <c r="O96" s="19">
        <v>0.0</v>
      </c>
      <c r="P96" s="19">
        <v>0.0</v>
      </c>
      <c r="Q96" s="19">
        <v>0.0</v>
      </c>
      <c r="R96" s="13">
        <f t="shared" si="24"/>
        <v>4</v>
      </c>
    </row>
    <row r="97" ht="12.75" customHeight="1">
      <c r="A97" s="18"/>
      <c r="B97" s="55">
        <v>2.0</v>
      </c>
      <c r="C97" s="50" t="s">
        <v>84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2.0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3">
        <f t="shared" si="24"/>
        <v>2</v>
      </c>
    </row>
    <row r="98" ht="12.75" customHeight="1">
      <c r="A98" s="18"/>
      <c r="B98" s="55">
        <v>3.0</v>
      </c>
      <c r="C98" s="50" t="s">
        <v>85</v>
      </c>
      <c r="D98" s="57"/>
      <c r="E98" s="73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3">
        <f t="shared" si="24"/>
        <v>0</v>
      </c>
    </row>
    <row r="99" ht="12.75" customHeight="1">
      <c r="A99" s="18"/>
      <c r="B99" s="55">
        <v>4.0</v>
      </c>
      <c r="C99" s="50" t="s">
        <v>86</v>
      </c>
      <c r="D99" s="57"/>
      <c r="E99" s="73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3">
        <f t="shared" si="24"/>
        <v>0</v>
      </c>
    </row>
    <row r="100" ht="12.75" customHeight="1">
      <c r="A100" s="18"/>
      <c r="B100" s="55">
        <v>5.0</v>
      </c>
      <c r="C100" s="50" t="s">
        <v>87</v>
      </c>
      <c r="D100" s="57"/>
      <c r="E100" s="73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3">
        <f t="shared" si="24"/>
        <v>0</v>
      </c>
    </row>
    <row r="101" ht="12.75" customHeight="1">
      <c r="A101" s="18"/>
      <c r="B101" s="55">
        <v>6.0</v>
      </c>
      <c r="C101" s="50" t="s">
        <v>88</v>
      </c>
      <c r="D101" s="57"/>
      <c r="E101" s="73">
        <v>0.0</v>
      </c>
      <c r="F101" s="19">
        <v>0.0</v>
      </c>
      <c r="G101" s="19">
        <v>0.0</v>
      </c>
      <c r="H101" s="19">
        <v>0.0</v>
      </c>
      <c r="I101" s="19">
        <v>0.0</v>
      </c>
      <c r="J101" s="19">
        <v>0.0</v>
      </c>
      <c r="K101" s="19">
        <v>0.0</v>
      </c>
      <c r="L101" s="19">
        <v>0.0</v>
      </c>
      <c r="M101" s="19">
        <v>0.0</v>
      </c>
      <c r="N101" s="19">
        <v>0.0</v>
      </c>
      <c r="O101" s="19">
        <v>0.0</v>
      </c>
      <c r="P101" s="19">
        <v>0.0</v>
      </c>
      <c r="Q101" s="19">
        <v>0.0</v>
      </c>
      <c r="R101" s="13">
        <f t="shared" si="24"/>
        <v>0</v>
      </c>
    </row>
    <row r="102" ht="12.75" customHeight="1">
      <c r="A102" s="18"/>
      <c r="B102" s="55">
        <v>7.0</v>
      </c>
      <c r="C102" s="50" t="s">
        <v>89</v>
      </c>
      <c r="D102" s="57"/>
      <c r="E102" s="73">
        <v>0.0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0.0</v>
      </c>
      <c r="R102" s="13">
        <f t="shared" si="24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R103" si="25">SUM(E95:E102)</f>
        <v>0</v>
      </c>
      <c r="F103" s="13">
        <f t="shared" si="25"/>
        <v>0</v>
      </c>
      <c r="G103" s="13">
        <f t="shared" si="25"/>
        <v>0</v>
      </c>
      <c r="H103" s="13">
        <f t="shared" si="25"/>
        <v>0</v>
      </c>
      <c r="I103" s="13">
        <f t="shared" si="25"/>
        <v>1</v>
      </c>
      <c r="J103" s="13">
        <f t="shared" si="25"/>
        <v>0</v>
      </c>
      <c r="K103" s="13">
        <f t="shared" si="25"/>
        <v>1</v>
      </c>
      <c r="L103" s="13">
        <f t="shared" si="25"/>
        <v>2</v>
      </c>
      <c r="M103" s="13">
        <f t="shared" si="25"/>
        <v>2</v>
      </c>
      <c r="N103" s="13">
        <f t="shared" si="25"/>
        <v>3</v>
      </c>
      <c r="O103" s="13">
        <f t="shared" si="25"/>
        <v>2</v>
      </c>
      <c r="P103" s="13">
        <f t="shared" si="25"/>
        <v>1</v>
      </c>
      <c r="Q103" s="13">
        <f t="shared" si="25"/>
        <v>1</v>
      </c>
      <c r="R103" s="13">
        <f t="shared" si="25"/>
        <v>13</v>
      </c>
    </row>
    <row r="104" ht="12.75" customHeight="1">
      <c r="A104" s="24"/>
      <c r="B104" s="15"/>
      <c r="C104" s="15"/>
      <c r="D104" s="15"/>
      <c r="E104" s="16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13"/>
    </row>
    <row r="105" ht="12.75" customHeight="1">
      <c r="A105" s="30" t="s">
        <v>37</v>
      </c>
      <c r="B105" s="47" t="s">
        <v>90</v>
      </c>
      <c r="C105" s="48" t="s">
        <v>91</v>
      </c>
      <c r="D105" s="16"/>
      <c r="E105" s="19">
        <v>1.0</v>
      </c>
      <c r="F105" s="19">
        <v>0.0</v>
      </c>
      <c r="G105" s="19">
        <v>1.0</v>
      </c>
      <c r="H105" s="19">
        <v>0.0</v>
      </c>
      <c r="I105" s="19">
        <v>0.0</v>
      </c>
      <c r="J105" s="19">
        <v>1.0</v>
      </c>
      <c r="K105" s="19">
        <v>1.0</v>
      </c>
      <c r="L105" s="19">
        <v>0.0</v>
      </c>
      <c r="M105" s="19">
        <v>0.0</v>
      </c>
      <c r="N105" s="19">
        <v>0.0</v>
      </c>
      <c r="O105" s="19">
        <v>0.0</v>
      </c>
      <c r="P105" s="19">
        <v>5.0</v>
      </c>
      <c r="Q105" s="19">
        <v>1.0</v>
      </c>
      <c r="R105" s="13">
        <f t="shared" ref="R105:R108" si="26">SUM(E105:Q105)</f>
        <v>10</v>
      </c>
    </row>
    <row r="106" ht="12.75" customHeight="1">
      <c r="A106" s="30" t="s">
        <v>39</v>
      </c>
      <c r="B106" s="55">
        <v>1.0</v>
      </c>
      <c r="C106" s="50" t="s">
        <v>92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3">
        <f t="shared" si="26"/>
        <v>0</v>
      </c>
    </row>
    <row r="107" ht="12.75" customHeight="1">
      <c r="A107" s="18"/>
      <c r="B107" s="55">
        <v>2.0</v>
      </c>
      <c r="C107" s="50" t="s">
        <v>93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1.0</v>
      </c>
      <c r="Q107" s="19">
        <v>0.0</v>
      </c>
      <c r="R107" s="13">
        <f t="shared" si="26"/>
        <v>1</v>
      </c>
    </row>
    <row r="108" ht="12.75" customHeight="1">
      <c r="A108" s="18"/>
      <c r="B108" s="55">
        <v>3.0</v>
      </c>
      <c r="C108" s="50" t="s">
        <v>94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3">
        <f t="shared" si="26"/>
        <v>0</v>
      </c>
    </row>
    <row r="109" ht="12.75" customHeight="1">
      <c r="A109" s="19" t="s">
        <v>15</v>
      </c>
      <c r="B109" s="47" t="s">
        <v>47</v>
      </c>
      <c r="C109" s="15"/>
      <c r="D109" s="16"/>
      <c r="E109" s="13">
        <f t="shared" ref="E109:R109" si="27">SUM(E105:E108)</f>
        <v>1</v>
      </c>
      <c r="F109" s="13">
        <f t="shared" si="27"/>
        <v>0</v>
      </c>
      <c r="G109" s="13">
        <f t="shared" si="27"/>
        <v>1</v>
      </c>
      <c r="H109" s="13">
        <f t="shared" si="27"/>
        <v>0</v>
      </c>
      <c r="I109" s="13">
        <f t="shared" si="27"/>
        <v>0</v>
      </c>
      <c r="J109" s="13">
        <f t="shared" si="27"/>
        <v>1</v>
      </c>
      <c r="K109" s="13">
        <f t="shared" si="27"/>
        <v>1</v>
      </c>
      <c r="L109" s="13">
        <f t="shared" si="27"/>
        <v>0</v>
      </c>
      <c r="M109" s="13">
        <f t="shared" si="27"/>
        <v>0</v>
      </c>
      <c r="N109" s="13">
        <f t="shared" si="27"/>
        <v>0</v>
      </c>
      <c r="O109" s="13">
        <f t="shared" si="27"/>
        <v>0</v>
      </c>
      <c r="P109" s="13">
        <f t="shared" si="27"/>
        <v>6</v>
      </c>
      <c r="Q109" s="13">
        <f t="shared" si="27"/>
        <v>1</v>
      </c>
      <c r="R109" s="13">
        <f t="shared" si="27"/>
        <v>11</v>
      </c>
    </row>
    <row r="110" ht="12.75" customHeight="1">
      <c r="A110" s="24"/>
      <c r="B110" s="15"/>
      <c r="C110" s="15"/>
      <c r="D110" s="15"/>
      <c r="E110" s="16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</row>
    <row r="111" ht="12.75" customHeight="1">
      <c r="A111" s="30" t="s">
        <v>37</v>
      </c>
      <c r="B111" s="47" t="s">
        <v>95</v>
      </c>
      <c r="C111" s="48" t="s">
        <v>96</v>
      </c>
      <c r="D111" s="16"/>
      <c r="E111" s="19">
        <v>8.0</v>
      </c>
      <c r="F111" s="19">
        <v>1.0</v>
      </c>
      <c r="G111" s="19">
        <v>3.0</v>
      </c>
      <c r="H111" s="19">
        <v>2.0</v>
      </c>
      <c r="I111" s="19">
        <v>0.0</v>
      </c>
      <c r="J111" s="19">
        <v>0.0</v>
      </c>
      <c r="K111" s="19">
        <v>0.0</v>
      </c>
      <c r="L111" s="19">
        <v>0.0</v>
      </c>
      <c r="M111" s="19">
        <v>3.0</v>
      </c>
      <c r="N111" s="19">
        <v>2.0</v>
      </c>
      <c r="O111" s="19">
        <v>0.0</v>
      </c>
      <c r="P111" s="19">
        <v>1.0</v>
      </c>
      <c r="Q111" s="19">
        <v>0.0</v>
      </c>
      <c r="R111" s="13">
        <f t="shared" ref="R111:R118" si="28">SUM(E111:Q111)</f>
        <v>20</v>
      </c>
    </row>
    <row r="112" ht="12.75" customHeight="1">
      <c r="A112" s="30" t="s">
        <v>39</v>
      </c>
      <c r="B112" s="55">
        <v>1.0</v>
      </c>
      <c r="C112" s="50" t="s">
        <v>97</v>
      </c>
      <c r="D112" s="56"/>
      <c r="E112" s="19">
        <v>7.0</v>
      </c>
      <c r="F112" s="19">
        <v>0.0</v>
      </c>
      <c r="G112" s="19">
        <v>0.0</v>
      </c>
      <c r="H112" s="19">
        <v>1.0</v>
      </c>
      <c r="I112" s="19">
        <v>0.0</v>
      </c>
      <c r="J112" s="19">
        <v>0.0</v>
      </c>
      <c r="K112" s="19">
        <v>4.0</v>
      </c>
      <c r="L112" s="19">
        <v>1.0</v>
      </c>
      <c r="M112" s="19">
        <v>2.0</v>
      </c>
      <c r="N112" s="19">
        <v>0.0</v>
      </c>
      <c r="O112" s="19">
        <v>0.0</v>
      </c>
      <c r="P112" s="19">
        <v>0.0</v>
      </c>
      <c r="Q112" s="19">
        <v>1.0</v>
      </c>
      <c r="R112" s="13">
        <f t="shared" si="28"/>
        <v>16</v>
      </c>
    </row>
    <row r="113" ht="12.75" customHeight="1">
      <c r="A113" s="18"/>
      <c r="B113" s="55">
        <v>2.0</v>
      </c>
      <c r="C113" s="50" t="s">
        <v>98</v>
      </c>
      <c r="D113" s="56"/>
      <c r="E113" s="19">
        <v>0.0</v>
      </c>
      <c r="F113" s="19">
        <v>0.0</v>
      </c>
      <c r="G113" s="19">
        <v>2.0</v>
      </c>
      <c r="H113" s="19">
        <v>0.0</v>
      </c>
      <c r="I113" s="19">
        <v>0.0</v>
      </c>
      <c r="J113" s="19">
        <v>2.0</v>
      </c>
      <c r="K113" s="19">
        <v>1.0</v>
      </c>
      <c r="L113" s="19">
        <v>1.0</v>
      </c>
      <c r="M113" s="19">
        <v>0.0</v>
      </c>
      <c r="N113" s="19">
        <v>0.0</v>
      </c>
      <c r="O113" s="19">
        <v>0.0</v>
      </c>
      <c r="P113" s="19">
        <v>0.0</v>
      </c>
      <c r="Q113" s="19">
        <v>0.0</v>
      </c>
      <c r="R113" s="13">
        <f t="shared" si="28"/>
        <v>6</v>
      </c>
    </row>
    <row r="114" ht="12.75" customHeight="1">
      <c r="A114" s="18"/>
      <c r="B114" s="55">
        <v>3.0</v>
      </c>
      <c r="C114" s="50" t="s">
        <v>99</v>
      </c>
      <c r="D114" s="56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0.0</v>
      </c>
      <c r="R114" s="13">
        <f t="shared" si="28"/>
        <v>0</v>
      </c>
    </row>
    <row r="115" ht="12.75" customHeight="1">
      <c r="A115" s="18"/>
      <c r="B115" s="55">
        <v>4.0</v>
      </c>
      <c r="C115" s="50" t="s">
        <v>100</v>
      </c>
      <c r="D115" s="56"/>
      <c r="E115" s="19">
        <v>0.0</v>
      </c>
      <c r="F115" s="19">
        <v>0.0</v>
      </c>
      <c r="G115" s="19">
        <v>0.0</v>
      </c>
      <c r="H115" s="19">
        <v>0.0</v>
      </c>
      <c r="I115" s="19">
        <v>0.0</v>
      </c>
      <c r="J115" s="19">
        <v>0.0</v>
      </c>
      <c r="K115" s="19">
        <v>0.0</v>
      </c>
      <c r="L115" s="19">
        <v>0.0</v>
      </c>
      <c r="M115" s="19">
        <v>0.0</v>
      </c>
      <c r="N115" s="19">
        <v>0.0</v>
      </c>
      <c r="O115" s="19">
        <v>0.0</v>
      </c>
      <c r="P115" s="19">
        <v>0.0</v>
      </c>
      <c r="Q115" s="19">
        <v>0.0</v>
      </c>
      <c r="R115" s="13">
        <f t="shared" si="28"/>
        <v>0</v>
      </c>
    </row>
    <row r="116" ht="12.75" customHeight="1">
      <c r="A116" s="18"/>
      <c r="B116" s="55">
        <v>5.0</v>
      </c>
      <c r="C116" s="50" t="s">
        <v>101</v>
      </c>
      <c r="D116" s="56"/>
      <c r="E116" s="19">
        <v>0.0</v>
      </c>
      <c r="F116" s="19">
        <v>0.0</v>
      </c>
      <c r="G116" s="19">
        <v>0.0</v>
      </c>
      <c r="H116" s="19">
        <v>0.0</v>
      </c>
      <c r="I116" s="19">
        <v>0.0</v>
      </c>
      <c r="J116" s="19">
        <v>0.0</v>
      </c>
      <c r="K116" s="19">
        <v>0.0</v>
      </c>
      <c r="L116" s="19">
        <v>0.0</v>
      </c>
      <c r="M116" s="19">
        <v>0.0</v>
      </c>
      <c r="N116" s="19">
        <v>0.0</v>
      </c>
      <c r="O116" s="19">
        <v>0.0</v>
      </c>
      <c r="P116" s="19">
        <v>0.0</v>
      </c>
      <c r="Q116" s="19">
        <v>0.0</v>
      </c>
      <c r="R116" s="13">
        <f t="shared" si="28"/>
        <v>0</v>
      </c>
    </row>
    <row r="117" ht="12.75" customHeight="1">
      <c r="A117" s="18"/>
      <c r="B117" s="55">
        <v>6.0</v>
      </c>
      <c r="C117" s="50" t="s">
        <v>102</v>
      </c>
      <c r="D117" s="57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3">
        <f t="shared" si="28"/>
        <v>0</v>
      </c>
    </row>
    <row r="118" ht="12.75" customHeight="1">
      <c r="A118" s="18"/>
      <c r="B118" s="55">
        <v>7.0</v>
      </c>
      <c r="C118" s="50" t="s">
        <v>103</v>
      </c>
      <c r="D118" s="56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3">
        <f t="shared" si="28"/>
        <v>0</v>
      </c>
    </row>
    <row r="119" ht="12.75" customHeight="1">
      <c r="A119" s="19" t="s">
        <v>15</v>
      </c>
      <c r="B119" s="47" t="s">
        <v>47</v>
      </c>
      <c r="C119" s="15"/>
      <c r="D119" s="16"/>
      <c r="E119" s="13">
        <f t="shared" ref="E119:R119" si="29">SUM(E111:E118)</f>
        <v>15</v>
      </c>
      <c r="F119" s="13">
        <f t="shared" si="29"/>
        <v>1</v>
      </c>
      <c r="G119" s="13">
        <f t="shared" si="29"/>
        <v>5</v>
      </c>
      <c r="H119" s="13">
        <f t="shared" si="29"/>
        <v>3</v>
      </c>
      <c r="I119" s="13">
        <f t="shared" si="29"/>
        <v>0</v>
      </c>
      <c r="J119" s="13">
        <f t="shared" si="29"/>
        <v>2</v>
      </c>
      <c r="K119" s="13">
        <f t="shared" si="29"/>
        <v>5</v>
      </c>
      <c r="L119" s="13">
        <f t="shared" si="29"/>
        <v>2</v>
      </c>
      <c r="M119" s="13">
        <f t="shared" si="29"/>
        <v>5</v>
      </c>
      <c r="N119" s="13">
        <f t="shared" si="29"/>
        <v>2</v>
      </c>
      <c r="O119" s="13">
        <f t="shared" si="29"/>
        <v>0</v>
      </c>
      <c r="P119" s="13">
        <f t="shared" si="29"/>
        <v>1</v>
      </c>
      <c r="Q119" s="13">
        <f t="shared" si="29"/>
        <v>1</v>
      </c>
      <c r="R119" s="13">
        <f t="shared" si="29"/>
        <v>42</v>
      </c>
    </row>
    <row r="120" ht="12.75" customHeight="1">
      <c r="A120" s="24"/>
      <c r="B120" s="15"/>
      <c r="C120" s="15"/>
      <c r="D120" s="15"/>
      <c r="E120" s="16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</row>
    <row r="121" ht="12.75" customHeight="1">
      <c r="A121" s="30" t="s">
        <v>37</v>
      </c>
      <c r="B121" s="47" t="s">
        <v>104</v>
      </c>
      <c r="C121" s="48" t="s">
        <v>105</v>
      </c>
      <c r="D121" s="16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2.0</v>
      </c>
      <c r="R121" s="13">
        <f t="shared" ref="R121:R128" si="30">SUM(E121:Q121)</f>
        <v>2</v>
      </c>
    </row>
    <row r="122" ht="12.75" customHeight="1">
      <c r="A122" s="30" t="s">
        <v>39</v>
      </c>
      <c r="B122" s="55">
        <v>1.0</v>
      </c>
      <c r="C122" s="50" t="s">
        <v>106</v>
      </c>
      <c r="D122" s="57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1.0</v>
      </c>
      <c r="O122" s="19">
        <v>0.0</v>
      </c>
      <c r="P122" s="19">
        <v>0.0</v>
      </c>
      <c r="Q122" s="19">
        <v>0.0</v>
      </c>
      <c r="R122" s="13">
        <f t="shared" si="30"/>
        <v>1</v>
      </c>
    </row>
    <row r="123" ht="12.75" customHeight="1">
      <c r="A123" s="18"/>
      <c r="B123" s="55">
        <v>2.0</v>
      </c>
      <c r="C123" s="50" t="s">
        <v>107</v>
      </c>
      <c r="D123" s="57"/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3">
        <f t="shared" si="30"/>
        <v>0</v>
      </c>
    </row>
    <row r="124" ht="12.75" customHeight="1">
      <c r="A124" s="18"/>
      <c r="B124" s="55">
        <v>3.0</v>
      </c>
      <c r="C124" s="50" t="s">
        <v>108</v>
      </c>
      <c r="D124" s="57"/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3">
        <f t="shared" si="30"/>
        <v>0</v>
      </c>
    </row>
    <row r="125" ht="12.75" customHeight="1">
      <c r="A125" s="18"/>
      <c r="B125" s="55">
        <v>4.0</v>
      </c>
      <c r="C125" s="50" t="s">
        <v>109</v>
      </c>
      <c r="D125" s="57"/>
      <c r="E125" s="19">
        <v>0.0</v>
      </c>
      <c r="F125" s="19">
        <v>0.0</v>
      </c>
      <c r="G125" s="19">
        <v>0.0</v>
      </c>
      <c r="H125" s="19">
        <v>0.0</v>
      </c>
      <c r="I125" s="19">
        <v>0.0</v>
      </c>
      <c r="J125" s="19">
        <v>0.0</v>
      </c>
      <c r="K125" s="19">
        <v>0.0</v>
      </c>
      <c r="L125" s="19">
        <v>0.0</v>
      </c>
      <c r="M125" s="19">
        <v>0.0</v>
      </c>
      <c r="N125" s="19">
        <v>0.0</v>
      </c>
      <c r="O125" s="19">
        <v>0.0</v>
      </c>
      <c r="P125" s="19">
        <v>0.0</v>
      </c>
      <c r="Q125" s="19">
        <v>0.0</v>
      </c>
      <c r="R125" s="13">
        <f t="shared" si="30"/>
        <v>0</v>
      </c>
    </row>
    <row r="126" ht="12.75" customHeight="1">
      <c r="A126" s="18"/>
      <c r="B126" s="55">
        <v>5.0</v>
      </c>
      <c r="C126" s="50" t="s">
        <v>110</v>
      </c>
      <c r="D126" s="57"/>
      <c r="E126" s="19">
        <v>0.0</v>
      </c>
      <c r="F126" s="19">
        <v>0.0</v>
      </c>
      <c r="G126" s="19">
        <v>0.0</v>
      </c>
      <c r="H126" s="19">
        <v>0.0</v>
      </c>
      <c r="I126" s="19">
        <v>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0.0</v>
      </c>
      <c r="Q126" s="19">
        <v>0.0</v>
      </c>
      <c r="R126" s="13">
        <f t="shared" si="30"/>
        <v>0</v>
      </c>
    </row>
    <row r="127" ht="12.75" customHeight="1">
      <c r="A127" s="18"/>
      <c r="B127" s="55">
        <v>6.0</v>
      </c>
      <c r="C127" s="50" t="s">
        <v>111</v>
      </c>
      <c r="D127" s="57"/>
      <c r="E127" s="19">
        <v>0.0</v>
      </c>
      <c r="F127" s="19">
        <v>0.0</v>
      </c>
      <c r="G127" s="19">
        <v>0.0</v>
      </c>
      <c r="H127" s="19">
        <v>0.0</v>
      </c>
      <c r="I127" s="19">
        <v>0.0</v>
      </c>
      <c r="J127" s="19">
        <v>0.0</v>
      </c>
      <c r="K127" s="19">
        <v>0.0</v>
      </c>
      <c r="L127" s="19">
        <v>0.0</v>
      </c>
      <c r="M127" s="19">
        <v>0.0</v>
      </c>
      <c r="N127" s="19">
        <v>0.0</v>
      </c>
      <c r="O127" s="19">
        <v>0.0</v>
      </c>
      <c r="P127" s="19">
        <v>0.0</v>
      </c>
      <c r="Q127" s="19">
        <v>0.0</v>
      </c>
      <c r="R127" s="13">
        <f t="shared" si="30"/>
        <v>0</v>
      </c>
    </row>
    <row r="128" ht="12.75" customHeight="1">
      <c r="A128" s="18"/>
      <c r="B128" s="55">
        <v>7.0</v>
      </c>
      <c r="C128" s="50" t="s">
        <v>112</v>
      </c>
      <c r="D128" s="57"/>
      <c r="E128" s="19">
        <v>0.0</v>
      </c>
      <c r="F128" s="19">
        <v>0.0</v>
      </c>
      <c r="G128" s="19">
        <v>0.0</v>
      </c>
      <c r="H128" s="19">
        <v>0.0</v>
      </c>
      <c r="I128" s="19">
        <v>0.0</v>
      </c>
      <c r="J128" s="19">
        <v>0.0</v>
      </c>
      <c r="K128" s="19">
        <v>0.0</v>
      </c>
      <c r="L128" s="19">
        <v>0.0</v>
      </c>
      <c r="M128" s="19">
        <v>0.0</v>
      </c>
      <c r="N128" s="19">
        <v>0.0</v>
      </c>
      <c r="O128" s="19">
        <v>0.0</v>
      </c>
      <c r="P128" s="19">
        <v>0.0</v>
      </c>
      <c r="Q128" s="19">
        <v>0.0</v>
      </c>
      <c r="R128" s="13">
        <f t="shared" si="30"/>
        <v>0</v>
      </c>
    </row>
    <row r="129" ht="12.75" customHeight="1">
      <c r="A129" s="19" t="s">
        <v>15</v>
      </c>
      <c r="B129" s="47" t="s">
        <v>47</v>
      </c>
      <c r="C129" s="15"/>
      <c r="D129" s="16"/>
      <c r="E129" s="13">
        <f t="shared" ref="E129:R129" si="31">SUM(E121:E128)</f>
        <v>0</v>
      </c>
      <c r="F129" s="13">
        <f t="shared" si="31"/>
        <v>0</v>
      </c>
      <c r="G129" s="13">
        <f t="shared" si="31"/>
        <v>0</v>
      </c>
      <c r="H129" s="13">
        <f t="shared" si="31"/>
        <v>0</v>
      </c>
      <c r="I129" s="13">
        <f t="shared" si="31"/>
        <v>0</v>
      </c>
      <c r="J129" s="13">
        <f t="shared" si="31"/>
        <v>0</v>
      </c>
      <c r="K129" s="13">
        <f t="shared" si="31"/>
        <v>0</v>
      </c>
      <c r="L129" s="13">
        <f t="shared" si="31"/>
        <v>0</v>
      </c>
      <c r="M129" s="13">
        <f t="shared" si="31"/>
        <v>0</v>
      </c>
      <c r="N129" s="13">
        <f t="shared" si="31"/>
        <v>1</v>
      </c>
      <c r="O129" s="13">
        <f t="shared" si="31"/>
        <v>0</v>
      </c>
      <c r="P129" s="13">
        <f t="shared" si="31"/>
        <v>0</v>
      </c>
      <c r="Q129" s="13">
        <f t="shared" si="31"/>
        <v>2</v>
      </c>
      <c r="R129" s="13">
        <f t="shared" si="31"/>
        <v>3</v>
      </c>
    </row>
    <row r="130" ht="12.75" customHeight="1">
      <c r="A130" s="24"/>
      <c r="B130" s="15"/>
      <c r="C130" s="15"/>
      <c r="D130" s="15"/>
      <c r="E130" s="16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13"/>
    </row>
    <row r="131" ht="12.75" customHeight="1">
      <c r="A131" s="30" t="s">
        <v>37</v>
      </c>
      <c r="B131" s="17" t="s">
        <v>113</v>
      </c>
      <c r="C131" s="59" t="s">
        <v>114</v>
      </c>
      <c r="D131" s="23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2.0</v>
      </c>
      <c r="P131" s="19">
        <v>1.0</v>
      </c>
      <c r="Q131" s="19">
        <v>1.0</v>
      </c>
      <c r="R131" s="13">
        <f t="shared" ref="R131:R135" si="32">SUM(E131:Q131)</f>
        <v>4</v>
      </c>
    </row>
    <row r="132" ht="12.75" customHeight="1">
      <c r="A132" s="60" t="s">
        <v>39</v>
      </c>
      <c r="B132" s="55">
        <v>1.0</v>
      </c>
      <c r="C132" s="61" t="s">
        <v>115</v>
      </c>
      <c r="D132" s="57"/>
      <c r="E132" s="74">
        <v>1.0</v>
      </c>
      <c r="F132" s="19">
        <v>1.0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1.0</v>
      </c>
      <c r="P132" s="19">
        <v>0.0</v>
      </c>
      <c r="Q132" s="19">
        <v>0.0</v>
      </c>
      <c r="R132" s="13">
        <f t="shared" si="32"/>
        <v>3</v>
      </c>
    </row>
    <row r="133" ht="12.75" customHeight="1">
      <c r="A133" s="18"/>
      <c r="B133" s="55">
        <v>2.0</v>
      </c>
      <c r="C133" s="61" t="s">
        <v>116</v>
      </c>
      <c r="D133" s="57"/>
      <c r="E133" s="74">
        <v>0.0</v>
      </c>
      <c r="F133" s="19">
        <v>1.0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3">
        <f t="shared" si="32"/>
        <v>1</v>
      </c>
    </row>
    <row r="134" ht="12.75" customHeight="1">
      <c r="A134" s="18"/>
      <c r="B134" s="55">
        <v>3.0</v>
      </c>
      <c r="C134" s="61" t="s">
        <v>117</v>
      </c>
      <c r="D134" s="57"/>
      <c r="E134" s="74">
        <v>0.0</v>
      </c>
      <c r="F134" s="19">
        <v>0.0</v>
      </c>
      <c r="G134" s="19">
        <v>0.0</v>
      </c>
      <c r="H134" s="19">
        <v>1.0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3">
        <f t="shared" si="32"/>
        <v>1</v>
      </c>
    </row>
    <row r="135" ht="12.75" customHeight="1">
      <c r="A135" s="18"/>
      <c r="B135" s="55">
        <v>4.0</v>
      </c>
      <c r="C135" s="61" t="s">
        <v>118</v>
      </c>
      <c r="D135" s="57"/>
      <c r="E135" s="74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3">
        <f t="shared" si="32"/>
        <v>0</v>
      </c>
    </row>
    <row r="136" ht="12.75" customHeight="1">
      <c r="A136" s="19" t="s">
        <v>15</v>
      </c>
      <c r="B136" s="62" t="s">
        <v>47</v>
      </c>
      <c r="C136" s="44"/>
      <c r="D136" s="28"/>
      <c r="E136" s="13">
        <f t="shared" ref="E136:R136" si="33">SUM(E131:E135)</f>
        <v>1</v>
      </c>
      <c r="F136" s="13">
        <f t="shared" si="33"/>
        <v>2</v>
      </c>
      <c r="G136" s="13">
        <f t="shared" si="33"/>
        <v>0</v>
      </c>
      <c r="H136" s="13">
        <f t="shared" si="33"/>
        <v>1</v>
      </c>
      <c r="I136" s="13">
        <f t="shared" si="33"/>
        <v>0</v>
      </c>
      <c r="J136" s="13">
        <f t="shared" si="33"/>
        <v>0</v>
      </c>
      <c r="K136" s="13">
        <f t="shared" si="33"/>
        <v>0</v>
      </c>
      <c r="L136" s="13">
        <f t="shared" si="33"/>
        <v>0</v>
      </c>
      <c r="M136" s="13">
        <f t="shared" si="33"/>
        <v>0</v>
      </c>
      <c r="N136" s="13">
        <f t="shared" si="33"/>
        <v>0</v>
      </c>
      <c r="O136" s="13">
        <f t="shared" si="33"/>
        <v>3</v>
      </c>
      <c r="P136" s="13">
        <f t="shared" si="33"/>
        <v>1</v>
      </c>
      <c r="Q136" s="13">
        <f t="shared" si="33"/>
        <v>1</v>
      </c>
      <c r="R136" s="13">
        <f t="shared" si="33"/>
        <v>9</v>
      </c>
    </row>
    <row r="137" ht="12.75" customHeight="1">
      <c r="A137" s="24"/>
      <c r="B137" s="15"/>
      <c r="C137" s="15"/>
      <c r="D137" s="15"/>
      <c r="E137" s="16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</row>
    <row r="138" ht="12.75" customHeight="1">
      <c r="A138" s="30" t="s">
        <v>37</v>
      </c>
      <c r="B138" s="47" t="s">
        <v>119</v>
      </c>
      <c r="C138" s="48" t="s">
        <v>120</v>
      </c>
      <c r="D138" s="16"/>
      <c r="E138" s="19">
        <v>1.0</v>
      </c>
      <c r="F138" s="19">
        <v>0.0</v>
      </c>
      <c r="G138" s="19">
        <v>1.0</v>
      </c>
      <c r="H138" s="19">
        <v>0.0</v>
      </c>
      <c r="I138" s="19">
        <v>0.0</v>
      </c>
      <c r="J138" s="19">
        <v>0.0</v>
      </c>
      <c r="K138" s="19">
        <v>1.0</v>
      </c>
      <c r="L138" s="19">
        <v>1.0</v>
      </c>
      <c r="M138" s="19">
        <v>0.0</v>
      </c>
      <c r="N138" s="19">
        <v>0.0</v>
      </c>
      <c r="O138" s="19">
        <v>0.0</v>
      </c>
      <c r="P138" s="19">
        <v>0.0</v>
      </c>
      <c r="Q138" s="19">
        <v>0.0</v>
      </c>
      <c r="R138" s="13">
        <f t="shared" ref="R138:R145" si="34">SUM(E138:Q138)</f>
        <v>4</v>
      </c>
    </row>
    <row r="139" ht="12.75" customHeight="1">
      <c r="A139" s="30" t="s">
        <v>39</v>
      </c>
      <c r="B139" s="55">
        <v>1.0</v>
      </c>
      <c r="C139" s="50" t="s">
        <v>121</v>
      </c>
      <c r="D139" s="57"/>
      <c r="E139" s="19">
        <v>1.0</v>
      </c>
      <c r="F139" s="19">
        <v>0.0</v>
      </c>
      <c r="G139" s="19">
        <v>0.0</v>
      </c>
      <c r="H139" s="19">
        <v>0.0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1.0</v>
      </c>
      <c r="P139" s="19">
        <v>1.0</v>
      </c>
      <c r="Q139" s="19">
        <v>1.0</v>
      </c>
      <c r="R139" s="13">
        <f t="shared" si="34"/>
        <v>4</v>
      </c>
    </row>
    <row r="140" ht="12.75" customHeight="1">
      <c r="A140" s="18"/>
      <c r="B140" s="55">
        <v>2.0</v>
      </c>
      <c r="C140" s="50" t="s">
        <v>122</v>
      </c>
      <c r="D140" s="57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3">
        <f t="shared" si="34"/>
        <v>0</v>
      </c>
    </row>
    <row r="141" ht="12.75" customHeight="1">
      <c r="A141" s="18"/>
      <c r="B141" s="55">
        <v>3.0</v>
      </c>
      <c r="C141" s="50" t="s">
        <v>123</v>
      </c>
      <c r="D141" s="57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3">
        <f t="shared" si="34"/>
        <v>0</v>
      </c>
    </row>
    <row r="142" ht="12.75" customHeight="1">
      <c r="A142" s="18"/>
      <c r="B142" s="55">
        <v>4.0</v>
      </c>
      <c r="C142" s="50" t="s">
        <v>124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3">
        <f t="shared" si="34"/>
        <v>0</v>
      </c>
    </row>
    <row r="143" ht="12.75" customHeight="1">
      <c r="A143" s="18"/>
      <c r="B143" s="55">
        <v>5.0</v>
      </c>
      <c r="C143" s="50" t="s">
        <v>125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3">
        <f t="shared" si="34"/>
        <v>0</v>
      </c>
    </row>
    <row r="144" ht="12.75" customHeight="1">
      <c r="A144" s="18"/>
      <c r="B144" s="55">
        <v>6.0</v>
      </c>
      <c r="C144" s="50" t="s">
        <v>126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3">
        <f t="shared" si="34"/>
        <v>0</v>
      </c>
    </row>
    <row r="145" ht="12.75" customHeight="1">
      <c r="A145" s="18"/>
      <c r="B145" s="55">
        <v>7.0</v>
      </c>
      <c r="C145" s="50" t="s">
        <v>127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3">
        <f t="shared" si="34"/>
        <v>0</v>
      </c>
    </row>
    <row r="146" ht="12.75" customHeight="1">
      <c r="A146" s="19" t="s">
        <v>15</v>
      </c>
      <c r="B146" s="47" t="s">
        <v>47</v>
      </c>
      <c r="C146" s="15"/>
      <c r="D146" s="16"/>
      <c r="E146" s="13">
        <f t="shared" ref="E146:R146" si="35">SUM(E138:E145)</f>
        <v>2</v>
      </c>
      <c r="F146" s="13">
        <f t="shared" si="35"/>
        <v>0</v>
      </c>
      <c r="G146" s="13">
        <f t="shared" si="35"/>
        <v>1</v>
      </c>
      <c r="H146" s="13">
        <f t="shared" si="35"/>
        <v>0</v>
      </c>
      <c r="I146" s="13">
        <f t="shared" si="35"/>
        <v>0</v>
      </c>
      <c r="J146" s="13">
        <f t="shared" si="35"/>
        <v>0</v>
      </c>
      <c r="K146" s="13">
        <f t="shared" si="35"/>
        <v>1</v>
      </c>
      <c r="L146" s="13">
        <f t="shared" si="35"/>
        <v>1</v>
      </c>
      <c r="M146" s="13">
        <f t="shared" si="35"/>
        <v>0</v>
      </c>
      <c r="N146" s="13">
        <f t="shared" si="35"/>
        <v>0</v>
      </c>
      <c r="O146" s="13">
        <f t="shared" si="35"/>
        <v>1</v>
      </c>
      <c r="P146" s="13">
        <f t="shared" si="35"/>
        <v>1</v>
      </c>
      <c r="Q146" s="13">
        <f t="shared" si="35"/>
        <v>1</v>
      </c>
      <c r="R146" s="13">
        <f t="shared" si="35"/>
        <v>8</v>
      </c>
    </row>
    <row r="147" ht="12.75" customHeight="1">
      <c r="A147" s="24"/>
      <c r="B147" s="15"/>
      <c r="C147" s="15"/>
      <c r="D147" s="15"/>
      <c r="E147" s="16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</row>
    <row r="148" ht="12.75" customHeight="1">
      <c r="A148" s="30" t="s">
        <v>37</v>
      </c>
      <c r="B148" s="47" t="s">
        <v>128</v>
      </c>
      <c r="C148" s="48" t="s">
        <v>129</v>
      </c>
      <c r="D148" s="16"/>
      <c r="E148" s="19">
        <v>0.0</v>
      </c>
      <c r="F148" s="19">
        <v>1.0</v>
      </c>
      <c r="G148" s="19">
        <v>1.0</v>
      </c>
      <c r="H148" s="19">
        <v>0.0</v>
      </c>
      <c r="I148" s="19">
        <v>1.0</v>
      </c>
      <c r="J148" s="19">
        <v>0.0</v>
      </c>
      <c r="K148" s="19">
        <v>4.0</v>
      </c>
      <c r="L148" s="19">
        <v>0.0</v>
      </c>
      <c r="M148" s="19">
        <v>0.0</v>
      </c>
      <c r="N148" s="19">
        <v>0.0</v>
      </c>
      <c r="O148" s="19">
        <v>0.0</v>
      </c>
      <c r="P148" s="19">
        <v>1.0</v>
      </c>
      <c r="Q148" s="19">
        <v>0.0</v>
      </c>
      <c r="R148" s="13">
        <f t="shared" ref="R148:R155" si="36">SUM(E148:Q148)</f>
        <v>8</v>
      </c>
    </row>
    <row r="149" ht="12.75" customHeight="1">
      <c r="A149" s="30" t="s">
        <v>39</v>
      </c>
      <c r="B149" s="55">
        <v>1.0</v>
      </c>
      <c r="C149" s="50" t="s">
        <v>130</v>
      </c>
      <c r="D149" s="57"/>
      <c r="E149" s="19">
        <v>0.0</v>
      </c>
      <c r="F149" s="19">
        <v>0.0</v>
      </c>
      <c r="G149" s="19">
        <v>0.0</v>
      </c>
      <c r="H149" s="19">
        <v>1.0</v>
      </c>
      <c r="I149" s="19">
        <v>0.0</v>
      </c>
      <c r="J149" s="19">
        <v>0.0</v>
      </c>
      <c r="K149" s="19">
        <v>2.0</v>
      </c>
      <c r="L149" s="19">
        <v>1.0</v>
      </c>
      <c r="M149" s="19">
        <v>1.0</v>
      </c>
      <c r="N149" s="19">
        <v>0.0</v>
      </c>
      <c r="O149" s="19">
        <v>0.0</v>
      </c>
      <c r="P149" s="19">
        <v>0.0</v>
      </c>
      <c r="Q149" s="19">
        <v>1.0</v>
      </c>
      <c r="R149" s="13">
        <f t="shared" si="36"/>
        <v>6</v>
      </c>
    </row>
    <row r="150" ht="12.75" customHeight="1">
      <c r="A150" s="18"/>
      <c r="B150" s="55">
        <v>2.0</v>
      </c>
      <c r="C150" s="50" t="s">
        <v>131</v>
      </c>
      <c r="D150" s="57"/>
      <c r="E150" s="19">
        <v>0.0</v>
      </c>
      <c r="F150" s="19">
        <v>0.0</v>
      </c>
      <c r="G150" s="19">
        <v>0.0</v>
      </c>
      <c r="H150" s="19">
        <v>2.0</v>
      </c>
      <c r="I150" s="19">
        <v>0.0</v>
      </c>
      <c r="J150" s="19">
        <v>0.0</v>
      </c>
      <c r="K150" s="19">
        <v>1.0</v>
      </c>
      <c r="L150" s="19">
        <v>0.0</v>
      </c>
      <c r="M150" s="19">
        <v>0.0</v>
      </c>
      <c r="N150" s="19">
        <v>0.0</v>
      </c>
      <c r="O150" s="19">
        <v>0.0</v>
      </c>
      <c r="P150" s="19">
        <v>1.0</v>
      </c>
      <c r="Q150" s="19">
        <v>0.0</v>
      </c>
      <c r="R150" s="13">
        <f t="shared" si="36"/>
        <v>4</v>
      </c>
    </row>
    <row r="151" ht="12.75" customHeight="1">
      <c r="A151" s="18"/>
      <c r="B151" s="55">
        <v>3.0</v>
      </c>
      <c r="C151" s="50" t="s">
        <v>132</v>
      </c>
      <c r="D151" s="57"/>
      <c r="E151" s="19">
        <v>0.0</v>
      </c>
      <c r="F151" s="19">
        <v>0.0</v>
      </c>
      <c r="G151" s="19">
        <v>0.0</v>
      </c>
      <c r="H151" s="19">
        <v>0.0</v>
      </c>
      <c r="I151" s="19">
        <v>0.0</v>
      </c>
      <c r="J151" s="19">
        <v>0.0</v>
      </c>
      <c r="K151" s="19">
        <v>0.0</v>
      </c>
      <c r="L151" s="19">
        <v>0.0</v>
      </c>
      <c r="M151" s="19">
        <v>0.0</v>
      </c>
      <c r="N151" s="19">
        <v>0.0</v>
      </c>
      <c r="O151" s="19">
        <v>0.0</v>
      </c>
      <c r="P151" s="19">
        <v>0.0</v>
      </c>
      <c r="Q151" s="19">
        <v>0.0</v>
      </c>
      <c r="R151" s="13">
        <f t="shared" si="36"/>
        <v>0</v>
      </c>
    </row>
    <row r="152" ht="12.75" customHeight="1">
      <c r="A152" s="18"/>
      <c r="B152" s="55">
        <v>4.0</v>
      </c>
      <c r="C152" s="50" t="s">
        <v>133</v>
      </c>
      <c r="D152" s="57"/>
      <c r="E152" s="19">
        <v>0.0</v>
      </c>
      <c r="F152" s="19">
        <v>0.0</v>
      </c>
      <c r="G152" s="19">
        <v>0.0</v>
      </c>
      <c r="H152" s="19">
        <v>0.0</v>
      </c>
      <c r="I152" s="19">
        <v>0.0</v>
      </c>
      <c r="J152" s="19">
        <v>0.0</v>
      </c>
      <c r="K152" s="19">
        <v>0.0</v>
      </c>
      <c r="L152" s="19">
        <v>0.0</v>
      </c>
      <c r="M152" s="19">
        <v>0.0</v>
      </c>
      <c r="N152" s="19">
        <v>0.0</v>
      </c>
      <c r="O152" s="19">
        <v>0.0</v>
      </c>
      <c r="P152" s="19">
        <v>0.0</v>
      </c>
      <c r="Q152" s="19">
        <v>0.0</v>
      </c>
      <c r="R152" s="13">
        <f t="shared" si="36"/>
        <v>0</v>
      </c>
    </row>
    <row r="153" ht="12.75" customHeight="1">
      <c r="A153" s="18"/>
      <c r="B153" s="55">
        <v>5.0</v>
      </c>
      <c r="C153" s="50" t="s">
        <v>134</v>
      </c>
      <c r="D153" s="57"/>
      <c r="E153" s="19">
        <v>0.0</v>
      </c>
      <c r="F153" s="19">
        <v>0.0</v>
      </c>
      <c r="G153" s="19">
        <v>0.0</v>
      </c>
      <c r="H153" s="19">
        <v>3.0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3">
        <f t="shared" si="36"/>
        <v>3</v>
      </c>
    </row>
    <row r="154" ht="12.75" customHeight="1">
      <c r="A154" s="18"/>
      <c r="B154" s="55">
        <v>6.0</v>
      </c>
      <c r="C154" s="50" t="s">
        <v>135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1.0</v>
      </c>
      <c r="N154" s="19">
        <v>0.0</v>
      </c>
      <c r="O154" s="19">
        <v>0.0</v>
      </c>
      <c r="P154" s="19">
        <v>0.0</v>
      </c>
      <c r="Q154" s="19">
        <v>0.0</v>
      </c>
      <c r="R154" s="13">
        <f t="shared" si="36"/>
        <v>1</v>
      </c>
    </row>
    <row r="155" ht="12.75" customHeight="1">
      <c r="A155" s="18"/>
      <c r="B155" s="55">
        <v>7.0</v>
      </c>
      <c r="C155" s="50" t="s">
        <v>136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3">
        <f t="shared" si="36"/>
        <v>0</v>
      </c>
    </row>
    <row r="156" ht="12.75" customHeight="1">
      <c r="A156" s="19" t="s">
        <v>15</v>
      </c>
      <c r="B156" s="47" t="s">
        <v>47</v>
      </c>
      <c r="C156" s="15"/>
      <c r="D156" s="16"/>
      <c r="E156" s="13">
        <f t="shared" ref="E156:R156" si="37">SUM(E148:E155)</f>
        <v>0</v>
      </c>
      <c r="F156" s="13">
        <f t="shared" si="37"/>
        <v>1</v>
      </c>
      <c r="G156" s="13">
        <f t="shared" si="37"/>
        <v>1</v>
      </c>
      <c r="H156" s="13">
        <f t="shared" si="37"/>
        <v>6</v>
      </c>
      <c r="I156" s="13">
        <f t="shared" si="37"/>
        <v>1</v>
      </c>
      <c r="J156" s="13">
        <f t="shared" si="37"/>
        <v>0</v>
      </c>
      <c r="K156" s="13">
        <f t="shared" si="37"/>
        <v>7</v>
      </c>
      <c r="L156" s="13">
        <f t="shared" si="37"/>
        <v>1</v>
      </c>
      <c r="M156" s="13">
        <f t="shared" si="37"/>
        <v>2</v>
      </c>
      <c r="N156" s="13">
        <f t="shared" si="37"/>
        <v>0</v>
      </c>
      <c r="O156" s="13">
        <f t="shared" si="37"/>
        <v>0</v>
      </c>
      <c r="P156" s="13">
        <f t="shared" si="37"/>
        <v>2</v>
      </c>
      <c r="Q156" s="13">
        <f t="shared" si="37"/>
        <v>1</v>
      </c>
      <c r="R156" s="13">
        <f t="shared" si="37"/>
        <v>22</v>
      </c>
    </row>
    <row r="157" ht="12.75" customHeight="1">
      <c r="A157" s="24"/>
      <c r="B157" s="15"/>
      <c r="C157" s="15"/>
      <c r="D157" s="15"/>
      <c r="E157" s="16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R157" s="13"/>
    </row>
    <row r="158" ht="12.75" customHeight="1">
      <c r="A158" s="30" t="s">
        <v>37</v>
      </c>
      <c r="B158" s="47" t="s">
        <v>137</v>
      </c>
      <c r="C158" s="48" t="s">
        <v>138</v>
      </c>
      <c r="D158" s="16"/>
      <c r="E158" s="19">
        <v>0.0</v>
      </c>
      <c r="F158" s="19">
        <v>0.0</v>
      </c>
      <c r="G158" s="19">
        <v>0.0</v>
      </c>
      <c r="H158" s="19">
        <v>0.0</v>
      </c>
      <c r="I158" s="19">
        <v>1.0</v>
      </c>
      <c r="J158" s="19">
        <v>0.0</v>
      </c>
      <c r="K158" s="19">
        <v>0.0</v>
      </c>
      <c r="L158" s="19">
        <v>1.0</v>
      </c>
      <c r="M158" s="19">
        <v>0.0</v>
      </c>
      <c r="N158" s="19">
        <v>0.0</v>
      </c>
      <c r="O158" s="19">
        <v>0.0</v>
      </c>
      <c r="P158" s="19">
        <v>0.0</v>
      </c>
      <c r="Q158" s="19">
        <v>0.0</v>
      </c>
      <c r="R158" s="13">
        <f t="shared" ref="R158:R165" si="38">SUM(E158:Q158)</f>
        <v>2</v>
      </c>
    </row>
    <row r="159" ht="12.75" customHeight="1">
      <c r="A159" s="30" t="s">
        <v>39</v>
      </c>
      <c r="B159" s="55">
        <v>1.0</v>
      </c>
      <c r="C159" s="50" t="s">
        <v>139</v>
      </c>
      <c r="D159" s="57"/>
      <c r="E159" s="19">
        <v>0.0</v>
      </c>
      <c r="F159" s="19">
        <v>0.0</v>
      </c>
      <c r="G159" s="19">
        <v>0.0</v>
      </c>
      <c r="H159" s="19">
        <v>0.0</v>
      </c>
      <c r="I159" s="19">
        <v>0.0</v>
      </c>
      <c r="J159" s="19">
        <v>0.0</v>
      </c>
      <c r="K159" s="19">
        <v>0.0</v>
      </c>
      <c r="L159" s="19">
        <v>0.0</v>
      </c>
      <c r="M159" s="19">
        <v>0.0</v>
      </c>
      <c r="N159" s="19">
        <v>0.0</v>
      </c>
      <c r="O159" s="19">
        <v>1.0</v>
      </c>
      <c r="P159" s="19">
        <v>0.0</v>
      </c>
      <c r="Q159" s="19">
        <v>0.0</v>
      </c>
      <c r="R159" s="13">
        <f t="shared" si="38"/>
        <v>1</v>
      </c>
    </row>
    <row r="160" ht="12.75" customHeight="1">
      <c r="A160" s="18"/>
      <c r="B160" s="55">
        <v>2.0</v>
      </c>
      <c r="C160" s="50" t="s">
        <v>140</v>
      </c>
      <c r="D160" s="57"/>
      <c r="E160" s="19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3">
        <f t="shared" si="38"/>
        <v>0</v>
      </c>
    </row>
    <row r="161" ht="12.75" customHeight="1">
      <c r="A161" s="18"/>
      <c r="B161" s="55">
        <v>3.0</v>
      </c>
      <c r="C161" s="50" t="s">
        <v>141</v>
      </c>
      <c r="D161" s="57"/>
      <c r="E161" s="19">
        <v>0.0</v>
      </c>
      <c r="F161" s="19">
        <v>0.0</v>
      </c>
      <c r="G161" s="19">
        <v>0.0</v>
      </c>
      <c r="H161" s="19">
        <v>0.0</v>
      </c>
      <c r="I161" s="19">
        <v>0.0</v>
      </c>
      <c r="J161" s="19">
        <v>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0.0</v>
      </c>
      <c r="P161" s="19">
        <v>0.0</v>
      </c>
      <c r="Q161" s="19">
        <v>0.0</v>
      </c>
      <c r="R161" s="13">
        <f t="shared" si="38"/>
        <v>0</v>
      </c>
    </row>
    <row r="162" ht="12.75" customHeight="1">
      <c r="A162" s="18"/>
      <c r="B162" s="55">
        <v>4.0</v>
      </c>
      <c r="C162" s="50" t="s">
        <v>142</v>
      </c>
      <c r="D162" s="57"/>
      <c r="E162" s="19">
        <v>0.0</v>
      </c>
      <c r="F162" s="19">
        <v>0.0</v>
      </c>
      <c r="G162" s="19">
        <v>0.0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0.0</v>
      </c>
      <c r="R162" s="13">
        <f t="shared" si="38"/>
        <v>0</v>
      </c>
    </row>
    <row r="163" ht="12.75" customHeight="1">
      <c r="A163" s="18"/>
      <c r="B163" s="55">
        <v>5.0</v>
      </c>
      <c r="C163" s="50" t="s">
        <v>143</v>
      </c>
      <c r="D163" s="57"/>
      <c r="E163" s="19">
        <v>0.0</v>
      </c>
      <c r="F163" s="19">
        <v>0.0</v>
      </c>
      <c r="G163" s="19">
        <v>0.0</v>
      </c>
      <c r="H163" s="19">
        <v>0.0</v>
      </c>
      <c r="I163" s="19">
        <v>0.0</v>
      </c>
      <c r="J163" s="19">
        <v>0.0</v>
      </c>
      <c r="K163" s="19">
        <v>0.0</v>
      </c>
      <c r="L163" s="19">
        <v>0.0</v>
      </c>
      <c r="M163" s="19">
        <v>0.0</v>
      </c>
      <c r="N163" s="19">
        <v>0.0</v>
      </c>
      <c r="O163" s="19">
        <v>0.0</v>
      </c>
      <c r="P163" s="19">
        <v>0.0</v>
      </c>
      <c r="Q163" s="19">
        <v>0.0</v>
      </c>
      <c r="R163" s="13">
        <f t="shared" si="38"/>
        <v>0</v>
      </c>
    </row>
    <row r="164" ht="12.75" customHeight="1">
      <c r="A164" s="18"/>
      <c r="B164" s="55">
        <v>6.0</v>
      </c>
      <c r="C164" s="50" t="s">
        <v>144</v>
      </c>
      <c r="D164" s="57"/>
      <c r="E164" s="19">
        <v>0.0</v>
      </c>
      <c r="F164" s="19">
        <v>0.0</v>
      </c>
      <c r="G164" s="19">
        <v>0.0</v>
      </c>
      <c r="H164" s="19">
        <v>0.0</v>
      </c>
      <c r="I164" s="19">
        <v>0.0</v>
      </c>
      <c r="J164" s="19">
        <v>0.0</v>
      </c>
      <c r="K164" s="19">
        <v>0.0</v>
      </c>
      <c r="L164" s="19">
        <v>0.0</v>
      </c>
      <c r="M164" s="19">
        <v>0.0</v>
      </c>
      <c r="N164" s="19">
        <v>0.0</v>
      </c>
      <c r="O164" s="19">
        <v>0.0</v>
      </c>
      <c r="P164" s="19">
        <v>0.0</v>
      </c>
      <c r="Q164" s="19">
        <v>0.0</v>
      </c>
      <c r="R164" s="13">
        <f t="shared" si="38"/>
        <v>0</v>
      </c>
    </row>
    <row r="165" ht="12.75" customHeight="1">
      <c r="A165" s="18"/>
      <c r="B165" s="55">
        <v>7.0</v>
      </c>
      <c r="C165" s="50" t="s">
        <v>145</v>
      </c>
      <c r="D165" s="57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3">
        <f t="shared" si="38"/>
        <v>0</v>
      </c>
    </row>
    <row r="166" ht="12.75" customHeight="1">
      <c r="A166" s="19" t="s">
        <v>15</v>
      </c>
      <c r="B166" s="47" t="s">
        <v>47</v>
      </c>
      <c r="C166" s="15"/>
      <c r="D166" s="16"/>
      <c r="E166" s="13">
        <f t="shared" ref="E166:R166" si="39">SUM(E158:E165)</f>
        <v>0</v>
      </c>
      <c r="F166" s="13">
        <f t="shared" si="39"/>
        <v>0</v>
      </c>
      <c r="G166" s="13">
        <f t="shared" si="39"/>
        <v>0</v>
      </c>
      <c r="H166" s="13">
        <f t="shared" si="39"/>
        <v>0</v>
      </c>
      <c r="I166" s="13">
        <f t="shared" si="39"/>
        <v>1</v>
      </c>
      <c r="J166" s="13">
        <f t="shared" si="39"/>
        <v>0</v>
      </c>
      <c r="K166" s="13">
        <f t="shared" si="39"/>
        <v>0</v>
      </c>
      <c r="L166" s="13">
        <f t="shared" si="39"/>
        <v>1</v>
      </c>
      <c r="M166" s="13">
        <f t="shared" si="39"/>
        <v>0</v>
      </c>
      <c r="N166" s="13">
        <f t="shared" si="39"/>
        <v>0</v>
      </c>
      <c r="O166" s="13">
        <f t="shared" si="39"/>
        <v>1</v>
      </c>
      <c r="P166" s="13">
        <f t="shared" si="39"/>
        <v>0</v>
      </c>
      <c r="Q166" s="13">
        <f t="shared" si="39"/>
        <v>0</v>
      </c>
      <c r="R166" s="13">
        <f t="shared" si="39"/>
        <v>3</v>
      </c>
    </row>
    <row r="167" ht="12.75" customHeight="1">
      <c r="A167" s="24"/>
      <c r="B167" s="15"/>
      <c r="C167" s="15"/>
      <c r="D167" s="15"/>
      <c r="E167" s="16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</row>
    <row r="168" ht="12.75" customHeight="1">
      <c r="A168" s="30" t="s">
        <v>37</v>
      </c>
      <c r="B168" s="47" t="s">
        <v>146</v>
      </c>
      <c r="C168" s="48" t="s">
        <v>147</v>
      </c>
      <c r="D168" s="16"/>
      <c r="E168" s="19">
        <v>1.0</v>
      </c>
      <c r="F168" s="19">
        <v>1.0</v>
      </c>
      <c r="G168" s="19">
        <v>0.0</v>
      </c>
      <c r="H168" s="19">
        <v>0.0</v>
      </c>
      <c r="I168" s="19">
        <v>2.0</v>
      </c>
      <c r="J168" s="19">
        <v>0.0</v>
      </c>
      <c r="K168" s="19">
        <v>0.0</v>
      </c>
      <c r="L168" s="19">
        <v>1.0</v>
      </c>
      <c r="M168" s="19">
        <v>0.0</v>
      </c>
      <c r="N168" s="19">
        <v>0.0</v>
      </c>
      <c r="O168" s="19">
        <v>0.0</v>
      </c>
      <c r="P168" s="19">
        <v>1.0</v>
      </c>
      <c r="Q168" s="19">
        <v>0.0</v>
      </c>
      <c r="R168" s="13">
        <f t="shared" ref="R168:R175" si="40">SUM(E168:Q168)</f>
        <v>6</v>
      </c>
    </row>
    <row r="169" ht="12.75" customHeight="1">
      <c r="A169" s="30" t="s">
        <v>39</v>
      </c>
      <c r="B169" s="55">
        <v>1.0</v>
      </c>
      <c r="C169" s="50" t="s">
        <v>148</v>
      </c>
      <c r="D169" s="57"/>
      <c r="E169" s="19">
        <v>2.0</v>
      </c>
      <c r="F169" s="19">
        <v>1.0</v>
      </c>
      <c r="G169" s="19">
        <v>1.0</v>
      </c>
      <c r="H169" s="19">
        <v>3.0</v>
      </c>
      <c r="I169" s="19">
        <v>0.0</v>
      </c>
      <c r="J169" s="19">
        <v>1.0</v>
      </c>
      <c r="K169" s="19">
        <v>0.0</v>
      </c>
      <c r="L169" s="19">
        <v>2.0</v>
      </c>
      <c r="M169" s="19">
        <v>0.0</v>
      </c>
      <c r="N169" s="19">
        <v>0.0</v>
      </c>
      <c r="O169" s="19">
        <v>1.0</v>
      </c>
      <c r="P169" s="19">
        <v>0.0</v>
      </c>
      <c r="Q169" s="19">
        <v>0.0</v>
      </c>
      <c r="R169" s="13">
        <f t="shared" si="40"/>
        <v>11</v>
      </c>
    </row>
    <row r="170" ht="12.75" customHeight="1">
      <c r="A170" s="18"/>
      <c r="B170" s="55">
        <v>2.0</v>
      </c>
      <c r="C170" s="50" t="s">
        <v>149</v>
      </c>
      <c r="D170" s="57"/>
      <c r="E170" s="19">
        <v>5.0</v>
      </c>
      <c r="F170" s="19">
        <v>1.0</v>
      </c>
      <c r="G170" s="19">
        <v>2.0</v>
      </c>
      <c r="H170" s="19">
        <v>1.0</v>
      </c>
      <c r="I170" s="19">
        <v>4.0</v>
      </c>
      <c r="J170" s="19">
        <v>0.0</v>
      </c>
      <c r="K170" s="19">
        <v>4.0</v>
      </c>
      <c r="L170" s="19">
        <v>4.0</v>
      </c>
      <c r="M170" s="19">
        <v>0.0</v>
      </c>
      <c r="N170" s="19">
        <v>1.0</v>
      </c>
      <c r="O170" s="19">
        <v>3.0</v>
      </c>
      <c r="P170" s="19">
        <v>0.0</v>
      </c>
      <c r="Q170" s="19">
        <v>1.0</v>
      </c>
      <c r="R170" s="13">
        <f t="shared" si="40"/>
        <v>26</v>
      </c>
    </row>
    <row r="171" ht="12.75" customHeight="1">
      <c r="A171" s="18"/>
      <c r="B171" s="55">
        <v>3.0</v>
      </c>
      <c r="C171" s="50" t="s">
        <v>150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3">
        <f t="shared" si="40"/>
        <v>0</v>
      </c>
    </row>
    <row r="172" ht="12.75" customHeight="1">
      <c r="A172" s="18"/>
      <c r="B172" s="55">
        <v>4.0</v>
      </c>
      <c r="C172" s="50" t="s">
        <v>151</v>
      </c>
      <c r="D172" s="57"/>
      <c r="E172" s="19">
        <v>0.0</v>
      </c>
      <c r="F172" s="19">
        <v>0.0</v>
      </c>
      <c r="G172" s="19">
        <v>1.0</v>
      </c>
      <c r="H172" s="19">
        <v>1.0</v>
      </c>
      <c r="I172" s="19">
        <v>2.0</v>
      </c>
      <c r="J172" s="19">
        <v>2.0</v>
      </c>
      <c r="K172" s="19">
        <v>2.0</v>
      </c>
      <c r="L172" s="19">
        <v>0.0</v>
      </c>
      <c r="M172" s="19">
        <v>0.0</v>
      </c>
      <c r="N172" s="19">
        <v>7.0</v>
      </c>
      <c r="O172" s="19">
        <v>2.0</v>
      </c>
      <c r="P172" s="19">
        <v>0.0</v>
      </c>
      <c r="Q172" s="19">
        <v>2.0</v>
      </c>
      <c r="R172" s="13">
        <f t="shared" si="40"/>
        <v>19</v>
      </c>
    </row>
    <row r="173" ht="12.75" customHeight="1">
      <c r="A173" s="18"/>
      <c r="B173" s="55">
        <v>5.0</v>
      </c>
      <c r="C173" s="50" t="s">
        <v>152</v>
      </c>
      <c r="D173" s="57"/>
      <c r="E173" s="19">
        <v>1.0</v>
      </c>
      <c r="F173" s="19">
        <v>1.0</v>
      </c>
      <c r="G173" s="19">
        <v>0.0</v>
      </c>
      <c r="H173" s="19">
        <v>0.0</v>
      </c>
      <c r="I173" s="19">
        <v>0.0</v>
      </c>
      <c r="J173" s="19">
        <v>0.0</v>
      </c>
      <c r="K173" s="19">
        <v>0.0</v>
      </c>
      <c r="L173" s="19">
        <v>0.0</v>
      </c>
      <c r="M173" s="19">
        <v>0.0</v>
      </c>
      <c r="N173" s="19">
        <v>0.0</v>
      </c>
      <c r="O173" s="19">
        <v>0.0</v>
      </c>
      <c r="P173" s="19">
        <v>0.0</v>
      </c>
      <c r="Q173" s="19">
        <v>0.0</v>
      </c>
      <c r="R173" s="13">
        <f t="shared" si="40"/>
        <v>2</v>
      </c>
    </row>
    <row r="174" ht="12.75" customHeight="1">
      <c r="A174" s="18"/>
      <c r="B174" s="55">
        <v>6.0</v>
      </c>
      <c r="C174" s="50" t="s">
        <v>153</v>
      </c>
      <c r="D174" s="57"/>
      <c r="E174" s="19">
        <v>0.0</v>
      </c>
      <c r="F174" s="19">
        <v>0.0</v>
      </c>
      <c r="G174" s="19">
        <v>0.0</v>
      </c>
      <c r="H174" s="19">
        <v>0.0</v>
      </c>
      <c r="I174" s="19">
        <v>0.0</v>
      </c>
      <c r="J174" s="19">
        <v>0.0</v>
      </c>
      <c r="K174" s="19">
        <v>0.0</v>
      </c>
      <c r="L174" s="19">
        <v>0.0</v>
      </c>
      <c r="M174" s="19">
        <v>0.0</v>
      </c>
      <c r="N174" s="19">
        <v>0.0</v>
      </c>
      <c r="O174" s="19">
        <v>0.0</v>
      </c>
      <c r="P174" s="19">
        <v>0.0</v>
      </c>
      <c r="Q174" s="19">
        <v>0.0</v>
      </c>
      <c r="R174" s="13">
        <f t="shared" si="40"/>
        <v>0</v>
      </c>
    </row>
    <row r="175" ht="12.75" customHeight="1">
      <c r="A175" s="18"/>
      <c r="B175" s="55">
        <v>7.0</v>
      </c>
      <c r="C175" s="50" t="s">
        <v>154</v>
      </c>
      <c r="D175" s="57"/>
      <c r="E175" s="19">
        <v>0.0</v>
      </c>
      <c r="F175" s="19">
        <v>0.0</v>
      </c>
      <c r="G175" s="19">
        <v>0.0</v>
      </c>
      <c r="H175" s="19">
        <v>1.0</v>
      </c>
      <c r="I175" s="19">
        <v>1.0</v>
      </c>
      <c r="J175" s="19">
        <v>0.0</v>
      </c>
      <c r="K175" s="19">
        <v>0.0</v>
      </c>
      <c r="L175" s="19">
        <v>0.0</v>
      </c>
      <c r="M175" s="19">
        <v>0.0</v>
      </c>
      <c r="N175" s="19">
        <v>0.0</v>
      </c>
      <c r="O175" s="19">
        <v>0.0</v>
      </c>
      <c r="P175" s="19">
        <v>0.0</v>
      </c>
      <c r="Q175" s="19">
        <v>0.0</v>
      </c>
      <c r="R175" s="13">
        <f t="shared" si="40"/>
        <v>2</v>
      </c>
    </row>
    <row r="176" ht="12.75" customHeight="1">
      <c r="A176" s="19" t="s">
        <v>15</v>
      </c>
      <c r="B176" s="47" t="s">
        <v>47</v>
      </c>
      <c r="C176" s="15"/>
      <c r="D176" s="16"/>
      <c r="E176" s="13">
        <f t="shared" ref="E176:R176" si="41">SUM(E168:E175)</f>
        <v>9</v>
      </c>
      <c r="F176" s="13">
        <f t="shared" si="41"/>
        <v>4</v>
      </c>
      <c r="G176" s="13">
        <f t="shared" si="41"/>
        <v>4</v>
      </c>
      <c r="H176" s="13">
        <f t="shared" si="41"/>
        <v>6</v>
      </c>
      <c r="I176" s="13">
        <f t="shared" si="41"/>
        <v>9</v>
      </c>
      <c r="J176" s="13">
        <f t="shared" si="41"/>
        <v>3</v>
      </c>
      <c r="K176" s="13">
        <f t="shared" si="41"/>
        <v>6</v>
      </c>
      <c r="L176" s="13">
        <f t="shared" si="41"/>
        <v>7</v>
      </c>
      <c r="M176" s="13">
        <f t="shared" si="41"/>
        <v>0</v>
      </c>
      <c r="N176" s="13">
        <f t="shared" si="41"/>
        <v>8</v>
      </c>
      <c r="O176" s="13">
        <f t="shared" si="41"/>
        <v>6</v>
      </c>
      <c r="P176" s="13">
        <f t="shared" si="41"/>
        <v>1</v>
      </c>
      <c r="Q176" s="13">
        <f t="shared" si="41"/>
        <v>3</v>
      </c>
      <c r="R176" s="13">
        <f t="shared" si="41"/>
        <v>66</v>
      </c>
    </row>
    <row r="177" ht="12.75" customHeight="1">
      <c r="A177" s="24"/>
      <c r="B177" s="15"/>
      <c r="C177" s="15"/>
      <c r="D177" s="15"/>
      <c r="E177" s="16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</row>
    <row r="178" ht="12.75" customHeight="1">
      <c r="A178" s="30" t="s">
        <v>37</v>
      </c>
      <c r="B178" s="47" t="s">
        <v>155</v>
      </c>
      <c r="C178" s="48" t="s">
        <v>156</v>
      </c>
      <c r="D178" s="16"/>
      <c r="E178" s="19">
        <v>1.0</v>
      </c>
      <c r="F178" s="19">
        <v>2.0</v>
      </c>
      <c r="G178" s="19">
        <v>0.0</v>
      </c>
      <c r="H178" s="19">
        <v>2.0</v>
      </c>
      <c r="I178" s="19">
        <v>0.0</v>
      </c>
      <c r="J178" s="19">
        <v>0.0</v>
      </c>
      <c r="K178" s="19">
        <v>3.0</v>
      </c>
      <c r="L178" s="19">
        <v>5.0</v>
      </c>
      <c r="M178" s="19">
        <v>1.0</v>
      </c>
      <c r="N178" s="19">
        <v>2.0</v>
      </c>
      <c r="O178" s="19">
        <v>1.0</v>
      </c>
      <c r="P178" s="19">
        <v>1.0</v>
      </c>
      <c r="Q178" s="19">
        <v>1.0</v>
      </c>
      <c r="R178" s="13">
        <f t="shared" ref="R178:R185" si="42">SUM(E178:Q178)</f>
        <v>19</v>
      </c>
    </row>
    <row r="179" ht="12.75" customHeight="1">
      <c r="A179" s="30" t="s">
        <v>39</v>
      </c>
      <c r="B179" s="55">
        <v>1.0</v>
      </c>
      <c r="C179" s="50" t="s">
        <v>157</v>
      </c>
      <c r="D179" s="56"/>
      <c r="E179" s="19">
        <v>1.0</v>
      </c>
      <c r="F179" s="19">
        <v>7.0</v>
      </c>
      <c r="G179" s="19">
        <v>7.0</v>
      </c>
      <c r="H179" s="19">
        <v>4.0</v>
      </c>
      <c r="I179" s="19">
        <v>4.0</v>
      </c>
      <c r="J179" s="19">
        <v>1.0</v>
      </c>
      <c r="K179" s="19">
        <v>30.0</v>
      </c>
      <c r="L179" s="19">
        <v>74.0</v>
      </c>
      <c r="M179" s="19">
        <v>20.0</v>
      </c>
      <c r="N179" s="19">
        <v>28.0</v>
      </c>
      <c r="O179" s="19">
        <v>1.0</v>
      </c>
      <c r="P179" s="19">
        <v>9.0</v>
      </c>
      <c r="Q179" s="19">
        <v>3.0</v>
      </c>
      <c r="R179" s="13">
        <f t="shared" si="42"/>
        <v>189</v>
      </c>
    </row>
    <row r="180" ht="12.75" customHeight="1">
      <c r="A180" s="18"/>
      <c r="B180" s="55">
        <v>2.0</v>
      </c>
      <c r="C180" s="50" t="s">
        <v>158</v>
      </c>
      <c r="D180" s="56"/>
      <c r="E180" s="19">
        <v>1.0</v>
      </c>
      <c r="F180" s="19">
        <v>0.0</v>
      </c>
      <c r="G180" s="19">
        <v>0.0</v>
      </c>
      <c r="H180" s="19">
        <v>3.0</v>
      </c>
      <c r="I180" s="19">
        <v>0.0</v>
      </c>
      <c r="J180" s="19">
        <v>0.0</v>
      </c>
      <c r="K180" s="19">
        <v>2.0</v>
      </c>
      <c r="L180" s="19">
        <v>1.0</v>
      </c>
      <c r="M180" s="19">
        <v>2.0</v>
      </c>
      <c r="N180" s="19">
        <v>5.0</v>
      </c>
      <c r="O180" s="19">
        <v>0.0</v>
      </c>
      <c r="P180" s="19">
        <v>0.0</v>
      </c>
      <c r="Q180" s="19">
        <v>2.0</v>
      </c>
      <c r="R180" s="13">
        <f t="shared" si="42"/>
        <v>16</v>
      </c>
    </row>
    <row r="181" ht="12.75" customHeight="1">
      <c r="A181" s="18"/>
      <c r="B181" s="55">
        <v>3.0</v>
      </c>
      <c r="C181" s="63" t="s">
        <v>159</v>
      </c>
      <c r="E181" s="19">
        <v>0.0</v>
      </c>
      <c r="F181" s="19">
        <v>0.0</v>
      </c>
      <c r="G181" s="19">
        <v>0.0</v>
      </c>
      <c r="H181" s="19">
        <v>1.0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3">
        <f t="shared" si="42"/>
        <v>1</v>
      </c>
    </row>
    <row r="182" ht="12.75" customHeight="1">
      <c r="A182" s="18"/>
      <c r="B182" s="55">
        <v>4.0</v>
      </c>
      <c r="C182" s="50" t="s">
        <v>160</v>
      </c>
      <c r="D182" s="56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1.0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3">
        <f t="shared" si="42"/>
        <v>1</v>
      </c>
    </row>
    <row r="183" ht="12.75" customHeight="1">
      <c r="A183" s="18"/>
      <c r="B183" s="55">
        <v>5.0</v>
      </c>
      <c r="C183" s="50" t="s">
        <v>161</v>
      </c>
      <c r="D183" s="56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1.0</v>
      </c>
      <c r="O183" s="19">
        <v>0.0</v>
      </c>
      <c r="P183" s="19">
        <v>0.0</v>
      </c>
      <c r="Q183" s="19">
        <v>0.0</v>
      </c>
      <c r="R183" s="13">
        <f t="shared" si="42"/>
        <v>1</v>
      </c>
    </row>
    <row r="184" ht="12.75" customHeight="1">
      <c r="A184" s="18"/>
      <c r="B184" s="55">
        <v>6.0</v>
      </c>
      <c r="C184" s="50" t="s">
        <v>162</v>
      </c>
      <c r="D184" s="56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1.0</v>
      </c>
      <c r="L184" s="19">
        <v>0.0</v>
      </c>
      <c r="M184" s="19">
        <v>0.0</v>
      </c>
      <c r="N184" s="19">
        <v>1.0</v>
      </c>
      <c r="O184" s="19">
        <v>0.0</v>
      </c>
      <c r="P184" s="19">
        <v>0.0</v>
      </c>
      <c r="Q184" s="19">
        <v>0.0</v>
      </c>
      <c r="R184" s="13">
        <f t="shared" si="42"/>
        <v>2</v>
      </c>
    </row>
    <row r="185" ht="12.75" customHeight="1">
      <c r="A185" s="18"/>
      <c r="B185" s="55">
        <v>7.0</v>
      </c>
      <c r="C185" s="50" t="s">
        <v>163</v>
      </c>
      <c r="D185" s="56"/>
      <c r="E185" s="19">
        <v>0.0</v>
      </c>
      <c r="F185" s="19">
        <v>1.0</v>
      </c>
      <c r="G185" s="19">
        <v>0.0</v>
      </c>
      <c r="H185" s="19">
        <v>0.0</v>
      </c>
      <c r="I185" s="19">
        <v>0.0</v>
      </c>
      <c r="J185" s="19">
        <v>0.0</v>
      </c>
      <c r="K185" s="19">
        <v>0.0</v>
      </c>
      <c r="L185" s="19">
        <v>0.0</v>
      </c>
      <c r="M185" s="19">
        <v>0.0</v>
      </c>
      <c r="N185" s="19">
        <v>0.0</v>
      </c>
      <c r="O185" s="19">
        <v>0.0</v>
      </c>
      <c r="P185" s="19">
        <v>0.0</v>
      </c>
      <c r="Q185" s="19">
        <v>0.0</v>
      </c>
      <c r="R185" s="13">
        <f t="shared" si="42"/>
        <v>1</v>
      </c>
    </row>
    <row r="186" ht="12.75" customHeight="1">
      <c r="A186" s="19" t="s">
        <v>15</v>
      </c>
      <c r="B186" s="47" t="s">
        <v>47</v>
      </c>
      <c r="C186" s="15"/>
      <c r="D186" s="16"/>
      <c r="E186" s="13">
        <f t="shared" ref="E186:R186" si="43">SUM(E178:E185)</f>
        <v>3</v>
      </c>
      <c r="F186" s="13">
        <f t="shared" si="43"/>
        <v>10</v>
      </c>
      <c r="G186" s="13">
        <f t="shared" si="43"/>
        <v>7</v>
      </c>
      <c r="H186" s="13">
        <f t="shared" si="43"/>
        <v>10</v>
      </c>
      <c r="I186" s="13">
        <f t="shared" si="43"/>
        <v>4</v>
      </c>
      <c r="J186" s="13">
        <f t="shared" si="43"/>
        <v>1</v>
      </c>
      <c r="K186" s="13">
        <f t="shared" si="43"/>
        <v>37</v>
      </c>
      <c r="L186" s="13">
        <f t="shared" si="43"/>
        <v>80</v>
      </c>
      <c r="M186" s="13">
        <f t="shared" si="43"/>
        <v>23</v>
      </c>
      <c r="N186" s="13">
        <f t="shared" si="43"/>
        <v>37</v>
      </c>
      <c r="O186" s="13">
        <f t="shared" si="43"/>
        <v>2</v>
      </c>
      <c r="P186" s="13">
        <f t="shared" si="43"/>
        <v>10</v>
      </c>
      <c r="Q186" s="13">
        <f t="shared" si="43"/>
        <v>6</v>
      </c>
      <c r="R186" s="13">
        <f t="shared" si="43"/>
        <v>230</v>
      </c>
    </row>
    <row r="187" ht="12.75" customHeight="1">
      <c r="A187" s="24"/>
      <c r="B187" s="15"/>
      <c r="C187" s="15"/>
      <c r="D187" s="15"/>
      <c r="E187" s="16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</row>
    <row r="188" ht="12.75" customHeight="1">
      <c r="A188" s="30" t="s">
        <v>37</v>
      </c>
      <c r="B188" s="47" t="s">
        <v>164</v>
      </c>
      <c r="C188" s="48" t="s">
        <v>165</v>
      </c>
      <c r="D188" s="16"/>
      <c r="E188" s="19">
        <v>0.0</v>
      </c>
      <c r="F188" s="19">
        <v>0.0</v>
      </c>
      <c r="G188" s="19">
        <v>1.0</v>
      </c>
      <c r="H188" s="19">
        <v>0.0</v>
      </c>
      <c r="I188" s="19">
        <v>0.0</v>
      </c>
      <c r="J188" s="19">
        <v>0.0</v>
      </c>
      <c r="K188" s="19">
        <v>0.0</v>
      </c>
      <c r="L188" s="19">
        <v>0.0</v>
      </c>
      <c r="M188" s="19">
        <v>0.0</v>
      </c>
      <c r="N188" s="19">
        <v>0.0</v>
      </c>
      <c r="O188" s="19">
        <v>0.0</v>
      </c>
      <c r="P188" s="19">
        <v>0.0</v>
      </c>
      <c r="Q188" s="19">
        <v>0.0</v>
      </c>
      <c r="R188" s="13">
        <f t="shared" ref="R188:R195" si="44">SUM(E188:Q188)</f>
        <v>1</v>
      </c>
    </row>
    <row r="189" ht="12.75" customHeight="1">
      <c r="A189" s="30" t="s">
        <v>39</v>
      </c>
      <c r="B189" s="55">
        <v>1.0</v>
      </c>
      <c r="C189" s="50" t="s">
        <v>166</v>
      </c>
      <c r="D189" s="57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3">
        <f t="shared" si="44"/>
        <v>0</v>
      </c>
    </row>
    <row r="190" ht="12.75" customHeight="1">
      <c r="A190" s="18"/>
      <c r="B190" s="55">
        <v>2.0</v>
      </c>
      <c r="C190" s="50" t="s">
        <v>167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3">
        <f t="shared" si="44"/>
        <v>0</v>
      </c>
    </row>
    <row r="191" ht="12.75" customHeight="1">
      <c r="A191" s="18"/>
      <c r="B191" s="55">
        <v>3.0</v>
      </c>
      <c r="C191" s="50" t="s">
        <v>168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3">
        <f t="shared" si="44"/>
        <v>0</v>
      </c>
    </row>
    <row r="192" ht="12.75" customHeight="1">
      <c r="A192" s="18"/>
      <c r="B192" s="55">
        <v>4.0</v>
      </c>
      <c r="C192" s="50" t="s">
        <v>169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3">
        <f t="shared" si="44"/>
        <v>0</v>
      </c>
    </row>
    <row r="193" ht="12.75" customHeight="1">
      <c r="A193" s="18"/>
      <c r="B193" s="55">
        <v>5.0</v>
      </c>
      <c r="C193" s="50" t="s">
        <v>170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3">
        <f t="shared" si="44"/>
        <v>0</v>
      </c>
    </row>
    <row r="194" ht="12.75" customHeight="1">
      <c r="A194" s="18"/>
      <c r="B194" s="55">
        <v>6.0</v>
      </c>
      <c r="C194" s="50" t="s">
        <v>171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3">
        <f t="shared" si="44"/>
        <v>0</v>
      </c>
    </row>
    <row r="195" ht="12.75" customHeight="1">
      <c r="A195" s="18"/>
      <c r="B195" s="55">
        <v>7.0</v>
      </c>
      <c r="C195" s="50" t="s">
        <v>172</v>
      </c>
      <c r="D195" s="57"/>
      <c r="E195" s="19">
        <v>1.0</v>
      </c>
      <c r="F195" s="19">
        <v>0.0</v>
      </c>
      <c r="G195" s="19">
        <v>0.0</v>
      </c>
      <c r="H195" s="19">
        <v>1.0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5.0</v>
      </c>
      <c r="O195" s="19">
        <v>0.0</v>
      </c>
      <c r="P195" s="19">
        <v>0.0</v>
      </c>
      <c r="Q195" s="19">
        <v>0.0</v>
      </c>
      <c r="R195" s="13">
        <f t="shared" si="44"/>
        <v>7</v>
      </c>
    </row>
    <row r="196" ht="12.75" customHeight="1">
      <c r="A196" s="19" t="s">
        <v>15</v>
      </c>
      <c r="B196" s="47" t="s">
        <v>47</v>
      </c>
      <c r="C196" s="15"/>
      <c r="D196" s="16"/>
      <c r="E196" s="13">
        <f t="shared" ref="E196:R196" si="45">SUM(E188:E195)</f>
        <v>1</v>
      </c>
      <c r="F196" s="13">
        <f t="shared" si="45"/>
        <v>0</v>
      </c>
      <c r="G196" s="13">
        <f t="shared" si="45"/>
        <v>1</v>
      </c>
      <c r="H196" s="13">
        <f t="shared" si="45"/>
        <v>1</v>
      </c>
      <c r="I196" s="13">
        <f t="shared" si="45"/>
        <v>0</v>
      </c>
      <c r="J196" s="13">
        <f t="shared" si="45"/>
        <v>0</v>
      </c>
      <c r="K196" s="13">
        <f t="shared" si="45"/>
        <v>0</v>
      </c>
      <c r="L196" s="13">
        <f t="shared" si="45"/>
        <v>0</v>
      </c>
      <c r="M196" s="13">
        <f t="shared" si="45"/>
        <v>0</v>
      </c>
      <c r="N196" s="13">
        <f t="shared" si="45"/>
        <v>5</v>
      </c>
      <c r="O196" s="13">
        <f t="shared" si="45"/>
        <v>0</v>
      </c>
      <c r="P196" s="13">
        <f t="shared" si="45"/>
        <v>0</v>
      </c>
      <c r="Q196" s="13">
        <f t="shared" si="45"/>
        <v>0</v>
      </c>
      <c r="R196" s="13">
        <f t="shared" si="45"/>
        <v>8</v>
      </c>
    </row>
    <row r="197" ht="12.75" customHeight="1">
      <c r="A197" s="24"/>
      <c r="B197" s="15"/>
      <c r="C197" s="15"/>
      <c r="D197" s="15"/>
      <c r="E197" s="16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</row>
    <row r="198" ht="12.75" customHeight="1">
      <c r="A198" s="30" t="s">
        <v>37</v>
      </c>
      <c r="B198" s="47" t="s">
        <v>173</v>
      </c>
      <c r="C198" s="48" t="s">
        <v>174</v>
      </c>
      <c r="D198" s="16"/>
      <c r="E198" s="19">
        <v>1.0</v>
      </c>
      <c r="F198" s="19">
        <v>1.0</v>
      </c>
      <c r="G198" s="19">
        <v>1.0</v>
      </c>
      <c r="H198" s="19">
        <v>2.0</v>
      </c>
      <c r="I198" s="19">
        <v>0.0</v>
      </c>
      <c r="J198" s="19">
        <v>0.0</v>
      </c>
      <c r="K198" s="19">
        <v>0.0</v>
      </c>
      <c r="L198" s="19">
        <v>1.0</v>
      </c>
      <c r="M198" s="19">
        <v>0.0</v>
      </c>
      <c r="N198" s="19">
        <v>1.0</v>
      </c>
      <c r="O198" s="19">
        <v>0.0</v>
      </c>
      <c r="P198" s="19">
        <v>1.0</v>
      </c>
      <c r="Q198" s="19">
        <v>3.0</v>
      </c>
      <c r="R198" s="13">
        <f t="shared" ref="R198:R205" si="46">SUM(E198:Q198)</f>
        <v>11</v>
      </c>
    </row>
    <row r="199" ht="12.75" customHeight="1">
      <c r="A199" s="30" t="s">
        <v>39</v>
      </c>
      <c r="B199" s="55">
        <v>1.0</v>
      </c>
      <c r="C199" s="50" t="s">
        <v>175</v>
      </c>
      <c r="D199" s="57"/>
      <c r="E199" s="19">
        <v>0.0</v>
      </c>
      <c r="F199" s="19">
        <v>1.0</v>
      </c>
      <c r="G199" s="19">
        <v>0.0</v>
      </c>
      <c r="H199" s="19">
        <v>1.0</v>
      </c>
      <c r="I199" s="19">
        <v>0.0</v>
      </c>
      <c r="J199" s="19">
        <v>0.0</v>
      </c>
      <c r="K199" s="19">
        <v>1.0</v>
      </c>
      <c r="L199" s="19">
        <v>1.0</v>
      </c>
      <c r="M199" s="19">
        <v>0.0</v>
      </c>
      <c r="N199" s="19">
        <v>0.0</v>
      </c>
      <c r="O199" s="19">
        <v>0.0</v>
      </c>
      <c r="P199" s="19">
        <v>1.0</v>
      </c>
      <c r="Q199" s="19">
        <v>0.0</v>
      </c>
      <c r="R199" s="13">
        <f t="shared" si="46"/>
        <v>5</v>
      </c>
    </row>
    <row r="200" ht="12.75" customHeight="1">
      <c r="A200" s="18"/>
      <c r="B200" s="55">
        <v>2.0</v>
      </c>
      <c r="C200" s="50" t="s">
        <v>176</v>
      </c>
      <c r="D200" s="57"/>
      <c r="E200" s="19">
        <v>0.0</v>
      </c>
      <c r="F200" s="19">
        <v>1.0</v>
      </c>
      <c r="G200" s="19">
        <v>0.0</v>
      </c>
      <c r="H200" s="19">
        <v>1.0</v>
      </c>
      <c r="I200" s="19">
        <v>1.0</v>
      </c>
      <c r="J200" s="19">
        <v>0.0</v>
      </c>
      <c r="K200" s="19">
        <v>0.0</v>
      </c>
      <c r="L200" s="19">
        <v>0.0</v>
      </c>
      <c r="M200" s="19">
        <v>0.0</v>
      </c>
      <c r="N200" s="19">
        <v>0.0</v>
      </c>
      <c r="O200" s="19">
        <v>1.0</v>
      </c>
      <c r="P200" s="19">
        <v>0.0</v>
      </c>
      <c r="Q200" s="19">
        <v>1.0</v>
      </c>
      <c r="R200" s="13">
        <f t="shared" si="46"/>
        <v>5</v>
      </c>
    </row>
    <row r="201" ht="12.75" customHeight="1">
      <c r="A201" s="18"/>
      <c r="B201" s="55">
        <v>3.0</v>
      </c>
      <c r="C201" s="50" t="s">
        <v>177</v>
      </c>
      <c r="D201" s="57"/>
      <c r="E201" s="19">
        <v>0.0</v>
      </c>
      <c r="F201" s="19">
        <v>0.0</v>
      </c>
      <c r="G201" s="19">
        <v>0.0</v>
      </c>
      <c r="H201" s="19">
        <v>0.0</v>
      </c>
      <c r="I201" s="19">
        <v>0.0</v>
      </c>
      <c r="J201" s="19">
        <v>0.0</v>
      </c>
      <c r="K201" s="19">
        <v>0.0</v>
      </c>
      <c r="L201" s="19">
        <v>0.0</v>
      </c>
      <c r="M201" s="19">
        <v>0.0</v>
      </c>
      <c r="N201" s="19">
        <v>0.0</v>
      </c>
      <c r="O201" s="19">
        <v>0.0</v>
      </c>
      <c r="P201" s="19">
        <v>0.0</v>
      </c>
      <c r="Q201" s="19">
        <v>0.0</v>
      </c>
      <c r="R201" s="13">
        <f t="shared" si="46"/>
        <v>0</v>
      </c>
    </row>
    <row r="202" ht="12.75" customHeight="1">
      <c r="A202" s="18"/>
      <c r="B202" s="55">
        <v>4.0</v>
      </c>
      <c r="C202" s="50" t="s">
        <v>178</v>
      </c>
      <c r="D202" s="57"/>
      <c r="E202" s="19">
        <v>0.0</v>
      </c>
      <c r="F202" s="19">
        <v>0.0</v>
      </c>
      <c r="G202" s="19">
        <v>0.0</v>
      </c>
      <c r="H202" s="19">
        <v>0.0</v>
      </c>
      <c r="I202" s="19">
        <v>0.0</v>
      </c>
      <c r="J202" s="19">
        <v>0.0</v>
      </c>
      <c r="K202" s="19">
        <v>0.0</v>
      </c>
      <c r="L202" s="19">
        <v>0.0</v>
      </c>
      <c r="M202" s="19">
        <v>0.0</v>
      </c>
      <c r="N202" s="19">
        <v>0.0</v>
      </c>
      <c r="O202" s="19">
        <v>0.0</v>
      </c>
      <c r="P202" s="19">
        <v>0.0</v>
      </c>
      <c r="Q202" s="19">
        <v>0.0</v>
      </c>
      <c r="R202" s="13">
        <f t="shared" si="46"/>
        <v>0</v>
      </c>
    </row>
    <row r="203" ht="12.75" customHeight="1">
      <c r="A203" s="18"/>
      <c r="B203" s="55">
        <v>5.0</v>
      </c>
      <c r="C203" s="50" t="s">
        <v>179</v>
      </c>
      <c r="D203" s="57"/>
      <c r="E203" s="19">
        <v>0.0</v>
      </c>
      <c r="F203" s="19">
        <v>0.0</v>
      </c>
      <c r="G203" s="19">
        <v>0.0</v>
      </c>
      <c r="H203" s="19">
        <v>0.0</v>
      </c>
      <c r="I203" s="19">
        <v>0.0</v>
      </c>
      <c r="J203" s="19">
        <v>0.0</v>
      </c>
      <c r="K203" s="19">
        <v>0.0</v>
      </c>
      <c r="L203" s="19">
        <v>0.0</v>
      </c>
      <c r="M203" s="19">
        <v>0.0</v>
      </c>
      <c r="N203" s="19">
        <v>0.0</v>
      </c>
      <c r="O203" s="19">
        <v>0.0</v>
      </c>
      <c r="P203" s="19">
        <v>0.0</v>
      </c>
      <c r="Q203" s="19">
        <v>1.0</v>
      </c>
      <c r="R203" s="13">
        <f t="shared" si="46"/>
        <v>1</v>
      </c>
    </row>
    <row r="204" ht="12.75" customHeight="1">
      <c r="A204" s="18"/>
      <c r="B204" s="55">
        <v>6.0</v>
      </c>
      <c r="C204" s="50" t="s">
        <v>180</v>
      </c>
      <c r="D204" s="57"/>
      <c r="E204" s="19">
        <v>0.0</v>
      </c>
      <c r="F204" s="19">
        <v>1.0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3">
        <f t="shared" si="46"/>
        <v>1</v>
      </c>
    </row>
    <row r="205" ht="12.75" customHeight="1">
      <c r="A205" s="18"/>
      <c r="B205" s="55">
        <v>7.0</v>
      </c>
      <c r="C205" s="50" t="s">
        <v>181</v>
      </c>
      <c r="D205" s="57"/>
      <c r="E205" s="19">
        <v>0.0</v>
      </c>
      <c r="F205" s="19">
        <v>1.0</v>
      </c>
      <c r="G205" s="19">
        <v>1.0</v>
      </c>
      <c r="H205" s="19">
        <v>1.0</v>
      </c>
      <c r="I205" s="19">
        <v>0.0</v>
      </c>
      <c r="J205" s="19">
        <v>0.0</v>
      </c>
      <c r="K205" s="19">
        <v>0.0</v>
      </c>
      <c r="L205" s="19">
        <v>3.0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3">
        <f t="shared" si="46"/>
        <v>6</v>
      </c>
    </row>
    <row r="206" ht="12.75" customHeight="1">
      <c r="A206" s="19" t="s">
        <v>15</v>
      </c>
      <c r="B206" s="47" t="s">
        <v>47</v>
      </c>
      <c r="C206" s="15"/>
      <c r="D206" s="16"/>
      <c r="E206" s="13">
        <f t="shared" ref="E206:R206" si="47">SUM(E198:E205)</f>
        <v>1</v>
      </c>
      <c r="F206" s="13">
        <f t="shared" si="47"/>
        <v>5</v>
      </c>
      <c r="G206" s="13">
        <f t="shared" si="47"/>
        <v>2</v>
      </c>
      <c r="H206" s="13">
        <f t="shared" si="47"/>
        <v>5</v>
      </c>
      <c r="I206" s="13">
        <f t="shared" si="47"/>
        <v>1</v>
      </c>
      <c r="J206" s="13">
        <f t="shared" si="47"/>
        <v>0</v>
      </c>
      <c r="K206" s="13">
        <f t="shared" si="47"/>
        <v>1</v>
      </c>
      <c r="L206" s="13">
        <f t="shared" si="47"/>
        <v>5</v>
      </c>
      <c r="M206" s="13">
        <f t="shared" si="47"/>
        <v>0</v>
      </c>
      <c r="N206" s="13">
        <f t="shared" si="47"/>
        <v>1</v>
      </c>
      <c r="O206" s="13">
        <f t="shared" si="47"/>
        <v>1</v>
      </c>
      <c r="P206" s="13">
        <f t="shared" si="47"/>
        <v>2</v>
      </c>
      <c r="Q206" s="13">
        <f t="shared" si="47"/>
        <v>5</v>
      </c>
      <c r="R206" s="13">
        <f t="shared" si="47"/>
        <v>29</v>
      </c>
    </row>
    <row r="207" ht="12.75" customHeight="1">
      <c r="A207" s="24"/>
      <c r="B207" s="15"/>
      <c r="C207" s="15"/>
      <c r="D207" s="15"/>
      <c r="E207" s="16"/>
    </row>
    <row r="208" ht="12.75" customHeight="1">
      <c r="A208" s="30" t="s">
        <v>37</v>
      </c>
      <c r="B208" s="47" t="s">
        <v>182</v>
      </c>
      <c r="C208" s="48" t="s">
        <v>183</v>
      </c>
      <c r="D208" s="16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3">
        <f t="shared" ref="R208:R214" si="48">SUM(E208:Q208)</f>
        <v>0</v>
      </c>
    </row>
    <row r="209" ht="12.75" customHeight="1">
      <c r="A209" s="30" t="s">
        <v>39</v>
      </c>
      <c r="B209" s="55">
        <v>1.0</v>
      </c>
      <c r="C209" s="61" t="s">
        <v>184</v>
      </c>
      <c r="D209" s="57"/>
      <c r="E209" s="19">
        <v>0.0</v>
      </c>
      <c r="F209" s="19">
        <v>1.0</v>
      </c>
      <c r="G209" s="19">
        <v>0.0</v>
      </c>
      <c r="H209" s="19">
        <v>0.0</v>
      </c>
      <c r="I209" s="19">
        <v>0.0</v>
      </c>
      <c r="J209" s="19">
        <v>0.0</v>
      </c>
      <c r="K209" s="19">
        <v>0.0</v>
      </c>
      <c r="L209" s="19">
        <v>0.0</v>
      </c>
      <c r="M209" s="19">
        <v>0.0</v>
      </c>
      <c r="N209" s="19">
        <v>0.0</v>
      </c>
      <c r="O209" s="19">
        <v>0.0</v>
      </c>
      <c r="P209" s="19">
        <v>0.0</v>
      </c>
      <c r="Q209" s="19">
        <v>0.0</v>
      </c>
      <c r="R209" s="13">
        <f t="shared" si="48"/>
        <v>1</v>
      </c>
    </row>
    <row r="210" ht="12.75" customHeight="1">
      <c r="A210" s="18"/>
      <c r="B210" s="55">
        <v>2.0</v>
      </c>
      <c r="C210" s="61" t="s">
        <v>185</v>
      </c>
      <c r="D210" s="57"/>
      <c r="E210" s="19">
        <v>0.0</v>
      </c>
      <c r="F210" s="19">
        <v>0.0</v>
      </c>
      <c r="G210" s="19">
        <v>0.0</v>
      </c>
      <c r="H210" s="19">
        <v>0.0</v>
      </c>
      <c r="I210" s="19">
        <v>0.0</v>
      </c>
      <c r="J210" s="19">
        <v>0.0</v>
      </c>
      <c r="K210" s="19">
        <v>0.0</v>
      </c>
      <c r="L210" s="19">
        <v>1.0</v>
      </c>
      <c r="M210" s="19">
        <v>0.0</v>
      </c>
      <c r="N210" s="19">
        <v>0.0</v>
      </c>
      <c r="O210" s="19">
        <v>0.0</v>
      </c>
      <c r="P210" s="19">
        <v>0.0</v>
      </c>
      <c r="Q210" s="19">
        <v>0.0</v>
      </c>
      <c r="R210" s="13">
        <f t="shared" si="48"/>
        <v>1</v>
      </c>
    </row>
    <row r="211" ht="12.75" customHeight="1">
      <c r="A211" s="18"/>
      <c r="B211" s="55">
        <v>3.0</v>
      </c>
      <c r="C211" s="61" t="s">
        <v>186</v>
      </c>
      <c r="D211" s="57"/>
      <c r="E211" s="19">
        <v>0.0</v>
      </c>
      <c r="F211" s="19">
        <v>0.0</v>
      </c>
      <c r="G211" s="19">
        <v>0.0</v>
      </c>
      <c r="H211" s="19">
        <v>0.0</v>
      </c>
      <c r="I211" s="19">
        <v>0.0</v>
      </c>
      <c r="J211" s="19">
        <v>0.0</v>
      </c>
      <c r="K211" s="19">
        <v>0.0</v>
      </c>
      <c r="L211" s="19">
        <v>0.0</v>
      </c>
      <c r="M211" s="19">
        <v>0.0</v>
      </c>
      <c r="N211" s="19">
        <v>0.0</v>
      </c>
      <c r="O211" s="19">
        <v>0.0</v>
      </c>
      <c r="P211" s="19">
        <v>0.0</v>
      </c>
      <c r="Q211" s="19">
        <v>0.0</v>
      </c>
      <c r="R211" s="13">
        <f t="shared" si="48"/>
        <v>0</v>
      </c>
    </row>
    <row r="212" ht="12.75" customHeight="1">
      <c r="A212" s="18"/>
      <c r="B212" s="55">
        <v>4.0</v>
      </c>
      <c r="C212" s="61" t="s">
        <v>187</v>
      </c>
      <c r="D212" s="57"/>
      <c r="E212" s="19">
        <v>0.0</v>
      </c>
      <c r="F212" s="19">
        <v>0.0</v>
      </c>
      <c r="G212" s="19">
        <v>0.0</v>
      </c>
      <c r="H212" s="19">
        <v>0.0</v>
      </c>
      <c r="I212" s="19">
        <v>0.0</v>
      </c>
      <c r="J212" s="19">
        <v>0.0</v>
      </c>
      <c r="K212" s="19">
        <v>0.0</v>
      </c>
      <c r="L212" s="19">
        <v>0.0</v>
      </c>
      <c r="M212" s="19">
        <v>0.0</v>
      </c>
      <c r="N212" s="19">
        <v>0.0</v>
      </c>
      <c r="O212" s="19">
        <v>0.0</v>
      </c>
      <c r="P212" s="19">
        <v>0.0</v>
      </c>
      <c r="Q212" s="19">
        <v>0.0</v>
      </c>
      <c r="R212" s="13">
        <f t="shared" si="48"/>
        <v>0</v>
      </c>
    </row>
    <row r="213" ht="12.75" customHeight="1">
      <c r="A213" s="18"/>
      <c r="B213" s="55">
        <v>5.0</v>
      </c>
      <c r="C213" s="61" t="s">
        <v>188</v>
      </c>
      <c r="D213" s="57"/>
      <c r="E213" s="19">
        <v>0.0</v>
      </c>
      <c r="F213" s="19">
        <v>0.0</v>
      </c>
      <c r="G213" s="19">
        <v>0.0</v>
      </c>
      <c r="H213" s="19">
        <v>0.0</v>
      </c>
      <c r="I213" s="19">
        <v>0.0</v>
      </c>
      <c r="J213" s="19">
        <v>0.0</v>
      </c>
      <c r="K213" s="19">
        <v>0.0</v>
      </c>
      <c r="L213" s="19">
        <v>0.0</v>
      </c>
      <c r="M213" s="19">
        <v>0.0</v>
      </c>
      <c r="N213" s="19">
        <v>0.0</v>
      </c>
      <c r="O213" s="19">
        <v>0.0</v>
      </c>
      <c r="P213" s="19">
        <v>0.0</v>
      </c>
      <c r="Q213" s="19">
        <v>0.0</v>
      </c>
      <c r="R213" s="13">
        <f t="shared" si="48"/>
        <v>0</v>
      </c>
    </row>
    <row r="214" ht="12.75" customHeight="1">
      <c r="A214" s="18"/>
      <c r="B214" s="55">
        <v>6.0</v>
      </c>
      <c r="C214" s="61" t="s">
        <v>189</v>
      </c>
      <c r="D214" s="57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0.0</v>
      </c>
      <c r="Q214" s="19">
        <v>0.0</v>
      </c>
      <c r="R214" s="13">
        <f t="shared" si="48"/>
        <v>0</v>
      </c>
    </row>
    <row r="215" ht="12.75" customHeight="1">
      <c r="A215" s="19" t="s">
        <v>15</v>
      </c>
      <c r="B215" s="47" t="s">
        <v>47</v>
      </c>
      <c r="C215" s="15"/>
      <c r="D215" s="16"/>
      <c r="E215" s="13">
        <f t="shared" ref="E215:R215" si="49">SUM(E208:E214)</f>
        <v>0</v>
      </c>
      <c r="F215" s="13">
        <f t="shared" si="49"/>
        <v>1</v>
      </c>
      <c r="G215" s="13">
        <f t="shared" si="49"/>
        <v>0</v>
      </c>
      <c r="H215" s="13">
        <f t="shared" si="49"/>
        <v>0</v>
      </c>
      <c r="I215" s="13">
        <f t="shared" si="49"/>
        <v>0</v>
      </c>
      <c r="J215" s="13">
        <f t="shared" si="49"/>
        <v>0</v>
      </c>
      <c r="K215" s="13">
        <f t="shared" si="49"/>
        <v>0</v>
      </c>
      <c r="L215" s="13">
        <f t="shared" si="49"/>
        <v>1</v>
      </c>
      <c r="M215" s="13">
        <f t="shared" si="49"/>
        <v>0</v>
      </c>
      <c r="N215" s="13">
        <f t="shared" si="49"/>
        <v>0</v>
      </c>
      <c r="O215" s="13">
        <f t="shared" si="49"/>
        <v>0</v>
      </c>
      <c r="P215" s="13">
        <f t="shared" si="49"/>
        <v>0</v>
      </c>
      <c r="Q215" s="13">
        <f t="shared" si="49"/>
        <v>0</v>
      </c>
      <c r="R215" s="13">
        <f t="shared" si="49"/>
        <v>2</v>
      </c>
    </row>
    <row r="216" ht="12.75" customHeight="1"/>
    <row r="217" ht="12.75" customHeight="1">
      <c r="A217" s="42" t="s">
        <v>190</v>
      </c>
      <c r="B217" s="14" t="s">
        <v>191</v>
      </c>
      <c r="C217" s="15"/>
      <c r="D217" s="16"/>
      <c r="E217" s="13"/>
      <c r="F217" s="13"/>
      <c r="G217" s="13"/>
      <c r="H217" s="13"/>
      <c r="I217" s="13"/>
      <c r="J217" s="13"/>
      <c r="K217" s="13"/>
      <c r="L217" s="13"/>
      <c r="M217" s="13"/>
      <c r="N217" s="71"/>
      <c r="O217" s="13"/>
      <c r="P217" s="71"/>
      <c r="Q217" s="71"/>
      <c r="R217" s="13"/>
    </row>
    <row r="218" ht="12.75" customHeight="1">
      <c r="A218" s="42"/>
      <c r="B218" s="64" t="s">
        <v>192</v>
      </c>
      <c r="C218" s="65" t="s">
        <v>193</v>
      </c>
      <c r="D218" s="16"/>
      <c r="E218" s="19">
        <f t="shared" ref="E218:Q218" si="50">E53+E63+E73+E83+E93+E103+E109+E119+E129+E136+E146+E156+E166+E176+E186+E196+E206+E215</f>
        <v>176</v>
      </c>
      <c r="F218" s="19">
        <f t="shared" si="50"/>
        <v>176</v>
      </c>
      <c r="G218" s="19">
        <f t="shared" si="50"/>
        <v>179</v>
      </c>
      <c r="H218" s="19">
        <f t="shared" si="50"/>
        <v>149</v>
      </c>
      <c r="I218" s="19">
        <f t="shared" si="50"/>
        <v>145</v>
      </c>
      <c r="J218" s="19">
        <f t="shared" si="50"/>
        <v>156</v>
      </c>
      <c r="K218" s="19">
        <f t="shared" si="50"/>
        <v>205</v>
      </c>
      <c r="L218" s="19">
        <f t="shared" si="50"/>
        <v>226</v>
      </c>
      <c r="M218" s="19">
        <f t="shared" si="50"/>
        <v>232</v>
      </c>
      <c r="N218" s="19">
        <f t="shared" si="50"/>
        <v>213</v>
      </c>
      <c r="O218" s="19">
        <f t="shared" si="50"/>
        <v>215</v>
      </c>
      <c r="P218" s="19">
        <f t="shared" si="50"/>
        <v>203</v>
      </c>
      <c r="Q218" s="19">
        <f t="shared" si="50"/>
        <v>213</v>
      </c>
      <c r="R218" s="13">
        <f t="shared" ref="R218:R220" si="51">SUM(E218:Q218)</f>
        <v>2488</v>
      </c>
    </row>
    <row r="219" ht="12.75" customHeight="1">
      <c r="A219" s="35"/>
      <c r="B219" s="64" t="s">
        <v>194</v>
      </c>
      <c r="C219" s="65" t="s">
        <v>195</v>
      </c>
      <c r="D219" s="16"/>
      <c r="E219" s="19">
        <v>25.0</v>
      </c>
      <c r="F219" s="19">
        <v>27.0</v>
      </c>
      <c r="G219" s="19">
        <v>20.0</v>
      </c>
      <c r="H219" s="19">
        <v>17.0</v>
      </c>
      <c r="I219" s="19">
        <v>32.0</v>
      </c>
      <c r="J219" s="19">
        <v>46.0</v>
      </c>
      <c r="K219" s="19">
        <v>24.0</v>
      </c>
      <c r="L219" s="19">
        <v>9.0</v>
      </c>
      <c r="M219" s="19">
        <v>20.0</v>
      </c>
      <c r="N219" s="19">
        <v>11.0</v>
      </c>
      <c r="O219" s="19">
        <v>20.0</v>
      </c>
      <c r="P219" s="19">
        <v>20.0</v>
      </c>
      <c r="Q219" s="19">
        <v>34.0</v>
      </c>
      <c r="R219" s="13">
        <f t="shared" si="51"/>
        <v>305</v>
      </c>
    </row>
    <row r="220" ht="12.75" customHeight="1">
      <c r="A220" s="41"/>
      <c r="B220" s="64" t="s">
        <v>196</v>
      </c>
      <c r="C220" s="65" t="s">
        <v>197</v>
      </c>
      <c r="D220" s="16"/>
      <c r="E220" s="13">
        <f t="shared" ref="E220:Q220" si="52">SUM(E218:E219)</f>
        <v>201</v>
      </c>
      <c r="F220" s="13">
        <f t="shared" si="52"/>
        <v>203</v>
      </c>
      <c r="G220" s="13">
        <f t="shared" si="52"/>
        <v>199</v>
      </c>
      <c r="H220" s="13">
        <f t="shared" si="52"/>
        <v>166</v>
      </c>
      <c r="I220" s="13">
        <f t="shared" si="52"/>
        <v>177</v>
      </c>
      <c r="J220" s="13">
        <f t="shared" si="52"/>
        <v>202</v>
      </c>
      <c r="K220" s="13">
        <f t="shared" si="52"/>
        <v>229</v>
      </c>
      <c r="L220" s="13">
        <f t="shared" si="52"/>
        <v>235</v>
      </c>
      <c r="M220" s="13">
        <f t="shared" si="52"/>
        <v>252</v>
      </c>
      <c r="N220" s="13">
        <f t="shared" si="52"/>
        <v>224</v>
      </c>
      <c r="O220" s="13">
        <f t="shared" si="52"/>
        <v>235</v>
      </c>
      <c r="P220" s="13">
        <f t="shared" si="52"/>
        <v>223</v>
      </c>
      <c r="Q220" s="13">
        <f t="shared" si="52"/>
        <v>247</v>
      </c>
      <c r="R220" s="13">
        <f t="shared" si="51"/>
        <v>2793</v>
      </c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63:D63"/>
    <mergeCell ref="A64:E64"/>
    <mergeCell ref="C65:D65"/>
    <mergeCell ref="B73:D73"/>
    <mergeCell ref="A74:E74"/>
    <mergeCell ref="C75:D75"/>
    <mergeCell ref="B83:D83"/>
    <mergeCell ref="A84:E84"/>
    <mergeCell ref="C85:D85"/>
    <mergeCell ref="B93:D93"/>
    <mergeCell ref="A94:E94"/>
    <mergeCell ref="C95:D95"/>
    <mergeCell ref="B103:D103"/>
    <mergeCell ref="A104:E104"/>
    <mergeCell ref="C105:D105"/>
    <mergeCell ref="B109:D109"/>
    <mergeCell ref="A110:E110"/>
    <mergeCell ref="C111:D111"/>
    <mergeCell ref="B119:D119"/>
    <mergeCell ref="A120:E120"/>
    <mergeCell ref="C121:D121"/>
    <mergeCell ref="B129:D129"/>
    <mergeCell ref="A130:E130"/>
    <mergeCell ref="C131:D131"/>
    <mergeCell ref="B136:D136"/>
    <mergeCell ref="A137:E137"/>
    <mergeCell ref="C138:D138"/>
    <mergeCell ref="B146:D146"/>
    <mergeCell ref="A147:E147"/>
    <mergeCell ref="C148:D148"/>
    <mergeCell ref="B156:D156"/>
    <mergeCell ref="A157:E157"/>
    <mergeCell ref="C158:D158"/>
    <mergeCell ref="B166:D166"/>
    <mergeCell ref="A167:E167"/>
    <mergeCell ref="C168:D168"/>
    <mergeCell ref="B176:D176"/>
    <mergeCell ref="A177:E177"/>
    <mergeCell ref="C178:D178"/>
    <mergeCell ref="B186:D186"/>
    <mergeCell ref="A187:E187"/>
    <mergeCell ref="C188:D188"/>
    <mergeCell ref="B217:D217"/>
    <mergeCell ref="C218:D218"/>
    <mergeCell ref="C219:D219"/>
    <mergeCell ref="C220:D220"/>
    <mergeCell ref="B196:D196"/>
    <mergeCell ref="A197:E197"/>
    <mergeCell ref="C198:D198"/>
    <mergeCell ref="B206:D206"/>
    <mergeCell ref="A207:E207"/>
    <mergeCell ref="C208:D208"/>
    <mergeCell ref="B215:D215"/>
    <mergeCell ref="B12:D12"/>
    <mergeCell ref="E12:Q12"/>
    <mergeCell ref="R12: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3:D53"/>
    <mergeCell ref="A54:E54"/>
    <mergeCell ref="C55:D55"/>
    <mergeCell ref="C46:D46"/>
    <mergeCell ref="C47:D47"/>
    <mergeCell ref="C48:D48"/>
    <mergeCell ref="C49:D49"/>
    <mergeCell ref="C50:D50"/>
    <mergeCell ref="C51:D51"/>
    <mergeCell ref="C52:D52"/>
  </mergeCells>
  <conditionalFormatting sqref="E14:Q15">
    <cfRule type="containsBlanks" dxfId="0" priority="1">
      <formula>LEN(TRIM(E14))=0</formula>
    </cfRule>
  </conditionalFormatting>
  <conditionalFormatting sqref="E19:Q20">
    <cfRule type="containsBlanks" dxfId="0" priority="2">
      <formula>LEN(TRIM(E19))=0</formula>
    </cfRule>
  </conditionalFormatting>
  <conditionalFormatting sqref="E22:Q23 E25:Q26 E33:Q33 E35:Q35 E39:Q40">
    <cfRule type="containsBlanks" dxfId="0" priority="3">
      <formula>LEN(TRIM(E22))=0</formula>
    </cfRule>
  </conditionalFormatting>
  <conditionalFormatting sqref="E30:Q30">
    <cfRule type="expression" dxfId="1" priority="4">
      <formula>E30&lt;&gt;E47</formula>
    </cfRule>
  </conditionalFormatting>
  <conditionalFormatting sqref="E30:Q30">
    <cfRule type="expression" dxfId="1" priority="5">
      <formula>E30&lt;&gt;E34</formula>
    </cfRule>
  </conditionalFormatting>
  <conditionalFormatting sqref="E45:Q52">
    <cfRule type="containsBlanks" dxfId="0" priority="6">
      <formula>LEN(TRIM(E45))=0</formula>
    </cfRule>
  </conditionalFormatting>
  <conditionalFormatting sqref="E55:Q62">
    <cfRule type="containsBlanks" dxfId="0" priority="7">
      <formula>LEN(TRIM(E55))=0</formula>
    </cfRule>
  </conditionalFormatting>
  <conditionalFormatting sqref="E65:Q72">
    <cfRule type="containsBlanks" dxfId="0" priority="8">
      <formula>LEN(TRIM(E65))=0</formula>
    </cfRule>
  </conditionalFormatting>
  <conditionalFormatting sqref="E75:Q82">
    <cfRule type="containsBlanks" dxfId="0" priority="9">
      <formula>LEN(TRIM(E75))=0</formula>
    </cfRule>
  </conditionalFormatting>
  <conditionalFormatting sqref="E85:Q92">
    <cfRule type="containsBlanks" dxfId="0" priority="10">
      <formula>LEN(TRIM(E85))=0</formula>
    </cfRule>
  </conditionalFormatting>
  <conditionalFormatting sqref="E95:Q102">
    <cfRule type="containsBlanks" dxfId="0" priority="11">
      <formula>LEN(TRIM(E95))=0</formula>
    </cfRule>
  </conditionalFormatting>
  <conditionalFormatting sqref="E105:Q108">
    <cfRule type="containsBlanks" dxfId="0" priority="12">
      <formula>LEN(TRIM(E105))=0</formula>
    </cfRule>
  </conditionalFormatting>
  <conditionalFormatting sqref="E111:Q118">
    <cfRule type="containsBlanks" dxfId="0" priority="13">
      <formula>LEN(TRIM(E111))=0</formula>
    </cfRule>
  </conditionalFormatting>
  <conditionalFormatting sqref="E121:Q128">
    <cfRule type="containsBlanks" dxfId="0" priority="14">
      <formula>LEN(TRIM(E121))=0</formula>
    </cfRule>
  </conditionalFormatting>
  <conditionalFormatting sqref="E131:Q135">
    <cfRule type="containsBlanks" dxfId="0" priority="15">
      <formula>LEN(TRIM(E131))=0</formula>
    </cfRule>
  </conditionalFormatting>
  <conditionalFormatting sqref="E138:Q145">
    <cfRule type="containsBlanks" dxfId="0" priority="16">
      <formula>LEN(TRIM(E138))=0</formula>
    </cfRule>
  </conditionalFormatting>
  <conditionalFormatting sqref="E148:Q155">
    <cfRule type="containsBlanks" dxfId="0" priority="17">
      <formula>LEN(TRIM(E148))=0</formula>
    </cfRule>
  </conditionalFormatting>
  <conditionalFormatting sqref="E158:Q165">
    <cfRule type="containsBlanks" dxfId="0" priority="18">
      <formula>LEN(TRIM(E158))=0</formula>
    </cfRule>
  </conditionalFormatting>
  <conditionalFormatting sqref="E168:Q175">
    <cfRule type="containsBlanks" dxfId="0" priority="19">
      <formula>LEN(TRIM(E168))=0</formula>
    </cfRule>
  </conditionalFormatting>
  <conditionalFormatting sqref="E178:Q185">
    <cfRule type="containsBlanks" dxfId="0" priority="20">
      <formula>LEN(TRIM(E178))=0</formula>
    </cfRule>
  </conditionalFormatting>
  <conditionalFormatting sqref="E188:Q195">
    <cfRule type="containsBlanks" dxfId="0" priority="21">
      <formula>LEN(TRIM(E188))=0</formula>
    </cfRule>
  </conditionalFormatting>
  <conditionalFormatting sqref="E198:Q205">
    <cfRule type="containsBlanks" dxfId="0" priority="22">
      <formula>LEN(TRIM(E198))=0</formula>
    </cfRule>
  </conditionalFormatting>
  <conditionalFormatting sqref="E208:Q214">
    <cfRule type="containsBlanks" dxfId="0" priority="23">
      <formula>LEN(TRIM(E208))=0</formula>
    </cfRule>
  </conditionalFormatting>
  <conditionalFormatting sqref="E218:Q219">
    <cfRule type="containsBlanks" dxfId="0" priority="24">
      <formula>LEN(TRIM(E218))=0</formula>
    </cfRule>
  </conditionalFormatting>
  <conditionalFormatting sqref="E34:Q34">
    <cfRule type="expression" dxfId="2" priority="25">
      <formula>E30&lt;&gt;E34</formula>
    </cfRule>
  </conditionalFormatting>
  <conditionalFormatting sqref="E34:Q34">
    <cfRule type="expression" dxfId="3" priority="26">
      <formula>E30=E34</formula>
    </cfRule>
  </conditionalFormatting>
  <conditionalFormatting sqref="E34:Q34">
    <cfRule type="expression" dxfId="1" priority="27">
      <formula>E34&lt;&gt;E30</formula>
    </cfRule>
  </conditionalFormatting>
  <conditionalFormatting sqref="E34:Q34">
    <cfRule type="expression" dxfId="1" priority="28">
      <formula>E34&lt;&gt;E62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" width="8.71"/>
    <col customWidth="1" min="6" max="6" width="9.14"/>
    <col customWidth="1" min="7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198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199</v>
      </c>
      <c r="D9" s="8" t="s">
        <v>259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201</v>
      </c>
      <c r="F13" s="13" t="s">
        <v>202</v>
      </c>
      <c r="G13" s="13" t="s">
        <v>203</v>
      </c>
      <c r="H13" s="13" t="s">
        <v>204</v>
      </c>
      <c r="I13" s="13" t="s">
        <v>205</v>
      </c>
      <c r="J13" s="13" t="s">
        <v>206</v>
      </c>
      <c r="K13" s="13" t="s">
        <v>207</v>
      </c>
      <c r="L13" s="13" t="s">
        <v>208</v>
      </c>
      <c r="M13" s="13" t="s">
        <v>209</v>
      </c>
      <c r="N13" s="13" t="s">
        <v>210</v>
      </c>
      <c r="O13" s="13" t="s">
        <v>211</v>
      </c>
      <c r="P13" s="13" t="s">
        <v>212</v>
      </c>
      <c r="Q13" s="13" t="s">
        <v>213</v>
      </c>
      <c r="R13" s="13" t="s">
        <v>214</v>
      </c>
      <c r="S13" s="13" t="s">
        <v>215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150.0</v>
      </c>
      <c r="F14" s="19">
        <v>126.0</v>
      </c>
      <c r="G14" s="19">
        <v>151.0</v>
      </c>
      <c r="H14" s="19">
        <v>146.0</v>
      </c>
      <c r="I14" s="19">
        <v>147.0</v>
      </c>
      <c r="J14" s="19">
        <v>147.0</v>
      </c>
      <c r="K14" s="19">
        <v>134.0</v>
      </c>
      <c r="L14" s="19">
        <v>115.0</v>
      </c>
      <c r="M14" s="19">
        <v>105.0</v>
      </c>
      <c r="N14" s="19">
        <v>127.0</v>
      </c>
      <c r="O14" s="19">
        <v>113.0</v>
      </c>
      <c r="P14" s="19">
        <v>124.0</v>
      </c>
      <c r="Q14" s="19">
        <v>140.0</v>
      </c>
      <c r="R14" s="19">
        <v>138.0</v>
      </c>
      <c r="S14" s="19">
        <v>121.0</v>
      </c>
      <c r="T14" s="13">
        <f t="shared" ref="T14:T16" si="1">SUM(E14:S14)</f>
        <v>1984</v>
      </c>
    </row>
    <row r="15" ht="12.75" customHeight="1">
      <c r="A15" s="18"/>
      <c r="B15" s="26"/>
      <c r="C15" s="27"/>
      <c r="D15" s="19" t="s">
        <v>13</v>
      </c>
      <c r="E15" s="19">
        <v>145.0</v>
      </c>
      <c r="F15" s="19">
        <v>109.0</v>
      </c>
      <c r="G15" s="19">
        <v>135.0</v>
      </c>
      <c r="H15" s="19">
        <v>151.0</v>
      </c>
      <c r="I15" s="19">
        <v>143.0</v>
      </c>
      <c r="J15" s="19">
        <v>147.0</v>
      </c>
      <c r="K15" s="19">
        <v>124.0</v>
      </c>
      <c r="L15" s="19">
        <v>105.0</v>
      </c>
      <c r="M15" s="19">
        <v>103.0</v>
      </c>
      <c r="N15" s="19">
        <v>116.0</v>
      </c>
      <c r="O15" s="19">
        <v>115.0</v>
      </c>
      <c r="P15" s="19">
        <v>111.0</v>
      </c>
      <c r="Q15" s="19">
        <v>145.0</v>
      </c>
      <c r="R15" s="19">
        <v>158.0</v>
      </c>
      <c r="S15" s="19">
        <v>137.0</v>
      </c>
      <c r="T15" s="13">
        <f t="shared" si="1"/>
        <v>1944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295</v>
      </c>
      <c r="F16" s="13">
        <f t="shared" si="2"/>
        <v>235</v>
      </c>
      <c r="G16" s="13">
        <f t="shared" si="2"/>
        <v>286</v>
      </c>
      <c r="H16" s="13">
        <f t="shared" si="2"/>
        <v>297</v>
      </c>
      <c r="I16" s="13">
        <f t="shared" si="2"/>
        <v>290</v>
      </c>
      <c r="J16" s="13">
        <f t="shared" si="2"/>
        <v>294</v>
      </c>
      <c r="K16" s="13">
        <f t="shared" si="2"/>
        <v>258</v>
      </c>
      <c r="L16" s="13">
        <f t="shared" si="2"/>
        <v>220</v>
      </c>
      <c r="M16" s="13">
        <f t="shared" si="2"/>
        <v>208</v>
      </c>
      <c r="N16" s="13">
        <f t="shared" si="2"/>
        <v>243</v>
      </c>
      <c r="O16" s="13">
        <f t="shared" si="2"/>
        <v>228</v>
      </c>
      <c r="P16" s="13">
        <f t="shared" si="2"/>
        <v>235</v>
      </c>
      <c r="Q16" s="13">
        <f t="shared" si="2"/>
        <v>285</v>
      </c>
      <c r="R16" s="13">
        <f t="shared" si="2"/>
        <v>296</v>
      </c>
      <c r="S16" s="13">
        <f t="shared" si="2"/>
        <v>258</v>
      </c>
      <c r="T16" s="13">
        <f t="shared" si="1"/>
        <v>3928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7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7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117.0</v>
      </c>
      <c r="F19" s="19">
        <v>104.0</v>
      </c>
      <c r="G19" s="19">
        <v>116.0</v>
      </c>
      <c r="H19" s="19">
        <v>116.0</v>
      </c>
      <c r="I19" s="19">
        <v>116.0</v>
      </c>
      <c r="J19" s="19">
        <v>116.0</v>
      </c>
      <c r="K19" s="19">
        <v>111.0</v>
      </c>
      <c r="L19" s="19">
        <v>83.0</v>
      </c>
      <c r="M19" s="19">
        <v>85.0</v>
      </c>
      <c r="N19" s="19">
        <v>113.0</v>
      </c>
      <c r="O19" s="19">
        <v>100.0</v>
      </c>
      <c r="P19" s="19">
        <v>102.0</v>
      </c>
      <c r="Q19" s="19">
        <v>121.0</v>
      </c>
      <c r="R19" s="19">
        <v>134.0</v>
      </c>
      <c r="S19" s="19">
        <v>96.0</v>
      </c>
      <c r="T19" s="13">
        <f t="shared" ref="T19:T30" si="3">SUM(E19:S19)</f>
        <v>1630</v>
      </c>
    </row>
    <row r="20" ht="12.75" customHeight="1">
      <c r="A20" s="33"/>
      <c r="B20" s="27"/>
      <c r="C20" s="34"/>
      <c r="D20" s="19" t="s">
        <v>13</v>
      </c>
      <c r="E20" s="19">
        <v>124.0</v>
      </c>
      <c r="F20" s="19">
        <v>96.0</v>
      </c>
      <c r="G20" s="19">
        <v>108.0</v>
      </c>
      <c r="H20" s="19">
        <v>122.0</v>
      </c>
      <c r="I20" s="19">
        <v>119.0</v>
      </c>
      <c r="J20" s="19">
        <v>118.0</v>
      </c>
      <c r="K20" s="19">
        <v>106.0</v>
      </c>
      <c r="L20" s="19">
        <v>88.0</v>
      </c>
      <c r="M20" s="19">
        <v>89.0</v>
      </c>
      <c r="N20" s="19">
        <v>105.0</v>
      </c>
      <c r="O20" s="19">
        <v>103.0</v>
      </c>
      <c r="P20" s="19">
        <v>96.0</v>
      </c>
      <c r="Q20" s="19">
        <v>115.0</v>
      </c>
      <c r="R20" s="19">
        <v>148.0</v>
      </c>
      <c r="S20" s="19">
        <v>98.0</v>
      </c>
      <c r="T20" s="13">
        <f t="shared" si="3"/>
        <v>1635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241</v>
      </c>
      <c r="F21" s="13">
        <f t="shared" si="4"/>
        <v>200</v>
      </c>
      <c r="G21" s="13">
        <f t="shared" si="4"/>
        <v>224</v>
      </c>
      <c r="H21" s="13">
        <f t="shared" si="4"/>
        <v>238</v>
      </c>
      <c r="I21" s="13">
        <f t="shared" si="4"/>
        <v>235</v>
      </c>
      <c r="J21" s="13">
        <f t="shared" si="4"/>
        <v>234</v>
      </c>
      <c r="K21" s="13">
        <f t="shared" si="4"/>
        <v>217</v>
      </c>
      <c r="L21" s="13">
        <f t="shared" si="4"/>
        <v>171</v>
      </c>
      <c r="M21" s="13">
        <f t="shared" si="4"/>
        <v>174</v>
      </c>
      <c r="N21" s="13">
        <f t="shared" si="4"/>
        <v>218</v>
      </c>
      <c r="O21" s="13">
        <f t="shared" si="4"/>
        <v>203</v>
      </c>
      <c r="P21" s="13">
        <f t="shared" si="4"/>
        <v>198</v>
      </c>
      <c r="Q21" s="13">
        <f t="shared" si="4"/>
        <v>236</v>
      </c>
      <c r="R21" s="13">
        <f t="shared" si="4"/>
        <v>282</v>
      </c>
      <c r="S21" s="13">
        <f t="shared" si="4"/>
        <v>194</v>
      </c>
      <c r="T21" s="13">
        <f t="shared" si="3"/>
        <v>3265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1.0</v>
      </c>
      <c r="K22" s="19">
        <v>1.0</v>
      </c>
      <c r="L22" s="19">
        <v>2.0</v>
      </c>
      <c r="M22" s="19">
        <v>1.0</v>
      </c>
      <c r="N22" s="19">
        <v>1.0</v>
      </c>
      <c r="O22" s="19">
        <v>1.0</v>
      </c>
      <c r="P22" s="19">
        <v>0.0</v>
      </c>
      <c r="Q22" s="19">
        <v>1.0</v>
      </c>
      <c r="R22" s="19">
        <v>0.0</v>
      </c>
      <c r="S22" s="19">
        <v>1.0</v>
      </c>
      <c r="T22" s="13">
        <f t="shared" si="3"/>
        <v>10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1.0</v>
      </c>
      <c r="Q23" s="19">
        <v>0.0</v>
      </c>
      <c r="R23" s="19">
        <v>0.0</v>
      </c>
      <c r="S23" s="19">
        <v>0.0</v>
      </c>
      <c r="T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2</v>
      </c>
      <c r="M24" s="13">
        <f t="shared" si="5"/>
        <v>1</v>
      </c>
      <c r="N24" s="13">
        <f t="shared" si="5"/>
        <v>1</v>
      </c>
      <c r="O24" s="13">
        <f t="shared" si="5"/>
        <v>1</v>
      </c>
      <c r="P24" s="13">
        <f t="shared" si="5"/>
        <v>1</v>
      </c>
      <c r="Q24" s="13">
        <f t="shared" si="5"/>
        <v>1</v>
      </c>
      <c r="R24" s="13">
        <f t="shared" si="5"/>
        <v>0</v>
      </c>
      <c r="S24" s="13">
        <f t="shared" si="5"/>
        <v>1</v>
      </c>
      <c r="T24" s="13">
        <f t="shared" si="3"/>
        <v>12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2.0</v>
      </c>
      <c r="H25" s="19">
        <v>1.0</v>
      </c>
      <c r="I25" s="19">
        <v>0.0</v>
      </c>
      <c r="J25" s="19">
        <v>0.0</v>
      </c>
      <c r="K25" s="19">
        <v>1.0</v>
      </c>
      <c r="L25" s="19">
        <v>1.0</v>
      </c>
      <c r="M25" s="19">
        <v>0.0</v>
      </c>
      <c r="N25" s="19">
        <v>1.0</v>
      </c>
      <c r="O25" s="19">
        <v>1.0</v>
      </c>
      <c r="P25" s="19">
        <v>0.0</v>
      </c>
      <c r="Q25" s="19">
        <v>1.0</v>
      </c>
      <c r="R25" s="19">
        <v>2.0</v>
      </c>
      <c r="S25" s="19">
        <v>0.0</v>
      </c>
      <c r="T25" s="13">
        <f t="shared" si="3"/>
        <v>10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1.0</v>
      </c>
      <c r="H26" s="19">
        <v>1.0</v>
      </c>
      <c r="I26" s="19">
        <v>2.0</v>
      </c>
      <c r="J26" s="19">
        <v>1.0</v>
      </c>
      <c r="K26" s="19">
        <v>1.0</v>
      </c>
      <c r="L26" s="19">
        <v>2.0</v>
      </c>
      <c r="M26" s="19">
        <v>1.0</v>
      </c>
      <c r="N26" s="19">
        <v>2.0</v>
      </c>
      <c r="O26" s="19">
        <v>1.0</v>
      </c>
      <c r="P26" s="19">
        <v>1.0</v>
      </c>
      <c r="Q26" s="19">
        <v>0.0</v>
      </c>
      <c r="R26" s="19">
        <v>0.0</v>
      </c>
      <c r="S26" s="19">
        <v>1.0</v>
      </c>
      <c r="T26" s="13">
        <f t="shared" si="3"/>
        <v>17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2</v>
      </c>
      <c r="F27" s="13">
        <f t="shared" si="6"/>
        <v>1</v>
      </c>
      <c r="G27" s="13">
        <f t="shared" si="6"/>
        <v>3</v>
      </c>
      <c r="H27" s="13">
        <f t="shared" si="6"/>
        <v>2</v>
      </c>
      <c r="I27" s="13">
        <f t="shared" si="6"/>
        <v>2</v>
      </c>
      <c r="J27" s="13">
        <f t="shared" si="6"/>
        <v>1</v>
      </c>
      <c r="K27" s="13">
        <f t="shared" si="6"/>
        <v>2</v>
      </c>
      <c r="L27" s="13">
        <f t="shared" si="6"/>
        <v>3</v>
      </c>
      <c r="M27" s="13">
        <f t="shared" si="6"/>
        <v>1</v>
      </c>
      <c r="N27" s="13">
        <f t="shared" si="6"/>
        <v>3</v>
      </c>
      <c r="O27" s="13">
        <f t="shared" si="6"/>
        <v>2</v>
      </c>
      <c r="P27" s="13">
        <f t="shared" si="6"/>
        <v>1</v>
      </c>
      <c r="Q27" s="13">
        <f t="shared" si="6"/>
        <v>1</v>
      </c>
      <c r="R27" s="13">
        <f t="shared" si="6"/>
        <v>2</v>
      </c>
      <c r="S27" s="13">
        <f t="shared" si="6"/>
        <v>1</v>
      </c>
      <c r="T27" s="13">
        <f t="shared" si="3"/>
        <v>27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117</v>
      </c>
      <c r="F28" s="13">
        <f t="shared" si="7"/>
        <v>104</v>
      </c>
      <c r="G28" s="13">
        <f t="shared" si="7"/>
        <v>118</v>
      </c>
      <c r="H28" s="13">
        <f t="shared" si="7"/>
        <v>117</v>
      </c>
      <c r="I28" s="13">
        <f t="shared" si="7"/>
        <v>117</v>
      </c>
      <c r="J28" s="13">
        <f t="shared" si="7"/>
        <v>117</v>
      </c>
      <c r="K28" s="13">
        <f t="shared" si="7"/>
        <v>113</v>
      </c>
      <c r="L28" s="13">
        <f t="shared" si="7"/>
        <v>86</v>
      </c>
      <c r="M28" s="13">
        <f t="shared" si="7"/>
        <v>86</v>
      </c>
      <c r="N28" s="13">
        <f t="shared" si="7"/>
        <v>115</v>
      </c>
      <c r="O28" s="13">
        <f t="shared" si="7"/>
        <v>102</v>
      </c>
      <c r="P28" s="13">
        <f t="shared" si="7"/>
        <v>102</v>
      </c>
      <c r="Q28" s="13">
        <f t="shared" si="7"/>
        <v>123</v>
      </c>
      <c r="R28" s="13">
        <f t="shared" si="7"/>
        <v>136</v>
      </c>
      <c r="S28" s="13">
        <f t="shared" si="7"/>
        <v>97</v>
      </c>
      <c r="T28" s="13">
        <f t="shared" si="3"/>
        <v>1650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126</v>
      </c>
      <c r="F29" s="13">
        <f t="shared" si="8"/>
        <v>97</v>
      </c>
      <c r="G29" s="13">
        <f t="shared" si="8"/>
        <v>110</v>
      </c>
      <c r="H29" s="13">
        <f t="shared" si="8"/>
        <v>123</v>
      </c>
      <c r="I29" s="13">
        <f t="shared" si="8"/>
        <v>121</v>
      </c>
      <c r="J29" s="13">
        <f t="shared" si="8"/>
        <v>119</v>
      </c>
      <c r="K29" s="13">
        <f t="shared" si="8"/>
        <v>107</v>
      </c>
      <c r="L29" s="13">
        <f t="shared" si="8"/>
        <v>90</v>
      </c>
      <c r="M29" s="13">
        <f t="shared" si="8"/>
        <v>90</v>
      </c>
      <c r="N29" s="13">
        <f t="shared" si="8"/>
        <v>107</v>
      </c>
      <c r="O29" s="13">
        <f t="shared" si="8"/>
        <v>104</v>
      </c>
      <c r="P29" s="13">
        <f t="shared" si="8"/>
        <v>98</v>
      </c>
      <c r="Q29" s="13">
        <f t="shared" si="8"/>
        <v>115</v>
      </c>
      <c r="R29" s="13">
        <f t="shared" si="8"/>
        <v>148</v>
      </c>
      <c r="S29" s="13">
        <f t="shared" si="8"/>
        <v>99</v>
      </c>
      <c r="T29" s="13">
        <f t="shared" si="3"/>
        <v>1654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243</v>
      </c>
      <c r="F30" s="13">
        <f t="shared" si="9"/>
        <v>201</v>
      </c>
      <c r="G30" s="13">
        <f t="shared" si="9"/>
        <v>228</v>
      </c>
      <c r="H30" s="13">
        <f t="shared" si="9"/>
        <v>240</v>
      </c>
      <c r="I30" s="13">
        <f t="shared" si="9"/>
        <v>238</v>
      </c>
      <c r="J30" s="13">
        <f t="shared" si="9"/>
        <v>236</v>
      </c>
      <c r="K30" s="13">
        <f t="shared" si="9"/>
        <v>220</v>
      </c>
      <c r="L30" s="13">
        <f t="shared" si="9"/>
        <v>176</v>
      </c>
      <c r="M30" s="13">
        <f t="shared" si="9"/>
        <v>176</v>
      </c>
      <c r="N30" s="13">
        <f t="shared" si="9"/>
        <v>222</v>
      </c>
      <c r="O30" s="13">
        <f t="shared" si="9"/>
        <v>206</v>
      </c>
      <c r="P30" s="13">
        <f t="shared" si="9"/>
        <v>200</v>
      </c>
      <c r="Q30" s="13">
        <f t="shared" si="9"/>
        <v>238</v>
      </c>
      <c r="R30" s="13">
        <f t="shared" si="9"/>
        <v>284</v>
      </c>
      <c r="S30" s="13">
        <f t="shared" si="9"/>
        <v>196</v>
      </c>
      <c r="T30" s="13">
        <f t="shared" si="3"/>
        <v>3304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7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70"/>
    </row>
    <row r="33" ht="12.75" customHeight="1">
      <c r="A33" s="19">
        <v>1.0</v>
      </c>
      <c r="B33" s="20" t="s">
        <v>27</v>
      </c>
      <c r="C33" s="15"/>
      <c r="D33" s="16"/>
      <c r="E33" s="19">
        <v>301.0</v>
      </c>
      <c r="F33" s="19">
        <v>240.0</v>
      </c>
      <c r="G33" s="19">
        <v>292.0</v>
      </c>
      <c r="H33" s="19">
        <v>303.0</v>
      </c>
      <c r="I33" s="19">
        <v>286.0</v>
      </c>
      <c r="J33" s="19">
        <v>301.0</v>
      </c>
      <c r="K33" s="19">
        <v>264.0</v>
      </c>
      <c r="L33" s="19">
        <v>225.0</v>
      </c>
      <c r="M33" s="19">
        <v>212.0</v>
      </c>
      <c r="N33" s="19">
        <v>248.0</v>
      </c>
      <c r="O33" s="19">
        <v>234.0</v>
      </c>
      <c r="P33" s="19">
        <v>240.0</v>
      </c>
      <c r="Q33" s="19">
        <v>291.0</v>
      </c>
      <c r="R33" s="19">
        <v>302.0</v>
      </c>
      <c r="S33" s="19">
        <v>262.0</v>
      </c>
      <c r="T33" s="13">
        <f t="shared" ref="T33:T36" si="10">SUM(E33:S33)</f>
        <v>4001</v>
      </c>
    </row>
    <row r="34" ht="12.75" customHeight="1">
      <c r="A34" s="19">
        <v>2.0</v>
      </c>
      <c r="B34" s="20" t="s">
        <v>28</v>
      </c>
      <c r="C34" s="15"/>
      <c r="D34" s="16"/>
      <c r="E34" s="13">
        <v>243.0</v>
      </c>
      <c r="F34" s="13">
        <v>201.0</v>
      </c>
      <c r="G34" s="13">
        <v>228.0</v>
      </c>
      <c r="H34" s="13">
        <v>240.0</v>
      </c>
      <c r="I34" s="13">
        <v>238.0</v>
      </c>
      <c r="J34" s="13">
        <v>236.0</v>
      </c>
      <c r="K34" s="13">
        <v>220.0</v>
      </c>
      <c r="L34" s="13">
        <v>176.0</v>
      </c>
      <c r="M34" s="13">
        <v>176.0</v>
      </c>
      <c r="N34" s="13">
        <v>222.0</v>
      </c>
      <c r="O34" s="13">
        <v>206.0</v>
      </c>
      <c r="P34" s="13">
        <v>200.0</v>
      </c>
      <c r="Q34" s="13">
        <v>238.0</v>
      </c>
      <c r="R34" s="13">
        <v>284.0</v>
      </c>
      <c r="S34" s="13">
        <v>196.0</v>
      </c>
      <c r="T34" s="13">
        <f t="shared" si="10"/>
        <v>3304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>
        <v>1.0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58</v>
      </c>
      <c r="F36" s="13">
        <f t="shared" si="11"/>
        <v>39</v>
      </c>
      <c r="G36" s="13">
        <f t="shared" si="11"/>
        <v>64</v>
      </c>
      <c r="H36" s="13">
        <f t="shared" si="11"/>
        <v>62</v>
      </c>
      <c r="I36" s="13">
        <f t="shared" si="11"/>
        <v>48</v>
      </c>
      <c r="J36" s="13">
        <f t="shared" si="11"/>
        <v>65</v>
      </c>
      <c r="K36" s="13">
        <f t="shared" si="11"/>
        <v>44</v>
      </c>
      <c r="L36" s="13">
        <f t="shared" si="11"/>
        <v>49</v>
      </c>
      <c r="M36" s="13">
        <f t="shared" si="11"/>
        <v>36</v>
      </c>
      <c r="N36" s="13">
        <f t="shared" si="11"/>
        <v>26</v>
      </c>
      <c r="O36" s="13">
        <f t="shared" si="11"/>
        <v>28</v>
      </c>
      <c r="P36" s="13">
        <f t="shared" si="11"/>
        <v>40</v>
      </c>
      <c r="Q36" s="13">
        <f t="shared" si="11"/>
        <v>53</v>
      </c>
      <c r="R36" s="13">
        <f t="shared" si="11"/>
        <v>18</v>
      </c>
      <c r="S36" s="13">
        <f t="shared" si="11"/>
        <v>66</v>
      </c>
      <c r="T36" s="13">
        <f t="shared" si="10"/>
        <v>696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6"/>
      <c r="P37" s="19"/>
      <c r="Q37" s="19"/>
      <c r="R37" s="19"/>
      <c r="S37" s="19"/>
      <c r="T37" s="7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70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>
        <v>1.0</v>
      </c>
      <c r="T39" s="13">
        <f t="shared" ref="T39:T41" si="12">SUM(E39:S39)</f>
        <v>1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>
        <v>1.0</v>
      </c>
      <c r="P40" s="19"/>
      <c r="Q40" s="19"/>
      <c r="R40" s="19"/>
      <c r="S40" s="19">
        <v>1.0</v>
      </c>
      <c r="T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2</v>
      </c>
      <c r="T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6"/>
      <c r="P42" s="19"/>
      <c r="Q42" s="19"/>
      <c r="R42" s="19"/>
      <c r="S42" s="19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6.0</v>
      </c>
      <c r="F45" s="19">
        <v>5.0</v>
      </c>
      <c r="G45" s="19">
        <v>2.0</v>
      </c>
      <c r="H45" s="19">
        <v>17.0</v>
      </c>
      <c r="I45" s="19">
        <v>24.0</v>
      </c>
      <c r="J45" s="19">
        <v>6.0</v>
      </c>
      <c r="K45" s="19">
        <v>6.0</v>
      </c>
      <c r="L45" s="19">
        <v>2.0</v>
      </c>
      <c r="M45" s="19">
        <v>5.0</v>
      </c>
      <c r="N45" s="19">
        <v>7.0</v>
      </c>
      <c r="O45" s="19">
        <v>7.0</v>
      </c>
      <c r="P45" s="19">
        <v>6.0</v>
      </c>
      <c r="Q45" s="19">
        <v>20.0</v>
      </c>
      <c r="R45" s="19">
        <v>19.0</v>
      </c>
      <c r="S45" s="19">
        <v>8.0</v>
      </c>
      <c r="T45" s="13">
        <f t="shared" ref="T45:T52" si="14">SUM(E45:S45)</f>
        <v>140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12.0</v>
      </c>
      <c r="F46" s="19">
        <v>7.0</v>
      </c>
      <c r="G46" s="19">
        <v>4.0</v>
      </c>
      <c r="H46" s="19">
        <v>23.0</v>
      </c>
      <c r="I46" s="19">
        <v>38.0</v>
      </c>
      <c r="J46" s="19">
        <v>8.0</v>
      </c>
      <c r="K46" s="19">
        <v>8.0</v>
      </c>
      <c r="L46" s="19">
        <v>15.0</v>
      </c>
      <c r="M46" s="19">
        <v>5.0</v>
      </c>
      <c r="N46" s="19">
        <v>7.0</v>
      </c>
      <c r="O46" s="19">
        <v>21.0</v>
      </c>
      <c r="P46" s="19">
        <v>6.0</v>
      </c>
      <c r="Q46" s="19">
        <v>18.0</v>
      </c>
      <c r="R46" s="19">
        <v>32.0</v>
      </c>
      <c r="S46" s="19">
        <v>7.0</v>
      </c>
      <c r="T46" s="13">
        <f t="shared" si="14"/>
        <v>211</v>
      </c>
    </row>
    <row r="47" ht="12.75" customHeight="1">
      <c r="A47" s="18"/>
      <c r="B47" s="55">
        <v>2.0</v>
      </c>
      <c r="C47" s="50" t="s">
        <v>41</v>
      </c>
      <c r="D47" s="16"/>
      <c r="E47" s="19">
        <v>22.0</v>
      </c>
      <c r="F47" s="19">
        <v>7.0</v>
      </c>
      <c r="G47" s="19">
        <v>0.0</v>
      </c>
      <c r="H47" s="19">
        <v>1.0</v>
      </c>
      <c r="I47" s="19">
        <v>2.0</v>
      </c>
      <c r="J47" s="19">
        <v>2.0</v>
      </c>
      <c r="K47" s="19">
        <v>1.0</v>
      </c>
      <c r="L47" s="19">
        <v>6.0</v>
      </c>
      <c r="M47" s="19">
        <v>3.0</v>
      </c>
      <c r="N47" s="19">
        <v>4.0</v>
      </c>
      <c r="O47" s="19">
        <v>3.0</v>
      </c>
      <c r="P47" s="19">
        <v>5.0</v>
      </c>
      <c r="Q47" s="19">
        <v>1.0</v>
      </c>
      <c r="R47" s="19">
        <v>7.0</v>
      </c>
      <c r="S47" s="19">
        <v>0.0</v>
      </c>
      <c r="T47" s="13">
        <f t="shared" si="14"/>
        <v>64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1.0</v>
      </c>
      <c r="H48" s="19">
        <v>1.0</v>
      </c>
      <c r="I48" s="19">
        <v>3.0</v>
      </c>
      <c r="J48" s="19">
        <v>0.0</v>
      </c>
      <c r="K48" s="19">
        <v>0.0</v>
      </c>
      <c r="L48" s="19">
        <v>0.0</v>
      </c>
      <c r="M48" s="19">
        <v>0.0</v>
      </c>
      <c r="N48" s="19">
        <v>0.0</v>
      </c>
      <c r="O48" s="19">
        <v>0.0</v>
      </c>
      <c r="P48" s="19">
        <v>1.0</v>
      </c>
      <c r="Q48" s="19">
        <v>0.0</v>
      </c>
      <c r="R48" s="19">
        <v>2.0</v>
      </c>
      <c r="S48" s="19">
        <v>0.0</v>
      </c>
      <c r="T48" s="13">
        <f t="shared" si="14"/>
        <v>8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0.0</v>
      </c>
      <c r="G49" s="19">
        <v>1.0</v>
      </c>
      <c r="H49" s="19">
        <v>0.0</v>
      </c>
      <c r="I49" s="19">
        <v>1.0</v>
      </c>
      <c r="J49" s="19">
        <v>0.0</v>
      </c>
      <c r="K49" s="19">
        <v>0.0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0.0</v>
      </c>
      <c r="R49" s="19">
        <v>0.0</v>
      </c>
      <c r="S49" s="19">
        <v>0.0</v>
      </c>
      <c r="T49" s="13">
        <f t="shared" si="14"/>
        <v>3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1.0</v>
      </c>
      <c r="H50" s="19">
        <v>1.0</v>
      </c>
      <c r="I50" s="19">
        <v>2.0</v>
      </c>
      <c r="J50" s="19">
        <v>1.0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1.0</v>
      </c>
      <c r="S50" s="19">
        <v>0.0</v>
      </c>
      <c r="T50" s="13">
        <f t="shared" si="14"/>
        <v>6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2.0</v>
      </c>
      <c r="J51" s="19">
        <v>1.0</v>
      </c>
      <c r="K51" s="19">
        <v>0.0</v>
      </c>
      <c r="L51" s="19">
        <v>0.0</v>
      </c>
      <c r="M51" s="19">
        <v>1.0</v>
      </c>
      <c r="N51" s="19">
        <v>0.0</v>
      </c>
      <c r="O51" s="19">
        <v>0.0</v>
      </c>
      <c r="P51" s="19">
        <v>0.0</v>
      </c>
      <c r="Q51" s="19">
        <v>1.0</v>
      </c>
      <c r="R51" s="19">
        <v>0.0</v>
      </c>
      <c r="S51" s="19">
        <v>0.0</v>
      </c>
      <c r="T51" s="13">
        <f t="shared" si="14"/>
        <v>5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1.0</v>
      </c>
      <c r="M52" s="19">
        <v>0.0</v>
      </c>
      <c r="N52" s="19">
        <v>1.0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3">
        <f t="shared" si="14"/>
        <v>2</v>
      </c>
    </row>
    <row r="53" ht="12.75" customHeight="1">
      <c r="A53" s="19" t="s">
        <v>15</v>
      </c>
      <c r="B53" s="47" t="s">
        <v>47</v>
      </c>
      <c r="C53" s="15"/>
      <c r="D53" s="16"/>
      <c r="E53" s="13">
        <f t="shared" ref="E53:T53" si="15">SUM(E45:E52)</f>
        <v>41</v>
      </c>
      <c r="F53" s="13">
        <f t="shared" si="15"/>
        <v>19</v>
      </c>
      <c r="G53" s="13">
        <f t="shared" si="15"/>
        <v>9</v>
      </c>
      <c r="H53" s="13">
        <f t="shared" si="15"/>
        <v>43</v>
      </c>
      <c r="I53" s="13">
        <f t="shared" si="15"/>
        <v>72</v>
      </c>
      <c r="J53" s="13">
        <f t="shared" si="15"/>
        <v>18</v>
      </c>
      <c r="K53" s="13">
        <f t="shared" si="15"/>
        <v>15</v>
      </c>
      <c r="L53" s="13">
        <f t="shared" si="15"/>
        <v>24</v>
      </c>
      <c r="M53" s="13">
        <f t="shared" si="15"/>
        <v>14</v>
      </c>
      <c r="N53" s="13">
        <f t="shared" si="15"/>
        <v>19</v>
      </c>
      <c r="O53" s="13">
        <f t="shared" si="15"/>
        <v>31</v>
      </c>
      <c r="P53" s="13">
        <f t="shared" si="15"/>
        <v>18</v>
      </c>
      <c r="Q53" s="13">
        <f t="shared" si="15"/>
        <v>40</v>
      </c>
      <c r="R53" s="13">
        <f t="shared" si="15"/>
        <v>61</v>
      </c>
      <c r="S53" s="13">
        <f t="shared" si="15"/>
        <v>15</v>
      </c>
      <c r="T53" s="13">
        <f t="shared" si="15"/>
        <v>439</v>
      </c>
    </row>
    <row r="54" ht="12.75" customHeight="1">
      <c r="A54" s="45"/>
      <c r="B54" s="44"/>
      <c r="C54" s="44"/>
      <c r="D54" s="44"/>
      <c r="E54" s="44"/>
      <c r="T54" s="13"/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7.0</v>
      </c>
      <c r="F55" s="19">
        <v>6.0</v>
      </c>
      <c r="G55" s="19">
        <v>1.0</v>
      </c>
      <c r="H55" s="19">
        <v>11.0</v>
      </c>
      <c r="I55" s="19">
        <v>5.0</v>
      </c>
      <c r="J55" s="19">
        <v>18.0</v>
      </c>
      <c r="K55" s="19">
        <v>4.0</v>
      </c>
      <c r="L55" s="19">
        <v>9.0</v>
      </c>
      <c r="M55" s="19">
        <v>12.0</v>
      </c>
      <c r="N55" s="19">
        <v>19.0</v>
      </c>
      <c r="O55" s="19">
        <v>26.0</v>
      </c>
      <c r="P55" s="19">
        <v>14.0</v>
      </c>
      <c r="Q55" s="19">
        <v>19.0</v>
      </c>
      <c r="R55" s="19">
        <v>5.0</v>
      </c>
      <c r="S55" s="19">
        <v>20.0</v>
      </c>
      <c r="T55" s="13">
        <f t="shared" ref="T55:T62" si="16">SUM(E55:S55)</f>
        <v>176</v>
      </c>
    </row>
    <row r="56" ht="12.75" customHeight="1">
      <c r="A56" s="30" t="s">
        <v>39</v>
      </c>
      <c r="B56" s="55">
        <v>1.0</v>
      </c>
      <c r="C56" s="50" t="s">
        <v>49</v>
      </c>
      <c r="D56" s="56"/>
      <c r="E56" s="19">
        <v>8.0</v>
      </c>
      <c r="F56" s="19">
        <v>20.0</v>
      </c>
      <c r="G56" s="19">
        <v>15.0</v>
      </c>
      <c r="H56" s="19">
        <v>11.0</v>
      </c>
      <c r="I56" s="19">
        <v>18.0</v>
      </c>
      <c r="J56" s="19">
        <v>21.0</v>
      </c>
      <c r="K56" s="19">
        <v>11.0</v>
      </c>
      <c r="L56" s="19">
        <v>16.0</v>
      </c>
      <c r="M56" s="19">
        <v>13.0</v>
      </c>
      <c r="N56" s="19">
        <v>7.0</v>
      </c>
      <c r="O56" s="19">
        <v>31.0</v>
      </c>
      <c r="P56" s="19">
        <v>5.0</v>
      </c>
      <c r="Q56" s="19">
        <v>28.0</v>
      </c>
      <c r="R56" s="19">
        <v>11.0</v>
      </c>
      <c r="S56" s="19">
        <v>13.0</v>
      </c>
      <c r="T56" s="13">
        <f t="shared" si="16"/>
        <v>228</v>
      </c>
    </row>
    <row r="57" ht="12.75" customHeight="1">
      <c r="A57" s="18"/>
      <c r="B57" s="55">
        <v>2.0</v>
      </c>
      <c r="C57" s="50" t="s">
        <v>50</v>
      </c>
      <c r="D57" s="56"/>
      <c r="E57" s="19">
        <v>7.0</v>
      </c>
      <c r="F57" s="19">
        <v>2.0</v>
      </c>
      <c r="G57" s="19">
        <v>4.0</v>
      </c>
      <c r="H57" s="19">
        <v>3.0</v>
      </c>
      <c r="I57" s="19">
        <v>3.0</v>
      </c>
      <c r="J57" s="19">
        <v>4.0</v>
      </c>
      <c r="K57" s="19">
        <v>0.0</v>
      </c>
      <c r="L57" s="19">
        <v>0.0</v>
      </c>
      <c r="M57" s="19">
        <v>1.0</v>
      </c>
      <c r="N57" s="19">
        <v>5.0</v>
      </c>
      <c r="O57" s="19">
        <v>3.0</v>
      </c>
      <c r="P57" s="19">
        <v>2.0</v>
      </c>
      <c r="Q57" s="19">
        <v>4.0</v>
      </c>
      <c r="R57" s="19">
        <v>0.0</v>
      </c>
      <c r="S57" s="19">
        <v>4.0</v>
      </c>
      <c r="T57" s="13">
        <f t="shared" si="16"/>
        <v>42</v>
      </c>
    </row>
    <row r="58" ht="12.75" customHeight="1">
      <c r="A58" s="18"/>
      <c r="B58" s="55">
        <v>3.0</v>
      </c>
      <c r="C58" s="50" t="s">
        <v>51</v>
      </c>
      <c r="D58" s="56"/>
      <c r="E58" s="19">
        <v>1.0</v>
      </c>
      <c r="F58" s="19">
        <v>2.0</v>
      </c>
      <c r="G58" s="19">
        <v>0.0</v>
      </c>
      <c r="H58" s="19">
        <v>2.0</v>
      </c>
      <c r="I58" s="19">
        <v>2.0</v>
      </c>
      <c r="J58" s="19">
        <v>1.0</v>
      </c>
      <c r="K58" s="19">
        <v>0.0</v>
      </c>
      <c r="L58" s="19">
        <v>0.0</v>
      </c>
      <c r="M58" s="19">
        <v>1.0</v>
      </c>
      <c r="N58" s="19">
        <v>2.0</v>
      </c>
      <c r="O58" s="19">
        <v>1.0</v>
      </c>
      <c r="P58" s="19">
        <v>0.0</v>
      </c>
      <c r="Q58" s="19">
        <v>1.0</v>
      </c>
      <c r="R58" s="19">
        <v>0.0</v>
      </c>
      <c r="S58" s="19">
        <v>0.0</v>
      </c>
      <c r="T58" s="13">
        <f t="shared" si="16"/>
        <v>13</v>
      </c>
    </row>
    <row r="59" ht="12.75" customHeight="1">
      <c r="A59" s="18"/>
      <c r="B59" s="55">
        <v>4.0</v>
      </c>
      <c r="C59" s="50" t="s">
        <v>52</v>
      </c>
      <c r="D59" s="56"/>
      <c r="E59" s="19">
        <v>1.0</v>
      </c>
      <c r="F59" s="19">
        <v>1.0</v>
      </c>
      <c r="G59" s="19">
        <v>1.0</v>
      </c>
      <c r="H59" s="19">
        <v>1.0</v>
      </c>
      <c r="I59" s="19">
        <v>1.0</v>
      </c>
      <c r="J59" s="19">
        <v>1.0</v>
      </c>
      <c r="K59" s="19">
        <v>0.0</v>
      </c>
      <c r="L59" s="19">
        <v>0.0</v>
      </c>
      <c r="M59" s="19">
        <v>0.0</v>
      </c>
      <c r="N59" s="19">
        <v>1.0</v>
      </c>
      <c r="O59" s="19">
        <v>1.0</v>
      </c>
      <c r="P59" s="19">
        <v>1.0</v>
      </c>
      <c r="Q59" s="19">
        <v>0.0</v>
      </c>
      <c r="R59" s="19">
        <v>0.0</v>
      </c>
      <c r="S59" s="19">
        <v>1.0</v>
      </c>
      <c r="T59" s="13">
        <f t="shared" si="16"/>
        <v>10</v>
      </c>
    </row>
    <row r="60" ht="12.75" customHeight="1">
      <c r="A60" s="18"/>
      <c r="B60" s="55">
        <v>5.0</v>
      </c>
      <c r="C60" s="50" t="s">
        <v>53</v>
      </c>
      <c r="D60" s="56"/>
      <c r="E60" s="19">
        <v>0.0</v>
      </c>
      <c r="F60" s="19">
        <v>0.0</v>
      </c>
      <c r="G60" s="19">
        <v>1.0</v>
      </c>
      <c r="H60" s="19">
        <v>0.0</v>
      </c>
      <c r="I60" s="19">
        <v>0.0</v>
      </c>
      <c r="J60" s="19">
        <v>0.0</v>
      </c>
      <c r="K60" s="19">
        <v>1.0</v>
      </c>
      <c r="L60" s="19">
        <v>1.0</v>
      </c>
      <c r="M60" s="19">
        <v>2.0</v>
      </c>
      <c r="N60" s="19">
        <v>2.0</v>
      </c>
      <c r="O60" s="19">
        <v>0.0</v>
      </c>
      <c r="P60" s="19">
        <v>4.0</v>
      </c>
      <c r="Q60" s="19">
        <v>0.0</v>
      </c>
      <c r="R60" s="19">
        <v>0.0</v>
      </c>
      <c r="S60" s="19">
        <v>0.0</v>
      </c>
      <c r="T60" s="13">
        <f t="shared" si="16"/>
        <v>11</v>
      </c>
    </row>
    <row r="61" ht="12.75" customHeight="1">
      <c r="A61" s="18"/>
      <c r="B61" s="55">
        <v>6.0</v>
      </c>
      <c r="C61" s="50" t="s">
        <v>54</v>
      </c>
      <c r="D61" s="57"/>
      <c r="E61" s="19">
        <v>0.0</v>
      </c>
      <c r="F61" s="19">
        <v>0.0</v>
      </c>
      <c r="G61" s="19">
        <v>0.0</v>
      </c>
      <c r="H61" s="19">
        <v>1.0</v>
      </c>
      <c r="I61" s="19">
        <v>0.0</v>
      </c>
      <c r="J61" s="19">
        <v>0.0</v>
      </c>
      <c r="K61" s="19">
        <v>1.0</v>
      </c>
      <c r="L61" s="19">
        <v>0.0</v>
      </c>
      <c r="M61" s="19">
        <v>1.0</v>
      </c>
      <c r="N61" s="19">
        <v>3.0</v>
      </c>
      <c r="O61" s="19">
        <v>4.0</v>
      </c>
      <c r="P61" s="19">
        <v>2.0</v>
      </c>
      <c r="Q61" s="19">
        <v>1.0</v>
      </c>
      <c r="R61" s="19">
        <v>0.0</v>
      </c>
      <c r="S61" s="19">
        <v>4.0</v>
      </c>
      <c r="T61" s="13">
        <f t="shared" si="16"/>
        <v>17</v>
      </c>
    </row>
    <row r="62" ht="12.75" customHeight="1">
      <c r="A62" s="18"/>
      <c r="B62" s="55">
        <v>7.0</v>
      </c>
      <c r="C62" s="50" t="s">
        <v>55</v>
      </c>
      <c r="D62" s="56"/>
      <c r="E62" s="19">
        <v>0.0</v>
      </c>
      <c r="F62" s="19">
        <v>1.0</v>
      </c>
      <c r="G62" s="19">
        <v>1.0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2.0</v>
      </c>
      <c r="P62" s="19">
        <v>0.0</v>
      </c>
      <c r="Q62" s="19">
        <v>0.0</v>
      </c>
      <c r="R62" s="19">
        <v>0.0</v>
      </c>
      <c r="S62" s="19">
        <v>1.0</v>
      </c>
      <c r="T62" s="13">
        <f t="shared" si="16"/>
        <v>5</v>
      </c>
    </row>
    <row r="63" ht="12.75" customHeight="1">
      <c r="A63" s="19" t="s">
        <v>15</v>
      </c>
      <c r="B63" s="47" t="s">
        <v>47</v>
      </c>
      <c r="C63" s="15"/>
      <c r="D63" s="16"/>
      <c r="E63" s="13">
        <f t="shared" ref="E63:T63" si="17">SUM(E55:E62)</f>
        <v>24</v>
      </c>
      <c r="F63" s="13">
        <f t="shared" si="17"/>
        <v>32</v>
      </c>
      <c r="G63" s="13">
        <f t="shared" si="17"/>
        <v>23</v>
      </c>
      <c r="H63" s="13">
        <f t="shared" si="17"/>
        <v>29</v>
      </c>
      <c r="I63" s="13">
        <f t="shared" si="17"/>
        <v>29</v>
      </c>
      <c r="J63" s="13">
        <f t="shared" si="17"/>
        <v>45</v>
      </c>
      <c r="K63" s="13">
        <f t="shared" si="17"/>
        <v>17</v>
      </c>
      <c r="L63" s="13">
        <f t="shared" si="17"/>
        <v>26</v>
      </c>
      <c r="M63" s="13">
        <f t="shared" si="17"/>
        <v>30</v>
      </c>
      <c r="N63" s="13">
        <f t="shared" si="17"/>
        <v>39</v>
      </c>
      <c r="O63" s="13">
        <f t="shared" si="17"/>
        <v>68</v>
      </c>
      <c r="P63" s="13">
        <f t="shared" si="17"/>
        <v>28</v>
      </c>
      <c r="Q63" s="13">
        <f t="shared" si="17"/>
        <v>53</v>
      </c>
      <c r="R63" s="13">
        <f t="shared" si="17"/>
        <v>16</v>
      </c>
      <c r="S63" s="13">
        <f t="shared" si="17"/>
        <v>43</v>
      </c>
      <c r="T63" s="13">
        <f t="shared" si="17"/>
        <v>502</v>
      </c>
    </row>
    <row r="64" ht="12.75" customHeight="1">
      <c r="A64" s="45"/>
      <c r="B64" s="44"/>
      <c r="C64" s="44"/>
      <c r="D64" s="44"/>
      <c r="E64" s="44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9.0</v>
      </c>
      <c r="F65" s="19">
        <v>2.0</v>
      </c>
      <c r="G65" s="19">
        <v>7.0</v>
      </c>
      <c r="H65" s="19">
        <v>10.0</v>
      </c>
      <c r="I65" s="19">
        <v>13.0</v>
      </c>
      <c r="J65" s="19">
        <v>27.0</v>
      </c>
      <c r="K65" s="19">
        <v>12.0</v>
      </c>
      <c r="L65" s="19">
        <v>13.0</v>
      </c>
      <c r="M65" s="19">
        <v>18.0</v>
      </c>
      <c r="N65" s="19">
        <v>26.0</v>
      </c>
      <c r="O65" s="19">
        <v>11.0</v>
      </c>
      <c r="P65" s="19">
        <v>17.0</v>
      </c>
      <c r="Q65" s="19">
        <v>8.0</v>
      </c>
      <c r="R65" s="19">
        <v>10.0</v>
      </c>
      <c r="S65" s="19">
        <v>23.0</v>
      </c>
      <c r="T65" s="13">
        <f t="shared" ref="T65:T72" si="18">SUM(E65:S65)</f>
        <v>206</v>
      </c>
    </row>
    <row r="66" ht="12.75" customHeight="1">
      <c r="A66" s="30" t="s">
        <v>39</v>
      </c>
      <c r="B66" s="55">
        <v>1.0</v>
      </c>
      <c r="C66" s="50" t="s">
        <v>57</v>
      </c>
      <c r="D66" s="57"/>
      <c r="E66" s="19">
        <v>24.0</v>
      </c>
      <c r="F66" s="19">
        <v>16.0</v>
      </c>
      <c r="G66" s="19">
        <v>30.0</v>
      </c>
      <c r="H66" s="19">
        <v>54.0</v>
      </c>
      <c r="I66" s="19">
        <v>44.0</v>
      </c>
      <c r="J66" s="19">
        <v>30.0</v>
      </c>
      <c r="K66" s="19">
        <v>116.0</v>
      </c>
      <c r="L66" s="19">
        <v>70.0</v>
      </c>
      <c r="M66" s="19">
        <v>56.0</v>
      </c>
      <c r="N66" s="19">
        <v>37.0</v>
      </c>
      <c r="O66" s="19">
        <v>22.0</v>
      </c>
      <c r="P66" s="19">
        <v>35.0</v>
      </c>
      <c r="Q66" s="19">
        <v>9.0</v>
      </c>
      <c r="R66" s="19">
        <v>13.0</v>
      </c>
      <c r="S66" s="19">
        <v>16.0</v>
      </c>
      <c r="T66" s="13">
        <f t="shared" si="18"/>
        <v>572</v>
      </c>
    </row>
    <row r="67" ht="12.75" customHeight="1">
      <c r="A67" s="18"/>
      <c r="B67" s="55">
        <v>2.0</v>
      </c>
      <c r="C67" s="50" t="s">
        <v>58</v>
      </c>
      <c r="D67" s="57"/>
      <c r="E67" s="19">
        <v>9.0</v>
      </c>
      <c r="F67" s="19">
        <v>1.0</v>
      </c>
      <c r="G67" s="19">
        <v>9.0</v>
      </c>
      <c r="H67" s="19">
        <v>2.0</v>
      </c>
      <c r="I67" s="19">
        <v>3.0</v>
      </c>
      <c r="J67" s="19">
        <v>11.0</v>
      </c>
      <c r="K67" s="19">
        <v>0.0</v>
      </c>
      <c r="L67" s="19">
        <v>6.0</v>
      </c>
      <c r="M67" s="19">
        <v>3.0</v>
      </c>
      <c r="N67" s="19">
        <v>20.0</v>
      </c>
      <c r="O67" s="19">
        <v>6.0</v>
      </c>
      <c r="P67" s="19">
        <v>9.0</v>
      </c>
      <c r="Q67" s="19">
        <v>13.0</v>
      </c>
      <c r="R67" s="19">
        <v>6.0</v>
      </c>
      <c r="S67" s="19">
        <v>13.0</v>
      </c>
      <c r="T67" s="13">
        <f t="shared" si="18"/>
        <v>111</v>
      </c>
    </row>
    <row r="68" ht="12.75" customHeight="1">
      <c r="A68" s="18"/>
      <c r="B68" s="55">
        <v>3.0</v>
      </c>
      <c r="C68" s="50" t="s">
        <v>59</v>
      </c>
      <c r="D68" s="57"/>
      <c r="E68" s="19">
        <v>0.0</v>
      </c>
      <c r="F68" s="19">
        <v>0.0</v>
      </c>
      <c r="G68" s="19">
        <v>1.0</v>
      </c>
      <c r="H68" s="19">
        <v>1.0</v>
      </c>
      <c r="I68" s="19">
        <v>4.0</v>
      </c>
      <c r="J68" s="19">
        <v>1.0</v>
      </c>
      <c r="K68" s="19">
        <v>0.0</v>
      </c>
      <c r="L68" s="19">
        <v>1.0</v>
      </c>
      <c r="M68" s="19">
        <v>0.0</v>
      </c>
      <c r="N68" s="19">
        <v>2.0</v>
      </c>
      <c r="O68" s="19">
        <v>1.0</v>
      </c>
      <c r="P68" s="19">
        <v>2.0</v>
      </c>
      <c r="Q68" s="19">
        <v>4.0</v>
      </c>
      <c r="R68" s="19">
        <v>2.0</v>
      </c>
      <c r="S68" s="19">
        <v>1.0</v>
      </c>
      <c r="T68" s="13">
        <f t="shared" si="18"/>
        <v>20</v>
      </c>
    </row>
    <row r="69" ht="12.75" customHeight="1">
      <c r="A69" s="18"/>
      <c r="B69" s="55">
        <v>4.0</v>
      </c>
      <c r="C69" s="50" t="s">
        <v>60</v>
      </c>
      <c r="D69" s="57"/>
      <c r="E69" s="19">
        <v>0.0</v>
      </c>
      <c r="F69" s="19">
        <v>0.0</v>
      </c>
      <c r="G69" s="19">
        <v>0.0</v>
      </c>
      <c r="H69" s="19">
        <v>0.0</v>
      </c>
      <c r="I69" s="19">
        <v>0.0</v>
      </c>
      <c r="J69" s="19">
        <v>2.0</v>
      </c>
      <c r="K69" s="19">
        <v>0.0</v>
      </c>
      <c r="L69" s="19">
        <v>0.0</v>
      </c>
      <c r="M69" s="19">
        <v>1.0</v>
      </c>
      <c r="N69" s="19">
        <v>0.0</v>
      </c>
      <c r="O69" s="19">
        <v>0.0</v>
      </c>
      <c r="P69" s="19">
        <v>0.0</v>
      </c>
      <c r="Q69" s="19">
        <v>0.0</v>
      </c>
      <c r="R69" s="19">
        <v>0.0</v>
      </c>
      <c r="S69" s="19">
        <v>0.0</v>
      </c>
      <c r="T69" s="13">
        <f t="shared" si="18"/>
        <v>3</v>
      </c>
    </row>
    <row r="70" ht="12.75" customHeight="1">
      <c r="A70" s="18"/>
      <c r="B70" s="55">
        <v>5.0</v>
      </c>
      <c r="C70" s="50" t="s">
        <v>61</v>
      </c>
      <c r="D70" s="57"/>
      <c r="E70" s="19">
        <v>5.0</v>
      </c>
      <c r="F70" s="19">
        <v>0.0</v>
      </c>
      <c r="G70" s="19">
        <v>5.0</v>
      </c>
      <c r="H70" s="19">
        <v>0.0</v>
      </c>
      <c r="I70" s="19">
        <v>0.0</v>
      </c>
      <c r="J70" s="19">
        <v>2.0</v>
      </c>
      <c r="K70" s="19">
        <v>0.0</v>
      </c>
      <c r="L70" s="19">
        <v>1.0</v>
      </c>
      <c r="M70" s="19">
        <v>14.0</v>
      </c>
      <c r="N70" s="19">
        <v>0.0</v>
      </c>
      <c r="O70" s="19">
        <v>0.0</v>
      </c>
      <c r="P70" s="19">
        <v>1.0</v>
      </c>
      <c r="Q70" s="19">
        <v>1.0</v>
      </c>
      <c r="R70" s="19">
        <v>4.0</v>
      </c>
      <c r="S70" s="19">
        <v>1.0</v>
      </c>
      <c r="T70" s="13">
        <f t="shared" si="18"/>
        <v>34</v>
      </c>
    </row>
    <row r="71" ht="12.75" customHeight="1">
      <c r="A71" s="18"/>
      <c r="B71" s="55">
        <v>6.0</v>
      </c>
      <c r="C71" s="50" t="s">
        <v>62</v>
      </c>
      <c r="D71" s="57"/>
      <c r="E71" s="19">
        <v>0.0</v>
      </c>
      <c r="F71" s="19">
        <v>0.0</v>
      </c>
      <c r="G71" s="19">
        <v>0.0</v>
      </c>
      <c r="H71" s="19">
        <v>0.0</v>
      </c>
      <c r="I71" s="19">
        <v>0.0</v>
      </c>
      <c r="J71" s="19">
        <v>0.0</v>
      </c>
      <c r="K71" s="19">
        <v>0.0</v>
      </c>
      <c r="L71" s="19">
        <v>0.0</v>
      </c>
      <c r="M71" s="19">
        <v>0.0</v>
      </c>
      <c r="N71" s="19">
        <v>2.0</v>
      </c>
      <c r="O71" s="19">
        <v>0.0</v>
      </c>
      <c r="P71" s="19">
        <v>0.0</v>
      </c>
      <c r="Q71" s="19">
        <v>0.0</v>
      </c>
      <c r="R71" s="19">
        <v>0.0</v>
      </c>
      <c r="S71" s="19">
        <v>0.0</v>
      </c>
      <c r="T71" s="13">
        <f t="shared" si="18"/>
        <v>2</v>
      </c>
    </row>
    <row r="72" ht="12.75" customHeight="1">
      <c r="A72" s="18"/>
      <c r="B72" s="55">
        <v>7.0</v>
      </c>
      <c r="C72" s="50" t="s">
        <v>63</v>
      </c>
      <c r="D72" s="57"/>
      <c r="E72" s="19">
        <v>0.0</v>
      </c>
      <c r="F72" s="19">
        <v>0.0</v>
      </c>
      <c r="G72" s="19">
        <v>0.0</v>
      </c>
      <c r="H72" s="19">
        <v>0.0</v>
      </c>
      <c r="I72" s="19">
        <v>0.0</v>
      </c>
      <c r="J72" s="19">
        <v>0.0</v>
      </c>
      <c r="K72" s="19">
        <v>0.0</v>
      </c>
      <c r="L72" s="19">
        <v>0.0</v>
      </c>
      <c r="M72" s="19">
        <v>0.0</v>
      </c>
      <c r="N72" s="19">
        <v>0.0</v>
      </c>
      <c r="O72" s="19">
        <v>0.0</v>
      </c>
      <c r="P72" s="19">
        <v>0.0</v>
      </c>
      <c r="Q72" s="19">
        <v>0.0</v>
      </c>
      <c r="R72" s="19">
        <v>0.0</v>
      </c>
      <c r="S72" s="19">
        <v>1.0</v>
      </c>
      <c r="T72" s="13">
        <f t="shared" si="18"/>
        <v>1</v>
      </c>
    </row>
    <row r="73" ht="12.75" customHeight="1">
      <c r="A73" s="19" t="s">
        <v>15</v>
      </c>
      <c r="B73" s="47" t="s">
        <v>47</v>
      </c>
      <c r="C73" s="15"/>
      <c r="D73" s="16"/>
      <c r="E73" s="13">
        <f t="shared" ref="E73:T73" si="19">SUM(E65:E72)</f>
        <v>47</v>
      </c>
      <c r="F73" s="13">
        <f t="shared" si="19"/>
        <v>19</v>
      </c>
      <c r="G73" s="13">
        <f t="shared" si="19"/>
        <v>52</v>
      </c>
      <c r="H73" s="13">
        <f t="shared" si="19"/>
        <v>67</v>
      </c>
      <c r="I73" s="13">
        <f t="shared" si="19"/>
        <v>64</v>
      </c>
      <c r="J73" s="13">
        <f t="shared" si="19"/>
        <v>73</v>
      </c>
      <c r="K73" s="13">
        <f t="shared" si="19"/>
        <v>128</v>
      </c>
      <c r="L73" s="13">
        <f t="shared" si="19"/>
        <v>91</v>
      </c>
      <c r="M73" s="13">
        <f t="shared" si="19"/>
        <v>92</v>
      </c>
      <c r="N73" s="13">
        <f t="shared" si="19"/>
        <v>87</v>
      </c>
      <c r="O73" s="13">
        <f t="shared" si="19"/>
        <v>40</v>
      </c>
      <c r="P73" s="13">
        <f t="shared" si="19"/>
        <v>64</v>
      </c>
      <c r="Q73" s="13">
        <f t="shared" si="19"/>
        <v>35</v>
      </c>
      <c r="R73" s="13">
        <f t="shared" si="19"/>
        <v>35</v>
      </c>
      <c r="S73" s="13">
        <f t="shared" si="19"/>
        <v>55</v>
      </c>
      <c r="T73" s="13">
        <f t="shared" si="19"/>
        <v>949</v>
      </c>
    </row>
    <row r="74" ht="12.75" customHeight="1">
      <c r="A74" s="45"/>
      <c r="B74" s="44"/>
      <c r="C74" s="44"/>
      <c r="D74" s="44"/>
      <c r="E74" s="44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21.0</v>
      </c>
      <c r="F75" s="19">
        <v>13.0</v>
      </c>
      <c r="G75" s="19">
        <v>10.0</v>
      </c>
      <c r="H75" s="19">
        <v>8.0</v>
      </c>
      <c r="I75" s="19">
        <v>7.0</v>
      </c>
      <c r="J75" s="19">
        <v>9.0</v>
      </c>
      <c r="K75" s="19">
        <v>6.0</v>
      </c>
      <c r="L75" s="19">
        <v>0.0</v>
      </c>
      <c r="M75" s="19">
        <v>4.0</v>
      </c>
      <c r="N75" s="19">
        <v>6.0</v>
      </c>
      <c r="O75" s="19">
        <v>12.0</v>
      </c>
      <c r="P75" s="19">
        <v>7.0</v>
      </c>
      <c r="Q75" s="19">
        <v>1.0</v>
      </c>
      <c r="R75" s="19">
        <v>18.0</v>
      </c>
      <c r="S75" s="19">
        <v>11.0</v>
      </c>
      <c r="T75" s="13">
        <f t="shared" ref="T75:T82" si="20">SUM(E75:S75)</f>
        <v>133</v>
      </c>
    </row>
    <row r="76" ht="12.75" customHeight="1">
      <c r="A76" s="30" t="s">
        <v>39</v>
      </c>
      <c r="B76" s="55">
        <v>1.0</v>
      </c>
      <c r="C76" s="50" t="s">
        <v>65</v>
      </c>
      <c r="D76" s="57"/>
      <c r="E76" s="19">
        <v>36.0</v>
      </c>
      <c r="F76" s="19">
        <v>19.0</v>
      </c>
      <c r="G76" s="19">
        <v>39.0</v>
      </c>
      <c r="H76" s="19">
        <v>31.0</v>
      </c>
      <c r="I76" s="19">
        <v>5.0</v>
      </c>
      <c r="J76" s="19">
        <v>3.0</v>
      </c>
      <c r="K76" s="19">
        <v>9.0</v>
      </c>
      <c r="L76" s="19">
        <v>4.0</v>
      </c>
      <c r="M76" s="19">
        <v>6.0</v>
      </c>
      <c r="N76" s="19">
        <v>2.0</v>
      </c>
      <c r="O76" s="19">
        <v>9.0</v>
      </c>
      <c r="P76" s="19">
        <v>20.0</v>
      </c>
      <c r="Q76" s="19">
        <v>8.0</v>
      </c>
      <c r="R76" s="19">
        <v>71.0</v>
      </c>
      <c r="S76" s="19">
        <v>4.0</v>
      </c>
      <c r="T76" s="13">
        <f t="shared" si="20"/>
        <v>266</v>
      </c>
    </row>
    <row r="77" ht="12.75" customHeight="1">
      <c r="A77" s="18"/>
      <c r="B77" s="55">
        <v>2.0</v>
      </c>
      <c r="C77" s="50" t="s">
        <v>66</v>
      </c>
      <c r="D77" s="57"/>
      <c r="E77" s="19">
        <v>2.0</v>
      </c>
      <c r="F77" s="19">
        <v>2.0</v>
      </c>
      <c r="G77" s="19">
        <v>1.0</v>
      </c>
      <c r="H77" s="19">
        <v>2.0</v>
      </c>
      <c r="I77" s="19">
        <v>2.0</v>
      </c>
      <c r="J77" s="19">
        <v>1.0</v>
      </c>
      <c r="K77" s="19">
        <v>0.0</v>
      </c>
      <c r="L77" s="19">
        <v>1.0</v>
      </c>
      <c r="M77" s="19">
        <v>0.0</v>
      </c>
      <c r="N77" s="19">
        <v>0.0</v>
      </c>
      <c r="O77" s="19">
        <v>1.0</v>
      </c>
      <c r="P77" s="19">
        <v>0.0</v>
      </c>
      <c r="Q77" s="19">
        <v>4.0</v>
      </c>
      <c r="R77" s="19">
        <v>1.0</v>
      </c>
      <c r="S77" s="19">
        <v>2.0</v>
      </c>
      <c r="T77" s="13">
        <f t="shared" si="20"/>
        <v>19</v>
      </c>
    </row>
    <row r="78" ht="12.75" customHeight="1">
      <c r="A78" s="18"/>
      <c r="B78" s="55">
        <v>3.0</v>
      </c>
      <c r="C78" s="50" t="s">
        <v>67</v>
      </c>
      <c r="D78" s="57"/>
      <c r="E78" s="19">
        <v>1.0</v>
      </c>
      <c r="F78" s="19">
        <v>0.0</v>
      </c>
      <c r="G78" s="19">
        <v>1.0</v>
      </c>
      <c r="H78" s="19">
        <v>0.0</v>
      </c>
      <c r="I78" s="19">
        <v>0.0</v>
      </c>
      <c r="J78" s="19">
        <v>1.0</v>
      </c>
      <c r="K78" s="19">
        <v>0.0</v>
      </c>
      <c r="L78" s="19">
        <v>1.0</v>
      </c>
      <c r="M78" s="19">
        <v>0.0</v>
      </c>
      <c r="N78" s="19">
        <v>0.0</v>
      </c>
      <c r="O78" s="19">
        <v>1.0</v>
      </c>
      <c r="P78" s="19">
        <v>1.0</v>
      </c>
      <c r="Q78" s="19">
        <v>1.0</v>
      </c>
      <c r="R78" s="19">
        <v>0.0</v>
      </c>
      <c r="S78" s="19">
        <v>1.0</v>
      </c>
      <c r="T78" s="13">
        <f t="shared" si="20"/>
        <v>8</v>
      </c>
    </row>
    <row r="79" ht="12.75" customHeight="1">
      <c r="A79" s="18"/>
      <c r="B79" s="55">
        <v>4.0</v>
      </c>
      <c r="C79" s="50" t="s">
        <v>68</v>
      </c>
      <c r="D79" s="57"/>
      <c r="E79" s="19">
        <v>0.0</v>
      </c>
      <c r="F79" s="19">
        <v>2.0</v>
      </c>
      <c r="G79" s="19">
        <v>1.0</v>
      </c>
      <c r="H79" s="19">
        <v>0.0</v>
      </c>
      <c r="I79" s="19">
        <v>2.0</v>
      </c>
      <c r="J79" s="19">
        <v>2.0</v>
      </c>
      <c r="K79" s="19">
        <v>0.0</v>
      </c>
      <c r="L79" s="19">
        <v>0.0</v>
      </c>
      <c r="M79" s="19">
        <v>0.0</v>
      </c>
      <c r="N79" s="19">
        <v>0.0</v>
      </c>
      <c r="O79" s="19">
        <v>2.0</v>
      </c>
      <c r="P79" s="19">
        <v>1.0</v>
      </c>
      <c r="Q79" s="19">
        <v>1.0</v>
      </c>
      <c r="R79" s="19">
        <v>0.0</v>
      </c>
      <c r="S79" s="19">
        <v>15.0</v>
      </c>
      <c r="T79" s="13">
        <f t="shared" si="20"/>
        <v>26</v>
      </c>
    </row>
    <row r="80" ht="12.75" customHeight="1">
      <c r="A80" s="18"/>
      <c r="B80" s="55">
        <v>5.0</v>
      </c>
      <c r="C80" s="50" t="s">
        <v>69</v>
      </c>
      <c r="D80" s="57"/>
      <c r="E80" s="19">
        <v>9.0</v>
      </c>
      <c r="F80" s="19">
        <v>0.0</v>
      </c>
      <c r="G80" s="19">
        <v>3.0</v>
      </c>
      <c r="H80" s="19">
        <v>2.0</v>
      </c>
      <c r="I80" s="19">
        <v>0.0</v>
      </c>
      <c r="J80" s="19">
        <v>0.0</v>
      </c>
      <c r="K80" s="19">
        <v>4.0</v>
      </c>
      <c r="L80" s="19">
        <v>0.0</v>
      </c>
      <c r="M80" s="19">
        <v>0.0</v>
      </c>
      <c r="N80" s="19">
        <v>1.0</v>
      </c>
      <c r="O80" s="19">
        <v>0.0</v>
      </c>
      <c r="P80" s="19">
        <v>0.0</v>
      </c>
      <c r="Q80" s="19">
        <v>0.0</v>
      </c>
      <c r="R80" s="19">
        <v>0.0</v>
      </c>
      <c r="S80" s="19">
        <v>0.0</v>
      </c>
      <c r="T80" s="13">
        <f t="shared" si="20"/>
        <v>19</v>
      </c>
    </row>
    <row r="81" ht="12.75" customHeight="1">
      <c r="A81" s="18"/>
      <c r="B81" s="55">
        <v>6.0</v>
      </c>
      <c r="C81" s="50" t="s">
        <v>70</v>
      </c>
      <c r="D81" s="57"/>
      <c r="E81" s="19">
        <v>2.0</v>
      </c>
      <c r="F81" s="19">
        <v>0.0</v>
      </c>
      <c r="G81" s="19">
        <v>1.0</v>
      </c>
      <c r="H81" s="19">
        <v>1.0</v>
      </c>
      <c r="I81" s="19">
        <v>0.0</v>
      </c>
      <c r="J81" s="19">
        <v>0.0</v>
      </c>
      <c r="K81" s="19">
        <v>0.0</v>
      </c>
      <c r="L81" s="19">
        <v>0.0</v>
      </c>
      <c r="M81" s="19">
        <v>0.0</v>
      </c>
      <c r="N81" s="19">
        <v>1.0</v>
      </c>
      <c r="O81" s="19">
        <v>2.0</v>
      </c>
      <c r="P81" s="19">
        <v>0.0</v>
      </c>
      <c r="Q81" s="19">
        <v>1.0</v>
      </c>
      <c r="R81" s="19">
        <v>0.0</v>
      </c>
      <c r="S81" s="19">
        <v>0.0</v>
      </c>
      <c r="T81" s="13">
        <f t="shared" si="20"/>
        <v>8</v>
      </c>
    </row>
    <row r="82" ht="12.75" customHeight="1">
      <c r="A82" s="18"/>
      <c r="B82" s="55">
        <v>7.0</v>
      </c>
      <c r="C82" s="50" t="s">
        <v>71</v>
      </c>
      <c r="D82" s="57"/>
      <c r="E82" s="19">
        <v>1.0</v>
      </c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19">
        <v>0.0</v>
      </c>
      <c r="L82" s="19">
        <v>0.0</v>
      </c>
      <c r="M82" s="19">
        <v>0.0</v>
      </c>
      <c r="N82" s="19">
        <v>0.0</v>
      </c>
      <c r="O82" s="19">
        <v>1.0</v>
      </c>
      <c r="P82" s="19">
        <v>0.0</v>
      </c>
      <c r="Q82" s="19">
        <v>0.0</v>
      </c>
      <c r="R82" s="19">
        <v>0.0</v>
      </c>
      <c r="S82" s="19">
        <v>0.0</v>
      </c>
      <c r="T82" s="13">
        <f t="shared" si="20"/>
        <v>2</v>
      </c>
    </row>
    <row r="83" ht="12.75" customHeight="1">
      <c r="A83" s="19" t="s">
        <v>15</v>
      </c>
      <c r="B83" s="47" t="s">
        <v>47</v>
      </c>
      <c r="C83" s="15"/>
      <c r="D83" s="16"/>
      <c r="E83" s="13">
        <f t="shared" ref="E83:T83" si="21">SUM(E75:E82)</f>
        <v>72</v>
      </c>
      <c r="F83" s="13">
        <f t="shared" si="21"/>
        <v>36</v>
      </c>
      <c r="G83" s="13">
        <f t="shared" si="21"/>
        <v>56</v>
      </c>
      <c r="H83" s="13">
        <f t="shared" si="21"/>
        <v>44</v>
      </c>
      <c r="I83" s="13">
        <f t="shared" si="21"/>
        <v>16</v>
      </c>
      <c r="J83" s="13">
        <f t="shared" si="21"/>
        <v>16</v>
      </c>
      <c r="K83" s="13">
        <f t="shared" si="21"/>
        <v>19</v>
      </c>
      <c r="L83" s="13">
        <f t="shared" si="21"/>
        <v>6</v>
      </c>
      <c r="M83" s="13">
        <f t="shared" si="21"/>
        <v>10</v>
      </c>
      <c r="N83" s="13">
        <f t="shared" si="21"/>
        <v>10</v>
      </c>
      <c r="O83" s="13">
        <f t="shared" si="21"/>
        <v>28</v>
      </c>
      <c r="P83" s="13">
        <f t="shared" si="21"/>
        <v>29</v>
      </c>
      <c r="Q83" s="13">
        <f t="shared" si="21"/>
        <v>16</v>
      </c>
      <c r="R83" s="13">
        <f t="shared" si="21"/>
        <v>90</v>
      </c>
      <c r="S83" s="13">
        <f t="shared" si="21"/>
        <v>33</v>
      </c>
      <c r="T83" s="13">
        <f t="shared" si="21"/>
        <v>481</v>
      </c>
    </row>
    <row r="84" ht="12.75" customHeight="1">
      <c r="A84" s="45"/>
      <c r="B84" s="44"/>
      <c r="C84" s="44"/>
      <c r="D84" s="44"/>
      <c r="E84" s="44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1.0</v>
      </c>
      <c r="F85" s="19">
        <v>0.0</v>
      </c>
      <c r="G85" s="19">
        <v>4.0</v>
      </c>
      <c r="H85" s="19">
        <v>0.0</v>
      </c>
      <c r="I85" s="19">
        <v>1.0</v>
      </c>
      <c r="J85" s="19">
        <v>1.0</v>
      </c>
      <c r="K85" s="19">
        <v>4.0</v>
      </c>
      <c r="L85" s="19">
        <v>2.0</v>
      </c>
      <c r="M85" s="19">
        <v>1.0</v>
      </c>
      <c r="N85" s="19">
        <v>2.0</v>
      </c>
      <c r="O85" s="19">
        <v>1.0</v>
      </c>
      <c r="P85" s="19">
        <v>0.0</v>
      </c>
      <c r="Q85" s="19">
        <v>7.0</v>
      </c>
      <c r="R85" s="19">
        <v>1.0</v>
      </c>
      <c r="S85" s="19">
        <v>0.0</v>
      </c>
      <c r="T85" s="13">
        <f t="shared" ref="T85:T92" si="22">SUM(E85:S85)</f>
        <v>25</v>
      </c>
    </row>
    <row r="86" ht="12.75" customHeight="1">
      <c r="A86" s="30" t="s">
        <v>39</v>
      </c>
      <c r="B86" s="55">
        <v>1.0</v>
      </c>
      <c r="C86" s="50" t="s">
        <v>74</v>
      </c>
      <c r="D86" s="57"/>
      <c r="E86" s="19">
        <v>0.0</v>
      </c>
      <c r="F86" s="19">
        <v>2.0</v>
      </c>
      <c r="G86" s="19">
        <v>0.0</v>
      </c>
      <c r="H86" s="19">
        <v>3.0</v>
      </c>
      <c r="I86" s="19">
        <v>3.0</v>
      </c>
      <c r="J86" s="19">
        <v>2.0</v>
      </c>
      <c r="K86" s="19">
        <v>0.0</v>
      </c>
      <c r="L86" s="19">
        <v>0.0</v>
      </c>
      <c r="M86" s="19">
        <v>0.0</v>
      </c>
      <c r="N86" s="19">
        <v>0.0</v>
      </c>
      <c r="O86" s="19">
        <v>1.0</v>
      </c>
      <c r="P86" s="19">
        <v>5.0</v>
      </c>
      <c r="Q86" s="19">
        <v>25.0</v>
      </c>
      <c r="R86" s="19">
        <v>2.0</v>
      </c>
      <c r="S86" s="19">
        <v>1.0</v>
      </c>
      <c r="T86" s="13">
        <f t="shared" si="22"/>
        <v>44</v>
      </c>
    </row>
    <row r="87" ht="12.75" customHeight="1">
      <c r="A87" s="18"/>
      <c r="B87" s="55">
        <v>2.0</v>
      </c>
      <c r="C87" s="50" t="s">
        <v>75</v>
      </c>
      <c r="D87" s="57"/>
      <c r="E87" s="19">
        <v>1.0</v>
      </c>
      <c r="F87" s="19">
        <v>1.0</v>
      </c>
      <c r="G87" s="19">
        <v>4.0</v>
      </c>
      <c r="H87" s="19">
        <v>0.0</v>
      </c>
      <c r="I87" s="19">
        <v>0.0</v>
      </c>
      <c r="J87" s="19">
        <v>0.0</v>
      </c>
      <c r="K87" s="19">
        <v>1.0</v>
      </c>
      <c r="L87" s="19">
        <v>2.0</v>
      </c>
      <c r="M87" s="19">
        <v>0.0</v>
      </c>
      <c r="N87" s="19">
        <v>1.0</v>
      </c>
      <c r="O87" s="19">
        <v>0.0</v>
      </c>
      <c r="P87" s="19">
        <v>1.0</v>
      </c>
      <c r="Q87" s="19">
        <v>1.0</v>
      </c>
      <c r="R87" s="19">
        <v>0.0</v>
      </c>
      <c r="S87" s="19">
        <v>0.0</v>
      </c>
      <c r="T87" s="13">
        <f t="shared" si="22"/>
        <v>12</v>
      </c>
    </row>
    <row r="88" ht="12.75" customHeight="1">
      <c r="A88" s="18"/>
      <c r="B88" s="55">
        <v>3.0</v>
      </c>
      <c r="C88" s="50" t="s">
        <v>76</v>
      </c>
      <c r="D88" s="57"/>
      <c r="E88" s="19">
        <v>0.0</v>
      </c>
      <c r="F88" s="19">
        <v>0.0</v>
      </c>
      <c r="G88" s="19">
        <v>0.0</v>
      </c>
      <c r="H88" s="19">
        <v>1.0</v>
      </c>
      <c r="I88" s="19">
        <v>1.0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3">
        <f t="shared" si="22"/>
        <v>2</v>
      </c>
    </row>
    <row r="89" ht="12.75" customHeight="1">
      <c r="A89" s="18"/>
      <c r="B89" s="55">
        <v>4.0</v>
      </c>
      <c r="C89" s="50" t="s">
        <v>77</v>
      </c>
      <c r="D89" s="57"/>
      <c r="E89" s="19">
        <v>0.0</v>
      </c>
      <c r="F89" s="19">
        <v>0.0</v>
      </c>
      <c r="G89" s="19">
        <v>4.0</v>
      </c>
      <c r="H89" s="19">
        <v>0.0</v>
      </c>
      <c r="I89" s="19">
        <v>0.0</v>
      </c>
      <c r="J89" s="19">
        <v>0.0</v>
      </c>
      <c r="K89" s="19">
        <v>0.0</v>
      </c>
      <c r="L89" s="19">
        <v>0.0</v>
      </c>
      <c r="M89" s="19">
        <v>0.0</v>
      </c>
      <c r="N89" s="19">
        <v>0.0</v>
      </c>
      <c r="O89" s="19">
        <v>0.0</v>
      </c>
      <c r="P89" s="19">
        <v>0.0</v>
      </c>
      <c r="Q89" s="19">
        <v>0.0</v>
      </c>
      <c r="R89" s="19">
        <v>0.0</v>
      </c>
      <c r="S89" s="19">
        <v>0.0</v>
      </c>
      <c r="T89" s="13">
        <f t="shared" si="22"/>
        <v>4</v>
      </c>
    </row>
    <row r="90" ht="12.75" customHeight="1">
      <c r="A90" s="18"/>
      <c r="B90" s="55">
        <v>5.0</v>
      </c>
      <c r="C90" s="50" t="s">
        <v>78</v>
      </c>
      <c r="D90" s="57"/>
      <c r="E90" s="19">
        <v>0.0</v>
      </c>
      <c r="F90" s="19">
        <v>0.0</v>
      </c>
      <c r="G90" s="19">
        <v>1.0</v>
      </c>
      <c r="H90" s="19">
        <v>0.0</v>
      </c>
      <c r="I90" s="19">
        <v>0.0</v>
      </c>
      <c r="J90" s="19">
        <v>0.0</v>
      </c>
      <c r="K90" s="19">
        <v>0.0</v>
      </c>
      <c r="L90" s="19">
        <v>0.0</v>
      </c>
      <c r="M90" s="19">
        <v>0.0</v>
      </c>
      <c r="N90" s="19">
        <v>0.0</v>
      </c>
      <c r="O90" s="19">
        <v>0.0</v>
      </c>
      <c r="P90" s="19">
        <v>0.0</v>
      </c>
      <c r="Q90" s="19">
        <v>1.0</v>
      </c>
      <c r="R90" s="19">
        <v>0.0</v>
      </c>
      <c r="S90" s="19">
        <v>0.0</v>
      </c>
      <c r="T90" s="13">
        <f t="shared" si="22"/>
        <v>2</v>
      </c>
    </row>
    <row r="91" ht="12.75" customHeight="1">
      <c r="A91" s="18"/>
      <c r="B91" s="55">
        <v>6.0</v>
      </c>
      <c r="C91" s="50" t="s">
        <v>79</v>
      </c>
      <c r="D91" s="57"/>
      <c r="E91" s="19">
        <v>2.0</v>
      </c>
      <c r="F91" s="19">
        <v>0.0</v>
      </c>
      <c r="G91" s="19">
        <v>0.0</v>
      </c>
      <c r="H91" s="19">
        <v>0.0</v>
      </c>
      <c r="I91" s="19">
        <v>0.0</v>
      </c>
      <c r="J91" s="19">
        <v>0.0</v>
      </c>
      <c r="K91" s="19">
        <v>2.0</v>
      </c>
      <c r="L91" s="19">
        <v>2.0</v>
      </c>
      <c r="M91" s="19">
        <v>1.0</v>
      </c>
      <c r="N91" s="19">
        <v>2.0</v>
      </c>
      <c r="O91" s="19">
        <v>0.0</v>
      </c>
      <c r="P91" s="19">
        <v>1.0</v>
      </c>
      <c r="Q91" s="19">
        <v>6.0</v>
      </c>
      <c r="R91" s="19">
        <v>0.0</v>
      </c>
      <c r="S91" s="19">
        <v>0.0</v>
      </c>
      <c r="T91" s="13">
        <f t="shared" si="22"/>
        <v>16</v>
      </c>
    </row>
    <row r="92" ht="12.75" customHeight="1">
      <c r="A92" s="18"/>
      <c r="B92" s="55">
        <v>7.0</v>
      </c>
      <c r="C92" s="50" t="s">
        <v>80</v>
      </c>
      <c r="D92" s="57"/>
      <c r="E92" s="19">
        <v>1.0</v>
      </c>
      <c r="F92" s="19">
        <v>0.0</v>
      </c>
      <c r="G92" s="19">
        <v>1.0</v>
      </c>
      <c r="H92" s="19">
        <v>0.0</v>
      </c>
      <c r="I92" s="19">
        <v>0.0</v>
      </c>
      <c r="J92" s="19">
        <v>0.0</v>
      </c>
      <c r="K92" s="19">
        <v>1.0</v>
      </c>
      <c r="L92" s="19">
        <v>1.0</v>
      </c>
      <c r="M92" s="19">
        <v>0.0</v>
      </c>
      <c r="N92" s="19">
        <v>0.0</v>
      </c>
      <c r="O92" s="19">
        <v>0.0</v>
      </c>
      <c r="P92" s="19">
        <v>0.0</v>
      </c>
      <c r="Q92" s="19">
        <v>1.0</v>
      </c>
      <c r="R92" s="19">
        <v>0.0</v>
      </c>
      <c r="S92" s="19">
        <v>0.0</v>
      </c>
      <c r="T92" s="13">
        <f t="shared" si="22"/>
        <v>5</v>
      </c>
    </row>
    <row r="93" ht="12.75" customHeight="1">
      <c r="A93" s="19" t="s">
        <v>15</v>
      </c>
      <c r="B93" s="47" t="s">
        <v>47</v>
      </c>
      <c r="C93" s="15"/>
      <c r="D93" s="16"/>
      <c r="E93" s="13">
        <f t="shared" ref="E93:T93" si="23">SUM(E85:E92)</f>
        <v>5</v>
      </c>
      <c r="F93" s="13">
        <f t="shared" si="23"/>
        <v>3</v>
      </c>
      <c r="G93" s="13">
        <f t="shared" si="23"/>
        <v>14</v>
      </c>
      <c r="H93" s="13">
        <f t="shared" si="23"/>
        <v>4</v>
      </c>
      <c r="I93" s="13">
        <f t="shared" si="23"/>
        <v>5</v>
      </c>
      <c r="J93" s="13">
        <f t="shared" si="23"/>
        <v>3</v>
      </c>
      <c r="K93" s="13">
        <f t="shared" si="23"/>
        <v>8</v>
      </c>
      <c r="L93" s="13">
        <f t="shared" si="23"/>
        <v>7</v>
      </c>
      <c r="M93" s="13">
        <f t="shared" si="23"/>
        <v>2</v>
      </c>
      <c r="N93" s="13">
        <f t="shared" si="23"/>
        <v>5</v>
      </c>
      <c r="O93" s="13">
        <f t="shared" si="23"/>
        <v>2</v>
      </c>
      <c r="P93" s="13">
        <f t="shared" si="23"/>
        <v>7</v>
      </c>
      <c r="Q93" s="13">
        <f t="shared" si="23"/>
        <v>41</v>
      </c>
      <c r="R93" s="13">
        <f t="shared" si="23"/>
        <v>3</v>
      </c>
      <c r="S93" s="13">
        <f t="shared" si="23"/>
        <v>1</v>
      </c>
      <c r="T93" s="13">
        <f t="shared" si="23"/>
        <v>110</v>
      </c>
    </row>
    <row r="94" ht="12.75" customHeight="1">
      <c r="A94" s="45"/>
      <c r="B94" s="44"/>
      <c r="C94" s="44"/>
      <c r="D94" s="44"/>
      <c r="E94" s="44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>
        <v>2.0</v>
      </c>
      <c r="F95" s="19">
        <v>2.0</v>
      </c>
      <c r="G95" s="19">
        <v>5.0</v>
      </c>
      <c r="H95" s="19">
        <v>3.0</v>
      </c>
      <c r="I95" s="19">
        <v>0.0</v>
      </c>
      <c r="J95" s="19">
        <v>3.0</v>
      </c>
      <c r="K95" s="19">
        <v>4.0</v>
      </c>
      <c r="L95" s="19">
        <v>0.0</v>
      </c>
      <c r="M95" s="19">
        <v>1.0</v>
      </c>
      <c r="N95" s="19">
        <v>11.0</v>
      </c>
      <c r="O95" s="19">
        <v>6.0</v>
      </c>
      <c r="P95" s="19">
        <v>7.0</v>
      </c>
      <c r="Q95" s="19">
        <v>4.0</v>
      </c>
      <c r="R95" s="19">
        <v>0.0</v>
      </c>
      <c r="S95" s="19">
        <v>5.0</v>
      </c>
      <c r="T95" s="13">
        <f t="shared" ref="T95:T102" si="24">SUM(E95:S95)</f>
        <v>53</v>
      </c>
    </row>
    <row r="96" ht="12.75" customHeight="1">
      <c r="A96" s="30" t="s">
        <v>39</v>
      </c>
      <c r="B96" s="55">
        <v>1.0</v>
      </c>
      <c r="C96" s="50" t="s">
        <v>83</v>
      </c>
      <c r="D96" s="57"/>
      <c r="E96" s="19">
        <v>1.0</v>
      </c>
      <c r="F96" s="19">
        <v>0.0</v>
      </c>
      <c r="G96" s="19">
        <v>1.0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1.0</v>
      </c>
      <c r="Q96" s="19">
        <v>0.0</v>
      </c>
      <c r="R96" s="19">
        <v>0.0</v>
      </c>
      <c r="S96" s="19">
        <v>0.0</v>
      </c>
      <c r="T96" s="13">
        <f t="shared" si="24"/>
        <v>3</v>
      </c>
    </row>
    <row r="97" ht="12.75" customHeight="1">
      <c r="A97" s="18"/>
      <c r="B97" s="55">
        <v>2.0</v>
      </c>
      <c r="C97" s="50" t="s">
        <v>84</v>
      </c>
      <c r="D97" s="57"/>
      <c r="E97" s="19">
        <v>1.0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1.0</v>
      </c>
      <c r="T97" s="13">
        <f t="shared" si="24"/>
        <v>2</v>
      </c>
    </row>
    <row r="98" ht="12.75" customHeight="1">
      <c r="A98" s="18"/>
      <c r="B98" s="55">
        <v>3.0</v>
      </c>
      <c r="C98" s="50" t="s">
        <v>85</v>
      </c>
      <c r="D98" s="57"/>
      <c r="E98" s="73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1.0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3">
        <f t="shared" si="24"/>
        <v>1</v>
      </c>
    </row>
    <row r="99" ht="12.75" customHeight="1">
      <c r="A99" s="18"/>
      <c r="B99" s="55">
        <v>4.0</v>
      </c>
      <c r="C99" s="50" t="s">
        <v>86</v>
      </c>
      <c r="D99" s="57"/>
      <c r="E99" s="73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3">
        <f t="shared" si="24"/>
        <v>0</v>
      </c>
    </row>
    <row r="100" ht="12.75" customHeight="1">
      <c r="A100" s="18"/>
      <c r="B100" s="55">
        <v>5.0</v>
      </c>
      <c r="C100" s="50" t="s">
        <v>87</v>
      </c>
      <c r="D100" s="57"/>
      <c r="E100" s="73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3">
        <f t="shared" si="24"/>
        <v>0</v>
      </c>
    </row>
    <row r="101" ht="12.75" customHeight="1">
      <c r="A101" s="18"/>
      <c r="B101" s="55">
        <v>6.0</v>
      </c>
      <c r="C101" s="50" t="s">
        <v>88</v>
      </c>
      <c r="D101" s="57"/>
      <c r="E101" s="73">
        <v>0.0</v>
      </c>
      <c r="F101" s="19">
        <v>0.0</v>
      </c>
      <c r="G101" s="19">
        <v>2.0</v>
      </c>
      <c r="H101" s="19">
        <v>0.0</v>
      </c>
      <c r="I101" s="19">
        <v>0.0</v>
      </c>
      <c r="J101" s="19">
        <v>0.0</v>
      </c>
      <c r="K101" s="19">
        <v>0.0</v>
      </c>
      <c r="L101" s="19">
        <v>1.0</v>
      </c>
      <c r="M101" s="19">
        <v>0.0</v>
      </c>
      <c r="N101" s="19">
        <v>1.0</v>
      </c>
      <c r="O101" s="19">
        <v>0.0</v>
      </c>
      <c r="P101" s="19">
        <v>0.0</v>
      </c>
      <c r="Q101" s="19">
        <v>0.0</v>
      </c>
      <c r="R101" s="19">
        <v>0.0</v>
      </c>
      <c r="S101" s="19">
        <v>1.0</v>
      </c>
      <c r="T101" s="13">
        <f t="shared" si="24"/>
        <v>5</v>
      </c>
    </row>
    <row r="102" ht="12.75" customHeight="1">
      <c r="A102" s="18"/>
      <c r="B102" s="55">
        <v>7.0</v>
      </c>
      <c r="C102" s="50" t="s">
        <v>89</v>
      </c>
      <c r="D102" s="57"/>
      <c r="E102" s="73">
        <v>0.0</v>
      </c>
      <c r="F102" s="19">
        <v>0.0</v>
      </c>
      <c r="G102" s="19">
        <v>1.0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0.0</v>
      </c>
      <c r="R102" s="19">
        <v>0.0</v>
      </c>
      <c r="S102" s="19">
        <v>0.0</v>
      </c>
      <c r="T102" s="13">
        <f t="shared" si="24"/>
        <v>1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T103" si="25">SUM(E95:E102)</f>
        <v>4</v>
      </c>
      <c r="F103" s="13">
        <f t="shared" si="25"/>
        <v>2</v>
      </c>
      <c r="G103" s="13">
        <f t="shared" si="25"/>
        <v>9</v>
      </c>
      <c r="H103" s="13">
        <f t="shared" si="25"/>
        <v>3</v>
      </c>
      <c r="I103" s="13">
        <f t="shared" si="25"/>
        <v>0</v>
      </c>
      <c r="J103" s="13">
        <f t="shared" si="25"/>
        <v>3</v>
      </c>
      <c r="K103" s="13">
        <f t="shared" si="25"/>
        <v>4</v>
      </c>
      <c r="L103" s="13">
        <f t="shared" si="25"/>
        <v>1</v>
      </c>
      <c r="M103" s="13">
        <f t="shared" si="25"/>
        <v>1</v>
      </c>
      <c r="N103" s="13">
        <f t="shared" si="25"/>
        <v>13</v>
      </c>
      <c r="O103" s="13">
        <f t="shared" si="25"/>
        <v>6</v>
      </c>
      <c r="P103" s="13">
        <f t="shared" si="25"/>
        <v>8</v>
      </c>
      <c r="Q103" s="13">
        <f t="shared" si="25"/>
        <v>4</v>
      </c>
      <c r="R103" s="13">
        <f t="shared" si="25"/>
        <v>0</v>
      </c>
      <c r="S103" s="13">
        <f t="shared" si="25"/>
        <v>7</v>
      </c>
      <c r="T103" s="13">
        <f t="shared" si="25"/>
        <v>65</v>
      </c>
    </row>
    <row r="104" ht="12.75" customHeight="1">
      <c r="A104" s="24"/>
      <c r="B104" s="15"/>
      <c r="C104" s="15"/>
      <c r="D104" s="15"/>
      <c r="E104" s="16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13"/>
    </row>
    <row r="105" ht="12.75" customHeight="1">
      <c r="A105" s="30" t="s">
        <v>37</v>
      </c>
      <c r="B105" s="47" t="s">
        <v>90</v>
      </c>
      <c r="C105" s="48" t="s">
        <v>91</v>
      </c>
      <c r="D105" s="16"/>
      <c r="E105" s="19">
        <v>1.0</v>
      </c>
      <c r="F105" s="19">
        <v>1.0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1.0</v>
      </c>
      <c r="N105" s="19">
        <v>1.0</v>
      </c>
      <c r="O105" s="19">
        <v>0.0</v>
      </c>
      <c r="P105" s="19">
        <v>1.0</v>
      </c>
      <c r="Q105" s="19">
        <v>1.0</v>
      </c>
      <c r="R105" s="19">
        <v>0.0</v>
      </c>
      <c r="S105" s="19">
        <v>1.0</v>
      </c>
      <c r="T105" s="13">
        <f t="shared" ref="T105:T108" si="26">SUM(E105:S105)</f>
        <v>7</v>
      </c>
    </row>
    <row r="106" ht="12.75" customHeight="1">
      <c r="A106" s="30" t="s">
        <v>39</v>
      </c>
      <c r="B106" s="55">
        <v>1.0</v>
      </c>
      <c r="C106" s="50" t="s">
        <v>92</v>
      </c>
      <c r="D106" s="57"/>
      <c r="E106" s="19">
        <v>1.0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1.0</v>
      </c>
      <c r="S106" s="19">
        <v>0.0</v>
      </c>
      <c r="T106" s="13">
        <f t="shared" si="26"/>
        <v>2</v>
      </c>
    </row>
    <row r="107" ht="12.75" customHeight="1">
      <c r="A107" s="18"/>
      <c r="B107" s="55">
        <v>2.0</v>
      </c>
      <c r="C107" s="50" t="s">
        <v>93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1.0</v>
      </c>
      <c r="T107" s="13">
        <f t="shared" si="26"/>
        <v>1</v>
      </c>
    </row>
    <row r="108" ht="12.75" customHeight="1">
      <c r="A108" s="18"/>
      <c r="B108" s="55">
        <v>3.0</v>
      </c>
      <c r="C108" s="50" t="s">
        <v>94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3">
        <f t="shared" si="26"/>
        <v>0</v>
      </c>
    </row>
    <row r="109" ht="12.75" customHeight="1">
      <c r="A109" s="19" t="s">
        <v>15</v>
      </c>
      <c r="B109" s="47" t="s">
        <v>47</v>
      </c>
      <c r="C109" s="15"/>
      <c r="D109" s="16"/>
      <c r="E109" s="13">
        <f t="shared" ref="E109:T109" si="27">SUM(E105:E108)</f>
        <v>2</v>
      </c>
      <c r="F109" s="13">
        <f t="shared" si="27"/>
        <v>1</v>
      </c>
      <c r="G109" s="13">
        <f t="shared" si="27"/>
        <v>0</v>
      </c>
      <c r="H109" s="13">
        <f t="shared" si="27"/>
        <v>0</v>
      </c>
      <c r="I109" s="13">
        <f t="shared" si="27"/>
        <v>0</v>
      </c>
      <c r="J109" s="13">
        <f t="shared" si="27"/>
        <v>0</v>
      </c>
      <c r="K109" s="13">
        <f t="shared" si="27"/>
        <v>0</v>
      </c>
      <c r="L109" s="13">
        <f t="shared" si="27"/>
        <v>0</v>
      </c>
      <c r="M109" s="13">
        <f t="shared" si="27"/>
        <v>1</v>
      </c>
      <c r="N109" s="13">
        <f t="shared" si="27"/>
        <v>1</v>
      </c>
      <c r="O109" s="13">
        <f t="shared" si="27"/>
        <v>0</v>
      </c>
      <c r="P109" s="13">
        <f t="shared" si="27"/>
        <v>1</v>
      </c>
      <c r="Q109" s="13">
        <f t="shared" si="27"/>
        <v>1</v>
      </c>
      <c r="R109" s="13">
        <f t="shared" si="27"/>
        <v>1</v>
      </c>
      <c r="S109" s="13">
        <f t="shared" si="27"/>
        <v>2</v>
      </c>
      <c r="T109" s="13">
        <f t="shared" si="27"/>
        <v>10</v>
      </c>
    </row>
    <row r="110" ht="12.75" customHeight="1">
      <c r="A110" s="24"/>
      <c r="B110" s="15"/>
      <c r="C110" s="15"/>
      <c r="D110" s="15"/>
      <c r="E110" s="16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</row>
    <row r="111" ht="12.75" customHeight="1">
      <c r="A111" s="30" t="s">
        <v>37</v>
      </c>
      <c r="B111" s="47" t="s">
        <v>95</v>
      </c>
      <c r="C111" s="48" t="s">
        <v>96</v>
      </c>
      <c r="D111" s="16"/>
      <c r="E111" s="19">
        <v>0.0</v>
      </c>
      <c r="F111" s="19">
        <v>0.0</v>
      </c>
      <c r="G111" s="19">
        <v>0.0</v>
      </c>
      <c r="H111" s="19">
        <v>1.0</v>
      </c>
      <c r="I111" s="19">
        <v>3.0</v>
      </c>
      <c r="J111" s="19">
        <v>1.0</v>
      </c>
      <c r="K111" s="19">
        <v>1.0</v>
      </c>
      <c r="L111" s="19">
        <v>0.0</v>
      </c>
      <c r="M111" s="19">
        <v>0.0</v>
      </c>
      <c r="N111" s="19">
        <v>0.0</v>
      </c>
      <c r="O111" s="19">
        <v>1.0</v>
      </c>
      <c r="P111" s="19">
        <v>0.0</v>
      </c>
      <c r="Q111" s="19">
        <v>1.0</v>
      </c>
      <c r="R111" s="19">
        <v>0.0</v>
      </c>
      <c r="S111" s="19">
        <v>0.0</v>
      </c>
      <c r="T111" s="13">
        <f t="shared" ref="T111:T118" si="28">SUM(E111:S111)</f>
        <v>8</v>
      </c>
    </row>
    <row r="112" ht="12.75" customHeight="1">
      <c r="A112" s="30" t="s">
        <v>39</v>
      </c>
      <c r="B112" s="55">
        <v>1.0</v>
      </c>
      <c r="C112" s="50" t="s">
        <v>97</v>
      </c>
      <c r="D112" s="56"/>
      <c r="E112" s="19">
        <v>0.0</v>
      </c>
      <c r="F112" s="19">
        <v>0.0</v>
      </c>
      <c r="G112" s="19">
        <v>0.0</v>
      </c>
      <c r="H112" s="19">
        <v>1.0</v>
      </c>
      <c r="I112" s="19">
        <v>2.0</v>
      </c>
      <c r="J112" s="19">
        <v>1.0</v>
      </c>
      <c r="K112" s="19">
        <v>2.0</v>
      </c>
      <c r="L112" s="19">
        <v>0.0</v>
      </c>
      <c r="M112" s="19">
        <v>1.0</v>
      </c>
      <c r="N112" s="19">
        <v>1.0</v>
      </c>
      <c r="O112" s="19">
        <v>0.0</v>
      </c>
      <c r="P112" s="19">
        <v>0.0</v>
      </c>
      <c r="Q112" s="19">
        <v>3.0</v>
      </c>
      <c r="R112" s="19">
        <v>0.0</v>
      </c>
      <c r="S112" s="19">
        <v>2.0</v>
      </c>
      <c r="T112" s="13">
        <f t="shared" si="28"/>
        <v>13</v>
      </c>
    </row>
    <row r="113" ht="12.75" customHeight="1">
      <c r="A113" s="18"/>
      <c r="B113" s="55">
        <v>2.0</v>
      </c>
      <c r="C113" s="50" t="s">
        <v>98</v>
      </c>
      <c r="D113" s="56"/>
      <c r="E113" s="19">
        <v>0.0</v>
      </c>
      <c r="F113" s="19">
        <v>0.0</v>
      </c>
      <c r="G113" s="19">
        <v>0.0</v>
      </c>
      <c r="H113" s="19">
        <v>1.0</v>
      </c>
      <c r="I113" s="19">
        <v>0.0</v>
      </c>
      <c r="J113" s="19">
        <v>1.0</v>
      </c>
      <c r="K113" s="19">
        <v>0.0</v>
      </c>
      <c r="L113" s="19">
        <v>0.0</v>
      </c>
      <c r="M113" s="19">
        <v>0.0</v>
      </c>
      <c r="N113" s="19">
        <v>0.0</v>
      </c>
      <c r="O113" s="19">
        <v>0.0</v>
      </c>
      <c r="P113" s="19">
        <v>0.0</v>
      </c>
      <c r="Q113" s="19">
        <v>1.0</v>
      </c>
      <c r="R113" s="19">
        <v>0.0</v>
      </c>
      <c r="S113" s="19">
        <v>1.0</v>
      </c>
      <c r="T113" s="13">
        <f t="shared" si="28"/>
        <v>4</v>
      </c>
    </row>
    <row r="114" ht="12.75" customHeight="1">
      <c r="A114" s="18"/>
      <c r="B114" s="55">
        <v>3.0</v>
      </c>
      <c r="C114" s="50" t="s">
        <v>99</v>
      </c>
      <c r="D114" s="56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0.0</v>
      </c>
      <c r="R114" s="19">
        <v>1.0</v>
      </c>
      <c r="S114" s="19">
        <v>1.0</v>
      </c>
      <c r="T114" s="13">
        <f t="shared" si="28"/>
        <v>2</v>
      </c>
    </row>
    <row r="115" ht="12.75" customHeight="1">
      <c r="A115" s="18"/>
      <c r="B115" s="55">
        <v>4.0</v>
      </c>
      <c r="C115" s="50" t="s">
        <v>100</v>
      </c>
      <c r="D115" s="56"/>
      <c r="E115" s="19">
        <v>1.0</v>
      </c>
      <c r="F115" s="19">
        <v>0.0</v>
      </c>
      <c r="G115" s="19">
        <v>0.0</v>
      </c>
      <c r="H115" s="19">
        <v>0.0</v>
      </c>
      <c r="I115" s="19">
        <v>0.0</v>
      </c>
      <c r="J115" s="19">
        <v>0.0</v>
      </c>
      <c r="K115" s="19">
        <v>0.0</v>
      </c>
      <c r="L115" s="19">
        <v>0.0</v>
      </c>
      <c r="M115" s="19">
        <v>0.0</v>
      </c>
      <c r="N115" s="19">
        <v>0.0</v>
      </c>
      <c r="O115" s="19">
        <v>0.0</v>
      </c>
      <c r="P115" s="19">
        <v>0.0</v>
      </c>
      <c r="Q115" s="19">
        <v>0.0</v>
      </c>
      <c r="R115" s="19">
        <v>0.0</v>
      </c>
      <c r="S115" s="19">
        <v>0.0</v>
      </c>
      <c r="T115" s="13">
        <f t="shared" si="28"/>
        <v>1</v>
      </c>
    </row>
    <row r="116" ht="12.75" customHeight="1">
      <c r="A116" s="18"/>
      <c r="B116" s="55">
        <v>5.0</v>
      </c>
      <c r="C116" s="50" t="s">
        <v>101</v>
      </c>
      <c r="D116" s="56"/>
      <c r="E116" s="19">
        <v>0.0</v>
      </c>
      <c r="F116" s="19">
        <v>0.0</v>
      </c>
      <c r="G116" s="19">
        <v>0.0</v>
      </c>
      <c r="H116" s="19">
        <v>0.0</v>
      </c>
      <c r="I116" s="19">
        <v>0.0</v>
      </c>
      <c r="J116" s="19">
        <v>0.0</v>
      </c>
      <c r="K116" s="19">
        <v>0.0</v>
      </c>
      <c r="L116" s="19">
        <v>0.0</v>
      </c>
      <c r="M116" s="19">
        <v>0.0</v>
      </c>
      <c r="N116" s="19">
        <v>0.0</v>
      </c>
      <c r="O116" s="19">
        <v>0.0</v>
      </c>
      <c r="P116" s="19">
        <v>0.0</v>
      </c>
      <c r="Q116" s="19">
        <v>0.0</v>
      </c>
      <c r="R116" s="19">
        <v>0.0</v>
      </c>
      <c r="S116" s="19">
        <v>0.0</v>
      </c>
      <c r="T116" s="13">
        <f t="shared" si="28"/>
        <v>0</v>
      </c>
    </row>
    <row r="117" ht="12.75" customHeight="1">
      <c r="A117" s="18"/>
      <c r="B117" s="55">
        <v>6.0</v>
      </c>
      <c r="C117" s="50" t="s">
        <v>102</v>
      </c>
      <c r="D117" s="57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1.0</v>
      </c>
      <c r="P117" s="19">
        <v>0.0</v>
      </c>
      <c r="Q117" s="19">
        <v>0.0</v>
      </c>
      <c r="R117" s="19">
        <v>0.0</v>
      </c>
      <c r="S117" s="19">
        <v>0.0</v>
      </c>
      <c r="T117" s="13">
        <f t="shared" si="28"/>
        <v>1</v>
      </c>
    </row>
    <row r="118" ht="12.75" customHeight="1">
      <c r="A118" s="18"/>
      <c r="B118" s="55">
        <v>7.0</v>
      </c>
      <c r="C118" s="50" t="s">
        <v>103</v>
      </c>
      <c r="D118" s="56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3">
        <f t="shared" si="28"/>
        <v>0</v>
      </c>
    </row>
    <row r="119" ht="12.75" customHeight="1">
      <c r="A119" s="19" t="s">
        <v>15</v>
      </c>
      <c r="B119" s="47" t="s">
        <v>47</v>
      </c>
      <c r="C119" s="15"/>
      <c r="D119" s="16"/>
      <c r="E119" s="13">
        <f t="shared" ref="E119:T119" si="29">SUM(E111:E118)</f>
        <v>1</v>
      </c>
      <c r="F119" s="13">
        <f t="shared" si="29"/>
        <v>0</v>
      </c>
      <c r="G119" s="13">
        <f t="shared" si="29"/>
        <v>0</v>
      </c>
      <c r="H119" s="13">
        <f t="shared" si="29"/>
        <v>3</v>
      </c>
      <c r="I119" s="13">
        <f t="shared" si="29"/>
        <v>5</v>
      </c>
      <c r="J119" s="13">
        <f t="shared" si="29"/>
        <v>3</v>
      </c>
      <c r="K119" s="13">
        <f t="shared" si="29"/>
        <v>3</v>
      </c>
      <c r="L119" s="13">
        <f t="shared" si="29"/>
        <v>0</v>
      </c>
      <c r="M119" s="13">
        <f t="shared" si="29"/>
        <v>1</v>
      </c>
      <c r="N119" s="13">
        <f t="shared" si="29"/>
        <v>1</v>
      </c>
      <c r="O119" s="13">
        <f t="shared" si="29"/>
        <v>2</v>
      </c>
      <c r="P119" s="13">
        <f t="shared" si="29"/>
        <v>0</v>
      </c>
      <c r="Q119" s="13">
        <f t="shared" si="29"/>
        <v>5</v>
      </c>
      <c r="R119" s="13">
        <f t="shared" si="29"/>
        <v>1</v>
      </c>
      <c r="S119" s="13">
        <f t="shared" si="29"/>
        <v>4</v>
      </c>
      <c r="T119" s="13">
        <f t="shared" si="29"/>
        <v>29</v>
      </c>
    </row>
    <row r="120" ht="12.75" customHeight="1">
      <c r="A120" s="24"/>
      <c r="B120" s="15"/>
      <c r="C120" s="15"/>
      <c r="D120" s="15"/>
      <c r="E120" s="16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</row>
    <row r="121" ht="12.75" customHeight="1">
      <c r="A121" s="30" t="s">
        <v>37</v>
      </c>
      <c r="B121" s="47" t="s">
        <v>104</v>
      </c>
      <c r="C121" s="48" t="s">
        <v>105</v>
      </c>
      <c r="D121" s="16"/>
      <c r="E121" s="19">
        <v>1.0</v>
      </c>
      <c r="F121" s="19">
        <v>0.0</v>
      </c>
      <c r="G121" s="19">
        <v>0.0</v>
      </c>
      <c r="H121" s="19">
        <v>0.0</v>
      </c>
      <c r="I121" s="19">
        <v>0.0</v>
      </c>
      <c r="J121" s="19">
        <v>1.0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1.0</v>
      </c>
      <c r="Q121" s="19">
        <v>0.0</v>
      </c>
      <c r="R121" s="19">
        <v>0.0</v>
      </c>
      <c r="S121" s="19">
        <v>0.0</v>
      </c>
      <c r="T121" s="13">
        <f t="shared" ref="T121:T128" si="30">SUM(E121:S121)</f>
        <v>3</v>
      </c>
    </row>
    <row r="122" ht="12.75" customHeight="1">
      <c r="A122" s="30" t="s">
        <v>39</v>
      </c>
      <c r="B122" s="55">
        <v>1.0</v>
      </c>
      <c r="C122" s="50" t="s">
        <v>106</v>
      </c>
      <c r="D122" s="57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1.0</v>
      </c>
      <c r="R122" s="19">
        <v>0.0</v>
      </c>
      <c r="S122" s="19">
        <v>0.0</v>
      </c>
      <c r="T122" s="13">
        <f t="shared" si="30"/>
        <v>1</v>
      </c>
    </row>
    <row r="123" ht="12.75" customHeight="1">
      <c r="A123" s="18"/>
      <c r="B123" s="55">
        <v>2.0</v>
      </c>
      <c r="C123" s="50" t="s">
        <v>107</v>
      </c>
      <c r="D123" s="57"/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9">
        <v>0.0</v>
      </c>
      <c r="T123" s="13">
        <f t="shared" si="30"/>
        <v>0</v>
      </c>
    </row>
    <row r="124" ht="12.75" customHeight="1">
      <c r="A124" s="18"/>
      <c r="B124" s="55">
        <v>3.0</v>
      </c>
      <c r="C124" s="50" t="s">
        <v>108</v>
      </c>
      <c r="D124" s="57"/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9">
        <v>0.0</v>
      </c>
      <c r="S124" s="19">
        <v>0.0</v>
      </c>
      <c r="T124" s="13">
        <f t="shared" si="30"/>
        <v>0</v>
      </c>
    </row>
    <row r="125" ht="12.75" customHeight="1">
      <c r="A125" s="18"/>
      <c r="B125" s="55">
        <v>4.0</v>
      </c>
      <c r="C125" s="50" t="s">
        <v>109</v>
      </c>
      <c r="D125" s="57"/>
      <c r="E125" s="19">
        <v>0.0</v>
      </c>
      <c r="F125" s="19">
        <v>0.0</v>
      </c>
      <c r="G125" s="19">
        <v>0.0</v>
      </c>
      <c r="H125" s="19">
        <v>0.0</v>
      </c>
      <c r="I125" s="19">
        <v>0.0</v>
      </c>
      <c r="J125" s="19">
        <v>0.0</v>
      </c>
      <c r="K125" s="19">
        <v>0.0</v>
      </c>
      <c r="L125" s="19">
        <v>0.0</v>
      </c>
      <c r="M125" s="19">
        <v>0.0</v>
      </c>
      <c r="N125" s="19">
        <v>0.0</v>
      </c>
      <c r="O125" s="19">
        <v>0.0</v>
      </c>
      <c r="P125" s="19">
        <v>0.0</v>
      </c>
      <c r="Q125" s="19">
        <v>0.0</v>
      </c>
      <c r="R125" s="19">
        <v>0.0</v>
      </c>
      <c r="S125" s="19">
        <v>0.0</v>
      </c>
      <c r="T125" s="13">
        <f t="shared" si="30"/>
        <v>0</v>
      </c>
    </row>
    <row r="126" ht="12.75" customHeight="1">
      <c r="A126" s="18"/>
      <c r="B126" s="55">
        <v>5.0</v>
      </c>
      <c r="C126" s="50" t="s">
        <v>110</v>
      </c>
      <c r="D126" s="57"/>
      <c r="E126" s="19">
        <v>0.0</v>
      </c>
      <c r="F126" s="19">
        <v>0.0</v>
      </c>
      <c r="G126" s="19">
        <v>0.0</v>
      </c>
      <c r="H126" s="19">
        <v>0.0</v>
      </c>
      <c r="I126" s="19">
        <v>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0.0</v>
      </c>
      <c r="Q126" s="19">
        <v>0.0</v>
      </c>
      <c r="R126" s="19">
        <v>0.0</v>
      </c>
      <c r="S126" s="19">
        <v>0.0</v>
      </c>
      <c r="T126" s="13">
        <f t="shared" si="30"/>
        <v>0</v>
      </c>
    </row>
    <row r="127" ht="12.75" customHeight="1">
      <c r="A127" s="18"/>
      <c r="B127" s="55">
        <v>6.0</v>
      </c>
      <c r="C127" s="50" t="s">
        <v>111</v>
      </c>
      <c r="D127" s="57"/>
      <c r="E127" s="19">
        <v>1.0</v>
      </c>
      <c r="F127" s="19">
        <v>0.0</v>
      </c>
      <c r="G127" s="19">
        <v>0.0</v>
      </c>
      <c r="H127" s="19">
        <v>0.0</v>
      </c>
      <c r="I127" s="19">
        <v>0.0</v>
      </c>
      <c r="J127" s="19">
        <v>0.0</v>
      </c>
      <c r="K127" s="19">
        <v>0.0</v>
      </c>
      <c r="L127" s="19">
        <v>0.0</v>
      </c>
      <c r="M127" s="19">
        <v>0.0</v>
      </c>
      <c r="N127" s="19">
        <v>0.0</v>
      </c>
      <c r="O127" s="19">
        <v>0.0</v>
      </c>
      <c r="P127" s="19">
        <v>0.0</v>
      </c>
      <c r="Q127" s="19">
        <v>0.0</v>
      </c>
      <c r="R127" s="19">
        <v>0.0</v>
      </c>
      <c r="S127" s="19">
        <v>0.0</v>
      </c>
      <c r="T127" s="13">
        <f t="shared" si="30"/>
        <v>1</v>
      </c>
    </row>
    <row r="128" ht="12.75" customHeight="1">
      <c r="A128" s="18"/>
      <c r="B128" s="55">
        <v>7.0</v>
      </c>
      <c r="C128" s="50" t="s">
        <v>112</v>
      </c>
      <c r="D128" s="57"/>
      <c r="E128" s="19">
        <v>0.0</v>
      </c>
      <c r="F128" s="19">
        <v>0.0</v>
      </c>
      <c r="G128" s="19">
        <v>0.0</v>
      </c>
      <c r="H128" s="19">
        <v>0.0</v>
      </c>
      <c r="I128" s="19">
        <v>0.0</v>
      </c>
      <c r="J128" s="19">
        <v>0.0</v>
      </c>
      <c r="K128" s="19">
        <v>0.0</v>
      </c>
      <c r="L128" s="19">
        <v>0.0</v>
      </c>
      <c r="M128" s="19">
        <v>0.0</v>
      </c>
      <c r="N128" s="19">
        <v>0.0</v>
      </c>
      <c r="O128" s="19">
        <v>0.0</v>
      </c>
      <c r="P128" s="19">
        <v>0.0</v>
      </c>
      <c r="Q128" s="19">
        <v>0.0</v>
      </c>
      <c r="R128" s="19">
        <v>0.0</v>
      </c>
      <c r="S128" s="19">
        <v>0.0</v>
      </c>
      <c r="T128" s="13">
        <f t="shared" si="30"/>
        <v>0</v>
      </c>
    </row>
    <row r="129" ht="12.75" customHeight="1">
      <c r="A129" s="19" t="s">
        <v>15</v>
      </c>
      <c r="B129" s="47" t="s">
        <v>47</v>
      </c>
      <c r="C129" s="15"/>
      <c r="D129" s="16"/>
      <c r="E129" s="13">
        <f t="shared" ref="E129:T129" si="31">SUM(E121:E128)</f>
        <v>2</v>
      </c>
      <c r="F129" s="13">
        <f t="shared" si="31"/>
        <v>0</v>
      </c>
      <c r="G129" s="13">
        <f t="shared" si="31"/>
        <v>0</v>
      </c>
      <c r="H129" s="13">
        <f t="shared" si="31"/>
        <v>0</v>
      </c>
      <c r="I129" s="13">
        <f t="shared" si="31"/>
        <v>0</v>
      </c>
      <c r="J129" s="13">
        <f t="shared" si="31"/>
        <v>1</v>
      </c>
      <c r="K129" s="13">
        <f t="shared" si="31"/>
        <v>0</v>
      </c>
      <c r="L129" s="13">
        <f t="shared" si="31"/>
        <v>0</v>
      </c>
      <c r="M129" s="13">
        <f t="shared" si="31"/>
        <v>0</v>
      </c>
      <c r="N129" s="13">
        <f t="shared" si="31"/>
        <v>0</v>
      </c>
      <c r="O129" s="13">
        <f t="shared" si="31"/>
        <v>0</v>
      </c>
      <c r="P129" s="13">
        <f t="shared" si="31"/>
        <v>1</v>
      </c>
      <c r="Q129" s="13">
        <f t="shared" si="31"/>
        <v>1</v>
      </c>
      <c r="R129" s="13">
        <f t="shared" si="31"/>
        <v>0</v>
      </c>
      <c r="S129" s="13">
        <f t="shared" si="31"/>
        <v>0</v>
      </c>
      <c r="T129" s="13">
        <f t="shared" si="31"/>
        <v>5</v>
      </c>
    </row>
    <row r="130" ht="12.75" customHeight="1">
      <c r="A130" s="24"/>
      <c r="B130" s="15"/>
      <c r="C130" s="15"/>
      <c r="D130" s="15"/>
      <c r="E130" s="16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13"/>
    </row>
    <row r="131" ht="12.75" customHeight="1">
      <c r="A131" s="30" t="s">
        <v>37</v>
      </c>
      <c r="B131" s="17" t="s">
        <v>113</v>
      </c>
      <c r="C131" s="59" t="s">
        <v>114</v>
      </c>
      <c r="D131" s="23"/>
      <c r="E131" s="19">
        <v>0.0</v>
      </c>
      <c r="F131" s="19">
        <v>1.0</v>
      </c>
      <c r="G131" s="19">
        <v>0.0</v>
      </c>
      <c r="H131" s="19">
        <v>2.0</v>
      </c>
      <c r="I131" s="19">
        <v>0.0</v>
      </c>
      <c r="J131" s="19">
        <v>1.0</v>
      </c>
      <c r="K131" s="19">
        <v>0.0</v>
      </c>
      <c r="L131" s="19">
        <v>0.0</v>
      </c>
      <c r="M131" s="19">
        <v>1.0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3">
        <f t="shared" ref="T131:T135" si="32">SUM(E131:S131)</f>
        <v>5</v>
      </c>
    </row>
    <row r="132" ht="12.75" customHeight="1">
      <c r="A132" s="60" t="s">
        <v>39</v>
      </c>
      <c r="B132" s="55">
        <v>1.0</v>
      </c>
      <c r="C132" s="61" t="s">
        <v>115</v>
      </c>
      <c r="D132" s="57"/>
      <c r="E132" s="74">
        <v>1.0</v>
      </c>
      <c r="F132" s="19">
        <v>3.0</v>
      </c>
      <c r="G132" s="19">
        <v>0.0</v>
      </c>
      <c r="H132" s="19">
        <v>2.0</v>
      </c>
      <c r="I132" s="19">
        <v>0.0</v>
      </c>
      <c r="J132" s="19">
        <v>2.0</v>
      </c>
      <c r="K132" s="19">
        <v>0.0</v>
      </c>
      <c r="L132" s="19">
        <v>0.0</v>
      </c>
      <c r="M132" s="19">
        <v>2.0</v>
      </c>
      <c r="N132" s="19">
        <v>0.0</v>
      </c>
      <c r="O132" s="19">
        <v>0.0</v>
      </c>
      <c r="P132" s="19">
        <v>0.0</v>
      </c>
      <c r="Q132" s="19">
        <v>2.0</v>
      </c>
      <c r="R132" s="19">
        <v>0.0</v>
      </c>
      <c r="S132" s="19">
        <v>1.0</v>
      </c>
      <c r="T132" s="13">
        <f t="shared" si="32"/>
        <v>13</v>
      </c>
    </row>
    <row r="133" ht="12.75" customHeight="1">
      <c r="A133" s="18"/>
      <c r="B133" s="55">
        <v>2.0</v>
      </c>
      <c r="C133" s="61" t="s">
        <v>116</v>
      </c>
      <c r="D133" s="57"/>
      <c r="E133" s="74">
        <v>1.0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3">
        <f t="shared" si="32"/>
        <v>1</v>
      </c>
    </row>
    <row r="134" ht="12.75" customHeight="1">
      <c r="A134" s="18"/>
      <c r="B134" s="55">
        <v>3.0</v>
      </c>
      <c r="C134" s="61" t="s">
        <v>117</v>
      </c>
      <c r="D134" s="57"/>
      <c r="E134" s="74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3">
        <f t="shared" si="32"/>
        <v>0</v>
      </c>
    </row>
    <row r="135" ht="12.75" customHeight="1">
      <c r="A135" s="18"/>
      <c r="B135" s="55">
        <v>4.0</v>
      </c>
      <c r="C135" s="61" t="s">
        <v>118</v>
      </c>
      <c r="D135" s="57"/>
      <c r="E135" s="74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1.0</v>
      </c>
      <c r="T135" s="13">
        <f t="shared" si="32"/>
        <v>1</v>
      </c>
    </row>
    <row r="136" ht="12.75" customHeight="1">
      <c r="A136" s="19" t="s">
        <v>15</v>
      </c>
      <c r="B136" s="62" t="s">
        <v>47</v>
      </c>
      <c r="C136" s="44"/>
      <c r="D136" s="28"/>
      <c r="E136" s="13">
        <f t="shared" ref="E136:T136" si="33">SUM(E131:E135)</f>
        <v>2</v>
      </c>
      <c r="F136" s="13">
        <f t="shared" si="33"/>
        <v>4</v>
      </c>
      <c r="G136" s="13">
        <f t="shared" si="33"/>
        <v>0</v>
      </c>
      <c r="H136" s="13">
        <f t="shared" si="33"/>
        <v>4</v>
      </c>
      <c r="I136" s="13">
        <f t="shared" si="33"/>
        <v>0</v>
      </c>
      <c r="J136" s="13">
        <f t="shared" si="33"/>
        <v>3</v>
      </c>
      <c r="K136" s="13">
        <f t="shared" si="33"/>
        <v>0</v>
      </c>
      <c r="L136" s="13">
        <f t="shared" si="33"/>
        <v>0</v>
      </c>
      <c r="M136" s="13">
        <f t="shared" si="33"/>
        <v>3</v>
      </c>
      <c r="N136" s="13">
        <f t="shared" si="33"/>
        <v>0</v>
      </c>
      <c r="O136" s="13">
        <f t="shared" si="33"/>
        <v>0</v>
      </c>
      <c r="P136" s="13">
        <f t="shared" si="33"/>
        <v>0</v>
      </c>
      <c r="Q136" s="13">
        <f t="shared" si="33"/>
        <v>2</v>
      </c>
      <c r="R136" s="13">
        <f t="shared" si="33"/>
        <v>0</v>
      </c>
      <c r="S136" s="13">
        <f t="shared" si="33"/>
        <v>2</v>
      </c>
      <c r="T136" s="13">
        <f t="shared" si="33"/>
        <v>20</v>
      </c>
    </row>
    <row r="137" ht="12.75" customHeight="1">
      <c r="A137" s="24"/>
      <c r="B137" s="15"/>
      <c r="C137" s="15"/>
      <c r="D137" s="15"/>
      <c r="E137" s="16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</row>
    <row r="138" ht="12.75" customHeight="1">
      <c r="A138" s="30" t="s">
        <v>37</v>
      </c>
      <c r="B138" s="47" t="s">
        <v>119</v>
      </c>
      <c r="C138" s="48" t="s">
        <v>120</v>
      </c>
      <c r="D138" s="16"/>
      <c r="E138" s="19">
        <v>0.0</v>
      </c>
      <c r="F138" s="19">
        <v>0.0</v>
      </c>
      <c r="G138" s="19">
        <v>0.0</v>
      </c>
      <c r="H138" s="19">
        <v>0.0</v>
      </c>
      <c r="I138" s="19">
        <v>1.0</v>
      </c>
      <c r="J138" s="19">
        <v>0.0</v>
      </c>
      <c r="K138" s="19">
        <v>0.0</v>
      </c>
      <c r="L138" s="19">
        <v>0.0</v>
      </c>
      <c r="M138" s="19">
        <v>0.0</v>
      </c>
      <c r="N138" s="19">
        <v>0.0</v>
      </c>
      <c r="O138" s="19">
        <v>1.0</v>
      </c>
      <c r="P138" s="19">
        <v>0.0</v>
      </c>
      <c r="Q138" s="19">
        <v>1.0</v>
      </c>
      <c r="R138" s="19">
        <v>0.0</v>
      </c>
      <c r="S138" s="19">
        <v>0.0</v>
      </c>
      <c r="T138" s="13">
        <f t="shared" ref="T138:T145" si="34">SUM(E138:S138)</f>
        <v>3</v>
      </c>
    </row>
    <row r="139" ht="12.75" customHeight="1">
      <c r="A139" s="30" t="s">
        <v>39</v>
      </c>
      <c r="B139" s="55">
        <v>1.0</v>
      </c>
      <c r="C139" s="50" t="s">
        <v>121</v>
      </c>
      <c r="D139" s="57"/>
      <c r="E139" s="19">
        <v>1.0</v>
      </c>
      <c r="F139" s="19">
        <v>0.0</v>
      </c>
      <c r="G139" s="19">
        <v>0.0</v>
      </c>
      <c r="H139" s="19">
        <v>0.0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0.0</v>
      </c>
      <c r="Q139" s="19">
        <v>0.0</v>
      </c>
      <c r="R139" s="19">
        <v>0.0</v>
      </c>
      <c r="S139" s="19">
        <v>0.0</v>
      </c>
      <c r="T139" s="13">
        <f t="shared" si="34"/>
        <v>1</v>
      </c>
    </row>
    <row r="140" ht="12.75" customHeight="1">
      <c r="A140" s="18"/>
      <c r="B140" s="55">
        <v>2.0</v>
      </c>
      <c r="C140" s="50" t="s">
        <v>122</v>
      </c>
      <c r="D140" s="57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9">
        <v>0.0</v>
      </c>
      <c r="S140" s="19">
        <v>0.0</v>
      </c>
      <c r="T140" s="13">
        <f t="shared" si="34"/>
        <v>0</v>
      </c>
    </row>
    <row r="141" ht="12.75" customHeight="1">
      <c r="A141" s="18"/>
      <c r="B141" s="55">
        <v>3.0</v>
      </c>
      <c r="C141" s="50" t="s">
        <v>123</v>
      </c>
      <c r="D141" s="57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3">
        <f t="shared" si="34"/>
        <v>0</v>
      </c>
    </row>
    <row r="142" ht="12.75" customHeight="1">
      <c r="A142" s="18"/>
      <c r="B142" s="55">
        <v>4.0</v>
      </c>
      <c r="C142" s="50" t="s">
        <v>124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3">
        <f t="shared" si="34"/>
        <v>0</v>
      </c>
    </row>
    <row r="143" ht="12.75" customHeight="1">
      <c r="A143" s="18"/>
      <c r="B143" s="55">
        <v>5.0</v>
      </c>
      <c r="C143" s="50" t="s">
        <v>125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3">
        <f t="shared" si="34"/>
        <v>0</v>
      </c>
    </row>
    <row r="144" ht="12.75" customHeight="1">
      <c r="A144" s="18"/>
      <c r="B144" s="55">
        <v>6.0</v>
      </c>
      <c r="C144" s="50" t="s">
        <v>126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3">
        <f t="shared" si="34"/>
        <v>0</v>
      </c>
    </row>
    <row r="145" ht="12.75" customHeight="1">
      <c r="A145" s="18"/>
      <c r="B145" s="55">
        <v>7.0</v>
      </c>
      <c r="C145" s="50" t="s">
        <v>127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1.0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3">
        <f t="shared" si="34"/>
        <v>1</v>
      </c>
    </row>
    <row r="146" ht="12.75" customHeight="1">
      <c r="A146" s="19" t="s">
        <v>15</v>
      </c>
      <c r="B146" s="47" t="s">
        <v>47</v>
      </c>
      <c r="C146" s="15"/>
      <c r="D146" s="16"/>
      <c r="E146" s="13">
        <f t="shared" ref="E146:T146" si="35">SUM(E138:E145)</f>
        <v>1</v>
      </c>
      <c r="F146" s="13">
        <f t="shared" si="35"/>
        <v>0</v>
      </c>
      <c r="G146" s="13">
        <f t="shared" si="35"/>
        <v>0</v>
      </c>
      <c r="H146" s="13">
        <f t="shared" si="35"/>
        <v>0</v>
      </c>
      <c r="I146" s="13">
        <f t="shared" si="35"/>
        <v>1</v>
      </c>
      <c r="J146" s="13">
        <f t="shared" si="35"/>
        <v>0</v>
      </c>
      <c r="K146" s="13">
        <f t="shared" si="35"/>
        <v>0</v>
      </c>
      <c r="L146" s="13">
        <f t="shared" si="35"/>
        <v>0</v>
      </c>
      <c r="M146" s="13">
        <f t="shared" si="35"/>
        <v>0</v>
      </c>
      <c r="N146" s="13">
        <f t="shared" si="35"/>
        <v>1</v>
      </c>
      <c r="O146" s="13">
        <f t="shared" si="35"/>
        <v>1</v>
      </c>
      <c r="P146" s="13">
        <f t="shared" si="35"/>
        <v>0</v>
      </c>
      <c r="Q146" s="13">
        <f t="shared" si="35"/>
        <v>1</v>
      </c>
      <c r="R146" s="13">
        <f t="shared" si="35"/>
        <v>0</v>
      </c>
      <c r="S146" s="13">
        <f t="shared" si="35"/>
        <v>0</v>
      </c>
      <c r="T146" s="13">
        <f t="shared" si="35"/>
        <v>5</v>
      </c>
    </row>
    <row r="147" ht="12.75" customHeight="1">
      <c r="A147" s="24"/>
      <c r="B147" s="15"/>
      <c r="C147" s="15"/>
      <c r="D147" s="15"/>
      <c r="E147" s="16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</row>
    <row r="148" ht="12.75" customHeight="1">
      <c r="A148" s="30" t="s">
        <v>37</v>
      </c>
      <c r="B148" s="47" t="s">
        <v>128</v>
      </c>
      <c r="C148" s="48" t="s">
        <v>129</v>
      </c>
      <c r="D148" s="16"/>
      <c r="E148" s="19">
        <v>0.0</v>
      </c>
      <c r="F148" s="19">
        <v>0.0</v>
      </c>
      <c r="G148" s="19">
        <v>0.0</v>
      </c>
      <c r="H148" s="19">
        <v>0.0</v>
      </c>
      <c r="I148" s="19">
        <v>1.0</v>
      </c>
      <c r="J148" s="19">
        <v>0.0</v>
      </c>
      <c r="K148" s="19">
        <v>0.0</v>
      </c>
      <c r="L148" s="19">
        <v>1.0</v>
      </c>
      <c r="M148" s="19">
        <v>0.0</v>
      </c>
      <c r="N148" s="19">
        <v>0.0</v>
      </c>
      <c r="O148" s="19">
        <v>2.0</v>
      </c>
      <c r="P148" s="19">
        <v>0.0</v>
      </c>
      <c r="Q148" s="19">
        <v>1.0</v>
      </c>
      <c r="R148" s="19">
        <v>0.0</v>
      </c>
      <c r="S148" s="19">
        <v>1.0</v>
      </c>
      <c r="T148" s="13">
        <f t="shared" ref="T148:T155" si="36">SUM(E148:S148)</f>
        <v>6</v>
      </c>
    </row>
    <row r="149" ht="12.75" customHeight="1">
      <c r="A149" s="30" t="s">
        <v>39</v>
      </c>
      <c r="B149" s="55">
        <v>1.0</v>
      </c>
      <c r="C149" s="50" t="s">
        <v>130</v>
      </c>
      <c r="D149" s="57"/>
      <c r="E149" s="19">
        <v>0.0</v>
      </c>
      <c r="F149" s="19">
        <v>0.0</v>
      </c>
      <c r="G149" s="19">
        <v>0.0</v>
      </c>
      <c r="H149" s="19">
        <v>0.0</v>
      </c>
      <c r="I149" s="19">
        <v>0.0</v>
      </c>
      <c r="J149" s="19">
        <v>0.0</v>
      </c>
      <c r="K149" s="19">
        <v>0.0</v>
      </c>
      <c r="L149" s="19">
        <v>0.0</v>
      </c>
      <c r="M149" s="19">
        <v>0.0</v>
      </c>
      <c r="N149" s="19">
        <v>0.0</v>
      </c>
      <c r="O149" s="19">
        <v>0.0</v>
      </c>
      <c r="P149" s="19">
        <v>1.0</v>
      </c>
      <c r="Q149" s="19">
        <v>0.0</v>
      </c>
      <c r="R149" s="19">
        <v>1.0</v>
      </c>
      <c r="S149" s="19">
        <v>1.0</v>
      </c>
      <c r="T149" s="13">
        <f t="shared" si="36"/>
        <v>3</v>
      </c>
    </row>
    <row r="150" ht="12.75" customHeight="1">
      <c r="A150" s="18"/>
      <c r="B150" s="55">
        <v>2.0</v>
      </c>
      <c r="C150" s="50" t="s">
        <v>131</v>
      </c>
      <c r="D150" s="57"/>
      <c r="E150" s="19">
        <v>0.0</v>
      </c>
      <c r="F150" s="19">
        <v>0.0</v>
      </c>
      <c r="G150" s="19">
        <v>0.0</v>
      </c>
      <c r="H150" s="19">
        <v>0.0</v>
      </c>
      <c r="I150" s="19">
        <v>0.0</v>
      </c>
      <c r="J150" s="19">
        <v>0.0</v>
      </c>
      <c r="K150" s="19">
        <v>0.0</v>
      </c>
      <c r="L150" s="19">
        <v>0.0</v>
      </c>
      <c r="M150" s="19">
        <v>0.0</v>
      </c>
      <c r="N150" s="19">
        <v>0.0</v>
      </c>
      <c r="O150" s="19">
        <v>0.0</v>
      </c>
      <c r="P150" s="19">
        <v>0.0</v>
      </c>
      <c r="Q150" s="19">
        <v>0.0</v>
      </c>
      <c r="R150" s="19">
        <v>0.0</v>
      </c>
      <c r="S150" s="19">
        <v>0.0</v>
      </c>
      <c r="T150" s="13">
        <f t="shared" si="36"/>
        <v>0</v>
      </c>
    </row>
    <row r="151" ht="12.75" customHeight="1">
      <c r="A151" s="18"/>
      <c r="B151" s="55">
        <v>3.0</v>
      </c>
      <c r="C151" s="50" t="s">
        <v>132</v>
      </c>
      <c r="D151" s="57"/>
      <c r="E151" s="19">
        <v>1.0</v>
      </c>
      <c r="F151" s="19">
        <v>0.0</v>
      </c>
      <c r="G151" s="19">
        <v>0.0</v>
      </c>
      <c r="H151" s="19">
        <v>0.0</v>
      </c>
      <c r="I151" s="19">
        <v>0.0</v>
      </c>
      <c r="J151" s="19">
        <v>0.0</v>
      </c>
      <c r="K151" s="19">
        <v>0.0</v>
      </c>
      <c r="L151" s="19">
        <v>0.0</v>
      </c>
      <c r="M151" s="19">
        <v>1.0</v>
      </c>
      <c r="N151" s="19">
        <v>0.0</v>
      </c>
      <c r="O151" s="19">
        <v>0.0</v>
      </c>
      <c r="P151" s="19">
        <v>0.0</v>
      </c>
      <c r="Q151" s="19">
        <v>0.0</v>
      </c>
      <c r="R151" s="19">
        <v>0.0</v>
      </c>
      <c r="S151" s="19">
        <v>0.0</v>
      </c>
      <c r="T151" s="13">
        <f t="shared" si="36"/>
        <v>2</v>
      </c>
    </row>
    <row r="152" ht="12.75" customHeight="1">
      <c r="A152" s="18"/>
      <c r="B152" s="55">
        <v>4.0</v>
      </c>
      <c r="C152" s="50" t="s">
        <v>133</v>
      </c>
      <c r="D152" s="57"/>
      <c r="E152" s="19">
        <v>0.0</v>
      </c>
      <c r="F152" s="19">
        <v>0.0</v>
      </c>
      <c r="G152" s="19">
        <v>1.0</v>
      </c>
      <c r="H152" s="19">
        <v>0.0</v>
      </c>
      <c r="I152" s="19">
        <v>0.0</v>
      </c>
      <c r="J152" s="19">
        <v>0.0</v>
      </c>
      <c r="K152" s="19">
        <v>0.0</v>
      </c>
      <c r="L152" s="19">
        <v>0.0</v>
      </c>
      <c r="M152" s="19">
        <v>0.0</v>
      </c>
      <c r="N152" s="19">
        <v>0.0</v>
      </c>
      <c r="O152" s="19">
        <v>0.0</v>
      </c>
      <c r="P152" s="19">
        <v>0.0</v>
      </c>
      <c r="Q152" s="19">
        <v>0.0</v>
      </c>
      <c r="R152" s="19">
        <v>0.0</v>
      </c>
      <c r="S152" s="19">
        <v>0.0</v>
      </c>
      <c r="T152" s="13">
        <f t="shared" si="36"/>
        <v>1</v>
      </c>
    </row>
    <row r="153" ht="12.75" customHeight="1">
      <c r="A153" s="18"/>
      <c r="B153" s="55">
        <v>5.0</v>
      </c>
      <c r="C153" s="50" t="s">
        <v>134</v>
      </c>
      <c r="D153" s="57"/>
      <c r="E153" s="19">
        <v>1.0</v>
      </c>
      <c r="F153" s="19">
        <v>1.0</v>
      </c>
      <c r="G153" s="19">
        <v>22.0</v>
      </c>
      <c r="H153" s="19">
        <v>0.0</v>
      </c>
      <c r="I153" s="19">
        <v>0.0</v>
      </c>
      <c r="J153" s="19">
        <v>0.0</v>
      </c>
      <c r="K153" s="19">
        <v>0.0</v>
      </c>
      <c r="L153" s="19">
        <v>2.0</v>
      </c>
      <c r="M153" s="19">
        <v>0.0</v>
      </c>
      <c r="N153" s="19">
        <v>5.0</v>
      </c>
      <c r="O153" s="19">
        <v>5.0</v>
      </c>
      <c r="P153" s="19">
        <v>3.0</v>
      </c>
      <c r="Q153" s="19">
        <v>0.0</v>
      </c>
      <c r="R153" s="19">
        <v>0.0</v>
      </c>
      <c r="S153" s="19">
        <v>0.0</v>
      </c>
      <c r="T153" s="13">
        <f t="shared" si="36"/>
        <v>39</v>
      </c>
    </row>
    <row r="154" ht="12.75" customHeight="1">
      <c r="A154" s="18"/>
      <c r="B154" s="55">
        <v>6.0</v>
      </c>
      <c r="C154" s="50" t="s">
        <v>135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3">
        <f t="shared" si="36"/>
        <v>0</v>
      </c>
    </row>
    <row r="155" ht="12.75" customHeight="1">
      <c r="A155" s="18"/>
      <c r="B155" s="55">
        <v>7.0</v>
      </c>
      <c r="C155" s="50" t="s">
        <v>136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3">
        <f t="shared" si="36"/>
        <v>0</v>
      </c>
    </row>
    <row r="156" ht="12.75" customHeight="1">
      <c r="A156" s="19" t="s">
        <v>15</v>
      </c>
      <c r="B156" s="47" t="s">
        <v>47</v>
      </c>
      <c r="C156" s="15"/>
      <c r="D156" s="16"/>
      <c r="E156" s="13">
        <f t="shared" ref="E156:T156" si="37">SUM(E148:E155)</f>
        <v>2</v>
      </c>
      <c r="F156" s="13">
        <f t="shared" si="37"/>
        <v>1</v>
      </c>
      <c r="G156" s="13">
        <f t="shared" si="37"/>
        <v>23</v>
      </c>
      <c r="H156" s="13">
        <f t="shared" si="37"/>
        <v>0</v>
      </c>
      <c r="I156" s="13">
        <f t="shared" si="37"/>
        <v>1</v>
      </c>
      <c r="J156" s="13">
        <f t="shared" si="37"/>
        <v>0</v>
      </c>
      <c r="K156" s="13">
        <f t="shared" si="37"/>
        <v>0</v>
      </c>
      <c r="L156" s="13">
        <f t="shared" si="37"/>
        <v>3</v>
      </c>
      <c r="M156" s="13">
        <f t="shared" si="37"/>
        <v>1</v>
      </c>
      <c r="N156" s="13">
        <f t="shared" si="37"/>
        <v>5</v>
      </c>
      <c r="O156" s="13">
        <f t="shared" si="37"/>
        <v>7</v>
      </c>
      <c r="P156" s="13">
        <f t="shared" si="37"/>
        <v>4</v>
      </c>
      <c r="Q156" s="13">
        <f t="shared" si="37"/>
        <v>1</v>
      </c>
      <c r="R156" s="13">
        <f t="shared" si="37"/>
        <v>1</v>
      </c>
      <c r="S156" s="13">
        <f t="shared" si="37"/>
        <v>2</v>
      </c>
      <c r="T156" s="13">
        <f t="shared" si="37"/>
        <v>51</v>
      </c>
    </row>
    <row r="157" ht="12.75" customHeight="1">
      <c r="A157" s="24"/>
      <c r="B157" s="15"/>
      <c r="C157" s="15"/>
      <c r="D157" s="15"/>
      <c r="E157" s="16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13"/>
    </row>
    <row r="158" ht="12.75" customHeight="1">
      <c r="A158" s="30" t="s">
        <v>37</v>
      </c>
      <c r="B158" s="47" t="s">
        <v>137</v>
      </c>
      <c r="C158" s="48" t="s">
        <v>138</v>
      </c>
      <c r="D158" s="16"/>
      <c r="E158" s="19">
        <v>0.0</v>
      </c>
      <c r="F158" s="19">
        <v>1.0</v>
      </c>
      <c r="G158" s="19">
        <v>0.0</v>
      </c>
      <c r="H158" s="19">
        <v>0.0</v>
      </c>
      <c r="I158" s="19">
        <v>0.0</v>
      </c>
      <c r="J158" s="19">
        <v>0.0</v>
      </c>
      <c r="K158" s="19">
        <v>0.0</v>
      </c>
      <c r="L158" s="19">
        <v>0.0</v>
      </c>
      <c r="M158" s="19">
        <v>0.0</v>
      </c>
      <c r="N158" s="19">
        <v>0.0</v>
      </c>
      <c r="O158" s="19">
        <v>0.0</v>
      </c>
      <c r="P158" s="19">
        <v>0.0</v>
      </c>
      <c r="Q158" s="19">
        <v>1.0</v>
      </c>
      <c r="R158" s="19">
        <v>0.0</v>
      </c>
      <c r="S158" s="19">
        <v>0.0</v>
      </c>
      <c r="T158" s="13">
        <f t="shared" ref="T158:T165" si="38">SUM(E158:S158)</f>
        <v>2</v>
      </c>
    </row>
    <row r="159" ht="12.75" customHeight="1">
      <c r="A159" s="30" t="s">
        <v>39</v>
      </c>
      <c r="B159" s="55">
        <v>1.0</v>
      </c>
      <c r="C159" s="50" t="s">
        <v>139</v>
      </c>
      <c r="D159" s="57"/>
      <c r="E159" s="19">
        <v>0.0</v>
      </c>
      <c r="F159" s="19">
        <v>0.0</v>
      </c>
      <c r="G159" s="19">
        <v>0.0</v>
      </c>
      <c r="H159" s="19">
        <v>0.0</v>
      </c>
      <c r="I159" s="19">
        <v>0.0</v>
      </c>
      <c r="J159" s="19">
        <v>0.0</v>
      </c>
      <c r="K159" s="19">
        <v>0.0</v>
      </c>
      <c r="L159" s="19">
        <v>0.0</v>
      </c>
      <c r="M159" s="19">
        <v>0.0</v>
      </c>
      <c r="N159" s="19">
        <v>0.0</v>
      </c>
      <c r="O159" s="19">
        <v>0.0</v>
      </c>
      <c r="P159" s="19">
        <v>0.0</v>
      </c>
      <c r="Q159" s="19">
        <v>0.0</v>
      </c>
      <c r="R159" s="19">
        <v>0.0</v>
      </c>
      <c r="S159" s="19">
        <v>0.0</v>
      </c>
      <c r="T159" s="13">
        <f t="shared" si="38"/>
        <v>0</v>
      </c>
    </row>
    <row r="160" ht="12.75" customHeight="1">
      <c r="A160" s="18"/>
      <c r="B160" s="55">
        <v>2.0</v>
      </c>
      <c r="C160" s="50" t="s">
        <v>140</v>
      </c>
      <c r="D160" s="57"/>
      <c r="E160" s="19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9">
        <v>0.0</v>
      </c>
      <c r="T160" s="13">
        <f t="shared" si="38"/>
        <v>0</v>
      </c>
    </row>
    <row r="161" ht="12.75" customHeight="1">
      <c r="A161" s="18"/>
      <c r="B161" s="55">
        <v>3.0</v>
      </c>
      <c r="C161" s="50" t="s">
        <v>141</v>
      </c>
      <c r="D161" s="57"/>
      <c r="E161" s="19">
        <v>0.0</v>
      </c>
      <c r="F161" s="19">
        <v>0.0</v>
      </c>
      <c r="G161" s="19">
        <v>0.0</v>
      </c>
      <c r="H161" s="19">
        <v>0.0</v>
      </c>
      <c r="I161" s="19">
        <v>0.0</v>
      </c>
      <c r="J161" s="19">
        <v>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0.0</v>
      </c>
      <c r="P161" s="19">
        <v>0.0</v>
      </c>
      <c r="Q161" s="19">
        <v>0.0</v>
      </c>
      <c r="R161" s="19">
        <v>0.0</v>
      </c>
      <c r="S161" s="19">
        <v>0.0</v>
      </c>
      <c r="T161" s="13">
        <f t="shared" si="38"/>
        <v>0</v>
      </c>
    </row>
    <row r="162" ht="12.75" customHeight="1">
      <c r="A162" s="18"/>
      <c r="B162" s="55">
        <v>4.0</v>
      </c>
      <c r="C162" s="50" t="s">
        <v>142</v>
      </c>
      <c r="D162" s="57"/>
      <c r="E162" s="19">
        <v>0.0</v>
      </c>
      <c r="F162" s="19">
        <v>0.0</v>
      </c>
      <c r="G162" s="19">
        <v>0.0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0.0</v>
      </c>
      <c r="R162" s="19">
        <v>0.0</v>
      </c>
      <c r="S162" s="19">
        <v>0.0</v>
      </c>
      <c r="T162" s="13">
        <f t="shared" si="38"/>
        <v>0</v>
      </c>
    </row>
    <row r="163" ht="12.75" customHeight="1">
      <c r="A163" s="18"/>
      <c r="B163" s="55">
        <v>5.0</v>
      </c>
      <c r="C163" s="50" t="s">
        <v>143</v>
      </c>
      <c r="D163" s="57"/>
      <c r="E163" s="19">
        <v>0.0</v>
      </c>
      <c r="F163" s="19">
        <v>0.0</v>
      </c>
      <c r="G163" s="19">
        <v>0.0</v>
      </c>
      <c r="H163" s="19">
        <v>0.0</v>
      </c>
      <c r="I163" s="19">
        <v>0.0</v>
      </c>
      <c r="J163" s="19">
        <v>0.0</v>
      </c>
      <c r="K163" s="19">
        <v>0.0</v>
      </c>
      <c r="L163" s="19">
        <v>0.0</v>
      </c>
      <c r="M163" s="19">
        <v>0.0</v>
      </c>
      <c r="N163" s="19">
        <v>0.0</v>
      </c>
      <c r="O163" s="19">
        <v>0.0</v>
      </c>
      <c r="P163" s="19">
        <v>0.0</v>
      </c>
      <c r="Q163" s="19">
        <v>0.0</v>
      </c>
      <c r="R163" s="19">
        <v>0.0</v>
      </c>
      <c r="S163" s="19">
        <v>0.0</v>
      </c>
      <c r="T163" s="13">
        <f t="shared" si="38"/>
        <v>0</v>
      </c>
    </row>
    <row r="164" ht="12.75" customHeight="1">
      <c r="A164" s="18"/>
      <c r="B164" s="55">
        <v>6.0</v>
      </c>
      <c r="C164" s="50" t="s">
        <v>144</v>
      </c>
      <c r="D164" s="57"/>
      <c r="E164" s="19">
        <v>0.0</v>
      </c>
      <c r="F164" s="19">
        <v>0.0</v>
      </c>
      <c r="G164" s="19">
        <v>0.0</v>
      </c>
      <c r="H164" s="19">
        <v>0.0</v>
      </c>
      <c r="I164" s="19">
        <v>0.0</v>
      </c>
      <c r="J164" s="19">
        <v>0.0</v>
      </c>
      <c r="K164" s="19">
        <v>0.0</v>
      </c>
      <c r="L164" s="19">
        <v>0.0</v>
      </c>
      <c r="M164" s="19">
        <v>0.0</v>
      </c>
      <c r="N164" s="19">
        <v>0.0</v>
      </c>
      <c r="O164" s="19">
        <v>0.0</v>
      </c>
      <c r="P164" s="19">
        <v>0.0</v>
      </c>
      <c r="Q164" s="19">
        <v>0.0</v>
      </c>
      <c r="R164" s="19">
        <v>0.0</v>
      </c>
      <c r="S164" s="19">
        <v>0.0</v>
      </c>
      <c r="T164" s="13">
        <f t="shared" si="38"/>
        <v>0</v>
      </c>
    </row>
    <row r="165" ht="12.75" customHeight="1">
      <c r="A165" s="18"/>
      <c r="B165" s="55">
        <v>7.0</v>
      </c>
      <c r="C165" s="50" t="s">
        <v>145</v>
      </c>
      <c r="D165" s="57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1.0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3">
        <f t="shared" si="38"/>
        <v>1</v>
      </c>
    </row>
    <row r="166" ht="12.75" customHeight="1">
      <c r="A166" s="19" t="s">
        <v>15</v>
      </c>
      <c r="B166" s="47" t="s">
        <v>47</v>
      </c>
      <c r="C166" s="15"/>
      <c r="D166" s="16"/>
      <c r="E166" s="13">
        <f t="shared" ref="E166:T166" si="39">SUM(E158:E165)</f>
        <v>0</v>
      </c>
      <c r="F166" s="13">
        <f t="shared" si="39"/>
        <v>1</v>
      </c>
      <c r="G166" s="13">
        <f t="shared" si="39"/>
        <v>0</v>
      </c>
      <c r="H166" s="13">
        <f t="shared" si="39"/>
        <v>0</v>
      </c>
      <c r="I166" s="13">
        <f t="shared" si="39"/>
        <v>0</v>
      </c>
      <c r="J166" s="13">
        <f t="shared" si="39"/>
        <v>1</v>
      </c>
      <c r="K166" s="13">
        <f t="shared" si="39"/>
        <v>0</v>
      </c>
      <c r="L166" s="13">
        <f t="shared" si="39"/>
        <v>0</v>
      </c>
      <c r="M166" s="13">
        <f t="shared" si="39"/>
        <v>0</v>
      </c>
      <c r="N166" s="13">
        <f t="shared" si="39"/>
        <v>0</v>
      </c>
      <c r="O166" s="13">
        <f t="shared" si="39"/>
        <v>0</v>
      </c>
      <c r="P166" s="13">
        <f t="shared" si="39"/>
        <v>0</v>
      </c>
      <c r="Q166" s="13">
        <f t="shared" si="39"/>
        <v>1</v>
      </c>
      <c r="R166" s="13">
        <f t="shared" si="39"/>
        <v>0</v>
      </c>
      <c r="S166" s="13">
        <f t="shared" si="39"/>
        <v>0</v>
      </c>
      <c r="T166" s="13">
        <f t="shared" si="39"/>
        <v>3</v>
      </c>
    </row>
    <row r="167" ht="12.75" customHeight="1">
      <c r="A167" s="24"/>
      <c r="B167" s="15"/>
      <c r="C167" s="15"/>
      <c r="D167" s="15"/>
      <c r="E167" s="16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</row>
    <row r="168" ht="12.75" customHeight="1">
      <c r="A168" s="30" t="s">
        <v>37</v>
      </c>
      <c r="B168" s="47" t="s">
        <v>146</v>
      </c>
      <c r="C168" s="48" t="s">
        <v>147</v>
      </c>
      <c r="D168" s="16"/>
      <c r="E168" s="19">
        <v>0.0</v>
      </c>
      <c r="F168" s="19">
        <v>0.0</v>
      </c>
      <c r="G168" s="19">
        <v>1.0</v>
      </c>
      <c r="H168" s="19">
        <v>1.0</v>
      </c>
      <c r="I168" s="19">
        <v>2.0</v>
      </c>
      <c r="J168" s="19">
        <v>1.0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2.0</v>
      </c>
      <c r="Q168" s="19">
        <v>4.0</v>
      </c>
      <c r="R168" s="19">
        <v>0.0</v>
      </c>
      <c r="S168" s="19">
        <v>3.0</v>
      </c>
      <c r="T168" s="13">
        <f t="shared" ref="T168:T175" si="40">SUM(E168:S168)</f>
        <v>14</v>
      </c>
    </row>
    <row r="169" ht="12.75" customHeight="1">
      <c r="A169" s="30" t="s">
        <v>39</v>
      </c>
      <c r="B169" s="55">
        <v>1.0</v>
      </c>
      <c r="C169" s="50" t="s">
        <v>148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3.0</v>
      </c>
      <c r="K169" s="19">
        <v>1.0</v>
      </c>
      <c r="L169" s="19">
        <v>0.0</v>
      </c>
      <c r="M169" s="19">
        <v>0.0</v>
      </c>
      <c r="N169" s="19">
        <v>0.0</v>
      </c>
      <c r="O169" s="19">
        <v>1.0</v>
      </c>
      <c r="P169" s="19">
        <v>1.0</v>
      </c>
      <c r="Q169" s="19">
        <v>0.0</v>
      </c>
      <c r="R169" s="19">
        <v>2.0</v>
      </c>
      <c r="S169" s="19">
        <v>0.0</v>
      </c>
      <c r="T169" s="13">
        <f t="shared" si="40"/>
        <v>8</v>
      </c>
    </row>
    <row r="170" ht="12.75" customHeight="1">
      <c r="A170" s="18"/>
      <c r="B170" s="55">
        <v>2.0</v>
      </c>
      <c r="C170" s="50" t="s">
        <v>149</v>
      </c>
      <c r="D170" s="57"/>
      <c r="E170" s="19">
        <v>0.0</v>
      </c>
      <c r="F170" s="19">
        <v>0.0</v>
      </c>
      <c r="G170" s="19">
        <v>2.0</v>
      </c>
      <c r="H170" s="19">
        <v>1.0</v>
      </c>
      <c r="I170" s="19">
        <v>0.0</v>
      </c>
      <c r="J170" s="19">
        <v>1.0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3.0</v>
      </c>
      <c r="Q170" s="19">
        <v>3.0</v>
      </c>
      <c r="R170" s="19">
        <v>0.0</v>
      </c>
      <c r="S170" s="19">
        <v>0.0</v>
      </c>
      <c r="T170" s="13">
        <f t="shared" si="40"/>
        <v>10</v>
      </c>
    </row>
    <row r="171" ht="12.75" customHeight="1">
      <c r="A171" s="18"/>
      <c r="B171" s="55">
        <v>3.0</v>
      </c>
      <c r="C171" s="50" t="s">
        <v>150</v>
      </c>
      <c r="D171" s="57"/>
      <c r="E171" s="19">
        <v>0.0</v>
      </c>
      <c r="F171" s="19">
        <v>1.0</v>
      </c>
      <c r="G171" s="19">
        <v>0.0</v>
      </c>
      <c r="H171" s="19">
        <v>0.0</v>
      </c>
      <c r="I171" s="19">
        <v>1.0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1.0</v>
      </c>
      <c r="Q171" s="19">
        <v>0.0</v>
      </c>
      <c r="R171" s="19">
        <v>1.0</v>
      </c>
      <c r="S171" s="19">
        <v>0.0</v>
      </c>
      <c r="T171" s="13">
        <f t="shared" si="40"/>
        <v>4</v>
      </c>
    </row>
    <row r="172" ht="12.75" customHeight="1">
      <c r="A172" s="18"/>
      <c r="B172" s="55">
        <v>4.0</v>
      </c>
      <c r="C172" s="50" t="s">
        <v>151</v>
      </c>
      <c r="D172" s="57"/>
      <c r="E172" s="19">
        <v>2.0</v>
      </c>
      <c r="F172" s="19">
        <v>1.0</v>
      </c>
      <c r="G172" s="19">
        <v>0.0</v>
      </c>
      <c r="H172" s="19">
        <v>0.0</v>
      </c>
      <c r="I172" s="19">
        <v>3.0</v>
      </c>
      <c r="J172" s="19">
        <v>2.0</v>
      </c>
      <c r="K172" s="19">
        <v>0.0</v>
      </c>
      <c r="L172" s="19">
        <v>0.0</v>
      </c>
      <c r="M172" s="19">
        <v>1.0</v>
      </c>
      <c r="N172" s="19">
        <v>1.0</v>
      </c>
      <c r="O172" s="19">
        <v>0.0</v>
      </c>
      <c r="P172" s="19">
        <v>2.0</v>
      </c>
      <c r="Q172" s="19">
        <v>4.0</v>
      </c>
      <c r="R172" s="19">
        <v>3.0</v>
      </c>
      <c r="S172" s="19">
        <v>0.0</v>
      </c>
      <c r="T172" s="13">
        <f t="shared" si="40"/>
        <v>19</v>
      </c>
    </row>
    <row r="173" ht="12.75" customHeight="1">
      <c r="A173" s="18"/>
      <c r="B173" s="55">
        <v>5.0</v>
      </c>
      <c r="C173" s="50" t="s">
        <v>152</v>
      </c>
      <c r="D173" s="57"/>
      <c r="E173" s="19">
        <v>1.0</v>
      </c>
      <c r="F173" s="19">
        <v>0.0</v>
      </c>
      <c r="G173" s="19">
        <v>0.0</v>
      </c>
      <c r="H173" s="19">
        <v>0.0</v>
      </c>
      <c r="I173" s="19">
        <v>0.0</v>
      </c>
      <c r="J173" s="19">
        <v>0.0</v>
      </c>
      <c r="K173" s="19">
        <v>0.0</v>
      </c>
      <c r="L173" s="19">
        <v>0.0</v>
      </c>
      <c r="M173" s="19">
        <v>0.0</v>
      </c>
      <c r="N173" s="19">
        <v>1.0</v>
      </c>
      <c r="O173" s="19">
        <v>0.0</v>
      </c>
      <c r="P173" s="19">
        <v>0.0</v>
      </c>
      <c r="Q173" s="19">
        <v>0.0</v>
      </c>
      <c r="R173" s="19">
        <v>0.0</v>
      </c>
      <c r="S173" s="19">
        <v>0.0</v>
      </c>
      <c r="T173" s="13">
        <f t="shared" si="40"/>
        <v>2</v>
      </c>
    </row>
    <row r="174" ht="12.75" customHeight="1">
      <c r="A174" s="18"/>
      <c r="B174" s="55">
        <v>6.0</v>
      </c>
      <c r="C174" s="50" t="s">
        <v>153</v>
      </c>
      <c r="D174" s="57"/>
      <c r="E174" s="19">
        <v>1.0</v>
      </c>
      <c r="F174" s="19">
        <v>0.0</v>
      </c>
      <c r="G174" s="19">
        <v>0.0</v>
      </c>
      <c r="H174" s="19">
        <v>0.0</v>
      </c>
      <c r="I174" s="19">
        <v>1.0</v>
      </c>
      <c r="J174" s="19">
        <v>0.0</v>
      </c>
      <c r="K174" s="19">
        <v>0.0</v>
      </c>
      <c r="L174" s="19">
        <v>0.0</v>
      </c>
      <c r="M174" s="19">
        <v>0.0</v>
      </c>
      <c r="N174" s="19">
        <v>0.0</v>
      </c>
      <c r="O174" s="19">
        <v>0.0</v>
      </c>
      <c r="P174" s="19">
        <v>0.0</v>
      </c>
      <c r="Q174" s="19">
        <v>0.0</v>
      </c>
      <c r="R174" s="19">
        <v>0.0</v>
      </c>
      <c r="S174" s="19">
        <v>0.0</v>
      </c>
      <c r="T174" s="13">
        <f t="shared" si="40"/>
        <v>2</v>
      </c>
    </row>
    <row r="175" ht="12.75" customHeight="1">
      <c r="A175" s="18"/>
      <c r="B175" s="55">
        <v>7.0</v>
      </c>
      <c r="C175" s="50" t="s">
        <v>154</v>
      </c>
      <c r="D175" s="57"/>
      <c r="E175" s="19">
        <v>0.0</v>
      </c>
      <c r="F175" s="19">
        <v>0.0</v>
      </c>
      <c r="G175" s="19">
        <v>0.0</v>
      </c>
      <c r="H175" s="19">
        <v>0.0</v>
      </c>
      <c r="I175" s="19">
        <v>0.0</v>
      </c>
      <c r="J175" s="19">
        <v>1.0</v>
      </c>
      <c r="K175" s="19">
        <v>0.0</v>
      </c>
      <c r="L175" s="19">
        <v>0.0</v>
      </c>
      <c r="M175" s="19">
        <v>0.0</v>
      </c>
      <c r="N175" s="19">
        <v>0.0</v>
      </c>
      <c r="O175" s="19">
        <v>0.0</v>
      </c>
      <c r="P175" s="19">
        <v>0.0</v>
      </c>
      <c r="Q175" s="19">
        <v>0.0</v>
      </c>
      <c r="R175" s="19">
        <v>0.0</v>
      </c>
      <c r="S175" s="19">
        <v>0.0</v>
      </c>
      <c r="T175" s="13">
        <f t="shared" si="40"/>
        <v>1</v>
      </c>
    </row>
    <row r="176" ht="12.75" customHeight="1">
      <c r="A176" s="19" t="s">
        <v>15</v>
      </c>
      <c r="B176" s="47" t="s">
        <v>47</v>
      </c>
      <c r="C176" s="15"/>
      <c r="D176" s="16"/>
      <c r="E176" s="13">
        <f t="shared" ref="E176:T176" si="41">SUM(E168:E175)</f>
        <v>4</v>
      </c>
      <c r="F176" s="13">
        <f t="shared" si="41"/>
        <v>2</v>
      </c>
      <c r="G176" s="13">
        <f t="shared" si="41"/>
        <v>3</v>
      </c>
      <c r="H176" s="13">
        <f t="shared" si="41"/>
        <v>2</v>
      </c>
      <c r="I176" s="13">
        <f t="shared" si="41"/>
        <v>7</v>
      </c>
      <c r="J176" s="13">
        <f t="shared" si="41"/>
        <v>8</v>
      </c>
      <c r="K176" s="13">
        <f t="shared" si="41"/>
        <v>1</v>
      </c>
      <c r="L176" s="13">
        <f t="shared" si="41"/>
        <v>0</v>
      </c>
      <c r="M176" s="13">
        <f t="shared" si="41"/>
        <v>1</v>
      </c>
      <c r="N176" s="13">
        <f t="shared" si="41"/>
        <v>2</v>
      </c>
      <c r="O176" s="13">
        <f t="shared" si="41"/>
        <v>1</v>
      </c>
      <c r="P176" s="13">
        <f t="shared" si="41"/>
        <v>9</v>
      </c>
      <c r="Q176" s="13">
        <f t="shared" si="41"/>
        <v>11</v>
      </c>
      <c r="R176" s="13">
        <f t="shared" si="41"/>
        <v>6</v>
      </c>
      <c r="S176" s="13">
        <f t="shared" si="41"/>
        <v>3</v>
      </c>
      <c r="T176" s="13">
        <f t="shared" si="41"/>
        <v>60</v>
      </c>
    </row>
    <row r="177" ht="12.75" customHeight="1">
      <c r="A177" s="24"/>
      <c r="B177" s="15"/>
      <c r="C177" s="15"/>
      <c r="D177" s="15"/>
      <c r="E177" s="16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</row>
    <row r="178" ht="12.75" customHeight="1">
      <c r="A178" s="30" t="s">
        <v>37</v>
      </c>
      <c r="B178" s="47" t="s">
        <v>155</v>
      </c>
      <c r="C178" s="48" t="s">
        <v>156</v>
      </c>
      <c r="D178" s="16"/>
      <c r="E178" s="19">
        <v>0.0</v>
      </c>
      <c r="F178" s="19">
        <v>0.0</v>
      </c>
      <c r="G178" s="19">
        <v>2.0</v>
      </c>
      <c r="H178" s="19">
        <v>1.0</v>
      </c>
      <c r="I178" s="19">
        <v>1.0</v>
      </c>
      <c r="J178" s="19">
        <v>3.0</v>
      </c>
      <c r="K178" s="19">
        <v>2.0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1.0</v>
      </c>
      <c r="R178" s="19">
        <v>1.0</v>
      </c>
      <c r="S178" s="19">
        <v>0.0</v>
      </c>
      <c r="T178" s="13">
        <f t="shared" ref="T178:T185" si="42">SUM(E178:S178)</f>
        <v>11</v>
      </c>
    </row>
    <row r="179" ht="12.75" customHeight="1">
      <c r="A179" s="30" t="s">
        <v>39</v>
      </c>
      <c r="B179" s="55">
        <v>1.0</v>
      </c>
      <c r="C179" s="50" t="s">
        <v>157</v>
      </c>
      <c r="D179" s="56"/>
      <c r="E179" s="19">
        <v>0.0</v>
      </c>
      <c r="F179" s="19">
        <v>1.0</v>
      </c>
      <c r="G179" s="19">
        <v>0.0</v>
      </c>
      <c r="H179" s="19">
        <v>0.0</v>
      </c>
      <c r="I179" s="19">
        <v>2.0</v>
      </c>
      <c r="J179" s="19">
        <v>4.0</v>
      </c>
      <c r="K179" s="19">
        <v>2.0</v>
      </c>
      <c r="L179" s="19">
        <v>0.0</v>
      </c>
      <c r="M179" s="19">
        <v>0.0</v>
      </c>
      <c r="N179" s="19">
        <v>2.0</v>
      </c>
      <c r="O179" s="19">
        <v>0.0</v>
      </c>
      <c r="P179" s="19">
        <v>0.0</v>
      </c>
      <c r="Q179" s="19">
        <v>1.0</v>
      </c>
      <c r="R179" s="19">
        <v>44.0</v>
      </c>
      <c r="S179" s="19">
        <v>2.0</v>
      </c>
      <c r="T179" s="13">
        <f t="shared" si="42"/>
        <v>58</v>
      </c>
    </row>
    <row r="180" ht="12.75" customHeight="1">
      <c r="A180" s="18"/>
      <c r="B180" s="55">
        <v>2.0</v>
      </c>
      <c r="C180" s="50" t="s">
        <v>158</v>
      </c>
      <c r="D180" s="56"/>
      <c r="E180" s="19">
        <v>2.0</v>
      </c>
      <c r="F180" s="19">
        <v>5.0</v>
      </c>
      <c r="G180" s="19">
        <v>0.0</v>
      </c>
      <c r="H180" s="19">
        <v>3.0</v>
      </c>
      <c r="I180" s="19">
        <v>0.0</v>
      </c>
      <c r="J180" s="19">
        <v>17.0</v>
      </c>
      <c r="K180" s="19">
        <v>1.0</v>
      </c>
      <c r="L180" s="19">
        <v>0.0</v>
      </c>
      <c r="M180" s="19">
        <v>0.0</v>
      </c>
      <c r="N180" s="19">
        <v>0.0</v>
      </c>
      <c r="O180" s="19">
        <v>0.0</v>
      </c>
      <c r="P180" s="19">
        <v>1.0</v>
      </c>
      <c r="Q180" s="19">
        <v>0.0</v>
      </c>
      <c r="R180" s="19">
        <v>0.0</v>
      </c>
      <c r="S180" s="19">
        <v>0.0</v>
      </c>
      <c r="T180" s="13">
        <f t="shared" si="42"/>
        <v>29</v>
      </c>
    </row>
    <row r="181" ht="12.75" customHeight="1">
      <c r="A181" s="18"/>
      <c r="B181" s="55">
        <v>3.0</v>
      </c>
      <c r="C181" s="63" t="s">
        <v>159</v>
      </c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1.0</v>
      </c>
      <c r="P181" s="19">
        <v>0.0</v>
      </c>
      <c r="Q181" s="19">
        <v>0.0</v>
      </c>
      <c r="R181" s="19">
        <v>0.0</v>
      </c>
      <c r="S181" s="19">
        <v>0.0</v>
      </c>
      <c r="T181" s="13">
        <f t="shared" si="42"/>
        <v>1</v>
      </c>
    </row>
    <row r="182" ht="12.75" customHeight="1">
      <c r="A182" s="18"/>
      <c r="B182" s="55">
        <v>4.0</v>
      </c>
      <c r="C182" s="50" t="s">
        <v>160</v>
      </c>
      <c r="D182" s="56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3">
        <f t="shared" si="42"/>
        <v>0</v>
      </c>
    </row>
    <row r="183" ht="12.75" customHeight="1">
      <c r="A183" s="18"/>
      <c r="B183" s="55">
        <v>5.0</v>
      </c>
      <c r="C183" s="50" t="s">
        <v>161</v>
      </c>
      <c r="D183" s="56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1.0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3">
        <f t="shared" si="42"/>
        <v>1</v>
      </c>
    </row>
    <row r="184" ht="12.75" customHeight="1">
      <c r="A184" s="18"/>
      <c r="B184" s="55">
        <v>6.0</v>
      </c>
      <c r="C184" s="50" t="s">
        <v>162</v>
      </c>
      <c r="D184" s="56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1.0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3">
        <f t="shared" si="42"/>
        <v>1</v>
      </c>
    </row>
    <row r="185" ht="12.75" customHeight="1">
      <c r="A185" s="18"/>
      <c r="B185" s="55">
        <v>7.0</v>
      </c>
      <c r="C185" s="50" t="s">
        <v>163</v>
      </c>
      <c r="D185" s="56"/>
      <c r="E185" s="19">
        <v>0.0</v>
      </c>
      <c r="F185" s="19">
        <v>0.0</v>
      </c>
      <c r="G185" s="19">
        <v>0.0</v>
      </c>
      <c r="H185" s="19">
        <v>0.0</v>
      </c>
      <c r="I185" s="19">
        <v>0.0</v>
      </c>
      <c r="J185" s="19">
        <v>0.0</v>
      </c>
      <c r="K185" s="19">
        <v>0.0</v>
      </c>
      <c r="L185" s="19">
        <v>0.0</v>
      </c>
      <c r="M185" s="19">
        <v>0.0</v>
      </c>
      <c r="N185" s="19">
        <v>0.0</v>
      </c>
      <c r="O185" s="19">
        <v>0.0</v>
      </c>
      <c r="P185" s="19">
        <v>0.0</v>
      </c>
      <c r="Q185" s="19">
        <v>0.0</v>
      </c>
      <c r="R185" s="19">
        <v>0.0</v>
      </c>
      <c r="S185" s="19">
        <v>0.0</v>
      </c>
      <c r="T185" s="13">
        <f t="shared" si="42"/>
        <v>0</v>
      </c>
    </row>
    <row r="186" ht="12.75" customHeight="1">
      <c r="A186" s="19" t="s">
        <v>15</v>
      </c>
      <c r="B186" s="47" t="s">
        <v>47</v>
      </c>
      <c r="C186" s="15"/>
      <c r="D186" s="16"/>
      <c r="E186" s="13">
        <f t="shared" ref="E186:T186" si="43">SUM(E178:E185)</f>
        <v>2</v>
      </c>
      <c r="F186" s="13">
        <f t="shared" si="43"/>
        <v>6</v>
      </c>
      <c r="G186" s="13">
        <f t="shared" si="43"/>
        <v>2</v>
      </c>
      <c r="H186" s="13">
        <f t="shared" si="43"/>
        <v>4</v>
      </c>
      <c r="I186" s="13">
        <f t="shared" si="43"/>
        <v>3</v>
      </c>
      <c r="J186" s="13">
        <f t="shared" si="43"/>
        <v>24</v>
      </c>
      <c r="K186" s="13">
        <f t="shared" si="43"/>
        <v>5</v>
      </c>
      <c r="L186" s="13">
        <f t="shared" si="43"/>
        <v>0</v>
      </c>
      <c r="M186" s="13">
        <f t="shared" si="43"/>
        <v>1</v>
      </c>
      <c r="N186" s="13">
        <f t="shared" si="43"/>
        <v>3</v>
      </c>
      <c r="O186" s="13">
        <f t="shared" si="43"/>
        <v>1</v>
      </c>
      <c r="P186" s="13">
        <f t="shared" si="43"/>
        <v>1</v>
      </c>
      <c r="Q186" s="13">
        <f t="shared" si="43"/>
        <v>2</v>
      </c>
      <c r="R186" s="13">
        <f t="shared" si="43"/>
        <v>45</v>
      </c>
      <c r="S186" s="13">
        <f t="shared" si="43"/>
        <v>2</v>
      </c>
      <c r="T186" s="13">
        <f t="shared" si="43"/>
        <v>101</v>
      </c>
    </row>
    <row r="187" ht="12.75" customHeight="1">
      <c r="A187" s="24"/>
      <c r="B187" s="15"/>
      <c r="C187" s="15"/>
      <c r="D187" s="15"/>
      <c r="E187" s="16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</row>
    <row r="188" ht="12.75" customHeight="1">
      <c r="A188" s="30" t="s">
        <v>37</v>
      </c>
      <c r="B188" s="47" t="s">
        <v>164</v>
      </c>
      <c r="C188" s="48" t="s">
        <v>165</v>
      </c>
      <c r="D188" s="16"/>
      <c r="E188" s="19">
        <v>0.0</v>
      </c>
      <c r="F188" s="19">
        <v>0.0</v>
      </c>
      <c r="G188" s="19">
        <v>0.0</v>
      </c>
      <c r="H188" s="19">
        <v>0.0</v>
      </c>
      <c r="I188" s="19">
        <v>1.0</v>
      </c>
      <c r="J188" s="19">
        <v>1.0</v>
      </c>
      <c r="K188" s="19">
        <v>0.0</v>
      </c>
      <c r="L188" s="19">
        <v>0.0</v>
      </c>
      <c r="M188" s="19">
        <v>0.0</v>
      </c>
      <c r="N188" s="19">
        <v>0.0</v>
      </c>
      <c r="O188" s="19">
        <v>0.0</v>
      </c>
      <c r="P188" s="19">
        <v>0.0</v>
      </c>
      <c r="Q188" s="19">
        <v>1.0</v>
      </c>
      <c r="R188" s="19">
        <v>1.0</v>
      </c>
      <c r="S188" s="19">
        <v>0.0</v>
      </c>
      <c r="T188" s="13">
        <f t="shared" ref="T188:T195" si="44">SUM(E188:S188)</f>
        <v>4</v>
      </c>
    </row>
    <row r="189" ht="12.75" customHeight="1">
      <c r="A189" s="30" t="s">
        <v>39</v>
      </c>
      <c r="B189" s="55">
        <v>1.0</v>
      </c>
      <c r="C189" s="50" t="s">
        <v>166</v>
      </c>
      <c r="D189" s="57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2.0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1.0</v>
      </c>
      <c r="T189" s="13">
        <f t="shared" si="44"/>
        <v>3</v>
      </c>
    </row>
    <row r="190" ht="12.75" customHeight="1">
      <c r="A190" s="18"/>
      <c r="B190" s="55">
        <v>2.0</v>
      </c>
      <c r="C190" s="50" t="s">
        <v>167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1.0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3">
        <f t="shared" si="44"/>
        <v>1</v>
      </c>
    </row>
    <row r="191" ht="12.75" customHeight="1">
      <c r="A191" s="18"/>
      <c r="B191" s="55">
        <v>3.0</v>
      </c>
      <c r="C191" s="50" t="s">
        <v>168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3">
        <f t="shared" si="44"/>
        <v>0</v>
      </c>
    </row>
    <row r="192" ht="12.75" customHeight="1">
      <c r="A192" s="18"/>
      <c r="B192" s="55">
        <v>4.0</v>
      </c>
      <c r="C192" s="50" t="s">
        <v>169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3">
        <f t="shared" si="44"/>
        <v>0</v>
      </c>
    </row>
    <row r="193" ht="12.75" customHeight="1">
      <c r="A193" s="18"/>
      <c r="B193" s="55">
        <v>5.0</v>
      </c>
      <c r="C193" s="50" t="s">
        <v>170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3">
        <f t="shared" si="44"/>
        <v>0</v>
      </c>
    </row>
    <row r="194" ht="12.75" customHeight="1">
      <c r="A194" s="18"/>
      <c r="B194" s="55">
        <v>6.0</v>
      </c>
      <c r="C194" s="50" t="s">
        <v>171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3">
        <f t="shared" si="44"/>
        <v>0</v>
      </c>
    </row>
    <row r="195" ht="12.75" customHeight="1">
      <c r="A195" s="18"/>
      <c r="B195" s="55">
        <v>7.0</v>
      </c>
      <c r="C195" s="50" t="s">
        <v>172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3">
        <f t="shared" si="44"/>
        <v>0</v>
      </c>
    </row>
    <row r="196" ht="12.75" customHeight="1">
      <c r="A196" s="19" t="s">
        <v>15</v>
      </c>
      <c r="B196" s="47" t="s">
        <v>47</v>
      </c>
      <c r="C196" s="15"/>
      <c r="D196" s="16"/>
      <c r="E196" s="13">
        <f t="shared" ref="E196:T196" si="45">SUM(E188:E195)</f>
        <v>0</v>
      </c>
      <c r="F196" s="13">
        <f t="shared" si="45"/>
        <v>0</v>
      </c>
      <c r="G196" s="13">
        <f t="shared" si="45"/>
        <v>0</v>
      </c>
      <c r="H196" s="13">
        <f t="shared" si="45"/>
        <v>0</v>
      </c>
      <c r="I196" s="13">
        <f t="shared" si="45"/>
        <v>1</v>
      </c>
      <c r="J196" s="13">
        <f t="shared" si="45"/>
        <v>4</v>
      </c>
      <c r="K196" s="13">
        <f t="shared" si="45"/>
        <v>0</v>
      </c>
      <c r="L196" s="13">
        <f t="shared" si="45"/>
        <v>0</v>
      </c>
      <c r="M196" s="13">
        <f t="shared" si="45"/>
        <v>0</v>
      </c>
      <c r="N196" s="13">
        <f t="shared" si="45"/>
        <v>0</v>
      </c>
      <c r="O196" s="13">
        <f t="shared" si="45"/>
        <v>0</v>
      </c>
      <c r="P196" s="13">
        <f t="shared" si="45"/>
        <v>0</v>
      </c>
      <c r="Q196" s="13">
        <f t="shared" si="45"/>
        <v>1</v>
      </c>
      <c r="R196" s="13">
        <f t="shared" si="45"/>
        <v>1</v>
      </c>
      <c r="S196" s="13">
        <f t="shared" si="45"/>
        <v>1</v>
      </c>
      <c r="T196" s="13">
        <f t="shared" si="45"/>
        <v>8</v>
      </c>
    </row>
    <row r="197" ht="12.75" customHeight="1">
      <c r="A197" s="24"/>
      <c r="B197" s="15"/>
      <c r="C197" s="15"/>
      <c r="D197" s="15"/>
      <c r="E197" s="16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</row>
    <row r="198" ht="12.75" customHeight="1">
      <c r="A198" s="30" t="s">
        <v>37</v>
      </c>
      <c r="B198" s="47" t="s">
        <v>173</v>
      </c>
      <c r="C198" s="48" t="s">
        <v>174</v>
      </c>
      <c r="D198" s="16"/>
      <c r="E198" s="19">
        <v>0.0</v>
      </c>
      <c r="F198" s="19">
        <v>0.0</v>
      </c>
      <c r="G198" s="19">
        <v>0.0</v>
      </c>
      <c r="H198" s="19">
        <v>0.0</v>
      </c>
      <c r="I198" s="19">
        <v>1.0</v>
      </c>
      <c r="J198" s="19">
        <v>0.0</v>
      </c>
      <c r="K198" s="19">
        <v>0.0</v>
      </c>
      <c r="L198" s="19">
        <v>0.0</v>
      </c>
      <c r="M198" s="19">
        <v>1.0</v>
      </c>
      <c r="N198" s="19">
        <v>0.0</v>
      </c>
      <c r="O198" s="19">
        <v>1.0</v>
      </c>
      <c r="P198" s="19">
        <v>1.0</v>
      </c>
      <c r="Q198" s="19">
        <v>1.0</v>
      </c>
      <c r="R198" s="19">
        <v>0.0</v>
      </c>
      <c r="S198" s="19">
        <v>1.0</v>
      </c>
      <c r="T198" s="13">
        <f t="shared" ref="T198:T205" si="46">SUM(E198:S198)</f>
        <v>6</v>
      </c>
    </row>
    <row r="199" ht="12.75" customHeight="1">
      <c r="A199" s="30" t="s">
        <v>39</v>
      </c>
      <c r="B199" s="55">
        <v>1.0</v>
      </c>
      <c r="C199" s="50" t="s">
        <v>175</v>
      </c>
      <c r="D199" s="57"/>
      <c r="E199" s="19">
        <v>0.0</v>
      </c>
      <c r="F199" s="19">
        <v>1.0</v>
      </c>
      <c r="G199" s="19">
        <v>1.0</v>
      </c>
      <c r="H199" s="19">
        <v>0.0</v>
      </c>
      <c r="I199" s="19">
        <v>1.0</v>
      </c>
      <c r="J199" s="19">
        <v>1.0</v>
      </c>
      <c r="K199" s="19">
        <v>0.0</v>
      </c>
      <c r="L199" s="19">
        <v>2.0</v>
      </c>
      <c r="M199" s="19">
        <v>0.0</v>
      </c>
      <c r="N199" s="19">
        <v>0.0</v>
      </c>
      <c r="O199" s="19">
        <v>0.0</v>
      </c>
      <c r="P199" s="19">
        <v>0.0</v>
      </c>
      <c r="Q199" s="19">
        <v>0.0</v>
      </c>
      <c r="R199" s="19">
        <v>4.0</v>
      </c>
      <c r="S199" s="19">
        <v>1.0</v>
      </c>
      <c r="T199" s="13">
        <f t="shared" si="46"/>
        <v>11</v>
      </c>
    </row>
    <row r="200" ht="12.75" customHeight="1">
      <c r="A200" s="18"/>
      <c r="B200" s="55">
        <v>2.0</v>
      </c>
      <c r="C200" s="50" t="s">
        <v>176</v>
      </c>
      <c r="D200" s="57"/>
      <c r="E200" s="19">
        <v>0.0</v>
      </c>
      <c r="F200" s="19">
        <v>0.0</v>
      </c>
      <c r="G200" s="19">
        <v>0.0</v>
      </c>
      <c r="H200" s="19">
        <v>3.0</v>
      </c>
      <c r="I200" s="19">
        <v>0.0</v>
      </c>
      <c r="J200" s="19">
        <v>1.0</v>
      </c>
      <c r="K200" s="19">
        <v>0.0</v>
      </c>
      <c r="L200" s="19">
        <v>1.0</v>
      </c>
      <c r="M200" s="19">
        <v>0.0</v>
      </c>
      <c r="N200" s="19">
        <v>0.0</v>
      </c>
      <c r="O200" s="19">
        <v>0.0</v>
      </c>
      <c r="P200" s="19">
        <v>0.0</v>
      </c>
      <c r="Q200" s="19">
        <v>4.0</v>
      </c>
      <c r="R200" s="19">
        <v>13.0</v>
      </c>
      <c r="S200" s="19">
        <v>0.0</v>
      </c>
      <c r="T200" s="13">
        <f t="shared" si="46"/>
        <v>22</v>
      </c>
    </row>
    <row r="201" ht="12.75" customHeight="1">
      <c r="A201" s="18"/>
      <c r="B201" s="55">
        <v>3.0</v>
      </c>
      <c r="C201" s="50" t="s">
        <v>177</v>
      </c>
      <c r="D201" s="57"/>
      <c r="E201" s="19">
        <v>0.0</v>
      </c>
      <c r="F201" s="19">
        <v>0.0</v>
      </c>
      <c r="G201" s="19">
        <v>0.0</v>
      </c>
      <c r="H201" s="19">
        <v>0.0</v>
      </c>
      <c r="I201" s="19">
        <v>0.0</v>
      </c>
      <c r="J201" s="19">
        <v>0.0</v>
      </c>
      <c r="K201" s="19">
        <v>0.0</v>
      </c>
      <c r="L201" s="19">
        <v>0.0</v>
      </c>
      <c r="M201" s="19">
        <v>0.0</v>
      </c>
      <c r="N201" s="19">
        <v>0.0</v>
      </c>
      <c r="O201" s="19">
        <v>0.0</v>
      </c>
      <c r="P201" s="19">
        <v>0.0</v>
      </c>
      <c r="Q201" s="19">
        <v>0.0</v>
      </c>
      <c r="R201" s="19">
        <v>0.0</v>
      </c>
      <c r="S201" s="19">
        <v>0.0</v>
      </c>
      <c r="T201" s="13">
        <f t="shared" si="46"/>
        <v>0</v>
      </c>
    </row>
    <row r="202" ht="12.75" customHeight="1">
      <c r="A202" s="18"/>
      <c r="B202" s="55">
        <v>4.0</v>
      </c>
      <c r="C202" s="50" t="s">
        <v>178</v>
      </c>
      <c r="D202" s="57"/>
      <c r="E202" s="19">
        <v>0.0</v>
      </c>
      <c r="F202" s="19">
        <v>0.0</v>
      </c>
      <c r="G202" s="19">
        <v>4.0</v>
      </c>
      <c r="H202" s="19">
        <v>1.0</v>
      </c>
      <c r="I202" s="19">
        <v>1.0</v>
      </c>
      <c r="J202" s="19">
        <v>2.0</v>
      </c>
      <c r="K202" s="19">
        <v>0.0</v>
      </c>
      <c r="L202" s="19">
        <v>4.0</v>
      </c>
      <c r="M202" s="19">
        <v>1.0</v>
      </c>
      <c r="N202" s="19">
        <v>1.0</v>
      </c>
      <c r="O202" s="19">
        <v>0.0</v>
      </c>
      <c r="P202" s="19">
        <v>0.0</v>
      </c>
      <c r="Q202" s="19">
        <v>0.0</v>
      </c>
      <c r="R202" s="19">
        <v>1.0</v>
      </c>
      <c r="S202" s="19">
        <v>0.0</v>
      </c>
      <c r="T202" s="13">
        <f t="shared" si="46"/>
        <v>15</v>
      </c>
    </row>
    <row r="203" ht="12.75" customHeight="1">
      <c r="A203" s="18"/>
      <c r="B203" s="55">
        <v>5.0</v>
      </c>
      <c r="C203" s="50" t="s">
        <v>179</v>
      </c>
      <c r="D203" s="57"/>
      <c r="E203" s="19">
        <v>0.0</v>
      </c>
      <c r="F203" s="19">
        <v>0.0</v>
      </c>
      <c r="G203" s="19">
        <v>0.0</v>
      </c>
      <c r="H203" s="19">
        <v>0.0</v>
      </c>
      <c r="I203" s="19">
        <v>0.0</v>
      </c>
      <c r="J203" s="19">
        <v>0.0</v>
      </c>
      <c r="K203" s="19">
        <v>0.0</v>
      </c>
      <c r="L203" s="19">
        <v>0.0</v>
      </c>
      <c r="M203" s="19">
        <v>0.0</v>
      </c>
      <c r="N203" s="19">
        <v>0.0</v>
      </c>
      <c r="O203" s="19">
        <v>0.0</v>
      </c>
      <c r="P203" s="19">
        <v>0.0</v>
      </c>
      <c r="Q203" s="19">
        <v>0.0</v>
      </c>
      <c r="R203" s="19">
        <v>0.0</v>
      </c>
      <c r="S203" s="19">
        <v>0.0</v>
      </c>
      <c r="T203" s="13">
        <f t="shared" si="46"/>
        <v>0</v>
      </c>
    </row>
    <row r="204" ht="12.75" customHeight="1">
      <c r="A204" s="18"/>
      <c r="B204" s="55">
        <v>6.0</v>
      </c>
      <c r="C204" s="50" t="s">
        <v>180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3">
        <f t="shared" si="46"/>
        <v>0</v>
      </c>
    </row>
    <row r="205" ht="12.75" customHeight="1">
      <c r="A205" s="18"/>
      <c r="B205" s="55">
        <v>7.0</v>
      </c>
      <c r="C205" s="50" t="s">
        <v>181</v>
      </c>
      <c r="D205" s="57"/>
      <c r="E205" s="19">
        <v>0.0</v>
      </c>
      <c r="F205" s="19">
        <v>5.0</v>
      </c>
      <c r="G205" s="19">
        <v>1.0</v>
      </c>
      <c r="H205" s="19">
        <v>0.0</v>
      </c>
      <c r="I205" s="19">
        <v>1.0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1.0</v>
      </c>
      <c r="P205" s="19">
        <v>0.0</v>
      </c>
      <c r="Q205" s="19">
        <v>0.0</v>
      </c>
      <c r="R205" s="19">
        <v>0.0</v>
      </c>
      <c r="S205" s="19">
        <v>0.0</v>
      </c>
      <c r="T205" s="13">
        <f t="shared" si="46"/>
        <v>8</v>
      </c>
    </row>
    <row r="206" ht="12.75" customHeight="1">
      <c r="A206" s="19" t="s">
        <v>15</v>
      </c>
      <c r="B206" s="47" t="s">
        <v>47</v>
      </c>
      <c r="C206" s="15"/>
      <c r="D206" s="16"/>
      <c r="E206" s="13">
        <f t="shared" ref="E206:T206" si="47">SUM(E198:E205)</f>
        <v>0</v>
      </c>
      <c r="F206" s="13">
        <f t="shared" si="47"/>
        <v>6</v>
      </c>
      <c r="G206" s="13">
        <f t="shared" si="47"/>
        <v>6</v>
      </c>
      <c r="H206" s="13">
        <f t="shared" si="47"/>
        <v>4</v>
      </c>
      <c r="I206" s="13">
        <f t="shared" si="47"/>
        <v>4</v>
      </c>
      <c r="J206" s="13">
        <f t="shared" si="47"/>
        <v>4</v>
      </c>
      <c r="K206" s="13">
        <f t="shared" si="47"/>
        <v>0</v>
      </c>
      <c r="L206" s="13">
        <f t="shared" si="47"/>
        <v>7</v>
      </c>
      <c r="M206" s="13">
        <f t="shared" si="47"/>
        <v>2</v>
      </c>
      <c r="N206" s="13">
        <f t="shared" si="47"/>
        <v>1</v>
      </c>
      <c r="O206" s="13">
        <f t="shared" si="47"/>
        <v>2</v>
      </c>
      <c r="P206" s="13">
        <f t="shared" si="47"/>
        <v>1</v>
      </c>
      <c r="Q206" s="13">
        <f t="shared" si="47"/>
        <v>5</v>
      </c>
      <c r="R206" s="13">
        <f t="shared" si="47"/>
        <v>18</v>
      </c>
      <c r="S206" s="13">
        <f t="shared" si="47"/>
        <v>2</v>
      </c>
      <c r="T206" s="13">
        <f t="shared" si="47"/>
        <v>62</v>
      </c>
    </row>
    <row r="207" ht="12.75" customHeight="1">
      <c r="A207" s="24"/>
      <c r="B207" s="15"/>
      <c r="C207" s="15"/>
      <c r="D207" s="15"/>
      <c r="E207" s="16"/>
    </row>
    <row r="208" ht="12.75" customHeight="1">
      <c r="A208" s="30" t="s">
        <v>37</v>
      </c>
      <c r="B208" s="47" t="s">
        <v>182</v>
      </c>
      <c r="C208" s="48" t="s">
        <v>183</v>
      </c>
      <c r="D208" s="16"/>
      <c r="E208" s="19">
        <v>0.0</v>
      </c>
      <c r="F208" s="19">
        <v>1.0</v>
      </c>
      <c r="G208" s="19">
        <v>0.0</v>
      </c>
      <c r="H208" s="19">
        <v>0.0</v>
      </c>
      <c r="I208" s="19">
        <v>1.0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3">
        <f t="shared" ref="T208:T214" si="48">SUM(E208:S208)</f>
        <v>2</v>
      </c>
    </row>
    <row r="209" ht="12.75" customHeight="1">
      <c r="A209" s="30" t="s">
        <v>39</v>
      </c>
      <c r="B209" s="55">
        <v>1.0</v>
      </c>
      <c r="C209" s="61" t="s">
        <v>184</v>
      </c>
      <c r="D209" s="57"/>
      <c r="E209" s="19">
        <v>0.0</v>
      </c>
      <c r="F209" s="19">
        <v>1.0</v>
      </c>
      <c r="G209" s="19">
        <v>0.0</v>
      </c>
      <c r="H209" s="19">
        <v>0.0</v>
      </c>
      <c r="I209" s="19">
        <v>0.0</v>
      </c>
      <c r="J209" s="19">
        <v>0.0</v>
      </c>
      <c r="K209" s="19">
        <v>0.0</v>
      </c>
      <c r="L209" s="19">
        <v>0.0</v>
      </c>
      <c r="M209" s="19">
        <v>0.0</v>
      </c>
      <c r="N209" s="19">
        <v>0.0</v>
      </c>
      <c r="O209" s="19">
        <v>0.0</v>
      </c>
      <c r="P209" s="19">
        <v>0.0</v>
      </c>
      <c r="Q209" s="19">
        <v>0.0</v>
      </c>
      <c r="R209" s="19">
        <v>0.0</v>
      </c>
      <c r="S209" s="19">
        <v>0.0</v>
      </c>
      <c r="T209" s="13">
        <f t="shared" si="48"/>
        <v>1</v>
      </c>
    </row>
    <row r="210" ht="12.75" customHeight="1">
      <c r="A210" s="18"/>
      <c r="B210" s="55">
        <v>2.0</v>
      </c>
      <c r="C210" s="61" t="s">
        <v>185</v>
      </c>
      <c r="D210" s="57"/>
      <c r="E210" s="19">
        <v>0.0</v>
      </c>
      <c r="F210" s="19">
        <v>0.0</v>
      </c>
      <c r="G210" s="19">
        <v>0.0</v>
      </c>
      <c r="H210" s="19">
        <v>0.0</v>
      </c>
      <c r="I210" s="19">
        <v>1.0</v>
      </c>
      <c r="J210" s="19">
        <v>0.0</v>
      </c>
      <c r="K210" s="19">
        <v>0.0</v>
      </c>
      <c r="L210" s="19">
        <v>0.0</v>
      </c>
      <c r="M210" s="19">
        <v>0.0</v>
      </c>
      <c r="N210" s="19">
        <v>0.0</v>
      </c>
      <c r="O210" s="19">
        <v>0.0</v>
      </c>
      <c r="P210" s="19">
        <v>0.0</v>
      </c>
      <c r="Q210" s="19">
        <v>0.0</v>
      </c>
      <c r="R210" s="19">
        <v>0.0</v>
      </c>
      <c r="S210" s="19">
        <v>0.0</v>
      </c>
      <c r="T210" s="13">
        <f t="shared" si="48"/>
        <v>1</v>
      </c>
    </row>
    <row r="211" ht="12.75" customHeight="1">
      <c r="A211" s="18"/>
      <c r="B211" s="55">
        <v>3.0</v>
      </c>
      <c r="C211" s="61" t="s">
        <v>186</v>
      </c>
      <c r="D211" s="57"/>
      <c r="E211" s="19">
        <v>0.0</v>
      </c>
      <c r="F211" s="19">
        <v>0.0</v>
      </c>
      <c r="G211" s="19">
        <v>0.0</v>
      </c>
      <c r="H211" s="19">
        <v>0.0</v>
      </c>
      <c r="I211" s="19">
        <v>0.0</v>
      </c>
      <c r="J211" s="19">
        <v>0.0</v>
      </c>
      <c r="K211" s="19">
        <v>0.0</v>
      </c>
      <c r="L211" s="19">
        <v>0.0</v>
      </c>
      <c r="M211" s="19">
        <v>0.0</v>
      </c>
      <c r="N211" s="19">
        <v>0.0</v>
      </c>
      <c r="O211" s="19">
        <v>0.0</v>
      </c>
      <c r="P211" s="19">
        <v>0.0</v>
      </c>
      <c r="Q211" s="19">
        <v>0.0</v>
      </c>
      <c r="R211" s="19">
        <v>0.0</v>
      </c>
      <c r="S211" s="19">
        <v>0.0</v>
      </c>
      <c r="T211" s="13">
        <f t="shared" si="48"/>
        <v>0</v>
      </c>
    </row>
    <row r="212" ht="12.75" customHeight="1">
      <c r="A212" s="18"/>
      <c r="B212" s="55">
        <v>4.0</v>
      </c>
      <c r="C212" s="61" t="s">
        <v>187</v>
      </c>
      <c r="D212" s="57"/>
      <c r="E212" s="19">
        <v>0.0</v>
      </c>
      <c r="F212" s="19">
        <v>0.0</v>
      </c>
      <c r="G212" s="19">
        <v>0.0</v>
      </c>
      <c r="H212" s="19">
        <v>0.0</v>
      </c>
      <c r="I212" s="19">
        <v>0.0</v>
      </c>
      <c r="J212" s="19">
        <v>0.0</v>
      </c>
      <c r="K212" s="19">
        <v>0.0</v>
      </c>
      <c r="L212" s="19">
        <v>0.0</v>
      </c>
      <c r="M212" s="19">
        <v>0.0</v>
      </c>
      <c r="N212" s="19">
        <v>0.0</v>
      </c>
      <c r="O212" s="19">
        <v>0.0</v>
      </c>
      <c r="P212" s="19">
        <v>0.0</v>
      </c>
      <c r="Q212" s="19">
        <v>0.0</v>
      </c>
      <c r="R212" s="19">
        <v>0.0</v>
      </c>
      <c r="S212" s="19">
        <v>0.0</v>
      </c>
      <c r="T212" s="13">
        <f t="shared" si="48"/>
        <v>0</v>
      </c>
    </row>
    <row r="213" ht="12.75" customHeight="1">
      <c r="A213" s="18"/>
      <c r="B213" s="55">
        <v>5.0</v>
      </c>
      <c r="C213" s="61" t="s">
        <v>188</v>
      </c>
      <c r="D213" s="57"/>
      <c r="E213" s="19">
        <v>1.0</v>
      </c>
      <c r="F213" s="19">
        <v>0.0</v>
      </c>
      <c r="G213" s="19">
        <v>0.0</v>
      </c>
      <c r="H213" s="19">
        <v>0.0</v>
      </c>
      <c r="I213" s="19">
        <v>1.0</v>
      </c>
      <c r="J213" s="19">
        <v>0.0</v>
      </c>
      <c r="K213" s="19">
        <v>0.0</v>
      </c>
      <c r="L213" s="19">
        <v>0.0</v>
      </c>
      <c r="M213" s="19">
        <v>0.0</v>
      </c>
      <c r="N213" s="19">
        <v>1.0</v>
      </c>
      <c r="O213" s="19">
        <v>1.0</v>
      </c>
      <c r="P213" s="19">
        <v>0.0</v>
      </c>
      <c r="Q213" s="19">
        <v>1.0</v>
      </c>
      <c r="R213" s="19">
        <v>0.0</v>
      </c>
      <c r="S213" s="19">
        <v>0.0</v>
      </c>
      <c r="T213" s="13">
        <f t="shared" si="48"/>
        <v>5</v>
      </c>
    </row>
    <row r="214" ht="12.75" customHeight="1">
      <c r="A214" s="18"/>
      <c r="B214" s="55">
        <v>6.0</v>
      </c>
      <c r="C214" s="61" t="s">
        <v>189</v>
      </c>
      <c r="D214" s="57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0.0</v>
      </c>
      <c r="L214" s="19">
        <v>0.0</v>
      </c>
      <c r="M214" s="19">
        <v>0.0</v>
      </c>
      <c r="N214" s="19">
        <v>1.0</v>
      </c>
      <c r="O214" s="19">
        <v>0.0</v>
      </c>
      <c r="P214" s="19">
        <v>0.0</v>
      </c>
      <c r="Q214" s="19">
        <v>0.0</v>
      </c>
      <c r="R214" s="19">
        <v>0.0</v>
      </c>
      <c r="S214" s="19">
        <v>0.0</v>
      </c>
      <c r="T214" s="13">
        <f t="shared" si="48"/>
        <v>1</v>
      </c>
    </row>
    <row r="215" ht="12.75" customHeight="1">
      <c r="A215" s="19" t="s">
        <v>15</v>
      </c>
      <c r="B215" s="47" t="s">
        <v>47</v>
      </c>
      <c r="C215" s="15"/>
      <c r="D215" s="16"/>
      <c r="E215" s="13">
        <f t="shared" ref="E215:T215" si="49">SUM(E208:E214)</f>
        <v>1</v>
      </c>
      <c r="F215" s="13">
        <f t="shared" si="49"/>
        <v>2</v>
      </c>
      <c r="G215" s="13">
        <f t="shared" si="49"/>
        <v>0</v>
      </c>
      <c r="H215" s="13">
        <f t="shared" si="49"/>
        <v>0</v>
      </c>
      <c r="I215" s="13">
        <f t="shared" si="49"/>
        <v>3</v>
      </c>
      <c r="J215" s="13">
        <f t="shared" si="49"/>
        <v>0</v>
      </c>
      <c r="K215" s="13">
        <f t="shared" si="49"/>
        <v>0</v>
      </c>
      <c r="L215" s="13">
        <f t="shared" si="49"/>
        <v>0</v>
      </c>
      <c r="M215" s="13">
        <f t="shared" si="49"/>
        <v>0</v>
      </c>
      <c r="N215" s="13">
        <f t="shared" si="49"/>
        <v>2</v>
      </c>
      <c r="O215" s="13">
        <f t="shared" si="49"/>
        <v>1</v>
      </c>
      <c r="P215" s="13">
        <f t="shared" si="49"/>
        <v>0</v>
      </c>
      <c r="Q215" s="13">
        <f t="shared" si="49"/>
        <v>1</v>
      </c>
      <c r="R215" s="13">
        <f t="shared" si="49"/>
        <v>0</v>
      </c>
      <c r="S215" s="13">
        <f t="shared" si="49"/>
        <v>0</v>
      </c>
      <c r="T215" s="13">
        <f t="shared" si="49"/>
        <v>10</v>
      </c>
    </row>
    <row r="216" ht="12.75" customHeight="1"/>
    <row r="217" ht="12.75" customHeight="1">
      <c r="A217" s="42" t="s">
        <v>190</v>
      </c>
      <c r="B217" s="14" t="s">
        <v>191</v>
      </c>
      <c r="C217" s="15"/>
      <c r="D217" s="16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</row>
    <row r="218" ht="12.75" customHeight="1">
      <c r="A218" s="42"/>
      <c r="B218" s="64" t="s">
        <v>192</v>
      </c>
      <c r="C218" s="65" t="s">
        <v>193</v>
      </c>
      <c r="D218" s="16"/>
      <c r="E218" s="19">
        <f t="shared" ref="E218:S218" si="50">E53+E63+E73+E83+E93+E103+E109+E119+E129+E136+E146+E156+E166+E176+E186+E196+E206+E215</f>
        <v>210</v>
      </c>
      <c r="F218" s="19">
        <f t="shared" si="50"/>
        <v>134</v>
      </c>
      <c r="G218" s="19">
        <f t="shared" si="50"/>
        <v>197</v>
      </c>
      <c r="H218" s="19">
        <f t="shared" si="50"/>
        <v>207</v>
      </c>
      <c r="I218" s="19">
        <f t="shared" si="50"/>
        <v>211</v>
      </c>
      <c r="J218" s="19">
        <f t="shared" si="50"/>
        <v>206</v>
      </c>
      <c r="K218" s="19">
        <f t="shared" si="50"/>
        <v>200</v>
      </c>
      <c r="L218" s="19">
        <f t="shared" si="50"/>
        <v>165</v>
      </c>
      <c r="M218" s="19">
        <f t="shared" si="50"/>
        <v>159</v>
      </c>
      <c r="N218" s="19">
        <f t="shared" si="50"/>
        <v>189</v>
      </c>
      <c r="O218" s="19">
        <f t="shared" si="50"/>
        <v>190</v>
      </c>
      <c r="P218" s="19">
        <f t="shared" si="50"/>
        <v>171</v>
      </c>
      <c r="Q218" s="19">
        <f t="shared" si="50"/>
        <v>221</v>
      </c>
      <c r="R218" s="19">
        <f t="shared" si="50"/>
        <v>278</v>
      </c>
      <c r="S218" s="19">
        <f t="shared" si="50"/>
        <v>172</v>
      </c>
      <c r="T218" s="13">
        <f t="shared" ref="T218:T220" si="51">SUM(E218:S218)</f>
        <v>2910</v>
      </c>
    </row>
    <row r="219" ht="12.75" customHeight="1">
      <c r="A219" s="35"/>
      <c r="B219" s="64" t="s">
        <v>194</v>
      </c>
      <c r="C219" s="65" t="s">
        <v>195</v>
      </c>
      <c r="D219" s="16"/>
      <c r="E219" s="19">
        <v>33.0</v>
      </c>
      <c r="F219" s="19">
        <v>67.0</v>
      </c>
      <c r="G219" s="19">
        <v>31.0</v>
      </c>
      <c r="H219" s="19">
        <v>33.0</v>
      </c>
      <c r="I219" s="19">
        <v>27.0</v>
      </c>
      <c r="J219" s="19">
        <v>30.0</v>
      </c>
      <c r="K219" s="19">
        <v>20.0</v>
      </c>
      <c r="L219" s="19">
        <v>11.0</v>
      </c>
      <c r="M219" s="19">
        <v>17.0</v>
      </c>
      <c r="N219" s="19">
        <v>33.0</v>
      </c>
      <c r="O219" s="19">
        <v>16.0</v>
      </c>
      <c r="P219" s="19">
        <v>29.0</v>
      </c>
      <c r="Q219" s="19">
        <v>17.0</v>
      </c>
      <c r="R219" s="19">
        <v>6.0</v>
      </c>
      <c r="S219" s="19">
        <v>24.0</v>
      </c>
      <c r="T219" s="13">
        <f t="shared" si="51"/>
        <v>394</v>
      </c>
    </row>
    <row r="220" ht="12.75" customHeight="1">
      <c r="A220" s="41"/>
      <c r="B220" s="64" t="s">
        <v>196</v>
      </c>
      <c r="C220" s="65" t="s">
        <v>197</v>
      </c>
      <c r="D220" s="16"/>
      <c r="E220" s="13">
        <f t="shared" ref="E220:S220" si="52">SUM(E218:E219)</f>
        <v>243</v>
      </c>
      <c r="F220" s="13">
        <f t="shared" si="52"/>
        <v>201</v>
      </c>
      <c r="G220" s="13">
        <f t="shared" si="52"/>
        <v>228</v>
      </c>
      <c r="H220" s="13">
        <f t="shared" si="52"/>
        <v>240</v>
      </c>
      <c r="I220" s="13">
        <f t="shared" si="52"/>
        <v>238</v>
      </c>
      <c r="J220" s="13">
        <f t="shared" si="52"/>
        <v>236</v>
      </c>
      <c r="K220" s="13">
        <f t="shared" si="52"/>
        <v>220</v>
      </c>
      <c r="L220" s="13">
        <f t="shared" si="52"/>
        <v>176</v>
      </c>
      <c r="M220" s="13">
        <f t="shared" si="52"/>
        <v>176</v>
      </c>
      <c r="N220" s="13">
        <f t="shared" si="52"/>
        <v>222</v>
      </c>
      <c r="O220" s="13">
        <f t="shared" si="52"/>
        <v>206</v>
      </c>
      <c r="P220" s="13">
        <f t="shared" si="52"/>
        <v>200</v>
      </c>
      <c r="Q220" s="13">
        <f t="shared" si="52"/>
        <v>238</v>
      </c>
      <c r="R220" s="13">
        <f t="shared" si="52"/>
        <v>284</v>
      </c>
      <c r="S220" s="13">
        <f t="shared" si="52"/>
        <v>196</v>
      </c>
      <c r="T220" s="13">
        <f t="shared" si="51"/>
        <v>3304</v>
      </c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63:D63"/>
    <mergeCell ref="A64:E64"/>
    <mergeCell ref="C65:D65"/>
    <mergeCell ref="B73:D73"/>
    <mergeCell ref="A74:E74"/>
    <mergeCell ref="C75:D75"/>
    <mergeCell ref="B83:D83"/>
    <mergeCell ref="A84:E84"/>
    <mergeCell ref="C85:D85"/>
    <mergeCell ref="B93:D93"/>
    <mergeCell ref="A94:E94"/>
    <mergeCell ref="C95:D95"/>
    <mergeCell ref="B103:D103"/>
    <mergeCell ref="A104:E104"/>
    <mergeCell ref="C105:D105"/>
    <mergeCell ref="B109:D109"/>
    <mergeCell ref="A110:E110"/>
    <mergeCell ref="C111:D111"/>
    <mergeCell ref="B119:D119"/>
    <mergeCell ref="A120:E120"/>
    <mergeCell ref="C121:D121"/>
    <mergeCell ref="B129:D129"/>
    <mergeCell ref="A130:E130"/>
    <mergeCell ref="C131:D131"/>
    <mergeCell ref="B136:D136"/>
    <mergeCell ref="A137:E137"/>
    <mergeCell ref="C138:D138"/>
    <mergeCell ref="B146:D146"/>
    <mergeCell ref="A147:E147"/>
    <mergeCell ref="C148:D148"/>
    <mergeCell ref="B156:D156"/>
    <mergeCell ref="A157:E157"/>
    <mergeCell ref="C158:D158"/>
    <mergeCell ref="B166:D166"/>
    <mergeCell ref="A167:E167"/>
    <mergeCell ref="C168:D168"/>
    <mergeCell ref="B176:D176"/>
    <mergeCell ref="A177:E177"/>
    <mergeCell ref="C178:D178"/>
    <mergeCell ref="B186:D186"/>
    <mergeCell ref="A187:E187"/>
    <mergeCell ref="C188:D188"/>
    <mergeCell ref="B217:D217"/>
    <mergeCell ref="C218:D218"/>
    <mergeCell ref="C219:D219"/>
    <mergeCell ref="C220:D220"/>
    <mergeCell ref="B196:D196"/>
    <mergeCell ref="A197:E197"/>
    <mergeCell ref="C198:D198"/>
    <mergeCell ref="B206:D206"/>
    <mergeCell ref="A207:E207"/>
    <mergeCell ref="C208:D208"/>
    <mergeCell ref="B215:D215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O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O42"/>
    <mergeCell ref="B43:D43"/>
    <mergeCell ref="A44:D44"/>
    <mergeCell ref="C45:D45"/>
    <mergeCell ref="B53:D53"/>
    <mergeCell ref="A54:E54"/>
    <mergeCell ref="C55:D55"/>
    <mergeCell ref="C46:D46"/>
    <mergeCell ref="C47:D47"/>
    <mergeCell ref="C48:D48"/>
    <mergeCell ref="C49:D49"/>
    <mergeCell ref="C50:D50"/>
    <mergeCell ref="C51:D51"/>
    <mergeCell ref="C52:D52"/>
  </mergeCells>
  <conditionalFormatting sqref="E14:S15">
    <cfRule type="containsBlanks" dxfId="0" priority="1">
      <formula>LEN(TRIM(E14))=0</formula>
    </cfRule>
  </conditionalFormatting>
  <conditionalFormatting sqref="E19:S20">
    <cfRule type="containsBlanks" dxfId="0" priority="2">
      <formula>LEN(TRIM(E19))=0</formula>
    </cfRule>
  </conditionalFormatting>
  <conditionalFormatting sqref="E22:S23 E25:S26 E33:S33 E35:S35 E39:S40">
    <cfRule type="containsBlanks" dxfId="0" priority="3">
      <formula>LEN(TRIM(E22))=0</formula>
    </cfRule>
  </conditionalFormatting>
  <conditionalFormatting sqref="E30:S30">
    <cfRule type="expression" dxfId="1" priority="4">
      <formula>E30&lt;&gt;E47</formula>
    </cfRule>
  </conditionalFormatting>
  <conditionalFormatting sqref="E30:S30">
    <cfRule type="expression" dxfId="1" priority="5">
      <formula>E30&lt;&gt;E34</formula>
    </cfRule>
  </conditionalFormatting>
  <conditionalFormatting sqref="E45:S52">
    <cfRule type="containsBlanks" dxfId="0" priority="6">
      <formula>LEN(TRIM(E45))=0</formula>
    </cfRule>
  </conditionalFormatting>
  <conditionalFormatting sqref="E55:S62">
    <cfRule type="containsBlanks" dxfId="0" priority="7">
      <formula>LEN(TRIM(E55))=0</formula>
    </cfRule>
  </conditionalFormatting>
  <conditionalFormatting sqref="E65:S72">
    <cfRule type="containsBlanks" dxfId="0" priority="8">
      <formula>LEN(TRIM(E65))=0</formula>
    </cfRule>
  </conditionalFormatting>
  <conditionalFormatting sqref="E75:S82">
    <cfRule type="containsBlanks" dxfId="0" priority="9">
      <formula>LEN(TRIM(E75))=0</formula>
    </cfRule>
  </conditionalFormatting>
  <conditionalFormatting sqref="E85:S92">
    <cfRule type="containsBlanks" dxfId="0" priority="10">
      <formula>LEN(TRIM(E85))=0</formula>
    </cfRule>
  </conditionalFormatting>
  <conditionalFormatting sqref="E95:S102">
    <cfRule type="containsBlanks" dxfId="0" priority="11">
      <formula>LEN(TRIM(E95))=0</formula>
    </cfRule>
  </conditionalFormatting>
  <conditionalFormatting sqref="E105:S108">
    <cfRule type="containsBlanks" dxfId="0" priority="12">
      <formula>LEN(TRIM(E105))=0</formula>
    </cfRule>
  </conditionalFormatting>
  <conditionalFormatting sqref="E111:S118">
    <cfRule type="containsBlanks" dxfId="0" priority="13">
      <formula>LEN(TRIM(E111))=0</formula>
    </cfRule>
  </conditionalFormatting>
  <conditionalFormatting sqref="E121:S128">
    <cfRule type="containsBlanks" dxfId="0" priority="14">
      <formula>LEN(TRIM(E121))=0</formula>
    </cfRule>
  </conditionalFormatting>
  <conditionalFormatting sqref="E131:S135">
    <cfRule type="containsBlanks" dxfId="0" priority="15">
      <formula>LEN(TRIM(E131))=0</formula>
    </cfRule>
  </conditionalFormatting>
  <conditionalFormatting sqref="E138:S145">
    <cfRule type="containsBlanks" dxfId="0" priority="16">
      <formula>LEN(TRIM(E138))=0</formula>
    </cfRule>
  </conditionalFormatting>
  <conditionalFormatting sqref="E148:S155">
    <cfRule type="containsBlanks" dxfId="0" priority="17">
      <formula>LEN(TRIM(E148))=0</formula>
    </cfRule>
  </conditionalFormatting>
  <conditionalFormatting sqref="E158:S165">
    <cfRule type="containsBlanks" dxfId="0" priority="18">
      <formula>LEN(TRIM(E158))=0</formula>
    </cfRule>
  </conditionalFormatting>
  <conditionalFormatting sqref="E168:S175">
    <cfRule type="containsBlanks" dxfId="0" priority="19">
      <formula>LEN(TRIM(E168))=0</formula>
    </cfRule>
  </conditionalFormatting>
  <conditionalFormatting sqref="E178:S185">
    <cfRule type="containsBlanks" dxfId="0" priority="20">
      <formula>LEN(TRIM(E178))=0</formula>
    </cfRule>
  </conditionalFormatting>
  <conditionalFormatting sqref="E188:S195">
    <cfRule type="containsBlanks" dxfId="0" priority="21">
      <formula>LEN(TRIM(E188))=0</formula>
    </cfRule>
  </conditionalFormatting>
  <conditionalFormatting sqref="E198:S205">
    <cfRule type="containsBlanks" dxfId="0" priority="22">
      <formula>LEN(TRIM(E198))=0</formula>
    </cfRule>
  </conditionalFormatting>
  <conditionalFormatting sqref="E208:S214">
    <cfRule type="containsBlanks" dxfId="0" priority="23">
      <formula>LEN(TRIM(E208))=0</formula>
    </cfRule>
  </conditionalFormatting>
  <conditionalFormatting sqref="E218:S219">
    <cfRule type="containsBlanks" dxfId="0" priority="24">
      <formula>LEN(TRIM(E218))=0</formula>
    </cfRule>
  </conditionalFormatting>
  <conditionalFormatting sqref="E34:S34">
    <cfRule type="expression" dxfId="2" priority="25">
      <formula>E30&lt;&gt;E34</formula>
    </cfRule>
  </conditionalFormatting>
  <conditionalFormatting sqref="E34:S34">
    <cfRule type="expression" dxfId="3" priority="26">
      <formula>E30=E34</formula>
    </cfRule>
  </conditionalFormatting>
  <conditionalFormatting sqref="E34:S34">
    <cfRule type="expression" dxfId="1" priority="27">
      <formula>E34&lt;&gt;E30</formula>
    </cfRule>
  </conditionalFormatting>
  <conditionalFormatting sqref="E34:S34">
    <cfRule type="expression" dxfId="1" priority="28">
      <formula>E34&lt;&gt;E62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