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ADEAN" sheetId="2" r:id="rId5"/>
    <sheet state="visible" name="BLIMBINGSARI" sheetId="3" r:id="rId6"/>
    <sheet state="visible" name="BOMO" sheetId="4" r:id="rId7"/>
    <sheet state="visible" name="GINTANGAN" sheetId="5" r:id="rId8"/>
    <sheet state="visible" name="KALIGUNG" sheetId="6" r:id="rId9"/>
    <sheet state="visible" name="KAOTAN" sheetId="7" r:id="rId10"/>
    <sheet state="visible" name="KARANGREJO" sheetId="8" r:id="rId11"/>
    <sheet state="visible" name="PATOMAN" sheetId="9" r:id="rId12"/>
    <sheet state="visible" name="SUKOJATI" sheetId="10" r:id="rId13"/>
    <sheet state="visible" name="WATUKEBO" sheetId="11" r:id="rId14"/>
  </sheets>
  <definedNames/>
  <calcPr/>
  <extLst>
    <ext uri="GoogleSheetsCustomDataVersion2">
      <go:sheetsCustomData xmlns:go="http://customooxmlschemas.google.com/" r:id="rId15" roundtripDataChecksum="AHCn9uZ8RQeMwWW3E5xAEy2zrh985sOH2snBLTEpHrI="/>
    </ext>
  </extLst>
</workbook>
</file>

<file path=xl/sharedStrings.xml><?xml version="1.0" encoding="utf-8"?>
<sst xmlns="http://schemas.openxmlformats.org/spreadsheetml/2006/main" count="3334" uniqueCount="242">
  <si>
    <t>Kecamatan</t>
  </si>
  <si>
    <t>BLIMBINGSARI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</si>
  <si>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</si>
  <si>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</si>
  <si>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</si>
  <si>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</si>
  <si>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</si>
  <si>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</si>
  <si>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</si>
  <si>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</si>
  <si>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</si>
  <si>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</si>
  <si>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</si>
  <si>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</si>
  <si>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</si>
  <si>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</si>
  <si>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</si>
  <si>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</si>
  <si>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</si>
  <si>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</si>
  <si>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</si>
  <si>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</si>
  <si>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</si>
  <si>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</si>
  <si>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</si>
  <si>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</si>
  <si>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</si>
  <si>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</si>
  <si>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</si>
  <si>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</si>
  <si>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</si>
  <si>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</si>
  <si>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</si>
  <si>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</si>
  <si>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</si>
  <si>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</si>
  <si>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</si>
  <si>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</si>
  <si>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</si>
  <si>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</si>
  <si>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</si>
  <si>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</si>
  <si>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</si>
  <si>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</si>
  <si>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</si>
  <si>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</si>
  <si>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</si>
  <si>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</si>
  <si>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</si>
  <si>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</si>
  <si>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</si>
  <si>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</si>
  <si>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</si>
  <si>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</si>
  <si>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</si>
  <si>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</si>
  <si>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</si>
  <si>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</si>
  <si>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</si>
  <si>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</si>
  <si>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</si>
  <si>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</si>
  <si>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</si>
  <si>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</si>
  <si>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</si>
  <si>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</si>
  <si>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</si>
  <si>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</si>
  <si>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</si>
  <si>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</si>
  <si>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</si>
  <si>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</si>
  <si>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</si>
  <si>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</si>
  <si>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</si>
  <si>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</si>
  <si>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</si>
  <si>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</si>
  <si>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</si>
  <si>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</si>
  <si>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</si>
  <si>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</si>
  <si>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</si>
  <si>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</si>
  <si>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</si>
  <si>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</si>
  <si>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</si>
  <si>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</si>
  <si>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</si>
  <si>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</si>
  <si>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</si>
  <si>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</si>
  <si>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</si>
  <si>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</si>
  <si>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</si>
  <si>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</si>
  <si>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</si>
  <si>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</si>
  <si>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</si>
  <si>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</si>
  <si>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</si>
  <si>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</si>
  <si>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</si>
  <si>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</si>
  <si>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</si>
  <si>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</si>
  <si>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</si>
  <si>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</si>
  <si>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</si>
  <si>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</si>
  <si>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</si>
  <si>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</si>
  <si>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</si>
  <si>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</si>
  <si>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</si>
  <si>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</si>
  <si>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</si>
  <si>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</si>
  <si>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</si>
  <si>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</si>
  <si>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</si>
  <si>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</si>
  <si>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</si>
  <si>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</si>
  <si>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</si>
  <si>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</si>
  <si>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</si>
  <si>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</si>
  <si>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</si>
  <si>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</si>
  <si>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</si>
  <si>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</si>
  <si>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</si>
  <si>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</si>
  <si>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</si>
  <si>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</si>
  <si>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</si>
  <si>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</si>
  <si>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</si>
  <si>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</si>
  <si>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</si>
  <si>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</si>
  <si>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</si>
  <si>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</si>
  <si>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</si>
  <si>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</si>
  <si>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</si>
  <si>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</si>
  <si>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</si>
  <si>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</si>
  <si>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</si>
  <si>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</si>
  <si>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</si>
  <si>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</si>
  <si>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</si>
  <si>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</si>
  <si>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</si>
  <si>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</si>
  <si>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</si>
  <si>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</si>
  <si>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</si>
  <si>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</si>
  <si>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</si>
  <si>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</si>
  <si>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</si>
  <si>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</si>
  <si>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</si>
  <si>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</si>
  <si>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</si>
  <si>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</si>
  <si>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</si>
  <si>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</si>
  <si>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</si>
  <si>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</si>
  <si>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</si>
  <si>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</si>
  <si>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</si>
  <si>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</si>
  <si>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</si>
  <si>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</si>
  <si>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</si>
  <si>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</si>
  <si>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</si>
  <si>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</si>
  <si>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</si>
  <si>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</si>
  <si>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</si>
  <si>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</si>
  <si>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</si>
  <si>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</si>
  <si>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</si>
  <si>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</si>
  <si>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</si>
  <si>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</si>
  <si>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</si>
  <si>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</si>
  <si>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</si>
  <si>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</si>
  <si>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</si>
  <si>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BADEAN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</si>
  <si>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</si>
  <si>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</si>
  <si>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</si>
  <si>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</si>
  <si>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</si>
  <si>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</si>
  <si>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</si>
  <si>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</si>
  <si>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</si>
  <si>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</si>
  <si>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</si>
  <si>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</si>
  <si>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</si>
  <si>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</si>
  <si>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</si>
  <si>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</si>
  <si>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</si>
  <si>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</si>
  <si>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</si>
  <si>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</si>
  <si>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</si>
  <si>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</si>
  <si>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</si>
  <si>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BOMO</t>
  </si>
  <si>
    <t>GINTANGAN</t>
  </si>
  <si>
    <t>KALIGUNG</t>
  </si>
  <si>
    <t>TPS 901</t>
  </si>
  <si>
    <t>TPS 902</t>
  </si>
  <si>
    <t>KAOTAN</t>
  </si>
  <si>
    <t>KARANGREJO</t>
  </si>
  <si>
    <t>PATOMAN</t>
  </si>
  <si>
    <t>SUKOJATI</t>
  </si>
  <si>
    <t>WATUKEBO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</si>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</sst>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7" numFmtId="0" xfId="0" applyBorder="1" applyFont="1"/>
    <xf borderId="1" fillId="4" fontId="11" numFmtId="0" xfId="0" applyAlignment="1" applyBorder="1" applyFill="1" applyFont="1">
      <alignment horizontal="center"/>
    </xf>
    <xf borderId="1" fillId="5" fontId="11" numFmtId="0" xfId="0" applyAlignment="1" applyBorder="1" applyFill="1" applyFont="1">
      <alignment horizontal="center"/>
    </xf>
    <xf borderId="2" fillId="0" fontId="7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BADEAN!AB14+BLIMBINGSARI!U14+BOMO!W14+GINTANGAN!Z14+KALIGUNG!R14+KAOTAN!M14+KARANGREJO!P14+PATOMAN!T14+SUKOJATI!P14+WATUKEBO!AK14</f>
        <v>21865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BADEAN!AB15+BLIMBINGSARI!U15+BOMO!W15+GINTANGAN!Z15+KALIGUNG!R15+KAOTAN!M15+KARANGREJO!P15+PATOMAN!T15+SUKOJATI!P15+WATUKEBO!AK15</f>
        <v>21891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43756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BADEAN!AB19+BLIMBINGSARI!U19+BOMO!W19+GINTANGAN!Z19+KALIGUNG!R19+KAOTAN!M19+KARANGREJO!P19+PATOMAN!T19+SUKOJATI!P19+WATUKEBO!AK19</f>
        <v>16193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BADEAN!AB20+BLIMBINGSARI!U20+BOMO!W20+GINTANGAN!Z20+KALIGUNG!R20+KAOTAN!M20+KARANGREJO!P20+PATOMAN!T20+SUKOJATI!P20+WATUKEBO!AK20</f>
        <v>17835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34028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BADEAN!AB22+BLIMBINGSARI!U22+BOMO!W22+GINTANGAN!Z22+KALIGUNG!R22+KAOTAN!M22+KARANGREJO!P22+PATOMAN!T22+SUKOJATI!P22+WATUKEBO!AK22</f>
        <v>16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BADEAN!AB23+BLIMBINGSARI!U23+BOMO!W23+GINTANGAN!Z23+KALIGUNG!R23+KAOTAN!M23+KARANGREJO!P23+PATOMAN!T23+SUKOJATI!P23+WATUKEBO!AK23</f>
        <v>16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BADEAN!AB25+BLIMBINGSARI!U25+BOMO!W25+GINTANGAN!Z25+KALIGUNG!R25+KAOTAN!M25+KARANGREJO!P25+PATOMAN!T25+SUKOJATI!P25+WATUKEBO!AK25</f>
        <v>100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BADEAN!AB26+BLIMBINGSARI!U26+BOMO!W26+GINTANGAN!Z26+KALIGUNG!R26+KAOTAN!M26+KARANGREJO!P26+PATOMAN!T26+SUKOJATI!P26+WATUKEBO!AK26</f>
        <v>139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239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16309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17990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34299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BADEAN!AB33+BLIMBINGSARI!U33+BOMO!W33+GINTANGAN!Z33+KALIGUNG!R33+KAOTAN!M33+KARANGREJO!P33+PATOMAN!T33+SUKOJATI!P33+WATUKEBO!AK33</f>
        <v>44641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BADEAN!AB34+BLIMBINGSARI!U34+BOMO!W34+GINTANGAN!Z34+KALIGUNG!R34+KAOTAN!M34+KARANGREJO!P34+PATOMAN!T34+SUKOJATI!P34+WATUKEBO!AK34</f>
        <v>34299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BADEAN!AB35+BLIMBINGSARI!U35+BOMO!W35+GINTANGAN!Z35+KALIGUNG!R35+KAOTAN!M35+KARANGREJO!P35+PATOMAN!T35+SUKOJATI!P35+WATUKEBO!AK35</f>
        <v>119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10223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BADEAN!AB39+BLIMBINGSARI!U39+BOMO!W39+GINTANGAN!Z39+KALIGUNG!R39+KAOTAN!M39+KARANGREJO!P39+PATOMAN!T39+SUKOJATI!P39+WATUKEBO!AK39</f>
        <v>47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BADEAN!AB40+BLIMBINGSARI!U40+BOMO!W40+GINTANGAN!Z40+KALIGUNG!R40+KAOTAN!M40+KARANGREJO!P40+PATOMAN!T40+SUKOJATI!P40+WATUKEBO!AK40</f>
        <v>49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BADEAN!AB45+BLIMBINGSARI!U45+BOMO!W45+GINTANGAN!Z45+KALIGUNG!R45+KAOTAN!M45+KARANGREJO!P45+PATOMAN!T45+SUKOJATI!P45+WATUKEBO!AK45</f>
        <v>1345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BADEAN!AB46+BLIMBINGSARI!U46+BOMO!W46+GINTANGAN!Z46+KALIGUNG!R46+KAOTAN!M46+KARANGREJO!P46+PATOMAN!T46+SUKOJATI!P46+WATUKEBO!AK46</f>
        <v>3675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BADEAN!AB47+BLIMBINGSARI!U47+BOMO!W47+GINTANGAN!Z47+KALIGUNG!R47+KAOTAN!M47+KARANGREJO!P47+PATOMAN!T47+SUKOJATI!P47+WATUKEBO!AK47</f>
        <v>357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BADEAN!AB48+BLIMBINGSARI!U48+BOMO!W48+GINTANGAN!Z48+KALIGUNG!R48+KAOTAN!M48+KARANGREJO!P48+PATOMAN!T48+SUKOJATI!P48+WATUKEBO!AK48</f>
        <v>94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BADEAN!AB49+BLIMBINGSARI!U49+BOMO!W49+GINTANGAN!Z49+KALIGUNG!R49+KAOTAN!M49+KARANGREJO!P49+PATOMAN!T49+SUKOJATI!P49+WATUKEBO!AK49</f>
        <v>104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BADEAN!AB50+BLIMBINGSARI!U50+BOMO!W50+GINTANGAN!Z50+KALIGUNG!R50+KAOTAN!M50+KARANGREJO!P50+PATOMAN!T50+SUKOJATI!P50+WATUKEBO!AK50</f>
        <v>58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BADEAN!AB51+BLIMBINGSARI!U51+BOMO!W51+GINTANGAN!Z51+KALIGUNG!R51+KAOTAN!M51+KARANGREJO!P51+PATOMAN!T51+SUKOJATI!P51+WATUKEBO!AK51</f>
        <v>35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BADEAN!AB52+BLIMBINGSARI!U52+BOMO!W52+GINTANGAN!Z52+KALIGUNG!R52+KAOTAN!M52+KARANGREJO!P52+PATOMAN!T52+SUKOJATI!P52+WATUKEBO!AK52</f>
        <v>16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5684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BADEAN!AB57+BLIMBINGSARI!U57+BOMO!W57+GINTANGAN!Z57+KALIGUNG!R57+KAOTAN!M57+KARANGREJO!P57+PATOMAN!T57+SUKOJATI!P57+WATUKEBO!AK57</f>
        <v>1106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BADEAN!AB58+BLIMBINGSARI!U58+BOMO!W58+GINTANGAN!Z58+KALIGUNG!R58+KAOTAN!M58+KARANGREJO!P58+PATOMAN!T58+SUKOJATI!P58+WATUKEBO!AK58</f>
        <v>2714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BADEAN!AB59+BLIMBINGSARI!U59+BOMO!W59+GINTANGAN!Z59+KALIGUNG!R59+KAOTAN!M59+KARANGREJO!P59+PATOMAN!T59+SUKOJATI!P59+WATUKEBO!AK59</f>
        <v>403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BADEAN!AB60+BLIMBINGSARI!U60+BOMO!W60+GINTANGAN!Z60+KALIGUNG!R60+KAOTAN!M60+KARANGREJO!P60+PATOMAN!T60+SUKOJATI!P60+WATUKEBO!AK60</f>
        <v>123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BADEAN!AB61+BLIMBINGSARI!U61+BOMO!W61+GINTANGAN!Z61+KALIGUNG!R61+KAOTAN!M61+KARANGREJO!P61+PATOMAN!T61+SUKOJATI!P61+WATUKEBO!AK61</f>
        <v>140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BADEAN!AB62+BLIMBINGSARI!U62+BOMO!W62+GINTANGAN!Z62+KALIGUNG!R62+KAOTAN!M62+KARANGREJO!P62+PATOMAN!T62+SUKOJATI!P62+WATUKEBO!AK62</f>
        <v>38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BADEAN!AB63+BLIMBINGSARI!U63+BOMO!W63+GINTANGAN!Z63+KALIGUNG!R63+KAOTAN!M63+KARANGREJO!P63+PATOMAN!T63+SUKOJATI!P63+WATUKEBO!AK63</f>
        <v>43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BADEAN!AB64+BLIMBINGSARI!U64+BOMO!W64+GINTANGAN!Z64+KALIGUNG!R64+KAOTAN!M64+KARANGREJO!P64+PATOMAN!T64+SUKOJATI!P64+WATUKEBO!AK64</f>
        <v>114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4681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BADEAN!AB69+BLIMBINGSARI!U69+BOMO!W69+GINTANGAN!Z69+KALIGUNG!R69+KAOTAN!M69+KARANGREJO!P69+PATOMAN!T69+SUKOJATI!P69+WATUKEBO!AK69</f>
        <v>809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BADEAN!AB70+BLIMBINGSARI!U70+BOMO!W70+GINTANGAN!Z70+KALIGUNG!R70+KAOTAN!M70+KARANGREJO!P70+PATOMAN!T70+SUKOJATI!P70+WATUKEBO!AK70</f>
        <v>1198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BADEAN!AB71+BLIMBINGSARI!U71+BOMO!W71+GINTANGAN!Z71+KALIGUNG!R71+KAOTAN!M71+KARANGREJO!P71+PATOMAN!T71+SUKOJATI!P71+WATUKEBO!AK71</f>
        <v>887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BADEAN!AB72+BLIMBINGSARI!U72+BOMO!W72+GINTANGAN!Z72+KALIGUNG!R72+KAOTAN!M72+KARANGREJO!P72+PATOMAN!T72+SUKOJATI!P72+WATUKEBO!AK72</f>
        <v>586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BADEAN!AB73+BLIMBINGSARI!U73+BOMO!W73+GINTANGAN!Z73+KALIGUNG!R73+KAOTAN!M73+KARANGREJO!P73+PATOMAN!T73+SUKOJATI!P73+WATUKEBO!AK73</f>
        <v>58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BADEAN!AB74+BLIMBINGSARI!U74+BOMO!W74+GINTANGAN!Z74+KALIGUNG!R74+KAOTAN!M74+KARANGREJO!P74+PATOMAN!T74+SUKOJATI!P74+WATUKEBO!AK74</f>
        <v>417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BADEAN!AB75+BLIMBINGSARI!U75+BOMO!W75+GINTANGAN!Z75+KALIGUNG!R75+KAOTAN!M75+KARANGREJO!P75+PATOMAN!T75+SUKOJATI!P75+WATUKEBO!AK75</f>
        <v>48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BADEAN!AB76+BLIMBINGSARI!U76+BOMO!W76+GINTANGAN!Z76+KALIGUNG!R76+KAOTAN!M76+KARANGREJO!P76+PATOMAN!T76+SUKOJATI!P76+WATUKEBO!AK76</f>
        <v>529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4532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BADEAN!AB81+BLIMBINGSARI!U81+BOMO!W81+GINTANGAN!Z81+KALIGUNG!R81+KAOTAN!M81+KARANGREJO!P81+PATOMAN!T81+SUKOJATI!P81+WATUKEBO!AK81</f>
        <v>767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BADEAN!AB82+BLIMBINGSARI!U82+BOMO!W82+GINTANGAN!Z82+KALIGUNG!R82+KAOTAN!M82+KARANGREJO!P82+PATOMAN!T82+SUKOJATI!P82+WATUKEBO!AK82</f>
        <v>2284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BADEAN!AB83+BLIMBINGSARI!U83+BOMO!W83+GINTANGAN!Z83+KALIGUNG!R83+KAOTAN!M83+KARANGREJO!P83+PATOMAN!T83+SUKOJATI!P83+WATUKEBO!AK83</f>
        <v>983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BADEAN!AB84+BLIMBINGSARI!U84+BOMO!W84+GINTANGAN!Z84+KALIGUNG!R84+KAOTAN!M84+KARANGREJO!P84+PATOMAN!T84+SUKOJATI!P84+WATUKEBO!AK84</f>
        <v>74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BADEAN!AB85+BLIMBINGSARI!U85+BOMO!W85+GINTANGAN!Z85+KALIGUNG!R85+KAOTAN!M85+KARANGREJO!P85+PATOMAN!T85+SUKOJATI!P85+WATUKEBO!AK85</f>
        <v>72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BADEAN!AB86+BLIMBINGSARI!U86+BOMO!W86+GINTANGAN!Z86+KALIGUNG!R86+KAOTAN!M86+KARANGREJO!P86+PATOMAN!T86+SUKOJATI!P86+WATUKEBO!AK86</f>
        <v>1083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BADEAN!AB87+BLIMBINGSARI!U87+BOMO!W87+GINTANGAN!Z87+KALIGUNG!R87+KAOTAN!M87+KARANGREJO!P87+PATOMAN!T87+SUKOJATI!P87+WATUKEBO!AK87</f>
        <v>50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BADEAN!AB88+BLIMBINGSARI!U88+BOMO!W88+GINTANGAN!Z88+KALIGUNG!R88+KAOTAN!M88+KARANGREJO!P88+PATOMAN!T88+SUKOJATI!P88+WATUKEBO!AK88</f>
        <v>18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5331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BADEAN!AB93+BLIMBINGSARI!U93+BOMO!W93+GINTANGAN!Z93+KALIGUNG!R93+KAOTAN!M93+KARANGREJO!P93+PATOMAN!T93+SUKOJATI!P93+WATUKEBO!AK93</f>
        <v>199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BADEAN!AB94+BLIMBINGSARI!U94+BOMO!W94+GINTANGAN!Z94+KALIGUNG!R94+KAOTAN!M94+KARANGREJO!P94+PATOMAN!T94+SUKOJATI!P94+WATUKEBO!AK94</f>
        <v>464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BADEAN!AB95+BLIMBINGSARI!U95+BOMO!W95+GINTANGAN!Z95+KALIGUNG!R95+KAOTAN!M95+KARANGREJO!P95+PATOMAN!T95+SUKOJATI!P95+WATUKEBO!AK95</f>
        <v>181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BADEAN!AB96+BLIMBINGSARI!U96+BOMO!W96+GINTANGAN!Z96+KALIGUNG!R96+KAOTAN!M96+KARANGREJO!P96+PATOMAN!T96+SUKOJATI!P96+WATUKEBO!AK96</f>
        <v>24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BADEAN!AB97+BLIMBINGSARI!U97+BOMO!W97+GINTANGAN!Z97+KALIGUNG!R97+KAOTAN!M97+KARANGREJO!P97+PATOMAN!T97+SUKOJATI!P97+WATUKEBO!AK97</f>
        <v>353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BADEAN!AB98+BLIMBINGSARI!U98+BOMO!W98+GINTANGAN!Z98+KALIGUNG!R98+KAOTAN!M98+KARANGREJO!P98+PATOMAN!T98+SUKOJATI!P98+WATUKEBO!AK98</f>
        <v>24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BADEAN!AB99+BLIMBINGSARI!U99+BOMO!W99+GINTANGAN!Z99+KALIGUNG!R99+KAOTAN!M99+KARANGREJO!P99+PATOMAN!T99+SUKOJATI!P99+WATUKEBO!AK99</f>
        <v>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BADEAN!AB100+BLIMBINGSARI!U100+BOMO!W100+GINTANGAN!Z100+KALIGUNG!R100+KAOTAN!M100+KARANGREJO!P100+PATOMAN!T100+SUKOJATI!P100+WATUKEBO!AK100</f>
        <v>4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1251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BADEAN!AB105+BLIMBINGSARI!U105+BOMO!W105+GINTANGAN!Z105+KALIGUNG!R105+KAOTAN!M105+KARANGREJO!P105+PATOMAN!T105+SUKOJATI!P105+WATUKEBO!AK105</f>
        <v>62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BADEAN!AB106+BLIMBINGSARI!U106+BOMO!W106+GINTANGAN!Z106+KALIGUNG!R106+KAOTAN!M106+KARANGREJO!P106+PATOMAN!T106+SUKOJATI!P106+WATUKEBO!AK106</f>
        <v>27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BADEAN!AB107+BLIMBINGSARI!U107+BOMO!W107+GINTANGAN!Z107+KALIGUNG!R107+KAOTAN!M107+KARANGREJO!P107+PATOMAN!T107+SUKOJATI!P107+WATUKEBO!AK107</f>
        <v>9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BADEAN!AB108+BLIMBINGSARI!U108+BOMO!W108+GINTANGAN!Z108+KALIGUNG!R108+KAOTAN!M108+KARANGREJO!P108+PATOMAN!T108+SUKOJATI!P108+WATUKEBO!AK108</f>
        <v>9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BADEAN!AB109+BLIMBINGSARI!U109+BOMO!W109+GINTANGAN!Z109+KALIGUNG!R109+KAOTAN!M109+KARANGREJO!P109+PATOMAN!T109+SUKOJATI!P109+WATUKEBO!AK109</f>
        <v>5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BADEAN!AB110+BLIMBINGSARI!U110+BOMO!W110+GINTANGAN!Z110+KALIGUNG!R110+KAOTAN!M110+KARANGREJO!P110+PATOMAN!T110+SUKOJATI!P110+WATUKEBO!AK110</f>
        <v>1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BADEAN!AB111+BLIMBINGSARI!U111+BOMO!W111+GINTANGAN!Z111+KALIGUNG!R111+KAOTAN!M111+KARANGREJO!P111+PATOMAN!T111+SUKOJATI!P111+WATUKEBO!AK111</f>
        <v>6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BADEAN!AB112+BLIMBINGSARI!U112+BOMO!W112+GINTANGAN!Z112+KALIGUNG!R112+KAOTAN!M112+KARANGREJO!P112+PATOMAN!T112+SUKOJATI!P112+WATUKEBO!AK112</f>
        <v>0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119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BADEAN!AB117+BLIMBINGSARI!U117+BOMO!W117+GINTANGAN!Z117+KALIGUNG!R117+KAOTAN!M117+KARANGREJO!P117+PATOMAN!T117+SUKOJATI!P117+WATUKEBO!AK117</f>
        <v>98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BADEAN!AB118+BLIMBINGSARI!U118+BOMO!W118+GINTANGAN!Z118+KALIGUNG!R118+KAOTAN!M118+KARANGREJO!P118+PATOMAN!T118+SUKOJATI!P118+WATUKEBO!AK118</f>
        <v>34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BADEAN!AB119+BLIMBINGSARI!U119+BOMO!W119+GINTANGAN!Z119+KALIGUNG!R119+KAOTAN!M119+KARANGREJO!P119+PATOMAN!T119+SUKOJATI!P119+WATUKEBO!AK119</f>
        <v>12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BADEAN!AB120+BLIMBINGSARI!U120+BOMO!W120+GINTANGAN!Z120+KALIGUNG!R120+KAOTAN!M120+KARANGREJO!P120+PATOMAN!T120+SUKOJATI!P120+WATUKEBO!AK120</f>
        <v>7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151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BADEAN!AB129+BLIMBINGSARI!U129+BOMO!W129+GINTANGAN!Z129+KALIGUNG!R129+KAOTAN!M129+KARANGREJO!P129+PATOMAN!T129+SUKOJATI!P129+WATUKEBO!AK129</f>
        <v>51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BADEAN!AB130+BLIMBINGSARI!U130+BOMO!W130+GINTANGAN!Z130+KALIGUNG!R130+KAOTAN!M130+KARANGREJO!P130+PATOMAN!T130+SUKOJATI!P130+WATUKEBO!AK130</f>
        <v>213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BADEAN!AB131+BLIMBINGSARI!U131+BOMO!W131+GINTANGAN!Z131+KALIGUNG!R131+KAOTAN!M131+KARANGREJO!P131+PATOMAN!T131+SUKOJATI!P131+WATUKEBO!AK131</f>
        <v>59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BADEAN!AB132+BLIMBINGSARI!U132+BOMO!W132+GINTANGAN!Z132+KALIGUNG!R132+KAOTAN!M132+KARANGREJO!P132+PATOMAN!T132+SUKOJATI!P132+WATUKEBO!AK132</f>
        <v>6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BADEAN!AB133+BLIMBINGSARI!U133+BOMO!W133+GINTANGAN!Z133+KALIGUNG!R133+KAOTAN!M133+KARANGREJO!P133+PATOMAN!T133+SUKOJATI!P133+WATUKEBO!AK133</f>
        <v>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BADEAN!AB134+BLIMBINGSARI!U134+BOMO!W134+GINTANGAN!Z134+KALIGUNG!R134+KAOTAN!M134+KARANGREJO!P134+PATOMAN!T134+SUKOJATI!P134+WATUKEBO!AK134</f>
        <v>8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BADEAN!AB135+BLIMBINGSARI!U135+BOMO!W135+GINTANGAN!Z135+KALIGUNG!R135+KAOTAN!M135+KARANGREJO!P135+PATOMAN!T135+SUKOJATI!P135+WATUKEBO!AK135</f>
        <v>1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BADEAN!AB136+BLIMBINGSARI!U136+BOMO!W136+GINTANGAN!Z136+KALIGUNG!R136+KAOTAN!M136+KARANGREJO!P136+PATOMAN!T136+SUKOJATI!P136+WATUKEBO!AK136</f>
        <v>3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347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BADEAN!AB141+BLIMBINGSARI!U141+BOMO!W141+GINTANGAN!Z141+KALIGUNG!R141+KAOTAN!M141+KARANGREJO!P141+PATOMAN!T141+SUKOJATI!P141+WATUKEBO!AK141</f>
        <v>8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BADEAN!AB142+BLIMBINGSARI!U142+BOMO!W142+GINTANGAN!Z142+KALIGUNG!R142+KAOTAN!M142+KARANGREJO!P142+PATOMAN!T142+SUKOJATI!P142+WATUKEBO!AK142</f>
        <v>1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BADEAN!AB143+BLIMBINGSARI!U143+BOMO!W143+GINTANGAN!Z143+KALIGUNG!R143+KAOTAN!M143+KARANGREJO!P143+PATOMAN!T143+SUKOJATI!P143+WATUKEBO!AK143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BADEAN!AB144+BLIMBINGSARI!U144+BOMO!W144+GINTANGAN!Z144+KALIGUNG!R144+KAOTAN!M144+KARANGREJO!P144+PATOMAN!T144+SUKOJATI!P144+WATUKEBO!AK144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BADEAN!AB145+BLIMBINGSARI!U145+BOMO!W145+GINTANGAN!Z145+KALIGUNG!R145+KAOTAN!M145+KARANGREJO!P145+PATOMAN!T145+SUKOJATI!P145+WATUKEBO!AK145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BADEAN!AB146+BLIMBINGSARI!U146+BOMO!W146+GINTANGAN!Z146+KALIGUNG!R146+KAOTAN!M146+KARANGREJO!P146+PATOMAN!T146+SUKOJATI!P146+WATUKEBO!AK146</f>
        <v>3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BADEAN!AB147+BLIMBINGSARI!U147+BOMO!W147+GINTANGAN!Z147+KALIGUNG!R147+KAOTAN!M147+KARANGREJO!P147+PATOMAN!T147+SUKOJATI!P147+WATUKEBO!AK147</f>
        <v>1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BADEAN!AB148+BLIMBINGSARI!U148+BOMO!W148+GINTANGAN!Z148+KALIGUNG!R148+KAOTAN!M148+KARANGREJO!P148+PATOMAN!T148+SUKOJATI!P148+WATUKEBO!AK148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17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BADEAN!AB153+BLIMBINGSARI!U153+BOMO!W153+GINTANGAN!Z153+KALIGUNG!R153+KAOTAN!M153+KARANGREJO!P153+PATOMAN!T153+SUKOJATI!P153+WATUKEBO!AK153</f>
        <v>29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BADEAN!AB154+BLIMBINGSARI!U154+BOMO!W154+GINTANGAN!Z154+KALIGUNG!R154+KAOTAN!M154+KARANGREJO!P154+PATOMAN!T154+SUKOJATI!P154+WATUKEBO!AK154</f>
        <v>15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BADEAN!AB155+BLIMBINGSARI!U155+BOMO!W155+GINTANGAN!Z155+KALIGUNG!R155+KAOTAN!M155+KARANGREJO!P155+PATOMAN!T155+SUKOJATI!P155+WATUKEBO!AK155</f>
        <v>5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BADEAN!AB156+BLIMBINGSARI!U156+BOMO!W156+GINTANGAN!Z156+KALIGUNG!R156+KAOTAN!M156+KARANGREJO!P156+PATOMAN!T156+SUKOJATI!P156+WATUKEBO!AK156</f>
        <v>2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BADEAN!AB157+BLIMBINGSARI!U157+BOMO!W157+GINTANGAN!Z157+KALIGUNG!R157+KAOTAN!M157+KARANGREJO!P157+PATOMAN!T157+SUKOJATI!P157+WATUKEBO!AK157</f>
        <v>47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98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BADEAN!AB165+BLIMBINGSARI!U165+BOMO!W165+GINTANGAN!Z165+KALIGUNG!R165+KAOTAN!M165+KARANGREJO!P165+PATOMAN!T165+SUKOJATI!P165+WATUKEBO!AK165</f>
        <v>31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BADEAN!AB166+BLIMBINGSARI!U166+BOMO!W166+GINTANGAN!Z166+KALIGUNG!R166+KAOTAN!M166+KARANGREJO!P166+PATOMAN!T166+SUKOJATI!P166+WATUKEBO!AK166</f>
        <v>16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BADEAN!AB167+BLIMBINGSARI!U167+BOMO!W167+GINTANGAN!Z167+KALIGUNG!R167+KAOTAN!M167+KARANGREJO!P167+PATOMAN!T167+SUKOJATI!P167+WATUKEBO!AK167</f>
        <v>11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BADEAN!AB168+BLIMBINGSARI!U168+BOMO!W168+GINTANGAN!Z168+KALIGUNG!R168+KAOTAN!M168+KARANGREJO!P168+PATOMAN!T168+SUKOJATI!P168+WATUKEBO!AK168</f>
        <v>5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BADEAN!AB169+BLIMBINGSARI!U169+BOMO!W169+GINTANGAN!Z169+KALIGUNG!R169+KAOTAN!M169+KARANGREJO!P169+PATOMAN!T169+SUKOJATI!P169+WATUKEBO!AK169</f>
        <v>1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BADEAN!AB170+BLIMBINGSARI!U170+BOMO!W170+GINTANGAN!Z170+KALIGUNG!R170+KAOTAN!M170+KARANGREJO!P170+PATOMAN!T170+SUKOJATI!P170+WATUKEBO!AK170</f>
        <v>1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BADEAN!AB171+BLIMBINGSARI!U171+BOMO!W171+GINTANGAN!Z171+KALIGUNG!R171+KAOTAN!M171+KARANGREJO!P171+PATOMAN!T171+SUKOJATI!P171+WATUKEBO!AK171</f>
        <v>2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BADEAN!AB172+BLIMBINGSARI!U172+BOMO!W172+GINTANGAN!Z172+KALIGUNG!R172+KAOTAN!M172+KARANGREJO!P172+PATOMAN!T172+SUKOJATI!P172+WATUKEBO!AK172</f>
        <v>1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68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BADEAN!AB177+BLIMBINGSARI!U177+BOMO!W177+GINTANGAN!Z177+KALIGUNG!R177+KAOTAN!M177+KARANGREJO!P177+PATOMAN!T177+SUKOJATI!P177+WATUKEBO!AK177</f>
        <v>36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BADEAN!AB178+BLIMBINGSARI!U178+BOMO!W178+GINTANGAN!Z178+KALIGUNG!R178+KAOTAN!M178+KARANGREJO!P178+PATOMAN!T178+SUKOJATI!P178+WATUKEBO!AK178</f>
        <v>32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BADEAN!AB179+BLIMBINGSARI!U179+BOMO!W179+GINTANGAN!Z179+KALIGUNG!R179+KAOTAN!M179+KARANGREJO!P179+PATOMAN!T179+SUKOJATI!P179+WATUKEBO!AK179</f>
        <v>20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BADEAN!AB180+BLIMBINGSARI!U180+BOMO!W180+GINTANGAN!Z180+KALIGUNG!R180+KAOTAN!M180+KARANGREJO!P180+PATOMAN!T180+SUKOJATI!P180+WATUKEBO!AK180</f>
        <v>11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BADEAN!AB181+BLIMBINGSARI!U181+BOMO!W181+GINTANGAN!Z181+KALIGUNG!R181+KAOTAN!M181+KARANGREJO!P181+PATOMAN!T181+SUKOJATI!P181+WATUKEBO!AK181</f>
        <v>4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BADEAN!AB182+BLIMBINGSARI!U182+BOMO!W182+GINTANGAN!Z182+KALIGUNG!R182+KAOTAN!M182+KARANGREJO!P182+PATOMAN!T182+SUKOJATI!P182+WATUKEBO!AK182</f>
        <v>3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BADEAN!AB183+BLIMBINGSARI!U183+BOMO!W183+GINTANGAN!Z183+KALIGUNG!R183+KAOTAN!M183+KARANGREJO!P183+PATOMAN!T183+SUKOJATI!P183+WATUKEBO!AK183</f>
        <v>3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BADEAN!AB184+BLIMBINGSARI!U184+BOMO!W184+GINTANGAN!Z184+KALIGUNG!R184+KAOTAN!M184+KARANGREJO!P184+PATOMAN!T184+SUKOJATI!P184+WATUKEBO!AK184</f>
        <v>3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112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BADEAN!AB189+BLIMBINGSARI!U189+BOMO!W189+GINTANGAN!Z189+KALIGUNG!R189+KAOTAN!M189+KARANGREJO!P189+PATOMAN!T189+SUKOJATI!P189+WATUKEBO!AK189</f>
        <v>18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BADEAN!AB190+BLIMBINGSARI!U190+BOMO!W190+GINTANGAN!Z190+KALIGUNG!R190+KAOTAN!M190+KARANGREJO!P190+PATOMAN!T190+SUKOJATI!P190+WATUKEBO!AK190</f>
        <v>13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BADEAN!AB191+BLIMBINGSARI!U191+BOMO!W191+GINTANGAN!Z191+KALIGUNG!R191+KAOTAN!M191+KARANGREJO!P191+PATOMAN!T191+SUKOJATI!P191+WATUKEBO!AK191</f>
        <v>9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BADEAN!AB192+BLIMBINGSARI!U192+BOMO!W192+GINTANGAN!Z192+KALIGUNG!R192+KAOTAN!M192+KARANGREJO!P192+PATOMAN!T192+SUKOJATI!P192+WATUKEBO!AK192</f>
        <v>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BADEAN!AB193+BLIMBINGSARI!U193+BOMO!W193+GINTANGAN!Z193+KALIGUNG!R193+KAOTAN!M193+KARANGREJO!P193+PATOMAN!T193+SUKOJATI!P193+WATUKEBO!AK193</f>
        <v>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BADEAN!AB194+BLIMBINGSARI!U194+BOMO!W194+GINTANGAN!Z194+KALIGUNG!R194+KAOTAN!M194+KARANGREJO!P194+PATOMAN!T194+SUKOJATI!P194+WATUKEBO!AK194</f>
        <v>4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BADEAN!AB195+BLIMBINGSARI!U195+BOMO!W195+GINTANGAN!Z195+KALIGUNG!R195+KAOTAN!M195+KARANGREJO!P195+PATOMAN!T195+SUKOJATI!P195+WATUKEBO!AK195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BADEAN!AB196+BLIMBINGSARI!U196+BOMO!W196+GINTANGAN!Z196+KALIGUNG!R196+KAOTAN!M196+KARANGREJO!P196+PATOMAN!T196+SUKOJATI!P196+WATUKEBO!AK196</f>
        <v>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49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BADEAN!AB201+BLIMBINGSARI!U201+BOMO!W201+GINTANGAN!Z201+KALIGUNG!R201+KAOTAN!M201+KARANGREJO!P201+PATOMAN!T201+SUKOJATI!P201+WATUKEBO!AK201</f>
        <v>1096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BADEAN!AB202+BLIMBINGSARI!U202+BOMO!W202+GINTANGAN!Z202+KALIGUNG!R202+KAOTAN!M202+KARANGREJO!P202+PATOMAN!T202+SUKOJATI!P202+WATUKEBO!AK202</f>
        <v>1542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BADEAN!AB203+BLIMBINGSARI!U203+BOMO!W203+GINTANGAN!Z203+KALIGUNG!R203+KAOTAN!M203+KARANGREJO!P203+PATOMAN!T203+SUKOJATI!P203+WATUKEBO!AK203</f>
        <v>603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BADEAN!AB204+BLIMBINGSARI!U204+BOMO!W204+GINTANGAN!Z204+KALIGUNG!R204+KAOTAN!M204+KARANGREJO!P204+PATOMAN!T204+SUKOJATI!P204+WATUKEBO!AK204</f>
        <v>244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BADEAN!AB205+BLIMBINGSARI!U205+BOMO!W205+GINTANGAN!Z205+KALIGUNG!R205+KAOTAN!M205+KARANGREJO!P205+PATOMAN!T205+SUKOJATI!P205+WATUKEBO!AK205</f>
        <v>82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BADEAN!AB206+BLIMBINGSARI!U206+BOMO!W206+GINTANGAN!Z206+KALIGUNG!R206+KAOTAN!M206+KARANGREJO!P206+PATOMAN!T206+SUKOJATI!P206+WATUKEBO!AK206</f>
        <v>40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BADEAN!AB207+BLIMBINGSARI!U207+BOMO!W207+GINTANGAN!Z207+KALIGUNG!R207+KAOTAN!M207+KARANGREJO!P207+PATOMAN!T207+SUKOJATI!P207+WATUKEBO!AK207</f>
        <v>14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BADEAN!AB208+BLIMBINGSARI!U208+BOMO!W208+GINTANGAN!Z208+KALIGUNG!R208+KAOTAN!M208+KARANGREJO!P208+PATOMAN!T208+SUKOJATI!P208+WATUKEBO!AK208</f>
        <v>30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3651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BADEAN!AB213+BLIMBINGSARI!U213+BOMO!W213+GINTANGAN!Z213+KALIGUNG!R213+KAOTAN!M213+KARANGREJO!P213+PATOMAN!T213+SUKOJATI!P213+WATUKEBO!AK213</f>
        <v>148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BADEAN!AB214+BLIMBINGSARI!U214+BOMO!W214+GINTANGAN!Z214+KALIGUNG!R214+KAOTAN!M214+KARANGREJO!P214+PATOMAN!T214+SUKOJATI!P214+WATUKEBO!AK214</f>
        <v>200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BADEAN!AB215+BLIMBINGSARI!U215+BOMO!W215+GINTANGAN!Z215+KALIGUNG!R215+KAOTAN!M215+KARANGREJO!P215+PATOMAN!T215+SUKOJATI!P215+WATUKEBO!AK215</f>
        <v>1192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BADEAN!AB216+BLIMBINGSARI!U216+BOMO!W216+GINTANGAN!Z216+KALIGUNG!R216+KAOTAN!M216+KARANGREJO!P216+PATOMAN!T216+SUKOJATI!P216+WATUKEBO!AK216</f>
        <v>22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BADEAN!AB217+BLIMBINGSARI!U217+BOMO!W217+GINTANGAN!Z217+KALIGUNG!R217+KAOTAN!M217+KARANGREJO!P217+PATOMAN!T217+SUKOJATI!P217+WATUKEBO!AK217</f>
        <v>8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BADEAN!AB218+BLIMBINGSARI!U218+BOMO!W218+GINTANGAN!Z218+KALIGUNG!R218+KAOTAN!M218+KARANGREJO!P218+PATOMAN!T218+SUKOJATI!P218+WATUKEBO!AK218</f>
        <v>8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BADEAN!AB219+BLIMBINGSARI!U219+BOMO!W219+GINTANGAN!Z219+KALIGUNG!R219+KAOTAN!M219+KARANGREJO!P219+PATOMAN!T219+SUKOJATI!P219+WATUKEBO!AK219</f>
        <v>10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BADEAN!AB220+BLIMBINGSARI!U220+BOMO!W220+GINTANGAN!Z220+KALIGUNG!R220+KAOTAN!M220+KARANGREJO!P220+PATOMAN!T220+SUKOJATI!P220+WATUKEBO!AK220</f>
        <v>9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1597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BADEAN!AB225+BLIMBINGSARI!U225+BOMO!W225+GINTANGAN!Z225+KALIGUNG!R225+KAOTAN!M225+KARANGREJO!P225+PATOMAN!T225+SUKOJATI!P225+WATUKEBO!AK225</f>
        <v>26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BADEAN!AB226+BLIMBINGSARI!U226+BOMO!W226+GINTANGAN!Z226+KALIGUNG!R226+KAOTAN!M226+KARANGREJO!P226+PATOMAN!T226+SUKOJATI!P226+WATUKEBO!AK226</f>
        <v>380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BADEAN!AB227+BLIMBINGSARI!U227+BOMO!W227+GINTANGAN!Z227+KALIGUNG!R227+KAOTAN!M227+KARANGREJO!P227+PATOMAN!T227+SUKOJATI!P227+WATUKEBO!AK227</f>
        <v>2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BADEAN!AB228+BLIMBINGSARI!U228+BOMO!W228+GINTANGAN!Z228+KALIGUNG!R228+KAOTAN!M228+KARANGREJO!P228+PATOMAN!T228+SUKOJATI!P228+WATUKEBO!AK228</f>
        <v>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BADEAN!AB229+BLIMBINGSARI!U229+BOMO!W229+GINTANGAN!Z229+KALIGUNG!R229+KAOTAN!M229+KARANGREJO!P229+PATOMAN!T229+SUKOJATI!P229+WATUKEBO!AK229</f>
        <v>1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BADEAN!AB230+BLIMBINGSARI!U230+BOMO!W230+GINTANGAN!Z230+KALIGUNG!R230+KAOTAN!M230+KARANGREJO!P230+PATOMAN!T230+SUKOJATI!P230+WATUKEBO!AK230</f>
        <v>2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BADEAN!AB231+BLIMBINGSARI!U231+BOMO!W231+GINTANGAN!Z231+KALIGUNG!R231+KAOTAN!M231+KARANGREJO!P231+PATOMAN!T231+SUKOJATI!P231+WATUKEBO!AK231</f>
        <v>3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BADEAN!AB232+BLIMBINGSARI!U232+BOMO!W232+GINTANGAN!Z232+KALIGUNG!R232+KAOTAN!M232+KARANGREJO!P232+PATOMAN!T232+SUKOJATI!P232+WATUKEBO!AK232</f>
        <v>8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427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BADEAN!AB237+BLIMBINGSARI!U237+BOMO!W237+GINTANGAN!Z237+KALIGUNG!R237+KAOTAN!M237+KARANGREJO!P237+PATOMAN!T237+SUKOJATI!P237+WATUKEBO!AK237</f>
        <v>128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BADEAN!AB238+BLIMBINGSARI!U238+BOMO!W238+GINTANGAN!Z238+KALIGUNG!R238+KAOTAN!M238+KARANGREJO!P238+PATOMAN!T238+SUKOJATI!P238+WATUKEBO!AK238</f>
        <v>112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BADEAN!AB239+BLIMBINGSARI!U239+BOMO!W239+GINTANGAN!Z239+KALIGUNG!R239+KAOTAN!M239+KARANGREJO!P239+PATOMAN!T239+SUKOJATI!P239+WATUKEBO!AK239</f>
        <v>449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BADEAN!AB240+BLIMBINGSARI!U240+BOMO!W240+GINTANGAN!Z240+KALIGUNG!R240+KAOTAN!M240+KARANGREJO!P240+PATOMAN!T240+SUKOJATI!P240+WATUKEBO!AK240</f>
        <v>19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BADEAN!AB241+BLIMBINGSARI!U241+BOMO!W241+GINTANGAN!Z241+KALIGUNG!R241+KAOTAN!M241+KARANGREJO!P241+PATOMAN!T241+SUKOJATI!P241+WATUKEBO!AK241</f>
        <v>21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BADEAN!AB242+BLIMBINGSARI!U242+BOMO!W242+GINTANGAN!Z242+KALIGUNG!R242+KAOTAN!M242+KARANGREJO!P242+PATOMAN!T242+SUKOJATI!P242+WATUKEBO!AK242</f>
        <v>9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BADEAN!AB243+BLIMBINGSARI!U243+BOMO!W243+GINTANGAN!Z243+KALIGUNG!R243+KAOTAN!M243+KARANGREJO!P243+PATOMAN!T243+SUKOJATI!P243+WATUKEBO!AK243</f>
        <v>9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BADEAN!AB244+BLIMBINGSARI!U244+BOMO!W244+GINTANGAN!Z244+KALIGUNG!R244+KAOTAN!M244+KARANGREJO!P244+PATOMAN!T244+SUKOJATI!P244+WATUKEBO!AK244</f>
        <v>686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1433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BADEAN!AB249+BLIMBINGSARI!U249+BOMO!W249+GINTANGAN!Z249+KALIGUNG!R249+KAOTAN!M249+KARANGREJO!P249+PATOMAN!T249+SUKOJATI!P249+WATUKEBO!AK249</f>
        <v>23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BADEAN!AB250+BLIMBINGSARI!U250+BOMO!W250+GINTANGAN!Z250+KALIGUNG!R250+KAOTAN!M250+KARANGREJO!P250+PATOMAN!T250+SUKOJATI!P250+WATUKEBO!AK250</f>
        <v>11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BADEAN!AB251+BLIMBINGSARI!U251+BOMO!W251+GINTANGAN!Z251+KALIGUNG!R251+KAOTAN!M251+KARANGREJO!P251+PATOMAN!T251+SUKOJATI!P251+WATUKEBO!AK251</f>
        <v>4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BADEAN!AB252+BLIMBINGSARI!U252+BOMO!W252+GINTANGAN!Z252+KALIGUNG!R252+KAOTAN!M252+KARANGREJO!P252+PATOMAN!T252+SUKOJATI!P252+WATUKEBO!AK252</f>
        <v>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BADEAN!AB253+BLIMBINGSARI!U253+BOMO!W253+GINTANGAN!Z253+KALIGUNG!R253+KAOTAN!M253+KARANGREJO!P253+PATOMAN!T253+SUKOJATI!P253+WATUKEBO!AK253</f>
        <v>1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BADEAN!AB254+BLIMBINGSARI!U254+BOMO!W254+GINTANGAN!Z254+KALIGUNG!R254+KAOTAN!M254+KARANGREJO!P254+PATOMAN!T254+SUKOJATI!P254+WATUKEBO!AK254</f>
        <v>4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BADEAN!AB255+BLIMBINGSARI!U255+BOMO!W255+GINTANGAN!Z255+KALIGUNG!R255+KAOTAN!M255+KARANGREJO!P255+PATOMAN!T255+SUKOJATI!P255+WATUKEBO!AK255</f>
        <v>4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47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BADEAN!AB262+BLIMBINGSARI!U262+BOMO!W262+GINTANGAN!Z262+KALIGUNG!R262+KAOTAN!M262+KARANGREJO!P262+PATOMAN!T262+SUKOJATI!P262+WATUKEBO!AK262</f>
        <v>29764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BADEAN!AB263+BLIMBINGSARI!U263+BOMO!W263+GINTANGAN!Z263+KALIGUNG!R263+KAOTAN!M263+KARANGREJO!P263+PATOMAN!T263+SUKOJATI!P263+WATUKEBO!AK263</f>
        <v>4193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33957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117.0</v>
      </c>
      <c r="G14" s="19">
        <v>109.0</v>
      </c>
      <c r="H14" s="19">
        <v>108.0</v>
      </c>
      <c r="I14" s="19">
        <v>137.0</v>
      </c>
      <c r="J14" s="19">
        <v>145.0</v>
      </c>
      <c r="K14" s="19">
        <v>122.0</v>
      </c>
      <c r="L14" s="19">
        <v>119.0</v>
      </c>
      <c r="M14" s="19">
        <v>144.0</v>
      </c>
      <c r="N14" s="19">
        <v>134.0</v>
      </c>
      <c r="O14" s="19">
        <v>146.0</v>
      </c>
      <c r="P14" s="19">
        <v>128.0</v>
      </c>
      <c r="Q14" s="19">
        <v>141.0</v>
      </c>
      <c r="R14" s="19">
        <v>115.0</v>
      </c>
      <c r="S14" s="19">
        <v>85.0</v>
      </c>
      <c r="T14" s="19">
        <v>89.0</v>
      </c>
      <c r="U14" s="19">
        <v>124.0</v>
      </c>
      <c r="V14" s="19">
        <v>120.0</v>
      </c>
      <c r="W14" s="19">
        <v>134.0</v>
      </c>
      <c r="X14" s="19">
        <v>136.0</v>
      </c>
      <c r="Y14" s="19">
        <v>131.0</v>
      </c>
      <c r="Z14" s="19">
        <v>125.0</v>
      </c>
      <c r="AA14" s="19">
        <v>125.0</v>
      </c>
      <c r="AB14" s="13">
        <f t="shared" ref="AB14:AB16" si="1">SUM(E14:AA14)</f>
        <v>2869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129.0</v>
      </c>
      <c r="G15" s="19">
        <v>141.0</v>
      </c>
      <c r="H15" s="19">
        <v>122.0</v>
      </c>
      <c r="I15" s="19">
        <v>129.0</v>
      </c>
      <c r="J15" s="19">
        <v>134.0</v>
      </c>
      <c r="K15" s="19">
        <v>132.0</v>
      </c>
      <c r="L15" s="19">
        <v>151.0</v>
      </c>
      <c r="M15" s="19">
        <v>131.0</v>
      </c>
      <c r="N15" s="19">
        <v>143.0</v>
      </c>
      <c r="O15" s="19">
        <v>129.0</v>
      </c>
      <c r="P15" s="19">
        <v>126.0</v>
      </c>
      <c r="Q15" s="19">
        <v>125.0</v>
      </c>
      <c r="R15" s="19">
        <v>114.0</v>
      </c>
      <c r="S15" s="19">
        <v>102.0</v>
      </c>
      <c r="T15" s="19">
        <v>101.0</v>
      </c>
      <c r="U15" s="19">
        <v>129.0</v>
      </c>
      <c r="V15" s="19">
        <v>131.0</v>
      </c>
      <c r="W15" s="19">
        <v>126.0</v>
      </c>
      <c r="X15" s="19">
        <v>122.0</v>
      </c>
      <c r="Y15" s="19">
        <v>124.0</v>
      </c>
      <c r="Z15" s="19">
        <v>116.0</v>
      </c>
      <c r="AA15" s="19">
        <v>114.0</v>
      </c>
      <c r="AB15" s="13">
        <f t="shared" si="1"/>
        <v>2901</v>
      </c>
    </row>
    <row r="16" ht="12.75" customHeight="1">
      <c r="A16" s="25"/>
      <c r="B16" s="21"/>
      <c r="C16" s="28"/>
      <c r="D16" s="13" t="s">
        <v>14</v>
      </c>
      <c r="E16" s="13">
        <v>265.0</v>
      </c>
      <c r="F16" s="13">
        <v>246.0</v>
      </c>
      <c r="G16" s="13">
        <v>250.0</v>
      </c>
      <c r="H16" s="13">
        <v>230.0</v>
      </c>
      <c r="I16" s="13">
        <v>266.0</v>
      </c>
      <c r="J16" s="13">
        <v>279.0</v>
      </c>
      <c r="K16" s="13">
        <v>254.0</v>
      </c>
      <c r="L16" s="13">
        <v>270.0</v>
      </c>
      <c r="M16" s="13">
        <v>275.0</v>
      </c>
      <c r="N16" s="13">
        <v>277.0</v>
      </c>
      <c r="O16" s="13">
        <v>275.0</v>
      </c>
      <c r="P16" s="13">
        <v>254.0</v>
      </c>
      <c r="Q16" s="13">
        <v>266.0</v>
      </c>
      <c r="R16" s="13">
        <v>229.0</v>
      </c>
      <c r="S16" s="13">
        <v>187.0</v>
      </c>
      <c r="T16" s="13">
        <v>190.0</v>
      </c>
      <c r="U16" s="13">
        <v>253.0</v>
      </c>
      <c r="V16" s="13">
        <v>251.0</v>
      </c>
      <c r="W16" s="13">
        <v>260.0</v>
      </c>
      <c r="X16" s="13">
        <v>258.0</v>
      </c>
      <c r="Y16" s="13">
        <v>255.0</v>
      </c>
      <c r="Z16" s="13">
        <v>241.0</v>
      </c>
      <c r="AA16" s="13">
        <v>239.0</v>
      </c>
      <c r="AB16" s="13">
        <f t="shared" si="1"/>
        <v>5770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99.0</v>
      </c>
      <c r="G19" s="19">
        <v>84.0</v>
      </c>
      <c r="H19" s="19">
        <v>86.0</v>
      </c>
      <c r="I19" s="19">
        <v>104.0</v>
      </c>
      <c r="J19" s="19">
        <v>102.0</v>
      </c>
      <c r="K19" s="19">
        <v>85.0</v>
      </c>
      <c r="L19" s="19">
        <v>72.0</v>
      </c>
      <c r="M19" s="19">
        <v>104.0</v>
      </c>
      <c r="N19" s="19">
        <v>93.0</v>
      </c>
      <c r="O19" s="19">
        <v>106.0</v>
      </c>
      <c r="P19" s="19">
        <v>104.0</v>
      </c>
      <c r="Q19" s="19">
        <v>93.0</v>
      </c>
      <c r="R19" s="19">
        <v>67.0</v>
      </c>
      <c r="S19" s="19">
        <v>64.0</v>
      </c>
      <c r="T19" s="19">
        <v>55.0</v>
      </c>
      <c r="U19" s="19">
        <v>92.0</v>
      </c>
      <c r="V19" s="19">
        <v>91.0</v>
      </c>
      <c r="W19" s="19">
        <v>100.0</v>
      </c>
      <c r="X19" s="19">
        <v>98.0</v>
      </c>
      <c r="Y19" s="19">
        <v>100.0</v>
      </c>
      <c r="Z19" s="19">
        <v>104.0</v>
      </c>
      <c r="AA19" s="19">
        <v>95.0</v>
      </c>
      <c r="AB19" s="13">
        <f t="shared" ref="AB19:AB30" si="2">SUM(E19:AA19)</f>
        <v>2109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104.0</v>
      </c>
      <c r="G20" s="19">
        <v>115.0</v>
      </c>
      <c r="H20" s="19">
        <v>98.0</v>
      </c>
      <c r="I20" s="19">
        <v>108.0</v>
      </c>
      <c r="J20" s="19">
        <v>102.0</v>
      </c>
      <c r="K20" s="19">
        <v>120.0</v>
      </c>
      <c r="L20" s="19">
        <v>108.0</v>
      </c>
      <c r="M20" s="19">
        <v>111.0</v>
      </c>
      <c r="N20" s="19">
        <v>110.0</v>
      </c>
      <c r="O20" s="19">
        <v>102.0</v>
      </c>
      <c r="P20" s="19">
        <v>107.0</v>
      </c>
      <c r="Q20" s="19">
        <v>97.0</v>
      </c>
      <c r="R20" s="19">
        <v>81.0</v>
      </c>
      <c r="S20" s="19">
        <v>81.0</v>
      </c>
      <c r="T20" s="19">
        <v>71.0</v>
      </c>
      <c r="U20" s="19">
        <v>107.0</v>
      </c>
      <c r="V20" s="19">
        <v>112.0</v>
      </c>
      <c r="W20" s="19">
        <v>98.0</v>
      </c>
      <c r="X20" s="19">
        <v>104.0</v>
      </c>
      <c r="Y20" s="19">
        <v>92.0</v>
      </c>
      <c r="Z20" s="19">
        <v>101.0</v>
      </c>
      <c r="AA20" s="19">
        <v>94.0</v>
      </c>
      <c r="AB20" s="13">
        <f t="shared" si="2"/>
        <v>2337</v>
      </c>
    </row>
    <row r="21" ht="12.75" customHeight="1">
      <c r="A21" s="35"/>
      <c r="B21" s="28"/>
      <c r="C21" s="36"/>
      <c r="D21" s="13" t="s">
        <v>14</v>
      </c>
      <c r="E21" s="13">
        <v>225.0</v>
      </c>
      <c r="F21" s="13">
        <v>203.0</v>
      </c>
      <c r="G21" s="13">
        <v>199.0</v>
      </c>
      <c r="H21" s="13">
        <v>184.0</v>
      </c>
      <c r="I21" s="13">
        <v>212.0</v>
      </c>
      <c r="J21" s="13">
        <v>204.0</v>
      </c>
      <c r="K21" s="13">
        <v>205.0</v>
      </c>
      <c r="L21" s="13">
        <v>180.0</v>
      </c>
      <c r="M21" s="13">
        <v>215.0</v>
      </c>
      <c r="N21" s="13">
        <v>203.0</v>
      </c>
      <c r="O21" s="13">
        <v>208.0</v>
      </c>
      <c r="P21" s="13">
        <v>211.0</v>
      </c>
      <c r="Q21" s="13">
        <v>190.0</v>
      </c>
      <c r="R21" s="13">
        <v>148.0</v>
      </c>
      <c r="S21" s="13">
        <v>145.0</v>
      </c>
      <c r="T21" s="13">
        <v>126.0</v>
      </c>
      <c r="U21" s="13">
        <v>199.0</v>
      </c>
      <c r="V21" s="13">
        <v>203.0</v>
      </c>
      <c r="W21" s="13">
        <v>198.0</v>
      </c>
      <c r="X21" s="13">
        <v>202.0</v>
      </c>
      <c r="Y21" s="13">
        <v>192.0</v>
      </c>
      <c r="Z21" s="13">
        <v>205.0</v>
      </c>
      <c r="AA21" s="13">
        <v>189.0</v>
      </c>
      <c r="AB21" s="13">
        <f t="shared" si="2"/>
        <v>4446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2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2"/>
        <v>0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f t="shared" si="2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4.0</v>
      </c>
      <c r="H25" s="19">
        <v>0.0</v>
      </c>
      <c r="I25" s="19">
        <v>1.0</v>
      </c>
      <c r="J25" s="19">
        <v>3.0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2.0</v>
      </c>
      <c r="Q25" s="19">
        <v>4.0</v>
      </c>
      <c r="R25" s="19">
        <v>3.0</v>
      </c>
      <c r="S25" s="19">
        <v>0.0</v>
      </c>
      <c r="T25" s="19">
        <v>6.0</v>
      </c>
      <c r="U25" s="19">
        <v>0.0</v>
      </c>
      <c r="V25" s="19">
        <v>4.0</v>
      </c>
      <c r="W25" s="19">
        <v>1.0</v>
      </c>
      <c r="X25" s="19">
        <v>0.0</v>
      </c>
      <c r="Y25" s="19">
        <v>3.0</v>
      </c>
      <c r="Z25" s="19">
        <v>3.0</v>
      </c>
      <c r="AA25" s="19">
        <v>1.0</v>
      </c>
      <c r="AB25" s="13">
        <f t="shared" si="2"/>
        <v>41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3.0</v>
      </c>
      <c r="J26" s="19">
        <v>6.0</v>
      </c>
      <c r="K26" s="19">
        <v>0.0</v>
      </c>
      <c r="L26" s="19">
        <v>2.0</v>
      </c>
      <c r="M26" s="19">
        <v>2.0</v>
      </c>
      <c r="N26" s="19">
        <v>1.0</v>
      </c>
      <c r="O26" s="19">
        <v>3.0</v>
      </c>
      <c r="P26" s="19">
        <v>4.0</v>
      </c>
      <c r="Q26" s="19">
        <v>3.0</v>
      </c>
      <c r="R26" s="19">
        <v>3.0</v>
      </c>
      <c r="S26" s="19">
        <v>0.0</v>
      </c>
      <c r="T26" s="19">
        <v>6.0</v>
      </c>
      <c r="U26" s="19">
        <v>0.0</v>
      </c>
      <c r="V26" s="19">
        <v>2.0</v>
      </c>
      <c r="W26" s="19">
        <v>2.0</v>
      </c>
      <c r="X26" s="19">
        <v>0.0</v>
      </c>
      <c r="Y26" s="19">
        <v>1.0</v>
      </c>
      <c r="Z26" s="19">
        <v>0.0</v>
      </c>
      <c r="AA26" s="19">
        <v>0.0</v>
      </c>
      <c r="AB26" s="13">
        <f t="shared" si="2"/>
        <v>40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0.0</v>
      </c>
      <c r="G27" s="13">
        <v>6.0</v>
      </c>
      <c r="H27" s="13">
        <v>0.0</v>
      </c>
      <c r="I27" s="13">
        <v>4.0</v>
      </c>
      <c r="J27" s="13">
        <v>9.0</v>
      </c>
      <c r="K27" s="13">
        <v>1.0</v>
      </c>
      <c r="L27" s="13">
        <v>3.0</v>
      </c>
      <c r="M27" s="13">
        <v>2.0</v>
      </c>
      <c r="N27" s="13">
        <v>4.0</v>
      </c>
      <c r="O27" s="13">
        <v>4.0</v>
      </c>
      <c r="P27" s="13">
        <v>6.0</v>
      </c>
      <c r="Q27" s="13">
        <v>7.0</v>
      </c>
      <c r="R27" s="13">
        <v>6.0</v>
      </c>
      <c r="S27" s="13">
        <v>0.0</v>
      </c>
      <c r="T27" s="13">
        <v>12.0</v>
      </c>
      <c r="U27" s="13">
        <v>0.0</v>
      </c>
      <c r="V27" s="13">
        <v>6.0</v>
      </c>
      <c r="W27" s="13">
        <v>3.0</v>
      </c>
      <c r="X27" s="13">
        <v>0.0</v>
      </c>
      <c r="Y27" s="13">
        <v>4.0</v>
      </c>
      <c r="Z27" s="13">
        <v>3.0</v>
      </c>
      <c r="AA27" s="13">
        <v>1.0</v>
      </c>
      <c r="AB27" s="13">
        <f t="shared" si="2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111.0</v>
      </c>
      <c r="F28" s="13">
        <v>99.0</v>
      </c>
      <c r="G28" s="13">
        <v>88.0</v>
      </c>
      <c r="H28" s="13">
        <v>86.0</v>
      </c>
      <c r="I28" s="13">
        <v>105.0</v>
      </c>
      <c r="J28" s="13">
        <v>105.0</v>
      </c>
      <c r="K28" s="13">
        <v>86.0</v>
      </c>
      <c r="L28" s="13">
        <v>73.0</v>
      </c>
      <c r="M28" s="13">
        <v>104.0</v>
      </c>
      <c r="N28" s="13">
        <v>96.0</v>
      </c>
      <c r="O28" s="13">
        <v>107.0</v>
      </c>
      <c r="P28" s="13">
        <v>106.0</v>
      </c>
      <c r="Q28" s="13">
        <v>97.0</v>
      </c>
      <c r="R28" s="13">
        <v>70.0</v>
      </c>
      <c r="S28" s="13">
        <v>64.0</v>
      </c>
      <c r="T28" s="13">
        <v>61.0</v>
      </c>
      <c r="U28" s="13">
        <v>92.0</v>
      </c>
      <c r="V28" s="13">
        <v>95.0</v>
      </c>
      <c r="W28" s="13">
        <v>101.0</v>
      </c>
      <c r="X28" s="13">
        <v>98.0</v>
      </c>
      <c r="Y28" s="13">
        <v>103.0</v>
      </c>
      <c r="Z28" s="13">
        <v>107.0</v>
      </c>
      <c r="AA28" s="13">
        <v>96.0</v>
      </c>
      <c r="AB28" s="13">
        <f t="shared" si="2"/>
        <v>2150</v>
      </c>
    </row>
    <row r="29" ht="12.75" customHeight="1">
      <c r="A29" s="35"/>
      <c r="B29" s="27"/>
      <c r="C29" s="34"/>
      <c r="D29" s="13" t="s">
        <v>13</v>
      </c>
      <c r="E29" s="13">
        <v>114.0</v>
      </c>
      <c r="F29" s="13">
        <v>104.0</v>
      </c>
      <c r="G29" s="13">
        <v>117.0</v>
      </c>
      <c r="H29" s="13">
        <v>98.0</v>
      </c>
      <c r="I29" s="13">
        <v>111.0</v>
      </c>
      <c r="J29" s="13">
        <v>108.0</v>
      </c>
      <c r="K29" s="13">
        <v>120.0</v>
      </c>
      <c r="L29" s="13">
        <v>110.0</v>
      </c>
      <c r="M29" s="13">
        <v>113.0</v>
      </c>
      <c r="N29" s="13">
        <v>111.0</v>
      </c>
      <c r="O29" s="13">
        <v>105.0</v>
      </c>
      <c r="P29" s="13">
        <v>111.0</v>
      </c>
      <c r="Q29" s="13">
        <v>100.0</v>
      </c>
      <c r="R29" s="13">
        <v>84.0</v>
      </c>
      <c r="S29" s="13">
        <v>81.0</v>
      </c>
      <c r="T29" s="13">
        <v>77.0</v>
      </c>
      <c r="U29" s="13">
        <v>107.0</v>
      </c>
      <c r="V29" s="13">
        <v>114.0</v>
      </c>
      <c r="W29" s="13">
        <v>100.0</v>
      </c>
      <c r="X29" s="13">
        <v>104.0</v>
      </c>
      <c r="Y29" s="13">
        <v>93.0</v>
      </c>
      <c r="Z29" s="13">
        <v>101.0</v>
      </c>
      <c r="AA29" s="13">
        <v>94.0</v>
      </c>
      <c r="AB29" s="13">
        <f t="shared" si="2"/>
        <v>2377</v>
      </c>
    </row>
    <row r="30" ht="12.75" customHeight="1">
      <c r="A30" s="35"/>
      <c r="B30" s="28"/>
      <c r="C30" s="36"/>
      <c r="D30" s="13" t="s">
        <v>14</v>
      </c>
      <c r="E30" s="13">
        <v>225.0</v>
      </c>
      <c r="F30" s="13">
        <v>203.0</v>
      </c>
      <c r="G30" s="13">
        <v>205.0</v>
      </c>
      <c r="H30" s="13">
        <v>184.0</v>
      </c>
      <c r="I30" s="13">
        <v>216.0</v>
      </c>
      <c r="J30" s="13">
        <v>213.0</v>
      </c>
      <c r="K30" s="13">
        <v>206.0</v>
      </c>
      <c r="L30" s="13">
        <v>183.0</v>
      </c>
      <c r="M30" s="13">
        <v>217.0</v>
      </c>
      <c r="N30" s="13">
        <v>207.0</v>
      </c>
      <c r="O30" s="13">
        <v>212.0</v>
      </c>
      <c r="P30" s="13">
        <v>217.0</v>
      </c>
      <c r="Q30" s="13">
        <v>197.0</v>
      </c>
      <c r="R30" s="13">
        <v>154.0</v>
      </c>
      <c r="S30" s="13">
        <v>145.0</v>
      </c>
      <c r="T30" s="13">
        <f t="shared" ref="T30:AA30" si="3">SUM(T28:T29)</f>
        <v>138</v>
      </c>
      <c r="U30" s="13">
        <f t="shared" si="3"/>
        <v>199</v>
      </c>
      <c r="V30" s="13">
        <f t="shared" si="3"/>
        <v>209</v>
      </c>
      <c r="W30" s="13">
        <f t="shared" si="3"/>
        <v>201</v>
      </c>
      <c r="X30" s="13">
        <f t="shared" si="3"/>
        <v>202</v>
      </c>
      <c r="Y30" s="13">
        <f t="shared" si="3"/>
        <v>196</v>
      </c>
      <c r="Z30" s="13">
        <f t="shared" si="3"/>
        <v>208</v>
      </c>
      <c r="AA30" s="13">
        <f t="shared" si="3"/>
        <v>190</v>
      </c>
      <c r="AB30" s="13">
        <f t="shared" si="2"/>
        <v>4527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8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251.0</v>
      </c>
      <c r="G33" s="19">
        <v>255.0</v>
      </c>
      <c r="H33" s="19">
        <v>235.0</v>
      </c>
      <c r="I33" s="19">
        <v>272.0</v>
      </c>
      <c r="J33" s="19">
        <v>285.0</v>
      </c>
      <c r="K33" s="19">
        <v>260.0</v>
      </c>
      <c r="L33" s="19">
        <v>276.0</v>
      </c>
      <c r="M33" s="19">
        <v>281.0</v>
      </c>
      <c r="N33" s="19">
        <v>283.0</v>
      </c>
      <c r="O33" s="19">
        <v>281.0</v>
      </c>
      <c r="P33" s="19">
        <v>260.0</v>
      </c>
      <c r="Q33" s="19">
        <v>272.0</v>
      </c>
      <c r="R33" s="19">
        <v>234.0</v>
      </c>
      <c r="S33" s="19">
        <v>191.0</v>
      </c>
      <c r="T33" s="19">
        <v>192.0</v>
      </c>
      <c r="U33" s="19">
        <v>199.0</v>
      </c>
      <c r="V33" s="19">
        <v>257.0</v>
      </c>
      <c r="W33" s="19">
        <v>266.0</v>
      </c>
      <c r="X33" s="19">
        <v>264.0</v>
      </c>
      <c r="Y33" s="19">
        <v>261.0</v>
      </c>
      <c r="Z33" s="19">
        <v>246.0</v>
      </c>
      <c r="AA33" s="19">
        <v>244.0</v>
      </c>
      <c r="AB33" s="13">
        <f t="shared" ref="AB33:AB36" si="4">SUM(E33:AA33)</f>
        <v>5836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203.0</v>
      </c>
      <c r="G34" s="13">
        <v>205.0</v>
      </c>
      <c r="H34" s="13">
        <v>184.0</v>
      </c>
      <c r="I34" s="13">
        <v>216.0</v>
      </c>
      <c r="J34" s="13">
        <v>213.0</v>
      </c>
      <c r="K34" s="13">
        <v>206.0</v>
      </c>
      <c r="L34" s="13">
        <v>183.0</v>
      </c>
      <c r="M34" s="13">
        <v>217.0</v>
      </c>
      <c r="N34" s="13">
        <v>207.0</v>
      </c>
      <c r="O34" s="13">
        <v>212.0</v>
      </c>
      <c r="P34" s="13">
        <v>217.0</v>
      </c>
      <c r="Q34" s="13">
        <v>197.0</v>
      </c>
      <c r="R34" s="13">
        <v>154.0</v>
      </c>
      <c r="S34" s="13">
        <v>145.0</v>
      </c>
      <c r="T34" s="13">
        <v>138.0</v>
      </c>
      <c r="U34" s="13">
        <v>199.0</v>
      </c>
      <c r="V34" s="13">
        <v>209.0</v>
      </c>
      <c r="W34" s="13">
        <v>201.0</v>
      </c>
      <c r="X34" s="13">
        <v>202.0</v>
      </c>
      <c r="Y34" s="13">
        <v>196.0</v>
      </c>
      <c r="Z34" s="13">
        <v>208.0</v>
      </c>
      <c r="AA34" s="13">
        <v>190.0</v>
      </c>
      <c r="AB34" s="13">
        <f t="shared" si="4"/>
        <v>4527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2.0</v>
      </c>
      <c r="H35" s="19">
        <v>3.0</v>
      </c>
      <c r="I35" s="19">
        <v>0.0</v>
      </c>
      <c r="J35" s="19">
        <v>4.0</v>
      </c>
      <c r="K35" s="19">
        <v>0.0</v>
      </c>
      <c r="L35" s="19">
        <v>0.0</v>
      </c>
      <c r="M35" s="19">
        <v>0.0</v>
      </c>
      <c r="N35" s="19">
        <v>2.0</v>
      </c>
      <c r="O35" s="19">
        <v>3.0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4"/>
        <v>17</v>
      </c>
    </row>
    <row r="36" ht="12.75" customHeight="1">
      <c r="A36" s="19">
        <v>4.0</v>
      </c>
      <c r="B36" s="20" t="s">
        <v>30</v>
      </c>
      <c r="C36" s="15"/>
      <c r="D36" s="16"/>
      <c r="E36" s="13">
        <v>46.0</v>
      </c>
      <c r="F36" s="13">
        <v>46.0</v>
      </c>
      <c r="G36" s="13">
        <v>48.0</v>
      </c>
      <c r="H36" s="13">
        <v>48.0</v>
      </c>
      <c r="I36" s="13">
        <v>56.0</v>
      </c>
      <c r="J36" s="13">
        <v>68.0</v>
      </c>
      <c r="K36" s="13">
        <v>54.0</v>
      </c>
      <c r="L36" s="13">
        <v>93.0</v>
      </c>
      <c r="M36" s="13">
        <v>64.0</v>
      </c>
      <c r="N36" s="13">
        <v>74.0</v>
      </c>
      <c r="O36" s="13">
        <v>66.0</v>
      </c>
      <c r="P36" s="13">
        <v>43.0</v>
      </c>
      <c r="Q36" s="13">
        <v>75.0</v>
      </c>
      <c r="R36" s="13">
        <v>79.0</v>
      </c>
      <c r="S36" s="13">
        <v>46.0</v>
      </c>
      <c r="T36" s="13">
        <v>54.0</v>
      </c>
      <c r="U36" s="13">
        <v>0.0</v>
      </c>
      <c r="V36" s="13">
        <v>48.0</v>
      </c>
      <c r="W36" s="13">
        <v>65.0</v>
      </c>
      <c r="X36" s="13">
        <v>62.0</v>
      </c>
      <c r="Y36" s="13">
        <v>65.0</v>
      </c>
      <c r="Z36" s="13">
        <v>38.0</v>
      </c>
      <c r="AA36" s="13">
        <v>54.0</v>
      </c>
      <c r="AB36" s="13">
        <f t="shared" si="4"/>
        <v>1292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3">
        <f t="shared" ref="AB39:AB41" si="5">SUM(E39:AA39)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3.0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3">
        <f t="shared" si="5"/>
        <v>6</v>
      </c>
    </row>
    <row r="41" ht="12.75" customHeight="1">
      <c r="A41" s="41"/>
      <c r="B41" s="44"/>
      <c r="C41" s="28"/>
      <c r="D41" s="13" t="s">
        <v>14</v>
      </c>
      <c r="E41" s="13">
        <v>0.0</v>
      </c>
      <c r="F41" s="13">
        <v>0.0</v>
      </c>
      <c r="G41" s="13">
        <v>0.0</v>
      </c>
      <c r="H41" s="13">
        <v>0.0</v>
      </c>
      <c r="I41" s="13">
        <v>2.0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0.0</v>
      </c>
      <c r="Q41" s="13">
        <v>0.0</v>
      </c>
      <c r="R41" s="13">
        <v>4.0</v>
      </c>
      <c r="S41" s="13">
        <v>0.0</v>
      </c>
      <c r="T41" s="13">
        <v>0.0</v>
      </c>
      <c r="U41" s="13">
        <v>0.0</v>
      </c>
      <c r="V41" s="13">
        <v>0.0</v>
      </c>
      <c r="W41" s="13">
        <v>0.0</v>
      </c>
      <c r="X41" s="13">
        <v>0.0</v>
      </c>
      <c r="Y41" s="13">
        <v>0.0</v>
      </c>
      <c r="Z41" s="13">
        <v>0.0</v>
      </c>
      <c r="AA41" s="13">
        <v>3.0</v>
      </c>
      <c r="AB41" s="13">
        <f t="shared" si="5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3.0</v>
      </c>
      <c r="G45" s="19">
        <v>5.0</v>
      </c>
      <c r="H45" s="19">
        <v>3.0</v>
      </c>
      <c r="I45" s="19">
        <v>8.0</v>
      </c>
      <c r="J45" s="19">
        <v>3.0</v>
      </c>
      <c r="K45" s="19">
        <v>7.0</v>
      </c>
      <c r="L45" s="19">
        <v>4.0</v>
      </c>
      <c r="M45" s="19">
        <v>10.0</v>
      </c>
      <c r="N45" s="19">
        <v>10.0</v>
      </c>
      <c r="O45" s="19">
        <v>2.0</v>
      </c>
      <c r="P45" s="19">
        <v>16.0</v>
      </c>
      <c r="Q45" s="19">
        <v>10.0</v>
      </c>
      <c r="R45" s="19">
        <v>12.0</v>
      </c>
      <c r="S45" s="19">
        <v>4.0</v>
      </c>
      <c r="T45" s="19">
        <v>3.0</v>
      </c>
      <c r="U45" s="19">
        <v>6.0</v>
      </c>
      <c r="V45" s="19">
        <v>9.0</v>
      </c>
      <c r="W45" s="19">
        <v>7.0</v>
      </c>
      <c r="X45" s="19">
        <v>8.0</v>
      </c>
      <c r="Y45" s="19">
        <v>2.0</v>
      </c>
      <c r="Z45" s="19">
        <v>9.0</v>
      </c>
      <c r="AA45" s="19">
        <v>8.0</v>
      </c>
      <c r="AB45" s="13">
        <f t="shared" ref="AB45:AB52" si="6">SUM(E45:AA45)</f>
        <v>153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4.0</v>
      </c>
      <c r="G46" s="19">
        <v>23.0</v>
      </c>
      <c r="H46" s="19">
        <v>27.0</v>
      </c>
      <c r="I46" s="19">
        <v>22.0</v>
      </c>
      <c r="J46" s="19">
        <v>8.0</v>
      </c>
      <c r="K46" s="19">
        <v>17.0</v>
      </c>
      <c r="L46" s="19">
        <v>6.0</v>
      </c>
      <c r="M46" s="19">
        <v>8.0</v>
      </c>
      <c r="N46" s="19">
        <v>17.0</v>
      </c>
      <c r="O46" s="19">
        <v>5.0</v>
      </c>
      <c r="P46" s="19">
        <v>49.0</v>
      </c>
      <c r="Q46" s="19">
        <v>45.0</v>
      </c>
      <c r="R46" s="19">
        <v>36.0</v>
      </c>
      <c r="S46" s="19">
        <v>32.0</v>
      </c>
      <c r="T46" s="19">
        <v>11.0</v>
      </c>
      <c r="U46" s="19">
        <v>8.0</v>
      </c>
      <c r="V46" s="19">
        <v>20.0</v>
      </c>
      <c r="W46" s="19">
        <v>20.0</v>
      </c>
      <c r="X46" s="19">
        <v>10.0</v>
      </c>
      <c r="Y46" s="19">
        <v>8.0</v>
      </c>
      <c r="Z46" s="19">
        <v>7.0</v>
      </c>
      <c r="AA46" s="19">
        <v>9.0</v>
      </c>
      <c r="AB46" s="13">
        <f t="shared" si="6"/>
        <v>405</v>
      </c>
    </row>
    <row r="47" ht="12.75" customHeight="1">
      <c r="A47" s="18"/>
      <c r="B47" s="55">
        <v>2.0</v>
      </c>
      <c r="C47" s="50" t="s">
        <v>41</v>
      </c>
      <c r="D47" s="16"/>
      <c r="E47" s="19">
        <v>11.0</v>
      </c>
      <c r="F47" s="19">
        <v>3.0</v>
      </c>
      <c r="G47" s="19">
        <v>1.0</v>
      </c>
      <c r="H47" s="19">
        <v>4.0</v>
      </c>
      <c r="I47" s="19">
        <v>3.0</v>
      </c>
      <c r="J47" s="19">
        <v>5.0</v>
      </c>
      <c r="K47" s="19">
        <v>11.0</v>
      </c>
      <c r="L47" s="19">
        <v>1.0</v>
      </c>
      <c r="M47" s="19">
        <v>15.0</v>
      </c>
      <c r="N47" s="19">
        <v>11.0</v>
      </c>
      <c r="O47" s="19">
        <v>1.0</v>
      </c>
      <c r="P47" s="19">
        <v>2.0</v>
      </c>
      <c r="Q47" s="19">
        <v>4.0</v>
      </c>
      <c r="R47" s="19">
        <v>4.0</v>
      </c>
      <c r="S47" s="19">
        <v>2.0</v>
      </c>
      <c r="T47" s="19">
        <v>1.0</v>
      </c>
      <c r="U47" s="19">
        <v>0.0</v>
      </c>
      <c r="V47" s="19">
        <v>1.0</v>
      </c>
      <c r="W47" s="19">
        <v>1.0</v>
      </c>
      <c r="X47" s="19">
        <v>3.0</v>
      </c>
      <c r="Y47" s="19">
        <v>0.0</v>
      </c>
      <c r="Z47" s="19">
        <v>1.0</v>
      </c>
      <c r="AA47" s="19">
        <v>0.0</v>
      </c>
      <c r="AB47" s="13">
        <f t="shared" si="6"/>
        <v>85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0.0</v>
      </c>
      <c r="S48" s="19">
        <v>1.0</v>
      </c>
      <c r="T48" s="19">
        <v>1.0</v>
      </c>
      <c r="U48" s="19">
        <v>0.0</v>
      </c>
      <c r="V48" s="19">
        <v>0.0</v>
      </c>
      <c r="W48" s="19">
        <v>1.0</v>
      </c>
      <c r="X48" s="19">
        <v>0.0</v>
      </c>
      <c r="Y48" s="19">
        <v>0.0</v>
      </c>
      <c r="Z48" s="19">
        <v>0.0</v>
      </c>
      <c r="AA48" s="19">
        <v>0.0</v>
      </c>
      <c r="AB48" s="13">
        <f t="shared" si="6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6.0</v>
      </c>
      <c r="K49" s="19">
        <v>3.0</v>
      </c>
      <c r="L49" s="19">
        <v>0.0</v>
      </c>
      <c r="M49" s="19">
        <v>1.0</v>
      </c>
      <c r="N49" s="19">
        <v>0.0</v>
      </c>
      <c r="O49" s="19">
        <v>1.0</v>
      </c>
      <c r="P49" s="19">
        <v>1.0</v>
      </c>
      <c r="Q49" s="19">
        <v>3.0</v>
      </c>
      <c r="R49" s="19">
        <v>0.0</v>
      </c>
      <c r="S49" s="19">
        <v>0.0</v>
      </c>
      <c r="T49" s="19">
        <v>2.0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3">
        <f t="shared" si="6"/>
        <v>18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2.0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1.0</v>
      </c>
      <c r="O50" s="19">
        <v>0.0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3">
        <f t="shared" si="6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1.0</v>
      </c>
      <c r="Y51" s="19">
        <v>0.0</v>
      </c>
      <c r="Z51" s="19">
        <v>0.0</v>
      </c>
      <c r="AA51" s="19">
        <v>0.0</v>
      </c>
      <c r="AB51" s="13">
        <f t="shared" si="6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3">
        <f t="shared" si="6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A55" si="7">SUM(E45:E52)</f>
        <v>28</v>
      </c>
      <c r="F55" s="13">
        <f t="shared" si="7"/>
        <v>10</v>
      </c>
      <c r="G55" s="13">
        <f t="shared" si="7"/>
        <v>29</v>
      </c>
      <c r="H55" s="13">
        <f t="shared" si="7"/>
        <v>37</v>
      </c>
      <c r="I55" s="13">
        <f t="shared" si="7"/>
        <v>33</v>
      </c>
      <c r="J55" s="13">
        <f t="shared" si="7"/>
        <v>22</v>
      </c>
      <c r="K55" s="13">
        <f t="shared" si="7"/>
        <v>39</v>
      </c>
      <c r="L55" s="13">
        <f t="shared" si="7"/>
        <v>11</v>
      </c>
      <c r="M55" s="13">
        <f t="shared" si="7"/>
        <v>36</v>
      </c>
      <c r="N55" s="13">
        <f t="shared" si="7"/>
        <v>40</v>
      </c>
      <c r="O55" s="13">
        <f t="shared" si="7"/>
        <v>9</v>
      </c>
      <c r="P55" s="13">
        <f t="shared" si="7"/>
        <v>71</v>
      </c>
      <c r="Q55" s="13">
        <f t="shared" si="7"/>
        <v>62</v>
      </c>
      <c r="R55" s="13">
        <f t="shared" si="7"/>
        <v>52</v>
      </c>
      <c r="S55" s="13">
        <f t="shared" si="7"/>
        <v>39</v>
      </c>
      <c r="T55" s="13">
        <f t="shared" si="7"/>
        <v>18</v>
      </c>
      <c r="U55" s="13">
        <f t="shared" si="7"/>
        <v>14</v>
      </c>
      <c r="V55" s="13">
        <f t="shared" si="7"/>
        <v>32</v>
      </c>
      <c r="W55" s="13">
        <f t="shared" si="7"/>
        <v>29</v>
      </c>
      <c r="X55" s="13">
        <f t="shared" si="7"/>
        <v>22</v>
      </c>
      <c r="Y55" s="13">
        <f t="shared" si="7"/>
        <v>10</v>
      </c>
      <c r="Z55" s="13">
        <f t="shared" si="7"/>
        <v>17</v>
      </c>
      <c r="AA55" s="13">
        <f t="shared" si="7"/>
        <v>17</v>
      </c>
      <c r="AB55" s="13">
        <f>SUM(E55:AA55)</f>
        <v>677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6.0</v>
      </c>
      <c r="G57" s="19">
        <v>0.0</v>
      </c>
      <c r="H57" s="19">
        <v>0.0</v>
      </c>
      <c r="I57" s="19">
        <v>5.0</v>
      </c>
      <c r="J57" s="19">
        <v>9.0</v>
      </c>
      <c r="K57" s="19">
        <v>2.0</v>
      </c>
      <c r="L57" s="19">
        <v>2.0</v>
      </c>
      <c r="M57" s="19">
        <v>3.0</v>
      </c>
      <c r="N57" s="19">
        <v>12.0</v>
      </c>
      <c r="O57" s="19">
        <v>2.0</v>
      </c>
      <c r="P57" s="19">
        <v>7.0</v>
      </c>
      <c r="Q57" s="19">
        <v>6.0</v>
      </c>
      <c r="R57" s="19">
        <v>5.0</v>
      </c>
      <c r="S57" s="19">
        <v>4.0</v>
      </c>
      <c r="T57" s="19">
        <v>4.0</v>
      </c>
      <c r="U57" s="19">
        <v>5.0</v>
      </c>
      <c r="V57" s="19">
        <v>7.0</v>
      </c>
      <c r="W57" s="19">
        <v>6.0</v>
      </c>
      <c r="X57" s="19">
        <v>14.0</v>
      </c>
      <c r="Y57" s="19">
        <v>8.0</v>
      </c>
      <c r="Z57" s="19">
        <v>11.0</v>
      </c>
      <c r="AA57" s="19">
        <v>6.0</v>
      </c>
      <c r="AB57" s="13">
        <f t="shared" ref="AB57:AB64" si="8">SUM(E57:AA57)</f>
        <v>132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13.0</v>
      </c>
      <c r="F58" s="19">
        <v>7.0</v>
      </c>
      <c r="G58" s="19">
        <v>14.0</v>
      </c>
      <c r="H58" s="19">
        <v>5.0</v>
      </c>
      <c r="I58" s="19">
        <v>7.0</v>
      </c>
      <c r="J58" s="19">
        <v>2.0</v>
      </c>
      <c r="K58" s="19">
        <v>15.0</v>
      </c>
      <c r="L58" s="19">
        <v>3.0</v>
      </c>
      <c r="M58" s="19">
        <v>4.0</v>
      </c>
      <c r="N58" s="19">
        <v>2.0</v>
      </c>
      <c r="O58" s="19">
        <v>1.0</v>
      </c>
      <c r="P58" s="19">
        <v>3.0</v>
      </c>
      <c r="Q58" s="19">
        <v>4.0</v>
      </c>
      <c r="R58" s="19">
        <v>0.0</v>
      </c>
      <c r="S58" s="19">
        <v>1.0</v>
      </c>
      <c r="T58" s="19">
        <v>2.0</v>
      </c>
      <c r="U58" s="19">
        <v>7.0</v>
      </c>
      <c r="V58" s="19">
        <v>1.0</v>
      </c>
      <c r="W58" s="19">
        <v>3.0</v>
      </c>
      <c r="X58" s="19">
        <v>4.0</v>
      </c>
      <c r="Y58" s="19">
        <v>1.0</v>
      </c>
      <c r="Z58" s="19">
        <v>3.0</v>
      </c>
      <c r="AA58" s="19">
        <v>3.0</v>
      </c>
      <c r="AB58" s="13">
        <f t="shared" si="8"/>
        <v>105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1.0</v>
      </c>
      <c r="G59" s="19">
        <v>0.0</v>
      </c>
      <c r="H59" s="19">
        <v>1.0</v>
      </c>
      <c r="I59" s="19">
        <v>1.0</v>
      </c>
      <c r="J59" s="19">
        <v>2.0</v>
      </c>
      <c r="K59" s="19">
        <v>3.0</v>
      </c>
      <c r="L59" s="19">
        <v>2.0</v>
      </c>
      <c r="M59" s="19">
        <v>2.0</v>
      </c>
      <c r="N59" s="19">
        <v>2.0</v>
      </c>
      <c r="O59" s="19">
        <v>0.0</v>
      </c>
      <c r="P59" s="19">
        <v>4.0</v>
      </c>
      <c r="Q59" s="19">
        <v>0.0</v>
      </c>
      <c r="R59" s="19">
        <v>1.0</v>
      </c>
      <c r="S59" s="19">
        <v>2.0</v>
      </c>
      <c r="T59" s="19">
        <v>0.0</v>
      </c>
      <c r="U59" s="19">
        <v>0.0</v>
      </c>
      <c r="V59" s="19">
        <v>1.0</v>
      </c>
      <c r="W59" s="19">
        <v>1.0</v>
      </c>
      <c r="X59" s="19">
        <v>2.0</v>
      </c>
      <c r="Y59" s="19">
        <v>1.0</v>
      </c>
      <c r="Z59" s="19">
        <v>0.0</v>
      </c>
      <c r="AA59" s="19">
        <v>0.0</v>
      </c>
      <c r="AB59" s="13">
        <f t="shared" si="8"/>
        <v>27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1.0</v>
      </c>
      <c r="O60" s="19">
        <v>0.0</v>
      </c>
      <c r="P60" s="19">
        <v>3.0</v>
      </c>
      <c r="Q60" s="19">
        <v>2.0</v>
      </c>
      <c r="R60" s="19">
        <v>0.0</v>
      </c>
      <c r="S60" s="19">
        <v>0.0</v>
      </c>
      <c r="T60" s="19">
        <v>0.0</v>
      </c>
      <c r="U60" s="19">
        <v>1.0</v>
      </c>
      <c r="V60" s="19">
        <v>1.0</v>
      </c>
      <c r="W60" s="19">
        <v>2.0</v>
      </c>
      <c r="X60" s="19">
        <v>0.0</v>
      </c>
      <c r="Y60" s="19">
        <v>0.0</v>
      </c>
      <c r="Z60" s="19">
        <v>0.0</v>
      </c>
      <c r="AA60" s="19">
        <v>0.0</v>
      </c>
      <c r="AB60" s="13">
        <f t="shared" si="8"/>
        <v>12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1.0</v>
      </c>
      <c r="M61" s="19">
        <v>0.0</v>
      </c>
      <c r="N61" s="19">
        <v>0.0</v>
      </c>
      <c r="O61" s="19">
        <v>0.0</v>
      </c>
      <c r="P61" s="19">
        <v>0.0</v>
      </c>
      <c r="Q61" s="19">
        <v>1.0</v>
      </c>
      <c r="R61" s="19">
        <v>1.0</v>
      </c>
      <c r="S61" s="19">
        <v>0.0</v>
      </c>
      <c r="T61" s="19">
        <v>2.0</v>
      </c>
      <c r="U61" s="19">
        <v>0.0</v>
      </c>
      <c r="V61" s="19">
        <v>0.0</v>
      </c>
      <c r="W61" s="19">
        <v>1.0</v>
      </c>
      <c r="X61" s="19">
        <v>0.0</v>
      </c>
      <c r="Y61" s="19">
        <v>0.0</v>
      </c>
      <c r="Z61" s="19">
        <v>0.0</v>
      </c>
      <c r="AA61" s="19">
        <v>0.0</v>
      </c>
      <c r="AB61" s="13">
        <f t="shared" si="8"/>
        <v>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1.0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3">
        <f t="shared" si="8"/>
        <v>4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2.0</v>
      </c>
      <c r="X63" s="19">
        <v>0.0</v>
      </c>
      <c r="Y63" s="19">
        <v>0.0</v>
      </c>
      <c r="Z63" s="19">
        <v>0.0</v>
      </c>
      <c r="AA63" s="19">
        <v>0.0</v>
      </c>
      <c r="AB63" s="13">
        <f t="shared" si="8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4.0</v>
      </c>
      <c r="G64" s="19">
        <v>19.0</v>
      </c>
      <c r="H64" s="19">
        <v>7.0</v>
      </c>
      <c r="I64" s="19">
        <v>0.0</v>
      </c>
      <c r="J64" s="19">
        <v>1.0</v>
      </c>
      <c r="K64" s="19">
        <v>7.0</v>
      </c>
      <c r="L64" s="19">
        <v>0.0</v>
      </c>
      <c r="M64" s="19">
        <v>1.0</v>
      </c>
      <c r="N64" s="19">
        <v>6.0</v>
      </c>
      <c r="O64" s="19">
        <v>0.0</v>
      </c>
      <c r="P64" s="19">
        <v>0.0</v>
      </c>
      <c r="Q64" s="19">
        <v>0.0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3">
        <f t="shared" si="8"/>
        <v>46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A67" si="9">SUM(E57:E64)</f>
        <v>23</v>
      </c>
      <c r="F67" s="13">
        <f t="shared" si="9"/>
        <v>19</v>
      </c>
      <c r="G67" s="13">
        <f t="shared" si="9"/>
        <v>33</v>
      </c>
      <c r="H67" s="13">
        <f t="shared" si="9"/>
        <v>13</v>
      </c>
      <c r="I67" s="13">
        <f t="shared" si="9"/>
        <v>14</v>
      </c>
      <c r="J67" s="13">
        <f t="shared" si="9"/>
        <v>15</v>
      </c>
      <c r="K67" s="13">
        <f t="shared" si="9"/>
        <v>27</v>
      </c>
      <c r="L67" s="13">
        <f t="shared" si="9"/>
        <v>9</v>
      </c>
      <c r="M67" s="13">
        <f t="shared" si="9"/>
        <v>10</v>
      </c>
      <c r="N67" s="13">
        <f t="shared" si="9"/>
        <v>24</v>
      </c>
      <c r="O67" s="13">
        <f t="shared" si="9"/>
        <v>3</v>
      </c>
      <c r="P67" s="13">
        <f t="shared" si="9"/>
        <v>17</v>
      </c>
      <c r="Q67" s="13">
        <f t="shared" si="9"/>
        <v>14</v>
      </c>
      <c r="R67" s="13">
        <f t="shared" si="9"/>
        <v>8</v>
      </c>
      <c r="S67" s="13">
        <f t="shared" si="9"/>
        <v>8</v>
      </c>
      <c r="T67" s="13">
        <f t="shared" si="9"/>
        <v>9</v>
      </c>
      <c r="U67" s="13">
        <f t="shared" si="9"/>
        <v>13</v>
      </c>
      <c r="V67" s="13">
        <f t="shared" si="9"/>
        <v>10</v>
      </c>
      <c r="W67" s="13">
        <f t="shared" si="9"/>
        <v>15</v>
      </c>
      <c r="X67" s="13">
        <f t="shared" si="9"/>
        <v>20</v>
      </c>
      <c r="Y67" s="13">
        <f t="shared" si="9"/>
        <v>10</v>
      </c>
      <c r="Z67" s="13">
        <f t="shared" si="9"/>
        <v>14</v>
      </c>
      <c r="AA67" s="13">
        <f t="shared" si="9"/>
        <v>9</v>
      </c>
      <c r="AB67" s="13">
        <f>SUM(E67:AA67)</f>
        <v>337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6.0</v>
      </c>
      <c r="G69" s="19">
        <v>0.0</v>
      </c>
      <c r="H69" s="19">
        <v>3.0</v>
      </c>
      <c r="I69" s="19">
        <v>1.0</v>
      </c>
      <c r="J69" s="19">
        <v>1.0</v>
      </c>
      <c r="K69" s="19">
        <v>0.0</v>
      </c>
      <c r="L69" s="19">
        <v>0.0</v>
      </c>
      <c r="M69" s="19">
        <v>3.0</v>
      </c>
      <c r="N69" s="19">
        <v>4.0</v>
      </c>
      <c r="O69" s="19">
        <v>1.0</v>
      </c>
      <c r="P69" s="19">
        <v>1.0</v>
      </c>
      <c r="Q69" s="19">
        <v>1.0</v>
      </c>
      <c r="R69" s="19">
        <v>1.0</v>
      </c>
      <c r="S69" s="19">
        <v>0.0</v>
      </c>
      <c r="T69" s="19">
        <v>1.0</v>
      </c>
      <c r="U69" s="19">
        <v>0.0</v>
      </c>
      <c r="V69" s="19">
        <v>0.0</v>
      </c>
      <c r="W69" s="19">
        <v>3.0</v>
      </c>
      <c r="X69" s="19">
        <v>1.0</v>
      </c>
      <c r="Y69" s="19">
        <v>2.0</v>
      </c>
      <c r="Z69" s="19">
        <v>3.0</v>
      </c>
      <c r="AA69" s="19">
        <v>1.0</v>
      </c>
      <c r="AB69" s="13">
        <f t="shared" ref="AB69:AB76" si="10">SUM(E69:AA69)</f>
        <v>36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13.0</v>
      </c>
      <c r="F70" s="19">
        <v>11.0</v>
      </c>
      <c r="G70" s="19">
        <v>0.0</v>
      </c>
      <c r="H70" s="19">
        <v>1.0</v>
      </c>
      <c r="I70" s="19">
        <v>10.0</v>
      </c>
      <c r="J70" s="19">
        <v>7.0</v>
      </c>
      <c r="K70" s="19">
        <v>1.0</v>
      </c>
      <c r="L70" s="19">
        <v>0.0</v>
      </c>
      <c r="M70" s="19">
        <v>0.0</v>
      </c>
      <c r="N70" s="19">
        <v>2.0</v>
      </c>
      <c r="O70" s="19">
        <v>28.0</v>
      </c>
      <c r="P70" s="19">
        <v>11.0</v>
      </c>
      <c r="Q70" s="19">
        <v>16.0</v>
      </c>
      <c r="R70" s="19">
        <v>3.0</v>
      </c>
      <c r="S70" s="19">
        <v>7.0</v>
      </c>
      <c r="T70" s="19">
        <v>3.0</v>
      </c>
      <c r="U70" s="19">
        <v>9.0</v>
      </c>
      <c r="V70" s="19">
        <v>9.0</v>
      </c>
      <c r="W70" s="19">
        <v>2.0</v>
      </c>
      <c r="X70" s="19">
        <v>18.0</v>
      </c>
      <c r="Y70" s="19">
        <v>4.0</v>
      </c>
      <c r="Z70" s="19">
        <v>4.0</v>
      </c>
      <c r="AA70" s="19">
        <v>12.0</v>
      </c>
      <c r="AB70" s="13">
        <f t="shared" si="10"/>
        <v>171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2.0</v>
      </c>
      <c r="G71" s="19">
        <v>0.0</v>
      </c>
      <c r="H71" s="19">
        <v>0.0</v>
      </c>
      <c r="I71" s="19">
        <v>2.0</v>
      </c>
      <c r="J71" s="19">
        <v>0.0</v>
      </c>
      <c r="K71" s="19">
        <v>0.0</v>
      </c>
      <c r="L71" s="19">
        <v>0.0</v>
      </c>
      <c r="M71" s="19">
        <v>0.0</v>
      </c>
      <c r="N71" s="19">
        <v>3.0</v>
      </c>
      <c r="O71" s="19">
        <v>0.0</v>
      </c>
      <c r="P71" s="19">
        <v>0.0</v>
      </c>
      <c r="Q71" s="19">
        <v>3.0</v>
      </c>
      <c r="R71" s="19">
        <v>0.0</v>
      </c>
      <c r="S71" s="19">
        <v>0.0</v>
      </c>
      <c r="T71" s="19">
        <v>0.0</v>
      </c>
      <c r="U71" s="19">
        <v>1.0</v>
      </c>
      <c r="V71" s="19">
        <v>1.0</v>
      </c>
      <c r="W71" s="19">
        <v>0.0</v>
      </c>
      <c r="X71" s="19">
        <v>2.0</v>
      </c>
      <c r="Y71" s="19">
        <v>3.0</v>
      </c>
      <c r="Z71" s="19">
        <v>1.0</v>
      </c>
      <c r="AA71" s="19">
        <v>1.0</v>
      </c>
      <c r="AB71" s="13">
        <f t="shared" si="10"/>
        <v>21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0.0</v>
      </c>
      <c r="G72" s="19">
        <v>1.0</v>
      </c>
      <c r="H72" s="19">
        <v>0.0</v>
      </c>
      <c r="I72" s="19">
        <v>0.0</v>
      </c>
      <c r="J72" s="19">
        <v>0.0</v>
      </c>
      <c r="K72" s="19">
        <v>1.0</v>
      </c>
      <c r="L72" s="19">
        <v>3.0</v>
      </c>
      <c r="M72" s="19">
        <v>0.0</v>
      </c>
      <c r="N72" s="19">
        <v>0.0</v>
      </c>
      <c r="O72" s="19">
        <v>0.0</v>
      </c>
      <c r="P72" s="19">
        <v>0.0</v>
      </c>
      <c r="Q72" s="19">
        <v>0.0</v>
      </c>
      <c r="R72" s="19">
        <v>0.0</v>
      </c>
      <c r="S72" s="19">
        <v>0.0</v>
      </c>
      <c r="T72" s="19">
        <v>0.0</v>
      </c>
      <c r="U72" s="19">
        <v>0.0</v>
      </c>
      <c r="V72" s="19">
        <v>0.0</v>
      </c>
      <c r="W72" s="19">
        <v>0.0</v>
      </c>
      <c r="X72" s="19">
        <v>0.0</v>
      </c>
      <c r="Y72" s="19">
        <v>0.0</v>
      </c>
      <c r="Z72" s="19">
        <v>2.0</v>
      </c>
      <c r="AA72" s="19">
        <v>0.0</v>
      </c>
      <c r="AB72" s="13">
        <f t="shared" si="10"/>
        <v>8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3">
        <f t="shared" si="10"/>
        <v>1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0.0</v>
      </c>
      <c r="H74" s="19">
        <v>1.0</v>
      </c>
      <c r="I74" s="19">
        <v>0.0</v>
      </c>
      <c r="J74" s="19">
        <v>0.0</v>
      </c>
      <c r="K74" s="19">
        <v>0.0</v>
      </c>
      <c r="L74" s="19">
        <v>2.0</v>
      </c>
      <c r="M74" s="19">
        <v>1.0</v>
      </c>
      <c r="N74" s="19">
        <v>0.0</v>
      </c>
      <c r="O74" s="19">
        <v>0.0</v>
      </c>
      <c r="P74" s="19">
        <v>1.0</v>
      </c>
      <c r="Q74" s="19">
        <v>1.0</v>
      </c>
      <c r="R74" s="19">
        <v>0.0</v>
      </c>
      <c r="S74" s="19">
        <v>3.0</v>
      </c>
      <c r="T74" s="19">
        <v>1.0</v>
      </c>
      <c r="U74" s="19">
        <v>2.0</v>
      </c>
      <c r="V74" s="19">
        <v>0.0</v>
      </c>
      <c r="W74" s="19">
        <v>0.0</v>
      </c>
      <c r="X74" s="19">
        <v>1.0</v>
      </c>
      <c r="Y74" s="19">
        <v>2.0</v>
      </c>
      <c r="Z74" s="19">
        <v>1.0</v>
      </c>
      <c r="AA74" s="19">
        <v>1.0</v>
      </c>
      <c r="AB74" s="13">
        <f t="shared" si="10"/>
        <v>19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2.0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3">
        <f t="shared" si="10"/>
        <v>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1.0</v>
      </c>
      <c r="AA76" s="19">
        <v>0.0</v>
      </c>
      <c r="AB76" s="13">
        <f t="shared" si="10"/>
        <v>1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A79" si="11">SUM(E69:E76)</f>
        <v>20</v>
      </c>
      <c r="F79" s="13">
        <f t="shared" si="11"/>
        <v>21</v>
      </c>
      <c r="G79" s="13">
        <f t="shared" si="11"/>
        <v>1</v>
      </c>
      <c r="H79" s="13">
        <f t="shared" si="11"/>
        <v>5</v>
      </c>
      <c r="I79" s="13">
        <f t="shared" si="11"/>
        <v>13</v>
      </c>
      <c r="J79" s="13">
        <f t="shared" si="11"/>
        <v>10</v>
      </c>
      <c r="K79" s="13">
        <f t="shared" si="11"/>
        <v>2</v>
      </c>
      <c r="L79" s="13">
        <f t="shared" si="11"/>
        <v>5</v>
      </c>
      <c r="M79" s="13">
        <f t="shared" si="11"/>
        <v>4</v>
      </c>
      <c r="N79" s="13">
        <f t="shared" si="11"/>
        <v>9</v>
      </c>
      <c r="O79" s="13">
        <f t="shared" si="11"/>
        <v>29</v>
      </c>
      <c r="P79" s="13">
        <f t="shared" si="11"/>
        <v>13</v>
      </c>
      <c r="Q79" s="13">
        <f t="shared" si="11"/>
        <v>22</v>
      </c>
      <c r="R79" s="13">
        <f t="shared" si="11"/>
        <v>4</v>
      </c>
      <c r="S79" s="13">
        <f t="shared" si="11"/>
        <v>10</v>
      </c>
      <c r="T79" s="13">
        <f t="shared" si="11"/>
        <v>5</v>
      </c>
      <c r="U79" s="13">
        <f t="shared" si="11"/>
        <v>12</v>
      </c>
      <c r="V79" s="13">
        <f t="shared" si="11"/>
        <v>10</v>
      </c>
      <c r="W79" s="13">
        <f t="shared" si="11"/>
        <v>5</v>
      </c>
      <c r="X79" s="13">
        <f t="shared" si="11"/>
        <v>22</v>
      </c>
      <c r="Y79" s="13">
        <f t="shared" si="11"/>
        <v>11</v>
      </c>
      <c r="Z79" s="13">
        <f t="shared" si="11"/>
        <v>12</v>
      </c>
      <c r="AA79" s="13">
        <f t="shared" si="11"/>
        <v>15</v>
      </c>
      <c r="AB79" s="13">
        <f>SUM(E79:AA79)</f>
        <v>260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4.0</v>
      </c>
      <c r="G81" s="19">
        <v>10.0</v>
      </c>
      <c r="H81" s="19">
        <v>3.0</v>
      </c>
      <c r="I81" s="19">
        <v>4.0</v>
      </c>
      <c r="J81" s="19">
        <v>7.0</v>
      </c>
      <c r="K81" s="19">
        <v>2.0</v>
      </c>
      <c r="L81" s="19">
        <v>8.0</v>
      </c>
      <c r="M81" s="19">
        <v>13.0</v>
      </c>
      <c r="N81" s="19">
        <v>1.0</v>
      </c>
      <c r="O81" s="19">
        <v>5.0</v>
      </c>
      <c r="P81" s="19">
        <v>12.0</v>
      </c>
      <c r="Q81" s="19">
        <v>9.0</v>
      </c>
      <c r="R81" s="19">
        <v>8.0</v>
      </c>
      <c r="S81" s="19">
        <v>9.0</v>
      </c>
      <c r="T81" s="19">
        <v>15.0</v>
      </c>
      <c r="U81" s="19">
        <v>8.0</v>
      </c>
      <c r="V81" s="19">
        <v>12.0</v>
      </c>
      <c r="W81" s="19">
        <v>8.0</v>
      </c>
      <c r="X81" s="19">
        <v>8.0</v>
      </c>
      <c r="Y81" s="19">
        <v>23.0</v>
      </c>
      <c r="Z81" s="19">
        <v>27.0</v>
      </c>
      <c r="AA81" s="19">
        <v>25.0</v>
      </c>
      <c r="AB81" s="13">
        <f t="shared" ref="AB81:AB88" si="12">SUM(E81:AA81)</f>
        <v>224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13.0</v>
      </c>
      <c r="F82" s="19">
        <v>5.0</v>
      </c>
      <c r="G82" s="19">
        <v>9.0</v>
      </c>
      <c r="H82" s="19">
        <v>29.0</v>
      </c>
      <c r="I82" s="19">
        <v>18.0</v>
      </c>
      <c r="J82" s="19">
        <v>19.0</v>
      </c>
      <c r="K82" s="19">
        <v>3.0</v>
      </c>
      <c r="L82" s="19">
        <v>13.0</v>
      </c>
      <c r="M82" s="19">
        <v>28.0</v>
      </c>
      <c r="N82" s="19">
        <v>5.0</v>
      </c>
      <c r="O82" s="19">
        <v>15.0</v>
      </c>
      <c r="P82" s="19">
        <v>22.0</v>
      </c>
      <c r="Q82" s="19">
        <v>26.0</v>
      </c>
      <c r="R82" s="19">
        <v>27.0</v>
      </c>
      <c r="S82" s="19">
        <v>40.0</v>
      </c>
      <c r="T82" s="19">
        <v>36.0</v>
      </c>
      <c r="U82" s="19">
        <v>20.0</v>
      </c>
      <c r="V82" s="19">
        <v>34.0</v>
      </c>
      <c r="W82" s="19">
        <v>15.0</v>
      </c>
      <c r="X82" s="19">
        <v>34.0</v>
      </c>
      <c r="Y82" s="19">
        <v>44.0</v>
      </c>
      <c r="Z82" s="19">
        <v>45.0</v>
      </c>
      <c r="AA82" s="19">
        <v>39.0</v>
      </c>
      <c r="AB82" s="13">
        <f t="shared" si="12"/>
        <v>539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1.0</v>
      </c>
      <c r="G83" s="19">
        <v>1.0</v>
      </c>
      <c r="H83" s="19">
        <v>1.0</v>
      </c>
      <c r="I83" s="19">
        <v>2.0</v>
      </c>
      <c r="J83" s="19">
        <v>2.0</v>
      </c>
      <c r="K83" s="19">
        <v>1.0</v>
      </c>
      <c r="L83" s="19">
        <v>1.0</v>
      </c>
      <c r="M83" s="19">
        <v>3.0</v>
      </c>
      <c r="N83" s="19">
        <v>0.0</v>
      </c>
      <c r="O83" s="19">
        <v>1.0</v>
      </c>
      <c r="P83" s="19">
        <v>3.0</v>
      </c>
      <c r="Q83" s="19">
        <v>4.0</v>
      </c>
      <c r="R83" s="19">
        <v>1.0</v>
      </c>
      <c r="S83" s="19">
        <v>1.0</v>
      </c>
      <c r="T83" s="19">
        <v>3.0</v>
      </c>
      <c r="U83" s="19">
        <v>0.0</v>
      </c>
      <c r="V83" s="19">
        <v>1.0</v>
      </c>
      <c r="W83" s="19">
        <v>1.0</v>
      </c>
      <c r="X83" s="19">
        <v>3.0</v>
      </c>
      <c r="Y83" s="19">
        <v>2.0</v>
      </c>
      <c r="Z83" s="19">
        <v>1.0</v>
      </c>
      <c r="AA83" s="19">
        <v>3.0</v>
      </c>
      <c r="AB83" s="13">
        <f t="shared" si="12"/>
        <v>37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0.0</v>
      </c>
      <c r="H84" s="19">
        <v>0.0</v>
      </c>
      <c r="I84" s="19">
        <v>0.0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2.0</v>
      </c>
      <c r="T84" s="19">
        <v>0.0</v>
      </c>
      <c r="U84" s="19">
        <v>0.0</v>
      </c>
      <c r="V84" s="19">
        <v>0.0</v>
      </c>
      <c r="W84" s="19">
        <v>0.0</v>
      </c>
      <c r="X84" s="19">
        <v>1.0</v>
      </c>
      <c r="Y84" s="19">
        <v>0.0</v>
      </c>
      <c r="Z84" s="19">
        <v>1.0</v>
      </c>
      <c r="AA84" s="19">
        <v>2.0</v>
      </c>
      <c r="AB84" s="13">
        <f t="shared" si="12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2.0</v>
      </c>
      <c r="O85" s="19">
        <v>0.0</v>
      </c>
      <c r="P85" s="19">
        <v>1.0</v>
      </c>
      <c r="Q85" s="19">
        <v>0.0</v>
      </c>
      <c r="R85" s="19">
        <v>0.0</v>
      </c>
      <c r="S85" s="19">
        <v>2.0</v>
      </c>
      <c r="T85" s="19">
        <v>1.0</v>
      </c>
      <c r="U85" s="19">
        <v>2.0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0.0</v>
      </c>
      <c r="AB85" s="13">
        <f t="shared" si="12"/>
        <v>10</v>
      </c>
    </row>
    <row r="86" ht="12.75" customHeight="1">
      <c r="A86" s="18"/>
      <c r="B86" s="55">
        <v>5.0</v>
      </c>
      <c r="C86" s="50" t="s">
        <v>69</v>
      </c>
      <c r="D86" s="57"/>
      <c r="E86" s="19">
        <v>38.0</v>
      </c>
      <c r="F86" s="19">
        <v>24.0</v>
      </c>
      <c r="G86" s="19">
        <v>49.0</v>
      </c>
      <c r="H86" s="19">
        <v>48.0</v>
      </c>
      <c r="I86" s="19">
        <v>9.0</v>
      </c>
      <c r="J86" s="19">
        <v>12.0</v>
      </c>
      <c r="K86" s="19">
        <v>29.0</v>
      </c>
      <c r="L86" s="19">
        <v>15.0</v>
      </c>
      <c r="M86" s="19">
        <v>31.0</v>
      </c>
      <c r="N86" s="19">
        <v>29.0</v>
      </c>
      <c r="O86" s="19">
        <v>5.0</v>
      </c>
      <c r="P86" s="19">
        <v>1.0</v>
      </c>
      <c r="Q86" s="19">
        <v>6.0</v>
      </c>
      <c r="R86" s="19">
        <v>3.0</v>
      </c>
      <c r="S86" s="19">
        <v>4.0</v>
      </c>
      <c r="T86" s="19">
        <v>4.0</v>
      </c>
      <c r="U86" s="19">
        <v>10.0</v>
      </c>
      <c r="V86" s="19">
        <v>8.0</v>
      </c>
      <c r="W86" s="19">
        <v>11.0</v>
      </c>
      <c r="X86" s="19">
        <v>4.0</v>
      </c>
      <c r="Y86" s="19">
        <v>13.0</v>
      </c>
      <c r="Z86" s="19">
        <v>2.0</v>
      </c>
      <c r="AA86" s="19">
        <v>18.0</v>
      </c>
      <c r="AB86" s="13">
        <f t="shared" si="12"/>
        <v>373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3">
        <f t="shared" si="12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12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A91" si="13">SUM(E81:E88)</f>
        <v>55</v>
      </c>
      <c r="F91" s="13">
        <f t="shared" si="13"/>
        <v>35</v>
      </c>
      <c r="G91" s="13">
        <f t="shared" si="13"/>
        <v>69</v>
      </c>
      <c r="H91" s="13">
        <f t="shared" si="13"/>
        <v>81</v>
      </c>
      <c r="I91" s="13">
        <f t="shared" si="13"/>
        <v>33</v>
      </c>
      <c r="J91" s="13">
        <f t="shared" si="13"/>
        <v>42</v>
      </c>
      <c r="K91" s="13">
        <f t="shared" si="13"/>
        <v>35</v>
      </c>
      <c r="L91" s="13">
        <f t="shared" si="13"/>
        <v>37</v>
      </c>
      <c r="M91" s="13">
        <f t="shared" si="13"/>
        <v>75</v>
      </c>
      <c r="N91" s="13">
        <f t="shared" si="13"/>
        <v>37</v>
      </c>
      <c r="O91" s="13">
        <f t="shared" si="13"/>
        <v>26</v>
      </c>
      <c r="P91" s="13">
        <f t="shared" si="13"/>
        <v>39</v>
      </c>
      <c r="Q91" s="13">
        <f t="shared" si="13"/>
        <v>45</v>
      </c>
      <c r="R91" s="13">
        <f t="shared" si="13"/>
        <v>39</v>
      </c>
      <c r="S91" s="13">
        <f t="shared" si="13"/>
        <v>58</v>
      </c>
      <c r="T91" s="13">
        <f t="shared" si="13"/>
        <v>59</v>
      </c>
      <c r="U91" s="13">
        <f t="shared" si="13"/>
        <v>40</v>
      </c>
      <c r="V91" s="13">
        <f t="shared" si="13"/>
        <v>55</v>
      </c>
      <c r="W91" s="13">
        <f t="shared" si="13"/>
        <v>35</v>
      </c>
      <c r="X91" s="13">
        <f t="shared" si="13"/>
        <v>50</v>
      </c>
      <c r="Y91" s="13">
        <f t="shared" si="13"/>
        <v>83</v>
      </c>
      <c r="Z91" s="13">
        <f t="shared" si="13"/>
        <v>77</v>
      </c>
      <c r="AA91" s="13">
        <f t="shared" si="13"/>
        <v>87</v>
      </c>
      <c r="AB91" s="13">
        <f>SUM(E91:AA91)</f>
        <v>1192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2.0</v>
      </c>
      <c r="H93" s="19">
        <v>1.0</v>
      </c>
      <c r="I93" s="19">
        <v>1.0</v>
      </c>
      <c r="J93" s="19">
        <v>2.0</v>
      </c>
      <c r="K93" s="19">
        <v>2.0</v>
      </c>
      <c r="L93" s="19">
        <v>4.0</v>
      </c>
      <c r="M93" s="19">
        <v>1.0</v>
      </c>
      <c r="N93" s="19">
        <v>1.0</v>
      </c>
      <c r="O93" s="19">
        <v>1.0</v>
      </c>
      <c r="P93" s="19">
        <v>1.0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3.0</v>
      </c>
      <c r="W93" s="19">
        <v>3.0</v>
      </c>
      <c r="X93" s="19">
        <v>1.0</v>
      </c>
      <c r="Y93" s="19">
        <v>1.0</v>
      </c>
      <c r="Z93" s="19">
        <v>1.0</v>
      </c>
      <c r="AA93" s="19">
        <v>1.0</v>
      </c>
      <c r="AB93" s="13">
        <f t="shared" ref="AB93:AB100" si="14">SUM(E93:AA93)</f>
        <v>29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3.0</v>
      </c>
      <c r="F94" s="19">
        <v>0.0</v>
      </c>
      <c r="G94" s="19">
        <v>3.0</v>
      </c>
      <c r="H94" s="19">
        <v>1.0</v>
      </c>
      <c r="I94" s="19">
        <v>5.0</v>
      </c>
      <c r="J94" s="19">
        <v>8.0</v>
      </c>
      <c r="K94" s="19">
        <v>0.0</v>
      </c>
      <c r="L94" s="19">
        <v>4.0</v>
      </c>
      <c r="M94" s="19">
        <v>0.0</v>
      </c>
      <c r="N94" s="19">
        <v>2.0</v>
      </c>
      <c r="O94" s="19">
        <v>0.0</v>
      </c>
      <c r="P94" s="19">
        <v>1.0</v>
      </c>
      <c r="Q94" s="19">
        <v>0.0</v>
      </c>
      <c r="R94" s="19">
        <v>0.0</v>
      </c>
      <c r="S94" s="19">
        <v>0.0</v>
      </c>
      <c r="T94" s="19">
        <v>3.0</v>
      </c>
      <c r="U94" s="19">
        <v>15.0</v>
      </c>
      <c r="V94" s="19">
        <v>6.0</v>
      </c>
      <c r="W94" s="19">
        <v>1.0</v>
      </c>
      <c r="X94" s="19">
        <v>0.0</v>
      </c>
      <c r="Y94" s="19">
        <v>7.0</v>
      </c>
      <c r="Z94" s="19">
        <v>1.0</v>
      </c>
      <c r="AA94" s="19">
        <v>0.0</v>
      </c>
      <c r="AB94" s="13">
        <f t="shared" si="14"/>
        <v>60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3.0</v>
      </c>
      <c r="W95" s="19">
        <v>2.0</v>
      </c>
      <c r="X95" s="19">
        <v>0.0</v>
      </c>
      <c r="Y95" s="19">
        <v>1.0</v>
      </c>
      <c r="Z95" s="19">
        <v>0.0</v>
      </c>
      <c r="AA95" s="19">
        <v>0.0</v>
      </c>
      <c r="AB95" s="13">
        <f t="shared" si="14"/>
        <v>8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2.0</v>
      </c>
      <c r="Y96" s="19">
        <v>0.0</v>
      </c>
      <c r="Z96" s="19">
        <v>0.0</v>
      </c>
      <c r="AA96" s="19">
        <v>0.0</v>
      </c>
      <c r="AB96" s="13">
        <f t="shared" si="14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8.0</v>
      </c>
      <c r="F97" s="19">
        <v>1.0</v>
      </c>
      <c r="G97" s="19">
        <v>0.0</v>
      </c>
      <c r="H97" s="19">
        <v>0.0</v>
      </c>
      <c r="I97" s="19">
        <v>1.0</v>
      </c>
      <c r="J97" s="19">
        <v>3.0</v>
      </c>
      <c r="K97" s="19">
        <v>9.0</v>
      </c>
      <c r="L97" s="19">
        <v>10.0</v>
      </c>
      <c r="M97" s="19">
        <v>0.0</v>
      </c>
      <c r="N97" s="19">
        <v>2.0</v>
      </c>
      <c r="O97" s="19">
        <v>1.0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2.0</v>
      </c>
      <c r="X97" s="19">
        <v>1.0</v>
      </c>
      <c r="Y97" s="19">
        <v>3.0</v>
      </c>
      <c r="Z97" s="19">
        <v>1.0</v>
      </c>
      <c r="AA97" s="19">
        <v>0.0</v>
      </c>
      <c r="AB97" s="13">
        <f t="shared" si="14"/>
        <v>44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1.0</v>
      </c>
      <c r="AA98" s="19">
        <v>0.0</v>
      </c>
      <c r="AB98" s="13">
        <f t="shared" si="14"/>
        <v>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14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14"/>
        <v>1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A103" si="15">SUM(E93:E100)</f>
        <v>13</v>
      </c>
      <c r="F103" s="13">
        <f t="shared" si="15"/>
        <v>2</v>
      </c>
      <c r="G103" s="13">
        <f t="shared" si="15"/>
        <v>5</v>
      </c>
      <c r="H103" s="13">
        <f t="shared" si="15"/>
        <v>2</v>
      </c>
      <c r="I103" s="13">
        <f t="shared" si="15"/>
        <v>7</v>
      </c>
      <c r="J103" s="13">
        <f t="shared" si="15"/>
        <v>15</v>
      </c>
      <c r="K103" s="13">
        <f t="shared" si="15"/>
        <v>11</v>
      </c>
      <c r="L103" s="13">
        <f t="shared" si="15"/>
        <v>19</v>
      </c>
      <c r="M103" s="13">
        <f t="shared" si="15"/>
        <v>1</v>
      </c>
      <c r="N103" s="13">
        <f t="shared" si="15"/>
        <v>5</v>
      </c>
      <c r="O103" s="13">
        <f t="shared" si="15"/>
        <v>3</v>
      </c>
      <c r="P103" s="13">
        <f t="shared" si="15"/>
        <v>2</v>
      </c>
      <c r="Q103" s="13">
        <f t="shared" si="15"/>
        <v>1</v>
      </c>
      <c r="R103" s="13">
        <f t="shared" si="15"/>
        <v>1</v>
      </c>
      <c r="S103" s="13">
        <f t="shared" si="15"/>
        <v>0</v>
      </c>
      <c r="T103" s="13">
        <f t="shared" si="15"/>
        <v>3</v>
      </c>
      <c r="U103" s="13">
        <f t="shared" si="15"/>
        <v>17</v>
      </c>
      <c r="V103" s="13">
        <f t="shared" si="15"/>
        <v>13</v>
      </c>
      <c r="W103" s="13">
        <f t="shared" si="15"/>
        <v>8</v>
      </c>
      <c r="X103" s="13">
        <f t="shared" si="15"/>
        <v>4</v>
      </c>
      <c r="Y103" s="13">
        <f t="shared" si="15"/>
        <v>12</v>
      </c>
      <c r="Z103" s="13">
        <f t="shared" si="15"/>
        <v>4</v>
      </c>
      <c r="AA103" s="13">
        <f t="shared" si="15"/>
        <v>1</v>
      </c>
      <c r="AB103" s="13">
        <f>SUM(E103:AA103)</f>
        <v>149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1.0</v>
      </c>
      <c r="Z105" s="19">
        <v>0.0</v>
      </c>
      <c r="AA105" s="19">
        <v>0.0</v>
      </c>
      <c r="AB105" s="13">
        <f t="shared" ref="AB105:AB112" si="16">SUM(E105:AA105)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16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16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16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16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16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16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16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17">SUM(E105:E112)</f>
        <v>0</v>
      </c>
      <c r="F115" s="13">
        <f t="shared" si="17"/>
        <v>0</v>
      </c>
      <c r="G115" s="13">
        <f t="shared" si="17"/>
        <v>0</v>
      </c>
      <c r="H115" s="13">
        <f t="shared" si="17"/>
        <v>0</v>
      </c>
      <c r="I115" s="13">
        <f t="shared" si="17"/>
        <v>1</v>
      </c>
      <c r="J115" s="13">
        <f t="shared" si="17"/>
        <v>0</v>
      </c>
      <c r="K115" s="13">
        <f t="shared" si="17"/>
        <v>0</v>
      </c>
      <c r="L115" s="13">
        <f t="shared" si="17"/>
        <v>0</v>
      </c>
      <c r="M115" s="13">
        <f t="shared" si="17"/>
        <v>1</v>
      </c>
      <c r="N115" s="13">
        <f t="shared" si="17"/>
        <v>0</v>
      </c>
      <c r="O115" s="13">
        <f t="shared" si="17"/>
        <v>0</v>
      </c>
      <c r="P115" s="13">
        <f t="shared" si="17"/>
        <v>0</v>
      </c>
      <c r="Q115" s="13">
        <f t="shared" si="17"/>
        <v>1</v>
      </c>
      <c r="R115" s="13">
        <f t="shared" si="17"/>
        <v>0</v>
      </c>
      <c r="S115" s="13">
        <f t="shared" si="17"/>
        <v>0</v>
      </c>
      <c r="T115" s="13">
        <f t="shared" si="17"/>
        <v>0</v>
      </c>
      <c r="U115" s="13">
        <f t="shared" si="17"/>
        <v>0</v>
      </c>
      <c r="V115" s="13">
        <f t="shared" si="17"/>
        <v>1</v>
      </c>
      <c r="W115" s="13">
        <f t="shared" si="17"/>
        <v>1</v>
      </c>
      <c r="X115" s="13">
        <f t="shared" si="17"/>
        <v>0</v>
      </c>
      <c r="Y115" s="13">
        <f t="shared" si="17"/>
        <v>1</v>
      </c>
      <c r="Z115" s="13">
        <f t="shared" si="17"/>
        <v>0</v>
      </c>
      <c r="AA115" s="13">
        <f t="shared" si="17"/>
        <v>0</v>
      </c>
      <c r="AB115" s="13">
        <f>SUM(E115:AA115)</f>
        <v>6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4.0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0.0</v>
      </c>
      <c r="M117" s="19">
        <v>1.0</v>
      </c>
      <c r="N117" s="19">
        <v>1.0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2.0</v>
      </c>
      <c r="U117" s="19">
        <v>1.0</v>
      </c>
      <c r="V117" s="19">
        <v>0.0</v>
      </c>
      <c r="W117" s="19">
        <v>1.0</v>
      </c>
      <c r="X117" s="19">
        <v>0.0</v>
      </c>
      <c r="Y117" s="19">
        <v>0.0</v>
      </c>
      <c r="Z117" s="19">
        <v>0.0</v>
      </c>
      <c r="AA117" s="19">
        <v>1.0</v>
      </c>
      <c r="AB117" s="13">
        <f t="shared" ref="AB117:AB120" si="18">SUM(E117:AA117)</f>
        <v>14</v>
      </c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1.0</v>
      </c>
      <c r="G118" s="19">
        <v>2.0</v>
      </c>
      <c r="H118" s="19">
        <v>0.0</v>
      </c>
      <c r="I118" s="19">
        <v>0.0</v>
      </c>
      <c r="J118" s="19">
        <v>2.0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2.0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18"/>
        <v>9</v>
      </c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18"/>
        <v>3</v>
      </c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18"/>
        <v>0</v>
      </c>
      <c r="AC120" s="5"/>
      <c r="AD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74"/>
      <c r="AC121" s="5"/>
      <c r="AD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74"/>
      <c r="AC122" s="5"/>
      <c r="AD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74"/>
      <c r="AC123" s="5"/>
      <c r="AD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74"/>
      <c r="AC124" s="5"/>
      <c r="AD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74"/>
      <c r="AC125" s="5"/>
      <c r="AD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74"/>
      <c r="AC126" s="5"/>
      <c r="AD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A127" si="19">SUM(E117:E120)</f>
        <v>1</v>
      </c>
      <c r="F127" s="58">
        <f t="shared" si="19"/>
        <v>6</v>
      </c>
      <c r="G127" s="58">
        <f t="shared" si="19"/>
        <v>2</v>
      </c>
      <c r="H127" s="58">
        <f t="shared" si="19"/>
        <v>1</v>
      </c>
      <c r="I127" s="58">
        <f t="shared" si="19"/>
        <v>0</v>
      </c>
      <c r="J127" s="58">
        <f t="shared" si="19"/>
        <v>3</v>
      </c>
      <c r="K127" s="58">
        <f t="shared" si="19"/>
        <v>1</v>
      </c>
      <c r="L127" s="58">
        <f t="shared" si="19"/>
        <v>0</v>
      </c>
      <c r="M127" s="58">
        <f t="shared" si="19"/>
        <v>1</v>
      </c>
      <c r="N127" s="58">
        <f t="shared" si="19"/>
        <v>2</v>
      </c>
      <c r="O127" s="58">
        <f t="shared" si="19"/>
        <v>0</v>
      </c>
      <c r="P127" s="58">
        <f t="shared" si="19"/>
        <v>1</v>
      </c>
      <c r="Q127" s="58">
        <f t="shared" si="19"/>
        <v>2</v>
      </c>
      <c r="R127" s="58">
        <f t="shared" si="19"/>
        <v>0</v>
      </c>
      <c r="S127" s="58">
        <f t="shared" si="19"/>
        <v>0</v>
      </c>
      <c r="T127" s="58">
        <f t="shared" si="19"/>
        <v>2</v>
      </c>
      <c r="U127" s="58">
        <f t="shared" si="19"/>
        <v>1</v>
      </c>
      <c r="V127" s="58">
        <f t="shared" si="19"/>
        <v>0</v>
      </c>
      <c r="W127" s="58">
        <f t="shared" si="19"/>
        <v>2</v>
      </c>
      <c r="X127" s="58">
        <f t="shared" si="19"/>
        <v>0</v>
      </c>
      <c r="Y127" s="58">
        <f t="shared" si="19"/>
        <v>0</v>
      </c>
      <c r="Z127" s="58">
        <f t="shared" si="19"/>
        <v>0</v>
      </c>
      <c r="AA127" s="58">
        <f t="shared" si="19"/>
        <v>1</v>
      </c>
      <c r="AB127" s="13">
        <f>SUM(E127:AA127)</f>
        <v>26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2.0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1.0</v>
      </c>
      <c r="W129" s="19">
        <v>0.0</v>
      </c>
      <c r="X129" s="19">
        <v>1.0</v>
      </c>
      <c r="Y129" s="19">
        <v>0.0</v>
      </c>
      <c r="Z129" s="19">
        <v>1.0</v>
      </c>
      <c r="AA129" s="19">
        <v>0.0</v>
      </c>
      <c r="AB129" s="13">
        <f t="shared" ref="AB129:AB136" si="20">SUM(E129:AA129)</f>
        <v>7</v>
      </c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0.0</v>
      </c>
      <c r="G130" s="19">
        <v>1.0</v>
      </c>
      <c r="H130" s="19">
        <v>1.0</v>
      </c>
      <c r="I130" s="19">
        <v>0.0</v>
      </c>
      <c r="J130" s="19">
        <v>2.0</v>
      </c>
      <c r="K130" s="19">
        <v>2.0</v>
      </c>
      <c r="L130" s="19">
        <v>0.0</v>
      </c>
      <c r="M130" s="19">
        <v>3.0</v>
      </c>
      <c r="N130" s="19">
        <v>0.0</v>
      </c>
      <c r="O130" s="19">
        <v>3.0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2.0</v>
      </c>
      <c r="Y130" s="19">
        <v>0.0</v>
      </c>
      <c r="Z130" s="19">
        <v>0.0</v>
      </c>
      <c r="AA130" s="19">
        <v>0.0</v>
      </c>
      <c r="AB130" s="13">
        <f t="shared" si="20"/>
        <v>15</v>
      </c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3.0</v>
      </c>
      <c r="AA131" s="19">
        <v>0.0</v>
      </c>
      <c r="AB131" s="13">
        <f t="shared" si="20"/>
        <v>5</v>
      </c>
      <c r="AC131" s="52"/>
      <c r="AD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20"/>
        <v>0</v>
      </c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0"/>
        <v>0</v>
      </c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0"/>
        <v>0</v>
      </c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0"/>
        <v>0</v>
      </c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0"/>
        <v>0</v>
      </c>
      <c r="AC136" s="5"/>
      <c r="AD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74"/>
      <c r="AC137" s="5"/>
      <c r="AD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74"/>
      <c r="AC138" s="5"/>
      <c r="A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A139" si="21">SUM(E129:E136)</f>
        <v>3</v>
      </c>
      <c r="F139" s="13">
        <f t="shared" si="21"/>
        <v>0</v>
      </c>
      <c r="G139" s="13">
        <f t="shared" si="21"/>
        <v>1</v>
      </c>
      <c r="H139" s="13">
        <f t="shared" si="21"/>
        <v>1</v>
      </c>
      <c r="I139" s="13">
        <f t="shared" si="21"/>
        <v>1</v>
      </c>
      <c r="J139" s="13">
        <f t="shared" si="21"/>
        <v>2</v>
      </c>
      <c r="K139" s="13">
        <f t="shared" si="21"/>
        <v>3</v>
      </c>
      <c r="L139" s="13">
        <f t="shared" si="21"/>
        <v>0</v>
      </c>
      <c r="M139" s="13">
        <f t="shared" si="21"/>
        <v>5</v>
      </c>
      <c r="N139" s="13">
        <f t="shared" si="21"/>
        <v>0</v>
      </c>
      <c r="O139" s="13">
        <f t="shared" si="21"/>
        <v>3</v>
      </c>
      <c r="P139" s="13">
        <f t="shared" si="21"/>
        <v>0</v>
      </c>
      <c r="Q139" s="13">
        <f t="shared" si="21"/>
        <v>0</v>
      </c>
      <c r="R139" s="13">
        <f t="shared" si="21"/>
        <v>0</v>
      </c>
      <c r="S139" s="13">
        <f t="shared" si="21"/>
        <v>0</v>
      </c>
      <c r="T139" s="13">
        <f t="shared" si="21"/>
        <v>0</v>
      </c>
      <c r="U139" s="13">
        <f t="shared" si="21"/>
        <v>0</v>
      </c>
      <c r="V139" s="13">
        <f t="shared" si="21"/>
        <v>1</v>
      </c>
      <c r="W139" s="13">
        <f t="shared" si="21"/>
        <v>0</v>
      </c>
      <c r="X139" s="13">
        <f t="shared" si="21"/>
        <v>3</v>
      </c>
      <c r="Y139" s="13">
        <f t="shared" si="21"/>
        <v>0</v>
      </c>
      <c r="Z139" s="13">
        <f t="shared" si="21"/>
        <v>4</v>
      </c>
      <c r="AA139" s="13">
        <f t="shared" si="21"/>
        <v>0</v>
      </c>
      <c r="AB139" s="13">
        <f>SUM(E139:AA139)</f>
        <v>27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48" si="22">SUM(E141:AA141)</f>
        <v>0</v>
      </c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22"/>
        <v>0</v>
      </c>
      <c r="AC142" s="52"/>
      <c r="AD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22"/>
        <v>0</v>
      </c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22"/>
        <v>0</v>
      </c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22"/>
        <v>0</v>
      </c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1.0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22"/>
        <v>1</v>
      </c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22"/>
        <v>0</v>
      </c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22"/>
        <v>0</v>
      </c>
      <c r="AC148" s="5"/>
      <c r="AD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74"/>
      <c r="AC149" s="5"/>
      <c r="AD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74"/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23">SUM(E141:E148)</f>
        <v>0</v>
      </c>
      <c r="F151" s="13">
        <f t="shared" si="23"/>
        <v>0</v>
      </c>
      <c r="G151" s="13">
        <f t="shared" si="23"/>
        <v>0</v>
      </c>
      <c r="H151" s="13">
        <f t="shared" si="23"/>
        <v>0</v>
      </c>
      <c r="I151" s="13">
        <f t="shared" si="23"/>
        <v>0</v>
      </c>
      <c r="J151" s="13">
        <f t="shared" si="23"/>
        <v>0</v>
      </c>
      <c r="K151" s="13">
        <f t="shared" si="23"/>
        <v>0</v>
      </c>
      <c r="L151" s="13">
        <f t="shared" si="23"/>
        <v>0</v>
      </c>
      <c r="M151" s="13">
        <f t="shared" si="23"/>
        <v>0</v>
      </c>
      <c r="N151" s="13">
        <f t="shared" si="23"/>
        <v>0</v>
      </c>
      <c r="O151" s="13">
        <f t="shared" si="23"/>
        <v>0</v>
      </c>
      <c r="P151" s="13">
        <f t="shared" si="23"/>
        <v>0</v>
      </c>
      <c r="Q151" s="13">
        <f t="shared" si="23"/>
        <v>0</v>
      </c>
      <c r="R151" s="13">
        <f t="shared" si="23"/>
        <v>0</v>
      </c>
      <c r="S151" s="13">
        <f t="shared" si="23"/>
        <v>0</v>
      </c>
      <c r="T151" s="13">
        <f t="shared" si="23"/>
        <v>0</v>
      </c>
      <c r="U151" s="13">
        <f t="shared" si="23"/>
        <v>1</v>
      </c>
      <c r="V151" s="13">
        <f t="shared" si="23"/>
        <v>0</v>
      </c>
      <c r="W151" s="13">
        <f t="shared" si="23"/>
        <v>0</v>
      </c>
      <c r="X151" s="13">
        <f t="shared" si="23"/>
        <v>0</v>
      </c>
      <c r="Y151" s="13">
        <f t="shared" si="23"/>
        <v>0</v>
      </c>
      <c r="Z151" s="13">
        <f t="shared" si="23"/>
        <v>0</v>
      </c>
      <c r="AA151" s="13">
        <f t="shared" si="23"/>
        <v>0</v>
      </c>
      <c r="AB151" s="13">
        <f>SUM(E151:AA151)</f>
        <v>1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13"/>
      <c r="AC152" s="52"/>
      <c r="A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1.0</v>
      </c>
      <c r="Z153" s="19">
        <v>0.0</v>
      </c>
      <c r="AA153" s="19">
        <v>0.0</v>
      </c>
      <c r="AB153" s="13">
        <f t="shared" ref="AB153:AB156" si="24">SUM(E154:AA154)</f>
        <v>3</v>
      </c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1.0</v>
      </c>
      <c r="Y154" s="19">
        <v>0.0</v>
      </c>
      <c r="Z154" s="19">
        <v>0.0</v>
      </c>
      <c r="AA154" s="19">
        <v>0.0</v>
      </c>
      <c r="AB154" s="13">
        <f t="shared" si="24"/>
        <v>1</v>
      </c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3">
        <f t="shared" si="24"/>
        <v>0</v>
      </c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24"/>
        <v>0</v>
      </c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>SUM(E163:AA163)</f>
        <v>7</v>
      </c>
      <c r="AC157" s="5"/>
      <c r="AD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74"/>
      <c r="AC158" s="5"/>
      <c r="AD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74"/>
      <c r="AC159" s="5"/>
      <c r="AD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74"/>
      <c r="AC160" s="5"/>
      <c r="AD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74"/>
      <c r="AC161" s="5"/>
      <c r="AD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74"/>
      <c r="AC162" s="5"/>
      <c r="A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A163" si="25">SUM(E153:E157)</f>
        <v>0</v>
      </c>
      <c r="F163" s="13">
        <f t="shared" si="25"/>
        <v>0</v>
      </c>
      <c r="G163" s="13">
        <f t="shared" si="25"/>
        <v>0</v>
      </c>
      <c r="H163" s="13">
        <f t="shared" si="25"/>
        <v>0</v>
      </c>
      <c r="I163" s="13">
        <f t="shared" si="25"/>
        <v>0</v>
      </c>
      <c r="J163" s="13">
        <f t="shared" si="25"/>
        <v>0</v>
      </c>
      <c r="K163" s="13">
        <f t="shared" si="25"/>
        <v>0</v>
      </c>
      <c r="L163" s="13">
        <f t="shared" si="25"/>
        <v>1</v>
      </c>
      <c r="M163" s="13">
        <f t="shared" si="25"/>
        <v>3</v>
      </c>
      <c r="N163" s="13">
        <f t="shared" si="25"/>
        <v>0</v>
      </c>
      <c r="O163" s="13">
        <f t="shared" si="25"/>
        <v>0</v>
      </c>
      <c r="P163" s="13">
        <f t="shared" si="25"/>
        <v>1</v>
      </c>
      <c r="Q163" s="13">
        <f t="shared" si="25"/>
        <v>0</v>
      </c>
      <c r="R163" s="13">
        <f t="shared" si="25"/>
        <v>0</v>
      </c>
      <c r="S163" s="13">
        <f t="shared" si="25"/>
        <v>0</v>
      </c>
      <c r="T163" s="13">
        <f t="shared" si="25"/>
        <v>0</v>
      </c>
      <c r="U163" s="13">
        <f t="shared" si="25"/>
        <v>0</v>
      </c>
      <c r="V163" s="13">
        <f t="shared" si="25"/>
        <v>0</v>
      </c>
      <c r="W163" s="13">
        <f t="shared" si="25"/>
        <v>0</v>
      </c>
      <c r="X163" s="13">
        <f t="shared" si="25"/>
        <v>1</v>
      </c>
      <c r="Y163" s="13">
        <f t="shared" si="25"/>
        <v>1</v>
      </c>
      <c r="Z163" s="13">
        <f t="shared" si="25"/>
        <v>0</v>
      </c>
      <c r="AA163" s="13">
        <f t="shared" si="25"/>
        <v>0</v>
      </c>
      <c r="AB163" s="13">
        <f>SUM(E164:AA164)</f>
        <v>0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1.0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1.0</v>
      </c>
      <c r="AB165" s="13">
        <f t="shared" ref="AB165:AB172" si="26">SUM(E165:AA165)</f>
        <v>5</v>
      </c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3">
        <f t="shared" si="26"/>
        <v>0</v>
      </c>
      <c r="AC166" s="52"/>
      <c r="AD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1.0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1.0</v>
      </c>
      <c r="W167" s="19">
        <v>1.0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26"/>
        <v>3</v>
      </c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26"/>
        <v>1</v>
      </c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26"/>
        <v>0</v>
      </c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26"/>
        <v>0</v>
      </c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1.0</v>
      </c>
      <c r="AA171" s="19">
        <v>0.0</v>
      </c>
      <c r="AB171" s="13">
        <f t="shared" si="26"/>
        <v>1</v>
      </c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26"/>
        <v>0</v>
      </c>
      <c r="AC172" s="5"/>
      <c r="AD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74"/>
      <c r="AC173" s="5"/>
      <c r="AD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74"/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A175" si="27">SUM(E165:E172)</f>
        <v>0</v>
      </c>
      <c r="F175" s="13">
        <f t="shared" si="27"/>
        <v>0</v>
      </c>
      <c r="G175" s="13">
        <f t="shared" si="27"/>
        <v>1</v>
      </c>
      <c r="H175" s="13">
        <f t="shared" si="27"/>
        <v>0</v>
      </c>
      <c r="I175" s="13">
        <f t="shared" si="27"/>
        <v>0</v>
      </c>
      <c r="J175" s="13">
        <f t="shared" si="27"/>
        <v>0</v>
      </c>
      <c r="K175" s="13">
        <f t="shared" si="27"/>
        <v>0</v>
      </c>
      <c r="L175" s="13">
        <f t="shared" si="27"/>
        <v>1</v>
      </c>
      <c r="M175" s="13">
        <f t="shared" si="27"/>
        <v>0</v>
      </c>
      <c r="N175" s="13">
        <f t="shared" si="27"/>
        <v>0</v>
      </c>
      <c r="O175" s="13">
        <f t="shared" si="27"/>
        <v>1</v>
      </c>
      <c r="P175" s="13">
        <f t="shared" si="27"/>
        <v>1</v>
      </c>
      <c r="Q175" s="13">
        <f t="shared" si="27"/>
        <v>0</v>
      </c>
      <c r="R175" s="13">
        <f t="shared" si="27"/>
        <v>1</v>
      </c>
      <c r="S175" s="13">
        <f t="shared" si="27"/>
        <v>0</v>
      </c>
      <c r="T175" s="13">
        <f t="shared" si="27"/>
        <v>0</v>
      </c>
      <c r="U175" s="13">
        <f t="shared" si="27"/>
        <v>1</v>
      </c>
      <c r="V175" s="13">
        <f t="shared" si="27"/>
        <v>1</v>
      </c>
      <c r="W175" s="13">
        <f t="shared" si="27"/>
        <v>1</v>
      </c>
      <c r="X175" s="13">
        <f t="shared" si="27"/>
        <v>0</v>
      </c>
      <c r="Y175" s="13">
        <f t="shared" si="27"/>
        <v>0</v>
      </c>
      <c r="Z175" s="13">
        <f t="shared" si="27"/>
        <v>1</v>
      </c>
      <c r="AA175" s="13">
        <f t="shared" si="27"/>
        <v>1</v>
      </c>
      <c r="AB175" s="13">
        <f>SUM(E175:AA175)</f>
        <v>10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1.0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1.0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1.0</v>
      </c>
      <c r="AB177" s="13">
        <f t="shared" ref="AB177:AB184" si="28">SUM(E177:AA177)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28"/>
        <v>1</v>
      </c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0.0</v>
      </c>
      <c r="AB179" s="13">
        <f t="shared" si="28"/>
        <v>4</v>
      </c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28"/>
        <v>0</v>
      </c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28"/>
        <v>0</v>
      </c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28"/>
        <v>1</v>
      </c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1.0</v>
      </c>
      <c r="AA183" s="19">
        <v>0.0</v>
      </c>
      <c r="AB183" s="13">
        <f t="shared" si="28"/>
        <v>1</v>
      </c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1.0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28"/>
        <v>1</v>
      </c>
      <c r="AC184" s="5"/>
      <c r="AD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74"/>
      <c r="AC185" s="5"/>
      <c r="AD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74"/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29">SUM(E177:E184)</f>
        <v>1</v>
      </c>
      <c r="F187" s="13">
        <f t="shared" si="29"/>
        <v>1</v>
      </c>
      <c r="G187" s="13">
        <f t="shared" si="29"/>
        <v>0</v>
      </c>
      <c r="H187" s="13">
        <f t="shared" si="29"/>
        <v>1</v>
      </c>
      <c r="I187" s="13">
        <f t="shared" si="29"/>
        <v>0</v>
      </c>
      <c r="J187" s="13">
        <f t="shared" si="29"/>
        <v>1</v>
      </c>
      <c r="K187" s="13">
        <f t="shared" si="29"/>
        <v>1</v>
      </c>
      <c r="L187" s="13">
        <f t="shared" si="29"/>
        <v>2</v>
      </c>
      <c r="M187" s="13">
        <f t="shared" si="29"/>
        <v>0</v>
      </c>
      <c r="N187" s="13">
        <f t="shared" si="29"/>
        <v>0</v>
      </c>
      <c r="O187" s="13">
        <f t="shared" si="29"/>
        <v>0</v>
      </c>
      <c r="P187" s="13">
        <f t="shared" si="29"/>
        <v>0</v>
      </c>
      <c r="Q187" s="13">
        <f t="shared" si="29"/>
        <v>0</v>
      </c>
      <c r="R187" s="13">
        <f t="shared" si="29"/>
        <v>0</v>
      </c>
      <c r="S187" s="13">
        <f t="shared" si="29"/>
        <v>0</v>
      </c>
      <c r="T187" s="13">
        <f t="shared" si="29"/>
        <v>0</v>
      </c>
      <c r="U187" s="13">
        <f t="shared" si="29"/>
        <v>1</v>
      </c>
      <c r="V187" s="13">
        <f t="shared" si="29"/>
        <v>1</v>
      </c>
      <c r="W187" s="13">
        <f t="shared" si="29"/>
        <v>1</v>
      </c>
      <c r="X187" s="13">
        <f t="shared" si="29"/>
        <v>0</v>
      </c>
      <c r="Y187" s="13">
        <f t="shared" si="29"/>
        <v>0</v>
      </c>
      <c r="Z187" s="13">
        <f t="shared" si="29"/>
        <v>1</v>
      </c>
      <c r="AA187" s="13">
        <f t="shared" si="29"/>
        <v>1</v>
      </c>
      <c r="AB187" s="13">
        <f>SUM(E187:AA187)</f>
        <v>12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1.0</v>
      </c>
      <c r="X189" s="19">
        <v>0.0</v>
      </c>
      <c r="Y189" s="19">
        <v>0.0</v>
      </c>
      <c r="Z189" s="19">
        <v>1.0</v>
      </c>
      <c r="AA189" s="19">
        <v>1.0</v>
      </c>
      <c r="AB189" s="13">
        <f t="shared" ref="AB189:AB196" si="30">SUM(E189:AA189)</f>
        <v>5</v>
      </c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1.0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4.0</v>
      </c>
      <c r="AA190" s="19">
        <v>0.0</v>
      </c>
      <c r="AB190" s="13">
        <f t="shared" si="30"/>
        <v>7</v>
      </c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1.0</v>
      </c>
      <c r="V191" s="19">
        <v>0.0</v>
      </c>
      <c r="W191" s="19">
        <v>0.0</v>
      </c>
      <c r="X191" s="19">
        <v>0.0</v>
      </c>
      <c r="Y191" s="19">
        <v>0.0</v>
      </c>
      <c r="Z191" s="19">
        <v>1.0</v>
      </c>
      <c r="AA191" s="19">
        <v>1.0</v>
      </c>
      <c r="AB191" s="13">
        <f t="shared" si="30"/>
        <v>4</v>
      </c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0"/>
        <v>0</v>
      </c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0"/>
        <v>0</v>
      </c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1.0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30"/>
        <v>1</v>
      </c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0"/>
        <v>0</v>
      </c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0"/>
        <v>0</v>
      </c>
      <c r="AC196" s="1"/>
      <c r="AD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74"/>
      <c r="AC197" s="1"/>
      <c r="AD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74"/>
      <c r="AC198" s="1"/>
      <c r="A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A199" si="31">SUM(E189:E196)</f>
        <v>0</v>
      </c>
      <c r="F199" s="13">
        <f t="shared" si="31"/>
        <v>1</v>
      </c>
      <c r="G199" s="13">
        <f t="shared" si="31"/>
        <v>0</v>
      </c>
      <c r="H199" s="13">
        <f t="shared" si="31"/>
        <v>0</v>
      </c>
      <c r="I199" s="13">
        <f t="shared" si="31"/>
        <v>0</v>
      </c>
      <c r="J199" s="13">
        <f t="shared" si="31"/>
        <v>2</v>
      </c>
      <c r="K199" s="13">
        <f t="shared" si="31"/>
        <v>0</v>
      </c>
      <c r="L199" s="13">
        <f t="shared" si="31"/>
        <v>0</v>
      </c>
      <c r="M199" s="13">
        <f t="shared" si="31"/>
        <v>0</v>
      </c>
      <c r="N199" s="13">
        <f t="shared" si="31"/>
        <v>0</v>
      </c>
      <c r="O199" s="13">
        <f t="shared" si="31"/>
        <v>1</v>
      </c>
      <c r="P199" s="13">
        <f t="shared" si="31"/>
        <v>0</v>
      </c>
      <c r="Q199" s="13">
        <f t="shared" si="31"/>
        <v>0</v>
      </c>
      <c r="R199" s="13">
        <f t="shared" si="31"/>
        <v>0</v>
      </c>
      <c r="S199" s="13">
        <f t="shared" si="31"/>
        <v>0</v>
      </c>
      <c r="T199" s="13">
        <f t="shared" si="31"/>
        <v>1</v>
      </c>
      <c r="U199" s="13">
        <f t="shared" si="31"/>
        <v>2</v>
      </c>
      <c r="V199" s="13">
        <f t="shared" si="31"/>
        <v>0</v>
      </c>
      <c r="W199" s="13">
        <f t="shared" si="31"/>
        <v>2</v>
      </c>
      <c r="X199" s="13">
        <f t="shared" si="31"/>
        <v>0</v>
      </c>
      <c r="Y199" s="13">
        <f t="shared" si="31"/>
        <v>0</v>
      </c>
      <c r="Z199" s="13">
        <f t="shared" si="31"/>
        <v>6</v>
      </c>
      <c r="AA199" s="13">
        <f t="shared" si="31"/>
        <v>2</v>
      </c>
      <c r="AB199" s="13">
        <f>SUM(E199:AA199)</f>
        <v>17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12.0</v>
      </c>
      <c r="F201" s="19">
        <v>21.0</v>
      </c>
      <c r="G201" s="19">
        <v>12.0</v>
      </c>
      <c r="H201" s="19">
        <v>6.0</v>
      </c>
      <c r="I201" s="19">
        <v>18.0</v>
      </c>
      <c r="J201" s="19">
        <v>17.0</v>
      </c>
      <c r="K201" s="19">
        <v>17.0</v>
      </c>
      <c r="L201" s="19">
        <v>21.0</v>
      </c>
      <c r="M201" s="19">
        <v>24.0</v>
      </c>
      <c r="N201" s="19">
        <v>18.0</v>
      </c>
      <c r="O201" s="19">
        <v>4.0</v>
      </c>
      <c r="P201" s="19">
        <v>13.0</v>
      </c>
      <c r="Q201" s="19">
        <v>9.0</v>
      </c>
      <c r="R201" s="19">
        <v>6.0</v>
      </c>
      <c r="S201" s="19">
        <v>3.0</v>
      </c>
      <c r="T201" s="19">
        <v>6.0</v>
      </c>
      <c r="U201" s="19">
        <v>23.0</v>
      </c>
      <c r="V201" s="19">
        <v>21.0</v>
      </c>
      <c r="W201" s="19">
        <v>17.0</v>
      </c>
      <c r="X201" s="19">
        <v>20.0</v>
      </c>
      <c r="Y201" s="19">
        <v>20.0</v>
      </c>
      <c r="Z201" s="19">
        <v>25.0</v>
      </c>
      <c r="AA201" s="19">
        <v>10.0</v>
      </c>
      <c r="AB201" s="13">
        <f t="shared" ref="AB201:AB208" si="32">SUM(E201:AA201)</f>
        <v>343</v>
      </c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38.0</v>
      </c>
      <c r="F202" s="19">
        <v>33.0</v>
      </c>
      <c r="G202" s="19">
        <v>20.0</v>
      </c>
      <c r="H202" s="19">
        <v>6.0</v>
      </c>
      <c r="I202" s="19">
        <v>41.0</v>
      </c>
      <c r="J202" s="19">
        <v>25.0</v>
      </c>
      <c r="K202" s="19">
        <v>36.0</v>
      </c>
      <c r="L202" s="19">
        <v>33.0</v>
      </c>
      <c r="M202" s="19">
        <v>21.0</v>
      </c>
      <c r="N202" s="19">
        <v>44.0</v>
      </c>
      <c r="O202" s="19">
        <v>108.0</v>
      </c>
      <c r="P202" s="19">
        <v>10.0</v>
      </c>
      <c r="Q202" s="19">
        <v>9.0</v>
      </c>
      <c r="R202" s="19">
        <v>12.0</v>
      </c>
      <c r="S202" s="19">
        <v>4.0</v>
      </c>
      <c r="T202" s="19">
        <v>9.0</v>
      </c>
      <c r="U202" s="19">
        <v>37.0</v>
      </c>
      <c r="V202" s="19">
        <v>19.0</v>
      </c>
      <c r="W202" s="19">
        <v>39.0</v>
      </c>
      <c r="X202" s="19">
        <v>27.0</v>
      </c>
      <c r="Y202" s="19">
        <v>18.0</v>
      </c>
      <c r="Z202" s="19">
        <v>19.0</v>
      </c>
      <c r="AA202" s="19">
        <v>10.0</v>
      </c>
      <c r="AB202" s="13">
        <f t="shared" si="32"/>
        <v>618</v>
      </c>
      <c r="AC202" s="5"/>
      <c r="AD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4.0</v>
      </c>
      <c r="G203" s="19">
        <v>7.0</v>
      </c>
      <c r="H203" s="19">
        <v>10.0</v>
      </c>
      <c r="I203" s="19">
        <v>14.0</v>
      </c>
      <c r="J203" s="19">
        <v>19.0</v>
      </c>
      <c r="K203" s="19">
        <v>11.0</v>
      </c>
      <c r="L203" s="19">
        <v>28.0</v>
      </c>
      <c r="M203" s="19">
        <v>8.0</v>
      </c>
      <c r="N203" s="19">
        <v>9.0</v>
      </c>
      <c r="O203" s="19">
        <v>14.0</v>
      </c>
      <c r="P203" s="19">
        <v>14.0</v>
      </c>
      <c r="Q203" s="19">
        <v>4.0</v>
      </c>
      <c r="R203" s="19">
        <v>3.0</v>
      </c>
      <c r="S203" s="19">
        <v>1.0</v>
      </c>
      <c r="T203" s="19">
        <v>6.0</v>
      </c>
      <c r="U203" s="19">
        <v>7.0</v>
      </c>
      <c r="V203" s="19">
        <v>13.0</v>
      </c>
      <c r="W203" s="19">
        <v>20.0</v>
      </c>
      <c r="X203" s="19">
        <v>13.0</v>
      </c>
      <c r="Y203" s="19">
        <v>12.0</v>
      </c>
      <c r="Z203" s="19">
        <v>11.0</v>
      </c>
      <c r="AA203" s="19">
        <v>3.0</v>
      </c>
      <c r="AB203" s="13">
        <f t="shared" si="32"/>
        <v>233</v>
      </c>
      <c r="AC203" s="5"/>
      <c r="AD203" s="5"/>
    </row>
    <row r="204" ht="12.75" customHeight="1">
      <c r="A204" s="18"/>
      <c r="B204" s="55">
        <v>3.0</v>
      </c>
      <c r="C204" s="50" t="s">
        <v>150</v>
      </c>
      <c r="D204" s="57"/>
      <c r="E204" s="19">
        <v>2.0</v>
      </c>
      <c r="F204" s="19">
        <v>2.0</v>
      </c>
      <c r="G204" s="19">
        <v>0.0</v>
      </c>
      <c r="H204" s="19">
        <v>0.0</v>
      </c>
      <c r="I204" s="19">
        <v>0.0</v>
      </c>
      <c r="J204" s="19">
        <v>2.0</v>
      </c>
      <c r="K204" s="19">
        <v>0.0</v>
      </c>
      <c r="L204" s="19">
        <v>2.0</v>
      </c>
      <c r="M204" s="19">
        <v>1.0</v>
      </c>
      <c r="N204" s="19">
        <v>1.0</v>
      </c>
      <c r="O204" s="19">
        <v>2.0</v>
      </c>
      <c r="P204" s="19">
        <v>0.0</v>
      </c>
      <c r="Q204" s="19">
        <v>1.0</v>
      </c>
      <c r="R204" s="19">
        <v>1.0</v>
      </c>
      <c r="S204" s="19">
        <v>0.0</v>
      </c>
      <c r="T204" s="19">
        <v>1.0</v>
      </c>
      <c r="U204" s="19">
        <v>0.0</v>
      </c>
      <c r="V204" s="19">
        <v>1.0</v>
      </c>
      <c r="W204" s="19">
        <v>3.0</v>
      </c>
      <c r="X204" s="19">
        <v>2.0</v>
      </c>
      <c r="Y204" s="19">
        <v>1.0</v>
      </c>
      <c r="Z204" s="19">
        <v>1.0</v>
      </c>
      <c r="AA204" s="19">
        <v>3.0</v>
      </c>
      <c r="AB204" s="13">
        <f t="shared" si="32"/>
        <v>26</v>
      </c>
      <c r="AC204" s="5"/>
      <c r="AD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1.0</v>
      </c>
      <c r="G205" s="19">
        <v>0.0</v>
      </c>
      <c r="H205" s="19">
        <v>0.0</v>
      </c>
      <c r="I205" s="19">
        <v>1.0</v>
      </c>
      <c r="J205" s="19">
        <v>0.0</v>
      </c>
      <c r="K205" s="19">
        <v>1.0</v>
      </c>
      <c r="L205" s="19">
        <v>2.0</v>
      </c>
      <c r="M205" s="19">
        <v>1.0</v>
      </c>
      <c r="N205" s="19">
        <v>0.0</v>
      </c>
      <c r="O205" s="19">
        <v>0.0</v>
      </c>
      <c r="P205" s="19">
        <v>0.0</v>
      </c>
      <c r="Q205" s="19">
        <v>1.0</v>
      </c>
      <c r="R205" s="19">
        <v>1.0</v>
      </c>
      <c r="S205" s="19">
        <v>0.0</v>
      </c>
      <c r="T205" s="19">
        <v>1.0</v>
      </c>
      <c r="U205" s="19">
        <v>1.0</v>
      </c>
      <c r="V205" s="19">
        <v>1.0</v>
      </c>
      <c r="W205" s="19">
        <v>0.0</v>
      </c>
      <c r="X205" s="19">
        <v>0.0</v>
      </c>
      <c r="Y205" s="19">
        <v>1.0</v>
      </c>
      <c r="Z205" s="19">
        <v>1.0</v>
      </c>
      <c r="AA205" s="19">
        <v>0.0</v>
      </c>
      <c r="AB205" s="13">
        <f t="shared" si="32"/>
        <v>14</v>
      </c>
      <c r="AC205" s="5"/>
      <c r="AD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2.0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2.0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1.0</v>
      </c>
      <c r="U206" s="19">
        <v>1.0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1.0</v>
      </c>
      <c r="AB206" s="13">
        <f t="shared" si="32"/>
        <v>9</v>
      </c>
      <c r="AC206" s="5"/>
      <c r="AD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1.0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32"/>
        <v>1</v>
      </c>
      <c r="AC207" s="1"/>
      <c r="AD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1.0</v>
      </c>
      <c r="U208" s="19">
        <v>0.0</v>
      </c>
      <c r="V208" s="19">
        <v>1.0</v>
      </c>
      <c r="W208" s="19">
        <v>1.0</v>
      </c>
      <c r="X208" s="19">
        <v>1.0</v>
      </c>
      <c r="Y208" s="19">
        <v>1.0</v>
      </c>
      <c r="Z208" s="19">
        <v>1.0</v>
      </c>
      <c r="AA208" s="19">
        <v>0.0</v>
      </c>
      <c r="AB208" s="13">
        <f t="shared" si="32"/>
        <v>8</v>
      </c>
      <c r="AC208" s="52"/>
      <c r="AD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74"/>
      <c r="AC209" s="52"/>
      <c r="AD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4"/>
      <c r="AC210" s="52"/>
      <c r="AD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A211" si="33">SUM(E201:E208)</f>
        <v>55</v>
      </c>
      <c r="F211" s="13">
        <f t="shared" si="33"/>
        <v>61</v>
      </c>
      <c r="G211" s="13">
        <f t="shared" si="33"/>
        <v>41</v>
      </c>
      <c r="H211" s="13">
        <f t="shared" si="33"/>
        <v>22</v>
      </c>
      <c r="I211" s="13">
        <f t="shared" si="33"/>
        <v>74</v>
      </c>
      <c r="J211" s="13">
        <f t="shared" si="33"/>
        <v>64</v>
      </c>
      <c r="K211" s="13">
        <f t="shared" si="33"/>
        <v>65</v>
      </c>
      <c r="L211" s="13">
        <f t="shared" si="33"/>
        <v>86</v>
      </c>
      <c r="M211" s="13">
        <f t="shared" si="33"/>
        <v>57</v>
      </c>
      <c r="N211" s="13">
        <f t="shared" si="33"/>
        <v>72</v>
      </c>
      <c r="O211" s="13">
        <f t="shared" si="33"/>
        <v>128</v>
      </c>
      <c r="P211" s="13">
        <f t="shared" si="33"/>
        <v>37</v>
      </c>
      <c r="Q211" s="13">
        <f t="shared" si="33"/>
        <v>25</v>
      </c>
      <c r="R211" s="13">
        <f t="shared" si="33"/>
        <v>24</v>
      </c>
      <c r="S211" s="13">
        <f t="shared" si="33"/>
        <v>8</v>
      </c>
      <c r="T211" s="13">
        <f t="shared" si="33"/>
        <v>26</v>
      </c>
      <c r="U211" s="13">
        <f t="shared" si="33"/>
        <v>69</v>
      </c>
      <c r="V211" s="13">
        <f t="shared" si="33"/>
        <v>57</v>
      </c>
      <c r="W211" s="13">
        <f t="shared" si="33"/>
        <v>80</v>
      </c>
      <c r="X211" s="13">
        <f t="shared" si="33"/>
        <v>63</v>
      </c>
      <c r="Y211" s="13">
        <f t="shared" si="33"/>
        <v>53</v>
      </c>
      <c r="Z211" s="13">
        <f t="shared" si="33"/>
        <v>58</v>
      </c>
      <c r="AA211" s="13">
        <f t="shared" si="33"/>
        <v>27</v>
      </c>
      <c r="AB211" s="13">
        <f>SUM(E211:AA211)</f>
        <v>1252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1.0</v>
      </c>
      <c r="H213" s="19">
        <v>0.0</v>
      </c>
      <c r="I213" s="19">
        <v>0.0</v>
      </c>
      <c r="J213" s="19">
        <v>0.0</v>
      </c>
      <c r="K213" s="19">
        <v>0.0</v>
      </c>
      <c r="L213" s="19">
        <v>2.0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1.0</v>
      </c>
      <c r="V213" s="19">
        <v>1.0</v>
      </c>
      <c r="W213" s="19">
        <v>1.0</v>
      </c>
      <c r="X213" s="19">
        <v>0.0</v>
      </c>
      <c r="Y213" s="19">
        <v>2.0</v>
      </c>
      <c r="Z213" s="19">
        <v>0.0</v>
      </c>
      <c r="AA213" s="19">
        <v>0.0</v>
      </c>
      <c r="AB213" s="13">
        <f t="shared" ref="AB213:AB220" si="34">SUM(E213:AA213)</f>
        <v>9</v>
      </c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0.0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1.0</v>
      </c>
      <c r="O214" s="19">
        <v>1.0</v>
      </c>
      <c r="P214" s="19">
        <v>0.0</v>
      </c>
      <c r="Q214" s="19">
        <v>0.0</v>
      </c>
      <c r="R214" s="19">
        <v>2.0</v>
      </c>
      <c r="S214" s="19">
        <v>0.0</v>
      </c>
      <c r="T214" s="19">
        <v>0.0</v>
      </c>
      <c r="U214" s="19">
        <v>3.0</v>
      </c>
      <c r="V214" s="19">
        <v>1.0</v>
      </c>
      <c r="W214" s="19">
        <v>0.0</v>
      </c>
      <c r="X214" s="19">
        <v>0.0</v>
      </c>
      <c r="Y214" s="19">
        <v>0.0</v>
      </c>
      <c r="Z214" s="19">
        <v>1.0</v>
      </c>
      <c r="AA214" s="19">
        <v>2.0</v>
      </c>
      <c r="AB214" s="13">
        <f t="shared" si="34"/>
        <v>13</v>
      </c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0.0</v>
      </c>
      <c r="G215" s="19">
        <v>0.0</v>
      </c>
      <c r="H215" s="19">
        <v>1.0</v>
      </c>
      <c r="I215" s="19">
        <v>0.0</v>
      </c>
      <c r="J215" s="19">
        <v>0.0</v>
      </c>
      <c r="K215" s="19">
        <v>0.0</v>
      </c>
      <c r="L215" s="19">
        <v>3.0</v>
      </c>
      <c r="M215" s="19">
        <v>1.0</v>
      </c>
      <c r="N215" s="19">
        <v>0.0</v>
      </c>
      <c r="O215" s="19">
        <v>0.0</v>
      </c>
      <c r="P215" s="19">
        <v>3.0</v>
      </c>
      <c r="Q215" s="19">
        <v>0.0</v>
      </c>
      <c r="R215" s="19">
        <v>2.0</v>
      </c>
      <c r="S215" s="19">
        <v>2.0</v>
      </c>
      <c r="T215" s="19">
        <v>2.0</v>
      </c>
      <c r="U215" s="19">
        <v>1.0</v>
      </c>
      <c r="V215" s="19">
        <v>1.0</v>
      </c>
      <c r="W215" s="19">
        <v>0.0</v>
      </c>
      <c r="X215" s="19">
        <v>0.0</v>
      </c>
      <c r="Y215" s="19">
        <v>1.0</v>
      </c>
      <c r="Z215" s="19">
        <v>0.0</v>
      </c>
      <c r="AA215" s="19">
        <v>1.0</v>
      </c>
      <c r="AB215" s="13">
        <f t="shared" si="34"/>
        <v>20</v>
      </c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3">
        <f t="shared" si="34"/>
        <v>2</v>
      </c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34"/>
        <v>0</v>
      </c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34"/>
        <v>0</v>
      </c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34"/>
        <v>1</v>
      </c>
      <c r="AC219" s="52"/>
      <c r="AD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34"/>
        <v>0</v>
      </c>
      <c r="AC220" s="5"/>
      <c r="AD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74"/>
      <c r="AC221" s="5"/>
      <c r="AD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74"/>
      <c r="AC222" s="5"/>
      <c r="A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A223" si="35">SUM(E213:E220)</f>
        <v>2</v>
      </c>
      <c r="F223" s="13">
        <f t="shared" si="35"/>
        <v>3</v>
      </c>
      <c r="G223" s="13">
        <f t="shared" si="35"/>
        <v>2</v>
      </c>
      <c r="H223" s="13">
        <f t="shared" si="35"/>
        <v>1</v>
      </c>
      <c r="I223" s="13">
        <f t="shared" si="35"/>
        <v>0</v>
      </c>
      <c r="J223" s="13">
        <f t="shared" si="35"/>
        <v>1</v>
      </c>
      <c r="K223" s="13">
        <f t="shared" si="35"/>
        <v>0</v>
      </c>
      <c r="L223" s="13">
        <f t="shared" si="35"/>
        <v>5</v>
      </c>
      <c r="M223" s="13">
        <f t="shared" si="35"/>
        <v>1</v>
      </c>
      <c r="N223" s="13">
        <f t="shared" si="35"/>
        <v>1</v>
      </c>
      <c r="O223" s="13">
        <f t="shared" si="35"/>
        <v>1</v>
      </c>
      <c r="P223" s="13">
        <f t="shared" si="35"/>
        <v>3</v>
      </c>
      <c r="Q223" s="13">
        <f t="shared" si="35"/>
        <v>0</v>
      </c>
      <c r="R223" s="13">
        <f t="shared" si="35"/>
        <v>4</v>
      </c>
      <c r="S223" s="13">
        <f t="shared" si="35"/>
        <v>2</v>
      </c>
      <c r="T223" s="13">
        <f t="shared" si="35"/>
        <v>3</v>
      </c>
      <c r="U223" s="13">
        <f t="shared" si="35"/>
        <v>5</v>
      </c>
      <c r="V223" s="13">
        <f t="shared" si="35"/>
        <v>3</v>
      </c>
      <c r="W223" s="13">
        <f t="shared" si="35"/>
        <v>1</v>
      </c>
      <c r="X223" s="13">
        <f t="shared" si="35"/>
        <v>0</v>
      </c>
      <c r="Y223" s="13">
        <f t="shared" si="35"/>
        <v>3</v>
      </c>
      <c r="Z223" s="13">
        <f t="shared" si="35"/>
        <v>1</v>
      </c>
      <c r="AA223" s="13">
        <f t="shared" si="35"/>
        <v>3</v>
      </c>
      <c r="AB223" s="13">
        <f>SUM(E223:AA223)</f>
        <v>45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3">
        <f t="shared" ref="AB225:AB232" si="36">SUM(E225:AA225)</f>
        <v>0</v>
      </c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3">
        <f t="shared" si="36"/>
        <v>1</v>
      </c>
      <c r="AC226" s="5"/>
      <c r="AD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36"/>
        <v>0</v>
      </c>
      <c r="AC227" s="5"/>
      <c r="AD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1.0</v>
      </c>
      <c r="AA228" s="19">
        <v>0.0</v>
      </c>
      <c r="AB228" s="13">
        <f t="shared" si="36"/>
        <v>1</v>
      </c>
      <c r="AC228" s="5"/>
      <c r="AD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36"/>
        <v>0</v>
      </c>
      <c r="AC229" s="1"/>
      <c r="AD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36"/>
        <v>0</v>
      </c>
      <c r="AC230" s="52"/>
      <c r="AD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36"/>
        <v>0</v>
      </c>
      <c r="AC231" s="5"/>
      <c r="AD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36"/>
        <v>0</v>
      </c>
      <c r="AC232" s="5"/>
      <c r="AD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74"/>
      <c r="AC233" s="5"/>
      <c r="AD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74"/>
      <c r="AC234" s="5"/>
      <c r="A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A235" si="37">SUM(E225:E232)</f>
        <v>0</v>
      </c>
      <c r="F235" s="13">
        <f t="shared" si="37"/>
        <v>0</v>
      </c>
      <c r="G235" s="13">
        <f t="shared" si="37"/>
        <v>0</v>
      </c>
      <c r="H235" s="13">
        <f t="shared" si="37"/>
        <v>0</v>
      </c>
      <c r="I235" s="13">
        <f t="shared" si="37"/>
        <v>0</v>
      </c>
      <c r="J235" s="13">
        <f t="shared" si="37"/>
        <v>0</v>
      </c>
      <c r="K235" s="13">
        <f t="shared" si="37"/>
        <v>0</v>
      </c>
      <c r="L235" s="13">
        <f t="shared" si="37"/>
        <v>0</v>
      </c>
      <c r="M235" s="13">
        <f t="shared" si="37"/>
        <v>0</v>
      </c>
      <c r="N235" s="13">
        <f t="shared" si="37"/>
        <v>0</v>
      </c>
      <c r="O235" s="13">
        <f t="shared" si="37"/>
        <v>1</v>
      </c>
      <c r="P235" s="13">
        <f t="shared" si="37"/>
        <v>0</v>
      </c>
      <c r="Q235" s="13">
        <f t="shared" si="37"/>
        <v>0</v>
      </c>
      <c r="R235" s="13">
        <f t="shared" si="37"/>
        <v>0</v>
      </c>
      <c r="S235" s="13">
        <f t="shared" si="37"/>
        <v>0</v>
      </c>
      <c r="T235" s="13">
        <f t="shared" si="37"/>
        <v>0</v>
      </c>
      <c r="U235" s="13">
        <f t="shared" si="37"/>
        <v>0</v>
      </c>
      <c r="V235" s="13">
        <f t="shared" si="37"/>
        <v>0</v>
      </c>
      <c r="W235" s="13">
        <f t="shared" si="37"/>
        <v>0</v>
      </c>
      <c r="X235" s="13">
        <f t="shared" si="37"/>
        <v>0</v>
      </c>
      <c r="Y235" s="13">
        <f t="shared" si="37"/>
        <v>0</v>
      </c>
      <c r="Z235" s="13">
        <f t="shared" si="37"/>
        <v>1</v>
      </c>
      <c r="AA235" s="13">
        <f t="shared" si="37"/>
        <v>0</v>
      </c>
      <c r="AB235" s="13">
        <f>SUM(E235:AA235)</f>
        <v>2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1.0</v>
      </c>
      <c r="S237" s="19">
        <v>0.0</v>
      </c>
      <c r="T237" s="19">
        <v>0.0</v>
      </c>
      <c r="U237" s="19">
        <v>1.0</v>
      </c>
      <c r="V237" s="19">
        <v>1.0</v>
      </c>
      <c r="W237" s="19">
        <v>0.0</v>
      </c>
      <c r="X237" s="19">
        <v>0.0</v>
      </c>
      <c r="Y237" s="19">
        <v>1.0</v>
      </c>
      <c r="Z237" s="19">
        <v>0.0</v>
      </c>
      <c r="AA237" s="19">
        <v>0.0</v>
      </c>
      <c r="AB237" s="13">
        <f t="shared" ref="AB237:AB244" si="38">SUM(E237:AA237)</f>
        <v>5</v>
      </c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4.0</v>
      </c>
      <c r="G238" s="19">
        <v>0.0</v>
      </c>
      <c r="H238" s="19">
        <v>0.0</v>
      </c>
      <c r="I238" s="19">
        <v>2.0</v>
      </c>
      <c r="J238" s="19">
        <v>1.0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0.0</v>
      </c>
      <c r="W238" s="19">
        <v>0.0</v>
      </c>
      <c r="X238" s="19">
        <v>6.0</v>
      </c>
      <c r="Y238" s="19">
        <v>0.0</v>
      </c>
      <c r="Z238" s="19">
        <v>0.0</v>
      </c>
      <c r="AA238" s="19">
        <v>0.0</v>
      </c>
      <c r="AB238" s="13">
        <f t="shared" si="38"/>
        <v>15</v>
      </c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3.0</v>
      </c>
      <c r="F239" s="19">
        <v>2.0</v>
      </c>
      <c r="G239" s="19">
        <v>2.0</v>
      </c>
      <c r="H239" s="19">
        <v>5.0</v>
      </c>
      <c r="I239" s="19">
        <v>4.0</v>
      </c>
      <c r="J239" s="19">
        <v>1.0</v>
      </c>
      <c r="K239" s="19">
        <v>4.0</v>
      </c>
      <c r="L239" s="19">
        <v>4.0</v>
      </c>
      <c r="M239" s="19">
        <v>0.0</v>
      </c>
      <c r="N239" s="19">
        <v>0.0</v>
      </c>
      <c r="O239" s="19">
        <v>0.0</v>
      </c>
      <c r="P239" s="19">
        <v>1.0</v>
      </c>
      <c r="Q239" s="19">
        <v>0.0</v>
      </c>
      <c r="R239" s="19">
        <v>0.0</v>
      </c>
      <c r="S239" s="19">
        <v>2.0</v>
      </c>
      <c r="T239" s="19">
        <v>0.0</v>
      </c>
      <c r="U239" s="19">
        <v>0.0</v>
      </c>
      <c r="V239" s="19">
        <v>4.0</v>
      </c>
      <c r="W239" s="19">
        <v>4.0</v>
      </c>
      <c r="X239" s="19">
        <v>5.0</v>
      </c>
      <c r="Y239" s="19">
        <v>1.0</v>
      </c>
      <c r="Z239" s="19">
        <v>1.0</v>
      </c>
      <c r="AA239" s="19">
        <v>0.0</v>
      </c>
      <c r="AB239" s="13">
        <f t="shared" si="38"/>
        <v>43</v>
      </c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3">
        <f t="shared" si="38"/>
        <v>2</v>
      </c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3">
        <f t="shared" si="38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1.0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1.0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38"/>
        <v>3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38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19.0</v>
      </c>
      <c r="G244" s="19">
        <v>5.0</v>
      </c>
      <c r="H244" s="19">
        <v>0.0</v>
      </c>
      <c r="I244" s="19">
        <v>4.0</v>
      </c>
      <c r="J244" s="19">
        <v>7.0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1.0</v>
      </c>
      <c r="Q244" s="19">
        <v>0.0</v>
      </c>
      <c r="R244" s="19">
        <v>1.0</v>
      </c>
      <c r="S244" s="19">
        <v>2.0</v>
      </c>
      <c r="T244" s="19">
        <v>0.0</v>
      </c>
      <c r="U244" s="19">
        <v>4.0</v>
      </c>
      <c r="V244" s="19">
        <v>3.0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2.0</v>
      </c>
      <c r="AB244" s="13">
        <f t="shared" si="38"/>
        <v>49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39">SUM(E237:E244)</f>
        <v>4</v>
      </c>
      <c r="F247" s="13">
        <f t="shared" si="39"/>
        <v>27</v>
      </c>
      <c r="G247" s="13">
        <f t="shared" si="39"/>
        <v>8</v>
      </c>
      <c r="H247" s="13">
        <f t="shared" si="39"/>
        <v>6</v>
      </c>
      <c r="I247" s="13">
        <f t="shared" si="39"/>
        <v>10</v>
      </c>
      <c r="J247" s="13">
        <f t="shared" si="39"/>
        <v>9</v>
      </c>
      <c r="K247" s="13">
        <f t="shared" si="39"/>
        <v>6</v>
      </c>
      <c r="L247" s="13">
        <f t="shared" si="39"/>
        <v>4</v>
      </c>
      <c r="M247" s="13">
        <f t="shared" si="39"/>
        <v>1</v>
      </c>
      <c r="N247" s="13">
        <f t="shared" si="39"/>
        <v>0</v>
      </c>
      <c r="O247" s="13">
        <f t="shared" si="39"/>
        <v>0</v>
      </c>
      <c r="P247" s="13">
        <f t="shared" si="39"/>
        <v>2</v>
      </c>
      <c r="Q247" s="13">
        <f t="shared" si="39"/>
        <v>0</v>
      </c>
      <c r="R247" s="13">
        <f t="shared" si="39"/>
        <v>2</v>
      </c>
      <c r="S247" s="13">
        <f t="shared" si="39"/>
        <v>5</v>
      </c>
      <c r="T247" s="13">
        <f t="shared" si="39"/>
        <v>1</v>
      </c>
      <c r="U247" s="13">
        <f t="shared" si="39"/>
        <v>5</v>
      </c>
      <c r="V247" s="13">
        <f t="shared" si="39"/>
        <v>8</v>
      </c>
      <c r="W247" s="13">
        <f t="shared" si="39"/>
        <v>4</v>
      </c>
      <c r="X247" s="13">
        <f t="shared" si="39"/>
        <v>11</v>
      </c>
      <c r="Y247" s="13">
        <f t="shared" si="39"/>
        <v>2</v>
      </c>
      <c r="Z247" s="13">
        <f t="shared" si="39"/>
        <v>1</v>
      </c>
      <c r="AA247" s="13">
        <f t="shared" si="39"/>
        <v>2</v>
      </c>
      <c r="AB247" s="13">
        <f>SUM(E247:AA247)</f>
        <v>118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3">
        <f t="shared" ref="AB249:AB255" si="40">SUM(E249:AA249)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0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40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40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0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40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1.0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0"/>
        <v>2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A259" si="41">SUM(E249:E255)</f>
        <v>1</v>
      </c>
      <c r="F259" s="13">
        <f t="shared" si="41"/>
        <v>0</v>
      </c>
      <c r="G259" s="13">
        <f t="shared" si="41"/>
        <v>0</v>
      </c>
      <c r="H259" s="13">
        <f t="shared" si="41"/>
        <v>0</v>
      </c>
      <c r="I259" s="13">
        <f t="shared" si="41"/>
        <v>0</v>
      </c>
      <c r="J259" s="13">
        <f t="shared" si="41"/>
        <v>0</v>
      </c>
      <c r="K259" s="13">
        <f t="shared" si="41"/>
        <v>0</v>
      </c>
      <c r="L259" s="13">
        <f t="shared" si="41"/>
        <v>0</v>
      </c>
      <c r="M259" s="13">
        <f t="shared" si="41"/>
        <v>0</v>
      </c>
      <c r="N259" s="13">
        <f t="shared" si="41"/>
        <v>0</v>
      </c>
      <c r="O259" s="13">
        <f t="shared" si="41"/>
        <v>0</v>
      </c>
      <c r="P259" s="13">
        <f t="shared" si="41"/>
        <v>0</v>
      </c>
      <c r="Q259" s="13">
        <f t="shared" si="41"/>
        <v>1</v>
      </c>
      <c r="R259" s="13">
        <f t="shared" si="41"/>
        <v>0</v>
      </c>
      <c r="S259" s="13">
        <f t="shared" si="41"/>
        <v>0</v>
      </c>
      <c r="T259" s="13">
        <f t="shared" si="41"/>
        <v>2</v>
      </c>
      <c r="U259" s="13">
        <f t="shared" si="41"/>
        <v>0</v>
      </c>
      <c r="V259" s="13">
        <f t="shared" si="41"/>
        <v>0</v>
      </c>
      <c r="W259" s="13">
        <f t="shared" si="41"/>
        <v>0</v>
      </c>
      <c r="X259" s="13">
        <f t="shared" si="41"/>
        <v>0</v>
      </c>
      <c r="Y259" s="13">
        <f t="shared" si="41"/>
        <v>0</v>
      </c>
      <c r="Z259" s="13">
        <f t="shared" si="41"/>
        <v>0</v>
      </c>
      <c r="AA259" s="13">
        <f t="shared" si="41"/>
        <v>0</v>
      </c>
      <c r="AB259" s="13">
        <f>SUM(E259:AA259)</f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A262" si="42">E55+E67+E79+E91+E103+E115+E127+E139+E151+E163+E175+E187+E199+E211+E223+E235+E247+E259</f>
        <v>206</v>
      </c>
      <c r="F262" s="19">
        <f t="shared" si="42"/>
        <v>186</v>
      </c>
      <c r="G262" s="19">
        <f t="shared" si="42"/>
        <v>192</v>
      </c>
      <c r="H262" s="19">
        <f t="shared" si="42"/>
        <v>170</v>
      </c>
      <c r="I262" s="19">
        <f t="shared" si="42"/>
        <v>186</v>
      </c>
      <c r="J262" s="19">
        <f t="shared" si="42"/>
        <v>186</v>
      </c>
      <c r="K262" s="19">
        <f t="shared" si="42"/>
        <v>190</v>
      </c>
      <c r="L262" s="19">
        <f t="shared" si="42"/>
        <v>180</v>
      </c>
      <c r="M262" s="19">
        <f t="shared" si="42"/>
        <v>195</v>
      </c>
      <c r="N262" s="19">
        <f t="shared" si="42"/>
        <v>190</v>
      </c>
      <c r="O262" s="19">
        <f t="shared" si="42"/>
        <v>205</v>
      </c>
      <c r="P262" s="19">
        <f t="shared" si="42"/>
        <v>187</v>
      </c>
      <c r="Q262" s="19">
        <f t="shared" si="42"/>
        <v>173</v>
      </c>
      <c r="R262" s="19">
        <f t="shared" si="42"/>
        <v>135</v>
      </c>
      <c r="S262" s="19">
        <f t="shared" si="42"/>
        <v>130</v>
      </c>
      <c r="T262" s="19">
        <f t="shared" si="42"/>
        <v>129</v>
      </c>
      <c r="U262" s="19">
        <f t="shared" si="42"/>
        <v>181</v>
      </c>
      <c r="V262" s="19">
        <f t="shared" si="42"/>
        <v>192</v>
      </c>
      <c r="W262" s="19">
        <f t="shared" si="42"/>
        <v>184</v>
      </c>
      <c r="X262" s="19">
        <f t="shared" si="42"/>
        <v>196</v>
      </c>
      <c r="Y262" s="19">
        <f t="shared" si="42"/>
        <v>186</v>
      </c>
      <c r="Z262" s="19">
        <f t="shared" si="42"/>
        <v>197</v>
      </c>
      <c r="AA262" s="19">
        <f t="shared" si="42"/>
        <v>166</v>
      </c>
      <c r="AB262" s="13">
        <f t="shared" ref="AB262:AB264" si="43">SUM(E262:AA262)</f>
        <v>4142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19.0</v>
      </c>
      <c r="F263" s="19">
        <v>17.0</v>
      </c>
      <c r="G263" s="19">
        <v>13.0</v>
      </c>
      <c r="H263" s="19">
        <v>14.0</v>
      </c>
      <c r="I263" s="19">
        <v>30.0</v>
      </c>
      <c r="J263" s="19">
        <v>27.0</v>
      </c>
      <c r="K263" s="19">
        <v>17.0</v>
      </c>
      <c r="L263" s="19">
        <v>4.0</v>
      </c>
      <c r="M263" s="19">
        <v>20.0</v>
      </c>
      <c r="N263" s="19">
        <v>17.0</v>
      </c>
      <c r="O263" s="19">
        <v>9.0</v>
      </c>
      <c r="P263" s="19">
        <v>30.0</v>
      </c>
      <c r="Q263" s="19">
        <v>22.0</v>
      </c>
      <c r="R263" s="19">
        <v>20.0</v>
      </c>
      <c r="S263" s="19">
        <v>14.0</v>
      </c>
      <c r="T263" s="19">
        <v>10.0</v>
      </c>
      <c r="U263" s="19">
        <v>17.0</v>
      </c>
      <c r="V263" s="19">
        <v>19.0</v>
      </c>
      <c r="W263" s="19">
        <v>17.0</v>
      </c>
      <c r="X263" s="19">
        <v>9.0</v>
      </c>
      <c r="Y263" s="19">
        <v>7.0</v>
      </c>
      <c r="Z263" s="19">
        <v>16.0</v>
      </c>
      <c r="AA263" s="19">
        <v>20.0</v>
      </c>
      <c r="AB263" s="13">
        <f t="shared" si="43"/>
        <v>388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A264" si="44">SUM(E262:E263)</f>
        <v>225</v>
      </c>
      <c r="F264" s="13">
        <f t="shared" si="44"/>
        <v>203</v>
      </c>
      <c r="G264" s="13">
        <f t="shared" si="44"/>
        <v>205</v>
      </c>
      <c r="H264" s="13">
        <f t="shared" si="44"/>
        <v>184</v>
      </c>
      <c r="I264" s="13">
        <f t="shared" si="44"/>
        <v>216</v>
      </c>
      <c r="J264" s="13">
        <f t="shared" si="44"/>
        <v>213</v>
      </c>
      <c r="K264" s="13">
        <f t="shared" si="44"/>
        <v>207</v>
      </c>
      <c r="L264" s="13">
        <f t="shared" si="44"/>
        <v>184</v>
      </c>
      <c r="M264" s="13">
        <f t="shared" si="44"/>
        <v>215</v>
      </c>
      <c r="N264" s="13">
        <f t="shared" si="44"/>
        <v>207</v>
      </c>
      <c r="O264" s="13">
        <f t="shared" si="44"/>
        <v>214</v>
      </c>
      <c r="P264" s="13">
        <f t="shared" si="44"/>
        <v>217</v>
      </c>
      <c r="Q264" s="13">
        <f t="shared" si="44"/>
        <v>195</v>
      </c>
      <c r="R264" s="13">
        <f t="shared" si="44"/>
        <v>155</v>
      </c>
      <c r="S264" s="13">
        <f t="shared" si="44"/>
        <v>144</v>
      </c>
      <c r="T264" s="13">
        <f t="shared" si="44"/>
        <v>139</v>
      </c>
      <c r="U264" s="13">
        <f t="shared" si="44"/>
        <v>198</v>
      </c>
      <c r="V264" s="13">
        <f t="shared" si="44"/>
        <v>211</v>
      </c>
      <c r="W264" s="13">
        <f t="shared" si="44"/>
        <v>201</v>
      </c>
      <c r="X264" s="13">
        <f t="shared" si="44"/>
        <v>205</v>
      </c>
      <c r="Y264" s="13">
        <f t="shared" si="44"/>
        <v>193</v>
      </c>
      <c r="Z264" s="13">
        <f t="shared" si="44"/>
        <v>213</v>
      </c>
      <c r="AA264" s="13">
        <f t="shared" si="44"/>
        <v>186</v>
      </c>
      <c r="AB264" s="13">
        <f t="shared" si="43"/>
        <v>4530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147.0</v>
      </c>
      <c r="G14" s="19">
        <v>117.0</v>
      </c>
      <c r="H14" s="19">
        <v>106.0</v>
      </c>
      <c r="I14" s="19">
        <v>134.0</v>
      </c>
      <c r="J14" s="19">
        <v>135.0</v>
      </c>
      <c r="K14" s="19">
        <v>123.0</v>
      </c>
      <c r="L14" s="19">
        <v>110.0</v>
      </c>
      <c r="M14" s="19">
        <v>101.0</v>
      </c>
      <c r="N14" s="19">
        <v>126.0</v>
      </c>
      <c r="O14" s="19">
        <v>86.0</v>
      </c>
      <c r="P14" s="19">
        <v>122.0</v>
      </c>
      <c r="Q14" s="19">
        <v>144.0</v>
      </c>
      <c r="R14" s="19">
        <v>131.0</v>
      </c>
      <c r="S14" s="19">
        <v>112.0</v>
      </c>
      <c r="T14" s="19">
        <v>143.0</v>
      </c>
      <c r="U14" s="13">
        <f t="shared" ref="U14:U16" si="1">SUM(E14:T14)</f>
        <v>1968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139.0</v>
      </c>
      <c r="G15" s="19">
        <v>132.0</v>
      </c>
      <c r="H15" s="19">
        <v>111.0</v>
      </c>
      <c r="I15" s="19">
        <v>139.0</v>
      </c>
      <c r="J15" s="19">
        <v>140.0</v>
      </c>
      <c r="K15" s="19">
        <v>143.0</v>
      </c>
      <c r="L15" s="19">
        <v>118.0</v>
      </c>
      <c r="M15" s="19">
        <v>116.0</v>
      </c>
      <c r="N15" s="19">
        <v>139.0</v>
      </c>
      <c r="O15" s="19">
        <v>95.0</v>
      </c>
      <c r="P15" s="19">
        <v>114.0</v>
      </c>
      <c r="Q15" s="19">
        <v>144.0</v>
      </c>
      <c r="R15" s="19">
        <v>141.0</v>
      </c>
      <c r="S15" s="19">
        <v>107.0</v>
      </c>
      <c r="T15" s="19">
        <v>145.0</v>
      </c>
      <c r="U15" s="13">
        <f t="shared" si="1"/>
        <v>2054</v>
      </c>
    </row>
    <row r="16" ht="12.75" customHeight="1">
      <c r="A16" s="25"/>
      <c r="B16" s="21"/>
      <c r="C16" s="28"/>
      <c r="D16" s="13" t="s">
        <v>14</v>
      </c>
      <c r="E16" s="13">
        <v>262.0</v>
      </c>
      <c r="F16" s="13">
        <v>286.0</v>
      </c>
      <c r="G16" s="13">
        <v>249.0</v>
      </c>
      <c r="H16" s="13">
        <v>217.0</v>
      </c>
      <c r="I16" s="13">
        <v>273.0</v>
      </c>
      <c r="J16" s="13">
        <v>275.0</v>
      </c>
      <c r="K16" s="13">
        <v>266.0</v>
      </c>
      <c r="L16" s="13">
        <v>228.0</v>
      </c>
      <c r="M16" s="13">
        <v>217.0</v>
      </c>
      <c r="N16" s="13">
        <v>265.0</v>
      </c>
      <c r="O16" s="13">
        <v>181.0</v>
      </c>
      <c r="P16" s="13">
        <v>236.0</v>
      </c>
      <c r="Q16" s="13">
        <v>288.0</v>
      </c>
      <c r="R16" s="13">
        <v>272.0</v>
      </c>
      <c r="S16" s="13">
        <v>219.0</v>
      </c>
      <c r="T16" s="13">
        <f>SUM(T14:T15)</f>
        <v>288</v>
      </c>
      <c r="U16" s="13">
        <f t="shared" si="1"/>
        <v>4022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117.0</v>
      </c>
      <c r="G19" s="19">
        <v>86.0</v>
      </c>
      <c r="H19" s="19">
        <v>84.0</v>
      </c>
      <c r="I19" s="19">
        <v>107.0</v>
      </c>
      <c r="J19" s="19">
        <v>108.0</v>
      </c>
      <c r="K19" s="19">
        <v>94.0</v>
      </c>
      <c r="L19" s="19">
        <v>77.0</v>
      </c>
      <c r="M19" s="19">
        <v>87.0</v>
      </c>
      <c r="N19" s="19">
        <v>98.0</v>
      </c>
      <c r="O19" s="19">
        <v>62.0</v>
      </c>
      <c r="P19" s="19">
        <v>92.0</v>
      </c>
      <c r="Q19" s="19">
        <v>106.0</v>
      </c>
      <c r="R19" s="19">
        <v>93.0</v>
      </c>
      <c r="S19" s="19">
        <v>84.0</v>
      </c>
      <c r="T19" s="19">
        <v>114.0</v>
      </c>
      <c r="U19" s="13">
        <f t="shared" ref="U19:U30" si="2">SUM(E19:T19)</f>
        <v>1510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122.0</v>
      </c>
      <c r="G20" s="19">
        <v>109.0</v>
      </c>
      <c r="H20" s="19">
        <v>91.0</v>
      </c>
      <c r="I20" s="19">
        <v>112.0</v>
      </c>
      <c r="J20" s="19">
        <v>110.0</v>
      </c>
      <c r="K20" s="19">
        <v>118.0</v>
      </c>
      <c r="L20" s="19">
        <v>89.0</v>
      </c>
      <c r="M20" s="19">
        <v>99.0</v>
      </c>
      <c r="N20" s="19">
        <v>115.0</v>
      </c>
      <c r="O20" s="19">
        <v>79.0</v>
      </c>
      <c r="P20" s="19">
        <v>102.0</v>
      </c>
      <c r="Q20" s="19">
        <v>108.0</v>
      </c>
      <c r="R20" s="19">
        <v>97.0</v>
      </c>
      <c r="S20" s="19">
        <v>90.0</v>
      </c>
      <c r="T20" s="19">
        <v>125.0</v>
      </c>
      <c r="U20" s="13">
        <f t="shared" si="2"/>
        <v>1682</v>
      </c>
    </row>
    <row r="21" ht="12.75" customHeight="1">
      <c r="A21" s="35"/>
      <c r="B21" s="28"/>
      <c r="C21" s="36"/>
      <c r="D21" s="13" t="s">
        <v>14</v>
      </c>
      <c r="E21" s="13">
        <v>217.0</v>
      </c>
      <c r="F21" s="13">
        <v>239.0</v>
      </c>
      <c r="G21" s="13">
        <v>195.0</v>
      </c>
      <c r="H21" s="13">
        <v>175.0</v>
      </c>
      <c r="I21" s="13">
        <v>219.0</v>
      </c>
      <c r="J21" s="13">
        <v>218.0</v>
      </c>
      <c r="K21" s="13">
        <v>212.0</v>
      </c>
      <c r="L21" s="13">
        <v>166.0</v>
      </c>
      <c r="M21" s="13">
        <v>186.0</v>
      </c>
      <c r="N21" s="13">
        <v>213.0</v>
      </c>
      <c r="O21" s="13">
        <v>141.0</v>
      </c>
      <c r="P21" s="13">
        <v>194.0</v>
      </c>
      <c r="Q21" s="13">
        <v>214.0</v>
      </c>
      <c r="R21" s="13">
        <v>190.0</v>
      </c>
      <c r="S21" s="13">
        <v>174.0</v>
      </c>
      <c r="T21" s="13">
        <f>SUM(T19:T20)</f>
        <v>239</v>
      </c>
      <c r="U21" s="13">
        <f t="shared" si="2"/>
        <v>3192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2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3">
        <f t="shared" si="2"/>
        <v>0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f>SUM(T22:T23)</f>
        <v>0</v>
      </c>
      <c r="U24" s="13">
        <f t="shared" si="2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3.0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1.0</v>
      </c>
      <c r="S25" s="19">
        <v>4.0</v>
      </c>
      <c r="T25" s="19">
        <v>0.0</v>
      </c>
      <c r="U25" s="13">
        <f t="shared" si="2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1.0</v>
      </c>
      <c r="I26" s="19">
        <v>2.0</v>
      </c>
      <c r="J26" s="19">
        <v>1.0</v>
      </c>
      <c r="K26" s="19">
        <v>1.0</v>
      </c>
      <c r="L26" s="19">
        <v>1.0</v>
      </c>
      <c r="M26" s="19">
        <v>1.0</v>
      </c>
      <c r="N26" s="19">
        <v>2.0</v>
      </c>
      <c r="O26" s="19">
        <v>1.0</v>
      </c>
      <c r="P26" s="19">
        <v>1.0</v>
      </c>
      <c r="Q26" s="19">
        <v>0.0</v>
      </c>
      <c r="R26" s="19">
        <v>1.0</v>
      </c>
      <c r="S26" s="19">
        <v>3.0</v>
      </c>
      <c r="T26" s="19">
        <v>1.0</v>
      </c>
      <c r="U26" s="13">
        <f t="shared" si="2"/>
        <v>19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2.0</v>
      </c>
      <c r="G27" s="13">
        <v>1.0</v>
      </c>
      <c r="H27" s="13">
        <v>4.0</v>
      </c>
      <c r="I27" s="13">
        <v>2.0</v>
      </c>
      <c r="J27" s="13">
        <v>1.0</v>
      </c>
      <c r="K27" s="13">
        <v>2.0</v>
      </c>
      <c r="L27" s="13">
        <v>1.0</v>
      </c>
      <c r="M27" s="13">
        <v>1.0</v>
      </c>
      <c r="N27" s="13">
        <v>4.0</v>
      </c>
      <c r="O27" s="13">
        <v>1.0</v>
      </c>
      <c r="P27" s="13">
        <v>2.0</v>
      </c>
      <c r="Q27" s="13">
        <v>1.0</v>
      </c>
      <c r="R27" s="13">
        <v>2.0</v>
      </c>
      <c r="S27" s="13">
        <v>7.0</v>
      </c>
      <c r="T27" s="13">
        <f>SUM(T25:T26)</f>
        <v>1</v>
      </c>
      <c r="U27" s="13">
        <f t="shared" si="2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102.0</v>
      </c>
      <c r="F28" s="13">
        <v>118.0</v>
      </c>
      <c r="G28" s="13">
        <v>87.0</v>
      </c>
      <c r="H28" s="13">
        <v>87.0</v>
      </c>
      <c r="I28" s="13">
        <v>107.0</v>
      </c>
      <c r="J28" s="13">
        <v>108.0</v>
      </c>
      <c r="K28" s="13">
        <v>95.0</v>
      </c>
      <c r="L28" s="13">
        <v>77.0</v>
      </c>
      <c r="M28" s="13">
        <v>87.0</v>
      </c>
      <c r="N28" s="13">
        <v>100.0</v>
      </c>
      <c r="O28" s="13">
        <v>62.0</v>
      </c>
      <c r="P28" s="13">
        <v>93.0</v>
      </c>
      <c r="Q28" s="13">
        <v>107.0</v>
      </c>
      <c r="R28" s="13">
        <v>94.0</v>
      </c>
      <c r="S28" s="13">
        <v>88.0</v>
      </c>
      <c r="T28" s="13">
        <f t="shared" ref="T28:T29" si="3">SUM(T19,T22,T25)</f>
        <v>114</v>
      </c>
      <c r="U28" s="13">
        <f t="shared" si="2"/>
        <v>1526</v>
      </c>
    </row>
    <row r="29" ht="12.75" customHeight="1">
      <c r="A29" s="35"/>
      <c r="B29" s="27"/>
      <c r="C29" s="34"/>
      <c r="D29" s="13" t="s">
        <v>13</v>
      </c>
      <c r="E29" s="13">
        <v>118.0</v>
      </c>
      <c r="F29" s="13">
        <v>123.0</v>
      </c>
      <c r="G29" s="13">
        <v>109.0</v>
      </c>
      <c r="H29" s="13">
        <v>92.0</v>
      </c>
      <c r="I29" s="13">
        <v>114.0</v>
      </c>
      <c r="J29" s="13">
        <v>111.0</v>
      </c>
      <c r="K29" s="13">
        <v>119.0</v>
      </c>
      <c r="L29" s="13">
        <v>90.0</v>
      </c>
      <c r="M29" s="13">
        <v>100.0</v>
      </c>
      <c r="N29" s="13">
        <v>117.0</v>
      </c>
      <c r="O29" s="13">
        <v>80.0</v>
      </c>
      <c r="P29" s="13">
        <v>103.0</v>
      </c>
      <c r="Q29" s="13">
        <v>108.0</v>
      </c>
      <c r="R29" s="13">
        <v>98.0</v>
      </c>
      <c r="S29" s="13">
        <v>93.0</v>
      </c>
      <c r="T29" s="13">
        <f t="shared" si="3"/>
        <v>126</v>
      </c>
      <c r="U29" s="13">
        <f t="shared" si="2"/>
        <v>1701</v>
      </c>
    </row>
    <row r="30" ht="12.75" customHeight="1">
      <c r="A30" s="35"/>
      <c r="B30" s="28"/>
      <c r="C30" s="36"/>
      <c r="D30" s="13" t="s">
        <v>14</v>
      </c>
      <c r="E30" s="13">
        <v>220.0</v>
      </c>
      <c r="F30" s="13">
        <v>241.0</v>
      </c>
      <c r="G30" s="13">
        <v>196.0</v>
      </c>
      <c r="H30" s="13">
        <v>179.0</v>
      </c>
      <c r="I30" s="13">
        <v>221.0</v>
      </c>
      <c r="J30" s="13">
        <v>219.0</v>
      </c>
      <c r="K30" s="13">
        <v>214.0</v>
      </c>
      <c r="L30" s="13">
        <v>167.0</v>
      </c>
      <c r="M30" s="13">
        <v>187.0</v>
      </c>
      <c r="N30" s="13">
        <v>217.0</v>
      </c>
      <c r="O30" s="13">
        <v>142.0</v>
      </c>
      <c r="P30" s="13">
        <v>196.0</v>
      </c>
      <c r="Q30" s="13">
        <v>215.0</v>
      </c>
      <c r="R30" s="13">
        <v>192.0</v>
      </c>
      <c r="S30" s="13">
        <v>181.0</v>
      </c>
      <c r="T30" s="13">
        <f>SUM(T28:T29)</f>
        <v>240</v>
      </c>
      <c r="U30" s="13">
        <f t="shared" si="2"/>
        <v>3227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8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292.0</v>
      </c>
      <c r="G33" s="19">
        <v>254.0</v>
      </c>
      <c r="H33" s="19">
        <v>222.0</v>
      </c>
      <c r="I33" s="19">
        <v>279.0</v>
      </c>
      <c r="J33" s="19">
        <v>281.0</v>
      </c>
      <c r="K33" s="19">
        <v>272.0</v>
      </c>
      <c r="L33" s="19">
        <v>233.0</v>
      </c>
      <c r="M33" s="19">
        <v>222.0</v>
      </c>
      <c r="N33" s="19">
        <v>271.0</v>
      </c>
      <c r="O33" s="19">
        <v>185.0</v>
      </c>
      <c r="P33" s="19">
        <v>241.0</v>
      </c>
      <c r="Q33" s="19">
        <v>294.0</v>
      </c>
      <c r="R33" s="19">
        <v>278.0</v>
      </c>
      <c r="S33" s="19">
        <v>224.0</v>
      </c>
      <c r="T33" s="19">
        <v>294.0</v>
      </c>
      <c r="U33" s="13">
        <f t="shared" ref="U33:U36" si="4">SUM(E33:T33)</f>
        <v>4110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241.0</v>
      </c>
      <c r="G34" s="13">
        <v>196.0</v>
      </c>
      <c r="H34" s="13">
        <v>179.0</v>
      </c>
      <c r="I34" s="13">
        <v>221.0</v>
      </c>
      <c r="J34" s="13">
        <v>219.0</v>
      </c>
      <c r="K34" s="13">
        <v>214.0</v>
      </c>
      <c r="L34" s="13">
        <v>167.0</v>
      </c>
      <c r="M34" s="13">
        <v>187.0</v>
      </c>
      <c r="N34" s="13">
        <v>217.0</v>
      </c>
      <c r="O34" s="13">
        <v>142.0</v>
      </c>
      <c r="P34" s="13">
        <v>196.0</v>
      </c>
      <c r="Q34" s="13">
        <v>215.0</v>
      </c>
      <c r="R34" s="13">
        <v>192.0</v>
      </c>
      <c r="S34" s="13">
        <v>181.0</v>
      </c>
      <c r="T34" s="13">
        <v>240.0</v>
      </c>
      <c r="U34" s="13">
        <f t="shared" si="4"/>
        <v>3227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1.0</v>
      </c>
      <c r="I35" s="19">
        <v>1.0</v>
      </c>
      <c r="J35" s="19">
        <v>3.0</v>
      </c>
      <c r="K35" s="19">
        <v>0.0</v>
      </c>
      <c r="L35" s="19">
        <v>1.0</v>
      </c>
      <c r="M35" s="19">
        <v>2.0</v>
      </c>
      <c r="N35" s="19">
        <v>1.0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3">
        <f t="shared" si="4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v>46.0</v>
      </c>
      <c r="F36" s="13">
        <v>51.0</v>
      </c>
      <c r="G36" s="13">
        <v>58.0</v>
      </c>
      <c r="H36" s="13">
        <v>42.0</v>
      </c>
      <c r="I36" s="13">
        <v>57.0</v>
      </c>
      <c r="J36" s="13">
        <v>59.0</v>
      </c>
      <c r="K36" s="13">
        <v>58.0</v>
      </c>
      <c r="L36" s="13">
        <v>65.0</v>
      </c>
      <c r="M36" s="13">
        <v>33.0</v>
      </c>
      <c r="N36" s="13">
        <v>53.0</v>
      </c>
      <c r="O36" s="13">
        <v>43.0</v>
      </c>
      <c r="P36" s="13">
        <v>45.0</v>
      </c>
      <c r="Q36" s="13">
        <v>78.0</v>
      </c>
      <c r="R36" s="13">
        <v>86.0</v>
      </c>
      <c r="S36" s="13">
        <v>43.0</v>
      </c>
      <c r="T36" s="13">
        <f>T33-(T34+T35)</f>
        <v>54</v>
      </c>
      <c r="U36" s="13">
        <f t="shared" si="4"/>
        <v>871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3">
        <f t="shared" ref="U39:U41" si="5">SUM(E39:T39)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1.0</v>
      </c>
      <c r="M40" s="19">
        <v>1.0</v>
      </c>
      <c r="N40" s="19">
        <v>0.0</v>
      </c>
      <c r="O40" s="19">
        <v>1.0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3">
        <f t="shared" si="5"/>
        <v>5</v>
      </c>
    </row>
    <row r="41" ht="12.75" customHeight="1">
      <c r="A41" s="41"/>
      <c r="B41" s="44"/>
      <c r="C41" s="28"/>
      <c r="D41" s="13" t="s">
        <v>14</v>
      </c>
      <c r="E41" s="13">
        <v>1.0</v>
      </c>
      <c r="F41" s="13">
        <v>0.0</v>
      </c>
      <c r="G41" s="13">
        <v>0.0</v>
      </c>
      <c r="H41" s="13">
        <v>2.0</v>
      </c>
      <c r="I41" s="13">
        <v>0.0</v>
      </c>
      <c r="J41" s="13">
        <v>0.0</v>
      </c>
      <c r="K41" s="13">
        <v>0.0</v>
      </c>
      <c r="L41" s="13">
        <v>1.0</v>
      </c>
      <c r="M41" s="13">
        <v>1.0</v>
      </c>
      <c r="N41" s="13">
        <v>0.0</v>
      </c>
      <c r="O41" s="13">
        <v>3.0</v>
      </c>
      <c r="P41" s="13">
        <v>0.0</v>
      </c>
      <c r="Q41" s="13">
        <v>2.0</v>
      </c>
      <c r="R41" s="13">
        <v>0.0</v>
      </c>
      <c r="S41" s="13">
        <v>0.0</v>
      </c>
      <c r="T41" s="13">
        <f>SUM(T39:T40)</f>
        <v>0</v>
      </c>
      <c r="U41" s="13">
        <f t="shared" si="5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22.0</v>
      </c>
      <c r="F45" s="19">
        <v>8.0</v>
      </c>
      <c r="G45" s="19">
        <v>13.0</v>
      </c>
      <c r="H45" s="19">
        <v>12.0</v>
      </c>
      <c r="I45" s="19">
        <v>12.0</v>
      </c>
      <c r="J45" s="19">
        <v>15.0</v>
      </c>
      <c r="K45" s="19">
        <v>5.0</v>
      </c>
      <c r="L45" s="19">
        <v>18.0</v>
      </c>
      <c r="M45" s="19">
        <v>10.0</v>
      </c>
      <c r="N45" s="19">
        <v>8.0</v>
      </c>
      <c r="O45" s="19">
        <v>10.0</v>
      </c>
      <c r="P45" s="19">
        <v>13.0</v>
      </c>
      <c r="Q45" s="19">
        <v>15.0</v>
      </c>
      <c r="R45" s="19">
        <v>6.0</v>
      </c>
      <c r="S45" s="19">
        <v>3.0</v>
      </c>
      <c r="T45" s="19">
        <v>5.0</v>
      </c>
      <c r="U45" s="13">
        <f t="shared" ref="U45:U52" si="6">SUM(E45:T45)</f>
        <v>175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57.0</v>
      </c>
      <c r="F46" s="19">
        <v>44.0</v>
      </c>
      <c r="G46" s="19">
        <v>34.0</v>
      </c>
      <c r="H46" s="19">
        <v>33.0</v>
      </c>
      <c r="I46" s="19">
        <v>51.0</v>
      </c>
      <c r="J46" s="19">
        <v>13.0</v>
      </c>
      <c r="K46" s="19">
        <v>8.0</v>
      </c>
      <c r="L46" s="19">
        <v>22.0</v>
      </c>
      <c r="M46" s="19">
        <v>27.0</v>
      </c>
      <c r="N46" s="19">
        <v>56.0</v>
      </c>
      <c r="O46" s="19">
        <v>14.0</v>
      </c>
      <c r="P46" s="19">
        <v>42.0</v>
      </c>
      <c r="Q46" s="19">
        <v>19.0</v>
      </c>
      <c r="R46" s="19">
        <v>5.0</v>
      </c>
      <c r="S46" s="19">
        <v>20.0</v>
      </c>
      <c r="T46" s="19">
        <v>11.0</v>
      </c>
      <c r="U46" s="13">
        <f t="shared" si="6"/>
        <v>456</v>
      </c>
    </row>
    <row r="47" ht="12.75" customHeight="1">
      <c r="A47" s="18"/>
      <c r="B47" s="55">
        <v>2.0</v>
      </c>
      <c r="C47" s="50" t="s">
        <v>41</v>
      </c>
      <c r="D47" s="16"/>
      <c r="E47" s="19">
        <v>6.0</v>
      </c>
      <c r="F47" s="19">
        <v>3.0</v>
      </c>
      <c r="G47" s="19">
        <v>1.0</v>
      </c>
      <c r="H47" s="19">
        <v>3.0</v>
      </c>
      <c r="I47" s="19">
        <v>5.0</v>
      </c>
      <c r="J47" s="19">
        <v>3.0</v>
      </c>
      <c r="K47" s="19">
        <v>2.0</v>
      </c>
      <c r="L47" s="19">
        <v>1.0</v>
      </c>
      <c r="M47" s="19">
        <v>1.0</v>
      </c>
      <c r="N47" s="19">
        <v>2.0</v>
      </c>
      <c r="O47" s="19">
        <v>6.0</v>
      </c>
      <c r="P47" s="19">
        <v>2.0</v>
      </c>
      <c r="Q47" s="19">
        <v>1.0</v>
      </c>
      <c r="R47" s="19">
        <v>3.0</v>
      </c>
      <c r="S47" s="19">
        <v>0.0</v>
      </c>
      <c r="T47" s="19">
        <v>5.0</v>
      </c>
      <c r="U47" s="13">
        <f t="shared" si="6"/>
        <v>44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2.0</v>
      </c>
      <c r="G48" s="19">
        <v>2.0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1.0</v>
      </c>
      <c r="N48" s="19">
        <v>1.0</v>
      </c>
      <c r="O48" s="19">
        <v>1.0</v>
      </c>
      <c r="P48" s="19">
        <v>4.0</v>
      </c>
      <c r="Q48" s="19">
        <v>1.0</v>
      </c>
      <c r="R48" s="19">
        <v>0.0</v>
      </c>
      <c r="S48" s="19">
        <v>0.0</v>
      </c>
      <c r="T48" s="19">
        <v>2.0</v>
      </c>
      <c r="U48" s="13">
        <f t="shared" si="6"/>
        <v>17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2.0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2.0</v>
      </c>
      <c r="N49" s="19">
        <v>4.0</v>
      </c>
      <c r="O49" s="19">
        <v>0.0</v>
      </c>
      <c r="P49" s="19">
        <v>0.0</v>
      </c>
      <c r="Q49" s="19">
        <v>0.0</v>
      </c>
      <c r="R49" s="19">
        <v>1.0</v>
      </c>
      <c r="S49" s="19">
        <v>1.0</v>
      </c>
      <c r="T49" s="19">
        <v>1.0</v>
      </c>
      <c r="U49" s="13">
        <f t="shared" si="6"/>
        <v>14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1.0</v>
      </c>
      <c r="Q50" s="19">
        <v>0.0</v>
      </c>
      <c r="R50" s="19">
        <v>0.0</v>
      </c>
      <c r="S50" s="19">
        <v>0.0</v>
      </c>
      <c r="T50" s="19">
        <v>0.0</v>
      </c>
      <c r="U50" s="13">
        <f t="shared" si="6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2.0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3">
        <f t="shared" si="6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3">
        <f t="shared" si="6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7">SUM(E45:E52)</f>
        <v>88</v>
      </c>
      <c r="F55" s="13">
        <f t="shared" si="7"/>
        <v>58</v>
      </c>
      <c r="G55" s="13">
        <f t="shared" si="7"/>
        <v>54</v>
      </c>
      <c r="H55" s="13">
        <f t="shared" si="7"/>
        <v>50</v>
      </c>
      <c r="I55" s="13">
        <f t="shared" si="7"/>
        <v>69</v>
      </c>
      <c r="J55" s="13">
        <f t="shared" si="7"/>
        <v>32</v>
      </c>
      <c r="K55" s="13">
        <f t="shared" si="7"/>
        <v>15</v>
      </c>
      <c r="L55" s="13">
        <f t="shared" si="7"/>
        <v>43</v>
      </c>
      <c r="M55" s="13">
        <f t="shared" si="7"/>
        <v>41</v>
      </c>
      <c r="N55" s="13">
        <f t="shared" si="7"/>
        <v>71</v>
      </c>
      <c r="O55" s="13">
        <f t="shared" si="7"/>
        <v>32</v>
      </c>
      <c r="P55" s="13">
        <f t="shared" si="7"/>
        <v>62</v>
      </c>
      <c r="Q55" s="13">
        <f t="shared" si="7"/>
        <v>37</v>
      </c>
      <c r="R55" s="13">
        <f t="shared" si="7"/>
        <v>15</v>
      </c>
      <c r="S55" s="13">
        <f t="shared" si="7"/>
        <v>24</v>
      </c>
      <c r="T55" s="13">
        <f t="shared" si="7"/>
        <v>24</v>
      </c>
      <c r="U55" s="13">
        <f>SUM(E55:T55)</f>
        <v>715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18.0</v>
      </c>
      <c r="G57" s="19">
        <v>6.0</v>
      </c>
      <c r="H57" s="19">
        <v>8.0</v>
      </c>
      <c r="I57" s="19">
        <v>5.0</v>
      </c>
      <c r="J57" s="19">
        <v>11.0</v>
      </c>
      <c r="K57" s="19">
        <v>6.0</v>
      </c>
      <c r="L57" s="19">
        <v>8.0</v>
      </c>
      <c r="M57" s="19">
        <v>9.0</v>
      </c>
      <c r="N57" s="19">
        <v>5.0</v>
      </c>
      <c r="O57" s="19">
        <v>12.0</v>
      </c>
      <c r="P57" s="19">
        <v>8.0</v>
      </c>
      <c r="Q57" s="19">
        <v>17.0</v>
      </c>
      <c r="R57" s="19">
        <v>8.0</v>
      </c>
      <c r="S57" s="19">
        <v>6.0</v>
      </c>
      <c r="T57" s="19">
        <v>6.0</v>
      </c>
      <c r="U57" s="13">
        <f t="shared" ref="U57:U64" si="8">SUM(E57:T57)</f>
        <v>140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2.0</v>
      </c>
      <c r="F58" s="19">
        <v>26.0</v>
      </c>
      <c r="G58" s="19">
        <v>9.0</v>
      </c>
      <c r="H58" s="19">
        <v>13.0</v>
      </c>
      <c r="I58" s="19">
        <v>18.0</v>
      </c>
      <c r="J58" s="19">
        <v>25.0</v>
      </c>
      <c r="K58" s="19">
        <v>13.0</v>
      </c>
      <c r="L58" s="19">
        <v>23.0</v>
      </c>
      <c r="M58" s="19">
        <v>22.0</v>
      </c>
      <c r="N58" s="19">
        <v>61.0</v>
      </c>
      <c r="O58" s="19">
        <v>8.0</v>
      </c>
      <c r="P58" s="19">
        <v>18.0</v>
      </c>
      <c r="Q58" s="19">
        <v>61.0</v>
      </c>
      <c r="R58" s="19">
        <v>35.0</v>
      </c>
      <c r="S58" s="19">
        <v>52.0</v>
      </c>
      <c r="T58" s="19">
        <v>64.0</v>
      </c>
      <c r="U58" s="13">
        <f t="shared" si="8"/>
        <v>450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6.0</v>
      </c>
      <c r="G59" s="19">
        <v>5.0</v>
      </c>
      <c r="H59" s="19">
        <v>3.0</v>
      </c>
      <c r="I59" s="19">
        <v>3.0</v>
      </c>
      <c r="J59" s="19">
        <v>2.0</v>
      </c>
      <c r="K59" s="19">
        <v>4.0</v>
      </c>
      <c r="L59" s="19">
        <v>1.0</v>
      </c>
      <c r="M59" s="19">
        <v>11.0</v>
      </c>
      <c r="N59" s="19">
        <v>7.0</v>
      </c>
      <c r="O59" s="19">
        <v>4.0</v>
      </c>
      <c r="P59" s="19">
        <v>4.0</v>
      </c>
      <c r="Q59" s="19">
        <v>6.0</v>
      </c>
      <c r="R59" s="19">
        <v>1.0</v>
      </c>
      <c r="S59" s="19">
        <v>1.0</v>
      </c>
      <c r="T59" s="19">
        <v>5.0</v>
      </c>
      <c r="U59" s="13">
        <f t="shared" si="8"/>
        <v>65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1.0</v>
      </c>
      <c r="H60" s="19">
        <v>1.0</v>
      </c>
      <c r="I60" s="19">
        <v>1.0</v>
      </c>
      <c r="J60" s="19">
        <v>1.0</v>
      </c>
      <c r="K60" s="19">
        <v>1.0</v>
      </c>
      <c r="L60" s="19">
        <v>0.0</v>
      </c>
      <c r="M60" s="19">
        <v>0.0</v>
      </c>
      <c r="N60" s="19">
        <v>0.0</v>
      </c>
      <c r="O60" s="19">
        <v>0.0</v>
      </c>
      <c r="P60" s="19">
        <v>2.0</v>
      </c>
      <c r="Q60" s="19">
        <v>1.0</v>
      </c>
      <c r="R60" s="19">
        <v>0.0</v>
      </c>
      <c r="S60" s="19">
        <v>0.0</v>
      </c>
      <c r="T60" s="19">
        <v>0.0</v>
      </c>
      <c r="U60" s="13">
        <f t="shared" si="8"/>
        <v>9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0.0</v>
      </c>
      <c r="H61" s="19">
        <v>0.0</v>
      </c>
      <c r="I61" s="19">
        <v>1.0</v>
      </c>
      <c r="J61" s="19">
        <v>1.0</v>
      </c>
      <c r="K61" s="19">
        <v>0.0</v>
      </c>
      <c r="L61" s="19">
        <v>1.0</v>
      </c>
      <c r="M61" s="19">
        <v>2.0</v>
      </c>
      <c r="N61" s="19">
        <v>2.0</v>
      </c>
      <c r="O61" s="19">
        <v>2.0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3">
        <f t="shared" si="8"/>
        <v>10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0.0</v>
      </c>
      <c r="M62" s="19">
        <v>1.0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3">
        <f t="shared" si="8"/>
        <v>4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3">
        <f t="shared" si="8"/>
        <v>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2.0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1.0</v>
      </c>
      <c r="P64" s="19">
        <v>0.0</v>
      </c>
      <c r="Q64" s="19">
        <v>0.0</v>
      </c>
      <c r="R64" s="19">
        <v>0.0</v>
      </c>
      <c r="S64" s="19">
        <v>0.0</v>
      </c>
      <c r="T64" s="19">
        <v>2.0</v>
      </c>
      <c r="U64" s="13">
        <f t="shared" si="8"/>
        <v>6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9">SUM(E57:E64)</f>
        <v>12</v>
      </c>
      <c r="F67" s="13">
        <f t="shared" si="9"/>
        <v>54</v>
      </c>
      <c r="G67" s="13">
        <f t="shared" si="9"/>
        <v>22</v>
      </c>
      <c r="H67" s="13">
        <f t="shared" si="9"/>
        <v>27</v>
      </c>
      <c r="I67" s="13">
        <f t="shared" si="9"/>
        <v>28</v>
      </c>
      <c r="J67" s="13">
        <f t="shared" si="9"/>
        <v>41</v>
      </c>
      <c r="K67" s="13">
        <f t="shared" si="9"/>
        <v>25</v>
      </c>
      <c r="L67" s="13">
        <f t="shared" si="9"/>
        <v>33</v>
      </c>
      <c r="M67" s="13">
        <f t="shared" si="9"/>
        <v>45</v>
      </c>
      <c r="N67" s="13">
        <f t="shared" si="9"/>
        <v>75</v>
      </c>
      <c r="O67" s="13">
        <f t="shared" si="9"/>
        <v>28</v>
      </c>
      <c r="P67" s="13">
        <f t="shared" si="9"/>
        <v>32</v>
      </c>
      <c r="Q67" s="13">
        <f t="shared" si="9"/>
        <v>85</v>
      </c>
      <c r="R67" s="13">
        <f t="shared" si="9"/>
        <v>44</v>
      </c>
      <c r="S67" s="13">
        <f t="shared" si="9"/>
        <v>59</v>
      </c>
      <c r="T67" s="13">
        <f t="shared" si="9"/>
        <v>77</v>
      </c>
      <c r="U67" s="13">
        <f>SUM(E67:T67)</f>
        <v>687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3.0</v>
      </c>
      <c r="G69" s="19">
        <v>4.0</v>
      </c>
      <c r="H69" s="19">
        <v>3.0</v>
      </c>
      <c r="I69" s="19">
        <v>6.0</v>
      </c>
      <c r="J69" s="19">
        <v>9.0</v>
      </c>
      <c r="K69" s="19">
        <v>8.0</v>
      </c>
      <c r="L69" s="19">
        <v>6.0</v>
      </c>
      <c r="M69" s="19">
        <v>3.0</v>
      </c>
      <c r="N69" s="19">
        <v>4.0</v>
      </c>
      <c r="O69" s="19">
        <v>3.0</v>
      </c>
      <c r="P69" s="19">
        <v>5.0</v>
      </c>
      <c r="Q69" s="19">
        <v>6.0</v>
      </c>
      <c r="R69" s="19">
        <v>8.0</v>
      </c>
      <c r="S69" s="19">
        <v>0.0</v>
      </c>
      <c r="T69" s="19">
        <v>3.0</v>
      </c>
      <c r="U69" s="13">
        <f t="shared" ref="U69:U76" si="10">SUM(E69:T69)</f>
        <v>79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3.0</v>
      </c>
      <c r="F70" s="19">
        <v>4.0</v>
      </c>
      <c r="G70" s="19">
        <v>5.0</v>
      </c>
      <c r="H70" s="19">
        <v>2.0</v>
      </c>
      <c r="I70" s="19">
        <v>2.0</v>
      </c>
      <c r="J70" s="19">
        <v>2.0</v>
      </c>
      <c r="K70" s="19">
        <v>2.0</v>
      </c>
      <c r="L70" s="19">
        <v>1.0</v>
      </c>
      <c r="M70" s="19">
        <v>2.0</v>
      </c>
      <c r="N70" s="19">
        <v>1.0</v>
      </c>
      <c r="O70" s="19">
        <v>1.0</v>
      </c>
      <c r="P70" s="19">
        <v>3.0</v>
      </c>
      <c r="Q70" s="19">
        <v>7.0</v>
      </c>
      <c r="R70" s="19">
        <v>0.0</v>
      </c>
      <c r="S70" s="19">
        <v>2.0</v>
      </c>
      <c r="T70" s="19">
        <v>1.0</v>
      </c>
      <c r="U70" s="13">
        <f t="shared" si="10"/>
        <v>38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4.0</v>
      </c>
      <c r="G71" s="19">
        <v>2.0</v>
      </c>
      <c r="H71" s="19">
        <v>1.0</v>
      </c>
      <c r="I71" s="19">
        <v>8.0</v>
      </c>
      <c r="J71" s="19">
        <v>1.0</v>
      </c>
      <c r="K71" s="19">
        <v>1.0</v>
      </c>
      <c r="L71" s="19">
        <v>3.0</v>
      </c>
      <c r="M71" s="19">
        <v>2.0</v>
      </c>
      <c r="N71" s="19">
        <v>4.0</v>
      </c>
      <c r="O71" s="19">
        <v>0.0</v>
      </c>
      <c r="P71" s="19">
        <v>2.0</v>
      </c>
      <c r="Q71" s="19">
        <v>3.0</v>
      </c>
      <c r="R71" s="19">
        <v>1.0</v>
      </c>
      <c r="S71" s="19">
        <v>0.0</v>
      </c>
      <c r="T71" s="19">
        <v>3.0</v>
      </c>
      <c r="U71" s="13">
        <f t="shared" si="10"/>
        <v>36</v>
      </c>
    </row>
    <row r="72" ht="12.75" customHeight="1">
      <c r="A72" s="18"/>
      <c r="B72" s="55">
        <v>3.0</v>
      </c>
      <c r="C72" s="50" t="s">
        <v>59</v>
      </c>
      <c r="D72" s="57"/>
      <c r="E72" s="19">
        <v>6.0</v>
      </c>
      <c r="F72" s="19">
        <v>2.0</v>
      </c>
      <c r="G72" s="19">
        <v>1.0</v>
      </c>
      <c r="H72" s="19">
        <v>2.0</v>
      </c>
      <c r="I72" s="19">
        <v>3.0</v>
      </c>
      <c r="J72" s="19">
        <v>2.0</v>
      </c>
      <c r="K72" s="19">
        <v>3.0</v>
      </c>
      <c r="L72" s="19">
        <v>1.0</v>
      </c>
      <c r="M72" s="19">
        <v>2.0</v>
      </c>
      <c r="N72" s="19">
        <v>2.0</v>
      </c>
      <c r="O72" s="19">
        <v>12.0</v>
      </c>
      <c r="P72" s="19">
        <v>0.0</v>
      </c>
      <c r="Q72" s="19">
        <v>0.0</v>
      </c>
      <c r="R72" s="19">
        <v>6.0</v>
      </c>
      <c r="S72" s="19">
        <v>0.0</v>
      </c>
      <c r="T72" s="19">
        <v>2.0</v>
      </c>
      <c r="U72" s="13">
        <f t="shared" si="10"/>
        <v>44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1.0</v>
      </c>
      <c r="I73" s="19">
        <v>1.0</v>
      </c>
      <c r="J73" s="19">
        <v>1.0</v>
      </c>
      <c r="K73" s="19">
        <v>1.0</v>
      </c>
      <c r="L73" s="19">
        <v>0.0</v>
      </c>
      <c r="M73" s="19">
        <v>1.0</v>
      </c>
      <c r="N73" s="19">
        <v>0.0</v>
      </c>
      <c r="O73" s="19">
        <v>2.0</v>
      </c>
      <c r="P73" s="19">
        <v>1.0</v>
      </c>
      <c r="Q73" s="19">
        <v>0.0</v>
      </c>
      <c r="R73" s="19">
        <v>0.0</v>
      </c>
      <c r="S73" s="19">
        <v>0.0</v>
      </c>
      <c r="T73" s="19">
        <v>1.0</v>
      </c>
      <c r="U73" s="13">
        <f t="shared" si="10"/>
        <v>9</v>
      </c>
    </row>
    <row r="74" ht="12.75" customHeight="1">
      <c r="A74" s="18"/>
      <c r="B74" s="55">
        <v>5.0</v>
      </c>
      <c r="C74" s="50" t="s">
        <v>61</v>
      </c>
      <c r="D74" s="57"/>
      <c r="E74" s="19">
        <v>6.0</v>
      </c>
      <c r="F74" s="19">
        <v>5.0</v>
      </c>
      <c r="G74" s="19">
        <v>4.0</v>
      </c>
      <c r="H74" s="19">
        <v>1.0</v>
      </c>
      <c r="I74" s="19">
        <v>3.0</v>
      </c>
      <c r="J74" s="19">
        <v>3.0</v>
      </c>
      <c r="K74" s="19">
        <v>2.0</v>
      </c>
      <c r="L74" s="19">
        <v>5.0</v>
      </c>
      <c r="M74" s="19">
        <v>0.0</v>
      </c>
      <c r="N74" s="19">
        <v>3.0</v>
      </c>
      <c r="O74" s="19">
        <v>3.0</v>
      </c>
      <c r="P74" s="19">
        <v>0.0</v>
      </c>
      <c r="Q74" s="19">
        <v>4.0</v>
      </c>
      <c r="R74" s="19">
        <v>2.0</v>
      </c>
      <c r="S74" s="19">
        <v>4.0</v>
      </c>
      <c r="T74" s="19">
        <v>17.0</v>
      </c>
      <c r="U74" s="13">
        <f t="shared" si="10"/>
        <v>62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2.0</v>
      </c>
      <c r="U75" s="13">
        <f t="shared" si="10"/>
        <v>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2.0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1.0</v>
      </c>
      <c r="S76" s="19">
        <v>1.0</v>
      </c>
      <c r="T76" s="19">
        <v>2.0</v>
      </c>
      <c r="U76" s="13">
        <f t="shared" si="10"/>
        <v>7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1">SUM(E69:E76)</f>
        <v>24</v>
      </c>
      <c r="F79" s="13">
        <f t="shared" si="11"/>
        <v>19</v>
      </c>
      <c r="G79" s="13">
        <f t="shared" si="11"/>
        <v>16</v>
      </c>
      <c r="H79" s="13">
        <f t="shared" si="11"/>
        <v>12</v>
      </c>
      <c r="I79" s="13">
        <f t="shared" si="11"/>
        <v>24</v>
      </c>
      <c r="J79" s="13">
        <f t="shared" si="11"/>
        <v>18</v>
      </c>
      <c r="K79" s="13">
        <f t="shared" si="11"/>
        <v>17</v>
      </c>
      <c r="L79" s="13">
        <f t="shared" si="11"/>
        <v>16</v>
      </c>
      <c r="M79" s="13">
        <f t="shared" si="11"/>
        <v>10</v>
      </c>
      <c r="N79" s="13">
        <f t="shared" si="11"/>
        <v>14</v>
      </c>
      <c r="O79" s="13">
        <f t="shared" si="11"/>
        <v>21</v>
      </c>
      <c r="P79" s="13">
        <f t="shared" si="11"/>
        <v>11</v>
      </c>
      <c r="Q79" s="13">
        <f t="shared" si="11"/>
        <v>20</v>
      </c>
      <c r="R79" s="13">
        <f t="shared" si="11"/>
        <v>18</v>
      </c>
      <c r="S79" s="13">
        <f t="shared" si="11"/>
        <v>7</v>
      </c>
      <c r="T79" s="13">
        <f t="shared" si="11"/>
        <v>31</v>
      </c>
      <c r="U79" s="13">
        <f>SUM(E79:T79)</f>
        <v>278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3.0</v>
      </c>
      <c r="G81" s="19">
        <v>1.0</v>
      </c>
      <c r="H81" s="19">
        <v>0.0</v>
      </c>
      <c r="I81" s="19">
        <v>0.0</v>
      </c>
      <c r="J81" s="19">
        <v>4.0</v>
      </c>
      <c r="K81" s="19">
        <v>0.0</v>
      </c>
      <c r="L81" s="19">
        <v>0.0</v>
      </c>
      <c r="M81" s="19">
        <v>1.0</v>
      </c>
      <c r="N81" s="19">
        <v>1.0</v>
      </c>
      <c r="O81" s="19">
        <v>2.0</v>
      </c>
      <c r="P81" s="19">
        <v>2.0</v>
      </c>
      <c r="Q81" s="19">
        <v>0.0</v>
      </c>
      <c r="R81" s="19">
        <v>1.0</v>
      </c>
      <c r="S81" s="19">
        <v>0.0</v>
      </c>
      <c r="T81" s="19">
        <v>0.0</v>
      </c>
      <c r="U81" s="13">
        <f t="shared" ref="U81:U88" si="12">SUM(E81:T81)</f>
        <v>16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10.0</v>
      </c>
      <c r="G82" s="19">
        <v>1.0</v>
      </c>
      <c r="H82" s="19">
        <v>0.0</v>
      </c>
      <c r="I82" s="19">
        <v>1.0</v>
      </c>
      <c r="J82" s="19">
        <v>2.0</v>
      </c>
      <c r="K82" s="19">
        <v>1.0</v>
      </c>
      <c r="L82" s="19">
        <v>0.0</v>
      </c>
      <c r="M82" s="19">
        <v>3.0</v>
      </c>
      <c r="N82" s="19">
        <v>3.0</v>
      </c>
      <c r="O82" s="19">
        <v>1.0</v>
      </c>
      <c r="P82" s="19">
        <v>3.0</v>
      </c>
      <c r="Q82" s="19">
        <v>1.0</v>
      </c>
      <c r="R82" s="19">
        <v>1.0</v>
      </c>
      <c r="S82" s="19">
        <v>0.0</v>
      </c>
      <c r="T82" s="19">
        <v>0.0</v>
      </c>
      <c r="U82" s="13">
        <f t="shared" si="12"/>
        <v>31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0.0</v>
      </c>
      <c r="G83" s="19">
        <v>0.0</v>
      </c>
      <c r="H83" s="19">
        <v>1.0</v>
      </c>
      <c r="I83" s="19">
        <v>1.0</v>
      </c>
      <c r="J83" s="19">
        <v>0.0</v>
      </c>
      <c r="K83" s="19">
        <v>2.0</v>
      </c>
      <c r="L83" s="19">
        <v>1.0</v>
      </c>
      <c r="M83" s="19">
        <v>1.0</v>
      </c>
      <c r="N83" s="19">
        <v>2.0</v>
      </c>
      <c r="O83" s="19">
        <v>0.0</v>
      </c>
      <c r="P83" s="19">
        <v>2.0</v>
      </c>
      <c r="Q83" s="19">
        <v>1.0</v>
      </c>
      <c r="R83" s="19">
        <v>1.0</v>
      </c>
      <c r="S83" s="19">
        <v>0.0</v>
      </c>
      <c r="T83" s="19">
        <v>0.0</v>
      </c>
      <c r="U83" s="13">
        <f t="shared" si="12"/>
        <v>12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3">
        <f t="shared" si="12"/>
        <v>3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0.0</v>
      </c>
      <c r="I85" s="19">
        <v>0.0</v>
      </c>
      <c r="J85" s="19">
        <v>1.0</v>
      </c>
      <c r="K85" s="19">
        <v>0.0</v>
      </c>
      <c r="L85" s="19">
        <v>0.0</v>
      </c>
      <c r="M85" s="19">
        <v>1.0</v>
      </c>
      <c r="N85" s="19">
        <v>1.0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3">
        <f t="shared" si="12"/>
        <v>4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7.0</v>
      </c>
      <c r="Q86" s="19">
        <v>0.0</v>
      </c>
      <c r="R86" s="19">
        <v>0.0</v>
      </c>
      <c r="S86" s="19">
        <v>0.0</v>
      </c>
      <c r="T86" s="19">
        <v>0.0</v>
      </c>
      <c r="U86" s="13">
        <f t="shared" si="12"/>
        <v>9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3">
        <f t="shared" si="12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3">
        <f t="shared" si="12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13">SUM(E81:E88)</f>
        <v>7</v>
      </c>
      <c r="F91" s="13">
        <f t="shared" si="13"/>
        <v>15</v>
      </c>
      <c r="G91" s="13">
        <f t="shared" si="13"/>
        <v>3</v>
      </c>
      <c r="H91" s="13">
        <f t="shared" si="13"/>
        <v>1</v>
      </c>
      <c r="I91" s="13">
        <f t="shared" si="13"/>
        <v>2</v>
      </c>
      <c r="J91" s="13">
        <f t="shared" si="13"/>
        <v>7</v>
      </c>
      <c r="K91" s="13">
        <f t="shared" si="13"/>
        <v>3</v>
      </c>
      <c r="L91" s="13">
        <f t="shared" si="13"/>
        <v>1</v>
      </c>
      <c r="M91" s="13">
        <f t="shared" si="13"/>
        <v>7</v>
      </c>
      <c r="N91" s="13">
        <f t="shared" si="13"/>
        <v>7</v>
      </c>
      <c r="O91" s="13">
        <f t="shared" si="13"/>
        <v>3</v>
      </c>
      <c r="P91" s="13">
        <f t="shared" si="13"/>
        <v>14</v>
      </c>
      <c r="Q91" s="13">
        <f t="shared" si="13"/>
        <v>2</v>
      </c>
      <c r="R91" s="13">
        <f t="shared" si="13"/>
        <v>3</v>
      </c>
      <c r="S91" s="13">
        <f t="shared" si="13"/>
        <v>0</v>
      </c>
      <c r="T91" s="13">
        <f t="shared" si="13"/>
        <v>0</v>
      </c>
      <c r="U91" s="13">
        <f>SUM(E91:T91)</f>
        <v>75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3.0</v>
      </c>
      <c r="I93" s="19">
        <v>4.0</v>
      </c>
      <c r="J93" s="19">
        <v>1.0</v>
      </c>
      <c r="K93" s="19">
        <v>3.0</v>
      </c>
      <c r="L93" s="19">
        <v>1.0</v>
      </c>
      <c r="M93" s="19">
        <v>0.0</v>
      </c>
      <c r="N93" s="19">
        <v>1.0</v>
      </c>
      <c r="O93" s="19">
        <v>0.0</v>
      </c>
      <c r="P93" s="19">
        <v>2.0</v>
      </c>
      <c r="Q93" s="19">
        <v>0.0</v>
      </c>
      <c r="R93" s="19">
        <v>2.0</v>
      </c>
      <c r="S93" s="19">
        <v>1.0</v>
      </c>
      <c r="T93" s="19">
        <v>0.0</v>
      </c>
      <c r="U93" s="13">
        <f t="shared" ref="U93:U100" si="14">SUM(E93:T93)</f>
        <v>19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0.0</v>
      </c>
      <c r="G94" s="19">
        <v>1.0</v>
      </c>
      <c r="H94" s="19">
        <v>2.0</v>
      </c>
      <c r="I94" s="19">
        <v>21.0</v>
      </c>
      <c r="J94" s="19">
        <v>46.0</v>
      </c>
      <c r="K94" s="19">
        <v>27.0</v>
      </c>
      <c r="L94" s="19">
        <v>4.0</v>
      </c>
      <c r="M94" s="19">
        <v>36.0</v>
      </c>
      <c r="N94" s="19">
        <v>3.0</v>
      </c>
      <c r="O94" s="19">
        <v>11.0</v>
      </c>
      <c r="P94" s="19">
        <v>21.0</v>
      </c>
      <c r="Q94" s="19">
        <v>6.0</v>
      </c>
      <c r="R94" s="19">
        <v>14.0</v>
      </c>
      <c r="S94" s="19">
        <v>2.0</v>
      </c>
      <c r="T94" s="19">
        <v>5.0</v>
      </c>
      <c r="U94" s="13">
        <f t="shared" si="14"/>
        <v>200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2.0</v>
      </c>
      <c r="I95" s="19">
        <v>1.0</v>
      </c>
      <c r="J95" s="19">
        <v>3.0</v>
      </c>
      <c r="K95" s="19">
        <v>0.0</v>
      </c>
      <c r="L95" s="19">
        <v>3.0</v>
      </c>
      <c r="M95" s="19">
        <v>2.0</v>
      </c>
      <c r="N95" s="19">
        <v>0.0</v>
      </c>
      <c r="O95" s="19">
        <v>2.0</v>
      </c>
      <c r="P95" s="19">
        <v>0.0</v>
      </c>
      <c r="Q95" s="19">
        <v>2.0</v>
      </c>
      <c r="R95" s="19">
        <v>36.0</v>
      </c>
      <c r="S95" s="19">
        <v>13.0</v>
      </c>
      <c r="T95" s="19">
        <v>10.0</v>
      </c>
      <c r="U95" s="13">
        <f t="shared" si="14"/>
        <v>74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3">
        <f t="shared" si="14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1.0</v>
      </c>
      <c r="H97" s="19">
        <v>1.0</v>
      </c>
      <c r="I97" s="19">
        <v>7.0</v>
      </c>
      <c r="J97" s="19">
        <v>9.0</v>
      </c>
      <c r="K97" s="19">
        <v>13.0</v>
      </c>
      <c r="L97" s="19">
        <v>4.0</v>
      </c>
      <c r="M97" s="19">
        <v>1.0</v>
      </c>
      <c r="N97" s="19">
        <v>2.0</v>
      </c>
      <c r="O97" s="19">
        <v>5.0</v>
      </c>
      <c r="P97" s="19">
        <v>0.0</v>
      </c>
      <c r="Q97" s="19">
        <v>0.0</v>
      </c>
      <c r="R97" s="19">
        <v>0.0</v>
      </c>
      <c r="S97" s="19">
        <v>0.0</v>
      </c>
      <c r="T97" s="19">
        <v>2.0</v>
      </c>
      <c r="U97" s="13">
        <f t="shared" si="14"/>
        <v>46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3">
        <f t="shared" si="14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3">
        <f t="shared" si="14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3">
        <f t="shared" si="14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15">SUM(E93:E100)</f>
        <v>2</v>
      </c>
      <c r="F103" s="13">
        <f t="shared" si="15"/>
        <v>1</v>
      </c>
      <c r="G103" s="13">
        <f t="shared" si="15"/>
        <v>2</v>
      </c>
      <c r="H103" s="13">
        <f t="shared" si="15"/>
        <v>9</v>
      </c>
      <c r="I103" s="13">
        <f t="shared" si="15"/>
        <v>33</v>
      </c>
      <c r="J103" s="13">
        <f t="shared" si="15"/>
        <v>59</v>
      </c>
      <c r="K103" s="13">
        <f t="shared" si="15"/>
        <v>43</v>
      </c>
      <c r="L103" s="13">
        <f t="shared" si="15"/>
        <v>12</v>
      </c>
      <c r="M103" s="13">
        <f t="shared" si="15"/>
        <v>39</v>
      </c>
      <c r="N103" s="13">
        <f t="shared" si="15"/>
        <v>6</v>
      </c>
      <c r="O103" s="13">
        <f t="shared" si="15"/>
        <v>19</v>
      </c>
      <c r="P103" s="13">
        <f t="shared" si="15"/>
        <v>23</v>
      </c>
      <c r="Q103" s="13">
        <f t="shared" si="15"/>
        <v>8</v>
      </c>
      <c r="R103" s="13">
        <f t="shared" si="15"/>
        <v>52</v>
      </c>
      <c r="S103" s="13">
        <f t="shared" si="15"/>
        <v>16</v>
      </c>
      <c r="T103" s="13">
        <f t="shared" si="15"/>
        <v>17</v>
      </c>
      <c r="U103" s="13">
        <f>SUM(E103:T103)</f>
        <v>341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1.0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3">
        <f t="shared" ref="U105:U112" si="16">SUM(E105:T105)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3">
        <f t="shared" si="16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3">
        <f t="shared" si="16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3">
        <f t="shared" si="16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3">
        <f t="shared" si="16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3">
        <f t="shared" si="16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1.0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3">
        <f t="shared" si="16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3">
        <f t="shared" si="16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17">SUM(E105:E112)</f>
        <v>0</v>
      </c>
      <c r="F115" s="13">
        <f t="shared" si="17"/>
        <v>1</v>
      </c>
      <c r="G115" s="13">
        <f t="shared" si="17"/>
        <v>0</v>
      </c>
      <c r="H115" s="13">
        <f t="shared" si="17"/>
        <v>2</v>
      </c>
      <c r="I115" s="13">
        <f t="shared" si="17"/>
        <v>1</v>
      </c>
      <c r="J115" s="13">
        <f t="shared" si="17"/>
        <v>1</v>
      </c>
      <c r="K115" s="13">
        <f t="shared" si="17"/>
        <v>0</v>
      </c>
      <c r="L115" s="13">
        <f t="shared" si="17"/>
        <v>0</v>
      </c>
      <c r="M115" s="13">
        <f t="shared" si="17"/>
        <v>0</v>
      </c>
      <c r="N115" s="13">
        <f t="shared" si="17"/>
        <v>2</v>
      </c>
      <c r="O115" s="13">
        <f t="shared" si="17"/>
        <v>1</v>
      </c>
      <c r="P115" s="13">
        <f t="shared" si="17"/>
        <v>1</v>
      </c>
      <c r="Q115" s="13">
        <f t="shared" si="17"/>
        <v>0</v>
      </c>
      <c r="R115" s="13">
        <f t="shared" si="17"/>
        <v>0</v>
      </c>
      <c r="S115" s="13">
        <f t="shared" si="17"/>
        <v>0</v>
      </c>
      <c r="T115" s="13">
        <f t="shared" si="17"/>
        <v>0</v>
      </c>
      <c r="U115" s="13">
        <f>SUM(E115:T115)</f>
        <v>9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2.0</v>
      </c>
      <c r="K117" s="19">
        <v>0.0</v>
      </c>
      <c r="L117" s="19">
        <v>1.0</v>
      </c>
      <c r="M117" s="19">
        <v>0.0</v>
      </c>
      <c r="N117" s="19">
        <v>0.0</v>
      </c>
      <c r="O117" s="19">
        <v>1.0</v>
      </c>
      <c r="P117" s="19">
        <v>1.0</v>
      </c>
      <c r="Q117" s="19">
        <v>0.0</v>
      </c>
      <c r="R117" s="19">
        <v>2.0</v>
      </c>
      <c r="S117" s="19">
        <v>0.0</v>
      </c>
      <c r="T117" s="19">
        <v>0.0</v>
      </c>
      <c r="U117" s="13">
        <f t="shared" ref="U117:U120" si="18">SUM(E117:T117)</f>
        <v>8</v>
      </c>
      <c r="V117" s="5"/>
      <c r="W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3">
        <f t="shared" si="18"/>
        <v>1</v>
      </c>
      <c r="V118" s="5"/>
      <c r="W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3">
        <f t="shared" si="18"/>
        <v>1</v>
      </c>
      <c r="V119" s="5"/>
      <c r="W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3">
        <f t="shared" si="18"/>
        <v>0</v>
      </c>
      <c r="V120" s="5"/>
      <c r="W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74"/>
      <c r="V121" s="5"/>
      <c r="W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74"/>
      <c r="V122" s="5"/>
      <c r="W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74"/>
      <c r="V123" s="5"/>
      <c r="W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74"/>
      <c r="V124" s="5"/>
      <c r="W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74"/>
      <c r="V125" s="5"/>
      <c r="W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74"/>
      <c r="V126" s="5"/>
      <c r="W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T127" si="19">SUM(E117:E120)</f>
        <v>1</v>
      </c>
      <c r="F127" s="58">
        <f t="shared" si="19"/>
        <v>0</v>
      </c>
      <c r="G127" s="58">
        <f t="shared" si="19"/>
        <v>0</v>
      </c>
      <c r="H127" s="58">
        <f t="shared" si="19"/>
        <v>0</v>
      </c>
      <c r="I127" s="58">
        <f t="shared" si="19"/>
        <v>0</v>
      </c>
      <c r="J127" s="58">
        <f t="shared" si="19"/>
        <v>2</v>
      </c>
      <c r="K127" s="58">
        <f t="shared" si="19"/>
        <v>0</v>
      </c>
      <c r="L127" s="58">
        <f t="shared" si="19"/>
        <v>1</v>
      </c>
      <c r="M127" s="58">
        <f t="shared" si="19"/>
        <v>0</v>
      </c>
      <c r="N127" s="58">
        <f t="shared" si="19"/>
        <v>1</v>
      </c>
      <c r="O127" s="58">
        <f t="shared" si="19"/>
        <v>1</v>
      </c>
      <c r="P127" s="58">
        <f t="shared" si="19"/>
        <v>1</v>
      </c>
      <c r="Q127" s="58">
        <f t="shared" si="19"/>
        <v>1</v>
      </c>
      <c r="R127" s="58">
        <f t="shared" si="19"/>
        <v>2</v>
      </c>
      <c r="S127" s="58">
        <f t="shared" si="19"/>
        <v>0</v>
      </c>
      <c r="T127" s="58">
        <f t="shared" si="19"/>
        <v>0</v>
      </c>
      <c r="U127" s="13">
        <f>SUM(E127:T127)</f>
        <v>10</v>
      </c>
      <c r="V127" s="5"/>
      <c r="W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5"/>
      <c r="W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3">
        <f t="shared" ref="U129:U136" si="20">SUM(E129:T129)</f>
        <v>1</v>
      </c>
      <c r="V129" s="5"/>
      <c r="W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2.0</v>
      </c>
      <c r="I130" s="19">
        <v>2.0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3">
        <f t="shared" si="20"/>
        <v>4</v>
      </c>
      <c r="V130" s="1"/>
      <c r="W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2.0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3">
        <f t="shared" si="20"/>
        <v>5</v>
      </c>
      <c r="V131" s="52"/>
      <c r="W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3">
        <f t="shared" si="20"/>
        <v>0</v>
      </c>
      <c r="V132" s="5"/>
      <c r="W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3">
        <f t="shared" si="20"/>
        <v>0</v>
      </c>
      <c r="V133" s="5"/>
      <c r="W133" s="5"/>
    </row>
    <row r="134" ht="12.75" customHeight="1">
      <c r="A134" s="18"/>
      <c r="B134" s="55">
        <v>5.0</v>
      </c>
      <c r="C134" s="50" t="s">
        <v>101</v>
      </c>
      <c r="D134" s="56"/>
      <c r="E134" s="19">
        <v>2.0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2.0</v>
      </c>
      <c r="U134" s="13">
        <f t="shared" si="20"/>
        <v>5</v>
      </c>
      <c r="V134" s="5"/>
      <c r="W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3">
        <f t="shared" si="20"/>
        <v>0</v>
      </c>
      <c r="V135" s="5"/>
      <c r="W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3">
        <f t="shared" si="20"/>
        <v>0</v>
      </c>
      <c r="V136" s="5"/>
      <c r="W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74"/>
      <c r="V137" s="5"/>
      <c r="W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74"/>
      <c r="V138" s="5"/>
      <c r="W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1">SUM(E129:E136)</f>
        <v>2</v>
      </c>
      <c r="F139" s="13">
        <f t="shared" si="21"/>
        <v>2</v>
      </c>
      <c r="G139" s="13">
        <f t="shared" si="21"/>
        <v>0</v>
      </c>
      <c r="H139" s="13">
        <f t="shared" si="21"/>
        <v>2</v>
      </c>
      <c r="I139" s="13">
        <f t="shared" si="21"/>
        <v>2</v>
      </c>
      <c r="J139" s="13">
        <f t="shared" si="21"/>
        <v>0</v>
      </c>
      <c r="K139" s="13">
        <f t="shared" si="21"/>
        <v>0</v>
      </c>
      <c r="L139" s="13">
        <f t="shared" si="21"/>
        <v>1</v>
      </c>
      <c r="M139" s="13">
        <f t="shared" si="21"/>
        <v>3</v>
      </c>
      <c r="N139" s="13">
        <f t="shared" si="21"/>
        <v>0</v>
      </c>
      <c r="O139" s="13">
        <f t="shared" si="21"/>
        <v>0</v>
      </c>
      <c r="P139" s="13">
        <f t="shared" si="21"/>
        <v>0</v>
      </c>
      <c r="Q139" s="13">
        <f t="shared" si="21"/>
        <v>0</v>
      </c>
      <c r="R139" s="13">
        <f t="shared" si="21"/>
        <v>1</v>
      </c>
      <c r="S139" s="13">
        <f t="shared" si="21"/>
        <v>0</v>
      </c>
      <c r="T139" s="13">
        <f t="shared" si="21"/>
        <v>2</v>
      </c>
      <c r="U139" s="13">
        <f>SUM(E139:T139)</f>
        <v>15</v>
      </c>
      <c r="V139" s="5"/>
      <c r="W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5"/>
      <c r="W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1.0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3">
        <f t="shared" ref="U141:U148" si="22">SUM(E141:T141)</f>
        <v>2</v>
      </c>
      <c r="V141" s="1"/>
      <c r="W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3">
        <f t="shared" si="22"/>
        <v>0</v>
      </c>
      <c r="V142" s="52"/>
      <c r="W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22"/>
        <v>0</v>
      </c>
      <c r="V143" s="5"/>
      <c r="W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3">
        <f t="shared" si="22"/>
        <v>0</v>
      </c>
      <c r="V144" s="5"/>
      <c r="W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3">
        <f t="shared" si="22"/>
        <v>0</v>
      </c>
      <c r="V145" s="5"/>
      <c r="W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3">
        <f t="shared" si="22"/>
        <v>0</v>
      </c>
      <c r="V146" s="5"/>
      <c r="W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3">
        <f t="shared" si="22"/>
        <v>0</v>
      </c>
      <c r="V147" s="5"/>
      <c r="W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3">
        <f t="shared" si="22"/>
        <v>0</v>
      </c>
      <c r="V148" s="5"/>
      <c r="W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74"/>
      <c r="V149" s="5"/>
      <c r="W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74"/>
      <c r="V150" s="5"/>
      <c r="W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23">SUM(E141:E148)</f>
        <v>0</v>
      </c>
      <c r="F151" s="13">
        <f t="shared" si="23"/>
        <v>0</v>
      </c>
      <c r="G151" s="13">
        <f t="shared" si="23"/>
        <v>0</v>
      </c>
      <c r="H151" s="13">
        <f t="shared" si="23"/>
        <v>0</v>
      </c>
      <c r="I151" s="13">
        <f t="shared" si="23"/>
        <v>1</v>
      </c>
      <c r="J151" s="13">
        <f t="shared" si="23"/>
        <v>0</v>
      </c>
      <c r="K151" s="13">
        <f t="shared" si="23"/>
        <v>0</v>
      </c>
      <c r="L151" s="13">
        <f t="shared" si="23"/>
        <v>0</v>
      </c>
      <c r="M151" s="13">
        <f t="shared" si="23"/>
        <v>0</v>
      </c>
      <c r="N151" s="13">
        <f t="shared" si="23"/>
        <v>0</v>
      </c>
      <c r="O151" s="13">
        <f t="shared" si="23"/>
        <v>1</v>
      </c>
      <c r="P151" s="13">
        <f t="shared" si="23"/>
        <v>0</v>
      </c>
      <c r="Q151" s="13">
        <f t="shared" si="23"/>
        <v>0</v>
      </c>
      <c r="R151" s="13">
        <f t="shared" si="23"/>
        <v>0</v>
      </c>
      <c r="S151" s="13">
        <f t="shared" si="23"/>
        <v>0</v>
      </c>
      <c r="T151" s="13">
        <f t="shared" si="23"/>
        <v>0</v>
      </c>
      <c r="U151" s="13">
        <f>SUM(E151:T151)</f>
        <v>2</v>
      </c>
      <c r="V151" s="1"/>
      <c r="W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13"/>
      <c r="V152" s="52"/>
      <c r="W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3">
        <f t="shared" ref="U153:U156" si="24">SUM(E154:T154)</f>
        <v>0</v>
      </c>
      <c r="V153" s="5"/>
      <c r="W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3">
        <f t="shared" si="24"/>
        <v>0</v>
      </c>
      <c r="V154" s="5"/>
      <c r="W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3">
        <f t="shared" si="24"/>
        <v>0</v>
      </c>
      <c r="V155" s="5"/>
      <c r="W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3">
        <f t="shared" si="24"/>
        <v>0</v>
      </c>
      <c r="V156" s="5"/>
      <c r="W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3">
        <f>SUM(E163:T163)</f>
        <v>2</v>
      </c>
      <c r="V157" s="5"/>
      <c r="W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74"/>
      <c r="V158" s="5"/>
      <c r="W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74"/>
      <c r="V159" s="5"/>
      <c r="W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74"/>
      <c r="V160" s="5"/>
      <c r="W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74"/>
      <c r="V161" s="5"/>
      <c r="W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74"/>
      <c r="V162" s="5"/>
      <c r="W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T163" si="25">SUM(E153:E157)</f>
        <v>0</v>
      </c>
      <c r="F163" s="13">
        <f t="shared" si="25"/>
        <v>0</v>
      </c>
      <c r="G163" s="13">
        <f t="shared" si="25"/>
        <v>0</v>
      </c>
      <c r="H163" s="13">
        <f t="shared" si="25"/>
        <v>0</v>
      </c>
      <c r="I163" s="13">
        <f t="shared" si="25"/>
        <v>1</v>
      </c>
      <c r="J163" s="13">
        <f t="shared" si="25"/>
        <v>1</v>
      </c>
      <c r="K163" s="13">
        <f t="shared" si="25"/>
        <v>0</v>
      </c>
      <c r="L163" s="13">
        <f t="shared" si="25"/>
        <v>0</v>
      </c>
      <c r="M163" s="13">
        <f t="shared" si="25"/>
        <v>0</v>
      </c>
      <c r="N163" s="13">
        <f t="shared" si="25"/>
        <v>0</v>
      </c>
      <c r="O163" s="13">
        <f t="shared" si="25"/>
        <v>0</v>
      </c>
      <c r="P163" s="13">
        <f t="shared" si="25"/>
        <v>0</v>
      </c>
      <c r="Q163" s="13">
        <f t="shared" si="25"/>
        <v>0</v>
      </c>
      <c r="R163" s="13">
        <f t="shared" si="25"/>
        <v>0</v>
      </c>
      <c r="S163" s="13">
        <f t="shared" si="25"/>
        <v>0</v>
      </c>
      <c r="T163" s="13">
        <f t="shared" si="25"/>
        <v>0</v>
      </c>
      <c r="U163" s="13">
        <f>SUM(E164:T164)</f>
        <v>0</v>
      </c>
      <c r="V163" s="5"/>
      <c r="W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5"/>
      <c r="W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2.0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3">
        <f t="shared" ref="U165:U172" si="26">SUM(E165:T165)</f>
        <v>2</v>
      </c>
      <c r="V165" s="1"/>
      <c r="W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3">
        <f t="shared" si="26"/>
        <v>1</v>
      </c>
      <c r="V166" s="52"/>
      <c r="W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3">
        <f t="shared" si="26"/>
        <v>1</v>
      </c>
      <c r="V167" s="5"/>
      <c r="W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1.0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3">
        <f t="shared" si="26"/>
        <v>1</v>
      </c>
      <c r="V168" s="5"/>
      <c r="W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3">
        <f t="shared" si="26"/>
        <v>0</v>
      </c>
      <c r="V169" s="5"/>
      <c r="W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3">
        <f t="shared" si="26"/>
        <v>0</v>
      </c>
      <c r="V170" s="5"/>
      <c r="W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1.0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3">
        <f t="shared" si="26"/>
        <v>1</v>
      </c>
      <c r="V171" s="5"/>
      <c r="W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3">
        <f t="shared" si="26"/>
        <v>0</v>
      </c>
      <c r="V172" s="5"/>
      <c r="W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74"/>
      <c r="V173" s="5"/>
      <c r="W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74"/>
      <c r="V174" s="5"/>
      <c r="W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27">SUM(E165:E172)</f>
        <v>0</v>
      </c>
      <c r="F175" s="13">
        <f t="shared" si="27"/>
        <v>0</v>
      </c>
      <c r="G175" s="13">
        <f t="shared" si="27"/>
        <v>0</v>
      </c>
      <c r="H175" s="13">
        <f t="shared" si="27"/>
        <v>1</v>
      </c>
      <c r="I175" s="13">
        <f t="shared" si="27"/>
        <v>1</v>
      </c>
      <c r="J175" s="13">
        <f t="shared" si="27"/>
        <v>4</v>
      </c>
      <c r="K175" s="13">
        <f t="shared" si="27"/>
        <v>0</v>
      </c>
      <c r="L175" s="13">
        <f t="shared" si="27"/>
        <v>0</v>
      </c>
      <c r="M175" s="13">
        <f t="shared" si="27"/>
        <v>0</v>
      </c>
      <c r="N175" s="13">
        <f t="shared" si="27"/>
        <v>0</v>
      </c>
      <c r="O175" s="13">
        <f t="shared" si="27"/>
        <v>0</v>
      </c>
      <c r="P175" s="13">
        <f t="shared" si="27"/>
        <v>0</v>
      </c>
      <c r="Q175" s="13">
        <f t="shared" si="27"/>
        <v>0</v>
      </c>
      <c r="R175" s="13">
        <f t="shared" si="27"/>
        <v>0</v>
      </c>
      <c r="S175" s="13">
        <f t="shared" si="27"/>
        <v>0</v>
      </c>
      <c r="T175" s="13">
        <f t="shared" si="27"/>
        <v>0</v>
      </c>
      <c r="U175" s="13">
        <f>SUM(E175:T175)</f>
        <v>6</v>
      </c>
      <c r="V175" s="5"/>
      <c r="W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1"/>
      <c r="W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9">
        <v>1.0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3">
        <f t="shared" ref="U177:U184" si="28">SUM(E177:T177)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9">
        <v>0.0</v>
      </c>
      <c r="U178" s="13">
        <f t="shared" si="28"/>
        <v>2</v>
      </c>
      <c r="V178" s="5"/>
      <c r="W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3">
        <f t="shared" si="28"/>
        <v>2</v>
      </c>
      <c r="V179" s="5"/>
      <c r="W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3">
        <f t="shared" si="28"/>
        <v>0</v>
      </c>
      <c r="V180" s="5"/>
      <c r="W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3">
        <f t="shared" si="28"/>
        <v>0</v>
      </c>
      <c r="V181" s="5"/>
      <c r="W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3">
        <f t="shared" si="28"/>
        <v>0</v>
      </c>
      <c r="V182" s="5"/>
      <c r="W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3">
        <f t="shared" si="28"/>
        <v>1</v>
      </c>
      <c r="V183" s="5"/>
      <c r="W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3">
        <f t="shared" si="28"/>
        <v>0</v>
      </c>
      <c r="V184" s="5"/>
      <c r="W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74"/>
      <c r="V185" s="5"/>
      <c r="W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74"/>
      <c r="V186" s="5"/>
      <c r="W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29">SUM(E177:E184)</f>
        <v>0</v>
      </c>
      <c r="F187" s="13">
        <f t="shared" si="29"/>
        <v>1</v>
      </c>
      <c r="G187" s="13">
        <f t="shared" si="29"/>
        <v>0</v>
      </c>
      <c r="H187" s="13">
        <f t="shared" si="29"/>
        <v>0</v>
      </c>
      <c r="I187" s="13">
        <f t="shared" si="29"/>
        <v>1</v>
      </c>
      <c r="J187" s="13">
        <f t="shared" si="29"/>
        <v>1</v>
      </c>
      <c r="K187" s="13">
        <f t="shared" si="29"/>
        <v>0</v>
      </c>
      <c r="L187" s="13">
        <f t="shared" si="29"/>
        <v>0</v>
      </c>
      <c r="M187" s="13">
        <f t="shared" si="29"/>
        <v>2</v>
      </c>
      <c r="N187" s="13">
        <f t="shared" si="29"/>
        <v>0</v>
      </c>
      <c r="O187" s="13">
        <f t="shared" si="29"/>
        <v>1</v>
      </c>
      <c r="P187" s="13">
        <f t="shared" si="29"/>
        <v>1</v>
      </c>
      <c r="Q187" s="13">
        <f t="shared" si="29"/>
        <v>1</v>
      </c>
      <c r="R187" s="13">
        <f t="shared" si="29"/>
        <v>0</v>
      </c>
      <c r="S187" s="13">
        <f t="shared" si="29"/>
        <v>0</v>
      </c>
      <c r="T187" s="13">
        <f t="shared" si="29"/>
        <v>0</v>
      </c>
      <c r="U187" s="13">
        <f>SUM(E187:T187)</f>
        <v>8</v>
      </c>
      <c r="V187" s="1"/>
      <c r="W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2.0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3">
        <f t="shared" ref="U189:U196" si="30">SUM(E189:T189)</f>
        <v>2</v>
      </c>
      <c r="V189" s="5"/>
      <c r="W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1.0</v>
      </c>
      <c r="U190" s="13">
        <f t="shared" si="30"/>
        <v>2</v>
      </c>
      <c r="V190" s="5"/>
      <c r="W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3">
        <f t="shared" si="30"/>
        <v>1</v>
      </c>
      <c r="V191" s="5"/>
      <c r="W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1.0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3">
        <f t="shared" si="30"/>
        <v>2</v>
      </c>
      <c r="V192" s="5"/>
      <c r="W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  <c r="S193" s="19">
        <v>0.0</v>
      </c>
      <c r="T193" s="19">
        <v>0.0</v>
      </c>
      <c r="U193" s="13">
        <f t="shared" si="30"/>
        <v>1</v>
      </c>
      <c r="V193" s="5"/>
      <c r="W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3">
        <f t="shared" si="30"/>
        <v>0</v>
      </c>
      <c r="V194" s="5"/>
      <c r="W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3">
        <f t="shared" si="30"/>
        <v>0</v>
      </c>
      <c r="V195" s="5"/>
      <c r="W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3">
        <f t="shared" si="30"/>
        <v>0</v>
      </c>
      <c r="V196" s="1"/>
      <c r="W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74"/>
      <c r="V197" s="1"/>
      <c r="W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74"/>
      <c r="V198" s="1"/>
      <c r="W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31">SUM(E189:E196)</f>
        <v>0</v>
      </c>
      <c r="F199" s="13">
        <f t="shared" si="31"/>
        <v>0</v>
      </c>
      <c r="G199" s="13">
        <f t="shared" si="31"/>
        <v>4</v>
      </c>
      <c r="H199" s="13">
        <f t="shared" si="31"/>
        <v>0</v>
      </c>
      <c r="I199" s="13">
        <f t="shared" si="31"/>
        <v>0</v>
      </c>
      <c r="J199" s="13">
        <f t="shared" si="31"/>
        <v>0</v>
      </c>
      <c r="K199" s="13">
        <f t="shared" si="31"/>
        <v>0</v>
      </c>
      <c r="L199" s="13">
        <f t="shared" si="31"/>
        <v>0</v>
      </c>
      <c r="M199" s="13">
        <f t="shared" si="31"/>
        <v>1</v>
      </c>
      <c r="N199" s="13">
        <f t="shared" si="31"/>
        <v>0</v>
      </c>
      <c r="O199" s="13">
        <f t="shared" si="31"/>
        <v>0</v>
      </c>
      <c r="P199" s="13">
        <f t="shared" si="31"/>
        <v>1</v>
      </c>
      <c r="Q199" s="13">
        <f t="shared" si="31"/>
        <v>1</v>
      </c>
      <c r="R199" s="13">
        <f t="shared" si="31"/>
        <v>0</v>
      </c>
      <c r="S199" s="13">
        <f t="shared" si="31"/>
        <v>0</v>
      </c>
      <c r="T199" s="13">
        <f t="shared" si="31"/>
        <v>1</v>
      </c>
      <c r="U199" s="13">
        <f>SUM(E199:T199)</f>
        <v>8</v>
      </c>
      <c r="V199" s="52"/>
      <c r="W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5"/>
      <c r="W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6.0</v>
      </c>
      <c r="G201" s="19">
        <v>4.0</v>
      </c>
      <c r="H201" s="19">
        <v>16.0</v>
      </c>
      <c r="I201" s="19">
        <v>10.0</v>
      </c>
      <c r="J201" s="19">
        <v>4.0</v>
      </c>
      <c r="K201" s="19">
        <v>6.0</v>
      </c>
      <c r="L201" s="19">
        <v>1.0</v>
      </c>
      <c r="M201" s="19">
        <v>4.0</v>
      </c>
      <c r="N201" s="19">
        <v>0.0</v>
      </c>
      <c r="O201" s="19">
        <v>1.0</v>
      </c>
      <c r="P201" s="19">
        <v>1.0</v>
      </c>
      <c r="Q201" s="19">
        <v>0.0</v>
      </c>
      <c r="R201" s="19">
        <v>1.0</v>
      </c>
      <c r="S201" s="19">
        <v>0.0</v>
      </c>
      <c r="T201" s="19">
        <v>3.0</v>
      </c>
      <c r="U201" s="13">
        <f t="shared" ref="U201:U208" si="32">SUM(E201:T201)</f>
        <v>64</v>
      </c>
      <c r="V201" s="5"/>
      <c r="W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13.0</v>
      </c>
      <c r="F202" s="19">
        <v>11.0</v>
      </c>
      <c r="G202" s="19">
        <v>1.0</v>
      </c>
      <c r="H202" s="19">
        <v>13.0</v>
      </c>
      <c r="I202" s="19">
        <v>7.0</v>
      </c>
      <c r="J202" s="19">
        <v>6.0</v>
      </c>
      <c r="K202" s="19">
        <v>1.0</v>
      </c>
      <c r="L202" s="19">
        <v>4.0</v>
      </c>
      <c r="M202" s="19">
        <v>6.0</v>
      </c>
      <c r="N202" s="19">
        <v>2.0</v>
      </c>
      <c r="O202" s="19">
        <v>1.0</v>
      </c>
      <c r="P202" s="19">
        <v>9.0</v>
      </c>
      <c r="Q202" s="19">
        <v>0.0</v>
      </c>
      <c r="R202" s="19">
        <v>2.0</v>
      </c>
      <c r="S202" s="19">
        <v>6.0</v>
      </c>
      <c r="T202" s="19">
        <v>11.0</v>
      </c>
      <c r="U202" s="13">
        <f t="shared" si="32"/>
        <v>93</v>
      </c>
      <c r="V202" s="5"/>
      <c r="W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3.0</v>
      </c>
      <c r="G203" s="19">
        <v>2.0</v>
      </c>
      <c r="H203" s="19">
        <v>1.0</v>
      </c>
      <c r="I203" s="19">
        <v>4.0</v>
      </c>
      <c r="J203" s="19">
        <v>4.0</v>
      </c>
      <c r="K203" s="19">
        <v>3.0</v>
      </c>
      <c r="L203" s="19">
        <v>0.0</v>
      </c>
      <c r="M203" s="19">
        <v>0.0</v>
      </c>
      <c r="N203" s="19">
        <v>2.0</v>
      </c>
      <c r="O203" s="19">
        <v>0.0</v>
      </c>
      <c r="P203" s="19">
        <v>1.0</v>
      </c>
      <c r="Q203" s="19">
        <v>1.0</v>
      </c>
      <c r="R203" s="19">
        <v>1.0</v>
      </c>
      <c r="S203" s="19">
        <v>1.0</v>
      </c>
      <c r="T203" s="19">
        <v>2.0</v>
      </c>
      <c r="U203" s="13">
        <f t="shared" si="32"/>
        <v>27</v>
      </c>
      <c r="V203" s="5"/>
      <c r="W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1.0</v>
      </c>
      <c r="G204" s="19">
        <v>1.0</v>
      </c>
      <c r="H204" s="19">
        <v>2.0</v>
      </c>
      <c r="I204" s="19">
        <v>0.0</v>
      </c>
      <c r="J204" s="19">
        <v>1.0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3">
        <f t="shared" si="32"/>
        <v>7</v>
      </c>
      <c r="V204" s="5"/>
      <c r="W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0.0</v>
      </c>
      <c r="H205" s="19">
        <v>1.0</v>
      </c>
      <c r="I205" s="19">
        <v>0.0</v>
      </c>
      <c r="J205" s="19">
        <v>1.0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1.0</v>
      </c>
      <c r="Q205" s="19">
        <v>0.0</v>
      </c>
      <c r="R205" s="19">
        <v>0.0</v>
      </c>
      <c r="S205" s="19">
        <v>0.0</v>
      </c>
      <c r="T205" s="19">
        <v>0.0</v>
      </c>
      <c r="U205" s="13">
        <f t="shared" si="32"/>
        <v>5</v>
      </c>
      <c r="V205" s="5"/>
      <c r="W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3">
        <f t="shared" si="32"/>
        <v>2</v>
      </c>
      <c r="V206" s="5"/>
      <c r="W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3">
        <f t="shared" si="32"/>
        <v>2</v>
      </c>
      <c r="V207" s="1"/>
      <c r="W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3">
        <f t="shared" si="32"/>
        <v>0</v>
      </c>
      <c r="V208" s="52"/>
      <c r="W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74"/>
      <c r="V209" s="52"/>
      <c r="W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74"/>
      <c r="V210" s="52"/>
      <c r="W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33">SUM(E201:E208)</f>
        <v>24</v>
      </c>
      <c r="F211" s="13">
        <f t="shared" si="33"/>
        <v>21</v>
      </c>
      <c r="G211" s="13">
        <f t="shared" si="33"/>
        <v>8</v>
      </c>
      <c r="H211" s="13">
        <f t="shared" si="33"/>
        <v>33</v>
      </c>
      <c r="I211" s="13">
        <f t="shared" si="33"/>
        <v>21</v>
      </c>
      <c r="J211" s="13">
        <f t="shared" si="33"/>
        <v>16</v>
      </c>
      <c r="K211" s="13">
        <f t="shared" si="33"/>
        <v>10</v>
      </c>
      <c r="L211" s="13">
        <f t="shared" si="33"/>
        <v>6</v>
      </c>
      <c r="M211" s="13">
        <f t="shared" si="33"/>
        <v>11</v>
      </c>
      <c r="N211" s="13">
        <f t="shared" si="33"/>
        <v>7</v>
      </c>
      <c r="O211" s="13">
        <f t="shared" si="33"/>
        <v>2</v>
      </c>
      <c r="P211" s="13">
        <f t="shared" si="33"/>
        <v>12</v>
      </c>
      <c r="Q211" s="13">
        <f t="shared" si="33"/>
        <v>1</v>
      </c>
      <c r="R211" s="13">
        <f t="shared" si="33"/>
        <v>5</v>
      </c>
      <c r="S211" s="13">
        <f t="shared" si="33"/>
        <v>7</v>
      </c>
      <c r="T211" s="13">
        <f t="shared" si="33"/>
        <v>16</v>
      </c>
      <c r="U211" s="13">
        <f>SUM(E211:T211)</f>
        <v>200</v>
      </c>
      <c r="V211" s="5"/>
      <c r="W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5"/>
      <c r="W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2.0</v>
      </c>
      <c r="G213" s="19">
        <v>1.0</v>
      </c>
      <c r="H213" s="19">
        <v>1.0</v>
      </c>
      <c r="I213" s="19">
        <v>1.0</v>
      </c>
      <c r="J213" s="19">
        <v>4.0</v>
      </c>
      <c r="K213" s="19">
        <v>0.0</v>
      </c>
      <c r="L213" s="19">
        <v>0.0</v>
      </c>
      <c r="M213" s="19">
        <v>0.0</v>
      </c>
      <c r="N213" s="19">
        <v>1.0</v>
      </c>
      <c r="O213" s="19">
        <v>2.0</v>
      </c>
      <c r="P213" s="19">
        <v>0.0</v>
      </c>
      <c r="Q213" s="19">
        <v>1.0</v>
      </c>
      <c r="R213" s="19">
        <v>2.0</v>
      </c>
      <c r="S213" s="19">
        <v>0.0</v>
      </c>
      <c r="T213" s="19">
        <v>0.0</v>
      </c>
      <c r="U213" s="13">
        <f t="shared" ref="U213:U220" si="34">SUM(E213:T213)</f>
        <v>16</v>
      </c>
      <c r="V213" s="5"/>
      <c r="W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2.0</v>
      </c>
      <c r="I214" s="19">
        <v>6.0</v>
      </c>
      <c r="J214" s="19">
        <v>6.0</v>
      </c>
      <c r="K214" s="19">
        <v>9.0</v>
      </c>
      <c r="L214" s="19">
        <v>33.0</v>
      </c>
      <c r="M214" s="19">
        <v>2.0</v>
      </c>
      <c r="N214" s="19">
        <v>0.0</v>
      </c>
      <c r="O214" s="19">
        <v>4.0</v>
      </c>
      <c r="P214" s="19">
        <v>2.0</v>
      </c>
      <c r="Q214" s="19">
        <v>0.0</v>
      </c>
      <c r="R214" s="19">
        <v>0.0</v>
      </c>
      <c r="S214" s="19">
        <v>1.0</v>
      </c>
      <c r="T214" s="19">
        <v>0.0</v>
      </c>
      <c r="U214" s="13">
        <f t="shared" si="34"/>
        <v>66</v>
      </c>
      <c r="V214" s="5"/>
      <c r="W214" s="5"/>
    </row>
    <row r="215" ht="12.75" customHeight="1">
      <c r="A215" s="18"/>
      <c r="B215" s="55">
        <v>2.0</v>
      </c>
      <c r="C215" s="50" t="s">
        <v>158</v>
      </c>
      <c r="D215" s="56"/>
      <c r="E215" s="19">
        <v>9.0</v>
      </c>
      <c r="F215" s="19">
        <v>3.0</v>
      </c>
      <c r="G215" s="19">
        <v>15.0</v>
      </c>
      <c r="H215" s="19">
        <v>1.0</v>
      </c>
      <c r="I215" s="19">
        <v>1.0</v>
      </c>
      <c r="J215" s="19">
        <v>7.0</v>
      </c>
      <c r="K215" s="19">
        <v>37.0</v>
      </c>
      <c r="L215" s="19">
        <v>1.0</v>
      </c>
      <c r="M215" s="19">
        <v>3.0</v>
      </c>
      <c r="N215" s="19">
        <v>11.0</v>
      </c>
      <c r="O215" s="19">
        <v>5.0</v>
      </c>
      <c r="P215" s="19">
        <v>8.0</v>
      </c>
      <c r="Q215" s="19">
        <v>1.0</v>
      </c>
      <c r="R215" s="19">
        <v>8.0</v>
      </c>
      <c r="S215" s="19">
        <v>3.0</v>
      </c>
      <c r="T215" s="19">
        <v>14.0</v>
      </c>
      <c r="U215" s="13">
        <f t="shared" si="34"/>
        <v>127</v>
      </c>
      <c r="V215" s="5"/>
      <c r="W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1.0</v>
      </c>
      <c r="T216" s="19">
        <v>0.0</v>
      </c>
      <c r="U216" s="13">
        <f t="shared" si="34"/>
        <v>4</v>
      </c>
      <c r="V216" s="5"/>
      <c r="W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3">
        <f t="shared" si="34"/>
        <v>0</v>
      </c>
      <c r="V217" s="5"/>
      <c r="W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3">
        <f t="shared" si="34"/>
        <v>0</v>
      </c>
      <c r="V218" s="1"/>
      <c r="W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3">
        <f t="shared" si="34"/>
        <v>0</v>
      </c>
      <c r="V219" s="52"/>
      <c r="W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3">
        <f t="shared" si="34"/>
        <v>0</v>
      </c>
      <c r="V220" s="5"/>
      <c r="W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74"/>
      <c r="V221" s="5"/>
      <c r="W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74"/>
      <c r="V222" s="5"/>
      <c r="W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35">SUM(E213:E220)</f>
        <v>12</v>
      </c>
      <c r="F223" s="13">
        <f t="shared" si="35"/>
        <v>5</v>
      </c>
      <c r="G223" s="13">
        <f t="shared" si="35"/>
        <v>16</v>
      </c>
      <c r="H223" s="13">
        <f t="shared" si="35"/>
        <v>4</v>
      </c>
      <c r="I223" s="13">
        <f t="shared" si="35"/>
        <v>9</v>
      </c>
      <c r="J223" s="13">
        <f t="shared" si="35"/>
        <v>17</v>
      </c>
      <c r="K223" s="13">
        <f t="shared" si="35"/>
        <v>46</v>
      </c>
      <c r="L223" s="13">
        <f t="shared" si="35"/>
        <v>34</v>
      </c>
      <c r="M223" s="13">
        <f t="shared" si="35"/>
        <v>5</v>
      </c>
      <c r="N223" s="13">
        <f t="shared" si="35"/>
        <v>12</v>
      </c>
      <c r="O223" s="13">
        <f t="shared" si="35"/>
        <v>11</v>
      </c>
      <c r="P223" s="13">
        <f t="shared" si="35"/>
        <v>10</v>
      </c>
      <c r="Q223" s="13">
        <f t="shared" si="35"/>
        <v>2</v>
      </c>
      <c r="R223" s="13">
        <f t="shared" si="35"/>
        <v>11</v>
      </c>
      <c r="S223" s="13">
        <f t="shared" si="35"/>
        <v>5</v>
      </c>
      <c r="T223" s="13">
        <f t="shared" si="35"/>
        <v>14</v>
      </c>
      <c r="U223" s="13">
        <f>SUM(E223:T223)</f>
        <v>213</v>
      </c>
      <c r="V223" s="5"/>
      <c r="W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5"/>
      <c r="W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3">
        <f t="shared" ref="U225:U232" si="36">SUM(E225:T225)</f>
        <v>1</v>
      </c>
      <c r="V225" s="5"/>
      <c r="W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4.0</v>
      </c>
      <c r="J226" s="19">
        <v>1.0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3">
        <f t="shared" si="36"/>
        <v>5</v>
      </c>
      <c r="V226" s="5"/>
      <c r="W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1.0</v>
      </c>
      <c r="R227" s="19">
        <v>0.0</v>
      </c>
      <c r="S227" s="19">
        <v>0.0</v>
      </c>
      <c r="T227" s="19">
        <v>0.0</v>
      </c>
      <c r="U227" s="13">
        <f t="shared" si="36"/>
        <v>1</v>
      </c>
      <c r="V227" s="5"/>
      <c r="W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3">
        <f t="shared" si="36"/>
        <v>0</v>
      </c>
      <c r="V228" s="5"/>
      <c r="W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36"/>
        <v>0</v>
      </c>
      <c r="V229" s="1"/>
      <c r="W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1.0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3">
        <f t="shared" si="36"/>
        <v>1</v>
      </c>
      <c r="V230" s="52"/>
      <c r="W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3">
        <f t="shared" si="36"/>
        <v>0</v>
      </c>
      <c r="V231" s="5"/>
      <c r="W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3">
        <f t="shared" si="36"/>
        <v>0</v>
      </c>
      <c r="V232" s="5"/>
      <c r="W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74"/>
      <c r="V233" s="5"/>
      <c r="W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74"/>
      <c r="V234" s="5"/>
      <c r="W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37">SUM(E225:E232)</f>
        <v>0</v>
      </c>
      <c r="F235" s="13">
        <f t="shared" si="37"/>
        <v>0</v>
      </c>
      <c r="G235" s="13">
        <f t="shared" si="37"/>
        <v>1</v>
      </c>
      <c r="H235" s="13">
        <f t="shared" si="37"/>
        <v>0</v>
      </c>
      <c r="I235" s="13">
        <f t="shared" si="37"/>
        <v>5</v>
      </c>
      <c r="J235" s="13">
        <f t="shared" si="37"/>
        <v>1</v>
      </c>
      <c r="K235" s="13">
        <f t="shared" si="37"/>
        <v>0</v>
      </c>
      <c r="L235" s="13">
        <f t="shared" si="37"/>
        <v>0</v>
      </c>
      <c r="M235" s="13">
        <f t="shared" si="37"/>
        <v>0</v>
      </c>
      <c r="N235" s="13">
        <f t="shared" si="37"/>
        <v>0</v>
      </c>
      <c r="O235" s="13">
        <f t="shared" si="37"/>
        <v>0</v>
      </c>
      <c r="P235" s="13">
        <f t="shared" si="37"/>
        <v>0</v>
      </c>
      <c r="Q235" s="13">
        <f t="shared" si="37"/>
        <v>1</v>
      </c>
      <c r="R235" s="13">
        <f t="shared" si="37"/>
        <v>0</v>
      </c>
      <c r="S235" s="13">
        <f t="shared" si="37"/>
        <v>0</v>
      </c>
      <c r="T235" s="13">
        <f t="shared" si="37"/>
        <v>0</v>
      </c>
      <c r="U235" s="13">
        <f>SUM(E235:T235)</f>
        <v>8</v>
      </c>
      <c r="V235" s="5"/>
      <c r="W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5"/>
      <c r="W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7.0</v>
      </c>
      <c r="H237" s="19">
        <v>5.0</v>
      </c>
      <c r="I237" s="19">
        <v>1.0</v>
      </c>
      <c r="J237" s="19">
        <v>0.0</v>
      </c>
      <c r="K237" s="19">
        <v>0.0</v>
      </c>
      <c r="L237" s="19">
        <v>0.0</v>
      </c>
      <c r="M237" s="19">
        <v>1.0</v>
      </c>
      <c r="N237" s="19">
        <v>0.0</v>
      </c>
      <c r="O237" s="19">
        <v>0.0</v>
      </c>
      <c r="P237" s="19">
        <v>0.0</v>
      </c>
      <c r="Q237" s="19">
        <v>3.0</v>
      </c>
      <c r="R237" s="19">
        <v>0.0</v>
      </c>
      <c r="S237" s="19">
        <v>5.0</v>
      </c>
      <c r="T237" s="19">
        <v>1.0</v>
      </c>
      <c r="U237" s="13">
        <f t="shared" ref="U237:U244" si="38">SUM(E237:T237)</f>
        <v>24</v>
      </c>
      <c r="V237" s="5"/>
      <c r="W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8.0</v>
      </c>
      <c r="F238" s="19">
        <v>1.0</v>
      </c>
      <c r="G238" s="19">
        <v>4.0</v>
      </c>
      <c r="H238" s="19">
        <v>2.0</v>
      </c>
      <c r="I238" s="19">
        <v>0.0</v>
      </c>
      <c r="J238" s="19">
        <v>0.0</v>
      </c>
      <c r="K238" s="19">
        <v>0.0</v>
      </c>
      <c r="L238" s="19">
        <v>0.0</v>
      </c>
      <c r="M238" s="19">
        <v>1.0</v>
      </c>
      <c r="N238" s="19">
        <v>2.0</v>
      </c>
      <c r="O238" s="19">
        <v>1.0</v>
      </c>
      <c r="P238" s="19">
        <v>0.0</v>
      </c>
      <c r="Q238" s="19">
        <v>2.0</v>
      </c>
      <c r="R238" s="19">
        <v>1.0</v>
      </c>
      <c r="S238" s="19">
        <v>1.0</v>
      </c>
      <c r="T238" s="19">
        <v>0.0</v>
      </c>
      <c r="U238" s="13">
        <f t="shared" si="38"/>
        <v>23</v>
      </c>
      <c r="V238" s="5"/>
      <c r="W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12.0</v>
      </c>
      <c r="G239" s="19">
        <v>37.0</v>
      </c>
      <c r="H239" s="19">
        <v>4.0</v>
      </c>
      <c r="I239" s="19">
        <v>1.0</v>
      </c>
      <c r="J239" s="19">
        <v>0.0</v>
      </c>
      <c r="K239" s="19">
        <v>0.0</v>
      </c>
      <c r="L239" s="19">
        <v>0.0</v>
      </c>
      <c r="M239" s="19">
        <v>2.0</v>
      </c>
      <c r="N239" s="19">
        <v>0.0</v>
      </c>
      <c r="O239" s="19">
        <v>0.0</v>
      </c>
      <c r="P239" s="19">
        <v>0.0</v>
      </c>
      <c r="Q239" s="19">
        <v>22.0</v>
      </c>
      <c r="R239" s="19">
        <v>7.0</v>
      </c>
      <c r="S239" s="19">
        <v>12.0</v>
      </c>
      <c r="T239" s="19">
        <v>13.0</v>
      </c>
      <c r="U239" s="13">
        <f t="shared" si="38"/>
        <v>110</v>
      </c>
      <c r="V239" s="5"/>
      <c r="W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3">
        <f t="shared" si="38"/>
        <v>1</v>
      </c>
      <c r="V240" s="1"/>
      <c r="W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3">
        <f t="shared" si="38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3">
        <f t="shared" si="38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3">
        <f t="shared" si="38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7.0</v>
      </c>
      <c r="I244" s="19">
        <v>0.0</v>
      </c>
      <c r="J244" s="19">
        <v>0.0</v>
      </c>
      <c r="K244" s="19">
        <v>0.0</v>
      </c>
      <c r="L244" s="19">
        <v>0.0</v>
      </c>
      <c r="M244" s="19">
        <v>2.0</v>
      </c>
      <c r="N244" s="19">
        <v>2.0</v>
      </c>
      <c r="O244" s="19">
        <v>0.0</v>
      </c>
      <c r="P244" s="19">
        <v>0.0</v>
      </c>
      <c r="Q244" s="19">
        <v>3.0</v>
      </c>
      <c r="R244" s="19">
        <v>0.0</v>
      </c>
      <c r="S244" s="19">
        <v>2.0</v>
      </c>
      <c r="T244" s="19">
        <v>0.0</v>
      </c>
      <c r="U244" s="13">
        <f t="shared" si="38"/>
        <v>16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39">SUM(E237:E244)</f>
        <v>8</v>
      </c>
      <c r="F247" s="13">
        <f t="shared" si="39"/>
        <v>14</v>
      </c>
      <c r="G247" s="13">
        <f t="shared" si="39"/>
        <v>49</v>
      </c>
      <c r="H247" s="13">
        <f t="shared" si="39"/>
        <v>18</v>
      </c>
      <c r="I247" s="13">
        <f t="shared" si="39"/>
        <v>2</v>
      </c>
      <c r="J247" s="13">
        <f t="shared" si="39"/>
        <v>0</v>
      </c>
      <c r="K247" s="13">
        <f t="shared" si="39"/>
        <v>0</v>
      </c>
      <c r="L247" s="13">
        <f t="shared" si="39"/>
        <v>0</v>
      </c>
      <c r="M247" s="13">
        <f t="shared" si="39"/>
        <v>6</v>
      </c>
      <c r="N247" s="13">
        <f t="shared" si="39"/>
        <v>4</v>
      </c>
      <c r="O247" s="13">
        <f t="shared" si="39"/>
        <v>1</v>
      </c>
      <c r="P247" s="13">
        <f t="shared" si="39"/>
        <v>0</v>
      </c>
      <c r="Q247" s="13">
        <f t="shared" si="39"/>
        <v>31</v>
      </c>
      <c r="R247" s="13">
        <f t="shared" si="39"/>
        <v>8</v>
      </c>
      <c r="S247" s="13">
        <f t="shared" si="39"/>
        <v>21</v>
      </c>
      <c r="T247" s="13">
        <f t="shared" si="39"/>
        <v>14</v>
      </c>
      <c r="U247" s="13">
        <f>SUM(E247:T247)</f>
        <v>176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2.0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3">
        <f t="shared" ref="U249:U255" si="40">SUM(E249:T249)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1.0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3">
        <f t="shared" si="40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3">
        <f t="shared" si="40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0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3">
        <f t="shared" si="40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3">
        <f t="shared" si="40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3">
        <f t="shared" si="40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41">SUM(E249:E255)</f>
        <v>2</v>
      </c>
      <c r="F259" s="13">
        <f t="shared" si="41"/>
        <v>1</v>
      </c>
      <c r="G259" s="13">
        <f t="shared" si="41"/>
        <v>2</v>
      </c>
      <c r="H259" s="13">
        <f t="shared" si="41"/>
        <v>0</v>
      </c>
      <c r="I259" s="13">
        <f t="shared" si="41"/>
        <v>0</v>
      </c>
      <c r="J259" s="13">
        <f t="shared" si="41"/>
        <v>0</v>
      </c>
      <c r="K259" s="13">
        <f t="shared" si="41"/>
        <v>0</v>
      </c>
      <c r="L259" s="13">
        <f t="shared" si="41"/>
        <v>0</v>
      </c>
      <c r="M259" s="13">
        <f t="shared" si="41"/>
        <v>1</v>
      </c>
      <c r="N259" s="13">
        <f t="shared" si="41"/>
        <v>0</v>
      </c>
      <c r="O259" s="13">
        <f t="shared" si="41"/>
        <v>0</v>
      </c>
      <c r="P259" s="13">
        <f t="shared" si="41"/>
        <v>0</v>
      </c>
      <c r="Q259" s="13">
        <f t="shared" si="41"/>
        <v>0</v>
      </c>
      <c r="R259" s="13">
        <f t="shared" si="41"/>
        <v>1</v>
      </c>
      <c r="S259" s="13">
        <f t="shared" si="41"/>
        <v>0</v>
      </c>
      <c r="T259" s="13">
        <f t="shared" si="41"/>
        <v>0</v>
      </c>
      <c r="U259" s="13">
        <f>SUM(E259:T259)</f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T262" si="42">E55+E67+E79+E91+E103+E115+E127+E139+E151+E163+E175+E187+E199+E211+E223+E235+E247+E259</f>
        <v>182</v>
      </c>
      <c r="F262" s="19">
        <f t="shared" si="42"/>
        <v>192</v>
      </c>
      <c r="G262" s="19">
        <f t="shared" si="42"/>
        <v>177</v>
      </c>
      <c r="H262" s="19">
        <f t="shared" si="42"/>
        <v>159</v>
      </c>
      <c r="I262" s="19">
        <f t="shared" si="42"/>
        <v>200</v>
      </c>
      <c r="J262" s="19">
        <f t="shared" si="42"/>
        <v>200</v>
      </c>
      <c r="K262" s="19">
        <f t="shared" si="42"/>
        <v>159</v>
      </c>
      <c r="L262" s="19">
        <f t="shared" si="42"/>
        <v>147</v>
      </c>
      <c r="M262" s="19">
        <f t="shared" si="42"/>
        <v>171</v>
      </c>
      <c r="N262" s="19">
        <f t="shared" si="42"/>
        <v>199</v>
      </c>
      <c r="O262" s="19">
        <f t="shared" si="42"/>
        <v>121</v>
      </c>
      <c r="P262" s="19">
        <f t="shared" si="42"/>
        <v>168</v>
      </c>
      <c r="Q262" s="19">
        <f t="shared" si="42"/>
        <v>190</v>
      </c>
      <c r="R262" s="19">
        <f t="shared" si="42"/>
        <v>160</v>
      </c>
      <c r="S262" s="19">
        <f t="shared" si="42"/>
        <v>139</v>
      </c>
      <c r="T262" s="19">
        <f t="shared" si="42"/>
        <v>196</v>
      </c>
      <c r="U262" s="13">
        <f t="shared" ref="U262:U264" si="43">SUM(E262:T262)</f>
        <v>2760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38.0</v>
      </c>
      <c r="F263" s="19">
        <v>49.0</v>
      </c>
      <c r="G263" s="19">
        <v>18.0</v>
      </c>
      <c r="H263" s="19">
        <v>19.0</v>
      </c>
      <c r="I263" s="19">
        <v>22.0</v>
      </c>
      <c r="J263" s="19">
        <v>20.0</v>
      </c>
      <c r="K263" s="19">
        <v>55.0</v>
      </c>
      <c r="L263" s="19">
        <v>17.0</v>
      </c>
      <c r="M263" s="19">
        <v>20.0</v>
      </c>
      <c r="N263" s="19">
        <v>20.0</v>
      </c>
      <c r="O263" s="19">
        <v>19.0</v>
      </c>
      <c r="P263" s="19">
        <v>25.0</v>
      </c>
      <c r="Q263" s="19">
        <v>27.0</v>
      </c>
      <c r="R263" s="19">
        <v>32.0</v>
      </c>
      <c r="S263" s="19">
        <v>42.0</v>
      </c>
      <c r="T263" s="19">
        <v>44.0</v>
      </c>
      <c r="U263" s="13">
        <f t="shared" si="43"/>
        <v>467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T264" si="44">SUM(E262:E263)</f>
        <v>220</v>
      </c>
      <c r="F264" s="13">
        <f t="shared" si="44"/>
        <v>241</v>
      </c>
      <c r="G264" s="13">
        <f t="shared" si="44"/>
        <v>195</v>
      </c>
      <c r="H264" s="13">
        <f t="shared" si="44"/>
        <v>178</v>
      </c>
      <c r="I264" s="13">
        <f t="shared" si="44"/>
        <v>222</v>
      </c>
      <c r="J264" s="13">
        <f t="shared" si="44"/>
        <v>220</v>
      </c>
      <c r="K264" s="13">
        <f t="shared" si="44"/>
        <v>214</v>
      </c>
      <c r="L264" s="13">
        <f t="shared" si="44"/>
        <v>164</v>
      </c>
      <c r="M264" s="13">
        <f t="shared" si="44"/>
        <v>191</v>
      </c>
      <c r="N264" s="13">
        <f t="shared" si="44"/>
        <v>219</v>
      </c>
      <c r="O264" s="13">
        <f t="shared" si="44"/>
        <v>140</v>
      </c>
      <c r="P264" s="13">
        <f t="shared" si="44"/>
        <v>193</v>
      </c>
      <c r="Q264" s="13">
        <f t="shared" si="44"/>
        <v>217</v>
      </c>
      <c r="R264" s="13">
        <f t="shared" si="44"/>
        <v>192</v>
      </c>
      <c r="S264" s="13">
        <f t="shared" si="44"/>
        <v>181</v>
      </c>
      <c r="T264" s="13">
        <f t="shared" si="44"/>
        <v>240</v>
      </c>
      <c r="U264" s="13">
        <f t="shared" si="43"/>
        <v>3227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9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123.0</v>
      </c>
      <c r="G14" s="19">
        <v>144.0</v>
      </c>
      <c r="H14" s="19">
        <v>139.0</v>
      </c>
      <c r="I14" s="19">
        <v>133.0</v>
      </c>
      <c r="J14" s="19">
        <v>151.0</v>
      </c>
      <c r="K14" s="19">
        <v>136.0</v>
      </c>
      <c r="L14" s="19">
        <v>141.0</v>
      </c>
      <c r="M14" s="19">
        <v>150.0</v>
      </c>
      <c r="N14" s="19">
        <v>113.0</v>
      </c>
      <c r="O14" s="19">
        <v>133.0</v>
      </c>
      <c r="P14" s="19">
        <v>121.0</v>
      </c>
      <c r="Q14" s="19">
        <v>121.0</v>
      </c>
      <c r="R14" s="19">
        <v>133.0</v>
      </c>
      <c r="S14" s="19">
        <v>130.0</v>
      </c>
      <c r="T14" s="19">
        <v>121.0</v>
      </c>
      <c r="U14" s="19">
        <v>127.0</v>
      </c>
      <c r="V14" s="19">
        <v>123.0</v>
      </c>
      <c r="W14" s="13">
        <f t="shared" ref="W14:W16" si="1">SUM(E14:V14)</f>
        <v>2381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143.0</v>
      </c>
      <c r="G15" s="19">
        <v>150.0</v>
      </c>
      <c r="H15" s="19">
        <v>146.0</v>
      </c>
      <c r="I15" s="19">
        <v>133.0</v>
      </c>
      <c r="J15" s="19">
        <v>145.0</v>
      </c>
      <c r="K15" s="19">
        <v>138.0</v>
      </c>
      <c r="L15" s="19">
        <v>156.0</v>
      </c>
      <c r="M15" s="19">
        <v>141.0</v>
      </c>
      <c r="N15" s="19">
        <v>121.0</v>
      </c>
      <c r="O15" s="19">
        <v>140.0</v>
      </c>
      <c r="P15" s="19">
        <v>132.0</v>
      </c>
      <c r="Q15" s="19">
        <v>131.0</v>
      </c>
      <c r="R15" s="19">
        <v>129.0</v>
      </c>
      <c r="S15" s="19">
        <v>136.0</v>
      </c>
      <c r="T15" s="19">
        <v>122.0</v>
      </c>
      <c r="U15" s="19">
        <v>128.0</v>
      </c>
      <c r="V15" s="19">
        <v>119.0</v>
      </c>
      <c r="W15" s="13">
        <f t="shared" si="1"/>
        <v>2453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285</v>
      </c>
      <c r="F16" s="13">
        <f t="shared" si="2"/>
        <v>266</v>
      </c>
      <c r="G16" s="13">
        <f t="shared" si="2"/>
        <v>294</v>
      </c>
      <c r="H16" s="13">
        <f t="shared" si="2"/>
        <v>285</v>
      </c>
      <c r="I16" s="13">
        <f t="shared" si="2"/>
        <v>266</v>
      </c>
      <c r="J16" s="13">
        <f t="shared" si="2"/>
        <v>296</v>
      </c>
      <c r="K16" s="13">
        <f t="shared" si="2"/>
        <v>274</v>
      </c>
      <c r="L16" s="13">
        <f t="shared" si="2"/>
        <v>297</v>
      </c>
      <c r="M16" s="13">
        <f t="shared" si="2"/>
        <v>291</v>
      </c>
      <c r="N16" s="13">
        <f t="shared" si="2"/>
        <v>234</v>
      </c>
      <c r="O16" s="13">
        <f t="shared" si="2"/>
        <v>273</v>
      </c>
      <c r="P16" s="13">
        <f t="shared" si="2"/>
        <v>253</v>
      </c>
      <c r="Q16" s="13">
        <f t="shared" si="2"/>
        <v>252</v>
      </c>
      <c r="R16" s="13">
        <f t="shared" si="2"/>
        <v>262</v>
      </c>
      <c r="S16" s="13">
        <f t="shared" si="2"/>
        <v>266</v>
      </c>
      <c r="T16" s="13">
        <f t="shared" si="2"/>
        <v>243</v>
      </c>
      <c r="U16" s="13">
        <f t="shared" si="2"/>
        <v>255</v>
      </c>
      <c r="V16" s="13">
        <f t="shared" si="2"/>
        <v>242</v>
      </c>
      <c r="W16" s="13">
        <f t="shared" si="1"/>
        <v>4834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88.0</v>
      </c>
      <c r="G19" s="19">
        <v>96.0</v>
      </c>
      <c r="H19" s="19">
        <v>104.0</v>
      </c>
      <c r="I19" s="19">
        <v>96.0</v>
      </c>
      <c r="J19" s="19">
        <v>109.0</v>
      </c>
      <c r="K19" s="19">
        <v>105.0</v>
      </c>
      <c r="L19" s="19">
        <v>105.0</v>
      </c>
      <c r="M19" s="19">
        <v>113.0</v>
      </c>
      <c r="N19" s="19">
        <v>96.0</v>
      </c>
      <c r="O19" s="19">
        <v>102.0</v>
      </c>
      <c r="P19" s="19">
        <v>96.0</v>
      </c>
      <c r="Q19" s="19">
        <v>67.0</v>
      </c>
      <c r="R19" s="19">
        <v>89.0</v>
      </c>
      <c r="S19" s="19">
        <v>95.0</v>
      </c>
      <c r="T19" s="19">
        <v>99.0</v>
      </c>
      <c r="U19" s="19">
        <v>93.0</v>
      </c>
      <c r="V19" s="19">
        <v>83.0</v>
      </c>
      <c r="W19" s="13">
        <f t="shared" ref="W19:W30" si="3">SUM(E19:V19)</f>
        <v>1753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111.0</v>
      </c>
      <c r="G20" s="19">
        <v>116.0</v>
      </c>
      <c r="H20" s="19">
        <v>118.0</v>
      </c>
      <c r="I20" s="19">
        <v>100.0</v>
      </c>
      <c r="J20" s="19">
        <v>109.0</v>
      </c>
      <c r="K20" s="19">
        <v>112.0</v>
      </c>
      <c r="L20" s="19">
        <v>127.0</v>
      </c>
      <c r="M20" s="19">
        <v>117.0</v>
      </c>
      <c r="N20" s="19">
        <v>99.0</v>
      </c>
      <c r="O20" s="19">
        <v>122.0</v>
      </c>
      <c r="P20" s="19">
        <v>102.0</v>
      </c>
      <c r="Q20" s="19">
        <v>87.0</v>
      </c>
      <c r="R20" s="19">
        <v>92.0</v>
      </c>
      <c r="S20" s="19">
        <v>106.0</v>
      </c>
      <c r="T20" s="19">
        <v>99.0</v>
      </c>
      <c r="U20" s="19">
        <v>109.0</v>
      </c>
      <c r="V20" s="19">
        <v>88.0</v>
      </c>
      <c r="W20" s="13">
        <f t="shared" si="3"/>
        <v>1936</v>
      </c>
    </row>
    <row r="21" ht="12.75" customHeight="1">
      <c r="A21" s="35"/>
      <c r="B21" s="28"/>
      <c r="C21" s="36"/>
      <c r="D21" s="13" t="s">
        <v>14</v>
      </c>
      <c r="E21" s="13">
        <v>239.0</v>
      </c>
      <c r="F21" s="13">
        <v>199.0</v>
      </c>
      <c r="G21" s="13">
        <v>212.0</v>
      </c>
      <c r="H21" s="13">
        <v>222.0</v>
      </c>
      <c r="I21" s="13">
        <v>196.0</v>
      </c>
      <c r="J21" s="13">
        <v>218.0</v>
      </c>
      <c r="K21" s="13">
        <v>217.0</v>
      </c>
      <c r="L21" s="13">
        <v>232.0</v>
      </c>
      <c r="M21" s="13">
        <v>230.0</v>
      </c>
      <c r="N21" s="13">
        <v>195.0</v>
      </c>
      <c r="O21" s="13">
        <v>224.0</v>
      </c>
      <c r="P21" s="13">
        <v>198.0</v>
      </c>
      <c r="Q21" s="13">
        <v>154.0</v>
      </c>
      <c r="R21" s="13">
        <v>181.0</v>
      </c>
      <c r="S21" s="13">
        <v>201.0</v>
      </c>
      <c r="T21" s="13">
        <f t="shared" ref="T21:V21" si="4">SUM(T19:T20)</f>
        <v>198</v>
      </c>
      <c r="U21" s="13">
        <f t="shared" si="4"/>
        <v>202</v>
      </c>
      <c r="V21" s="13">
        <f t="shared" si="4"/>
        <v>171</v>
      </c>
      <c r="W21" s="13">
        <f t="shared" si="3"/>
        <v>3689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2.0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2.0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f t="shared" ref="T24:V24" si="5">SUM(T22:T23)</f>
        <v>0</v>
      </c>
      <c r="U24" s="13">
        <f t="shared" si="5"/>
        <v>2</v>
      </c>
      <c r="V24" s="13">
        <f t="shared" si="5"/>
        <v>0</v>
      </c>
      <c r="W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1.0</v>
      </c>
      <c r="N25" s="19">
        <v>0.0</v>
      </c>
      <c r="O25" s="19">
        <v>0.0</v>
      </c>
      <c r="P25" s="19">
        <v>1.0</v>
      </c>
      <c r="Q25" s="19">
        <v>1.0</v>
      </c>
      <c r="R25" s="19">
        <v>0.0</v>
      </c>
      <c r="S25" s="19">
        <v>0.0</v>
      </c>
      <c r="T25" s="19">
        <v>0.0</v>
      </c>
      <c r="U25" s="19">
        <v>1.0</v>
      </c>
      <c r="V25" s="19">
        <v>1.0</v>
      </c>
      <c r="W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3.0</v>
      </c>
      <c r="N26" s="19">
        <v>0.0</v>
      </c>
      <c r="O26" s="19">
        <v>0.0</v>
      </c>
      <c r="P26" s="19">
        <v>1.0</v>
      </c>
      <c r="Q26" s="19">
        <v>0.0</v>
      </c>
      <c r="R26" s="19">
        <v>0.0</v>
      </c>
      <c r="S26" s="19">
        <v>1.0</v>
      </c>
      <c r="T26" s="19">
        <v>0.0</v>
      </c>
      <c r="U26" s="19">
        <v>0.0</v>
      </c>
      <c r="V26" s="19">
        <v>1.0</v>
      </c>
      <c r="W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0.0</v>
      </c>
      <c r="G27" s="13">
        <v>3.0</v>
      </c>
      <c r="H27" s="13">
        <v>0.0</v>
      </c>
      <c r="I27" s="13">
        <v>0.0</v>
      </c>
      <c r="J27" s="13">
        <v>0.0</v>
      </c>
      <c r="K27" s="13">
        <v>0.0</v>
      </c>
      <c r="L27" s="13">
        <v>1.0</v>
      </c>
      <c r="M27" s="13">
        <v>4.0</v>
      </c>
      <c r="N27" s="13">
        <v>0.0</v>
      </c>
      <c r="O27" s="13">
        <v>0.0</v>
      </c>
      <c r="P27" s="13">
        <v>2.0</v>
      </c>
      <c r="Q27" s="13">
        <v>1.0</v>
      </c>
      <c r="R27" s="13">
        <v>0.0</v>
      </c>
      <c r="S27" s="13">
        <v>1.0</v>
      </c>
      <c r="T27" s="13">
        <f t="shared" ref="T27:V27" si="6">SUM(T25:T26)</f>
        <v>0</v>
      </c>
      <c r="U27" s="13">
        <f t="shared" si="6"/>
        <v>1</v>
      </c>
      <c r="V27" s="13">
        <f t="shared" si="6"/>
        <v>2</v>
      </c>
      <c r="W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118.0</v>
      </c>
      <c r="F28" s="13">
        <v>88.0</v>
      </c>
      <c r="G28" s="13">
        <v>98.0</v>
      </c>
      <c r="H28" s="13">
        <v>104.0</v>
      </c>
      <c r="I28" s="13">
        <v>96.0</v>
      </c>
      <c r="J28" s="13">
        <v>111.0</v>
      </c>
      <c r="K28" s="13">
        <v>105.0</v>
      </c>
      <c r="L28" s="13">
        <v>106.0</v>
      </c>
      <c r="M28" s="13">
        <v>114.0</v>
      </c>
      <c r="N28" s="13">
        <v>96.0</v>
      </c>
      <c r="O28" s="13">
        <v>102.0</v>
      </c>
      <c r="P28" s="13">
        <v>97.0</v>
      </c>
      <c r="Q28" s="13">
        <v>68.0</v>
      </c>
      <c r="R28" s="13">
        <v>89.0</v>
      </c>
      <c r="S28" s="13">
        <v>95.0</v>
      </c>
      <c r="T28" s="13">
        <f t="shared" ref="T28:V28" si="7">SUM(T19,T22,T25)</f>
        <v>99</v>
      </c>
      <c r="U28" s="13">
        <f t="shared" si="7"/>
        <v>95</v>
      </c>
      <c r="V28" s="13">
        <f t="shared" si="7"/>
        <v>84</v>
      </c>
      <c r="W28" s="13">
        <f t="shared" si="3"/>
        <v>1765</v>
      </c>
    </row>
    <row r="29" ht="12.75" customHeight="1">
      <c r="A29" s="35"/>
      <c r="B29" s="27"/>
      <c r="C29" s="34"/>
      <c r="D29" s="13" t="s">
        <v>13</v>
      </c>
      <c r="E29" s="13">
        <v>124.0</v>
      </c>
      <c r="F29" s="13">
        <v>111.0</v>
      </c>
      <c r="G29" s="13">
        <v>117.0</v>
      </c>
      <c r="H29" s="13">
        <v>118.0</v>
      </c>
      <c r="I29" s="13">
        <v>100.0</v>
      </c>
      <c r="J29" s="13">
        <v>109.0</v>
      </c>
      <c r="K29" s="13">
        <v>112.0</v>
      </c>
      <c r="L29" s="13">
        <v>127.0</v>
      </c>
      <c r="M29" s="13">
        <v>120.0</v>
      </c>
      <c r="N29" s="13">
        <v>99.0</v>
      </c>
      <c r="O29" s="13">
        <v>122.0</v>
      </c>
      <c r="P29" s="13">
        <v>103.0</v>
      </c>
      <c r="Q29" s="13">
        <v>87.0</v>
      </c>
      <c r="R29" s="13">
        <v>92.0</v>
      </c>
      <c r="S29" s="13">
        <v>107.0</v>
      </c>
      <c r="T29" s="13">
        <f t="shared" ref="T29:V29" si="8">SUM(T20,T23,T26)</f>
        <v>99</v>
      </c>
      <c r="U29" s="13">
        <f t="shared" si="8"/>
        <v>110</v>
      </c>
      <c r="V29" s="13">
        <f t="shared" si="8"/>
        <v>89</v>
      </c>
      <c r="W29" s="13">
        <f t="shared" si="3"/>
        <v>1946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242</v>
      </c>
      <c r="F30" s="13">
        <f t="shared" si="9"/>
        <v>199</v>
      </c>
      <c r="G30" s="13">
        <f t="shared" si="9"/>
        <v>215</v>
      </c>
      <c r="H30" s="13">
        <f t="shared" si="9"/>
        <v>222</v>
      </c>
      <c r="I30" s="13">
        <f t="shared" si="9"/>
        <v>196</v>
      </c>
      <c r="J30" s="13">
        <f t="shared" si="9"/>
        <v>220</v>
      </c>
      <c r="K30" s="13">
        <f t="shared" si="9"/>
        <v>217</v>
      </c>
      <c r="L30" s="13">
        <f t="shared" si="9"/>
        <v>233</v>
      </c>
      <c r="M30" s="13">
        <f t="shared" si="9"/>
        <v>234</v>
      </c>
      <c r="N30" s="13">
        <f t="shared" si="9"/>
        <v>195</v>
      </c>
      <c r="O30" s="13">
        <f t="shared" si="9"/>
        <v>224</v>
      </c>
      <c r="P30" s="13">
        <f t="shared" si="9"/>
        <v>200</v>
      </c>
      <c r="Q30" s="13">
        <f t="shared" si="9"/>
        <v>155</v>
      </c>
      <c r="R30" s="13">
        <f t="shared" si="9"/>
        <v>181</v>
      </c>
      <c r="S30" s="13">
        <f t="shared" si="9"/>
        <v>202</v>
      </c>
      <c r="T30" s="13">
        <f t="shared" si="9"/>
        <v>198</v>
      </c>
      <c r="U30" s="13">
        <f t="shared" si="9"/>
        <v>205</v>
      </c>
      <c r="V30" s="13">
        <f t="shared" si="9"/>
        <v>173</v>
      </c>
      <c r="W30" s="13">
        <f t="shared" si="3"/>
        <v>3711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8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272.0</v>
      </c>
      <c r="G33" s="19">
        <v>300.0</v>
      </c>
      <c r="H33" s="19">
        <v>291.0</v>
      </c>
      <c r="I33" s="19">
        <v>272.0</v>
      </c>
      <c r="J33" s="19">
        <v>302.0</v>
      </c>
      <c r="K33" s="19">
        <v>280.0</v>
      </c>
      <c r="L33" s="19">
        <v>303.0</v>
      </c>
      <c r="M33" s="19">
        <v>297.0</v>
      </c>
      <c r="N33" s="19">
        <v>239.0</v>
      </c>
      <c r="O33" s="19">
        <v>279.0</v>
      </c>
      <c r="P33" s="19">
        <v>259.0</v>
      </c>
      <c r="Q33" s="19">
        <v>258.0</v>
      </c>
      <c r="R33" s="19">
        <v>258.0</v>
      </c>
      <c r="S33" s="19">
        <v>272.0</v>
      </c>
      <c r="T33" s="19">
        <v>248.0</v>
      </c>
      <c r="U33" s="19">
        <v>261.0</v>
      </c>
      <c r="V33" s="19">
        <v>247.0</v>
      </c>
      <c r="W33" s="13">
        <f t="shared" ref="W33:W36" si="10">SUM(E33:V33)</f>
        <v>4929</v>
      </c>
    </row>
    <row r="34" ht="12.75" customHeight="1">
      <c r="A34" s="19">
        <v>2.0</v>
      </c>
      <c r="B34" s="20" t="s">
        <v>28</v>
      </c>
      <c r="C34" s="15"/>
      <c r="D34" s="16"/>
      <c r="E34" s="13">
        <v>242.0</v>
      </c>
      <c r="F34" s="13">
        <v>199.0</v>
      </c>
      <c r="G34" s="13">
        <v>215.0</v>
      </c>
      <c r="H34" s="13">
        <v>222.0</v>
      </c>
      <c r="I34" s="13">
        <v>196.0</v>
      </c>
      <c r="J34" s="13">
        <v>220.0</v>
      </c>
      <c r="K34" s="13">
        <v>217.0</v>
      </c>
      <c r="L34" s="13">
        <v>233.0</v>
      </c>
      <c r="M34" s="13">
        <v>234.0</v>
      </c>
      <c r="N34" s="13">
        <v>195.0</v>
      </c>
      <c r="O34" s="13">
        <v>224.0</v>
      </c>
      <c r="P34" s="13">
        <v>200.0</v>
      </c>
      <c r="Q34" s="13">
        <v>155.0</v>
      </c>
      <c r="R34" s="13">
        <v>181.0</v>
      </c>
      <c r="S34" s="13">
        <v>202.0</v>
      </c>
      <c r="T34" s="13">
        <v>198.0</v>
      </c>
      <c r="U34" s="13">
        <v>205.0</v>
      </c>
      <c r="V34" s="13">
        <v>173.0</v>
      </c>
      <c r="W34" s="13">
        <f t="shared" si="10"/>
        <v>3711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2.0</v>
      </c>
      <c r="V35" s="19">
        <v>0.0</v>
      </c>
      <c r="W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v>49.0</v>
      </c>
      <c r="F36" s="13">
        <v>72.0</v>
      </c>
      <c r="G36" s="13">
        <v>85.0</v>
      </c>
      <c r="H36" s="13">
        <v>68.0</v>
      </c>
      <c r="I36" s="13">
        <v>75.0</v>
      </c>
      <c r="J36" s="13">
        <v>82.0</v>
      </c>
      <c r="K36" s="13">
        <v>63.0</v>
      </c>
      <c r="L36" s="13">
        <v>70.0</v>
      </c>
      <c r="M36" s="13">
        <v>63.0</v>
      </c>
      <c r="N36" s="13">
        <v>44.0</v>
      </c>
      <c r="O36" s="13">
        <v>54.0</v>
      </c>
      <c r="P36" s="13">
        <v>59.0</v>
      </c>
      <c r="Q36" s="13">
        <v>103.0</v>
      </c>
      <c r="R36" s="13">
        <v>77.0</v>
      </c>
      <c r="S36" s="13">
        <v>69.0</v>
      </c>
      <c r="T36" s="13">
        <f t="shared" ref="T36:V36" si="11">T33-(T34+T35)</f>
        <v>50</v>
      </c>
      <c r="U36" s="13">
        <f t="shared" si="11"/>
        <v>54</v>
      </c>
      <c r="V36" s="13">
        <f t="shared" si="11"/>
        <v>74</v>
      </c>
      <c r="W36" s="13">
        <f t="shared" si="10"/>
        <v>1211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1.0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1.0</v>
      </c>
      <c r="W39" s="13">
        <f t="shared" ref="W39:W41" si="12">SUM(E39:V39)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1</v>
      </c>
      <c r="W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6.0</v>
      </c>
      <c r="G45" s="19">
        <v>3.0</v>
      </c>
      <c r="H45" s="19">
        <v>3.0</v>
      </c>
      <c r="I45" s="19">
        <v>2.0</v>
      </c>
      <c r="J45" s="19">
        <v>3.0</v>
      </c>
      <c r="K45" s="19">
        <v>1.0</v>
      </c>
      <c r="L45" s="19">
        <v>1.0</v>
      </c>
      <c r="M45" s="19">
        <v>0.0</v>
      </c>
      <c r="N45" s="19">
        <v>0.0</v>
      </c>
      <c r="O45" s="19">
        <v>6.0</v>
      </c>
      <c r="P45" s="19">
        <v>4.0</v>
      </c>
      <c r="Q45" s="19">
        <v>4.0</v>
      </c>
      <c r="R45" s="19">
        <v>2.0</v>
      </c>
      <c r="S45" s="19">
        <v>1.0</v>
      </c>
      <c r="T45" s="19">
        <v>0.0</v>
      </c>
      <c r="U45" s="19">
        <v>1.0</v>
      </c>
      <c r="V45" s="19">
        <v>2.0</v>
      </c>
      <c r="W45" s="13">
        <f t="shared" ref="W45:W52" si="14">SUM(E45:V45)</f>
        <v>47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4.0</v>
      </c>
      <c r="G46" s="19">
        <v>8.0</v>
      </c>
      <c r="H46" s="19">
        <v>9.0</v>
      </c>
      <c r="I46" s="19">
        <v>12.0</v>
      </c>
      <c r="J46" s="19">
        <v>11.0</v>
      </c>
      <c r="K46" s="19">
        <v>11.0</v>
      </c>
      <c r="L46" s="19">
        <v>14.0</v>
      </c>
      <c r="M46" s="19">
        <v>12.0</v>
      </c>
      <c r="N46" s="19">
        <v>1.0</v>
      </c>
      <c r="O46" s="19">
        <v>15.0</v>
      </c>
      <c r="P46" s="19">
        <v>10.0</v>
      </c>
      <c r="Q46" s="19">
        <v>12.0</v>
      </c>
      <c r="R46" s="19">
        <v>9.0</v>
      </c>
      <c r="S46" s="19">
        <v>1.0</v>
      </c>
      <c r="T46" s="19">
        <v>2.0</v>
      </c>
      <c r="U46" s="19">
        <v>7.0</v>
      </c>
      <c r="V46" s="19">
        <v>5.0</v>
      </c>
      <c r="W46" s="13">
        <f t="shared" si="14"/>
        <v>150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0.0</v>
      </c>
      <c r="H47" s="19">
        <v>1.0</v>
      </c>
      <c r="I47" s="19">
        <v>0.0</v>
      </c>
      <c r="J47" s="19">
        <v>1.0</v>
      </c>
      <c r="K47" s="19">
        <v>0.0</v>
      </c>
      <c r="L47" s="19">
        <v>1.0</v>
      </c>
      <c r="M47" s="19">
        <v>0.0</v>
      </c>
      <c r="N47" s="19">
        <v>1.0</v>
      </c>
      <c r="O47" s="19">
        <v>1.0</v>
      </c>
      <c r="P47" s="19">
        <v>1.0</v>
      </c>
      <c r="Q47" s="19">
        <v>0.0</v>
      </c>
      <c r="R47" s="19">
        <v>0.0</v>
      </c>
      <c r="S47" s="19">
        <v>0.0</v>
      </c>
      <c r="T47" s="19">
        <v>0.0</v>
      </c>
      <c r="U47" s="19">
        <v>0.0</v>
      </c>
      <c r="V47" s="19">
        <v>1.0</v>
      </c>
      <c r="W47" s="13">
        <f t="shared" si="14"/>
        <v>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2.0</v>
      </c>
      <c r="P48" s="19">
        <v>1.0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1.0</v>
      </c>
      <c r="N49" s="19">
        <v>0.0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2.0</v>
      </c>
      <c r="W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3">
        <f t="shared" si="14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V55" si="15">SUM(E45:E52)</f>
        <v>18</v>
      </c>
      <c r="F55" s="13">
        <f t="shared" si="15"/>
        <v>12</v>
      </c>
      <c r="G55" s="13">
        <f t="shared" si="15"/>
        <v>12</v>
      </c>
      <c r="H55" s="13">
        <f t="shared" si="15"/>
        <v>13</v>
      </c>
      <c r="I55" s="13">
        <f t="shared" si="15"/>
        <v>14</v>
      </c>
      <c r="J55" s="13">
        <f t="shared" si="15"/>
        <v>16</v>
      </c>
      <c r="K55" s="13">
        <f t="shared" si="15"/>
        <v>12</v>
      </c>
      <c r="L55" s="13">
        <f t="shared" si="15"/>
        <v>17</v>
      </c>
      <c r="M55" s="13">
        <f t="shared" si="15"/>
        <v>13</v>
      </c>
      <c r="N55" s="13">
        <f t="shared" si="15"/>
        <v>2</v>
      </c>
      <c r="O55" s="13">
        <f t="shared" si="15"/>
        <v>24</v>
      </c>
      <c r="P55" s="13">
        <f t="shared" si="15"/>
        <v>17</v>
      </c>
      <c r="Q55" s="13">
        <f t="shared" si="15"/>
        <v>17</v>
      </c>
      <c r="R55" s="13">
        <f t="shared" si="15"/>
        <v>11</v>
      </c>
      <c r="S55" s="13">
        <f t="shared" si="15"/>
        <v>2</v>
      </c>
      <c r="T55" s="13">
        <f t="shared" si="15"/>
        <v>2</v>
      </c>
      <c r="U55" s="13">
        <f t="shared" si="15"/>
        <v>8</v>
      </c>
      <c r="V55" s="13">
        <f t="shared" si="15"/>
        <v>10</v>
      </c>
      <c r="W55" s="13">
        <f>SUM(E55:V55)</f>
        <v>220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19.0</v>
      </c>
      <c r="F57" s="19">
        <v>10.0</v>
      </c>
      <c r="G57" s="19">
        <v>11.0</v>
      </c>
      <c r="H57" s="19">
        <v>8.0</v>
      </c>
      <c r="I57" s="19">
        <v>12.0</v>
      </c>
      <c r="J57" s="19">
        <v>3.0</v>
      </c>
      <c r="K57" s="19">
        <v>3.0</v>
      </c>
      <c r="L57" s="19">
        <v>4.0</v>
      </c>
      <c r="M57" s="19">
        <v>3.0</v>
      </c>
      <c r="N57" s="19">
        <v>5.0</v>
      </c>
      <c r="O57" s="19">
        <v>6.0</v>
      </c>
      <c r="P57" s="19">
        <v>4.0</v>
      </c>
      <c r="Q57" s="19">
        <v>8.0</v>
      </c>
      <c r="R57" s="19">
        <v>4.0</v>
      </c>
      <c r="S57" s="19">
        <v>14.0</v>
      </c>
      <c r="T57" s="19">
        <v>4.0</v>
      </c>
      <c r="U57" s="19">
        <v>5.0</v>
      </c>
      <c r="V57" s="19">
        <v>2.0</v>
      </c>
      <c r="W57" s="13">
        <f t="shared" ref="W57:W64" si="16">SUM(E57:V57)</f>
        <v>125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82.0</v>
      </c>
      <c r="F58" s="19">
        <v>57.0</v>
      </c>
      <c r="G58" s="19">
        <v>66.0</v>
      </c>
      <c r="H58" s="19">
        <v>29.0</v>
      </c>
      <c r="I58" s="19">
        <v>20.0</v>
      </c>
      <c r="J58" s="19">
        <v>11.0</v>
      </c>
      <c r="K58" s="19">
        <v>7.0</v>
      </c>
      <c r="L58" s="19">
        <v>47.0</v>
      </c>
      <c r="M58" s="19">
        <v>61.0</v>
      </c>
      <c r="N58" s="19">
        <v>84.0</v>
      </c>
      <c r="O58" s="19">
        <v>15.0</v>
      </c>
      <c r="P58" s="19">
        <v>9.0</v>
      </c>
      <c r="Q58" s="19">
        <v>11.0</v>
      </c>
      <c r="R58" s="19">
        <v>6.0</v>
      </c>
      <c r="S58" s="19">
        <v>20.0</v>
      </c>
      <c r="T58" s="19">
        <v>11.0</v>
      </c>
      <c r="U58" s="19">
        <v>32.0</v>
      </c>
      <c r="V58" s="19">
        <v>5.0</v>
      </c>
      <c r="W58" s="13">
        <f t="shared" si="16"/>
        <v>573</v>
      </c>
    </row>
    <row r="59" ht="12.75" customHeight="1">
      <c r="A59" s="18"/>
      <c r="B59" s="55">
        <v>2.0</v>
      </c>
      <c r="C59" s="50" t="s">
        <v>50</v>
      </c>
      <c r="D59" s="56"/>
      <c r="E59" s="19">
        <v>9.0</v>
      </c>
      <c r="F59" s="19">
        <v>8.0</v>
      </c>
      <c r="G59" s="19">
        <v>12.0</v>
      </c>
      <c r="H59" s="19">
        <v>5.0</v>
      </c>
      <c r="I59" s="19">
        <v>4.0</v>
      </c>
      <c r="J59" s="19">
        <v>2.0</v>
      </c>
      <c r="K59" s="19">
        <v>2.0</v>
      </c>
      <c r="L59" s="19">
        <v>4.0</v>
      </c>
      <c r="M59" s="19">
        <v>1.0</v>
      </c>
      <c r="N59" s="19">
        <v>1.0</v>
      </c>
      <c r="O59" s="19">
        <v>2.0</v>
      </c>
      <c r="P59" s="19">
        <v>1.0</v>
      </c>
      <c r="Q59" s="19">
        <v>5.0</v>
      </c>
      <c r="R59" s="19">
        <v>0.0</v>
      </c>
      <c r="S59" s="19">
        <v>0.0</v>
      </c>
      <c r="T59" s="19">
        <v>1.0</v>
      </c>
      <c r="U59" s="19">
        <v>0.0</v>
      </c>
      <c r="V59" s="19">
        <v>1.0</v>
      </c>
      <c r="W59" s="13">
        <f t="shared" si="16"/>
        <v>58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2.0</v>
      </c>
      <c r="K60" s="19">
        <v>0.0</v>
      </c>
      <c r="L60" s="19">
        <v>0.0</v>
      </c>
      <c r="M60" s="19">
        <v>0.0</v>
      </c>
      <c r="N60" s="19">
        <v>0.0</v>
      </c>
      <c r="O60" s="19">
        <v>3.0</v>
      </c>
      <c r="P60" s="19">
        <v>1.0</v>
      </c>
      <c r="Q60" s="19">
        <v>2.0</v>
      </c>
      <c r="R60" s="19">
        <v>1.0</v>
      </c>
      <c r="S60" s="19">
        <v>2.0</v>
      </c>
      <c r="T60" s="19">
        <v>0.0</v>
      </c>
      <c r="U60" s="19">
        <v>2.0</v>
      </c>
      <c r="V60" s="19">
        <v>0.0</v>
      </c>
      <c r="W60" s="13">
        <f t="shared" si="16"/>
        <v>14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0.0</v>
      </c>
      <c r="G61" s="19">
        <v>1.0</v>
      </c>
      <c r="H61" s="19">
        <v>0.0</v>
      </c>
      <c r="I61" s="19">
        <v>0.0</v>
      </c>
      <c r="J61" s="19">
        <v>1.0</v>
      </c>
      <c r="K61" s="19">
        <v>0.0</v>
      </c>
      <c r="L61" s="19">
        <v>0.0</v>
      </c>
      <c r="M61" s="19">
        <v>1.0</v>
      </c>
      <c r="N61" s="19">
        <v>0.0</v>
      </c>
      <c r="O61" s="19">
        <v>2.0</v>
      </c>
      <c r="P61" s="19">
        <v>0.0</v>
      </c>
      <c r="Q61" s="19">
        <v>1.0</v>
      </c>
      <c r="R61" s="19">
        <v>0.0</v>
      </c>
      <c r="S61" s="19">
        <v>1.0</v>
      </c>
      <c r="T61" s="19">
        <v>0.0</v>
      </c>
      <c r="U61" s="19">
        <v>1.0</v>
      </c>
      <c r="V61" s="19">
        <v>3.0</v>
      </c>
      <c r="W61" s="13">
        <f t="shared" si="16"/>
        <v>14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1.0</v>
      </c>
      <c r="V63" s="19">
        <v>2.0</v>
      </c>
      <c r="W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3">
        <f t="shared" si="16"/>
        <v>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V67" si="17">SUM(E57:E64)</f>
        <v>113</v>
      </c>
      <c r="F67" s="13">
        <f t="shared" si="17"/>
        <v>75</v>
      </c>
      <c r="G67" s="13">
        <f t="shared" si="17"/>
        <v>92</v>
      </c>
      <c r="H67" s="13">
        <f t="shared" si="17"/>
        <v>42</v>
      </c>
      <c r="I67" s="13">
        <f t="shared" si="17"/>
        <v>36</v>
      </c>
      <c r="J67" s="13">
        <f t="shared" si="17"/>
        <v>21</v>
      </c>
      <c r="K67" s="13">
        <f t="shared" si="17"/>
        <v>12</v>
      </c>
      <c r="L67" s="13">
        <f t="shared" si="17"/>
        <v>55</v>
      </c>
      <c r="M67" s="13">
        <f t="shared" si="17"/>
        <v>66</v>
      </c>
      <c r="N67" s="13">
        <f t="shared" si="17"/>
        <v>90</v>
      </c>
      <c r="O67" s="13">
        <f t="shared" si="17"/>
        <v>28</v>
      </c>
      <c r="P67" s="13">
        <f t="shared" si="17"/>
        <v>15</v>
      </c>
      <c r="Q67" s="13">
        <f t="shared" si="17"/>
        <v>28</v>
      </c>
      <c r="R67" s="13">
        <f t="shared" si="17"/>
        <v>11</v>
      </c>
      <c r="S67" s="13">
        <f t="shared" si="17"/>
        <v>37</v>
      </c>
      <c r="T67" s="13">
        <f t="shared" si="17"/>
        <v>17</v>
      </c>
      <c r="U67" s="13">
        <f t="shared" si="17"/>
        <v>41</v>
      </c>
      <c r="V67" s="13">
        <f t="shared" si="17"/>
        <v>13</v>
      </c>
      <c r="W67" s="13">
        <f>SUM(E67:V67)</f>
        <v>792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3.0</v>
      </c>
      <c r="G69" s="19">
        <v>6.0</v>
      </c>
      <c r="H69" s="19">
        <v>15.0</v>
      </c>
      <c r="I69" s="19">
        <v>11.0</v>
      </c>
      <c r="J69" s="19">
        <v>12.0</v>
      </c>
      <c r="K69" s="19">
        <v>5.0</v>
      </c>
      <c r="L69" s="19">
        <v>3.0</v>
      </c>
      <c r="M69" s="19">
        <v>4.0</v>
      </c>
      <c r="N69" s="19">
        <v>7.0</v>
      </c>
      <c r="O69" s="19">
        <v>12.0</v>
      </c>
      <c r="P69" s="19">
        <v>9.0</v>
      </c>
      <c r="Q69" s="19">
        <v>6.0</v>
      </c>
      <c r="R69" s="19">
        <v>23.0</v>
      </c>
      <c r="S69" s="19">
        <v>25.0</v>
      </c>
      <c r="T69" s="19">
        <v>8.0</v>
      </c>
      <c r="U69" s="19">
        <v>2.0</v>
      </c>
      <c r="V69" s="19">
        <v>8.0</v>
      </c>
      <c r="W69" s="13">
        <f t="shared" ref="W69:W76" si="18">SUM(E69:V69)</f>
        <v>165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2.0</v>
      </c>
      <c r="F70" s="19">
        <v>2.0</v>
      </c>
      <c r="G70" s="19">
        <v>7.0</v>
      </c>
      <c r="H70" s="19">
        <v>3.0</v>
      </c>
      <c r="I70" s="19">
        <v>5.0</v>
      </c>
      <c r="J70" s="19">
        <v>5.0</v>
      </c>
      <c r="K70" s="19">
        <v>5.0</v>
      </c>
      <c r="L70" s="19">
        <v>4.0</v>
      </c>
      <c r="M70" s="19">
        <v>0.0</v>
      </c>
      <c r="N70" s="19">
        <v>10.0</v>
      </c>
      <c r="O70" s="19">
        <v>34.0</v>
      </c>
      <c r="P70" s="19">
        <v>32.0</v>
      </c>
      <c r="Q70" s="19">
        <v>29.0</v>
      </c>
      <c r="R70" s="19">
        <v>23.0</v>
      </c>
      <c r="S70" s="19">
        <v>43.0</v>
      </c>
      <c r="T70" s="19">
        <v>52.0</v>
      </c>
      <c r="U70" s="19">
        <v>33.0</v>
      </c>
      <c r="V70" s="19">
        <v>20.0</v>
      </c>
      <c r="W70" s="13">
        <f t="shared" si="18"/>
        <v>309</v>
      </c>
    </row>
    <row r="71" ht="12.75" customHeight="1">
      <c r="A71" s="18"/>
      <c r="B71" s="55">
        <v>2.0</v>
      </c>
      <c r="C71" s="50" t="s">
        <v>58</v>
      </c>
      <c r="D71" s="57"/>
      <c r="E71" s="19">
        <v>5.0</v>
      </c>
      <c r="F71" s="19">
        <v>3.0</v>
      </c>
      <c r="G71" s="19">
        <v>11.0</v>
      </c>
      <c r="H71" s="19">
        <v>33.0</v>
      </c>
      <c r="I71" s="19">
        <v>13.0</v>
      </c>
      <c r="J71" s="19">
        <v>8.0</v>
      </c>
      <c r="K71" s="19">
        <v>9.0</v>
      </c>
      <c r="L71" s="19">
        <v>12.0</v>
      </c>
      <c r="M71" s="19">
        <v>9.0</v>
      </c>
      <c r="N71" s="19">
        <v>4.0</v>
      </c>
      <c r="O71" s="19">
        <v>5.0</v>
      </c>
      <c r="P71" s="19">
        <v>6.0</v>
      </c>
      <c r="Q71" s="19">
        <v>1.0</v>
      </c>
      <c r="R71" s="19">
        <v>4.0</v>
      </c>
      <c r="S71" s="19">
        <v>15.0</v>
      </c>
      <c r="T71" s="19">
        <v>4.0</v>
      </c>
      <c r="U71" s="19">
        <v>8.0</v>
      </c>
      <c r="V71" s="19">
        <v>5.0</v>
      </c>
      <c r="W71" s="13">
        <f t="shared" si="18"/>
        <v>155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2.0</v>
      </c>
      <c r="G72" s="19">
        <v>1.0</v>
      </c>
      <c r="H72" s="19">
        <v>0.0</v>
      </c>
      <c r="I72" s="19">
        <v>2.0</v>
      </c>
      <c r="J72" s="19">
        <v>2.0</v>
      </c>
      <c r="K72" s="19">
        <v>4.0</v>
      </c>
      <c r="L72" s="19">
        <v>3.0</v>
      </c>
      <c r="M72" s="19">
        <v>1.0</v>
      </c>
      <c r="N72" s="19">
        <v>3.0</v>
      </c>
      <c r="O72" s="19">
        <v>1.0</v>
      </c>
      <c r="P72" s="19">
        <v>2.0</v>
      </c>
      <c r="Q72" s="19">
        <v>4.0</v>
      </c>
      <c r="R72" s="19">
        <v>4.0</v>
      </c>
      <c r="S72" s="19">
        <v>3.0</v>
      </c>
      <c r="T72" s="19">
        <v>1.0</v>
      </c>
      <c r="U72" s="19">
        <v>10.0</v>
      </c>
      <c r="V72" s="19">
        <v>2.0</v>
      </c>
      <c r="W72" s="13">
        <f t="shared" si="18"/>
        <v>48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1.0</v>
      </c>
      <c r="I73" s="19">
        <v>1.0</v>
      </c>
      <c r="J73" s="19">
        <v>0.0</v>
      </c>
      <c r="K73" s="19">
        <v>2.0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0.0</v>
      </c>
      <c r="R73" s="19">
        <v>1.0</v>
      </c>
      <c r="S73" s="19">
        <v>1.0</v>
      </c>
      <c r="T73" s="19">
        <v>2.0</v>
      </c>
      <c r="U73" s="19">
        <v>2.0</v>
      </c>
      <c r="V73" s="19">
        <v>0.0</v>
      </c>
      <c r="W73" s="13">
        <f t="shared" si="18"/>
        <v>12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1.0</v>
      </c>
      <c r="G74" s="19">
        <v>1.0</v>
      </c>
      <c r="H74" s="19">
        <v>0.0</v>
      </c>
      <c r="I74" s="19">
        <v>1.0</v>
      </c>
      <c r="J74" s="19">
        <v>2.0</v>
      </c>
      <c r="K74" s="19">
        <v>4.0</v>
      </c>
      <c r="L74" s="19">
        <v>1.0</v>
      </c>
      <c r="M74" s="19">
        <v>1.0</v>
      </c>
      <c r="N74" s="19">
        <v>1.0</v>
      </c>
      <c r="O74" s="19">
        <v>1.0</v>
      </c>
      <c r="P74" s="19">
        <v>1.0</v>
      </c>
      <c r="Q74" s="19">
        <v>1.0</v>
      </c>
      <c r="R74" s="19">
        <v>4.0</v>
      </c>
      <c r="S74" s="19">
        <v>1.0</v>
      </c>
      <c r="T74" s="19">
        <v>3.0</v>
      </c>
      <c r="U74" s="19">
        <v>1.0</v>
      </c>
      <c r="V74" s="19">
        <v>0.0</v>
      </c>
      <c r="W74" s="13">
        <f t="shared" si="18"/>
        <v>24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1.0</v>
      </c>
      <c r="R75" s="19">
        <v>0.0</v>
      </c>
      <c r="S75" s="19">
        <v>0.0</v>
      </c>
      <c r="T75" s="19">
        <v>0.0</v>
      </c>
      <c r="U75" s="19">
        <v>1.0</v>
      </c>
      <c r="V75" s="19">
        <v>0.0</v>
      </c>
      <c r="W75" s="13">
        <f t="shared" si="18"/>
        <v>5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0.0</v>
      </c>
      <c r="H76" s="19">
        <v>1.0</v>
      </c>
      <c r="I76" s="19">
        <v>1.0</v>
      </c>
      <c r="J76" s="19">
        <v>0.0</v>
      </c>
      <c r="K76" s="19">
        <v>13.0</v>
      </c>
      <c r="L76" s="19">
        <v>1.0</v>
      </c>
      <c r="M76" s="19">
        <v>0.0</v>
      </c>
      <c r="N76" s="19">
        <v>6.0</v>
      </c>
      <c r="O76" s="19">
        <v>1.0</v>
      </c>
      <c r="P76" s="19">
        <v>27.0</v>
      </c>
      <c r="Q76" s="19">
        <v>3.0</v>
      </c>
      <c r="R76" s="19">
        <v>8.0</v>
      </c>
      <c r="S76" s="19">
        <v>6.0</v>
      </c>
      <c r="T76" s="19">
        <v>2.0</v>
      </c>
      <c r="U76" s="19">
        <v>0.0</v>
      </c>
      <c r="V76" s="19">
        <v>37.0</v>
      </c>
      <c r="W76" s="13">
        <f t="shared" si="18"/>
        <v>107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V79" si="19">SUM(E69:E76)</f>
        <v>16</v>
      </c>
      <c r="F79" s="13">
        <f t="shared" si="19"/>
        <v>12</v>
      </c>
      <c r="G79" s="13">
        <f t="shared" si="19"/>
        <v>26</v>
      </c>
      <c r="H79" s="13">
        <f t="shared" si="19"/>
        <v>53</v>
      </c>
      <c r="I79" s="13">
        <f t="shared" si="19"/>
        <v>35</v>
      </c>
      <c r="J79" s="13">
        <f t="shared" si="19"/>
        <v>29</v>
      </c>
      <c r="K79" s="13">
        <f t="shared" si="19"/>
        <v>43</v>
      </c>
      <c r="L79" s="13">
        <f t="shared" si="19"/>
        <v>25</v>
      </c>
      <c r="M79" s="13">
        <f t="shared" si="19"/>
        <v>15</v>
      </c>
      <c r="N79" s="13">
        <f t="shared" si="19"/>
        <v>31</v>
      </c>
      <c r="O79" s="13">
        <f t="shared" si="19"/>
        <v>54</v>
      </c>
      <c r="P79" s="13">
        <f t="shared" si="19"/>
        <v>79</v>
      </c>
      <c r="Q79" s="13">
        <f t="shared" si="19"/>
        <v>45</v>
      </c>
      <c r="R79" s="13">
        <f t="shared" si="19"/>
        <v>67</v>
      </c>
      <c r="S79" s="13">
        <f t="shared" si="19"/>
        <v>94</v>
      </c>
      <c r="T79" s="13">
        <f t="shared" si="19"/>
        <v>72</v>
      </c>
      <c r="U79" s="13">
        <f t="shared" si="19"/>
        <v>57</v>
      </c>
      <c r="V79" s="13">
        <f t="shared" si="19"/>
        <v>72</v>
      </c>
      <c r="W79" s="13">
        <f>SUM(E79:V79)</f>
        <v>825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3.0</v>
      </c>
      <c r="G81" s="19">
        <v>0.0</v>
      </c>
      <c r="H81" s="19">
        <v>1.0</v>
      </c>
      <c r="I81" s="19">
        <v>5.0</v>
      </c>
      <c r="J81" s="19">
        <v>1.0</v>
      </c>
      <c r="K81" s="19">
        <v>8.0</v>
      </c>
      <c r="L81" s="19">
        <v>6.0</v>
      </c>
      <c r="M81" s="19">
        <v>3.0</v>
      </c>
      <c r="N81" s="19">
        <v>3.0</v>
      </c>
      <c r="O81" s="19">
        <v>1.0</v>
      </c>
      <c r="P81" s="19">
        <v>1.0</v>
      </c>
      <c r="Q81" s="19">
        <v>1.0</v>
      </c>
      <c r="R81" s="19">
        <v>4.0</v>
      </c>
      <c r="S81" s="19">
        <v>1.0</v>
      </c>
      <c r="T81" s="19">
        <v>0.0</v>
      </c>
      <c r="U81" s="19">
        <v>0.0</v>
      </c>
      <c r="V81" s="19">
        <v>0.0</v>
      </c>
      <c r="W81" s="13">
        <f t="shared" ref="W81:W88" si="20">SUM(E81:V81)</f>
        <v>42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1.0</v>
      </c>
      <c r="F82" s="19">
        <v>4.0</v>
      </c>
      <c r="G82" s="19">
        <v>3.0</v>
      </c>
      <c r="H82" s="19">
        <v>17.0</v>
      </c>
      <c r="I82" s="19">
        <v>17.0</v>
      </c>
      <c r="J82" s="19">
        <v>22.0</v>
      </c>
      <c r="K82" s="19">
        <v>95.0</v>
      </c>
      <c r="L82" s="19">
        <v>17.0</v>
      </c>
      <c r="M82" s="19">
        <v>11.0</v>
      </c>
      <c r="N82" s="19">
        <v>2.0</v>
      </c>
      <c r="O82" s="19">
        <v>1.0</v>
      </c>
      <c r="P82" s="19">
        <v>3.0</v>
      </c>
      <c r="Q82" s="19">
        <v>3.0</v>
      </c>
      <c r="R82" s="19">
        <v>0.0</v>
      </c>
      <c r="S82" s="19">
        <v>1.0</v>
      </c>
      <c r="T82" s="19">
        <v>1.0</v>
      </c>
      <c r="U82" s="19">
        <v>3.0</v>
      </c>
      <c r="V82" s="19">
        <v>6.0</v>
      </c>
      <c r="W82" s="13">
        <f t="shared" si="20"/>
        <v>207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8.0</v>
      </c>
      <c r="G83" s="19">
        <v>4.0</v>
      </c>
      <c r="H83" s="19">
        <v>6.0</v>
      </c>
      <c r="I83" s="19">
        <v>19.0</v>
      </c>
      <c r="J83" s="19">
        <v>7.0</v>
      </c>
      <c r="K83" s="19">
        <v>3.0</v>
      </c>
      <c r="L83" s="19">
        <v>9.0</v>
      </c>
      <c r="M83" s="19">
        <v>8.0</v>
      </c>
      <c r="N83" s="19">
        <v>9.0</v>
      </c>
      <c r="O83" s="19">
        <v>15.0</v>
      </c>
      <c r="P83" s="19">
        <v>2.0</v>
      </c>
      <c r="Q83" s="19">
        <v>1.0</v>
      </c>
      <c r="R83" s="19">
        <v>1.0</v>
      </c>
      <c r="S83" s="19">
        <v>1.0</v>
      </c>
      <c r="T83" s="19">
        <v>3.0</v>
      </c>
      <c r="U83" s="19">
        <v>2.0</v>
      </c>
      <c r="V83" s="19">
        <v>2.0</v>
      </c>
      <c r="W83" s="13">
        <f t="shared" si="20"/>
        <v>102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2.0</v>
      </c>
      <c r="K84" s="19">
        <v>0.0</v>
      </c>
      <c r="L84" s="19">
        <v>2.0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2.0</v>
      </c>
      <c r="V84" s="19">
        <v>0.0</v>
      </c>
      <c r="W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1.0</v>
      </c>
      <c r="I85" s="19">
        <v>0.0</v>
      </c>
      <c r="J85" s="19">
        <v>1.0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1.0</v>
      </c>
      <c r="W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11.0</v>
      </c>
      <c r="J86" s="19">
        <v>1.0</v>
      </c>
      <c r="K86" s="19">
        <v>5.0</v>
      </c>
      <c r="L86" s="19">
        <v>7.0</v>
      </c>
      <c r="M86" s="19">
        <v>11.0</v>
      </c>
      <c r="N86" s="19">
        <v>3.0</v>
      </c>
      <c r="O86" s="19">
        <v>0.0</v>
      </c>
      <c r="P86" s="19">
        <v>0.0</v>
      </c>
      <c r="Q86" s="19">
        <v>0.0</v>
      </c>
      <c r="R86" s="19">
        <v>0.0</v>
      </c>
      <c r="S86" s="19">
        <v>1.0</v>
      </c>
      <c r="T86" s="19">
        <v>3.0</v>
      </c>
      <c r="U86" s="19">
        <v>0.0</v>
      </c>
      <c r="V86" s="19">
        <v>0.0</v>
      </c>
      <c r="W86" s="13">
        <f t="shared" si="20"/>
        <v>43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2.0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3">
        <f t="shared" si="20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V91" si="21">SUM(E81:E88)</f>
        <v>8</v>
      </c>
      <c r="F91" s="13">
        <f t="shared" si="21"/>
        <v>15</v>
      </c>
      <c r="G91" s="13">
        <f t="shared" si="21"/>
        <v>7</v>
      </c>
      <c r="H91" s="13">
        <f t="shared" si="21"/>
        <v>25</v>
      </c>
      <c r="I91" s="13">
        <f t="shared" si="21"/>
        <v>55</v>
      </c>
      <c r="J91" s="13">
        <f t="shared" si="21"/>
        <v>34</v>
      </c>
      <c r="K91" s="13">
        <f t="shared" si="21"/>
        <v>112</v>
      </c>
      <c r="L91" s="13">
        <f t="shared" si="21"/>
        <v>41</v>
      </c>
      <c r="M91" s="13">
        <f t="shared" si="21"/>
        <v>33</v>
      </c>
      <c r="N91" s="13">
        <f t="shared" si="21"/>
        <v>19</v>
      </c>
      <c r="O91" s="13">
        <f t="shared" si="21"/>
        <v>17</v>
      </c>
      <c r="P91" s="13">
        <f t="shared" si="21"/>
        <v>6</v>
      </c>
      <c r="Q91" s="13">
        <f t="shared" si="21"/>
        <v>5</v>
      </c>
      <c r="R91" s="13">
        <f t="shared" si="21"/>
        <v>5</v>
      </c>
      <c r="S91" s="13">
        <f t="shared" si="21"/>
        <v>4</v>
      </c>
      <c r="T91" s="13">
        <f t="shared" si="21"/>
        <v>7</v>
      </c>
      <c r="U91" s="13">
        <f t="shared" si="21"/>
        <v>7</v>
      </c>
      <c r="V91" s="13">
        <f t="shared" si="21"/>
        <v>9</v>
      </c>
      <c r="W91" s="13">
        <f>SUM(E91:V91)</f>
        <v>409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2.0</v>
      </c>
      <c r="H93" s="19">
        <v>2.0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1.0</v>
      </c>
      <c r="P93" s="19">
        <v>0.0</v>
      </c>
      <c r="Q93" s="19">
        <v>1.0</v>
      </c>
      <c r="R93" s="19">
        <v>1.0</v>
      </c>
      <c r="S93" s="19">
        <v>0.0</v>
      </c>
      <c r="T93" s="19">
        <v>0.0</v>
      </c>
      <c r="U93" s="19">
        <v>0.0</v>
      </c>
      <c r="V93" s="19">
        <v>0.0</v>
      </c>
      <c r="W93" s="13">
        <f t="shared" ref="W93:W100" si="22">SUM(E93:V93)</f>
        <v>8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1.0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2.0</v>
      </c>
      <c r="R94" s="19">
        <v>0.0</v>
      </c>
      <c r="S94" s="19">
        <v>0.0</v>
      </c>
      <c r="T94" s="19">
        <v>1.0</v>
      </c>
      <c r="U94" s="19">
        <v>0.0</v>
      </c>
      <c r="V94" s="19">
        <v>0.0</v>
      </c>
      <c r="W94" s="13">
        <f t="shared" si="22"/>
        <v>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1.0</v>
      </c>
      <c r="G95" s="19">
        <v>3.0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2.0</v>
      </c>
      <c r="P95" s="19">
        <v>1.0</v>
      </c>
      <c r="Q95" s="19">
        <v>0.0</v>
      </c>
      <c r="R95" s="19">
        <v>0.0</v>
      </c>
      <c r="S95" s="19">
        <v>0.0</v>
      </c>
      <c r="T95" s="19">
        <v>0.0</v>
      </c>
      <c r="U95" s="19">
        <v>1.0</v>
      </c>
      <c r="V95" s="19">
        <v>0.0</v>
      </c>
      <c r="W95" s="13">
        <f t="shared" si="22"/>
        <v>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4.0</v>
      </c>
      <c r="H97" s="19">
        <v>0.0</v>
      </c>
      <c r="I97" s="19">
        <v>2.0</v>
      </c>
      <c r="J97" s="19">
        <v>0.0</v>
      </c>
      <c r="K97" s="19">
        <v>2.0</v>
      </c>
      <c r="L97" s="19">
        <v>0.0</v>
      </c>
      <c r="M97" s="19">
        <v>1.0</v>
      </c>
      <c r="N97" s="19">
        <v>0.0</v>
      </c>
      <c r="O97" s="19">
        <v>2.0</v>
      </c>
      <c r="P97" s="19">
        <v>1.0</v>
      </c>
      <c r="Q97" s="19">
        <v>2.0</v>
      </c>
      <c r="R97" s="19">
        <v>1.0</v>
      </c>
      <c r="S97" s="19">
        <v>0.0</v>
      </c>
      <c r="T97" s="19">
        <v>0.0</v>
      </c>
      <c r="U97" s="19">
        <v>0.0</v>
      </c>
      <c r="V97" s="19">
        <v>4.0</v>
      </c>
      <c r="W97" s="13">
        <f t="shared" si="22"/>
        <v>21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2"/>
        <v>1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V103" si="23">SUM(E93:E100)</f>
        <v>2</v>
      </c>
      <c r="F103" s="13">
        <f t="shared" si="23"/>
        <v>2</v>
      </c>
      <c r="G103" s="13">
        <f t="shared" si="23"/>
        <v>12</v>
      </c>
      <c r="H103" s="13">
        <f t="shared" si="23"/>
        <v>3</v>
      </c>
      <c r="I103" s="13">
        <f t="shared" si="23"/>
        <v>2</v>
      </c>
      <c r="J103" s="13">
        <f t="shared" si="23"/>
        <v>1</v>
      </c>
      <c r="K103" s="13">
        <f t="shared" si="23"/>
        <v>2</v>
      </c>
      <c r="L103" s="13">
        <f t="shared" si="23"/>
        <v>0</v>
      </c>
      <c r="M103" s="13">
        <f t="shared" si="23"/>
        <v>1</v>
      </c>
      <c r="N103" s="13">
        <f t="shared" si="23"/>
        <v>1</v>
      </c>
      <c r="O103" s="13">
        <f t="shared" si="23"/>
        <v>6</v>
      </c>
      <c r="P103" s="13">
        <f t="shared" si="23"/>
        <v>3</v>
      </c>
      <c r="Q103" s="13">
        <f t="shared" si="23"/>
        <v>5</v>
      </c>
      <c r="R103" s="13">
        <f t="shared" si="23"/>
        <v>2</v>
      </c>
      <c r="S103" s="13">
        <f t="shared" si="23"/>
        <v>0</v>
      </c>
      <c r="T103" s="13">
        <f t="shared" si="23"/>
        <v>1</v>
      </c>
      <c r="U103" s="13">
        <f t="shared" si="23"/>
        <v>1</v>
      </c>
      <c r="V103" s="13">
        <f t="shared" si="23"/>
        <v>4</v>
      </c>
      <c r="W103" s="13">
        <f>SUM(E103:V103)</f>
        <v>48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2.0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3">
        <f t="shared" ref="W105:W112" si="24">SUM(E105:V105)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1.0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V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>SUM(E115:V115)</f>
        <v>12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1.0</v>
      </c>
      <c r="J117" s="19">
        <v>0.0</v>
      </c>
      <c r="K117" s="19">
        <v>1.0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2.0</v>
      </c>
      <c r="R117" s="19">
        <v>0.0</v>
      </c>
      <c r="S117" s="19">
        <v>1.0</v>
      </c>
      <c r="T117" s="19">
        <v>0.0</v>
      </c>
      <c r="U117" s="19">
        <v>0.0</v>
      </c>
      <c r="V117" s="19">
        <v>0.0</v>
      </c>
      <c r="W117" s="13">
        <f t="shared" ref="W117:W120" si="26">SUM(E117:V117)</f>
        <v>7</v>
      </c>
      <c r="X117" s="5"/>
      <c r="Y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3">
        <f t="shared" si="26"/>
        <v>1</v>
      </c>
      <c r="X118" s="5"/>
      <c r="Y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3">
        <f t="shared" si="26"/>
        <v>1</v>
      </c>
      <c r="X119" s="5"/>
      <c r="Y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1.0</v>
      </c>
      <c r="T120" s="19">
        <v>0.0</v>
      </c>
      <c r="U120" s="19">
        <v>0.0</v>
      </c>
      <c r="V120" s="19">
        <v>0.0</v>
      </c>
      <c r="W120" s="13">
        <f t="shared" si="26"/>
        <v>1</v>
      </c>
      <c r="X120" s="5"/>
      <c r="Y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74"/>
      <c r="X121" s="5"/>
      <c r="Y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74"/>
      <c r="X122" s="5"/>
      <c r="Y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74"/>
      <c r="X123" s="5"/>
      <c r="Y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74"/>
      <c r="X124" s="5"/>
      <c r="Y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74"/>
      <c r="X125" s="5"/>
      <c r="Y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74"/>
      <c r="X126" s="5"/>
      <c r="Y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V127" si="27">SUM(E117:E120)</f>
        <v>1</v>
      </c>
      <c r="F127" s="58">
        <f t="shared" si="27"/>
        <v>0</v>
      </c>
      <c r="G127" s="58">
        <f t="shared" si="27"/>
        <v>0</v>
      </c>
      <c r="H127" s="58">
        <f t="shared" si="27"/>
        <v>1</v>
      </c>
      <c r="I127" s="58">
        <f t="shared" si="27"/>
        <v>1</v>
      </c>
      <c r="J127" s="58">
        <f t="shared" si="27"/>
        <v>0</v>
      </c>
      <c r="K127" s="58">
        <f t="shared" si="27"/>
        <v>1</v>
      </c>
      <c r="L127" s="58">
        <f t="shared" si="27"/>
        <v>0</v>
      </c>
      <c r="M127" s="58">
        <f t="shared" si="27"/>
        <v>0</v>
      </c>
      <c r="N127" s="58">
        <f t="shared" si="27"/>
        <v>2</v>
      </c>
      <c r="O127" s="58">
        <f t="shared" si="27"/>
        <v>0</v>
      </c>
      <c r="P127" s="58">
        <f t="shared" si="27"/>
        <v>0</v>
      </c>
      <c r="Q127" s="58">
        <f t="shared" si="27"/>
        <v>2</v>
      </c>
      <c r="R127" s="58">
        <f t="shared" si="27"/>
        <v>0</v>
      </c>
      <c r="S127" s="58">
        <f t="shared" si="27"/>
        <v>2</v>
      </c>
      <c r="T127" s="58">
        <f t="shared" si="27"/>
        <v>0</v>
      </c>
      <c r="U127" s="58">
        <f t="shared" si="27"/>
        <v>0</v>
      </c>
      <c r="V127" s="58">
        <f t="shared" si="27"/>
        <v>0</v>
      </c>
      <c r="W127" s="13">
        <f>SUM(E127:V127)</f>
        <v>10</v>
      </c>
      <c r="X127" s="5"/>
      <c r="Y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5"/>
      <c r="Y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2.0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0.0</v>
      </c>
      <c r="O129" s="19">
        <v>1.0</v>
      </c>
      <c r="P129" s="19">
        <v>0.0</v>
      </c>
      <c r="Q129" s="19">
        <v>0.0</v>
      </c>
      <c r="R129" s="19">
        <v>0.0</v>
      </c>
      <c r="S129" s="19">
        <v>0.0</v>
      </c>
      <c r="T129" s="19">
        <v>1.0</v>
      </c>
      <c r="U129" s="19">
        <v>0.0</v>
      </c>
      <c r="V129" s="19">
        <v>0.0</v>
      </c>
      <c r="W129" s="13">
        <f t="shared" ref="W129:W136" si="28">SUM(E129:V129)</f>
        <v>5</v>
      </c>
      <c r="X129" s="5"/>
      <c r="Y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7.0</v>
      </c>
      <c r="H130" s="19">
        <v>9.0</v>
      </c>
      <c r="I130" s="19">
        <v>11.0</v>
      </c>
      <c r="J130" s="19">
        <v>13.0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1.0</v>
      </c>
      <c r="S130" s="19">
        <v>3.0</v>
      </c>
      <c r="T130" s="19">
        <v>0.0</v>
      </c>
      <c r="U130" s="19">
        <v>0.0</v>
      </c>
      <c r="V130" s="19">
        <v>0.0</v>
      </c>
      <c r="W130" s="13">
        <f t="shared" si="28"/>
        <v>44</v>
      </c>
      <c r="X130" s="1"/>
      <c r="Y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1.0</v>
      </c>
      <c r="Q131" s="19">
        <v>1.0</v>
      </c>
      <c r="R131" s="19">
        <v>1.0</v>
      </c>
      <c r="S131" s="19">
        <v>1.0</v>
      </c>
      <c r="T131" s="19">
        <v>0.0</v>
      </c>
      <c r="U131" s="19">
        <v>0.0</v>
      </c>
      <c r="V131" s="19">
        <v>0.0</v>
      </c>
      <c r="W131" s="13">
        <f t="shared" si="28"/>
        <v>4</v>
      </c>
      <c r="X131" s="52"/>
      <c r="Y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2.0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3">
        <f t="shared" si="28"/>
        <v>2</v>
      </c>
      <c r="X132" s="5"/>
      <c r="Y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3">
        <f t="shared" si="28"/>
        <v>1</v>
      </c>
      <c r="X133" s="5"/>
      <c r="Y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3">
        <f t="shared" si="28"/>
        <v>0</v>
      </c>
      <c r="X134" s="5"/>
      <c r="Y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3">
        <f t="shared" si="28"/>
        <v>0</v>
      </c>
      <c r="X135" s="5"/>
      <c r="Y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3">
        <f t="shared" si="28"/>
        <v>1</v>
      </c>
      <c r="X136" s="5"/>
      <c r="Y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74"/>
      <c r="X137" s="5"/>
      <c r="Y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74"/>
      <c r="X138" s="5"/>
      <c r="Y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V139" si="29">SUM(E129:E136)</f>
        <v>0</v>
      </c>
      <c r="F139" s="13">
        <f t="shared" si="29"/>
        <v>0</v>
      </c>
      <c r="G139" s="13">
        <f t="shared" si="29"/>
        <v>7</v>
      </c>
      <c r="H139" s="13">
        <f t="shared" si="29"/>
        <v>11</v>
      </c>
      <c r="I139" s="13">
        <f t="shared" si="29"/>
        <v>13</v>
      </c>
      <c r="J139" s="13">
        <f t="shared" si="29"/>
        <v>14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2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4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>SUM(E139:V139)</f>
        <v>57</v>
      </c>
      <c r="X139" s="5"/>
      <c r="Y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5"/>
      <c r="Y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3">
        <f t="shared" ref="W141:W148" si="30">SUM(E141:V141)</f>
        <v>0</v>
      </c>
      <c r="X141" s="1"/>
      <c r="Y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0"/>
        <v>0</v>
      </c>
      <c r="X142" s="52"/>
      <c r="Y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1.0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0"/>
        <v>1</v>
      </c>
      <c r="X143" s="5"/>
      <c r="Y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0"/>
        <v>0</v>
      </c>
      <c r="X144" s="5"/>
      <c r="Y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0"/>
        <v>0</v>
      </c>
      <c r="X145" s="5"/>
      <c r="Y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0"/>
        <v>0</v>
      </c>
      <c r="X146" s="5"/>
      <c r="Y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3">
        <f t="shared" si="30"/>
        <v>0</v>
      </c>
      <c r="X147" s="5"/>
      <c r="Y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0"/>
        <v>0</v>
      </c>
      <c r="X148" s="5"/>
      <c r="Y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74"/>
      <c r="X149" s="5"/>
      <c r="Y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74"/>
      <c r="X150" s="5"/>
      <c r="Y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V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>SUM(E151:V151)</f>
        <v>1</v>
      </c>
      <c r="X151" s="1"/>
      <c r="Y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13"/>
      <c r="X152" s="52"/>
      <c r="Y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3">
        <v>2.0</v>
      </c>
      <c r="X153" s="5"/>
      <c r="Y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v>1.0</v>
      </c>
      <c r="X154" s="5"/>
      <c r="Y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3">
        <f t="shared" ref="W155:W156" si="32">SUM(E156:V156)</f>
        <v>0</v>
      </c>
      <c r="X155" s="5"/>
      <c r="Y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2"/>
        <v>0</v>
      </c>
      <c r="X156" s="5"/>
      <c r="Y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>SUM(E163:V163)</f>
        <v>3</v>
      </c>
      <c r="X157" s="5"/>
      <c r="Y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74"/>
      <c r="X158" s="5"/>
      <c r="Y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74"/>
      <c r="X159" s="5"/>
      <c r="Y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74"/>
      <c r="X160" s="5"/>
      <c r="Y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74"/>
      <c r="X161" s="5"/>
      <c r="Y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74"/>
      <c r="X162" s="5"/>
      <c r="Y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V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>SUM(E164:V164)</f>
        <v>0</v>
      </c>
      <c r="X163" s="5"/>
      <c r="Y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5"/>
      <c r="Y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1.0</v>
      </c>
      <c r="U165" s="19">
        <v>0.0</v>
      </c>
      <c r="V165" s="19">
        <v>0.0</v>
      </c>
      <c r="W165" s="13">
        <f t="shared" ref="W165:W172" si="34">SUM(E165:V165)</f>
        <v>4</v>
      </c>
      <c r="X165" s="1"/>
      <c r="Y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1.0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3">
        <f t="shared" si="34"/>
        <v>2</v>
      </c>
      <c r="X166" s="52"/>
      <c r="Y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3">
        <f t="shared" si="34"/>
        <v>1</v>
      </c>
      <c r="X167" s="5"/>
      <c r="Y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4"/>
        <v>0</v>
      </c>
      <c r="X168" s="5"/>
      <c r="Y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4"/>
        <v>0</v>
      </c>
      <c r="X169" s="5"/>
      <c r="Y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4"/>
        <v>0</v>
      </c>
      <c r="X170" s="5"/>
      <c r="Y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4"/>
        <v>0</v>
      </c>
      <c r="X171" s="5"/>
      <c r="Y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4"/>
        <v>0</v>
      </c>
      <c r="X172" s="5"/>
      <c r="Y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74"/>
      <c r="X173" s="5"/>
      <c r="Y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74"/>
      <c r="X174" s="5"/>
      <c r="Y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V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>SUM(E175:V175)</f>
        <v>7</v>
      </c>
      <c r="X175" s="5"/>
      <c r="Y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1"/>
      <c r="Y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2.0</v>
      </c>
      <c r="S177" s="19">
        <v>0.0</v>
      </c>
      <c r="T177" s="19">
        <v>0.0</v>
      </c>
      <c r="U177" s="19">
        <v>0.0</v>
      </c>
      <c r="V177" s="19">
        <v>0.0</v>
      </c>
      <c r="W177" s="13">
        <f t="shared" ref="W177:W184" si="36">SUM(E177:V177)</f>
        <v>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3">
        <f t="shared" si="36"/>
        <v>1</v>
      </c>
      <c r="X178" s="5"/>
      <c r="Y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1.0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3">
        <f t="shared" si="36"/>
        <v>3</v>
      </c>
      <c r="X179" s="5"/>
      <c r="Y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3">
        <f t="shared" si="36"/>
        <v>2</v>
      </c>
      <c r="X180" s="5"/>
      <c r="Y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36"/>
        <v>0</v>
      </c>
      <c r="X181" s="5"/>
      <c r="Y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3">
        <f t="shared" si="36"/>
        <v>0</v>
      </c>
      <c r="X182" s="5"/>
      <c r="Y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36"/>
        <v>0</v>
      </c>
      <c r="X183" s="5"/>
      <c r="Y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3">
        <f t="shared" si="36"/>
        <v>0</v>
      </c>
      <c r="X184" s="5"/>
      <c r="Y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74"/>
      <c r="X185" s="5"/>
      <c r="Y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74"/>
      <c r="X186" s="5"/>
      <c r="Y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V187" si="37">SUM(E177:E184)</f>
        <v>1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0</v>
      </c>
      <c r="J187" s="13">
        <f t="shared" si="37"/>
        <v>1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1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2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>SUM(E187:V187)</f>
        <v>9</v>
      </c>
      <c r="X187" s="1"/>
      <c r="Y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3">
        <f t="shared" ref="W189:W196" si="38">SUM(E189:V189)</f>
        <v>3</v>
      </c>
      <c r="X189" s="5"/>
      <c r="Y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3">
        <f t="shared" si="38"/>
        <v>0</v>
      </c>
      <c r="X190" s="5"/>
      <c r="Y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38"/>
        <v>0</v>
      </c>
      <c r="X191" s="5"/>
      <c r="Y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38"/>
        <v>0</v>
      </c>
      <c r="X192" s="5"/>
      <c r="Y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38"/>
        <v>0</v>
      </c>
      <c r="X193" s="5"/>
      <c r="Y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38"/>
        <v>0</v>
      </c>
      <c r="X194" s="5"/>
      <c r="Y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38"/>
        <v>0</v>
      </c>
      <c r="X195" s="5"/>
      <c r="Y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38"/>
        <v>0</v>
      </c>
      <c r="X196" s="1"/>
      <c r="Y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74"/>
      <c r="X197" s="1"/>
      <c r="Y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74"/>
      <c r="X198" s="1"/>
      <c r="Y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V199" si="39">SUM(E189:E196)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>SUM(E199:V199)</f>
        <v>3</v>
      </c>
      <c r="X199" s="52"/>
      <c r="Y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5"/>
      <c r="Y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7.0</v>
      </c>
      <c r="F201" s="19">
        <v>3.0</v>
      </c>
      <c r="G201" s="19">
        <v>8.0</v>
      </c>
      <c r="H201" s="19">
        <v>9.0</v>
      </c>
      <c r="I201" s="19">
        <v>8.0</v>
      </c>
      <c r="J201" s="19">
        <v>20.0</v>
      </c>
      <c r="K201" s="19">
        <v>2.0</v>
      </c>
      <c r="L201" s="19">
        <v>7.0</v>
      </c>
      <c r="M201" s="19">
        <v>4.0</v>
      </c>
      <c r="N201" s="19">
        <v>2.0</v>
      </c>
      <c r="O201" s="19">
        <v>11.0</v>
      </c>
      <c r="P201" s="19">
        <v>3.0</v>
      </c>
      <c r="Q201" s="19">
        <v>3.0</v>
      </c>
      <c r="R201" s="19">
        <v>20.0</v>
      </c>
      <c r="S201" s="19">
        <v>5.0</v>
      </c>
      <c r="T201" s="19">
        <v>16.0</v>
      </c>
      <c r="U201" s="19">
        <v>17.0</v>
      </c>
      <c r="V201" s="19">
        <v>1.0</v>
      </c>
      <c r="W201" s="13">
        <f t="shared" ref="W201:W208" si="40">SUM(E201:V201)</f>
        <v>146</v>
      </c>
      <c r="X201" s="5"/>
      <c r="Y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6.0</v>
      </c>
      <c r="G202" s="19">
        <v>4.0</v>
      </c>
      <c r="H202" s="19">
        <v>9.0</v>
      </c>
      <c r="I202" s="19">
        <v>2.0</v>
      </c>
      <c r="J202" s="19">
        <v>36.0</v>
      </c>
      <c r="K202" s="19">
        <v>10.0</v>
      </c>
      <c r="L202" s="19">
        <v>7.0</v>
      </c>
      <c r="M202" s="19">
        <v>18.0</v>
      </c>
      <c r="N202" s="19">
        <v>1.0</v>
      </c>
      <c r="O202" s="19">
        <v>6.0</v>
      </c>
      <c r="P202" s="19">
        <v>9.0</v>
      </c>
      <c r="Q202" s="19">
        <v>6.0</v>
      </c>
      <c r="R202" s="19">
        <v>10.0</v>
      </c>
      <c r="S202" s="19">
        <v>9.0</v>
      </c>
      <c r="T202" s="19">
        <v>15.0</v>
      </c>
      <c r="U202" s="19">
        <v>16.0</v>
      </c>
      <c r="V202" s="19">
        <v>6.0</v>
      </c>
      <c r="W202" s="13">
        <f t="shared" si="40"/>
        <v>172</v>
      </c>
      <c r="X202" s="5"/>
      <c r="Y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3.0</v>
      </c>
      <c r="G203" s="19">
        <v>1.0</v>
      </c>
      <c r="H203" s="19">
        <v>0.0</v>
      </c>
      <c r="I203" s="19">
        <v>1.0</v>
      </c>
      <c r="J203" s="19">
        <v>4.0</v>
      </c>
      <c r="K203" s="19">
        <v>0.0</v>
      </c>
      <c r="L203" s="19">
        <v>3.0</v>
      </c>
      <c r="M203" s="19">
        <v>1.0</v>
      </c>
      <c r="N203" s="19">
        <v>4.0</v>
      </c>
      <c r="O203" s="19">
        <v>1.0</v>
      </c>
      <c r="P203" s="19">
        <v>2.0</v>
      </c>
      <c r="Q203" s="19">
        <v>0.0</v>
      </c>
      <c r="R203" s="19">
        <v>2.0</v>
      </c>
      <c r="S203" s="19">
        <v>0.0</v>
      </c>
      <c r="T203" s="19">
        <v>5.0</v>
      </c>
      <c r="U203" s="19">
        <v>1.0</v>
      </c>
      <c r="V203" s="19">
        <v>3.0</v>
      </c>
      <c r="W203" s="13">
        <f t="shared" si="40"/>
        <v>33</v>
      </c>
      <c r="X203" s="5"/>
      <c r="Y203" s="5"/>
    </row>
    <row r="204" ht="12.75" customHeight="1">
      <c r="A204" s="18"/>
      <c r="B204" s="55">
        <v>3.0</v>
      </c>
      <c r="C204" s="50" t="s">
        <v>150</v>
      </c>
      <c r="D204" s="57"/>
      <c r="E204" s="19">
        <v>4.0</v>
      </c>
      <c r="F204" s="19">
        <v>3.0</v>
      </c>
      <c r="G204" s="19">
        <v>2.0</v>
      </c>
      <c r="H204" s="19">
        <v>2.0</v>
      </c>
      <c r="I204" s="19">
        <v>0.0</v>
      </c>
      <c r="J204" s="19">
        <v>2.0</v>
      </c>
      <c r="K204" s="19">
        <v>2.0</v>
      </c>
      <c r="L204" s="19">
        <v>9.0</v>
      </c>
      <c r="M204" s="19">
        <v>6.0</v>
      </c>
      <c r="N204" s="19">
        <v>1.0</v>
      </c>
      <c r="O204" s="19">
        <v>3.0</v>
      </c>
      <c r="P204" s="19">
        <v>5.0</v>
      </c>
      <c r="Q204" s="19">
        <v>2.0</v>
      </c>
      <c r="R204" s="19">
        <v>8.0</v>
      </c>
      <c r="S204" s="19">
        <v>5.0</v>
      </c>
      <c r="T204" s="19">
        <v>12.0</v>
      </c>
      <c r="U204" s="19">
        <v>7.0</v>
      </c>
      <c r="V204" s="19">
        <v>2.0</v>
      </c>
      <c r="W204" s="13">
        <f t="shared" si="40"/>
        <v>75</v>
      </c>
      <c r="X204" s="5"/>
      <c r="Y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2.0</v>
      </c>
      <c r="G205" s="19">
        <v>1.0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0.0</v>
      </c>
      <c r="N205" s="19">
        <v>2.0</v>
      </c>
      <c r="O205" s="19">
        <v>2.0</v>
      </c>
      <c r="P205" s="19">
        <v>0.0</v>
      </c>
      <c r="Q205" s="19">
        <v>1.0</v>
      </c>
      <c r="R205" s="19">
        <v>2.0</v>
      </c>
      <c r="S205" s="19">
        <v>1.0</v>
      </c>
      <c r="T205" s="19">
        <v>2.0</v>
      </c>
      <c r="U205" s="19">
        <v>2.0</v>
      </c>
      <c r="V205" s="19">
        <v>1.0</v>
      </c>
      <c r="W205" s="13">
        <f t="shared" si="40"/>
        <v>18</v>
      </c>
      <c r="X205" s="5"/>
      <c r="Y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0.0</v>
      </c>
      <c r="W206" s="13">
        <f t="shared" si="40"/>
        <v>4</v>
      </c>
      <c r="X206" s="5"/>
      <c r="Y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2.0</v>
      </c>
      <c r="V207" s="19">
        <v>0.0</v>
      </c>
      <c r="W207" s="13">
        <f t="shared" si="40"/>
        <v>3</v>
      </c>
      <c r="X207" s="1"/>
      <c r="Y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2.0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3">
        <f t="shared" si="40"/>
        <v>3</v>
      </c>
      <c r="X208" s="52"/>
      <c r="Y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74"/>
      <c r="X209" s="52"/>
      <c r="Y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74"/>
      <c r="X210" s="52"/>
      <c r="Y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V211" si="41">SUM(E201:E208)</f>
        <v>15</v>
      </c>
      <c r="F211" s="13">
        <f t="shared" si="41"/>
        <v>17</v>
      </c>
      <c r="G211" s="13">
        <f t="shared" si="41"/>
        <v>16</v>
      </c>
      <c r="H211" s="13">
        <f t="shared" si="41"/>
        <v>20</v>
      </c>
      <c r="I211" s="13">
        <f t="shared" si="41"/>
        <v>14</v>
      </c>
      <c r="J211" s="13">
        <f t="shared" si="41"/>
        <v>64</v>
      </c>
      <c r="K211" s="13">
        <f t="shared" si="41"/>
        <v>14</v>
      </c>
      <c r="L211" s="13">
        <f t="shared" si="41"/>
        <v>27</v>
      </c>
      <c r="M211" s="13">
        <f t="shared" si="41"/>
        <v>29</v>
      </c>
      <c r="N211" s="13">
        <f t="shared" si="41"/>
        <v>11</v>
      </c>
      <c r="O211" s="13">
        <f t="shared" si="41"/>
        <v>23</v>
      </c>
      <c r="P211" s="13">
        <f t="shared" si="41"/>
        <v>19</v>
      </c>
      <c r="Q211" s="13">
        <f t="shared" si="41"/>
        <v>12</v>
      </c>
      <c r="R211" s="13">
        <f t="shared" si="41"/>
        <v>43</v>
      </c>
      <c r="S211" s="13">
        <f t="shared" si="41"/>
        <v>20</v>
      </c>
      <c r="T211" s="13">
        <f t="shared" si="41"/>
        <v>51</v>
      </c>
      <c r="U211" s="13">
        <f t="shared" si="41"/>
        <v>45</v>
      </c>
      <c r="V211" s="13">
        <f t="shared" si="41"/>
        <v>14</v>
      </c>
      <c r="W211" s="13">
        <f>SUM(E211:V211)</f>
        <v>454</v>
      </c>
      <c r="X211" s="5"/>
      <c r="Y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5"/>
      <c r="Y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1.0</v>
      </c>
      <c r="H213" s="19">
        <v>0.0</v>
      </c>
      <c r="I213" s="19">
        <v>1.0</v>
      </c>
      <c r="J213" s="19">
        <v>0.0</v>
      </c>
      <c r="K213" s="19">
        <v>0.0</v>
      </c>
      <c r="L213" s="19">
        <v>1.0</v>
      </c>
      <c r="M213" s="19">
        <v>0.0</v>
      </c>
      <c r="N213" s="19">
        <v>1.0</v>
      </c>
      <c r="O213" s="19">
        <v>2.0</v>
      </c>
      <c r="P213" s="19">
        <v>0.0</v>
      </c>
      <c r="Q213" s="19">
        <v>4.0</v>
      </c>
      <c r="R213" s="19">
        <v>2.0</v>
      </c>
      <c r="S213" s="19">
        <v>0.0</v>
      </c>
      <c r="T213" s="19">
        <v>1.0</v>
      </c>
      <c r="U213" s="19">
        <v>3.0</v>
      </c>
      <c r="V213" s="19">
        <v>1.0</v>
      </c>
      <c r="W213" s="13">
        <f t="shared" ref="W213:W220" si="42">SUM(E213:V213)</f>
        <v>20</v>
      </c>
      <c r="X213" s="5"/>
      <c r="Y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2.0</v>
      </c>
      <c r="H214" s="19">
        <v>0.0</v>
      </c>
      <c r="I214" s="19">
        <v>0.0</v>
      </c>
      <c r="J214" s="19">
        <v>0.0</v>
      </c>
      <c r="K214" s="19">
        <v>0.0</v>
      </c>
      <c r="L214" s="19">
        <v>1.0</v>
      </c>
      <c r="M214" s="19">
        <v>1.0</v>
      </c>
      <c r="N214" s="19">
        <v>0.0</v>
      </c>
      <c r="O214" s="19">
        <v>1.0</v>
      </c>
      <c r="P214" s="19">
        <v>0.0</v>
      </c>
      <c r="Q214" s="19">
        <v>2.0</v>
      </c>
      <c r="R214" s="19">
        <v>0.0</v>
      </c>
      <c r="S214" s="19">
        <v>0.0</v>
      </c>
      <c r="T214" s="19">
        <v>0.0</v>
      </c>
      <c r="U214" s="19">
        <v>1.0</v>
      </c>
      <c r="V214" s="19">
        <v>2.0</v>
      </c>
      <c r="W214" s="13">
        <f t="shared" si="42"/>
        <v>11</v>
      </c>
      <c r="X214" s="5"/>
      <c r="Y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14.0</v>
      </c>
      <c r="F215" s="19">
        <v>36.0</v>
      </c>
      <c r="G215" s="19">
        <v>6.0</v>
      </c>
      <c r="H215" s="19">
        <v>7.0</v>
      </c>
      <c r="I215" s="19">
        <v>1.0</v>
      </c>
      <c r="J215" s="19">
        <v>5.0</v>
      </c>
      <c r="K215" s="19">
        <v>1.0</v>
      </c>
      <c r="L215" s="19">
        <v>29.0</v>
      </c>
      <c r="M215" s="19">
        <v>61.0</v>
      </c>
      <c r="N215" s="19">
        <v>2.0</v>
      </c>
      <c r="O215" s="19">
        <v>17.0</v>
      </c>
      <c r="P215" s="19">
        <v>8.0</v>
      </c>
      <c r="Q215" s="19">
        <v>5.0</v>
      </c>
      <c r="R215" s="19">
        <v>4.0</v>
      </c>
      <c r="S215" s="19">
        <v>4.0</v>
      </c>
      <c r="T215" s="19">
        <v>24.0</v>
      </c>
      <c r="U215" s="19">
        <v>14.0</v>
      </c>
      <c r="V215" s="19">
        <v>3.0</v>
      </c>
      <c r="W215" s="13">
        <f t="shared" si="42"/>
        <v>241</v>
      </c>
      <c r="X215" s="5"/>
      <c r="Y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1.0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1.0</v>
      </c>
      <c r="Q216" s="19">
        <v>1.0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3">
        <f t="shared" si="42"/>
        <v>5</v>
      </c>
      <c r="X216" s="5"/>
      <c r="Y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3">
        <f t="shared" si="42"/>
        <v>0</v>
      </c>
      <c r="X217" s="5"/>
      <c r="Y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1.0</v>
      </c>
      <c r="V218" s="19">
        <v>0.0</v>
      </c>
      <c r="W218" s="13">
        <f t="shared" si="42"/>
        <v>3</v>
      </c>
      <c r="X218" s="1"/>
      <c r="Y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1.0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2"/>
        <v>1</v>
      </c>
      <c r="X219" s="52"/>
      <c r="Y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3">
        <f t="shared" si="42"/>
        <v>1</v>
      </c>
      <c r="X220" s="5"/>
      <c r="Y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74"/>
      <c r="X221" s="5"/>
      <c r="Y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74"/>
      <c r="X222" s="5"/>
      <c r="Y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V223" si="43">SUM(E213:E220)</f>
        <v>17</v>
      </c>
      <c r="F223" s="13">
        <f t="shared" si="43"/>
        <v>39</v>
      </c>
      <c r="G223" s="13">
        <f t="shared" si="43"/>
        <v>10</v>
      </c>
      <c r="H223" s="13">
        <f t="shared" si="43"/>
        <v>7</v>
      </c>
      <c r="I223" s="13">
        <f t="shared" si="43"/>
        <v>2</v>
      </c>
      <c r="J223" s="13">
        <f t="shared" si="43"/>
        <v>5</v>
      </c>
      <c r="K223" s="13">
        <f t="shared" si="43"/>
        <v>1</v>
      </c>
      <c r="L223" s="13">
        <f t="shared" si="43"/>
        <v>31</v>
      </c>
      <c r="M223" s="13">
        <f t="shared" si="43"/>
        <v>63</v>
      </c>
      <c r="N223" s="13">
        <f t="shared" si="43"/>
        <v>3</v>
      </c>
      <c r="O223" s="13">
        <f t="shared" si="43"/>
        <v>20</v>
      </c>
      <c r="P223" s="13">
        <f t="shared" si="43"/>
        <v>10</v>
      </c>
      <c r="Q223" s="13">
        <f t="shared" si="43"/>
        <v>13</v>
      </c>
      <c r="R223" s="13">
        <f t="shared" si="43"/>
        <v>6</v>
      </c>
      <c r="S223" s="13">
        <f t="shared" si="43"/>
        <v>4</v>
      </c>
      <c r="T223" s="13">
        <f t="shared" si="43"/>
        <v>26</v>
      </c>
      <c r="U223" s="13">
        <f t="shared" si="43"/>
        <v>19</v>
      </c>
      <c r="V223" s="13">
        <f t="shared" si="43"/>
        <v>6</v>
      </c>
      <c r="W223" s="13">
        <f>SUM(E223:V223)</f>
        <v>282</v>
      </c>
      <c r="X223" s="5"/>
      <c r="Y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5"/>
      <c r="Y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3">
        <f t="shared" ref="W225:W232" si="44">SUM(E225:V225)</f>
        <v>0</v>
      </c>
      <c r="X225" s="5"/>
      <c r="Y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3.0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3">
        <f t="shared" si="44"/>
        <v>4</v>
      </c>
      <c r="X226" s="5"/>
      <c r="Y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3">
        <f t="shared" si="44"/>
        <v>0</v>
      </c>
      <c r="X227" s="5"/>
      <c r="Y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4"/>
        <v>0</v>
      </c>
      <c r="X228" s="5"/>
      <c r="Y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4"/>
        <v>0</v>
      </c>
      <c r="X229" s="1"/>
      <c r="Y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1.0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4"/>
        <v>1</v>
      </c>
      <c r="X230" s="52"/>
      <c r="Y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1.0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4"/>
        <v>1</v>
      </c>
      <c r="X231" s="5"/>
      <c r="Y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1.0</v>
      </c>
      <c r="W232" s="13">
        <f t="shared" si="44"/>
        <v>2</v>
      </c>
      <c r="X232" s="5"/>
      <c r="Y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74"/>
      <c r="X233" s="5"/>
      <c r="Y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74"/>
      <c r="X234" s="5"/>
      <c r="Y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V235" si="45">SUM(E225:E232)</f>
        <v>0</v>
      </c>
      <c r="F235" s="13">
        <f t="shared" si="45"/>
        <v>0</v>
      </c>
      <c r="G235" s="13">
        <f t="shared" si="45"/>
        <v>2</v>
      </c>
      <c r="H235" s="13">
        <f t="shared" si="45"/>
        <v>3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5"/>
        <v>1</v>
      </c>
      <c r="W235" s="13">
        <f>SUM(E235:V235)</f>
        <v>8</v>
      </c>
      <c r="X235" s="5"/>
      <c r="Y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5"/>
      <c r="Y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1.0</v>
      </c>
      <c r="K237" s="19">
        <v>0.0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1.0</v>
      </c>
      <c r="S237" s="19">
        <v>1.0</v>
      </c>
      <c r="T237" s="19">
        <v>0.0</v>
      </c>
      <c r="U237" s="19">
        <v>0.0</v>
      </c>
      <c r="V237" s="19">
        <v>0.0</v>
      </c>
      <c r="W237" s="13">
        <f t="shared" ref="W237:W244" si="46">SUM(E237:V237)</f>
        <v>4</v>
      </c>
      <c r="X237" s="5"/>
      <c r="Y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2.0</v>
      </c>
      <c r="I238" s="19">
        <v>2.0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3">
        <f t="shared" si="46"/>
        <v>5</v>
      </c>
      <c r="X238" s="5"/>
      <c r="Y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10.0</v>
      </c>
      <c r="I239" s="19">
        <v>2.0</v>
      </c>
      <c r="J239" s="19">
        <v>1.0</v>
      </c>
      <c r="K239" s="19">
        <v>0.0</v>
      </c>
      <c r="L239" s="19">
        <v>3.0</v>
      </c>
      <c r="M239" s="19">
        <v>0.0</v>
      </c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1.0</v>
      </c>
      <c r="T239" s="19">
        <v>0.0</v>
      </c>
      <c r="U239" s="19">
        <v>0.0</v>
      </c>
      <c r="V239" s="19">
        <v>0.0</v>
      </c>
      <c r="W239" s="13">
        <f t="shared" si="46"/>
        <v>18</v>
      </c>
      <c r="X239" s="5"/>
      <c r="Y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3">
        <f t="shared" si="46"/>
        <v>1</v>
      </c>
      <c r="X240" s="1"/>
      <c r="Y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1.0</v>
      </c>
      <c r="T242" s="19">
        <v>0.0</v>
      </c>
      <c r="U242" s="19">
        <v>0.0</v>
      </c>
      <c r="V242" s="19">
        <v>0.0</v>
      </c>
      <c r="W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1.0</v>
      </c>
      <c r="Q244" s="19">
        <v>1.0</v>
      </c>
      <c r="R244" s="19">
        <v>0.0</v>
      </c>
      <c r="S244" s="19">
        <v>1.0</v>
      </c>
      <c r="T244" s="19">
        <v>0.0</v>
      </c>
      <c r="U244" s="19">
        <v>0.0</v>
      </c>
      <c r="V244" s="19">
        <v>3.0</v>
      </c>
      <c r="W244" s="13">
        <f t="shared" si="46"/>
        <v>8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V247" si="47">SUM(E237:E244)</f>
        <v>1</v>
      </c>
      <c r="F247" s="13">
        <f t="shared" si="47"/>
        <v>0</v>
      </c>
      <c r="G247" s="13">
        <f t="shared" si="47"/>
        <v>0</v>
      </c>
      <c r="H247" s="13">
        <f t="shared" si="47"/>
        <v>12</v>
      </c>
      <c r="I247" s="13">
        <f t="shared" si="47"/>
        <v>5</v>
      </c>
      <c r="J247" s="13">
        <f t="shared" si="47"/>
        <v>3</v>
      </c>
      <c r="K247" s="13">
        <f t="shared" si="47"/>
        <v>0</v>
      </c>
      <c r="L247" s="13">
        <f t="shared" si="47"/>
        <v>4</v>
      </c>
      <c r="M247" s="13">
        <f t="shared" si="47"/>
        <v>0</v>
      </c>
      <c r="N247" s="13">
        <f t="shared" si="47"/>
        <v>0</v>
      </c>
      <c r="O247" s="13">
        <f t="shared" si="47"/>
        <v>3</v>
      </c>
      <c r="P247" s="13">
        <f t="shared" si="47"/>
        <v>1</v>
      </c>
      <c r="Q247" s="13">
        <f t="shared" si="47"/>
        <v>1</v>
      </c>
      <c r="R247" s="13">
        <f t="shared" si="47"/>
        <v>1</v>
      </c>
      <c r="S247" s="13">
        <f t="shared" si="47"/>
        <v>4</v>
      </c>
      <c r="T247" s="13">
        <f t="shared" si="47"/>
        <v>0</v>
      </c>
      <c r="U247" s="13">
        <f t="shared" si="47"/>
        <v>0</v>
      </c>
      <c r="V247" s="13">
        <f t="shared" si="47"/>
        <v>3</v>
      </c>
      <c r="W247" s="13">
        <f>SUM(E247:V247)</f>
        <v>38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3.0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3">
        <f t="shared" ref="W249:W255" si="48">SUM(E249:V249)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V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4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>SUM(E259:V259)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V262" si="50">E55+E67+E79+E91+E103+E115+E127+E139+E151+E163+E175+E187+E199+E211+E223+E235+E247+E259</f>
        <v>196</v>
      </c>
      <c r="F262" s="19">
        <f t="shared" si="50"/>
        <v>173</v>
      </c>
      <c r="G262" s="19">
        <f t="shared" si="50"/>
        <v>184</v>
      </c>
      <c r="H262" s="19">
        <f t="shared" si="50"/>
        <v>195</v>
      </c>
      <c r="I262" s="19">
        <f t="shared" si="50"/>
        <v>180</v>
      </c>
      <c r="J262" s="19">
        <f t="shared" si="50"/>
        <v>190</v>
      </c>
      <c r="K262" s="19">
        <f t="shared" si="50"/>
        <v>198</v>
      </c>
      <c r="L262" s="19">
        <f t="shared" si="50"/>
        <v>203</v>
      </c>
      <c r="M262" s="19">
        <f t="shared" si="50"/>
        <v>222</v>
      </c>
      <c r="N262" s="19">
        <f t="shared" si="50"/>
        <v>161</v>
      </c>
      <c r="O262" s="19">
        <f t="shared" si="50"/>
        <v>179</v>
      </c>
      <c r="P262" s="19">
        <f t="shared" si="50"/>
        <v>152</v>
      </c>
      <c r="Q262" s="19">
        <f t="shared" si="50"/>
        <v>132</v>
      </c>
      <c r="R262" s="19">
        <f t="shared" si="50"/>
        <v>153</v>
      </c>
      <c r="S262" s="19">
        <f t="shared" si="50"/>
        <v>173</v>
      </c>
      <c r="T262" s="19">
        <f t="shared" si="50"/>
        <v>181</v>
      </c>
      <c r="U262" s="19">
        <f t="shared" si="50"/>
        <v>179</v>
      </c>
      <c r="V262" s="19">
        <f t="shared" si="50"/>
        <v>132</v>
      </c>
      <c r="W262" s="13">
        <f t="shared" ref="W262:W264" si="51">SUM(E262:V262)</f>
        <v>3183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46.0</v>
      </c>
      <c r="F263" s="19">
        <v>26.0</v>
      </c>
      <c r="G263" s="19">
        <v>31.0</v>
      </c>
      <c r="H263" s="19">
        <v>27.0</v>
      </c>
      <c r="I263" s="19">
        <v>15.0</v>
      </c>
      <c r="J263" s="19">
        <v>31.0</v>
      </c>
      <c r="K263" s="19">
        <v>19.0</v>
      </c>
      <c r="L263" s="19">
        <v>29.0</v>
      </c>
      <c r="M263" s="19">
        <v>12.0</v>
      </c>
      <c r="N263" s="19">
        <v>35.0</v>
      </c>
      <c r="O263" s="19">
        <v>45.0</v>
      </c>
      <c r="P263" s="19">
        <v>47.0</v>
      </c>
      <c r="Q263" s="19">
        <v>24.0</v>
      </c>
      <c r="R263" s="19">
        <v>27.0</v>
      </c>
      <c r="S263" s="19">
        <v>30.0</v>
      </c>
      <c r="T263" s="19">
        <v>17.0</v>
      </c>
      <c r="U263" s="19">
        <v>26.0</v>
      </c>
      <c r="V263" s="19">
        <v>41.0</v>
      </c>
      <c r="W263" s="13">
        <f t="shared" si="51"/>
        <v>528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V264" si="52">SUM(E262:E263)</f>
        <v>242</v>
      </c>
      <c r="F264" s="13">
        <f t="shared" si="52"/>
        <v>199</v>
      </c>
      <c r="G264" s="13">
        <f t="shared" si="52"/>
        <v>215</v>
      </c>
      <c r="H264" s="13">
        <f t="shared" si="52"/>
        <v>222</v>
      </c>
      <c r="I264" s="13">
        <f t="shared" si="52"/>
        <v>195</v>
      </c>
      <c r="J264" s="13">
        <f t="shared" si="52"/>
        <v>221</v>
      </c>
      <c r="K264" s="13">
        <f t="shared" si="52"/>
        <v>217</v>
      </c>
      <c r="L264" s="13">
        <f t="shared" si="52"/>
        <v>232</v>
      </c>
      <c r="M264" s="13">
        <f t="shared" si="52"/>
        <v>234</v>
      </c>
      <c r="N264" s="13">
        <f t="shared" si="52"/>
        <v>196</v>
      </c>
      <c r="O264" s="13">
        <f t="shared" si="52"/>
        <v>224</v>
      </c>
      <c r="P264" s="13">
        <f t="shared" si="52"/>
        <v>199</v>
      </c>
      <c r="Q264" s="13">
        <f t="shared" si="52"/>
        <v>156</v>
      </c>
      <c r="R264" s="13">
        <f t="shared" si="52"/>
        <v>180</v>
      </c>
      <c r="S264" s="13">
        <f t="shared" si="52"/>
        <v>203</v>
      </c>
      <c r="T264" s="13">
        <f t="shared" si="52"/>
        <v>198</v>
      </c>
      <c r="U264" s="13">
        <f t="shared" si="52"/>
        <v>205</v>
      </c>
      <c r="V264" s="13">
        <f t="shared" si="52"/>
        <v>173</v>
      </c>
      <c r="W264" s="13">
        <f t="shared" si="51"/>
        <v>3711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conditionalFormatting sqref="U34:V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144.0</v>
      </c>
      <c r="G14" s="19">
        <v>132.0</v>
      </c>
      <c r="H14" s="19">
        <v>135.0</v>
      </c>
      <c r="I14" s="19">
        <v>130.0</v>
      </c>
      <c r="J14" s="19">
        <v>127.0</v>
      </c>
      <c r="K14" s="19">
        <v>139.0</v>
      </c>
      <c r="L14" s="19">
        <v>150.0</v>
      </c>
      <c r="M14" s="19">
        <v>143.0</v>
      </c>
      <c r="N14" s="19">
        <v>116.0</v>
      </c>
      <c r="O14" s="19">
        <v>128.0</v>
      </c>
      <c r="P14" s="19">
        <v>110.0</v>
      </c>
      <c r="Q14" s="19">
        <v>120.0</v>
      </c>
      <c r="R14" s="19">
        <v>112.0</v>
      </c>
      <c r="S14" s="19">
        <v>110.0</v>
      </c>
      <c r="T14" s="19">
        <v>139.0</v>
      </c>
      <c r="U14" s="19">
        <v>131.0</v>
      </c>
      <c r="V14" s="19">
        <v>125.0</v>
      </c>
      <c r="W14" s="19">
        <v>127.0</v>
      </c>
      <c r="X14" s="19">
        <v>126.0</v>
      </c>
      <c r="Y14" s="19">
        <v>133.0</v>
      </c>
      <c r="Z14" s="13">
        <f t="shared" ref="Z14:Z16" si="1">SUM(E14:Y14)</f>
        <v>2708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142.0</v>
      </c>
      <c r="G15" s="19">
        <v>152.0</v>
      </c>
      <c r="H15" s="19">
        <v>150.0</v>
      </c>
      <c r="I15" s="19">
        <v>140.0</v>
      </c>
      <c r="J15" s="19">
        <v>133.0</v>
      </c>
      <c r="K15" s="19">
        <v>145.0</v>
      </c>
      <c r="L15" s="19">
        <v>139.0</v>
      </c>
      <c r="M15" s="19">
        <v>141.0</v>
      </c>
      <c r="N15" s="19">
        <v>125.0</v>
      </c>
      <c r="O15" s="19">
        <v>107.0</v>
      </c>
      <c r="P15" s="19">
        <v>133.0</v>
      </c>
      <c r="Q15" s="19">
        <v>124.0</v>
      </c>
      <c r="R15" s="19">
        <v>117.0</v>
      </c>
      <c r="S15" s="19">
        <v>115.0</v>
      </c>
      <c r="T15" s="19">
        <v>138.0</v>
      </c>
      <c r="U15" s="19">
        <v>144.0</v>
      </c>
      <c r="V15" s="19">
        <v>137.0</v>
      </c>
      <c r="W15" s="19">
        <v>140.0</v>
      </c>
      <c r="X15" s="19">
        <v>148.0</v>
      </c>
      <c r="Y15" s="19">
        <v>136.0</v>
      </c>
      <c r="Z15" s="13">
        <f t="shared" si="1"/>
        <v>2839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264</v>
      </c>
      <c r="F16" s="13">
        <f t="shared" si="2"/>
        <v>286</v>
      </c>
      <c r="G16" s="13">
        <f t="shared" si="2"/>
        <v>284</v>
      </c>
      <c r="H16" s="13">
        <f t="shared" si="2"/>
        <v>285</v>
      </c>
      <c r="I16" s="13">
        <f t="shared" si="2"/>
        <v>270</v>
      </c>
      <c r="J16" s="13">
        <f t="shared" si="2"/>
        <v>260</v>
      </c>
      <c r="K16" s="13">
        <f t="shared" si="2"/>
        <v>284</v>
      </c>
      <c r="L16" s="13">
        <f t="shared" si="2"/>
        <v>289</v>
      </c>
      <c r="M16" s="13">
        <f t="shared" si="2"/>
        <v>284</v>
      </c>
      <c r="N16" s="13">
        <f t="shared" si="2"/>
        <v>241</v>
      </c>
      <c r="O16" s="13">
        <f t="shared" si="2"/>
        <v>235</v>
      </c>
      <c r="P16" s="13">
        <f t="shared" si="2"/>
        <v>243</v>
      </c>
      <c r="Q16" s="13">
        <f t="shared" si="2"/>
        <v>244</v>
      </c>
      <c r="R16" s="13">
        <f t="shared" si="2"/>
        <v>229</v>
      </c>
      <c r="S16" s="13">
        <f t="shared" si="2"/>
        <v>225</v>
      </c>
      <c r="T16" s="13">
        <f t="shared" si="2"/>
        <v>277</v>
      </c>
      <c r="U16" s="13">
        <f t="shared" si="2"/>
        <v>275</v>
      </c>
      <c r="V16" s="13">
        <f t="shared" si="2"/>
        <v>262</v>
      </c>
      <c r="W16" s="13">
        <f t="shared" si="2"/>
        <v>267</v>
      </c>
      <c r="X16" s="13">
        <f t="shared" si="2"/>
        <v>274</v>
      </c>
      <c r="Y16" s="13">
        <f t="shared" si="2"/>
        <v>269</v>
      </c>
      <c r="Z16" s="13">
        <f t="shared" si="1"/>
        <v>5547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101.0</v>
      </c>
      <c r="G19" s="19">
        <v>106.0</v>
      </c>
      <c r="H19" s="19">
        <v>92.0</v>
      </c>
      <c r="I19" s="19">
        <v>99.0</v>
      </c>
      <c r="J19" s="19">
        <v>97.0</v>
      </c>
      <c r="K19" s="19">
        <v>96.0</v>
      </c>
      <c r="L19" s="19">
        <v>125.0</v>
      </c>
      <c r="M19" s="19">
        <v>112.0</v>
      </c>
      <c r="N19" s="19">
        <v>81.0</v>
      </c>
      <c r="O19" s="19">
        <v>88.0</v>
      </c>
      <c r="P19" s="19">
        <v>88.0</v>
      </c>
      <c r="Q19" s="19">
        <v>104.0</v>
      </c>
      <c r="R19" s="19">
        <v>95.0</v>
      </c>
      <c r="S19" s="19">
        <v>86.0</v>
      </c>
      <c r="T19" s="19">
        <v>98.0</v>
      </c>
      <c r="U19" s="19">
        <v>102.0</v>
      </c>
      <c r="V19" s="19">
        <v>100.0</v>
      </c>
      <c r="W19" s="19">
        <v>91.0</v>
      </c>
      <c r="X19" s="19">
        <v>105.0</v>
      </c>
      <c r="Y19" s="19">
        <v>90.0</v>
      </c>
      <c r="Z19" s="13">
        <f t="shared" ref="Z19:Z30" si="3">SUM(E19:Y19)</f>
        <v>2051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108.0</v>
      </c>
      <c r="G20" s="19">
        <v>128.0</v>
      </c>
      <c r="H20" s="19">
        <v>117.0</v>
      </c>
      <c r="I20" s="19">
        <v>119.0</v>
      </c>
      <c r="J20" s="19">
        <v>110.0</v>
      </c>
      <c r="K20" s="19">
        <v>128.0</v>
      </c>
      <c r="L20" s="19">
        <v>116.0</v>
      </c>
      <c r="M20" s="19">
        <v>122.0</v>
      </c>
      <c r="N20" s="19">
        <v>102.0</v>
      </c>
      <c r="O20" s="19">
        <v>88.0</v>
      </c>
      <c r="P20" s="19">
        <v>111.0</v>
      </c>
      <c r="Q20" s="19">
        <v>106.0</v>
      </c>
      <c r="R20" s="19">
        <v>93.0</v>
      </c>
      <c r="S20" s="19">
        <v>91.0</v>
      </c>
      <c r="T20" s="19">
        <v>113.0</v>
      </c>
      <c r="U20" s="19">
        <v>113.0</v>
      </c>
      <c r="V20" s="19">
        <v>112.0</v>
      </c>
      <c r="W20" s="19">
        <v>105.0</v>
      </c>
      <c r="X20" s="19">
        <v>127.0</v>
      </c>
      <c r="Y20" s="19">
        <v>107.0</v>
      </c>
      <c r="Z20" s="13">
        <f t="shared" si="3"/>
        <v>2321</v>
      </c>
    </row>
    <row r="21" ht="12.75" customHeight="1">
      <c r="A21" s="35"/>
      <c r="B21" s="28"/>
      <c r="C21" s="36"/>
      <c r="D21" s="13" t="s">
        <v>14</v>
      </c>
      <c r="E21" s="13">
        <v>200.0</v>
      </c>
      <c r="F21" s="13">
        <v>209.0</v>
      </c>
      <c r="G21" s="13">
        <v>234.0</v>
      </c>
      <c r="H21" s="13">
        <v>209.0</v>
      </c>
      <c r="I21" s="13">
        <v>218.0</v>
      </c>
      <c r="J21" s="13">
        <v>207.0</v>
      </c>
      <c r="K21" s="13">
        <v>224.0</v>
      </c>
      <c r="L21" s="13">
        <v>241.0</v>
      </c>
      <c r="M21" s="13">
        <v>234.0</v>
      </c>
      <c r="N21" s="13">
        <v>183.0</v>
      </c>
      <c r="O21" s="13">
        <v>176.0</v>
      </c>
      <c r="P21" s="13">
        <v>199.0</v>
      </c>
      <c r="Q21" s="13">
        <v>210.0</v>
      </c>
      <c r="R21" s="13">
        <v>188.0</v>
      </c>
      <c r="S21" s="13">
        <v>177.0</v>
      </c>
      <c r="T21" s="13">
        <v>211.0</v>
      </c>
      <c r="U21" s="13">
        <v>215.0</v>
      </c>
      <c r="V21" s="13">
        <v>212.0</v>
      </c>
      <c r="W21" s="13">
        <v>196.0</v>
      </c>
      <c r="X21" s="13">
        <v>232.0</v>
      </c>
      <c r="Y21" s="13">
        <v>197.0</v>
      </c>
      <c r="Z21" s="13">
        <f t="shared" si="3"/>
        <v>4372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1.0</v>
      </c>
      <c r="Z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1.0</v>
      </c>
      <c r="J24" s="13">
        <v>1.0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3">
        <v>2.0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1.0</v>
      </c>
      <c r="Z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1.0</v>
      </c>
      <c r="Y25" s="19">
        <v>0.0</v>
      </c>
      <c r="Z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1.0</v>
      </c>
      <c r="J26" s="19">
        <v>3.0</v>
      </c>
      <c r="K26" s="19">
        <v>2.0</v>
      </c>
      <c r="L26" s="19">
        <v>2.0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1.0</v>
      </c>
      <c r="G27" s="13">
        <v>0.0</v>
      </c>
      <c r="H27" s="13">
        <v>1.0</v>
      </c>
      <c r="I27" s="13">
        <v>1.0</v>
      </c>
      <c r="J27" s="13">
        <v>3.0</v>
      </c>
      <c r="K27" s="13">
        <v>3.0</v>
      </c>
      <c r="L27" s="13">
        <v>2.0</v>
      </c>
      <c r="M27" s="13">
        <v>1.0</v>
      </c>
      <c r="N27" s="13">
        <v>0.0</v>
      </c>
      <c r="O27" s="13">
        <v>0.0</v>
      </c>
      <c r="P27" s="13">
        <v>0.0</v>
      </c>
      <c r="Q27" s="13">
        <v>2.0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1.0</v>
      </c>
      <c r="Y27" s="13">
        <v>0.0</v>
      </c>
      <c r="Z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95.0</v>
      </c>
      <c r="F28" s="13">
        <v>102.0</v>
      </c>
      <c r="G28" s="13">
        <v>106.0</v>
      </c>
      <c r="H28" s="13">
        <v>92.0</v>
      </c>
      <c r="I28" s="13">
        <v>100.0</v>
      </c>
      <c r="J28" s="13">
        <v>97.0</v>
      </c>
      <c r="K28" s="13">
        <v>97.0</v>
      </c>
      <c r="L28" s="13">
        <v>125.0</v>
      </c>
      <c r="M28" s="13">
        <v>113.0</v>
      </c>
      <c r="N28" s="13">
        <v>81.0</v>
      </c>
      <c r="O28" s="13">
        <v>88.0</v>
      </c>
      <c r="P28" s="13">
        <v>88.0</v>
      </c>
      <c r="Q28" s="13">
        <v>106.0</v>
      </c>
      <c r="R28" s="13">
        <v>95.0</v>
      </c>
      <c r="S28" s="13">
        <v>86.0</v>
      </c>
      <c r="T28" s="13">
        <v>98.0</v>
      </c>
      <c r="U28" s="13">
        <v>102.0</v>
      </c>
      <c r="V28" s="13">
        <v>100.0</v>
      </c>
      <c r="W28" s="13">
        <v>91.0</v>
      </c>
      <c r="X28" s="13">
        <v>106.0</v>
      </c>
      <c r="Y28" s="13">
        <v>90.0</v>
      </c>
      <c r="Z28" s="13">
        <f t="shared" si="3"/>
        <v>2058</v>
      </c>
    </row>
    <row r="29" ht="12.75" customHeight="1">
      <c r="A29" s="35"/>
      <c r="B29" s="27"/>
      <c r="C29" s="34"/>
      <c r="D29" s="13" t="s">
        <v>13</v>
      </c>
      <c r="E29" s="13">
        <v>105.0</v>
      </c>
      <c r="F29" s="13">
        <v>108.0</v>
      </c>
      <c r="G29" s="13">
        <v>128.0</v>
      </c>
      <c r="H29" s="13">
        <v>118.0</v>
      </c>
      <c r="I29" s="13">
        <v>120.0</v>
      </c>
      <c r="J29" s="13">
        <v>114.0</v>
      </c>
      <c r="K29" s="13">
        <v>130.0</v>
      </c>
      <c r="L29" s="13">
        <v>118.0</v>
      </c>
      <c r="M29" s="13">
        <v>122.0</v>
      </c>
      <c r="N29" s="13">
        <v>102.0</v>
      </c>
      <c r="O29" s="13">
        <v>88.0</v>
      </c>
      <c r="P29" s="13">
        <v>112.0</v>
      </c>
      <c r="Q29" s="13">
        <v>108.0</v>
      </c>
      <c r="R29" s="13">
        <v>93.0</v>
      </c>
      <c r="S29" s="13">
        <v>91.0</v>
      </c>
      <c r="T29" s="13">
        <v>113.0</v>
      </c>
      <c r="U29" s="13">
        <v>113.0</v>
      </c>
      <c r="V29" s="13">
        <v>112.0</v>
      </c>
      <c r="W29" s="13">
        <v>105.0</v>
      </c>
      <c r="X29" s="13">
        <v>127.0</v>
      </c>
      <c r="Y29" s="13">
        <v>108.0</v>
      </c>
      <c r="Z29" s="13">
        <f t="shared" si="3"/>
        <v>2335</v>
      </c>
    </row>
    <row r="30" ht="12.75" customHeight="1">
      <c r="A30" s="35"/>
      <c r="B30" s="28"/>
      <c r="C30" s="36"/>
      <c r="D30" s="13" t="s">
        <v>14</v>
      </c>
      <c r="E30" s="13">
        <v>200.0</v>
      </c>
      <c r="F30" s="13">
        <v>210.0</v>
      </c>
      <c r="G30" s="13">
        <v>234.0</v>
      </c>
      <c r="H30" s="13">
        <v>210.0</v>
      </c>
      <c r="I30" s="13">
        <v>220.0</v>
      </c>
      <c r="J30" s="13">
        <v>211.0</v>
      </c>
      <c r="K30" s="13">
        <v>227.0</v>
      </c>
      <c r="L30" s="13">
        <v>243.0</v>
      </c>
      <c r="M30" s="13">
        <v>235.0</v>
      </c>
      <c r="N30" s="13">
        <v>183.0</v>
      </c>
      <c r="O30" s="13">
        <v>176.0</v>
      </c>
      <c r="P30" s="13">
        <v>200.0</v>
      </c>
      <c r="Q30" s="13">
        <v>214.0</v>
      </c>
      <c r="R30" s="13">
        <v>188.0</v>
      </c>
      <c r="S30" s="13">
        <v>177.0</v>
      </c>
      <c r="T30" s="13">
        <v>211.0</v>
      </c>
      <c r="U30" s="13">
        <v>215.0</v>
      </c>
      <c r="V30" s="13">
        <v>212.0</v>
      </c>
      <c r="W30" s="13">
        <v>196.0</v>
      </c>
      <c r="X30" s="13">
        <v>233.0</v>
      </c>
      <c r="Y30" s="13">
        <v>198.0</v>
      </c>
      <c r="Z30" s="13">
        <f t="shared" si="3"/>
        <v>4393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8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292.0</v>
      </c>
      <c r="G33" s="19">
        <v>290.0</v>
      </c>
      <c r="H33" s="19">
        <v>291.0</v>
      </c>
      <c r="I33" s="19">
        <v>276.0</v>
      </c>
      <c r="J33" s="19">
        <v>266.0</v>
      </c>
      <c r="K33" s="19">
        <v>290.0</v>
      </c>
      <c r="L33" s="19">
        <v>293.0</v>
      </c>
      <c r="M33" s="19">
        <v>290.0</v>
      </c>
      <c r="N33" s="19">
        <v>246.0</v>
      </c>
      <c r="O33" s="19">
        <v>240.0</v>
      </c>
      <c r="P33" s="19">
        <v>248.0</v>
      </c>
      <c r="Q33" s="19">
        <v>249.0</v>
      </c>
      <c r="R33" s="19">
        <v>234.0</v>
      </c>
      <c r="S33" s="19">
        <v>230.0</v>
      </c>
      <c r="T33" s="19">
        <v>283.0</v>
      </c>
      <c r="U33" s="19">
        <v>281.0</v>
      </c>
      <c r="V33" s="19">
        <v>268.0</v>
      </c>
      <c r="W33" s="19">
        <v>273.0</v>
      </c>
      <c r="X33" s="19">
        <v>280.0</v>
      </c>
      <c r="Y33" s="19">
        <v>275.0</v>
      </c>
      <c r="Z33" s="13">
        <f t="shared" ref="Z33:Z36" si="4">SUM(E33:Y33)</f>
        <v>5665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210.0</v>
      </c>
      <c r="G34" s="13">
        <v>234.0</v>
      </c>
      <c r="H34" s="13">
        <v>210.0</v>
      </c>
      <c r="I34" s="13">
        <v>220.0</v>
      </c>
      <c r="J34" s="13">
        <v>211.0</v>
      </c>
      <c r="K34" s="13">
        <v>227.0</v>
      </c>
      <c r="L34" s="13">
        <v>243.0</v>
      </c>
      <c r="M34" s="13">
        <v>235.0</v>
      </c>
      <c r="N34" s="13">
        <v>183.0</v>
      </c>
      <c r="O34" s="13">
        <v>176.0</v>
      </c>
      <c r="P34" s="13">
        <v>200.0</v>
      </c>
      <c r="Q34" s="13">
        <v>214.0</v>
      </c>
      <c r="R34" s="13">
        <v>188.0</v>
      </c>
      <c r="S34" s="13">
        <v>177.0</v>
      </c>
      <c r="T34" s="13">
        <v>211.0</v>
      </c>
      <c r="U34" s="13">
        <v>215.0</v>
      </c>
      <c r="V34" s="13">
        <v>212.0</v>
      </c>
      <c r="W34" s="13">
        <v>196.0</v>
      </c>
      <c r="X34" s="13">
        <v>233.0</v>
      </c>
      <c r="Y34" s="13">
        <v>198.0</v>
      </c>
      <c r="Z34" s="13">
        <f t="shared" si="4"/>
        <v>4393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3.0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3.0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3">
        <f t="shared" si="4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v>68.0</v>
      </c>
      <c r="F36" s="13">
        <v>82.0</v>
      </c>
      <c r="G36" s="13">
        <v>56.0</v>
      </c>
      <c r="H36" s="13">
        <v>81.0</v>
      </c>
      <c r="I36" s="13">
        <v>54.0</v>
      </c>
      <c r="J36" s="13">
        <v>55.0</v>
      </c>
      <c r="K36" s="13">
        <v>60.0</v>
      </c>
      <c r="L36" s="13">
        <v>50.0</v>
      </c>
      <c r="M36" s="13">
        <v>55.0</v>
      </c>
      <c r="N36" s="13">
        <v>63.0</v>
      </c>
      <c r="O36" s="13">
        <v>64.0</v>
      </c>
      <c r="P36" s="13">
        <v>48.0</v>
      </c>
      <c r="Q36" s="13">
        <v>35.0</v>
      </c>
      <c r="R36" s="13">
        <v>43.0</v>
      </c>
      <c r="S36" s="13">
        <v>53.0</v>
      </c>
      <c r="T36" s="13">
        <v>72.0</v>
      </c>
      <c r="U36" s="13">
        <v>66.0</v>
      </c>
      <c r="V36" s="13">
        <v>56.0</v>
      </c>
      <c r="W36" s="13">
        <v>77.0</v>
      </c>
      <c r="X36" s="13">
        <v>45.0</v>
      </c>
      <c r="Y36" s="13">
        <v>77.0</v>
      </c>
      <c r="Z36" s="13">
        <f t="shared" si="4"/>
        <v>1260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3">
        <f t="shared" ref="Z39:Z41" si="5">SUM(E39:Y39)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2.0</v>
      </c>
      <c r="L40" s="19">
        <v>1.0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3">
        <f t="shared" si="5"/>
        <v>6</v>
      </c>
    </row>
    <row r="41" ht="12.75" customHeight="1">
      <c r="A41" s="41"/>
      <c r="B41" s="44"/>
      <c r="C41" s="28"/>
      <c r="D41" s="13" t="s">
        <v>14</v>
      </c>
      <c r="E41" s="13">
        <v>0.0</v>
      </c>
      <c r="F41" s="13">
        <v>1.0</v>
      </c>
      <c r="G41" s="13">
        <v>1.0</v>
      </c>
      <c r="H41" s="13">
        <v>0.0</v>
      </c>
      <c r="I41" s="13">
        <v>0.0</v>
      </c>
      <c r="J41" s="13">
        <v>0.0</v>
      </c>
      <c r="K41" s="13">
        <v>2.0</v>
      </c>
      <c r="L41" s="13">
        <v>3.0</v>
      </c>
      <c r="M41" s="13">
        <v>0.0</v>
      </c>
      <c r="N41" s="13">
        <v>1.0</v>
      </c>
      <c r="O41" s="13">
        <v>0.0</v>
      </c>
      <c r="P41" s="13">
        <v>0.0</v>
      </c>
      <c r="Q41" s="13">
        <v>0.0</v>
      </c>
      <c r="R41" s="13">
        <v>0.0</v>
      </c>
      <c r="S41" s="13">
        <v>1.0</v>
      </c>
      <c r="T41" s="13">
        <f t="shared" ref="T41:Y41" si="6">SUM(T39:T40)</f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  <c r="X41" s="13">
        <f t="shared" si="6"/>
        <v>1</v>
      </c>
      <c r="Y41" s="13">
        <f t="shared" si="6"/>
        <v>0</v>
      </c>
      <c r="Z41" s="13">
        <f t="shared" si="5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12.0</v>
      </c>
      <c r="G45" s="19">
        <v>6.0</v>
      </c>
      <c r="H45" s="19">
        <v>7.0</v>
      </c>
      <c r="I45" s="19">
        <v>4.0</v>
      </c>
      <c r="J45" s="19">
        <v>7.0</v>
      </c>
      <c r="K45" s="19">
        <v>5.0</v>
      </c>
      <c r="L45" s="19">
        <v>10.0</v>
      </c>
      <c r="M45" s="19">
        <v>2.0</v>
      </c>
      <c r="N45" s="19">
        <v>4.0</v>
      </c>
      <c r="O45" s="19">
        <v>8.0</v>
      </c>
      <c r="P45" s="19">
        <v>3.0</v>
      </c>
      <c r="Q45" s="19">
        <v>5.0</v>
      </c>
      <c r="R45" s="19">
        <v>4.0</v>
      </c>
      <c r="S45" s="19">
        <v>2.0</v>
      </c>
      <c r="T45" s="19">
        <v>10.0</v>
      </c>
      <c r="U45" s="19">
        <v>2.0</v>
      </c>
      <c r="V45" s="19">
        <v>7.0</v>
      </c>
      <c r="W45" s="19">
        <v>10.0</v>
      </c>
      <c r="X45" s="19">
        <v>13.0</v>
      </c>
      <c r="Y45" s="19">
        <v>20.0</v>
      </c>
      <c r="Z45" s="13">
        <f t="shared" ref="Z45:Z52" si="7">SUM(E45:Y45)</f>
        <v>147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9.0</v>
      </c>
      <c r="G46" s="19">
        <v>12.0</v>
      </c>
      <c r="H46" s="19">
        <v>10.0</v>
      </c>
      <c r="I46" s="19">
        <v>14.0</v>
      </c>
      <c r="J46" s="19">
        <v>14.0</v>
      </c>
      <c r="K46" s="19">
        <v>14.0</v>
      </c>
      <c r="L46" s="19">
        <v>21.0</v>
      </c>
      <c r="M46" s="19">
        <v>37.0</v>
      </c>
      <c r="N46" s="19">
        <v>32.0</v>
      </c>
      <c r="O46" s="19">
        <v>4.0</v>
      </c>
      <c r="P46" s="19">
        <v>9.0</v>
      </c>
      <c r="Q46" s="19">
        <v>7.0</v>
      </c>
      <c r="R46" s="19">
        <v>12.0</v>
      </c>
      <c r="S46" s="19">
        <v>12.0</v>
      </c>
      <c r="T46" s="19">
        <v>14.0</v>
      </c>
      <c r="U46" s="19">
        <v>20.0</v>
      </c>
      <c r="V46" s="19">
        <v>29.0</v>
      </c>
      <c r="W46" s="19">
        <v>21.0</v>
      </c>
      <c r="X46" s="19">
        <v>33.0</v>
      </c>
      <c r="Y46" s="19">
        <v>34.0</v>
      </c>
      <c r="Z46" s="13">
        <f t="shared" si="7"/>
        <v>364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1.0</v>
      </c>
      <c r="H47" s="19">
        <v>2.0</v>
      </c>
      <c r="I47" s="19">
        <v>1.0</v>
      </c>
      <c r="J47" s="19">
        <v>1.0</v>
      </c>
      <c r="K47" s="19">
        <v>0.0</v>
      </c>
      <c r="L47" s="19">
        <v>1.0</v>
      </c>
      <c r="M47" s="19">
        <v>1.0</v>
      </c>
      <c r="N47" s="19">
        <v>2.0</v>
      </c>
      <c r="O47" s="19">
        <v>1.0</v>
      </c>
      <c r="P47" s="19">
        <v>2.0</v>
      </c>
      <c r="Q47" s="19">
        <v>3.0</v>
      </c>
      <c r="R47" s="19">
        <v>5.0</v>
      </c>
      <c r="S47" s="19">
        <v>8.0</v>
      </c>
      <c r="T47" s="19">
        <v>1.0</v>
      </c>
      <c r="U47" s="19">
        <v>1.0</v>
      </c>
      <c r="V47" s="19">
        <v>2.0</v>
      </c>
      <c r="W47" s="19">
        <v>4.0</v>
      </c>
      <c r="X47" s="19">
        <v>1.0</v>
      </c>
      <c r="Y47" s="19">
        <v>6.0</v>
      </c>
      <c r="Z47" s="13">
        <f t="shared" si="7"/>
        <v>44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2.0</v>
      </c>
      <c r="K48" s="19">
        <v>0.0</v>
      </c>
      <c r="L48" s="19">
        <v>2.0</v>
      </c>
      <c r="M48" s="19">
        <v>1.0</v>
      </c>
      <c r="N48" s="19">
        <v>0.0</v>
      </c>
      <c r="O48" s="19">
        <v>0.0</v>
      </c>
      <c r="P48" s="19">
        <v>3.0</v>
      </c>
      <c r="Q48" s="19">
        <v>1.0</v>
      </c>
      <c r="R48" s="19">
        <v>0.0</v>
      </c>
      <c r="S48" s="19">
        <v>1.0</v>
      </c>
      <c r="T48" s="19">
        <v>0.0</v>
      </c>
      <c r="U48" s="19">
        <v>1.0</v>
      </c>
      <c r="V48" s="19">
        <v>1.0</v>
      </c>
      <c r="W48" s="19">
        <v>1.0</v>
      </c>
      <c r="X48" s="19">
        <v>1.0</v>
      </c>
      <c r="Y48" s="19">
        <v>1.0</v>
      </c>
      <c r="Z48" s="13">
        <f t="shared" si="7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1.0</v>
      </c>
      <c r="J49" s="19">
        <v>0.0</v>
      </c>
      <c r="K49" s="19">
        <v>1.0</v>
      </c>
      <c r="L49" s="19">
        <v>0.0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1.0</v>
      </c>
      <c r="V49" s="19">
        <v>0.0</v>
      </c>
      <c r="W49" s="19">
        <v>0.0</v>
      </c>
      <c r="X49" s="19">
        <v>0.0</v>
      </c>
      <c r="Y49" s="19">
        <v>2.0</v>
      </c>
      <c r="Z49" s="13">
        <f t="shared" si="7"/>
        <v>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2.0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2.0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2.0</v>
      </c>
      <c r="Z50" s="13">
        <f t="shared" si="7"/>
        <v>10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1.0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3">
        <f t="shared" si="7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3">
        <f t="shared" si="7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Y55" si="8">SUM(E45:E52)</f>
        <v>15</v>
      </c>
      <c r="F55" s="13">
        <f t="shared" si="8"/>
        <v>23</v>
      </c>
      <c r="G55" s="13">
        <f t="shared" si="8"/>
        <v>21</v>
      </c>
      <c r="H55" s="13">
        <f t="shared" si="8"/>
        <v>20</v>
      </c>
      <c r="I55" s="13">
        <f t="shared" si="8"/>
        <v>20</v>
      </c>
      <c r="J55" s="13">
        <f t="shared" si="8"/>
        <v>25</v>
      </c>
      <c r="K55" s="13">
        <f t="shared" si="8"/>
        <v>22</v>
      </c>
      <c r="L55" s="13">
        <f t="shared" si="8"/>
        <v>36</v>
      </c>
      <c r="M55" s="13">
        <f t="shared" si="8"/>
        <v>41</v>
      </c>
      <c r="N55" s="13">
        <f t="shared" si="8"/>
        <v>40</v>
      </c>
      <c r="O55" s="13">
        <f t="shared" si="8"/>
        <v>13</v>
      </c>
      <c r="P55" s="13">
        <f t="shared" si="8"/>
        <v>17</v>
      </c>
      <c r="Q55" s="13">
        <f t="shared" si="8"/>
        <v>16</v>
      </c>
      <c r="R55" s="13">
        <f t="shared" si="8"/>
        <v>21</v>
      </c>
      <c r="S55" s="13">
        <f t="shared" si="8"/>
        <v>23</v>
      </c>
      <c r="T55" s="13">
        <f t="shared" si="8"/>
        <v>28</v>
      </c>
      <c r="U55" s="13">
        <f t="shared" si="8"/>
        <v>25</v>
      </c>
      <c r="V55" s="13">
        <f t="shared" si="8"/>
        <v>40</v>
      </c>
      <c r="W55" s="13">
        <f t="shared" si="8"/>
        <v>36</v>
      </c>
      <c r="X55" s="13">
        <f t="shared" si="8"/>
        <v>48</v>
      </c>
      <c r="Y55" s="13">
        <f t="shared" si="8"/>
        <v>65</v>
      </c>
      <c r="Z55" s="13">
        <f>SUM(E55:Y55)</f>
        <v>595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6.0</v>
      </c>
      <c r="G57" s="19">
        <v>11.0</v>
      </c>
      <c r="H57" s="19">
        <v>7.0</v>
      </c>
      <c r="I57" s="19">
        <v>5.0</v>
      </c>
      <c r="J57" s="19">
        <v>8.0</v>
      </c>
      <c r="K57" s="19">
        <v>9.0</v>
      </c>
      <c r="L57" s="19">
        <v>4.0</v>
      </c>
      <c r="M57" s="19">
        <v>4.0</v>
      </c>
      <c r="N57" s="19">
        <v>1.0</v>
      </c>
      <c r="O57" s="19">
        <v>3.0</v>
      </c>
      <c r="P57" s="19">
        <v>8.0</v>
      </c>
      <c r="Q57" s="19">
        <v>8.0</v>
      </c>
      <c r="R57" s="19">
        <v>6.0</v>
      </c>
      <c r="S57" s="19">
        <v>4.0</v>
      </c>
      <c r="T57" s="19">
        <v>6.0</v>
      </c>
      <c r="U57" s="19">
        <v>1.0</v>
      </c>
      <c r="V57" s="19">
        <v>5.0</v>
      </c>
      <c r="W57" s="19">
        <v>6.0</v>
      </c>
      <c r="X57" s="19">
        <v>7.0</v>
      </c>
      <c r="Y57" s="19">
        <v>2.0</v>
      </c>
      <c r="Z57" s="13">
        <f t="shared" ref="Z57:Z64" si="9">SUM(E57:Y57)</f>
        <v>115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24.0</v>
      </c>
      <c r="F58" s="19">
        <v>17.0</v>
      </c>
      <c r="G58" s="19">
        <v>24.0</v>
      </c>
      <c r="H58" s="19">
        <v>59.0</v>
      </c>
      <c r="I58" s="19">
        <v>35.0</v>
      </c>
      <c r="J58" s="19">
        <v>31.0</v>
      </c>
      <c r="K58" s="19">
        <v>56.0</v>
      </c>
      <c r="L58" s="19">
        <v>29.0</v>
      </c>
      <c r="M58" s="19">
        <v>49.0</v>
      </c>
      <c r="N58" s="19">
        <v>26.0</v>
      </c>
      <c r="O58" s="19">
        <v>17.0</v>
      </c>
      <c r="P58" s="19">
        <v>30.0</v>
      </c>
      <c r="Q58" s="19">
        <v>30.0</v>
      </c>
      <c r="R58" s="19">
        <v>21.0</v>
      </c>
      <c r="S58" s="19">
        <v>44.0</v>
      </c>
      <c r="T58" s="19">
        <v>3.0</v>
      </c>
      <c r="U58" s="19">
        <v>53.0</v>
      </c>
      <c r="V58" s="19">
        <v>27.0</v>
      </c>
      <c r="W58" s="19">
        <v>18.0</v>
      </c>
      <c r="X58" s="19">
        <v>23.0</v>
      </c>
      <c r="Y58" s="19">
        <v>21.0</v>
      </c>
      <c r="Z58" s="13">
        <f t="shared" si="9"/>
        <v>637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0.0</v>
      </c>
      <c r="G59" s="19">
        <v>1.0</v>
      </c>
      <c r="H59" s="19">
        <v>1.0</v>
      </c>
      <c r="I59" s="19">
        <v>0.0</v>
      </c>
      <c r="J59" s="19">
        <v>0.0</v>
      </c>
      <c r="K59" s="19">
        <v>2.0</v>
      </c>
      <c r="L59" s="19">
        <v>4.0</v>
      </c>
      <c r="M59" s="19">
        <v>3.0</v>
      </c>
      <c r="N59" s="19">
        <v>2.0</v>
      </c>
      <c r="O59" s="19">
        <v>1.0</v>
      </c>
      <c r="P59" s="19">
        <v>1.0</v>
      </c>
      <c r="Q59" s="19">
        <v>6.0</v>
      </c>
      <c r="R59" s="19">
        <v>2.0</v>
      </c>
      <c r="S59" s="19">
        <v>4.0</v>
      </c>
      <c r="T59" s="19">
        <v>1.0</v>
      </c>
      <c r="U59" s="19">
        <v>3.0</v>
      </c>
      <c r="V59" s="19">
        <v>5.0</v>
      </c>
      <c r="W59" s="19">
        <v>0.0</v>
      </c>
      <c r="X59" s="19">
        <v>1.0</v>
      </c>
      <c r="Y59" s="19">
        <v>1.0</v>
      </c>
      <c r="Z59" s="13">
        <f t="shared" si="9"/>
        <v>41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2.0</v>
      </c>
      <c r="H60" s="19">
        <v>1.0</v>
      </c>
      <c r="I60" s="19">
        <v>2.0</v>
      </c>
      <c r="J60" s="19">
        <v>0.0</v>
      </c>
      <c r="K60" s="19">
        <v>1.0</v>
      </c>
      <c r="L60" s="19">
        <v>2.0</v>
      </c>
      <c r="M60" s="19">
        <v>0.0</v>
      </c>
      <c r="N60" s="19">
        <v>1.0</v>
      </c>
      <c r="O60" s="19">
        <v>2.0</v>
      </c>
      <c r="P60" s="19">
        <v>4.0</v>
      </c>
      <c r="Q60" s="19">
        <v>2.0</v>
      </c>
      <c r="R60" s="19">
        <v>3.0</v>
      </c>
      <c r="S60" s="19">
        <v>0.0</v>
      </c>
      <c r="T60" s="19">
        <v>0.0</v>
      </c>
      <c r="U60" s="19">
        <v>0.0</v>
      </c>
      <c r="V60" s="19">
        <v>2.0</v>
      </c>
      <c r="W60" s="19">
        <v>0.0</v>
      </c>
      <c r="X60" s="19">
        <v>1.0</v>
      </c>
      <c r="Y60" s="19">
        <v>1.0</v>
      </c>
      <c r="Z60" s="13">
        <f t="shared" si="9"/>
        <v>26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0.0</v>
      </c>
      <c r="H61" s="19">
        <v>2.0</v>
      </c>
      <c r="I61" s="19">
        <v>0.0</v>
      </c>
      <c r="J61" s="19">
        <v>2.0</v>
      </c>
      <c r="K61" s="19">
        <v>0.0</v>
      </c>
      <c r="L61" s="19">
        <v>0.0</v>
      </c>
      <c r="M61" s="19">
        <v>2.0</v>
      </c>
      <c r="N61" s="19">
        <v>0.0</v>
      </c>
      <c r="O61" s="19">
        <v>0.0</v>
      </c>
      <c r="P61" s="19">
        <v>1.0</v>
      </c>
      <c r="Q61" s="19">
        <v>1.0</v>
      </c>
      <c r="R61" s="19">
        <v>0.0</v>
      </c>
      <c r="S61" s="19">
        <v>1.0</v>
      </c>
      <c r="T61" s="19">
        <v>1.0</v>
      </c>
      <c r="U61" s="19">
        <v>1.0</v>
      </c>
      <c r="V61" s="19">
        <v>4.0</v>
      </c>
      <c r="W61" s="19">
        <v>0.0</v>
      </c>
      <c r="X61" s="19">
        <v>3.0</v>
      </c>
      <c r="Y61" s="19">
        <v>2.0</v>
      </c>
      <c r="Z61" s="13">
        <f t="shared" si="9"/>
        <v>22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1.0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3">
        <f t="shared" si="9"/>
        <v>4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2.0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3">
        <f t="shared" si="9"/>
        <v>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2.0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3">
        <f t="shared" si="9"/>
        <v>5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Y67" si="10">SUM(E57:E64)</f>
        <v>33</v>
      </c>
      <c r="F67" s="13">
        <f t="shared" si="10"/>
        <v>25</v>
      </c>
      <c r="G67" s="13">
        <f t="shared" si="10"/>
        <v>41</v>
      </c>
      <c r="H67" s="13">
        <f t="shared" si="10"/>
        <v>71</v>
      </c>
      <c r="I67" s="13">
        <f t="shared" si="10"/>
        <v>42</v>
      </c>
      <c r="J67" s="13">
        <f t="shared" si="10"/>
        <v>42</v>
      </c>
      <c r="K67" s="13">
        <f t="shared" si="10"/>
        <v>70</v>
      </c>
      <c r="L67" s="13">
        <f t="shared" si="10"/>
        <v>39</v>
      </c>
      <c r="M67" s="13">
        <f t="shared" si="10"/>
        <v>60</v>
      </c>
      <c r="N67" s="13">
        <f t="shared" si="10"/>
        <v>31</v>
      </c>
      <c r="O67" s="13">
        <f t="shared" si="10"/>
        <v>24</v>
      </c>
      <c r="P67" s="13">
        <f t="shared" si="10"/>
        <v>44</v>
      </c>
      <c r="Q67" s="13">
        <f t="shared" si="10"/>
        <v>47</v>
      </c>
      <c r="R67" s="13">
        <f t="shared" si="10"/>
        <v>32</v>
      </c>
      <c r="S67" s="13">
        <f t="shared" si="10"/>
        <v>54</v>
      </c>
      <c r="T67" s="13">
        <f t="shared" si="10"/>
        <v>11</v>
      </c>
      <c r="U67" s="13">
        <f t="shared" si="10"/>
        <v>58</v>
      </c>
      <c r="V67" s="13">
        <f t="shared" si="10"/>
        <v>43</v>
      </c>
      <c r="W67" s="13">
        <f t="shared" si="10"/>
        <v>24</v>
      </c>
      <c r="X67" s="13">
        <f t="shared" si="10"/>
        <v>35</v>
      </c>
      <c r="Y67" s="13">
        <f t="shared" si="10"/>
        <v>27</v>
      </c>
      <c r="Z67" s="13">
        <f>SUM(E67:Y67)</f>
        <v>853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11.0</v>
      </c>
      <c r="F69" s="19">
        <v>5.0</v>
      </c>
      <c r="G69" s="19">
        <v>4.0</v>
      </c>
      <c r="H69" s="19">
        <v>3.0</v>
      </c>
      <c r="I69" s="19">
        <v>9.0</v>
      </c>
      <c r="J69" s="19">
        <v>8.0</v>
      </c>
      <c r="K69" s="19">
        <v>6.0</v>
      </c>
      <c r="L69" s="19">
        <v>6.0</v>
      </c>
      <c r="M69" s="19">
        <v>3.0</v>
      </c>
      <c r="N69" s="19">
        <v>2.0</v>
      </c>
      <c r="O69" s="19">
        <v>4.0</v>
      </c>
      <c r="P69" s="19">
        <v>4.0</v>
      </c>
      <c r="Q69" s="19">
        <v>5.0</v>
      </c>
      <c r="R69" s="19">
        <v>5.0</v>
      </c>
      <c r="S69" s="19">
        <v>6.0</v>
      </c>
      <c r="T69" s="19">
        <v>0.0</v>
      </c>
      <c r="U69" s="19">
        <v>1.0</v>
      </c>
      <c r="V69" s="19">
        <v>3.0</v>
      </c>
      <c r="W69" s="19">
        <v>3.0</v>
      </c>
      <c r="X69" s="19">
        <v>0.0</v>
      </c>
      <c r="Y69" s="19">
        <v>3.0</v>
      </c>
      <c r="Z69" s="13">
        <f t="shared" ref="Z69:Z76" si="11">SUM(E69:Y69)</f>
        <v>91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4.0</v>
      </c>
      <c r="G70" s="19">
        <v>12.0</v>
      </c>
      <c r="H70" s="19">
        <v>13.0</v>
      </c>
      <c r="I70" s="19">
        <v>10.0</v>
      </c>
      <c r="J70" s="19">
        <v>5.0</v>
      </c>
      <c r="K70" s="19">
        <v>3.0</v>
      </c>
      <c r="L70" s="19">
        <v>10.0</v>
      </c>
      <c r="M70" s="19">
        <v>5.0</v>
      </c>
      <c r="N70" s="19">
        <v>2.0</v>
      </c>
      <c r="O70" s="19">
        <v>4.0</v>
      </c>
      <c r="P70" s="19">
        <v>7.0</v>
      </c>
      <c r="Q70" s="19">
        <v>25.0</v>
      </c>
      <c r="R70" s="19">
        <v>10.0</v>
      </c>
      <c r="S70" s="19">
        <v>11.0</v>
      </c>
      <c r="T70" s="19">
        <v>4.0</v>
      </c>
      <c r="U70" s="19">
        <v>3.0</v>
      </c>
      <c r="V70" s="19">
        <v>3.0</v>
      </c>
      <c r="W70" s="19">
        <v>2.0</v>
      </c>
      <c r="X70" s="19">
        <v>2.0</v>
      </c>
      <c r="Y70" s="19">
        <v>2.0</v>
      </c>
      <c r="Z70" s="13">
        <f t="shared" si="11"/>
        <v>145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2.0</v>
      </c>
      <c r="G71" s="19">
        <v>7.0</v>
      </c>
      <c r="H71" s="19">
        <v>2.0</v>
      </c>
      <c r="I71" s="19">
        <v>7.0</v>
      </c>
      <c r="J71" s="19">
        <v>4.0</v>
      </c>
      <c r="K71" s="19">
        <v>2.0</v>
      </c>
      <c r="L71" s="19">
        <v>3.0</v>
      </c>
      <c r="M71" s="19">
        <v>0.0</v>
      </c>
      <c r="N71" s="19">
        <v>4.0</v>
      </c>
      <c r="O71" s="19">
        <v>2.0</v>
      </c>
      <c r="P71" s="19">
        <v>2.0</v>
      </c>
      <c r="Q71" s="19">
        <v>3.0</v>
      </c>
      <c r="R71" s="19">
        <v>1.0</v>
      </c>
      <c r="S71" s="19">
        <v>0.0</v>
      </c>
      <c r="T71" s="19">
        <v>4.0</v>
      </c>
      <c r="U71" s="19">
        <v>2.0</v>
      </c>
      <c r="V71" s="19">
        <v>2.0</v>
      </c>
      <c r="W71" s="19">
        <v>0.0</v>
      </c>
      <c r="X71" s="19">
        <v>2.0</v>
      </c>
      <c r="Y71" s="19">
        <v>1.0</v>
      </c>
      <c r="Z71" s="13">
        <f t="shared" si="11"/>
        <v>53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2.0</v>
      </c>
      <c r="G72" s="19">
        <v>6.0</v>
      </c>
      <c r="H72" s="19">
        <v>2.0</v>
      </c>
      <c r="I72" s="19">
        <v>1.0</v>
      </c>
      <c r="J72" s="19">
        <v>9.0</v>
      </c>
      <c r="K72" s="19">
        <v>2.0</v>
      </c>
      <c r="L72" s="19">
        <v>3.0</v>
      </c>
      <c r="M72" s="19">
        <v>0.0</v>
      </c>
      <c r="N72" s="19">
        <v>1.0</v>
      </c>
      <c r="O72" s="19">
        <v>1.0</v>
      </c>
      <c r="P72" s="19">
        <v>2.0</v>
      </c>
      <c r="Q72" s="19">
        <v>1.0</v>
      </c>
      <c r="R72" s="19">
        <v>7.0</v>
      </c>
      <c r="S72" s="19">
        <v>6.0</v>
      </c>
      <c r="T72" s="19">
        <v>2.0</v>
      </c>
      <c r="U72" s="19">
        <v>48.0</v>
      </c>
      <c r="V72" s="19">
        <v>1.0</v>
      </c>
      <c r="W72" s="19">
        <v>3.0</v>
      </c>
      <c r="X72" s="19">
        <v>2.0</v>
      </c>
      <c r="Y72" s="19">
        <v>0.0</v>
      </c>
      <c r="Z72" s="13">
        <f t="shared" si="11"/>
        <v>101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1.0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0.0</v>
      </c>
      <c r="U73" s="19">
        <v>0.0</v>
      </c>
      <c r="V73" s="19">
        <v>1.0</v>
      </c>
      <c r="W73" s="19">
        <v>0.0</v>
      </c>
      <c r="X73" s="19">
        <v>1.0</v>
      </c>
      <c r="Y73" s="19">
        <v>0.0</v>
      </c>
      <c r="Z73" s="13">
        <f t="shared" si="11"/>
        <v>6</v>
      </c>
    </row>
    <row r="74" ht="12.75" customHeight="1">
      <c r="A74" s="18"/>
      <c r="B74" s="55">
        <v>5.0</v>
      </c>
      <c r="C74" s="50" t="s">
        <v>61</v>
      </c>
      <c r="D74" s="57"/>
      <c r="E74" s="19">
        <v>13.0</v>
      </c>
      <c r="F74" s="19">
        <v>11.0</v>
      </c>
      <c r="G74" s="19">
        <v>2.0</v>
      </c>
      <c r="H74" s="19">
        <v>2.0</v>
      </c>
      <c r="I74" s="19">
        <v>2.0</v>
      </c>
      <c r="J74" s="19">
        <v>5.0</v>
      </c>
      <c r="K74" s="19">
        <v>8.0</v>
      </c>
      <c r="L74" s="19">
        <v>9.0</v>
      </c>
      <c r="M74" s="19">
        <v>7.0</v>
      </c>
      <c r="N74" s="19">
        <v>25.0</v>
      </c>
      <c r="O74" s="19">
        <v>5.0</v>
      </c>
      <c r="P74" s="19">
        <v>9.0</v>
      </c>
      <c r="Q74" s="19">
        <v>12.0</v>
      </c>
      <c r="R74" s="19">
        <v>5.0</v>
      </c>
      <c r="S74" s="19">
        <v>15.0</v>
      </c>
      <c r="T74" s="19">
        <v>0.0</v>
      </c>
      <c r="U74" s="19">
        <v>2.0</v>
      </c>
      <c r="V74" s="19">
        <v>0.0</v>
      </c>
      <c r="W74" s="19">
        <v>0.0</v>
      </c>
      <c r="X74" s="19">
        <v>2.0</v>
      </c>
      <c r="Y74" s="19">
        <v>0.0</v>
      </c>
      <c r="Z74" s="13">
        <f t="shared" si="11"/>
        <v>134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1.0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1.0</v>
      </c>
      <c r="T75" s="19">
        <v>0.0</v>
      </c>
      <c r="U75" s="19">
        <v>0.0</v>
      </c>
      <c r="V75" s="19">
        <v>1.0</v>
      </c>
      <c r="W75" s="19">
        <v>0.0</v>
      </c>
      <c r="X75" s="19">
        <v>0.0</v>
      </c>
      <c r="Y75" s="19">
        <v>0.0</v>
      </c>
      <c r="Z75" s="13">
        <f t="shared" si="11"/>
        <v>6</v>
      </c>
    </row>
    <row r="76" ht="12.75" customHeight="1">
      <c r="A76" s="18"/>
      <c r="B76" s="55">
        <v>7.0</v>
      </c>
      <c r="C76" s="50" t="s">
        <v>63</v>
      </c>
      <c r="D76" s="57"/>
      <c r="E76" s="19">
        <v>9.0</v>
      </c>
      <c r="F76" s="19">
        <v>13.0</v>
      </c>
      <c r="G76" s="19">
        <v>7.0</v>
      </c>
      <c r="H76" s="19">
        <v>7.0</v>
      </c>
      <c r="I76" s="19">
        <v>5.0</v>
      </c>
      <c r="J76" s="19">
        <v>8.0</v>
      </c>
      <c r="K76" s="19">
        <v>1.0</v>
      </c>
      <c r="L76" s="19">
        <v>0.0</v>
      </c>
      <c r="M76" s="19">
        <v>2.0</v>
      </c>
      <c r="N76" s="19">
        <v>0.0</v>
      </c>
      <c r="O76" s="19">
        <v>0.0</v>
      </c>
      <c r="P76" s="19">
        <v>1.0</v>
      </c>
      <c r="Q76" s="19">
        <v>2.0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2.0</v>
      </c>
      <c r="X76" s="19">
        <v>2.0</v>
      </c>
      <c r="Y76" s="19">
        <v>1.0</v>
      </c>
      <c r="Z76" s="13">
        <f t="shared" si="11"/>
        <v>60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Y79" si="12">SUM(E69:E76)</f>
        <v>47</v>
      </c>
      <c r="F79" s="13">
        <f t="shared" si="12"/>
        <v>38</v>
      </c>
      <c r="G79" s="13">
        <f t="shared" si="12"/>
        <v>39</v>
      </c>
      <c r="H79" s="13">
        <f t="shared" si="12"/>
        <v>29</v>
      </c>
      <c r="I79" s="13">
        <f t="shared" si="12"/>
        <v>34</v>
      </c>
      <c r="J79" s="13">
        <f t="shared" si="12"/>
        <v>40</v>
      </c>
      <c r="K79" s="13">
        <f t="shared" si="12"/>
        <v>23</v>
      </c>
      <c r="L79" s="13">
        <f t="shared" si="12"/>
        <v>32</v>
      </c>
      <c r="M79" s="13">
        <f t="shared" si="12"/>
        <v>17</v>
      </c>
      <c r="N79" s="13">
        <f t="shared" si="12"/>
        <v>34</v>
      </c>
      <c r="O79" s="13">
        <f t="shared" si="12"/>
        <v>16</v>
      </c>
      <c r="P79" s="13">
        <f t="shared" si="12"/>
        <v>25</v>
      </c>
      <c r="Q79" s="13">
        <f t="shared" si="12"/>
        <v>50</v>
      </c>
      <c r="R79" s="13">
        <f t="shared" si="12"/>
        <v>28</v>
      </c>
      <c r="S79" s="13">
        <f t="shared" si="12"/>
        <v>39</v>
      </c>
      <c r="T79" s="13">
        <f t="shared" si="12"/>
        <v>10</v>
      </c>
      <c r="U79" s="13">
        <f t="shared" si="12"/>
        <v>56</v>
      </c>
      <c r="V79" s="13">
        <f t="shared" si="12"/>
        <v>11</v>
      </c>
      <c r="W79" s="13">
        <f t="shared" si="12"/>
        <v>10</v>
      </c>
      <c r="X79" s="13">
        <f t="shared" si="12"/>
        <v>11</v>
      </c>
      <c r="Y79" s="13">
        <f t="shared" si="12"/>
        <v>7</v>
      </c>
      <c r="Z79" s="13">
        <f>SUM(E79:Y79)</f>
        <v>596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6.0</v>
      </c>
      <c r="G81" s="19">
        <v>3.0</v>
      </c>
      <c r="H81" s="19">
        <v>7.0</v>
      </c>
      <c r="I81" s="19">
        <v>5.0</v>
      </c>
      <c r="J81" s="19">
        <v>8.0</v>
      </c>
      <c r="K81" s="19">
        <v>8.0</v>
      </c>
      <c r="L81" s="19">
        <v>8.0</v>
      </c>
      <c r="M81" s="19">
        <v>3.0</v>
      </c>
      <c r="N81" s="19">
        <v>3.0</v>
      </c>
      <c r="O81" s="19">
        <v>6.0</v>
      </c>
      <c r="P81" s="19">
        <v>6.0</v>
      </c>
      <c r="Q81" s="19">
        <v>4.0</v>
      </c>
      <c r="R81" s="19">
        <v>5.0</v>
      </c>
      <c r="S81" s="19">
        <v>3.0</v>
      </c>
      <c r="T81" s="19">
        <v>8.0</v>
      </c>
      <c r="U81" s="19">
        <v>0.0</v>
      </c>
      <c r="V81" s="19">
        <v>7.0</v>
      </c>
      <c r="W81" s="19">
        <v>6.0</v>
      </c>
      <c r="X81" s="19">
        <v>5.0</v>
      </c>
      <c r="Y81" s="19">
        <v>1.0</v>
      </c>
      <c r="Z81" s="13">
        <f t="shared" ref="Z81:Z88" si="13">SUM(E81:Y81)</f>
        <v>105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17.0</v>
      </c>
      <c r="G82" s="19">
        <v>13.0</v>
      </c>
      <c r="H82" s="19">
        <v>5.0</v>
      </c>
      <c r="I82" s="19">
        <v>14.0</v>
      </c>
      <c r="J82" s="19">
        <v>2.0</v>
      </c>
      <c r="K82" s="19">
        <v>6.0</v>
      </c>
      <c r="L82" s="19">
        <v>4.0</v>
      </c>
      <c r="M82" s="19">
        <v>6.0</v>
      </c>
      <c r="N82" s="19">
        <v>7.0</v>
      </c>
      <c r="O82" s="19">
        <v>22.0</v>
      </c>
      <c r="P82" s="19">
        <v>4.0</v>
      </c>
      <c r="Q82" s="19">
        <v>2.0</v>
      </c>
      <c r="R82" s="19">
        <v>16.0</v>
      </c>
      <c r="S82" s="19">
        <v>5.0</v>
      </c>
      <c r="T82" s="19">
        <v>45.0</v>
      </c>
      <c r="U82" s="19">
        <v>21.0</v>
      </c>
      <c r="V82" s="19">
        <v>31.0</v>
      </c>
      <c r="W82" s="19">
        <v>12.0</v>
      </c>
      <c r="X82" s="19">
        <v>21.0</v>
      </c>
      <c r="Y82" s="19">
        <v>5.0</v>
      </c>
      <c r="Z82" s="13">
        <f t="shared" si="13"/>
        <v>262</v>
      </c>
    </row>
    <row r="83" ht="12.75" customHeight="1">
      <c r="A83" s="18"/>
      <c r="B83" s="55">
        <v>2.0</v>
      </c>
      <c r="C83" s="50" t="s">
        <v>66</v>
      </c>
      <c r="D83" s="57"/>
      <c r="E83" s="19">
        <v>14.0</v>
      </c>
      <c r="F83" s="19">
        <v>9.0</v>
      </c>
      <c r="G83" s="19">
        <v>11.0</v>
      </c>
      <c r="H83" s="19">
        <v>8.0</v>
      </c>
      <c r="I83" s="19">
        <v>9.0</v>
      </c>
      <c r="J83" s="19">
        <v>16.0</v>
      </c>
      <c r="K83" s="19">
        <v>7.0</v>
      </c>
      <c r="L83" s="19">
        <v>19.0</v>
      </c>
      <c r="M83" s="19">
        <v>14.0</v>
      </c>
      <c r="N83" s="19">
        <v>11.0</v>
      </c>
      <c r="O83" s="19">
        <v>7.0</v>
      </c>
      <c r="P83" s="19">
        <v>3.0</v>
      </c>
      <c r="Q83" s="19">
        <v>13.0</v>
      </c>
      <c r="R83" s="19">
        <v>4.0</v>
      </c>
      <c r="S83" s="19">
        <v>7.0</v>
      </c>
      <c r="T83" s="19">
        <v>4.0</v>
      </c>
      <c r="U83" s="19">
        <v>1.0</v>
      </c>
      <c r="V83" s="19">
        <v>4.0</v>
      </c>
      <c r="W83" s="19">
        <v>4.0</v>
      </c>
      <c r="X83" s="19">
        <v>5.0</v>
      </c>
      <c r="Y83" s="19">
        <v>4.0</v>
      </c>
      <c r="Z83" s="13">
        <f t="shared" si="13"/>
        <v>174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1.0</v>
      </c>
      <c r="Y84" s="19">
        <v>0.0</v>
      </c>
      <c r="Z84" s="13">
        <f t="shared" si="13"/>
        <v>4</v>
      </c>
    </row>
    <row r="85" ht="12.75" customHeight="1">
      <c r="A85" s="18"/>
      <c r="B85" s="55">
        <v>4.0</v>
      </c>
      <c r="C85" s="50" t="s">
        <v>68</v>
      </c>
      <c r="D85" s="57"/>
      <c r="E85" s="19">
        <v>2.0</v>
      </c>
      <c r="F85" s="19">
        <v>1.0</v>
      </c>
      <c r="G85" s="19">
        <v>2.0</v>
      </c>
      <c r="H85" s="19">
        <v>1.0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2.0</v>
      </c>
      <c r="P85" s="19">
        <v>1.0</v>
      </c>
      <c r="Q85" s="19">
        <v>0.0</v>
      </c>
      <c r="R85" s="19">
        <v>0.0</v>
      </c>
      <c r="S85" s="19">
        <v>0.0</v>
      </c>
      <c r="T85" s="19">
        <v>3.0</v>
      </c>
      <c r="U85" s="19">
        <v>0.0</v>
      </c>
      <c r="V85" s="19">
        <v>1.0</v>
      </c>
      <c r="W85" s="19">
        <v>0.0</v>
      </c>
      <c r="X85" s="19">
        <v>0.0</v>
      </c>
      <c r="Y85" s="19">
        <v>0.0</v>
      </c>
      <c r="Z85" s="13">
        <f t="shared" si="13"/>
        <v>14</v>
      </c>
    </row>
    <row r="86" ht="12.75" customHeight="1">
      <c r="A86" s="18"/>
      <c r="B86" s="55">
        <v>5.0</v>
      </c>
      <c r="C86" s="50" t="s">
        <v>69</v>
      </c>
      <c r="D86" s="57"/>
      <c r="E86" s="19">
        <v>9.0</v>
      </c>
      <c r="F86" s="19">
        <v>26.0</v>
      </c>
      <c r="G86" s="19">
        <v>37.0</v>
      </c>
      <c r="H86" s="19">
        <v>11.0</v>
      </c>
      <c r="I86" s="19">
        <v>19.0</v>
      </c>
      <c r="J86" s="19">
        <v>18.0</v>
      </c>
      <c r="K86" s="19">
        <v>13.0</v>
      </c>
      <c r="L86" s="19">
        <v>9.0</v>
      </c>
      <c r="M86" s="19">
        <v>13.0</v>
      </c>
      <c r="N86" s="19">
        <v>12.0</v>
      </c>
      <c r="O86" s="19">
        <v>6.0</v>
      </c>
      <c r="P86" s="19">
        <v>32.0</v>
      </c>
      <c r="Q86" s="19">
        <v>15.0</v>
      </c>
      <c r="R86" s="19">
        <v>5.0</v>
      </c>
      <c r="S86" s="19">
        <v>3.0</v>
      </c>
      <c r="T86" s="19">
        <v>1.0</v>
      </c>
      <c r="U86" s="19">
        <v>5.0</v>
      </c>
      <c r="V86" s="19">
        <v>1.0</v>
      </c>
      <c r="W86" s="19">
        <v>27.0</v>
      </c>
      <c r="X86" s="19">
        <v>24.0</v>
      </c>
      <c r="Y86" s="19">
        <v>1.0</v>
      </c>
      <c r="Z86" s="13">
        <f t="shared" si="13"/>
        <v>287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1.0</v>
      </c>
      <c r="H87" s="19">
        <v>0.0</v>
      </c>
      <c r="I87" s="19">
        <v>1.0</v>
      </c>
      <c r="J87" s="19">
        <v>3.0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3">
        <f t="shared" si="13"/>
        <v>9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1.0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3">
        <f t="shared" si="13"/>
        <v>3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Y91" si="14">SUM(E81:E88)</f>
        <v>32</v>
      </c>
      <c r="F91" s="13">
        <f t="shared" si="14"/>
        <v>60</v>
      </c>
      <c r="G91" s="13">
        <f t="shared" si="14"/>
        <v>67</v>
      </c>
      <c r="H91" s="13">
        <f t="shared" si="14"/>
        <v>32</v>
      </c>
      <c r="I91" s="13">
        <f t="shared" si="14"/>
        <v>50</v>
      </c>
      <c r="J91" s="13">
        <f t="shared" si="14"/>
        <v>48</v>
      </c>
      <c r="K91" s="13">
        <f t="shared" si="14"/>
        <v>34</v>
      </c>
      <c r="L91" s="13">
        <f t="shared" si="14"/>
        <v>41</v>
      </c>
      <c r="M91" s="13">
        <f t="shared" si="14"/>
        <v>36</v>
      </c>
      <c r="N91" s="13">
        <f t="shared" si="14"/>
        <v>35</v>
      </c>
      <c r="O91" s="13">
        <f t="shared" si="14"/>
        <v>44</v>
      </c>
      <c r="P91" s="13">
        <f t="shared" si="14"/>
        <v>46</v>
      </c>
      <c r="Q91" s="13">
        <f t="shared" si="14"/>
        <v>35</v>
      </c>
      <c r="R91" s="13">
        <f t="shared" si="14"/>
        <v>31</v>
      </c>
      <c r="S91" s="13">
        <f t="shared" si="14"/>
        <v>18</v>
      </c>
      <c r="T91" s="13">
        <f t="shared" si="14"/>
        <v>61</v>
      </c>
      <c r="U91" s="13">
        <f t="shared" si="14"/>
        <v>27</v>
      </c>
      <c r="V91" s="13">
        <f t="shared" si="14"/>
        <v>44</v>
      </c>
      <c r="W91" s="13">
        <f t="shared" si="14"/>
        <v>50</v>
      </c>
      <c r="X91" s="13">
        <f t="shared" si="14"/>
        <v>56</v>
      </c>
      <c r="Y91" s="13">
        <f t="shared" si="14"/>
        <v>11</v>
      </c>
      <c r="Z91" s="13">
        <f>SUM(E91:Y91)</f>
        <v>858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2.0</v>
      </c>
      <c r="H93" s="19">
        <v>4.0</v>
      </c>
      <c r="I93" s="19">
        <v>1.0</v>
      </c>
      <c r="J93" s="19">
        <v>0.0</v>
      </c>
      <c r="K93" s="19">
        <v>0.0</v>
      </c>
      <c r="L93" s="19">
        <v>1.0</v>
      </c>
      <c r="M93" s="19">
        <v>0.0</v>
      </c>
      <c r="N93" s="19">
        <v>1.0</v>
      </c>
      <c r="O93" s="19">
        <v>3.0</v>
      </c>
      <c r="P93" s="19">
        <v>1.0</v>
      </c>
      <c r="Q93" s="19">
        <v>2.0</v>
      </c>
      <c r="R93" s="19">
        <v>0.0</v>
      </c>
      <c r="S93" s="19">
        <v>1.0</v>
      </c>
      <c r="T93" s="19">
        <v>0.0</v>
      </c>
      <c r="U93" s="19">
        <v>4.0</v>
      </c>
      <c r="V93" s="19">
        <v>1.0</v>
      </c>
      <c r="W93" s="19">
        <v>0.0</v>
      </c>
      <c r="X93" s="19">
        <v>1.0</v>
      </c>
      <c r="Y93" s="19">
        <v>0.0</v>
      </c>
      <c r="Z93" s="13">
        <f t="shared" ref="Z93:Z100" si="15">SUM(E93:Y93)</f>
        <v>22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19.0</v>
      </c>
      <c r="F94" s="19">
        <v>1.0</v>
      </c>
      <c r="G94" s="19">
        <v>2.0</v>
      </c>
      <c r="H94" s="19">
        <v>2.0</v>
      </c>
      <c r="I94" s="19">
        <v>0.0</v>
      </c>
      <c r="J94" s="19">
        <v>0.0</v>
      </c>
      <c r="K94" s="19">
        <v>1.0</v>
      </c>
      <c r="L94" s="19">
        <v>3.0</v>
      </c>
      <c r="M94" s="19">
        <v>1.0</v>
      </c>
      <c r="N94" s="19">
        <v>1.0</v>
      </c>
      <c r="O94" s="19">
        <v>1.0</v>
      </c>
      <c r="P94" s="19">
        <v>3.0</v>
      </c>
      <c r="Q94" s="19">
        <v>0.0</v>
      </c>
      <c r="R94" s="19">
        <v>1.0</v>
      </c>
      <c r="S94" s="19">
        <v>0.0</v>
      </c>
      <c r="T94" s="19">
        <v>0.0</v>
      </c>
      <c r="U94" s="19">
        <v>2.0</v>
      </c>
      <c r="V94" s="19">
        <v>5.0</v>
      </c>
      <c r="W94" s="19">
        <v>0.0</v>
      </c>
      <c r="X94" s="19">
        <v>1.0</v>
      </c>
      <c r="Y94" s="19">
        <v>0.0</v>
      </c>
      <c r="Z94" s="13">
        <f t="shared" si="15"/>
        <v>43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1.0</v>
      </c>
      <c r="G95" s="19">
        <v>1.0</v>
      </c>
      <c r="H95" s="19">
        <v>3.0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1.0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0.0</v>
      </c>
      <c r="V95" s="19">
        <v>3.0</v>
      </c>
      <c r="W95" s="19">
        <v>0.0</v>
      </c>
      <c r="X95" s="19">
        <v>0.0</v>
      </c>
      <c r="Y95" s="19">
        <v>0.0</v>
      </c>
      <c r="Z95" s="13">
        <f t="shared" si="15"/>
        <v>11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3">
        <f t="shared" si="15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2.0</v>
      </c>
      <c r="I97" s="19">
        <v>1.0</v>
      </c>
      <c r="J97" s="19">
        <v>2.0</v>
      </c>
      <c r="K97" s="19">
        <v>1.0</v>
      </c>
      <c r="L97" s="19">
        <v>2.0</v>
      </c>
      <c r="M97" s="19">
        <v>6.0</v>
      </c>
      <c r="N97" s="19">
        <v>2.0</v>
      </c>
      <c r="O97" s="19">
        <v>2.0</v>
      </c>
      <c r="P97" s="19">
        <v>1.0</v>
      </c>
      <c r="Q97" s="19">
        <v>1.0</v>
      </c>
      <c r="R97" s="19">
        <v>1.0</v>
      </c>
      <c r="S97" s="19">
        <v>0.0</v>
      </c>
      <c r="T97" s="19">
        <v>1.0</v>
      </c>
      <c r="U97" s="19">
        <v>1.0</v>
      </c>
      <c r="V97" s="19">
        <v>5.0</v>
      </c>
      <c r="W97" s="19">
        <v>0.0</v>
      </c>
      <c r="X97" s="19">
        <v>0.0</v>
      </c>
      <c r="Y97" s="19">
        <v>0.0</v>
      </c>
      <c r="Z97" s="13">
        <f t="shared" si="15"/>
        <v>29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3">
        <f t="shared" si="15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3">
        <f t="shared" si="15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3">
        <f t="shared" si="15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Y103" si="16">SUM(E93:E100)</f>
        <v>19</v>
      </c>
      <c r="F103" s="13">
        <f t="shared" si="16"/>
        <v>3</v>
      </c>
      <c r="G103" s="13">
        <f t="shared" si="16"/>
        <v>6</v>
      </c>
      <c r="H103" s="13">
        <f t="shared" si="16"/>
        <v>12</v>
      </c>
      <c r="I103" s="13">
        <f t="shared" si="16"/>
        <v>3</v>
      </c>
      <c r="J103" s="13">
        <f t="shared" si="16"/>
        <v>3</v>
      </c>
      <c r="K103" s="13">
        <f t="shared" si="16"/>
        <v>2</v>
      </c>
      <c r="L103" s="13">
        <f t="shared" si="16"/>
        <v>6</v>
      </c>
      <c r="M103" s="13">
        <f t="shared" si="16"/>
        <v>8</v>
      </c>
      <c r="N103" s="13">
        <f t="shared" si="16"/>
        <v>5</v>
      </c>
      <c r="O103" s="13">
        <f t="shared" si="16"/>
        <v>6</v>
      </c>
      <c r="P103" s="13">
        <f t="shared" si="16"/>
        <v>5</v>
      </c>
      <c r="Q103" s="13">
        <f t="shared" si="16"/>
        <v>3</v>
      </c>
      <c r="R103" s="13">
        <f t="shared" si="16"/>
        <v>4</v>
      </c>
      <c r="S103" s="13">
        <f t="shared" si="16"/>
        <v>1</v>
      </c>
      <c r="T103" s="13">
        <f t="shared" si="16"/>
        <v>1</v>
      </c>
      <c r="U103" s="13">
        <f t="shared" si="16"/>
        <v>7</v>
      </c>
      <c r="V103" s="13">
        <f t="shared" si="16"/>
        <v>14</v>
      </c>
      <c r="W103" s="13">
        <f t="shared" si="16"/>
        <v>0</v>
      </c>
      <c r="X103" s="13">
        <f t="shared" si="16"/>
        <v>2</v>
      </c>
      <c r="Y103" s="13">
        <f t="shared" si="16"/>
        <v>0</v>
      </c>
      <c r="Z103" s="13">
        <f>SUM(E103:Y103)</f>
        <v>110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4.0</v>
      </c>
      <c r="F105" s="19">
        <v>0.0</v>
      </c>
      <c r="G105" s="19">
        <v>3.0</v>
      </c>
      <c r="H105" s="19">
        <v>0.0</v>
      </c>
      <c r="I105" s="19">
        <v>1.0</v>
      </c>
      <c r="J105" s="19">
        <v>2.0</v>
      </c>
      <c r="K105" s="19">
        <v>1.0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9">
        <v>2.0</v>
      </c>
      <c r="X105" s="19">
        <v>0.0</v>
      </c>
      <c r="Y105" s="19">
        <v>0.0</v>
      </c>
      <c r="Z105" s="13">
        <f t="shared" ref="Z105:Z112" si="17">SUM(E105:Y105)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2.0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3">
        <f t="shared" si="17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3">
        <f t="shared" si="17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3">
        <f t="shared" si="17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1.0</v>
      </c>
      <c r="Y109" s="19">
        <v>0.0</v>
      </c>
      <c r="Z109" s="13">
        <f t="shared" si="17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3">
        <f t="shared" si="17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3">
        <f t="shared" si="17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3">
        <f t="shared" si="17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Y115" si="18">SUM(E105:E112)</f>
        <v>4</v>
      </c>
      <c r="F115" s="13">
        <f t="shared" si="18"/>
        <v>1</v>
      </c>
      <c r="G115" s="13">
        <f t="shared" si="18"/>
        <v>3</v>
      </c>
      <c r="H115" s="13">
        <f t="shared" si="18"/>
        <v>0</v>
      </c>
      <c r="I115" s="13">
        <f t="shared" si="18"/>
        <v>3</v>
      </c>
      <c r="J115" s="13">
        <f t="shared" si="18"/>
        <v>3</v>
      </c>
      <c r="K115" s="13">
        <f t="shared" si="18"/>
        <v>2</v>
      </c>
      <c r="L115" s="13">
        <f t="shared" si="18"/>
        <v>1</v>
      </c>
      <c r="M115" s="13">
        <f t="shared" si="18"/>
        <v>0</v>
      </c>
      <c r="N115" s="13">
        <f t="shared" si="18"/>
        <v>0</v>
      </c>
      <c r="O115" s="13">
        <f t="shared" si="18"/>
        <v>1</v>
      </c>
      <c r="P115" s="13">
        <f t="shared" si="18"/>
        <v>0</v>
      </c>
      <c r="Q115" s="13">
        <f t="shared" si="18"/>
        <v>0</v>
      </c>
      <c r="R115" s="13">
        <f t="shared" si="18"/>
        <v>0</v>
      </c>
      <c r="S115" s="13">
        <f t="shared" si="18"/>
        <v>0</v>
      </c>
      <c r="T115" s="13">
        <f t="shared" si="18"/>
        <v>1</v>
      </c>
      <c r="U115" s="13">
        <f t="shared" si="18"/>
        <v>0</v>
      </c>
      <c r="V115" s="13">
        <f t="shared" si="18"/>
        <v>0</v>
      </c>
      <c r="W115" s="13">
        <f t="shared" si="18"/>
        <v>2</v>
      </c>
      <c r="X115" s="13">
        <f t="shared" si="18"/>
        <v>1</v>
      </c>
      <c r="Y115" s="13">
        <f t="shared" si="18"/>
        <v>1</v>
      </c>
      <c r="Z115" s="13">
        <f>SUM(E115:Y115)</f>
        <v>23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Z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0.0</v>
      </c>
      <c r="G117" s="19">
        <v>0.0</v>
      </c>
      <c r="H117" s="19">
        <v>0.0</v>
      </c>
      <c r="I117" s="19">
        <v>3.0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3.0</v>
      </c>
      <c r="U117" s="19">
        <v>0.0</v>
      </c>
      <c r="V117" s="19">
        <v>1.0</v>
      </c>
      <c r="W117" s="19">
        <v>0.0</v>
      </c>
      <c r="X117" s="19">
        <v>2.0</v>
      </c>
      <c r="Y117" s="19">
        <v>0.0</v>
      </c>
      <c r="Z117" s="13">
        <f t="shared" ref="Z117:Z120" si="19">SUM(E117:Y117)</f>
        <v>12</v>
      </c>
      <c r="AA117" s="5"/>
      <c r="AB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3">
        <f t="shared" si="19"/>
        <v>3</v>
      </c>
      <c r="AA118" s="5"/>
      <c r="AB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3">
        <f t="shared" si="19"/>
        <v>1</v>
      </c>
      <c r="AA119" s="5"/>
      <c r="AB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3">
        <f t="shared" si="19"/>
        <v>1</v>
      </c>
      <c r="AA120" s="5"/>
      <c r="AB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74"/>
      <c r="AA121" s="5"/>
      <c r="AB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74"/>
      <c r="AA122" s="5"/>
      <c r="AB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74"/>
      <c r="AA123" s="5"/>
      <c r="AB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74"/>
      <c r="AA124" s="5"/>
      <c r="AB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74"/>
      <c r="AA125" s="5"/>
      <c r="AB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74"/>
      <c r="AA126" s="5"/>
      <c r="AB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Y127" si="20">SUM(E117:E120)</f>
        <v>2</v>
      </c>
      <c r="F127" s="58">
        <f t="shared" si="20"/>
        <v>0</v>
      </c>
      <c r="G127" s="58">
        <f t="shared" si="20"/>
        <v>0</v>
      </c>
      <c r="H127" s="58">
        <f t="shared" si="20"/>
        <v>1</v>
      </c>
      <c r="I127" s="58">
        <f t="shared" si="20"/>
        <v>3</v>
      </c>
      <c r="J127" s="58">
        <f t="shared" si="20"/>
        <v>0</v>
      </c>
      <c r="K127" s="58">
        <f t="shared" si="20"/>
        <v>0</v>
      </c>
      <c r="L127" s="58">
        <f t="shared" si="20"/>
        <v>1</v>
      </c>
      <c r="M127" s="58">
        <f t="shared" si="20"/>
        <v>0</v>
      </c>
      <c r="N127" s="58">
        <f t="shared" si="20"/>
        <v>0</v>
      </c>
      <c r="O127" s="58">
        <f t="shared" si="20"/>
        <v>0</v>
      </c>
      <c r="P127" s="58">
        <f t="shared" si="20"/>
        <v>0</v>
      </c>
      <c r="Q127" s="58">
        <f t="shared" si="20"/>
        <v>1</v>
      </c>
      <c r="R127" s="58">
        <f t="shared" si="20"/>
        <v>2</v>
      </c>
      <c r="S127" s="58">
        <f t="shared" si="20"/>
        <v>0</v>
      </c>
      <c r="T127" s="58">
        <f t="shared" si="20"/>
        <v>4</v>
      </c>
      <c r="U127" s="58">
        <f t="shared" si="20"/>
        <v>0</v>
      </c>
      <c r="V127" s="58">
        <f t="shared" si="20"/>
        <v>1</v>
      </c>
      <c r="W127" s="58">
        <f t="shared" si="20"/>
        <v>0</v>
      </c>
      <c r="X127" s="58">
        <f t="shared" si="20"/>
        <v>2</v>
      </c>
      <c r="Y127" s="58">
        <f t="shared" si="20"/>
        <v>0</v>
      </c>
      <c r="Z127" s="13">
        <f>SUM(E127:Y127)</f>
        <v>17</v>
      </c>
      <c r="AA127" s="5"/>
      <c r="AB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5"/>
      <c r="AB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1.0</v>
      </c>
      <c r="R129" s="19">
        <v>1.0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1.0</v>
      </c>
      <c r="Y129" s="19">
        <v>1.0</v>
      </c>
      <c r="Z129" s="13">
        <f t="shared" ref="Z129:Z136" si="21">SUM(E129:Y129)</f>
        <v>7</v>
      </c>
      <c r="AA129" s="5"/>
      <c r="AB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1.0</v>
      </c>
      <c r="G130" s="19">
        <v>0.0</v>
      </c>
      <c r="H130" s="19">
        <v>0.0</v>
      </c>
      <c r="I130" s="19">
        <v>3.0</v>
      </c>
      <c r="J130" s="19">
        <v>1.0</v>
      </c>
      <c r="K130" s="19">
        <v>3.0</v>
      </c>
      <c r="L130" s="19">
        <v>2.0</v>
      </c>
      <c r="M130" s="19">
        <v>0.0</v>
      </c>
      <c r="N130" s="19">
        <v>0.0</v>
      </c>
      <c r="O130" s="19">
        <v>0.0</v>
      </c>
      <c r="P130" s="19">
        <v>2.0</v>
      </c>
      <c r="Q130" s="19">
        <v>4.0</v>
      </c>
      <c r="R130" s="19">
        <v>1.0</v>
      </c>
      <c r="S130" s="19">
        <v>0.0</v>
      </c>
      <c r="T130" s="19">
        <v>4.0</v>
      </c>
      <c r="U130" s="19">
        <v>4.0</v>
      </c>
      <c r="V130" s="19">
        <v>1.0</v>
      </c>
      <c r="W130" s="19">
        <v>0.0</v>
      </c>
      <c r="X130" s="19">
        <v>0.0</v>
      </c>
      <c r="Y130" s="19">
        <v>0.0</v>
      </c>
      <c r="Z130" s="13">
        <f t="shared" si="21"/>
        <v>27</v>
      </c>
      <c r="AA130" s="1"/>
      <c r="AB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1.0</v>
      </c>
      <c r="L131" s="19">
        <v>1.0</v>
      </c>
      <c r="M131" s="19">
        <v>3.0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3.0</v>
      </c>
      <c r="V131" s="19">
        <v>0.0</v>
      </c>
      <c r="W131" s="19">
        <v>0.0</v>
      </c>
      <c r="X131" s="19">
        <v>1.0</v>
      </c>
      <c r="Y131" s="19">
        <v>0.0</v>
      </c>
      <c r="Z131" s="13">
        <f t="shared" si="21"/>
        <v>10</v>
      </c>
      <c r="AA131" s="52"/>
      <c r="AB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3">
        <f t="shared" si="21"/>
        <v>1</v>
      </c>
      <c r="AA132" s="5"/>
      <c r="AB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3">
        <f t="shared" si="21"/>
        <v>0</v>
      </c>
      <c r="AA133" s="5"/>
      <c r="AB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3">
        <f t="shared" si="21"/>
        <v>1</v>
      </c>
      <c r="AA134" s="5"/>
      <c r="AB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3">
        <f t="shared" si="21"/>
        <v>0</v>
      </c>
      <c r="AA135" s="5"/>
      <c r="AB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3">
        <f t="shared" si="21"/>
        <v>0</v>
      </c>
      <c r="AA136" s="5"/>
      <c r="AB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74"/>
      <c r="AA137" s="5"/>
      <c r="AB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74"/>
      <c r="AA138" s="5"/>
      <c r="AB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Y139" si="22">SUM(E129:E136)</f>
        <v>1</v>
      </c>
      <c r="F139" s="13">
        <f t="shared" si="22"/>
        <v>2</v>
      </c>
      <c r="G139" s="13">
        <f t="shared" si="22"/>
        <v>2</v>
      </c>
      <c r="H139" s="13">
        <f t="shared" si="22"/>
        <v>1</v>
      </c>
      <c r="I139" s="13">
        <f t="shared" si="22"/>
        <v>4</v>
      </c>
      <c r="J139" s="13">
        <f t="shared" si="22"/>
        <v>1</v>
      </c>
      <c r="K139" s="13">
        <f t="shared" si="22"/>
        <v>4</v>
      </c>
      <c r="L139" s="13">
        <f t="shared" si="22"/>
        <v>3</v>
      </c>
      <c r="M139" s="13">
        <f t="shared" si="22"/>
        <v>4</v>
      </c>
      <c r="N139" s="13">
        <f t="shared" si="22"/>
        <v>0</v>
      </c>
      <c r="O139" s="13">
        <f t="shared" si="22"/>
        <v>0</v>
      </c>
      <c r="P139" s="13">
        <f t="shared" si="22"/>
        <v>2</v>
      </c>
      <c r="Q139" s="13">
        <f t="shared" si="22"/>
        <v>5</v>
      </c>
      <c r="R139" s="13">
        <f t="shared" si="22"/>
        <v>2</v>
      </c>
      <c r="S139" s="13">
        <f t="shared" si="22"/>
        <v>0</v>
      </c>
      <c r="T139" s="13">
        <f t="shared" si="22"/>
        <v>4</v>
      </c>
      <c r="U139" s="13">
        <f t="shared" si="22"/>
        <v>7</v>
      </c>
      <c r="V139" s="13">
        <f t="shared" si="22"/>
        <v>1</v>
      </c>
      <c r="W139" s="13">
        <f t="shared" si="22"/>
        <v>0</v>
      </c>
      <c r="X139" s="13">
        <f t="shared" si="22"/>
        <v>2</v>
      </c>
      <c r="Y139" s="13">
        <f t="shared" si="22"/>
        <v>1</v>
      </c>
      <c r="Z139" s="13">
        <f>SUM(E139:Y139)</f>
        <v>46</v>
      </c>
      <c r="AA139" s="5"/>
      <c r="AB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5"/>
      <c r="AB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3">
        <f t="shared" ref="Z141:Z148" si="23">SUM(E141:Y141)</f>
        <v>1</v>
      </c>
      <c r="AA141" s="1"/>
      <c r="AB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3">
        <f t="shared" si="23"/>
        <v>0</v>
      </c>
      <c r="AA142" s="52"/>
      <c r="AB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3">
        <f t="shared" si="23"/>
        <v>0</v>
      </c>
      <c r="AA143" s="5"/>
      <c r="AB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1.0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3">
        <f t="shared" si="23"/>
        <v>1</v>
      </c>
      <c r="AA144" s="5"/>
      <c r="AB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3">
        <f t="shared" si="23"/>
        <v>0</v>
      </c>
      <c r="AA145" s="5"/>
      <c r="AB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3">
        <f t="shared" si="23"/>
        <v>0</v>
      </c>
      <c r="AA146" s="5"/>
      <c r="AB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3">
        <f t="shared" si="23"/>
        <v>0</v>
      </c>
      <c r="AA147" s="5"/>
      <c r="AB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3">
        <f t="shared" si="23"/>
        <v>0</v>
      </c>
      <c r="AA148" s="5"/>
      <c r="AB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74"/>
      <c r="AA149" s="5"/>
      <c r="AB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74"/>
      <c r="AA150" s="5"/>
      <c r="AB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Y151" si="24">SUM(E141:E148)</f>
        <v>0</v>
      </c>
      <c r="F151" s="13">
        <f t="shared" si="24"/>
        <v>0</v>
      </c>
      <c r="G151" s="13">
        <f t="shared" si="24"/>
        <v>0</v>
      </c>
      <c r="H151" s="13">
        <f t="shared" si="24"/>
        <v>0</v>
      </c>
      <c r="I151" s="13">
        <f t="shared" si="24"/>
        <v>0</v>
      </c>
      <c r="J151" s="13">
        <f t="shared" si="24"/>
        <v>0</v>
      </c>
      <c r="K151" s="13">
        <f t="shared" si="24"/>
        <v>1</v>
      </c>
      <c r="L151" s="13">
        <f t="shared" si="24"/>
        <v>0</v>
      </c>
      <c r="M151" s="13">
        <f t="shared" si="24"/>
        <v>0</v>
      </c>
      <c r="N151" s="13">
        <f t="shared" si="24"/>
        <v>0</v>
      </c>
      <c r="O151" s="13">
        <f t="shared" si="24"/>
        <v>0</v>
      </c>
      <c r="P151" s="13">
        <f t="shared" si="24"/>
        <v>0</v>
      </c>
      <c r="Q151" s="13">
        <f t="shared" si="24"/>
        <v>0</v>
      </c>
      <c r="R151" s="13">
        <f t="shared" si="24"/>
        <v>0</v>
      </c>
      <c r="S151" s="13">
        <f t="shared" si="24"/>
        <v>0</v>
      </c>
      <c r="T151" s="13">
        <f t="shared" si="24"/>
        <v>1</v>
      </c>
      <c r="U151" s="13">
        <f t="shared" si="24"/>
        <v>0</v>
      </c>
      <c r="V151" s="13">
        <f t="shared" si="24"/>
        <v>0</v>
      </c>
      <c r="W151" s="13">
        <f t="shared" si="24"/>
        <v>0</v>
      </c>
      <c r="X151" s="13">
        <f t="shared" si="24"/>
        <v>0</v>
      </c>
      <c r="Y151" s="13">
        <f t="shared" si="24"/>
        <v>0</v>
      </c>
      <c r="Z151" s="13">
        <f>SUM(E151:Y151)</f>
        <v>2</v>
      </c>
      <c r="AA151" s="1"/>
      <c r="AB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13"/>
      <c r="AA152" s="52"/>
      <c r="AB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1.0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3">
        <v>3.0</v>
      </c>
      <c r="AA153" s="5"/>
      <c r="AB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1.0</v>
      </c>
      <c r="Y154" s="19">
        <v>0.0</v>
      </c>
      <c r="Z154" s="13">
        <v>2.0</v>
      </c>
      <c r="AA154" s="5"/>
      <c r="AB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1.0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3">
        <v>4.0</v>
      </c>
      <c r="AA155" s="5"/>
      <c r="AB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3">
        <v>0.0</v>
      </c>
      <c r="AA156" s="5"/>
      <c r="AB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3">
        <v>1.0</v>
      </c>
      <c r="AA157" s="5"/>
      <c r="AB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74"/>
      <c r="AA158" s="5"/>
      <c r="AB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74"/>
      <c r="AA159" s="5"/>
      <c r="AB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74"/>
      <c r="AA160" s="5"/>
      <c r="AB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74"/>
      <c r="AA161" s="5"/>
      <c r="AB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74"/>
      <c r="AA162" s="5"/>
      <c r="AB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Y163" si="25">SUM(E153:E157)</f>
        <v>1</v>
      </c>
      <c r="F163" s="13">
        <f t="shared" si="25"/>
        <v>0</v>
      </c>
      <c r="G163" s="13">
        <f t="shared" si="25"/>
        <v>0</v>
      </c>
      <c r="H163" s="13">
        <f t="shared" si="25"/>
        <v>2</v>
      </c>
      <c r="I163" s="13">
        <f t="shared" si="25"/>
        <v>0</v>
      </c>
      <c r="J163" s="13">
        <f t="shared" si="25"/>
        <v>1</v>
      </c>
      <c r="K163" s="13">
        <f t="shared" si="25"/>
        <v>0</v>
      </c>
      <c r="L163" s="13">
        <f t="shared" si="25"/>
        <v>0</v>
      </c>
      <c r="M163" s="13">
        <f t="shared" si="25"/>
        <v>0</v>
      </c>
      <c r="N163" s="13">
        <f t="shared" si="25"/>
        <v>0</v>
      </c>
      <c r="O163" s="13">
        <f t="shared" si="25"/>
        <v>2</v>
      </c>
      <c r="P163" s="13">
        <f t="shared" si="25"/>
        <v>2</v>
      </c>
      <c r="Q163" s="13">
        <f t="shared" si="25"/>
        <v>1</v>
      </c>
      <c r="R163" s="13">
        <f t="shared" si="25"/>
        <v>0</v>
      </c>
      <c r="S163" s="13">
        <f t="shared" si="25"/>
        <v>0</v>
      </c>
      <c r="T163" s="13">
        <f t="shared" si="25"/>
        <v>0</v>
      </c>
      <c r="U163" s="13">
        <f t="shared" si="25"/>
        <v>0</v>
      </c>
      <c r="V163" s="13">
        <f t="shared" si="25"/>
        <v>0</v>
      </c>
      <c r="W163" s="13">
        <f t="shared" si="25"/>
        <v>0</v>
      </c>
      <c r="X163" s="13">
        <f t="shared" si="25"/>
        <v>1</v>
      </c>
      <c r="Y163" s="13">
        <f t="shared" si="25"/>
        <v>0</v>
      </c>
      <c r="Z163" s="13">
        <v>10.0</v>
      </c>
      <c r="AA163" s="5"/>
      <c r="AB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5"/>
      <c r="AB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3">
        <f t="shared" ref="Z165:Z172" si="26">SUM(E165:Y165)</f>
        <v>1</v>
      </c>
      <c r="AA165" s="1"/>
      <c r="AB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3">
        <f t="shared" si="26"/>
        <v>0</v>
      </c>
      <c r="AA166" s="52"/>
      <c r="AB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3">
        <f t="shared" si="26"/>
        <v>0</v>
      </c>
      <c r="AA167" s="5"/>
      <c r="AB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3">
        <f t="shared" si="26"/>
        <v>0</v>
      </c>
      <c r="AA168" s="5"/>
      <c r="AB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3">
        <f t="shared" si="26"/>
        <v>0</v>
      </c>
      <c r="AA169" s="5"/>
      <c r="AB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3">
        <f t="shared" si="26"/>
        <v>0</v>
      </c>
      <c r="AA170" s="5"/>
      <c r="AB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3">
        <f t="shared" si="26"/>
        <v>0</v>
      </c>
      <c r="AA171" s="5"/>
      <c r="AB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3">
        <f t="shared" si="26"/>
        <v>0</v>
      </c>
      <c r="AA172" s="5"/>
      <c r="AB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74"/>
      <c r="AA173" s="5"/>
      <c r="AB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74"/>
      <c r="AA174" s="5"/>
      <c r="AB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Y175" si="27">SUM(E165:E172)</f>
        <v>0</v>
      </c>
      <c r="F175" s="13">
        <f t="shared" si="27"/>
        <v>0</v>
      </c>
      <c r="G175" s="13">
        <f t="shared" si="27"/>
        <v>1</v>
      </c>
      <c r="H175" s="13">
        <f t="shared" si="27"/>
        <v>0</v>
      </c>
      <c r="I175" s="13">
        <f t="shared" si="27"/>
        <v>0</v>
      </c>
      <c r="J175" s="13">
        <f t="shared" si="27"/>
        <v>0</v>
      </c>
      <c r="K175" s="13">
        <f t="shared" si="27"/>
        <v>0</v>
      </c>
      <c r="L175" s="13">
        <f t="shared" si="27"/>
        <v>0</v>
      </c>
      <c r="M175" s="13">
        <f t="shared" si="27"/>
        <v>0</v>
      </c>
      <c r="N175" s="13">
        <f t="shared" si="27"/>
        <v>0</v>
      </c>
      <c r="O175" s="13">
        <f t="shared" si="27"/>
        <v>0</v>
      </c>
      <c r="P175" s="13">
        <f t="shared" si="27"/>
        <v>0</v>
      </c>
      <c r="Q175" s="13">
        <f t="shared" si="27"/>
        <v>0</v>
      </c>
      <c r="R175" s="13">
        <f t="shared" si="27"/>
        <v>0</v>
      </c>
      <c r="S175" s="13">
        <f t="shared" si="27"/>
        <v>0</v>
      </c>
      <c r="T175" s="13">
        <f t="shared" si="27"/>
        <v>0</v>
      </c>
      <c r="U175" s="13">
        <f t="shared" si="27"/>
        <v>0</v>
      </c>
      <c r="V175" s="13">
        <f t="shared" si="27"/>
        <v>0</v>
      </c>
      <c r="W175" s="13">
        <f t="shared" si="27"/>
        <v>0</v>
      </c>
      <c r="X175" s="13">
        <f t="shared" si="27"/>
        <v>0</v>
      </c>
      <c r="Y175" s="13">
        <f t="shared" si="27"/>
        <v>0</v>
      </c>
      <c r="Z175" s="13">
        <f>SUM(E175:Y175)</f>
        <v>1</v>
      </c>
      <c r="AA175" s="5"/>
      <c r="AB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1"/>
      <c r="AB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9">
        <v>0.0</v>
      </c>
      <c r="P177" s="19">
        <v>2.0</v>
      </c>
      <c r="Q177" s="19">
        <v>0.0</v>
      </c>
      <c r="R177" s="19">
        <v>0.0</v>
      </c>
      <c r="S177" s="19">
        <v>0.0</v>
      </c>
      <c r="T177" s="19">
        <v>2.0</v>
      </c>
      <c r="U177" s="19">
        <v>0.0</v>
      </c>
      <c r="V177" s="19">
        <v>0.0</v>
      </c>
      <c r="W177" s="19">
        <v>0.0</v>
      </c>
      <c r="X177" s="19">
        <v>1.0</v>
      </c>
      <c r="Y177" s="19">
        <v>3.0</v>
      </c>
      <c r="Z177" s="13">
        <f t="shared" ref="Z177:Z184" si="28">SUM(E177:Y177)</f>
        <v>10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3">
        <f t="shared" si="28"/>
        <v>2</v>
      </c>
      <c r="AA178" s="5"/>
      <c r="AB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1.0</v>
      </c>
      <c r="Z179" s="13">
        <f t="shared" si="28"/>
        <v>1</v>
      </c>
      <c r="AA179" s="5"/>
      <c r="AB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3">
        <f t="shared" si="28"/>
        <v>1</v>
      </c>
      <c r="AA180" s="5"/>
      <c r="AB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3">
        <f t="shared" si="28"/>
        <v>0</v>
      </c>
      <c r="AA181" s="5"/>
      <c r="AB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3">
        <f t="shared" si="28"/>
        <v>0</v>
      </c>
      <c r="AA182" s="5"/>
      <c r="AB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3">
        <f t="shared" si="28"/>
        <v>0</v>
      </c>
      <c r="AA183" s="5"/>
      <c r="AB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3">
        <f t="shared" si="28"/>
        <v>0</v>
      </c>
      <c r="AA184" s="5"/>
      <c r="AB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74"/>
      <c r="AA185" s="5"/>
      <c r="AB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74"/>
      <c r="AA186" s="5"/>
      <c r="AB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Y187" si="29">SUM(E177:E184)</f>
        <v>0</v>
      </c>
      <c r="F187" s="13">
        <f t="shared" si="29"/>
        <v>1</v>
      </c>
      <c r="G187" s="13">
        <f t="shared" si="29"/>
        <v>0</v>
      </c>
      <c r="H187" s="13">
        <f t="shared" si="29"/>
        <v>1</v>
      </c>
      <c r="I187" s="13">
        <f t="shared" si="29"/>
        <v>0</v>
      </c>
      <c r="J187" s="13">
        <f t="shared" si="29"/>
        <v>0</v>
      </c>
      <c r="K187" s="13">
        <f t="shared" si="29"/>
        <v>0</v>
      </c>
      <c r="L187" s="13">
        <f t="shared" si="29"/>
        <v>0</v>
      </c>
      <c r="M187" s="13">
        <f t="shared" si="29"/>
        <v>1</v>
      </c>
      <c r="N187" s="13">
        <f t="shared" si="29"/>
        <v>0</v>
      </c>
      <c r="O187" s="13">
        <f t="shared" si="29"/>
        <v>0</v>
      </c>
      <c r="P187" s="13">
        <f t="shared" si="29"/>
        <v>3</v>
      </c>
      <c r="Q187" s="13">
        <f t="shared" si="29"/>
        <v>0</v>
      </c>
      <c r="R187" s="13">
        <f t="shared" si="29"/>
        <v>0</v>
      </c>
      <c r="S187" s="13">
        <f t="shared" si="29"/>
        <v>0</v>
      </c>
      <c r="T187" s="13">
        <f t="shared" si="29"/>
        <v>2</v>
      </c>
      <c r="U187" s="13">
        <f t="shared" si="29"/>
        <v>0</v>
      </c>
      <c r="V187" s="13">
        <f t="shared" si="29"/>
        <v>0</v>
      </c>
      <c r="W187" s="13">
        <f t="shared" si="29"/>
        <v>0</v>
      </c>
      <c r="X187" s="13">
        <f t="shared" si="29"/>
        <v>1</v>
      </c>
      <c r="Y187" s="13">
        <f t="shared" si="29"/>
        <v>5</v>
      </c>
      <c r="Z187" s="13">
        <f>SUM(E187:Y187)</f>
        <v>14</v>
      </c>
      <c r="AA187" s="1"/>
      <c r="AB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Z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3">
        <f t="shared" ref="Z189:Z196" si="30">SUM(E189:Y189)</f>
        <v>3</v>
      </c>
      <c r="AA189" s="5"/>
      <c r="AB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3">
        <f t="shared" si="30"/>
        <v>1</v>
      </c>
      <c r="AA190" s="5"/>
      <c r="AB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1.0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3">
        <f t="shared" si="30"/>
        <v>2</v>
      </c>
      <c r="AA191" s="5"/>
      <c r="AB191" s="5"/>
    </row>
    <row r="192" ht="12.75" customHeight="1">
      <c r="A192" s="18"/>
      <c r="B192" s="55">
        <v>3.0</v>
      </c>
      <c r="C192" s="50" t="s">
        <v>141</v>
      </c>
      <c r="D192" s="57"/>
      <c r="E192" s="19">
        <v>1.0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3">
        <f t="shared" si="30"/>
        <v>1</v>
      </c>
      <c r="AA192" s="5"/>
      <c r="AB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3">
        <f t="shared" si="30"/>
        <v>0</v>
      </c>
      <c r="AA193" s="5"/>
      <c r="AB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3">
        <f t="shared" si="30"/>
        <v>0</v>
      </c>
      <c r="AA194" s="5"/>
      <c r="AB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3">
        <f t="shared" si="30"/>
        <v>0</v>
      </c>
      <c r="AA195" s="5"/>
      <c r="AB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3">
        <f t="shared" si="30"/>
        <v>0</v>
      </c>
      <c r="AA196" s="1"/>
      <c r="AB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74"/>
      <c r="AA197" s="1"/>
      <c r="AB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74"/>
      <c r="AA198" s="1"/>
      <c r="AB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Y199" si="31">SUM(E189:E196)</f>
        <v>1</v>
      </c>
      <c r="F199" s="13">
        <f t="shared" si="31"/>
        <v>1</v>
      </c>
      <c r="G199" s="13">
        <f t="shared" si="31"/>
        <v>0</v>
      </c>
      <c r="H199" s="13">
        <f t="shared" si="31"/>
        <v>0</v>
      </c>
      <c r="I199" s="13">
        <f t="shared" si="31"/>
        <v>0</v>
      </c>
      <c r="J199" s="13">
        <f t="shared" si="31"/>
        <v>1</v>
      </c>
      <c r="K199" s="13">
        <f t="shared" si="31"/>
        <v>0</v>
      </c>
      <c r="L199" s="13">
        <f t="shared" si="31"/>
        <v>1</v>
      </c>
      <c r="M199" s="13">
        <f t="shared" si="31"/>
        <v>1</v>
      </c>
      <c r="N199" s="13">
        <f t="shared" si="31"/>
        <v>0</v>
      </c>
      <c r="O199" s="13">
        <f t="shared" si="31"/>
        <v>0</v>
      </c>
      <c r="P199" s="13">
        <f t="shared" si="31"/>
        <v>0</v>
      </c>
      <c r="Q199" s="13">
        <f t="shared" si="31"/>
        <v>1</v>
      </c>
      <c r="R199" s="13">
        <f t="shared" si="31"/>
        <v>0</v>
      </c>
      <c r="S199" s="13">
        <f t="shared" si="31"/>
        <v>0</v>
      </c>
      <c r="T199" s="13">
        <f t="shared" si="31"/>
        <v>0</v>
      </c>
      <c r="U199" s="13">
        <f t="shared" si="31"/>
        <v>1</v>
      </c>
      <c r="V199" s="13">
        <f t="shared" si="31"/>
        <v>0</v>
      </c>
      <c r="W199" s="13">
        <f t="shared" si="31"/>
        <v>0</v>
      </c>
      <c r="X199" s="13">
        <f t="shared" si="31"/>
        <v>0</v>
      </c>
      <c r="Y199" s="13">
        <f t="shared" si="31"/>
        <v>0</v>
      </c>
      <c r="Z199" s="13">
        <f>SUM(E199:Y199)</f>
        <v>7</v>
      </c>
      <c r="AA199" s="52"/>
      <c r="AB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5"/>
      <c r="AB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3.0</v>
      </c>
      <c r="G201" s="19">
        <v>1.0</v>
      </c>
      <c r="H201" s="19">
        <v>1.0</v>
      </c>
      <c r="I201" s="19">
        <v>5.0</v>
      </c>
      <c r="J201" s="19">
        <v>3.0</v>
      </c>
      <c r="K201" s="19">
        <v>12.0</v>
      </c>
      <c r="L201" s="19">
        <v>6.0</v>
      </c>
      <c r="M201" s="19">
        <v>3.0</v>
      </c>
      <c r="N201" s="19">
        <v>0.0</v>
      </c>
      <c r="O201" s="19">
        <v>4.0</v>
      </c>
      <c r="P201" s="19">
        <v>3.0</v>
      </c>
      <c r="Q201" s="19">
        <v>1.0</v>
      </c>
      <c r="R201" s="19">
        <v>4.0</v>
      </c>
      <c r="S201" s="19">
        <v>0.0</v>
      </c>
      <c r="T201" s="19">
        <v>3.0</v>
      </c>
      <c r="U201" s="19">
        <v>1.0</v>
      </c>
      <c r="V201" s="19">
        <v>7.0</v>
      </c>
      <c r="W201" s="19">
        <v>10.0</v>
      </c>
      <c r="X201" s="19">
        <v>14.0</v>
      </c>
      <c r="Y201" s="19">
        <v>6.0</v>
      </c>
      <c r="Z201" s="13">
        <f t="shared" ref="Z201:Z208" si="32">SUM(E201:Y201)</f>
        <v>88</v>
      </c>
      <c r="AA201" s="5"/>
      <c r="AB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4.0</v>
      </c>
      <c r="G202" s="19">
        <v>3.0</v>
      </c>
      <c r="H202" s="19">
        <v>2.0</v>
      </c>
      <c r="I202" s="19">
        <v>4.0</v>
      </c>
      <c r="J202" s="19">
        <v>5.0</v>
      </c>
      <c r="K202" s="19">
        <v>9.0</v>
      </c>
      <c r="L202" s="19">
        <v>3.0</v>
      </c>
      <c r="M202" s="19">
        <v>1.0</v>
      </c>
      <c r="N202" s="19">
        <v>3.0</v>
      </c>
      <c r="O202" s="19">
        <v>6.0</v>
      </c>
      <c r="P202" s="19">
        <v>3.0</v>
      </c>
      <c r="Q202" s="19">
        <v>3.0</v>
      </c>
      <c r="R202" s="19">
        <v>2.0</v>
      </c>
      <c r="S202" s="19">
        <v>4.0</v>
      </c>
      <c r="T202" s="19">
        <v>1.0</v>
      </c>
      <c r="U202" s="19">
        <v>2.0</v>
      </c>
      <c r="V202" s="19">
        <v>5.0</v>
      </c>
      <c r="W202" s="19">
        <v>9.0</v>
      </c>
      <c r="X202" s="19">
        <v>12.0</v>
      </c>
      <c r="Y202" s="19">
        <v>20.0</v>
      </c>
      <c r="Z202" s="13">
        <f t="shared" si="32"/>
        <v>102</v>
      </c>
      <c r="AA202" s="5"/>
      <c r="AB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1.0</v>
      </c>
      <c r="H203" s="19">
        <v>3.0</v>
      </c>
      <c r="I203" s="19">
        <v>2.0</v>
      </c>
      <c r="J203" s="19">
        <v>0.0</v>
      </c>
      <c r="K203" s="19">
        <v>4.0</v>
      </c>
      <c r="L203" s="19">
        <v>3.0</v>
      </c>
      <c r="M203" s="19">
        <v>1.0</v>
      </c>
      <c r="N203" s="19">
        <v>1.0</v>
      </c>
      <c r="O203" s="19">
        <v>1.0</v>
      </c>
      <c r="P203" s="19">
        <v>3.0</v>
      </c>
      <c r="Q203" s="19">
        <v>3.0</v>
      </c>
      <c r="R203" s="19">
        <v>2.0</v>
      </c>
      <c r="S203" s="19">
        <v>1.0</v>
      </c>
      <c r="T203" s="19">
        <v>5.0</v>
      </c>
      <c r="U203" s="19">
        <v>1.0</v>
      </c>
      <c r="V203" s="19">
        <v>1.0</v>
      </c>
      <c r="W203" s="19">
        <v>0.0</v>
      </c>
      <c r="X203" s="19">
        <v>4.0</v>
      </c>
      <c r="Y203" s="19">
        <v>7.0</v>
      </c>
      <c r="Z203" s="13">
        <f t="shared" si="32"/>
        <v>43</v>
      </c>
      <c r="AA203" s="5"/>
      <c r="AB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0.0</v>
      </c>
      <c r="T204" s="19">
        <v>1.0</v>
      </c>
      <c r="U204" s="19">
        <v>0.0</v>
      </c>
      <c r="V204" s="19">
        <v>1.0</v>
      </c>
      <c r="W204" s="19">
        <v>3.0</v>
      </c>
      <c r="X204" s="19">
        <v>4.0</v>
      </c>
      <c r="Y204" s="19">
        <v>2.0</v>
      </c>
      <c r="Z204" s="13">
        <f t="shared" si="32"/>
        <v>13</v>
      </c>
      <c r="AA204" s="5"/>
      <c r="AB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1.0</v>
      </c>
      <c r="I205" s="19">
        <v>0.0</v>
      </c>
      <c r="J205" s="19">
        <v>1.0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9">
        <v>0.0</v>
      </c>
      <c r="W205" s="19">
        <v>1.0</v>
      </c>
      <c r="X205" s="19">
        <v>0.0</v>
      </c>
      <c r="Y205" s="19">
        <v>0.0</v>
      </c>
      <c r="Z205" s="13">
        <f t="shared" si="32"/>
        <v>6</v>
      </c>
      <c r="AA205" s="5"/>
      <c r="AB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2.0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2.0</v>
      </c>
      <c r="Z206" s="13">
        <f t="shared" si="32"/>
        <v>8</v>
      </c>
      <c r="AA206" s="5"/>
      <c r="AB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1.0</v>
      </c>
      <c r="V207" s="19">
        <v>0.0</v>
      </c>
      <c r="W207" s="19">
        <v>0.0</v>
      </c>
      <c r="X207" s="19">
        <v>0.0</v>
      </c>
      <c r="Y207" s="19">
        <v>0.0</v>
      </c>
      <c r="Z207" s="13">
        <f t="shared" si="32"/>
        <v>1</v>
      </c>
      <c r="AA207" s="1"/>
      <c r="AB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0.0</v>
      </c>
      <c r="G208" s="19">
        <v>1.0</v>
      </c>
      <c r="H208" s="19">
        <v>1.0</v>
      </c>
      <c r="I208" s="19">
        <v>0.0</v>
      </c>
      <c r="J208" s="19">
        <v>1.0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3">
        <f t="shared" si="32"/>
        <v>6</v>
      </c>
      <c r="AA208" s="52"/>
      <c r="AB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74"/>
      <c r="AA209" s="52"/>
      <c r="AB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74"/>
      <c r="AA210" s="52"/>
      <c r="AB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Y211" si="33">SUM(E201:E208)</f>
        <v>3</v>
      </c>
      <c r="F211" s="13">
        <f t="shared" si="33"/>
        <v>9</v>
      </c>
      <c r="G211" s="13">
        <f t="shared" si="33"/>
        <v>8</v>
      </c>
      <c r="H211" s="13">
        <f t="shared" si="33"/>
        <v>9</v>
      </c>
      <c r="I211" s="13">
        <f t="shared" si="33"/>
        <v>11</v>
      </c>
      <c r="J211" s="13">
        <f t="shared" si="33"/>
        <v>11</v>
      </c>
      <c r="K211" s="13">
        <f t="shared" si="33"/>
        <v>26</v>
      </c>
      <c r="L211" s="13">
        <f t="shared" si="33"/>
        <v>12</v>
      </c>
      <c r="M211" s="13">
        <f t="shared" si="33"/>
        <v>5</v>
      </c>
      <c r="N211" s="13">
        <f t="shared" si="33"/>
        <v>5</v>
      </c>
      <c r="O211" s="13">
        <f t="shared" si="33"/>
        <v>12</v>
      </c>
      <c r="P211" s="13">
        <f t="shared" si="33"/>
        <v>10</v>
      </c>
      <c r="Q211" s="13">
        <f t="shared" si="33"/>
        <v>7</v>
      </c>
      <c r="R211" s="13">
        <f t="shared" si="33"/>
        <v>9</v>
      </c>
      <c r="S211" s="13">
        <f t="shared" si="33"/>
        <v>5</v>
      </c>
      <c r="T211" s="13">
        <f t="shared" si="33"/>
        <v>11</v>
      </c>
      <c r="U211" s="13">
        <f t="shared" si="33"/>
        <v>5</v>
      </c>
      <c r="V211" s="13">
        <f t="shared" si="33"/>
        <v>14</v>
      </c>
      <c r="W211" s="13">
        <f t="shared" si="33"/>
        <v>23</v>
      </c>
      <c r="X211" s="13">
        <f t="shared" si="33"/>
        <v>35</v>
      </c>
      <c r="Y211" s="13">
        <f t="shared" si="33"/>
        <v>37</v>
      </c>
      <c r="Z211" s="13">
        <f>SUM(E211:Y211)</f>
        <v>267</v>
      </c>
      <c r="AA211" s="5"/>
      <c r="AB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5"/>
      <c r="AB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1.0</v>
      </c>
      <c r="G213" s="19">
        <v>0.0</v>
      </c>
      <c r="H213" s="19">
        <v>3.0</v>
      </c>
      <c r="I213" s="19">
        <v>0.0</v>
      </c>
      <c r="J213" s="19">
        <v>2.0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1.0</v>
      </c>
      <c r="R213" s="19">
        <v>0.0</v>
      </c>
      <c r="S213" s="19">
        <v>2.0</v>
      </c>
      <c r="T213" s="19">
        <v>0.0</v>
      </c>
      <c r="U213" s="19">
        <v>1.0</v>
      </c>
      <c r="V213" s="19">
        <v>1.0</v>
      </c>
      <c r="W213" s="19">
        <v>1.0</v>
      </c>
      <c r="X213" s="19">
        <v>0.0</v>
      </c>
      <c r="Y213" s="19">
        <v>0.0</v>
      </c>
      <c r="Z213" s="13">
        <f t="shared" ref="Z213:Z220" si="34">SUM(E213:Y213)</f>
        <v>15</v>
      </c>
      <c r="AA213" s="5"/>
      <c r="AB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1.0</v>
      </c>
      <c r="N214" s="19">
        <v>1.0</v>
      </c>
      <c r="O214" s="19">
        <v>3.0</v>
      </c>
      <c r="P214" s="19">
        <v>1.0</v>
      </c>
      <c r="Q214" s="19">
        <v>0.0</v>
      </c>
      <c r="R214" s="19">
        <v>0.0</v>
      </c>
      <c r="S214" s="19">
        <v>1.0</v>
      </c>
      <c r="T214" s="19">
        <v>1.0</v>
      </c>
      <c r="U214" s="19">
        <v>2.0</v>
      </c>
      <c r="V214" s="19">
        <v>0.0</v>
      </c>
      <c r="W214" s="19">
        <v>1.0</v>
      </c>
      <c r="X214" s="19">
        <v>0.0</v>
      </c>
      <c r="Y214" s="19">
        <v>0.0</v>
      </c>
      <c r="Z214" s="13">
        <f t="shared" si="34"/>
        <v>12</v>
      </c>
      <c r="AA214" s="5"/>
      <c r="AB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10.0</v>
      </c>
      <c r="F215" s="19">
        <v>4.0</v>
      </c>
      <c r="G215" s="19">
        <v>4.0</v>
      </c>
      <c r="H215" s="19">
        <v>11.0</v>
      </c>
      <c r="I215" s="19">
        <v>14.0</v>
      </c>
      <c r="J215" s="19">
        <v>2.0</v>
      </c>
      <c r="K215" s="19">
        <v>3.0</v>
      </c>
      <c r="L215" s="19">
        <v>7.0</v>
      </c>
      <c r="M215" s="19">
        <v>8.0</v>
      </c>
      <c r="N215" s="19">
        <v>3.0</v>
      </c>
      <c r="O215" s="19">
        <v>17.0</v>
      </c>
      <c r="P215" s="19">
        <v>0.0</v>
      </c>
      <c r="Q215" s="19">
        <v>5.0</v>
      </c>
      <c r="R215" s="19">
        <v>5.0</v>
      </c>
      <c r="S215" s="19">
        <v>2.0</v>
      </c>
      <c r="T215" s="19">
        <v>0.0</v>
      </c>
      <c r="U215" s="19">
        <v>1.0</v>
      </c>
      <c r="V215" s="19">
        <v>0.0</v>
      </c>
      <c r="W215" s="19">
        <v>1.0</v>
      </c>
      <c r="X215" s="19">
        <v>3.0</v>
      </c>
      <c r="Y215" s="19">
        <v>0.0</v>
      </c>
      <c r="Z215" s="13">
        <f t="shared" si="34"/>
        <v>100</v>
      </c>
      <c r="AA215" s="5"/>
      <c r="AB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3">
        <f t="shared" si="34"/>
        <v>0</v>
      </c>
      <c r="AA216" s="5"/>
      <c r="AB216" s="5"/>
    </row>
    <row r="217" ht="12.75" customHeight="1">
      <c r="A217" s="18"/>
      <c r="B217" s="55">
        <v>4.0</v>
      </c>
      <c r="C217" s="50" t="s">
        <v>160</v>
      </c>
      <c r="D217" s="56"/>
      <c r="E217" s="19">
        <v>1.0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3">
        <f t="shared" si="34"/>
        <v>1</v>
      </c>
      <c r="AA217" s="5"/>
      <c r="AB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3">
        <f t="shared" si="34"/>
        <v>0</v>
      </c>
      <c r="AA218" s="1"/>
      <c r="AB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3">
        <f t="shared" si="34"/>
        <v>0</v>
      </c>
      <c r="AA219" s="52"/>
      <c r="AB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3">
        <f t="shared" si="34"/>
        <v>0</v>
      </c>
      <c r="AA220" s="5"/>
      <c r="AB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74"/>
      <c r="AA221" s="5"/>
      <c r="AB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74"/>
      <c r="AA222" s="5"/>
      <c r="AB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Y223" si="35">SUM(E213:E220)</f>
        <v>14</v>
      </c>
      <c r="F223" s="13">
        <f t="shared" si="35"/>
        <v>5</v>
      </c>
      <c r="G223" s="13">
        <f t="shared" si="35"/>
        <v>4</v>
      </c>
      <c r="H223" s="13">
        <f t="shared" si="35"/>
        <v>14</v>
      </c>
      <c r="I223" s="13">
        <f t="shared" si="35"/>
        <v>14</v>
      </c>
      <c r="J223" s="13">
        <f t="shared" si="35"/>
        <v>5</v>
      </c>
      <c r="K223" s="13">
        <f t="shared" si="35"/>
        <v>3</v>
      </c>
      <c r="L223" s="13">
        <f t="shared" si="35"/>
        <v>7</v>
      </c>
      <c r="M223" s="13">
        <f t="shared" si="35"/>
        <v>9</v>
      </c>
      <c r="N223" s="13">
        <f t="shared" si="35"/>
        <v>4</v>
      </c>
      <c r="O223" s="13">
        <f t="shared" si="35"/>
        <v>20</v>
      </c>
      <c r="P223" s="13">
        <f t="shared" si="35"/>
        <v>1</v>
      </c>
      <c r="Q223" s="13">
        <f t="shared" si="35"/>
        <v>6</v>
      </c>
      <c r="R223" s="13">
        <f t="shared" si="35"/>
        <v>5</v>
      </c>
      <c r="S223" s="13">
        <f t="shared" si="35"/>
        <v>5</v>
      </c>
      <c r="T223" s="13">
        <f t="shared" si="35"/>
        <v>1</v>
      </c>
      <c r="U223" s="13">
        <f t="shared" si="35"/>
        <v>4</v>
      </c>
      <c r="V223" s="13">
        <f t="shared" si="35"/>
        <v>1</v>
      </c>
      <c r="W223" s="13">
        <f t="shared" si="35"/>
        <v>3</v>
      </c>
      <c r="X223" s="13">
        <f t="shared" si="35"/>
        <v>3</v>
      </c>
      <c r="Y223" s="13">
        <f t="shared" si="35"/>
        <v>0</v>
      </c>
      <c r="Z223" s="13">
        <f>SUM(E223:Y223)</f>
        <v>128</v>
      </c>
      <c r="AA223" s="5"/>
      <c r="AB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5"/>
      <c r="AB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2.0</v>
      </c>
      <c r="Y225" s="19">
        <v>0.0</v>
      </c>
      <c r="Z225" s="13">
        <v>2.0</v>
      </c>
      <c r="AA225" s="5"/>
      <c r="AB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4.0</v>
      </c>
      <c r="U226" s="19">
        <v>2.0</v>
      </c>
      <c r="V226" s="19">
        <v>13.0</v>
      </c>
      <c r="W226" s="19">
        <v>4.0</v>
      </c>
      <c r="X226" s="19">
        <v>0.0</v>
      </c>
      <c r="Y226" s="19">
        <v>4.0</v>
      </c>
      <c r="Z226" s="13">
        <v>28.0</v>
      </c>
      <c r="AA226" s="5"/>
      <c r="AB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3">
        <v>0.0</v>
      </c>
      <c r="AA227" s="5"/>
      <c r="AB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1.0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3">
        <v>1.0</v>
      </c>
      <c r="AA228" s="5"/>
      <c r="AB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3">
        <v>0.0</v>
      </c>
      <c r="AA229" s="1"/>
      <c r="AB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3">
        <v>0.0</v>
      </c>
      <c r="AA230" s="52"/>
      <c r="AB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3">
        <v>0.0</v>
      </c>
      <c r="AA231" s="5"/>
      <c r="AB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3">
        <v>0.0</v>
      </c>
      <c r="AA232" s="5"/>
      <c r="AB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74"/>
      <c r="AA233" s="5"/>
      <c r="AB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74"/>
      <c r="AA234" s="5"/>
      <c r="AB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Y235" si="36">SUM(E225:E232)</f>
        <v>0</v>
      </c>
      <c r="F235" s="13">
        <f t="shared" si="36"/>
        <v>0</v>
      </c>
      <c r="G235" s="13">
        <f t="shared" si="36"/>
        <v>1</v>
      </c>
      <c r="H235" s="13">
        <f t="shared" si="36"/>
        <v>0</v>
      </c>
      <c r="I235" s="13">
        <f t="shared" si="36"/>
        <v>0</v>
      </c>
      <c r="J235" s="13">
        <f t="shared" si="36"/>
        <v>0</v>
      </c>
      <c r="K235" s="13">
        <f t="shared" si="36"/>
        <v>0</v>
      </c>
      <c r="L235" s="13">
        <f t="shared" si="36"/>
        <v>0</v>
      </c>
      <c r="M235" s="13">
        <f t="shared" si="36"/>
        <v>0</v>
      </c>
      <c r="N235" s="13">
        <f t="shared" si="36"/>
        <v>0</v>
      </c>
      <c r="O235" s="13">
        <f t="shared" si="36"/>
        <v>0</v>
      </c>
      <c r="P235" s="13">
        <f t="shared" si="36"/>
        <v>0</v>
      </c>
      <c r="Q235" s="13">
        <f t="shared" si="36"/>
        <v>0</v>
      </c>
      <c r="R235" s="13">
        <f t="shared" si="36"/>
        <v>0</v>
      </c>
      <c r="S235" s="13">
        <f t="shared" si="36"/>
        <v>0</v>
      </c>
      <c r="T235" s="13">
        <f t="shared" si="36"/>
        <v>5</v>
      </c>
      <c r="U235" s="13">
        <f t="shared" si="36"/>
        <v>2</v>
      </c>
      <c r="V235" s="13">
        <f t="shared" si="36"/>
        <v>13</v>
      </c>
      <c r="W235" s="13">
        <f t="shared" si="36"/>
        <v>4</v>
      </c>
      <c r="X235" s="13">
        <f t="shared" si="36"/>
        <v>2</v>
      </c>
      <c r="Y235" s="13">
        <f t="shared" si="36"/>
        <v>4</v>
      </c>
      <c r="Z235" s="13">
        <f>SUM(E235:Y235)</f>
        <v>31</v>
      </c>
      <c r="AA235" s="5"/>
      <c r="AB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5"/>
      <c r="AB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2.0</v>
      </c>
      <c r="H237" s="19">
        <v>0.0</v>
      </c>
      <c r="I237" s="19">
        <v>2.0</v>
      </c>
      <c r="J237" s="19">
        <v>0.0</v>
      </c>
      <c r="K237" s="19">
        <v>1.0</v>
      </c>
      <c r="L237" s="19">
        <v>3.0</v>
      </c>
      <c r="M237" s="19">
        <v>5.0</v>
      </c>
      <c r="N237" s="19">
        <v>0.0</v>
      </c>
      <c r="O237" s="19">
        <v>3.0</v>
      </c>
      <c r="P237" s="19">
        <v>2.0</v>
      </c>
      <c r="Q237" s="19">
        <v>3.0</v>
      </c>
      <c r="R237" s="19">
        <v>5.0</v>
      </c>
      <c r="S237" s="19">
        <v>0.0</v>
      </c>
      <c r="T237" s="19">
        <v>4.0</v>
      </c>
      <c r="U237" s="19">
        <v>0.0</v>
      </c>
      <c r="V237" s="19">
        <v>2.0</v>
      </c>
      <c r="W237" s="19">
        <v>3.0</v>
      </c>
      <c r="X237" s="19">
        <v>0.0</v>
      </c>
      <c r="Y237" s="19">
        <v>4.0</v>
      </c>
      <c r="Z237" s="13">
        <f t="shared" ref="Z237:Z244" si="37">SUM(E237:Y237)</f>
        <v>39</v>
      </c>
      <c r="AA237" s="5"/>
      <c r="AB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0.0</v>
      </c>
      <c r="H238" s="19">
        <v>0.0</v>
      </c>
      <c r="I238" s="19">
        <v>1.0</v>
      </c>
      <c r="J238" s="19">
        <v>0.0</v>
      </c>
      <c r="K238" s="19">
        <v>1.0</v>
      </c>
      <c r="L238" s="19">
        <v>2.0</v>
      </c>
      <c r="M238" s="19">
        <v>1.0</v>
      </c>
      <c r="N238" s="19">
        <v>0.0</v>
      </c>
      <c r="O238" s="19">
        <v>1.0</v>
      </c>
      <c r="P238" s="19">
        <v>0.0</v>
      </c>
      <c r="Q238" s="19">
        <v>1.0</v>
      </c>
      <c r="R238" s="19">
        <v>1.0</v>
      </c>
      <c r="S238" s="19">
        <v>3.0</v>
      </c>
      <c r="T238" s="19">
        <v>1.0</v>
      </c>
      <c r="U238" s="19">
        <v>1.0</v>
      </c>
      <c r="V238" s="19">
        <v>1.0</v>
      </c>
      <c r="W238" s="19">
        <v>1.0</v>
      </c>
      <c r="X238" s="19">
        <v>0.0</v>
      </c>
      <c r="Y238" s="19">
        <v>1.0</v>
      </c>
      <c r="Z238" s="13">
        <f t="shared" si="37"/>
        <v>18</v>
      </c>
      <c r="AA238" s="5"/>
      <c r="AB238" s="5"/>
    </row>
    <row r="239" ht="12.75" customHeight="1">
      <c r="A239" s="18"/>
      <c r="B239" s="55">
        <v>2.0</v>
      </c>
      <c r="C239" s="50" t="s">
        <v>176</v>
      </c>
      <c r="D239" s="57"/>
      <c r="E239" s="19">
        <v>6.0</v>
      </c>
      <c r="F239" s="19">
        <v>4.0</v>
      </c>
      <c r="G239" s="19">
        <v>2.0</v>
      </c>
      <c r="H239" s="19">
        <v>2.0</v>
      </c>
      <c r="I239" s="19">
        <v>0.0</v>
      </c>
      <c r="J239" s="19">
        <v>0.0</v>
      </c>
      <c r="K239" s="19">
        <v>6.0</v>
      </c>
      <c r="L239" s="19">
        <v>22.0</v>
      </c>
      <c r="M239" s="19">
        <v>18.0</v>
      </c>
      <c r="N239" s="19">
        <v>1.0</v>
      </c>
      <c r="O239" s="19">
        <v>11.0</v>
      </c>
      <c r="P239" s="19">
        <v>11.0</v>
      </c>
      <c r="Q239" s="19">
        <v>5.0</v>
      </c>
      <c r="R239" s="19">
        <v>9.0</v>
      </c>
      <c r="S239" s="19">
        <v>5.0</v>
      </c>
      <c r="T239" s="19">
        <v>0.0</v>
      </c>
      <c r="U239" s="19">
        <v>12.0</v>
      </c>
      <c r="V239" s="19">
        <v>6.0</v>
      </c>
      <c r="W239" s="19">
        <v>3.0</v>
      </c>
      <c r="X239" s="19">
        <v>24.0</v>
      </c>
      <c r="Y239" s="19">
        <v>12.0</v>
      </c>
      <c r="Z239" s="13">
        <f t="shared" si="37"/>
        <v>159</v>
      </c>
      <c r="AA239" s="5"/>
      <c r="AB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2.0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3">
        <f t="shared" si="37"/>
        <v>3</v>
      </c>
      <c r="AA240" s="1"/>
      <c r="AB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1.0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3">
        <f t="shared" si="37"/>
        <v>3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1.0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1.0</v>
      </c>
      <c r="Z242" s="13">
        <f t="shared" si="37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2.0</v>
      </c>
      <c r="O243" s="19">
        <v>0.0</v>
      </c>
      <c r="P243" s="19">
        <v>0.0</v>
      </c>
      <c r="Q243" s="19">
        <v>0.0</v>
      </c>
      <c r="R243" s="19">
        <v>0.0</v>
      </c>
      <c r="S243" s="19">
        <v>1.0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3">
        <f t="shared" si="37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5.0</v>
      </c>
      <c r="F244" s="19">
        <v>4.0</v>
      </c>
      <c r="G244" s="19">
        <v>0.0</v>
      </c>
      <c r="H244" s="19">
        <v>1.0</v>
      </c>
      <c r="I244" s="19">
        <v>10.0</v>
      </c>
      <c r="J244" s="19">
        <v>4.0</v>
      </c>
      <c r="K244" s="19">
        <v>6.0</v>
      </c>
      <c r="L244" s="19">
        <v>8.0</v>
      </c>
      <c r="M244" s="19">
        <v>10.0</v>
      </c>
      <c r="N244" s="19">
        <v>0.0</v>
      </c>
      <c r="O244" s="19">
        <v>9.0</v>
      </c>
      <c r="P244" s="19">
        <v>13.0</v>
      </c>
      <c r="Q244" s="19">
        <v>7.0</v>
      </c>
      <c r="R244" s="19">
        <v>24.0</v>
      </c>
      <c r="S244" s="19">
        <v>6.0</v>
      </c>
      <c r="T244" s="19">
        <v>42.0</v>
      </c>
      <c r="U244" s="19">
        <v>1.0</v>
      </c>
      <c r="V244" s="19">
        <v>3.0</v>
      </c>
      <c r="W244" s="19">
        <v>22.0</v>
      </c>
      <c r="X244" s="19">
        <v>1.0</v>
      </c>
      <c r="Y244" s="19">
        <v>14.0</v>
      </c>
      <c r="Z244" s="13">
        <f t="shared" si="37"/>
        <v>190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Y247" si="38">SUM(E237:E244)</f>
        <v>12</v>
      </c>
      <c r="F247" s="13">
        <f t="shared" si="38"/>
        <v>9</v>
      </c>
      <c r="G247" s="13">
        <f t="shared" si="38"/>
        <v>5</v>
      </c>
      <c r="H247" s="13">
        <f t="shared" si="38"/>
        <v>4</v>
      </c>
      <c r="I247" s="13">
        <f t="shared" si="38"/>
        <v>14</v>
      </c>
      <c r="J247" s="13">
        <f t="shared" si="38"/>
        <v>4</v>
      </c>
      <c r="K247" s="13">
        <f t="shared" si="38"/>
        <v>15</v>
      </c>
      <c r="L247" s="13">
        <f t="shared" si="38"/>
        <v>35</v>
      </c>
      <c r="M247" s="13">
        <f t="shared" si="38"/>
        <v>34</v>
      </c>
      <c r="N247" s="13">
        <f t="shared" si="38"/>
        <v>3</v>
      </c>
      <c r="O247" s="13">
        <f t="shared" si="38"/>
        <v>24</v>
      </c>
      <c r="P247" s="13">
        <f t="shared" si="38"/>
        <v>26</v>
      </c>
      <c r="Q247" s="13">
        <f t="shared" si="38"/>
        <v>16</v>
      </c>
      <c r="R247" s="13">
        <f t="shared" si="38"/>
        <v>42</v>
      </c>
      <c r="S247" s="13">
        <f t="shared" si="38"/>
        <v>15</v>
      </c>
      <c r="T247" s="13">
        <f t="shared" si="38"/>
        <v>47</v>
      </c>
      <c r="U247" s="13">
        <f t="shared" si="38"/>
        <v>14</v>
      </c>
      <c r="V247" s="13">
        <f t="shared" si="38"/>
        <v>12</v>
      </c>
      <c r="W247" s="13">
        <f t="shared" si="38"/>
        <v>29</v>
      </c>
      <c r="X247" s="13">
        <f t="shared" si="38"/>
        <v>25</v>
      </c>
      <c r="Y247" s="13">
        <f t="shared" si="38"/>
        <v>32</v>
      </c>
      <c r="Z247" s="13">
        <f>SUM(E247:Y247)</f>
        <v>417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2.0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1.0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9">
        <v>0.0</v>
      </c>
      <c r="Y249" s="19">
        <v>1.0</v>
      </c>
      <c r="Z249" s="13">
        <f t="shared" ref="Z249:Z255" si="39">SUM(E249:Y249)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1.0</v>
      </c>
      <c r="X250" s="19">
        <v>0.0</v>
      </c>
      <c r="Y250" s="19">
        <v>0.0</v>
      </c>
      <c r="Z250" s="13">
        <f t="shared" si="39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3">
        <f t="shared" si="39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3">
        <f t="shared" si="39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3">
        <f t="shared" si="3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3">
        <f t="shared" si="39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3">
        <f t="shared" si="39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Y259" si="40">SUM(E249:E255)</f>
        <v>0</v>
      </c>
      <c r="F259" s="13">
        <f t="shared" si="40"/>
        <v>0</v>
      </c>
      <c r="G259" s="13">
        <f t="shared" si="40"/>
        <v>0</v>
      </c>
      <c r="H259" s="13">
        <f t="shared" si="40"/>
        <v>3</v>
      </c>
      <c r="I259" s="13">
        <f t="shared" si="40"/>
        <v>0</v>
      </c>
      <c r="J259" s="13">
        <f t="shared" si="40"/>
        <v>0</v>
      </c>
      <c r="K259" s="13">
        <f t="shared" si="40"/>
        <v>0</v>
      </c>
      <c r="L259" s="13">
        <f t="shared" si="40"/>
        <v>1</v>
      </c>
      <c r="M259" s="13">
        <f t="shared" si="40"/>
        <v>0</v>
      </c>
      <c r="N259" s="13">
        <f t="shared" si="40"/>
        <v>0</v>
      </c>
      <c r="O259" s="13">
        <f t="shared" si="40"/>
        <v>0</v>
      </c>
      <c r="P259" s="13">
        <f t="shared" si="40"/>
        <v>0</v>
      </c>
      <c r="Q259" s="13">
        <f t="shared" si="40"/>
        <v>1</v>
      </c>
      <c r="R259" s="13">
        <f t="shared" si="40"/>
        <v>0</v>
      </c>
      <c r="S259" s="13">
        <f t="shared" si="40"/>
        <v>0</v>
      </c>
      <c r="T259" s="13">
        <f t="shared" si="40"/>
        <v>0</v>
      </c>
      <c r="U259" s="13">
        <f t="shared" si="40"/>
        <v>0</v>
      </c>
      <c r="V259" s="13">
        <f t="shared" si="40"/>
        <v>0</v>
      </c>
      <c r="W259" s="13">
        <f t="shared" si="40"/>
        <v>2</v>
      </c>
      <c r="X259" s="13">
        <f t="shared" si="40"/>
        <v>0</v>
      </c>
      <c r="Y259" s="13">
        <f t="shared" si="40"/>
        <v>1</v>
      </c>
      <c r="Z259" s="13">
        <f>SUM(E259:Y259)</f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Y262" si="41">E55+E67+E79+E91+E103+E115+E127+E139+E151+E163+E175+E187+E199+E211+E223+E235+E247+E259</f>
        <v>184</v>
      </c>
      <c r="F262" s="19">
        <f t="shared" si="41"/>
        <v>177</v>
      </c>
      <c r="G262" s="19">
        <f t="shared" si="41"/>
        <v>198</v>
      </c>
      <c r="H262" s="19">
        <f t="shared" si="41"/>
        <v>199</v>
      </c>
      <c r="I262" s="19">
        <f t="shared" si="41"/>
        <v>198</v>
      </c>
      <c r="J262" s="19">
        <f t="shared" si="41"/>
        <v>184</v>
      </c>
      <c r="K262" s="19">
        <f t="shared" si="41"/>
        <v>202</v>
      </c>
      <c r="L262" s="19">
        <f t="shared" si="41"/>
        <v>215</v>
      </c>
      <c r="M262" s="19">
        <f t="shared" si="41"/>
        <v>216</v>
      </c>
      <c r="N262" s="19">
        <f t="shared" si="41"/>
        <v>157</v>
      </c>
      <c r="O262" s="19">
        <f t="shared" si="41"/>
        <v>162</v>
      </c>
      <c r="P262" s="19">
        <f t="shared" si="41"/>
        <v>181</v>
      </c>
      <c r="Q262" s="19">
        <f t="shared" si="41"/>
        <v>189</v>
      </c>
      <c r="R262" s="19">
        <f t="shared" si="41"/>
        <v>176</v>
      </c>
      <c r="S262" s="19">
        <f t="shared" si="41"/>
        <v>160</v>
      </c>
      <c r="T262" s="19">
        <f t="shared" si="41"/>
        <v>187</v>
      </c>
      <c r="U262" s="19">
        <f t="shared" si="41"/>
        <v>206</v>
      </c>
      <c r="V262" s="19">
        <f t="shared" si="41"/>
        <v>194</v>
      </c>
      <c r="W262" s="19">
        <f t="shared" si="41"/>
        <v>183</v>
      </c>
      <c r="X262" s="19">
        <f t="shared" si="41"/>
        <v>224</v>
      </c>
      <c r="Y262" s="19">
        <f t="shared" si="41"/>
        <v>191</v>
      </c>
      <c r="Z262" s="13">
        <f t="shared" ref="Z262:Z264" si="42">SUM(E262:Y262)</f>
        <v>3983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16.0</v>
      </c>
      <c r="F263" s="19">
        <v>33.0</v>
      </c>
      <c r="G263" s="19">
        <v>36.0</v>
      </c>
      <c r="H263" s="19">
        <v>11.0</v>
      </c>
      <c r="I263" s="19">
        <v>22.0</v>
      </c>
      <c r="J263" s="19">
        <v>27.0</v>
      </c>
      <c r="K263" s="19">
        <v>24.0</v>
      </c>
      <c r="L263" s="19">
        <v>28.0</v>
      </c>
      <c r="M263" s="19">
        <v>20.0</v>
      </c>
      <c r="N263" s="19">
        <v>26.0</v>
      </c>
      <c r="O263" s="19">
        <v>14.0</v>
      </c>
      <c r="P263" s="19">
        <v>19.0</v>
      </c>
      <c r="Q263" s="19">
        <v>25.0</v>
      </c>
      <c r="R263" s="19">
        <v>12.0</v>
      </c>
      <c r="S263" s="19">
        <v>17.0</v>
      </c>
      <c r="T263" s="19">
        <v>24.0</v>
      </c>
      <c r="U263" s="19">
        <v>9.0</v>
      </c>
      <c r="V263" s="19">
        <v>17.0</v>
      </c>
      <c r="W263" s="19">
        <v>11.0</v>
      </c>
      <c r="X263" s="19">
        <v>11.0</v>
      </c>
      <c r="Y263" s="19">
        <v>7.0</v>
      </c>
      <c r="Z263" s="13">
        <f t="shared" si="42"/>
        <v>409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Y264" si="43">SUM(E262:E263)</f>
        <v>200</v>
      </c>
      <c r="F264" s="13">
        <f t="shared" si="43"/>
        <v>210</v>
      </c>
      <c r="G264" s="13">
        <f t="shared" si="43"/>
        <v>234</v>
      </c>
      <c r="H264" s="13">
        <f t="shared" si="43"/>
        <v>210</v>
      </c>
      <c r="I264" s="13">
        <f t="shared" si="43"/>
        <v>220</v>
      </c>
      <c r="J264" s="13">
        <f t="shared" si="43"/>
        <v>211</v>
      </c>
      <c r="K264" s="13">
        <f t="shared" si="43"/>
        <v>226</v>
      </c>
      <c r="L264" s="13">
        <f t="shared" si="43"/>
        <v>243</v>
      </c>
      <c r="M264" s="13">
        <f t="shared" si="43"/>
        <v>236</v>
      </c>
      <c r="N264" s="13">
        <f t="shared" si="43"/>
        <v>183</v>
      </c>
      <c r="O264" s="13">
        <f t="shared" si="43"/>
        <v>176</v>
      </c>
      <c r="P264" s="13">
        <f t="shared" si="43"/>
        <v>200</v>
      </c>
      <c r="Q264" s="13">
        <f t="shared" si="43"/>
        <v>214</v>
      </c>
      <c r="R264" s="13">
        <f t="shared" si="43"/>
        <v>188</v>
      </c>
      <c r="S264" s="13">
        <f t="shared" si="43"/>
        <v>177</v>
      </c>
      <c r="T264" s="13">
        <f t="shared" si="43"/>
        <v>211</v>
      </c>
      <c r="U264" s="13">
        <f t="shared" si="43"/>
        <v>215</v>
      </c>
      <c r="V264" s="13">
        <f t="shared" si="43"/>
        <v>211</v>
      </c>
      <c r="W264" s="13">
        <f t="shared" si="43"/>
        <v>194</v>
      </c>
      <c r="X264" s="13">
        <f t="shared" si="43"/>
        <v>235</v>
      </c>
      <c r="Y264" s="13">
        <f t="shared" si="43"/>
        <v>198</v>
      </c>
      <c r="Z264" s="13">
        <f t="shared" si="42"/>
        <v>4392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Y15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E30&lt;&gt;E47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9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conditionalFormatting sqref="U34:Y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226</v>
      </c>
      <c r="Q13" s="13" t="s">
        <v>227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78">
        <v>116.0</v>
      </c>
      <c r="F14" s="78">
        <v>123.0</v>
      </c>
      <c r="G14" s="78">
        <v>135.0</v>
      </c>
      <c r="H14" s="78">
        <v>136.0</v>
      </c>
      <c r="I14" s="78">
        <v>146.0</v>
      </c>
      <c r="J14" s="78">
        <v>140.0</v>
      </c>
      <c r="K14" s="78">
        <v>127.0</v>
      </c>
      <c r="L14" s="78">
        <v>122.0</v>
      </c>
      <c r="M14" s="78">
        <v>134.0</v>
      </c>
      <c r="N14" s="78">
        <v>143.0</v>
      </c>
      <c r="O14" s="78">
        <v>140.0</v>
      </c>
      <c r="P14" s="78">
        <v>267.0</v>
      </c>
      <c r="Q14" s="78">
        <v>223.0</v>
      </c>
      <c r="R14" s="13">
        <f t="shared" ref="R14:R16" si="1">SUM(E14:Q14)</f>
        <v>1952</v>
      </c>
    </row>
    <row r="15" ht="12.75" customHeight="1">
      <c r="A15" s="18"/>
      <c r="B15" s="26"/>
      <c r="C15" s="27"/>
      <c r="D15" s="19" t="s">
        <v>13</v>
      </c>
      <c r="E15" s="78">
        <v>119.0</v>
      </c>
      <c r="F15" s="78">
        <v>131.0</v>
      </c>
      <c r="G15" s="78">
        <v>117.0</v>
      </c>
      <c r="H15" s="78">
        <v>138.0</v>
      </c>
      <c r="I15" s="78">
        <v>149.0</v>
      </c>
      <c r="J15" s="78">
        <v>135.0</v>
      </c>
      <c r="K15" s="78">
        <v>123.0</v>
      </c>
      <c r="L15" s="78">
        <v>140.0</v>
      </c>
      <c r="M15" s="78">
        <v>148.0</v>
      </c>
      <c r="N15" s="78">
        <v>139.0</v>
      </c>
      <c r="O15" s="78">
        <v>137.0</v>
      </c>
      <c r="P15" s="78">
        <v>0.0</v>
      </c>
      <c r="Q15" s="78">
        <v>0.0</v>
      </c>
      <c r="R15" s="13">
        <f t="shared" si="1"/>
        <v>1476</v>
      </c>
    </row>
    <row r="16" ht="12.75" customHeight="1">
      <c r="A16" s="25"/>
      <c r="B16" s="21"/>
      <c r="C16" s="28"/>
      <c r="D16" s="13" t="s">
        <v>14</v>
      </c>
      <c r="E16" s="79">
        <f t="shared" ref="E16:Q16" si="2">SUM(E14:E15)</f>
        <v>235</v>
      </c>
      <c r="F16" s="79">
        <f t="shared" si="2"/>
        <v>254</v>
      </c>
      <c r="G16" s="79">
        <f t="shared" si="2"/>
        <v>252</v>
      </c>
      <c r="H16" s="79">
        <f t="shared" si="2"/>
        <v>274</v>
      </c>
      <c r="I16" s="79">
        <f t="shared" si="2"/>
        <v>295</v>
      </c>
      <c r="J16" s="79">
        <f t="shared" si="2"/>
        <v>275</v>
      </c>
      <c r="K16" s="79">
        <f t="shared" si="2"/>
        <v>250</v>
      </c>
      <c r="L16" s="79">
        <f t="shared" si="2"/>
        <v>262</v>
      </c>
      <c r="M16" s="79">
        <f t="shared" si="2"/>
        <v>282</v>
      </c>
      <c r="N16" s="79">
        <f t="shared" si="2"/>
        <v>282</v>
      </c>
      <c r="O16" s="79">
        <f t="shared" si="2"/>
        <v>277</v>
      </c>
      <c r="P16" s="79">
        <f t="shared" si="2"/>
        <v>267</v>
      </c>
      <c r="Q16" s="79">
        <f t="shared" si="2"/>
        <v>223</v>
      </c>
      <c r="R16" s="13">
        <f t="shared" si="1"/>
        <v>3428</v>
      </c>
    </row>
    <row r="17" ht="12.75" customHeight="1">
      <c r="A17" s="24"/>
      <c r="B17" s="15"/>
      <c r="C17" s="15"/>
      <c r="D17" s="16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68"/>
    </row>
    <row r="18" ht="12.75" customHeight="1">
      <c r="A18" s="30" t="s">
        <v>15</v>
      </c>
      <c r="B18" s="20" t="s">
        <v>16</v>
      </c>
      <c r="C18" s="15"/>
      <c r="D18" s="1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8">
        <v>83.0</v>
      </c>
      <c r="F19" s="78">
        <v>81.0</v>
      </c>
      <c r="G19" s="78">
        <v>95.0</v>
      </c>
      <c r="H19" s="78">
        <v>103.0</v>
      </c>
      <c r="I19" s="78">
        <v>116.0</v>
      </c>
      <c r="J19" s="78">
        <v>101.0</v>
      </c>
      <c r="K19" s="78">
        <v>85.0</v>
      </c>
      <c r="L19" s="78">
        <v>89.0</v>
      </c>
      <c r="M19" s="78">
        <v>97.0</v>
      </c>
      <c r="N19" s="78">
        <v>113.0</v>
      </c>
      <c r="O19" s="78">
        <v>104.0</v>
      </c>
      <c r="P19" s="78">
        <v>2.0</v>
      </c>
      <c r="Q19" s="78">
        <v>0.0</v>
      </c>
      <c r="R19" s="13">
        <f t="shared" ref="R19:R30" si="3">SUM(E19:Q19)</f>
        <v>1069</v>
      </c>
    </row>
    <row r="20" ht="12.75" customHeight="1">
      <c r="A20" s="33"/>
      <c r="B20" s="27"/>
      <c r="C20" s="34"/>
      <c r="D20" s="19" t="s">
        <v>13</v>
      </c>
      <c r="E20" s="78">
        <v>91.0</v>
      </c>
      <c r="F20" s="78">
        <v>108.0</v>
      </c>
      <c r="G20" s="78">
        <v>95.0</v>
      </c>
      <c r="H20" s="78">
        <v>115.0</v>
      </c>
      <c r="I20" s="78">
        <v>128.0</v>
      </c>
      <c r="J20" s="78">
        <v>114.0</v>
      </c>
      <c r="K20" s="78">
        <v>100.0</v>
      </c>
      <c r="L20" s="78">
        <v>115.0</v>
      </c>
      <c r="M20" s="78">
        <v>128.0</v>
      </c>
      <c r="N20" s="78">
        <v>104.0</v>
      </c>
      <c r="O20" s="78">
        <v>105.0</v>
      </c>
      <c r="P20" s="78">
        <v>0.0</v>
      </c>
      <c r="Q20" s="78">
        <v>0.0</v>
      </c>
      <c r="R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79">
        <f t="shared" ref="E21:Q21" si="4">SUM(E19:E20)</f>
        <v>174</v>
      </c>
      <c r="F21" s="79">
        <f t="shared" si="4"/>
        <v>189</v>
      </c>
      <c r="G21" s="79">
        <f t="shared" si="4"/>
        <v>190</v>
      </c>
      <c r="H21" s="79">
        <f t="shared" si="4"/>
        <v>218</v>
      </c>
      <c r="I21" s="79">
        <f t="shared" si="4"/>
        <v>244</v>
      </c>
      <c r="J21" s="79">
        <f t="shared" si="4"/>
        <v>215</v>
      </c>
      <c r="K21" s="79">
        <f t="shared" si="4"/>
        <v>185</v>
      </c>
      <c r="L21" s="79">
        <f t="shared" si="4"/>
        <v>204</v>
      </c>
      <c r="M21" s="79">
        <f t="shared" si="4"/>
        <v>225</v>
      </c>
      <c r="N21" s="79">
        <f t="shared" si="4"/>
        <v>217</v>
      </c>
      <c r="O21" s="79">
        <f t="shared" si="4"/>
        <v>209</v>
      </c>
      <c r="P21" s="79">
        <f t="shared" si="4"/>
        <v>2</v>
      </c>
      <c r="Q21" s="79">
        <f t="shared" si="4"/>
        <v>0</v>
      </c>
      <c r="R21" s="13">
        <f t="shared" si="3"/>
        <v>2272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1.0</v>
      </c>
      <c r="Q22" s="78">
        <v>0.0</v>
      </c>
      <c r="R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79">
        <v>0.0</v>
      </c>
      <c r="F24" s="79">
        <v>0.0</v>
      </c>
      <c r="G24" s="79">
        <f t="shared" ref="G24:Q24" si="5">SUM(G22:G23)</f>
        <v>0</v>
      </c>
      <c r="H24" s="79">
        <f t="shared" si="5"/>
        <v>0</v>
      </c>
      <c r="I24" s="79">
        <f t="shared" si="5"/>
        <v>0</v>
      </c>
      <c r="J24" s="79">
        <f t="shared" si="5"/>
        <v>0</v>
      </c>
      <c r="K24" s="79">
        <f t="shared" si="5"/>
        <v>0</v>
      </c>
      <c r="L24" s="79">
        <f t="shared" si="5"/>
        <v>0</v>
      </c>
      <c r="M24" s="79">
        <f t="shared" si="5"/>
        <v>0</v>
      </c>
      <c r="N24" s="79">
        <f t="shared" si="5"/>
        <v>0</v>
      </c>
      <c r="O24" s="79">
        <f t="shared" si="5"/>
        <v>0</v>
      </c>
      <c r="P24" s="79">
        <f t="shared" si="5"/>
        <v>1</v>
      </c>
      <c r="Q24" s="79">
        <f t="shared" si="5"/>
        <v>0</v>
      </c>
      <c r="R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8">
        <v>0.0</v>
      </c>
      <c r="F25" s="78">
        <v>0.0</v>
      </c>
      <c r="G25" s="78">
        <v>1.0</v>
      </c>
      <c r="H25" s="78">
        <v>0.0</v>
      </c>
      <c r="I25" s="78">
        <v>0.0</v>
      </c>
      <c r="J25" s="78">
        <v>0.0</v>
      </c>
      <c r="K25" s="78">
        <v>0.0</v>
      </c>
      <c r="L25" s="78">
        <v>0.0</v>
      </c>
      <c r="M25" s="78">
        <v>0.0</v>
      </c>
      <c r="N25" s="78">
        <v>0.0</v>
      </c>
      <c r="O25" s="78">
        <v>1.0</v>
      </c>
      <c r="P25" s="78">
        <v>0.0</v>
      </c>
      <c r="Q25" s="78">
        <v>0.0</v>
      </c>
      <c r="R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78">
        <v>1.0</v>
      </c>
      <c r="F26" s="78">
        <v>0.0</v>
      </c>
      <c r="G26" s="78">
        <v>3.0</v>
      </c>
      <c r="H26" s="78">
        <v>0.0</v>
      </c>
      <c r="I26" s="78">
        <v>0.0</v>
      </c>
      <c r="J26" s="78">
        <v>0.0</v>
      </c>
      <c r="K26" s="78">
        <v>0.0</v>
      </c>
      <c r="L26" s="78">
        <v>2.0</v>
      </c>
      <c r="M26" s="78">
        <v>0.0</v>
      </c>
      <c r="N26" s="78">
        <v>0.0</v>
      </c>
      <c r="O26" s="78">
        <v>2.0</v>
      </c>
      <c r="P26" s="78">
        <v>0.0</v>
      </c>
      <c r="Q26" s="78">
        <v>0.0</v>
      </c>
      <c r="R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79">
        <f t="shared" ref="E27:Q27" si="6">SUM(E25:E26)</f>
        <v>1</v>
      </c>
      <c r="F27" s="79">
        <f t="shared" si="6"/>
        <v>0</v>
      </c>
      <c r="G27" s="79">
        <f t="shared" si="6"/>
        <v>4</v>
      </c>
      <c r="H27" s="79">
        <f t="shared" si="6"/>
        <v>0</v>
      </c>
      <c r="I27" s="79">
        <f t="shared" si="6"/>
        <v>0</v>
      </c>
      <c r="J27" s="79">
        <f t="shared" si="6"/>
        <v>0</v>
      </c>
      <c r="K27" s="79">
        <f t="shared" si="6"/>
        <v>0</v>
      </c>
      <c r="L27" s="79">
        <f t="shared" si="6"/>
        <v>2</v>
      </c>
      <c r="M27" s="79">
        <f t="shared" si="6"/>
        <v>0</v>
      </c>
      <c r="N27" s="79">
        <f t="shared" si="6"/>
        <v>0</v>
      </c>
      <c r="O27" s="79">
        <f t="shared" si="6"/>
        <v>3</v>
      </c>
      <c r="P27" s="79">
        <f t="shared" si="6"/>
        <v>0</v>
      </c>
      <c r="Q27" s="79">
        <f t="shared" si="6"/>
        <v>0</v>
      </c>
      <c r="R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9">
        <f t="shared" ref="E28:Q28" si="7">SUM(E19,E22,E25)</f>
        <v>83</v>
      </c>
      <c r="F28" s="79">
        <f t="shared" si="7"/>
        <v>81</v>
      </c>
      <c r="G28" s="79">
        <f t="shared" si="7"/>
        <v>96</v>
      </c>
      <c r="H28" s="79">
        <f t="shared" si="7"/>
        <v>103</v>
      </c>
      <c r="I28" s="79">
        <f t="shared" si="7"/>
        <v>116</v>
      </c>
      <c r="J28" s="79">
        <f t="shared" si="7"/>
        <v>101</v>
      </c>
      <c r="K28" s="79">
        <f t="shared" si="7"/>
        <v>85</v>
      </c>
      <c r="L28" s="79">
        <f t="shared" si="7"/>
        <v>89</v>
      </c>
      <c r="M28" s="79">
        <f t="shared" si="7"/>
        <v>97</v>
      </c>
      <c r="N28" s="79">
        <f t="shared" si="7"/>
        <v>113</v>
      </c>
      <c r="O28" s="79">
        <f t="shared" si="7"/>
        <v>105</v>
      </c>
      <c r="P28" s="79">
        <f t="shared" si="7"/>
        <v>3</v>
      </c>
      <c r="Q28" s="79">
        <f t="shared" si="7"/>
        <v>0</v>
      </c>
      <c r="R28" s="13">
        <f t="shared" si="3"/>
        <v>1072</v>
      </c>
    </row>
    <row r="29" ht="12.75" customHeight="1">
      <c r="A29" s="35"/>
      <c r="B29" s="27"/>
      <c r="C29" s="34"/>
      <c r="D29" s="13" t="s">
        <v>13</v>
      </c>
      <c r="E29" s="79">
        <f t="shared" ref="E29:Q29" si="8">SUM(E20,E23,E26)</f>
        <v>92</v>
      </c>
      <c r="F29" s="79">
        <f t="shared" si="8"/>
        <v>108</v>
      </c>
      <c r="G29" s="79">
        <f t="shared" si="8"/>
        <v>98</v>
      </c>
      <c r="H29" s="79">
        <f t="shared" si="8"/>
        <v>115</v>
      </c>
      <c r="I29" s="79">
        <f t="shared" si="8"/>
        <v>128</v>
      </c>
      <c r="J29" s="79">
        <f t="shared" si="8"/>
        <v>114</v>
      </c>
      <c r="K29" s="79">
        <f t="shared" si="8"/>
        <v>100</v>
      </c>
      <c r="L29" s="79">
        <f t="shared" si="8"/>
        <v>117</v>
      </c>
      <c r="M29" s="79">
        <f t="shared" si="8"/>
        <v>128</v>
      </c>
      <c r="N29" s="79">
        <f t="shared" si="8"/>
        <v>104</v>
      </c>
      <c r="O29" s="79">
        <f t="shared" si="8"/>
        <v>107</v>
      </c>
      <c r="P29" s="79">
        <f t="shared" si="8"/>
        <v>0</v>
      </c>
      <c r="Q29" s="79">
        <f t="shared" si="8"/>
        <v>0</v>
      </c>
      <c r="R29" s="13">
        <f t="shared" si="3"/>
        <v>1211</v>
      </c>
    </row>
    <row r="30" ht="12.75" customHeight="1">
      <c r="A30" s="35"/>
      <c r="B30" s="28"/>
      <c r="C30" s="36"/>
      <c r="D30" s="13" t="s">
        <v>14</v>
      </c>
      <c r="E30" s="81">
        <f t="shared" ref="E30:Q30" si="9">SUM(E28:E29)</f>
        <v>175</v>
      </c>
      <c r="F30" s="81">
        <f t="shared" si="9"/>
        <v>189</v>
      </c>
      <c r="G30" s="81">
        <f t="shared" si="9"/>
        <v>194</v>
      </c>
      <c r="H30" s="81">
        <f t="shared" si="9"/>
        <v>218</v>
      </c>
      <c r="I30" s="81">
        <f t="shared" si="9"/>
        <v>244</v>
      </c>
      <c r="J30" s="81">
        <f t="shared" si="9"/>
        <v>215</v>
      </c>
      <c r="K30" s="81">
        <f t="shared" si="9"/>
        <v>185</v>
      </c>
      <c r="L30" s="81">
        <f t="shared" si="9"/>
        <v>206</v>
      </c>
      <c r="M30" s="81">
        <f t="shared" si="9"/>
        <v>225</v>
      </c>
      <c r="N30" s="81">
        <f t="shared" si="9"/>
        <v>217</v>
      </c>
      <c r="O30" s="81">
        <f t="shared" si="9"/>
        <v>212</v>
      </c>
      <c r="P30" s="81">
        <f t="shared" si="9"/>
        <v>3</v>
      </c>
      <c r="Q30" s="81">
        <f t="shared" si="9"/>
        <v>0</v>
      </c>
      <c r="R30" s="13">
        <f t="shared" si="3"/>
        <v>2283</v>
      </c>
    </row>
    <row r="31" ht="12.75" customHeight="1">
      <c r="A31" s="24"/>
      <c r="B31" s="15"/>
      <c r="C31" s="15"/>
      <c r="D31" s="16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68"/>
    </row>
    <row r="32" ht="12.75" customHeight="1">
      <c r="A32" s="41" t="s">
        <v>25</v>
      </c>
      <c r="B32" s="14" t="s">
        <v>26</v>
      </c>
      <c r="C32" s="15"/>
      <c r="D32" s="16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68"/>
    </row>
    <row r="33" ht="12.75" customHeight="1">
      <c r="A33" s="19">
        <v>1.0</v>
      </c>
      <c r="B33" s="20" t="s">
        <v>27</v>
      </c>
      <c r="C33" s="15"/>
      <c r="D33" s="16"/>
      <c r="E33" s="78">
        <v>240.0</v>
      </c>
      <c r="F33" s="78">
        <v>260.0</v>
      </c>
      <c r="G33" s="78">
        <v>259.0</v>
      </c>
      <c r="H33" s="78">
        <v>280.0</v>
      </c>
      <c r="I33" s="78">
        <v>301.0</v>
      </c>
      <c r="J33" s="78">
        <v>281.0</v>
      </c>
      <c r="K33" s="78">
        <v>255.0</v>
      </c>
      <c r="L33" s="78">
        <v>268.0</v>
      </c>
      <c r="M33" s="78">
        <v>288.0</v>
      </c>
      <c r="N33" s="78">
        <v>288.0</v>
      </c>
      <c r="O33" s="78">
        <v>283.0</v>
      </c>
      <c r="P33" s="78">
        <v>273.0</v>
      </c>
      <c r="Q33" s="78">
        <v>229.0</v>
      </c>
      <c r="R33" s="13">
        <f t="shared" ref="R33:R36" si="10">SUM(E33:Q33)</f>
        <v>3505</v>
      </c>
    </row>
    <row r="34" ht="12.75" customHeight="1">
      <c r="A34" s="19">
        <v>2.0</v>
      </c>
      <c r="B34" s="20" t="s">
        <v>28</v>
      </c>
      <c r="C34" s="15"/>
      <c r="D34" s="16"/>
      <c r="E34" s="82">
        <v>175.0</v>
      </c>
      <c r="F34" s="82">
        <v>189.0</v>
      </c>
      <c r="G34" s="82">
        <v>194.0</v>
      </c>
      <c r="H34" s="82">
        <v>218.0</v>
      </c>
      <c r="I34" s="82">
        <v>244.0</v>
      </c>
      <c r="J34" s="82">
        <v>215.0</v>
      </c>
      <c r="K34" s="82">
        <v>185.0</v>
      </c>
      <c r="L34" s="82">
        <v>206.0</v>
      </c>
      <c r="M34" s="82">
        <v>225.0</v>
      </c>
      <c r="N34" s="82">
        <v>217.0</v>
      </c>
      <c r="O34" s="82">
        <v>212.0</v>
      </c>
      <c r="P34" s="82">
        <v>3.0</v>
      </c>
      <c r="Q34" s="82">
        <v>0.0</v>
      </c>
      <c r="R34" s="13">
        <f t="shared" si="10"/>
        <v>2283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2.0</v>
      </c>
      <c r="K35" s="78">
        <v>0.0</v>
      </c>
      <c r="L35" s="78">
        <v>0.0</v>
      </c>
      <c r="M35" s="78">
        <v>0.0</v>
      </c>
      <c r="N35" s="78">
        <v>0.0</v>
      </c>
      <c r="O35" s="78">
        <v>0.0</v>
      </c>
      <c r="P35" s="78">
        <v>0.0</v>
      </c>
      <c r="Q35" s="78">
        <v>0.0</v>
      </c>
      <c r="R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79">
        <f t="shared" ref="E36:Q36" si="11">E33-(E34+E35)</f>
        <v>65</v>
      </c>
      <c r="F36" s="79">
        <f t="shared" si="11"/>
        <v>71</v>
      </c>
      <c r="G36" s="79">
        <f t="shared" si="11"/>
        <v>65</v>
      </c>
      <c r="H36" s="79">
        <f t="shared" si="11"/>
        <v>62</v>
      </c>
      <c r="I36" s="79">
        <f t="shared" si="11"/>
        <v>57</v>
      </c>
      <c r="J36" s="79">
        <f t="shared" si="11"/>
        <v>64</v>
      </c>
      <c r="K36" s="79">
        <f t="shared" si="11"/>
        <v>70</v>
      </c>
      <c r="L36" s="79">
        <f t="shared" si="11"/>
        <v>62</v>
      </c>
      <c r="M36" s="79">
        <f t="shared" si="11"/>
        <v>63</v>
      </c>
      <c r="N36" s="79">
        <f t="shared" si="11"/>
        <v>71</v>
      </c>
      <c r="O36" s="79">
        <f t="shared" si="11"/>
        <v>71</v>
      </c>
      <c r="P36" s="79">
        <f t="shared" si="11"/>
        <v>270</v>
      </c>
      <c r="Q36" s="79">
        <f t="shared" si="11"/>
        <v>229</v>
      </c>
      <c r="R36" s="13">
        <f t="shared" si="10"/>
        <v>1220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70"/>
      <c r="P37" s="70"/>
      <c r="Q37" s="70"/>
      <c r="R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8"/>
    </row>
    <row r="39" ht="12.75" customHeight="1">
      <c r="A39" s="30"/>
      <c r="B39" s="43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3.0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1.0</v>
      </c>
      <c r="J40" s="78">
        <v>0.0</v>
      </c>
      <c r="K40" s="78">
        <v>0.0</v>
      </c>
      <c r="L40" s="78">
        <v>0.0</v>
      </c>
      <c r="M40" s="78">
        <v>0.0</v>
      </c>
      <c r="N40" s="78">
        <v>1.0</v>
      </c>
      <c r="O40" s="78">
        <v>0.0</v>
      </c>
      <c r="P40" s="78">
        <v>0.0</v>
      </c>
      <c r="Q40" s="78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8.0</v>
      </c>
      <c r="G45" s="19">
        <v>2.0</v>
      </c>
      <c r="H45" s="19">
        <v>3.0</v>
      </c>
      <c r="I45" s="19">
        <v>12.0</v>
      </c>
      <c r="J45" s="19">
        <v>8.0</v>
      </c>
      <c r="K45" s="19">
        <v>10.0</v>
      </c>
      <c r="L45" s="19">
        <v>4.0</v>
      </c>
      <c r="M45" s="19">
        <v>4.0</v>
      </c>
      <c r="N45" s="19">
        <v>7.0</v>
      </c>
      <c r="O45" s="19">
        <v>5.0</v>
      </c>
      <c r="P45" s="19">
        <v>0.0</v>
      </c>
      <c r="Q45" s="19">
        <v>0.0</v>
      </c>
      <c r="R45" s="13">
        <f t="shared" ref="R45:R52" si="14">SUM(E45:Q45)</f>
        <v>70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34.0</v>
      </c>
      <c r="F46" s="19">
        <v>25.0</v>
      </c>
      <c r="G46" s="19">
        <v>18.0</v>
      </c>
      <c r="H46" s="19">
        <v>8.0</v>
      </c>
      <c r="I46" s="19">
        <v>35.0</v>
      </c>
      <c r="J46" s="19">
        <v>54.0</v>
      </c>
      <c r="K46" s="19">
        <v>26.0</v>
      </c>
      <c r="L46" s="19">
        <v>17.0</v>
      </c>
      <c r="M46" s="19">
        <v>4.0</v>
      </c>
      <c r="N46" s="19">
        <v>22.0</v>
      </c>
      <c r="O46" s="19">
        <v>5.0</v>
      </c>
      <c r="P46" s="19">
        <v>0.0</v>
      </c>
      <c r="Q46" s="19">
        <v>0.0</v>
      </c>
      <c r="R46" s="13">
        <f t="shared" si="14"/>
        <v>248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0.0</v>
      </c>
      <c r="G47" s="19">
        <v>0.0</v>
      </c>
      <c r="H47" s="19">
        <v>1.0</v>
      </c>
      <c r="I47" s="19">
        <v>4.0</v>
      </c>
      <c r="J47" s="19">
        <v>1.0</v>
      </c>
      <c r="K47" s="19">
        <v>0.0</v>
      </c>
      <c r="L47" s="19">
        <v>3.0</v>
      </c>
      <c r="M47" s="19">
        <v>0.0</v>
      </c>
      <c r="N47" s="19">
        <v>5.0</v>
      </c>
      <c r="O47" s="19">
        <v>1.0</v>
      </c>
      <c r="P47" s="19">
        <v>0.0</v>
      </c>
      <c r="Q47" s="19">
        <v>0.0</v>
      </c>
      <c r="R47" s="13">
        <f t="shared" si="14"/>
        <v>18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1.0</v>
      </c>
      <c r="H48" s="19">
        <v>0.0</v>
      </c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3">
        <f t="shared" si="14"/>
        <v>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1.0</v>
      </c>
      <c r="I49" s="19">
        <v>1.0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3">
        <f t="shared" si="14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Q55" si="15">SUM(E45:E52)</f>
        <v>47</v>
      </c>
      <c r="F55" s="13">
        <f t="shared" si="15"/>
        <v>35</v>
      </c>
      <c r="G55" s="13">
        <f t="shared" si="15"/>
        <v>23</v>
      </c>
      <c r="H55" s="13">
        <f t="shared" si="15"/>
        <v>13</v>
      </c>
      <c r="I55" s="13">
        <f t="shared" si="15"/>
        <v>53</v>
      </c>
      <c r="J55" s="13">
        <f t="shared" si="15"/>
        <v>64</v>
      </c>
      <c r="K55" s="13">
        <f t="shared" si="15"/>
        <v>36</v>
      </c>
      <c r="L55" s="13">
        <f t="shared" si="15"/>
        <v>24</v>
      </c>
      <c r="M55" s="13">
        <f t="shared" si="15"/>
        <v>8</v>
      </c>
      <c r="N55" s="13">
        <f t="shared" si="15"/>
        <v>35</v>
      </c>
      <c r="O55" s="13">
        <f t="shared" si="15"/>
        <v>12</v>
      </c>
      <c r="P55" s="13">
        <f t="shared" si="15"/>
        <v>0</v>
      </c>
      <c r="Q55" s="13">
        <f t="shared" si="15"/>
        <v>0</v>
      </c>
      <c r="R55" s="13">
        <f>SUM(E55:Q55)</f>
        <v>350</v>
      </c>
    </row>
    <row r="56" ht="12.75" customHeight="1">
      <c r="A56" s="45"/>
      <c r="B56" s="44"/>
      <c r="C56" s="44"/>
      <c r="D56" s="44"/>
      <c r="E56" s="44"/>
      <c r="R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6.0</v>
      </c>
      <c r="G57" s="19">
        <v>3.0</v>
      </c>
      <c r="H57" s="19">
        <v>3.0</v>
      </c>
      <c r="I57" s="19">
        <v>8.0</v>
      </c>
      <c r="J57" s="19">
        <v>2.0</v>
      </c>
      <c r="K57" s="19">
        <v>3.0</v>
      </c>
      <c r="L57" s="19">
        <v>16.0</v>
      </c>
      <c r="M57" s="19">
        <v>13.0</v>
      </c>
      <c r="N57" s="19">
        <v>11.0</v>
      </c>
      <c r="O57" s="19">
        <v>7.0</v>
      </c>
      <c r="P57" s="19">
        <v>0.0</v>
      </c>
      <c r="Q57" s="19">
        <v>0.0</v>
      </c>
      <c r="R57" s="13">
        <f t="shared" ref="R57:R64" si="16">SUM(E57:Q57)</f>
        <v>77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3.0</v>
      </c>
      <c r="G58" s="19">
        <v>2.0</v>
      </c>
      <c r="H58" s="19">
        <v>1.0</v>
      </c>
      <c r="I58" s="19">
        <v>31.0</v>
      </c>
      <c r="J58" s="19">
        <v>33.0</v>
      </c>
      <c r="K58" s="19">
        <v>5.0</v>
      </c>
      <c r="L58" s="19">
        <v>6.0</v>
      </c>
      <c r="M58" s="19">
        <v>19.0</v>
      </c>
      <c r="N58" s="19">
        <v>34.0</v>
      </c>
      <c r="O58" s="19">
        <v>20.0</v>
      </c>
      <c r="P58" s="19">
        <v>0.0</v>
      </c>
      <c r="Q58" s="19">
        <v>0.0</v>
      </c>
      <c r="R58" s="13">
        <f t="shared" si="16"/>
        <v>159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3.0</v>
      </c>
      <c r="G59" s="19">
        <v>4.0</v>
      </c>
      <c r="H59" s="19">
        <v>1.0</v>
      </c>
      <c r="I59" s="19">
        <v>0.0</v>
      </c>
      <c r="J59" s="19">
        <v>1.0</v>
      </c>
      <c r="K59" s="19">
        <v>1.0</v>
      </c>
      <c r="L59" s="19">
        <v>2.0</v>
      </c>
      <c r="M59" s="19">
        <v>3.0</v>
      </c>
      <c r="N59" s="19">
        <v>0.0</v>
      </c>
      <c r="O59" s="19">
        <v>2.0</v>
      </c>
      <c r="P59" s="19">
        <v>0.0</v>
      </c>
      <c r="Q59" s="19">
        <v>0.0</v>
      </c>
      <c r="R59" s="13">
        <f t="shared" si="16"/>
        <v>19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2.0</v>
      </c>
      <c r="M60" s="19">
        <v>1.0</v>
      </c>
      <c r="N60" s="19">
        <v>1.0</v>
      </c>
      <c r="O60" s="19">
        <v>0.0</v>
      </c>
      <c r="P60" s="19">
        <v>0.0</v>
      </c>
      <c r="Q60" s="19">
        <v>0.0</v>
      </c>
      <c r="R60" s="13">
        <f t="shared" si="16"/>
        <v>5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0.0</v>
      </c>
      <c r="H61" s="19">
        <v>0.0</v>
      </c>
      <c r="I61" s="19">
        <v>4.0</v>
      </c>
      <c r="J61" s="19">
        <v>1.0</v>
      </c>
      <c r="K61" s="19">
        <v>0.0</v>
      </c>
      <c r="L61" s="19">
        <v>1.0</v>
      </c>
      <c r="M61" s="19">
        <v>1.0</v>
      </c>
      <c r="N61" s="19">
        <v>0.0</v>
      </c>
      <c r="O61" s="19">
        <v>1.0</v>
      </c>
      <c r="P61" s="19">
        <v>0.0</v>
      </c>
      <c r="Q61" s="19">
        <v>0.0</v>
      </c>
      <c r="R61" s="13">
        <f t="shared" si="16"/>
        <v>8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3">
        <f t="shared" si="16"/>
        <v>0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2.0</v>
      </c>
      <c r="J64" s="19">
        <v>1.0</v>
      </c>
      <c r="K64" s="19">
        <v>2.0</v>
      </c>
      <c r="L64" s="19">
        <v>0.0</v>
      </c>
      <c r="M64" s="19">
        <v>0.0</v>
      </c>
      <c r="N64" s="19">
        <v>2.0</v>
      </c>
      <c r="O64" s="19">
        <v>0.0</v>
      </c>
      <c r="P64" s="19">
        <v>0.0</v>
      </c>
      <c r="Q64" s="19">
        <v>0.0</v>
      </c>
      <c r="R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Q67" si="17">SUM(E57:E64)</f>
        <v>12</v>
      </c>
      <c r="F67" s="13">
        <f t="shared" si="17"/>
        <v>12</v>
      </c>
      <c r="G67" s="13">
        <f t="shared" si="17"/>
        <v>9</v>
      </c>
      <c r="H67" s="13">
        <f t="shared" si="17"/>
        <v>6</v>
      </c>
      <c r="I67" s="13">
        <f t="shared" si="17"/>
        <v>45</v>
      </c>
      <c r="J67" s="13">
        <f t="shared" si="17"/>
        <v>38</v>
      </c>
      <c r="K67" s="13">
        <f t="shared" si="17"/>
        <v>13</v>
      </c>
      <c r="L67" s="13">
        <f t="shared" si="17"/>
        <v>27</v>
      </c>
      <c r="M67" s="13">
        <f t="shared" si="17"/>
        <v>37</v>
      </c>
      <c r="N67" s="13">
        <f t="shared" si="17"/>
        <v>48</v>
      </c>
      <c r="O67" s="13">
        <f t="shared" si="17"/>
        <v>31</v>
      </c>
      <c r="P67" s="13">
        <f t="shared" si="17"/>
        <v>0</v>
      </c>
      <c r="Q67" s="13">
        <f t="shared" si="17"/>
        <v>0</v>
      </c>
      <c r="R67" s="13">
        <f>SUM(E67:Q67)</f>
        <v>278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5.0</v>
      </c>
      <c r="G69" s="19">
        <v>3.0</v>
      </c>
      <c r="H69" s="19">
        <v>3.0</v>
      </c>
      <c r="I69" s="19">
        <v>1.0</v>
      </c>
      <c r="J69" s="19">
        <v>2.0</v>
      </c>
      <c r="K69" s="19">
        <v>4.0</v>
      </c>
      <c r="L69" s="19">
        <v>7.0</v>
      </c>
      <c r="M69" s="19">
        <v>5.0</v>
      </c>
      <c r="N69" s="19">
        <v>14.0</v>
      </c>
      <c r="O69" s="19">
        <v>9.0</v>
      </c>
      <c r="P69" s="19">
        <v>0.0</v>
      </c>
      <c r="Q69" s="19">
        <v>0.0</v>
      </c>
      <c r="R69" s="13">
        <f t="shared" ref="R69:R76" si="18">SUM(E69:Q69)</f>
        <v>58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0.0</v>
      </c>
      <c r="F70" s="19">
        <v>2.0</v>
      </c>
      <c r="G70" s="19">
        <v>3.0</v>
      </c>
      <c r="H70" s="19">
        <v>8.0</v>
      </c>
      <c r="I70" s="19">
        <v>4.0</v>
      </c>
      <c r="J70" s="19">
        <v>2.0</v>
      </c>
      <c r="K70" s="19">
        <v>4.0</v>
      </c>
      <c r="L70" s="19">
        <v>1.0</v>
      </c>
      <c r="M70" s="19">
        <v>1.0</v>
      </c>
      <c r="N70" s="19">
        <v>5.0</v>
      </c>
      <c r="O70" s="19">
        <v>3.0</v>
      </c>
      <c r="P70" s="19">
        <v>0.0</v>
      </c>
      <c r="Q70" s="19">
        <v>0.0</v>
      </c>
      <c r="R70" s="13">
        <f t="shared" si="18"/>
        <v>33</v>
      </c>
    </row>
    <row r="71" ht="12.75" customHeight="1">
      <c r="A71" s="18"/>
      <c r="B71" s="55">
        <v>2.0</v>
      </c>
      <c r="C71" s="50" t="s">
        <v>58</v>
      </c>
      <c r="D71" s="57"/>
      <c r="E71" s="19">
        <v>11.0</v>
      </c>
      <c r="F71" s="19">
        <v>20.0</v>
      </c>
      <c r="G71" s="19">
        <v>31.0</v>
      </c>
      <c r="H71" s="19">
        <v>69.0</v>
      </c>
      <c r="I71" s="19">
        <v>4.0</v>
      </c>
      <c r="J71" s="19">
        <v>3.0</v>
      </c>
      <c r="K71" s="19">
        <v>14.0</v>
      </c>
      <c r="L71" s="19">
        <v>2.0</v>
      </c>
      <c r="M71" s="19">
        <v>14.0</v>
      </c>
      <c r="N71" s="19">
        <v>17.0</v>
      </c>
      <c r="O71" s="19">
        <v>0.0</v>
      </c>
      <c r="P71" s="19">
        <v>0.0</v>
      </c>
      <c r="Q71" s="19">
        <v>0.0</v>
      </c>
      <c r="R71" s="13">
        <f t="shared" si="18"/>
        <v>185</v>
      </c>
    </row>
    <row r="72" ht="12.75" customHeight="1">
      <c r="A72" s="18"/>
      <c r="B72" s="55">
        <v>3.0</v>
      </c>
      <c r="C72" s="50" t="s">
        <v>59</v>
      </c>
      <c r="D72" s="57"/>
      <c r="E72" s="19">
        <v>16.0</v>
      </c>
      <c r="F72" s="19">
        <v>6.0</v>
      </c>
      <c r="G72" s="19">
        <v>7.0</v>
      </c>
      <c r="H72" s="19">
        <v>47.0</v>
      </c>
      <c r="I72" s="19">
        <v>3.0</v>
      </c>
      <c r="J72" s="19">
        <v>0.0</v>
      </c>
      <c r="K72" s="19">
        <v>0.0</v>
      </c>
      <c r="L72" s="19">
        <v>1.0</v>
      </c>
      <c r="M72" s="19">
        <v>1.0</v>
      </c>
      <c r="N72" s="19">
        <v>2.0</v>
      </c>
      <c r="O72" s="19">
        <v>37.0</v>
      </c>
      <c r="P72" s="19">
        <v>0.0</v>
      </c>
      <c r="Q72" s="19">
        <v>0.0</v>
      </c>
      <c r="R72" s="13">
        <f t="shared" si="18"/>
        <v>120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1.0</v>
      </c>
      <c r="P73" s="19">
        <v>0.0</v>
      </c>
      <c r="Q73" s="19">
        <v>0.0</v>
      </c>
      <c r="R73" s="13">
        <f t="shared" si="18"/>
        <v>2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2.0</v>
      </c>
      <c r="G74" s="19">
        <v>4.0</v>
      </c>
      <c r="H74" s="19">
        <v>2.0</v>
      </c>
      <c r="I74" s="19">
        <v>9.0</v>
      </c>
      <c r="J74" s="19">
        <v>0.0</v>
      </c>
      <c r="K74" s="19">
        <v>1.0</v>
      </c>
      <c r="L74" s="19">
        <v>2.0</v>
      </c>
      <c r="M74" s="19">
        <v>1.0</v>
      </c>
      <c r="N74" s="19">
        <v>0.0</v>
      </c>
      <c r="O74" s="19">
        <v>1.0</v>
      </c>
      <c r="P74" s="19">
        <v>0.0</v>
      </c>
      <c r="Q74" s="19">
        <v>0.0</v>
      </c>
      <c r="R74" s="13">
        <f t="shared" si="18"/>
        <v>23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5.0</v>
      </c>
      <c r="P75" s="19">
        <v>0.0</v>
      </c>
      <c r="Q75" s="19">
        <v>0.0</v>
      </c>
      <c r="R75" s="13">
        <f t="shared" si="18"/>
        <v>5</v>
      </c>
    </row>
    <row r="76" ht="12.75" customHeight="1">
      <c r="A76" s="18"/>
      <c r="B76" s="55">
        <v>7.0</v>
      </c>
      <c r="C76" s="50" t="s">
        <v>63</v>
      </c>
      <c r="D76" s="57"/>
      <c r="E76" s="19">
        <v>3.0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1.0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3">
        <f t="shared" si="18"/>
        <v>4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Q79" si="19">SUM(E69:E76)</f>
        <v>36</v>
      </c>
      <c r="F79" s="13">
        <f t="shared" si="19"/>
        <v>35</v>
      </c>
      <c r="G79" s="13">
        <f t="shared" si="19"/>
        <v>48</v>
      </c>
      <c r="H79" s="13">
        <f t="shared" si="19"/>
        <v>129</v>
      </c>
      <c r="I79" s="13">
        <f t="shared" si="19"/>
        <v>21</v>
      </c>
      <c r="J79" s="13">
        <f t="shared" si="19"/>
        <v>7</v>
      </c>
      <c r="K79" s="13">
        <f t="shared" si="19"/>
        <v>24</v>
      </c>
      <c r="L79" s="13">
        <f t="shared" si="19"/>
        <v>13</v>
      </c>
      <c r="M79" s="13">
        <f t="shared" si="19"/>
        <v>22</v>
      </c>
      <c r="N79" s="13">
        <f t="shared" si="19"/>
        <v>39</v>
      </c>
      <c r="O79" s="13">
        <f t="shared" si="19"/>
        <v>56</v>
      </c>
      <c r="P79" s="13">
        <f t="shared" si="19"/>
        <v>0</v>
      </c>
      <c r="Q79" s="13">
        <f t="shared" si="19"/>
        <v>0</v>
      </c>
      <c r="R79" s="13">
        <f>SUM(E79:Q79)</f>
        <v>430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4.0</v>
      </c>
      <c r="G81" s="19">
        <v>5.0</v>
      </c>
      <c r="H81" s="19">
        <v>3.0</v>
      </c>
      <c r="I81" s="19">
        <v>7.0</v>
      </c>
      <c r="J81" s="19">
        <v>2.0</v>
      </c>
      <c r="K81" s="19">
        <v>13.0</v>
      </c>
      <c r="L81" s="19">
        <v>7.0</v>
      </c>
      <c r="M81" s="19">
        <v>10.0</v>
      </c>
      <c r="N81" s="19">
        <v>2.0</v>
      </c>
      <c r="O81" s="19">
        <v>6.0</v>
      </c>
      <c r="P81" s="19">
        <v>0.0</v>
      </c>
      <c r="Q81" s="19">
        <v>0.0</v>
      </c>
      <c r="R81" s="13">
        <f t="shared" ref="R81:R88" si="20">SUM(E81:Q81)</f>
        <v>60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6.0</v>
      </c>
      <c r="F82" s="19">
        <v>5.0</v>
      </c>
      <c r="G82" s="19">
        <v>16.0</v>
      </c>
      <c r="H82" s="19">
        <v>13.0</v>
      </c>
      <c r="I82" s="19">
        <v>2.0</v>
      </c>
      <c r="J82" s="19">
        <v>2.0</v>
      </c>
      <c r="K82" s="19">
        <v>29.0</v>
      </c>
      <c r="L82" s="19">
        <v>8.0</v>
      </c>
      <c r="M82" s="19">
        <v>4.0</v>
      </c>
      <c r="N82" s="19">
        <v>4.0</v>
      </c>
      <c r="O82" s="19">
        <v>1.0</v>
      </c>
      <c r="P82" s="19">
        <v>0.0</v>
      </c>
      <c r="Q82" s="19">
        <v>0.0</v>
      </c>
      <c r="R82" s="13">
        <f t="shared" si="20"/>
        <v>90</v>
      </c>
    </row>
    <row r="83" ht="12.75" customHeight="1">
      <c r="A83" s="18"/>
      <c r="B83" s="55">
        <v>2.0</v>
      </c>
      <c r="C83" s="50" t="s">
        <v>66</v>
      </c>
      <c r="D83" s="57"/>
      <c r="E83" s="19">
        <v>6.0</v>
      </c>
      <c r="F83" s="19">
        <v>7.0</v>
      </c>
      <c r="G83" s="19">
        <v>7.0</v>
      </c>
      <c r="H83" s="19">
        <v>7.0</v>
      </c>
      <c r="I83" s="19">
        <v>6.0</v>
      </c>
      <c r="J83" s="19">
        <v>9.0</v>
      </c>
      <c r="K83" s="19">
        <v>3.0</v>
      </c>
      <c r="L83" s="19">
        <v>11.0</v>
      </c>
      <c r="M83" s="19">
        <v>18.0</v>
      </c>
      <c r="N83" s="19">
        <v>8.0</v>
      </c>
      <c r="O83" s="19">
        <v>13.0</v>
      </c>
      <c r="P83" s="19">
        <v>0.0</v>
      </c>
      <c r="Q83" s="19">
        <v>0.0</v>
      </c>
      <c r="R83" s="13">
        <f t="shared" si="20"/>
        <v>95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2.0</v>
      </c>
      <c r="M84" s="19">
        <v>1.0</v>
      </c>
      <c r="N84" s="19">
        <v>0.0</v>
      </c>
      <c r="O84" s="19">
        <v>0.0</v>
      </c>
      <c r="P84" s="19">
        <v>0.0</v>
      </c>
      <c r="Q84" s="19">
        <v>0.0</v>
      </c>
      <c r="R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1.0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57"/>
      <c r="E86" s="19">
        <v>13.0</v>
      </c>
      <c r="F86" s="19">
        <v>2.0</v>
      </c>
      <c r="G86" s="19">
        <v>32.0</v>
      </c>
      <c r="H86" s="19">
        <v>6.0</v>
      </c>
      <c r="I86" s="19">
        <v>20.0</v>
      </c>
      <c r="J86" s="19">
        <v>18.0</v>
      </c>
      <c r="K86" s="19">
        <v>14.0</v>
      </c>
      <c r="L86" s="19">
        <v>5.0</v>
      </c>
      <c r="M86" s="19">
        <v>1.0</v>
      </c>
      <c r="N86" s="19">
        <v>3.0</v>
      </c>
      <c r="O86" s="19">
        <v>4.0</v>
      </c>
      <c r="P86" s="19">
        <v>0.0</v>
      </c>
      <c r="Q86" s="19">
        <v>0.0</v>
      </c>
      <c r="R86" s="13">
        <f t="shared" si="20"/>
        <v>118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2.0</v>
      </c>
      <c r="I87" s="19">
        <v>3.0</v>
      </c>
      <c r="J87" s="19">
        <v>5.0</v>
      </c>
      <c r="K87" s="19">
        <v>1.0</v>
      </c>
      <c r="L87" s="19">
        <v>1.0</v>
      </c>
      <c r="M87" s="19">
        <v>0.0</v>
      </c>
      <c r="N87" s="19">
        <v>3.0</v>
      </c>
      <c r="O87" s="19">
        <v>1.0</v>
      </c>
      <c r="P87" s="19">
        <v>0.0</v>
      </c>
      <c r="Q87" s="19">
        <v>0.0</v>
      </c>
      <c r="R87" s="13">
        <f t="shared" si="20"/>
        <v>17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1.0</v>
      </c>
      <c r="K88" s="19">
        <v>1.0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3">
        <f t="shared" si="20"/>
        <v>4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Q91" si="21">SUM(E81:E88)</f>
        <v>27</v>
      </c>
      <c r="F91" s="13">
        <f t="shared" si="21"/>
        <v>18</v>
      </c>
      <c r="G91" s="13">
        <f t="shared" si="21"/>
        <v>63</v>
      </c>
      <c r="H91" s="13">
        <f t="shared" si="21"/>
        <v>32</v>
      </c>
      <c r="I91" s="13">
        <f t="shared" si="21"/>
        <v>39</v>
      </c>
      <c r="J91" s="13">
        <f t="shared" si="21"/>
        <v>37</v>
      </c>
      <c r="K91" s="13">
        <f t="shared" si="21"/>
        <v>62</v>
      </c>
      <c r="L91" s="13">
        <f t="shared" si="21"/>
        <v>34</v>
      </c>
      <c r="M91" s="13">
        <f t="shared" si="21"/>
        <v>34</v>
      </c>
      <c r="N91" s="13">
        <f t="shared" si="21"/>
        <v>20</v>
      </c>
      <c r="O91" s="13">
        <f t="shared" si="21"/>
        <v>26</v>
      </c>
      <c r="P91" s="13">
        <f t="shared" si="21"/>
        <v>0</v>
      </c>
      <c r="Q91" s="13">
        <f t="shared" si="21"/>
        <v>0</v>
      </c>
      <c r="R91" s="13">
        <f>SUM(E91:Q91)</f>
        <v>392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0.0</v>
      </c>
      <c r="I93" s="19">
        <v>0.0</v>
      </c>
      <c r="J93" s="19">
        <v>0.0</v>
      </c>
      <c r="K93" s="19">
        <v>1.0</v>
      </c>
      <c r="L93" s="19">
        <v>4.0</v>
      </c>
      <c r="M93" s="19">
        <v>2.0</v>
      </c>
      <c r="N93" s="19">
        <v>2.0</v>
      </c>
      <c r="O93" s="19">
        <v>0.0</v>
      </c>
      <c r="P93" s="19">
        <v>0.0</v>
      </c>
      <c r="Q93" s="19">
        <v>0.0</v>
      </c>
      <c r="R93" s="13">
        <f t="shared" ref="R93:R100" si="22">SUM(E93:Q93)</f>
        <v>10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2.0</v>
      </c>
      <c r="L94" s="19">
        <v>1.0</v>
      </c>
      <c r="M94" s="19">
        <v>1.0</v>
      </c>
      <c r="N94" s="19">
        <v>0.0</v>
      </c>
      <c r="O94" s="19">
        <v>1.0</v>
      </c>
      <c r="P94" s="19">
        <v>0.0</v>
      </c>
      <c r="Q94" s="19">
        <v>0.0</v>
      </c>
      <c r="R94" s="13">
        <f t="shared" si="22"/>
        <v>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2.0</v>
      </c>
      <c r="J97" s="19">
        <v>0.0</v>
      </c>
      <c r="K97" s="19">
        <v>3.0</v>
      </c>
      <c r="L97" s="19">
        <v>0.0</v>
      </c>
      <c r="M97" s="19">
        <v>1.0</v>
      </c>
      <c r="N97" s="19">
        <v>0.0</v>
      </c>
      <c r="O97" s="19">
        <v>0.0</v>
      </c>
      <c r="P97" s="19">
        <v>0.0</v>
      </c>
      <c r="Q97" s="19">
        <v>0.0</v>
      </c>
      <c r="R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Q103" si="23">SUM(E93:E100)</f>
        <v>0</v>
      </c>
      <c r="F103" s="13">
        <f t="shared" si="23"/>
        <v>0</v>
      </c>
      <c r="G103" s="13">
        <f t="shared" si="23"/>
        <v>1</v>
      </c>
      <c r="H103" s="13">
        <f t="shared" si="23"/>
        <v>0</v>
      </c>
      <c r="I103" s="13">
        <f t="shared" si="23"/>
        <v>2</v>
      </c>
      <c r="J103" s="13">
        <f t="shared" si="23"/>
        <v>0</v>
      </c>
      <c r="K103" s="13">
        <f t="shared" si="23"/>
        <v>6</v>
      </c>
      <c r="L103" s="13">
        <f t="shared" si="23"/>
        <v>6</v>
      </c>
      <c r="M103" s="13">
        <f t="shared" si="23"/>
        <v>4</v>
      </c>
      <c r="N103" s="13">
        <f t="shared" si="23"/>
        <v>2</v>
      </c>
      <c r="O103" s="13">
        <f t="shared" si="23"/>
        <v>1</v>
      </c>
      <c r="P103" s="13">
        <f t="shared" si="23"/>
        <v>0</v>
      </c>
      <c r="Q103" s="13">
        <f t="shared" si="23"/>
        <v>0</v>
      </c>
      <c r="R103" s="13">
        <f>SUM(E103:Q103)</f>
        <v>22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1.0</v>
      </c>
      <c r="L105" s="19">
        <v>0.0</v>
      </c>
      <c r="M105" s="19">
        <v>0.0</v>
      </c>
      <c r="N105" s="19">
        <v>0.0</v>
      </c>
      <c r="O105" s="19">
        <v>3.0</v>
      </c>
      <c r="P105" s="19">
        <v>0.0</v>
      </c>
      <c r="Q105" s="19">
        <v>0.0</v>
      </c>
      <c r="R105" s="13">
        <f t="shared" ref="R105:R112" si="24">SUM(E105:Q105)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Q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3</v>
      </c>
      <c r="P115" s="13">
        <f t="shared" si="25"/>
        <v>0</v>
      </c>
      <c r="Q115" s="13">
        <f t="shared" si="25"/>
        <v>0</v>
      </c>
      <c r="R115" s="13">
        <f>SUM(E115:Q115)</f>
        <v>8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1.0</v>
      </c>
      <c r="O117" s="19">
        <v>1.0</v>
      </c>
      <c r="P117" s="19">
        <v>0.0</v>
      </c>
      <c r="Q117" s="19">
        <v>0.0</v>
      </c>
      <c r="R117" s="13">
        <f t="shared" ref="R117:R120" si="26">SUM(E117:Q117)</f>
        <v>4</v>
      </c>
      <c r="S117" s="5"/>
      <c r="T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3">
        <f t="shared" si="26"/>
        <v>1</v>
      </c>
      <c r="S118" s="5"/>
      <c r="T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3">
        <f t="shared" si="26"/>
        <v>0</v>
      </c>
      <c r="S119" s="5"/>
      <c r="T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3">
        <f t="shared" si="26"/>
        <v>2</v>
      </c>
      <c r="S120" s="5"/>
      <c r="T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74"/>
      <c r="S121" s="5"/>
      <c r="T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74"/>
      <c r="S122" s="5"/>
      <c r="T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74"/>
      <c r="S123" s="5"/>
      <c r="T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74"/>
      <c r="S124" s="5"/>
      <c r="T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74"/>
      <c r="S125" s="5"/>
      <c r="T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74"/>
      <c r="S126" s="5"/>
      <c r="T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Q127" si="27">SUM(E117:E120)</f>
        <v>0</v>
      </c>
      <c r="F127" s="58">
        <f t="shared" si="27"/>
        <v>0</v>
      </c>
      <c r="G127" s="58">
        <f t="shared" si="27"/>
        <v>0</v>
      </c>
      <c r="H127" s="58">
        <f t="shared" si="27"/>
        <v>1</v>
      </c>
      <c r="I127" s="58">
        <f t="shared" si="27"/>
        <v>1</v>
      </c>
      <c r="J127" s="58">
        <f t="shared" si="27"/>
        <v>0</v>
      </c>
      <c r="K127" s="58">
        <f t="shared" si="27"/>
        <v>0</v>
      </c>
      <c r="L127" s="58">
        <f t="shared" si="27"/>
        <v>2</v>
      </c>
      <c r="M127" s="58">
        <f t="shared" si="27"/>
        <v>1</v>
      </c>
      <c r="N127" s="58">
        <f t="shared" si="27"/>
        <v>1</v>
      </c>
      <c r="O127" s="58">
        <f t="shared" si="27"/>
        <v>1</v>
      </c>
      <c r="P127" s="58">
        <f t="shared" si="27"/>
        <v>0</v>
      </c>
      <c r="Q127" s="58">
        <f t="shared" si="27"/>
        <v>0</v>
      </c>
      <c r="R127" s="13">
        <f>SUM(E127:Q127)</f>
        <v>7</v>
      </c>
      <c r="S127" s="5"/>
      <c r="T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5"/>
      <c r="T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2.0</v>
      </c>
      <c r="M129" s="19">
        <v>0.0</v>
      </c>
      <c r="N129" s="19">
        <v>0.0</v>
      </c>
      <c r="O129" s="19">
        <v>1.0</v>
      </c>
      <c r="P129" s="19">
        <v>0.0</v>
      </c>
      <c r="Q129" s="19">
        <v>0.0</v>
      </c>
      <c r="R129" s="13">
        <f t="shared" ref="R129:R136" si="28">SUM(E129:Q129)</f>
        <v>4</v>
      </c>
      <c r="S129" s="5"/>
      <c r="T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4.0</v>
      </c>
      <c r="G130" s="19">
        <v>1.0</v>
      </c>
      <c r="H130" s="19">
        <v>0.0</v>
      </c>
      <c r="I130" s="19">
        <v>1.0</v>
      </c>
      <c r="J130" s="19">
        <v>0.0</v>
      </c>
      <c r="K130" s="19">
        <v>0.0</v>
      </c>
      <c r="L130" s="19">
        <v>0.0</v>
      </c>
      <c r="M130" s="19">
        <v>4.0</v>
      </c>
      <c r="N130" s="19">
        <v>1.0</v>
      </c>
      <c r="O130" s="19">
        <v>1.0</v>
      </c>
      <c r="P130" s="19">
        <v>0.0</v>
      </c>
      <c r="Q130" s="19">
        <v>0.0</v>
      </c>
      <c r="R130" s="13">
        <f t="shared" si="28"/>
        <v>15</v>
      </c>
      <c r="S130" s="1"/>
      <c r="T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1.0</v>
      </c>
      <c r="I131" s="19">
        <v>1.0</v>
      </c>
      <c r="J131" s="19">
        <v>0.0</v>
      </c>
      <c r="K131" s="19">
        <v>0.0</v>
      </c>
      <c r="L131" s="19">
        <v>2.0</v>
      </c>
      <c r="M131" s="19">
        <v>9.0</v>
      </c>
      <c r="N131" s="19">
        <v>0.0</v>
      </c>
      <c r="O131" s="19">
        <v>0.0</v>
      </c>
      <c r="P131" s="19">
        <v>3.0</v>
      </c>
      <c r="Q131" s="19">
        <v>0.0</v>
      </c>
      <c r="R131" s="13">
        <f t="shared" si="28"/>
        <v>17</v>
      </c>
      <c r="S131" s="52"/>
      <c r="T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3">
        <f t="shared" si="28"/>
        <v>0</v>
      </c>
      <c r="S132" s="5"/>
      <c r="T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1.0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3">
        <f t="shared" si="28"/>
        <v>3</v>
      </c>
      <c r="S133" s="5"/>
      <c r="T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0.0</v>
      </c>
      <c r="O134" s="19">
        <v>0.0</v>
      </c>
      <c r="P134" s="19">
        <v>0.0</v>
      </c>
      <c r="Q134" s="19">
        <v>0.0</v>
      </c>
      <c r="R134" s="13">
        <f t="shared" si="28"/>
        <v>2</v>
      </c>
      <c r="S134" s="5"/>
      <c r="T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3">
        <f t="shared" si="28"/>
        <v>0</v>
      </c>
      <c r="S135" s="5"/>
      <c r="T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3">
        <f t="shared" si="28"/>
        <v>0</v>
      </c>
      <c r="S136" s="5"/>
      <c r="T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74"/>
      <c r="S137" s="5"/>
      <c r="T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74"/>
      <c r="S138" s="5"/>
      <c r="T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Q139" si="29">SUM(E129:E136)</f>
        <v>3</v>
      </c>
      <c r="F139" s="13">
        <f t="shared" si="29"/>
        <v>4</v>
      </c>
      <c r="G139" s="13">
        <f t="shared" si="29"/>
        <v>4</v>
      </c>
      <c r="H139" s="13">
        <f t="shared" si="29"/>
        <v>1</v>
      </c>
      <c r="I139" s="13">
        <f t="shared" si="29"/>
        <v>3</v>
      </c>
      <c r="J139" s="13">
        <f t="shared" si="29"/>
        <v>0</v>
      </c>
      <c r="K139" s="13">
        <f t="shared" si="29"/>
        <v>0</v>
      </c>
      <c r="L139" s="13">
        <f t="shared" si="29"/>
        <v>5</v>
      </c>
      <c r="M139" s="13">
        <f t="shared" si="29"/>
        <v>15</v>
      </c>
      <c r="N139" s="13">
        <f t="shared" si="29"/>
        <v>1</v>
      </c>
      <c r="O139" s="13">
        <f t="shared" si="29"/>
        <v>2</v>
      </c>
      <c r="P139" s="13">
        <f t="shared" si="29"/>
        <v>3</v>
      </c>
      <c r="Q139" s="13">
        <f t="shared" si="29"/>
        <v>0</v>
      </c>
      <c r="R139" s="13">
        <f>SUM(E139:Q139)</f>
        <v>41</v>
      </c>
      <c r="S139" s="5"/>
      <c r="T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5"/>
      <c r="T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3">
        <f t="shared" ref="R141:R148" si="30">SUM(E141:Q141)</f>
        <v>0</v>
      </c>
      <c r="S141" s="1"/>
      <c r="T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3">
        <f t="shared" si="30"/>
        <v>0</v>
      </c>
      <c r="S142" s="52"/>
      <c r="T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3">
        <f t="shared" si="30"/>
        <v>0</v>
      </c>
      <c r="S143" s="5"/>
      <c r="T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3">
        <f t="shared" si="30"/>
        <v>0</v>
      </c>
      <c r="S144" s="5"/>
      <c r="T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3">
        <f t="shared" si="30"/>
        <v>0</v>
      </c>
      <c r="S145" s="5"/>
      <c r="T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3">
        <f t="shared" si="30"/>
        <v>0</v>
      </c>
      <c r="S146" s="5"/>
      <c r="T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3">
        <f t="shared" si="30"/>
        <v>0</v>
      </c>
      <c r="S147" s="5"/>
      <c r="T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3">
        <f t="shared" si="30"/>
        <v>0</v>
      </c>
      <c r="S148" s="5"/>
      <c r="T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74"/>
      <c r="S149" s="5"/>
      <c r="T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74"/>
      <c r="S150" s="5"/>
      <c r="T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Q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>SUM(E151:Q151)</f>
        <v>0</v>
      </c>
      <c r="S151" s="1"/>
      <c r="T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13"/>
      <c r="S152" s="52"/>
      <c r="T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3">
        <v>1.0</v>
      </c>
      <c r="S153" s="5"/>
      <c r="T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3">
        <v>2.0</v>
      </c>
      <c r="S154" s="5"/>
      <c r="T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3">
        <f t="shared" ref="R155:R156" si="32">SUM(E156:Q156)</f>
        <v>0</v>
      </c>
      <c r="S155" s="5"/>
      <c r="T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3">
        <f t="shared" si="32"/>
        <v>0</v>
      </c>
      <c r="S156" s="5"/>
      <c r="T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3">
        <v>0.0</v>
      </c>
      <c r="S157" s="5"/>
      <c r="T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74"/>
      <c r="S158" s="5"/>
      <c r="T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74"/>
      <c r="S159" s="5"/>
      <c r="T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74"/>
      <c r="S160" s="5"/>
      <c r="T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74"/>
      <c r="S161" s="5"/>
      <c r="T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74"/>
      <c r="S162" s="5"/>
      <c r="T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Q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v>3.0</v>
      </c>
      <c r="S163" s="5"/>
      <c r="T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5"/>
      <c r="T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3">
        <f t="shared" ref="R165:R172" si="34">SUM(E165:Q165)</f>
        <v>2</v>
      </c>
      <c r="S165" s="1"/>
      <c r="T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3">
        <f t="shared" si="34"/>
        <v>1</v>
      </c>
      <c r="S166" s="52"/>
      <c r="T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3">
        <f t="shared" si="34"/>
        <v>0</v>
      </c>
      <c r="S167" s="5"/>
      <c r="T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3">
        <f t="shared" si="34"/>
        <v>0</v>
      </c>
      <c r="S168" s="5"/>
      <c r="T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3">
        <f t="shared" si="34"/>
        <v>0</v>
      </c>
      <c r="S169" s="5"/>
      <c r="T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3">
        <f t="shared" si="34"/>
        <v>0</v>
      </c>
      <c r="S170" s="5"/>
      <c r="T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3">
        <f t="shared" si="34"/>
        <v>0</v>
      </c>
      <c r="S171" s="5"/>
      <c r="T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1.0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3">
        <f t="shared" si="34"/>
        <v>1</v>
      </c>
      <c r="S172" s="5"/>
      <c r="T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74"/>
      <c r="S173" s="5"/>
      <c r="T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74"/>
      <c r="S174" s="5"/>
      <c r="T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Q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>SUM(E175:Q175)</f>
        <v>4</v>
      </c>
      <c r="S175" s="5"/>
      <c r="T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1"/>
      <c r="T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2.0</v>
      </c>
      <c r="L177" s="19">
        <v>1.0</v>
      </c>
      <c r="M177" s="19">
        <v>0.0</v>
      </c>
      <c r="N177" s="19">
        <v>1.0</v>
      </c>
      <c r="O177" s="19">
        <v>0.0</v>
      </c>
      <c r="P177" s="19">
        <v>0.0</v>
      </c>
      <c r="Q177" s="19">
        <v>0.0</v>
      </c>
      <c r="R177" s="13">
        <f t="shared" ref="R177:R184" si="36">SUM(E177:Q177)</f>
        <v>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3.0</v>
      </c>
      <c r="O178" s="19">
        <v>0.0</v>
      </c>
      <c r="P178" s="19">
        <v>0.0</v>
      </c>
      <c r="Q178" s="19">
        <v>0.0</v>
      </c>
      <c r="R178" s="13">
        <f t="shared" si="36"/>
        <v>4</v>
      </c>
      <c r="S178" s="5"/>
      <c r="T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3">
        <f t="shared" si="36"/>
        <v>2</v>
      </c>
      <c r="S179" s="5"/>
      <c r="T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3">
        <f t="shared" si="36"/>
        <v>2</v>
      </c>
      <c r="S180" s="5"/>
      <c r="T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3">
        <f t="shared" si="36"/>
        <v>2</v>
      </c>
      <c r="S181" s="5"/>
      <c r="T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3">
        <f t="shared" si="36"/>
        <v>0</v>
      </c>
      <c r="S182" s="5"/>
      <c r="T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3">
        <f t="shared" si="36"/>
        <v>0</v>
      </c>
      <c r="S183" s="5"/>
      <c r="T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3">
        <f t="shared" si="36"/>
        <v>0</v>
      </c>
      <c r="S184" s="5"/>
      <c r="T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74"/>
      <c r="S185" s="5"/>
      <c r="T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74"/>
      <c r="S186" s="5"/>
      <c r="T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Q187" si="37">SUM(E177:E184)</f>
        <v>1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3</v>
      </c>
      <c r="L187" s="13">
        <f t="shared" si="37"/>
        <v>2</v>
      </c>
      <c r="M187" s="13">
        <f t="shared" si="37"/>
        <v>1</v>
      </c>
      <c r="N187" s="13">
        <f t="shared" si="37"/>
        <v>5</v>
      </c>
      <c r="O187" s="13">
        <f t="shared" si="37"/>
        <v>1</v>
      </c>
      <c r="P187" s="13">
        <f t="shared" si="37"/>
        <v>0</v>
      </c>
      <c r="Q187" s="13">
        <f t="shared" si="37"/>
        <v>0</v>
      </c>
      <c r="R187" s="13">
        <f>SUM(E187:Q187)</f>
        <v>15</v>
      </c>
      <c r="S187" s="1"/>
      <c r="T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R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3">
        <f t="shared" ref="R189:R196" si="38">SUM(E189:Q189)</f>
        <v>0</v>
      </c>
      <c r="S189" s="5"/>
      <c r="T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3">
        <f t="shared" si="38"/>
        <v>0</v>
      </c>
      <c r="S190" s="5"/>
      <c r="T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3">
        <f t="shared" si="38"/>
        <v>0</v>
      </c>
      <c r="S191" s="5"/>
      <c r="T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3">
        <f t="shared" si="38"/>
        <v>0</v>
      </c>
      <c r="S192" s="5"/>
      <c r="T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3">
        <f t="shared" si="38"/>
        <v>0</v>
      </c>
      <c r="S193" s="5"/>
      <c r="T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1.0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3">
        <f t="shared" si="38"/>
        <v>1</v>
      </c>
      <c r="S194" s="5"/>
      <c r="T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3">
        <f t="shared" si="38"/>
        <v>0</v>
      </c>
      <c r="S195" s="5"/>
      <c r="T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3">
        <f t="shared" si="38"/>
        <v>0</v>
      </c>
      <c r="S196" s="1"/>
      <c r="T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1"/>
      <c r="T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74"/>
      <c r="S198" s="1"/>
      <c r="T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Q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>SUM(E199:Q199)</f>
        <v>1</v>
      </c>
      <c r="S199" s="52"/>
      <c r="T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5"/>
      <c r="T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13.0</v>
      </c>
      <c r="G201" s="19">
        <v>5.0</v>
      </c>
      <c r="H201" s="19">
        <v>4.0</v>
      </c>
      <c r="I201" s="19">
        <v>12.0</v>
      </c>
      <c r="J201" s="19">
        <v>10.0</v>
      </c>
      <c r="K201" s="19">
        <v>2.0</v>
      </c>
      <c r="L201" s="19">
        <v>3.0</v>
      </c>
      <c r="M201" s="19">
        <v>6.0</v>
      </c>
      <c r="N201" s="19">
        <v>2.0</v>
      </c>
      <c r="O201" s="19">
        <v>4.0</v>
      </c>
      <c r="P201" s="19">
        <v>0.0</v>
      </c>
      <c r="Q201" s="19">
        <v>0.0</v>
      </c>
      <c r="R201" s="13">
        <f t="shared" ref="R201:R208" si="40">SUM(E201:Q201)</f>
        <v>64</v>
      </c>
      <c r="S201" s="5"/>
      <c r="T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23.0</v>
      </c>
      <c r="G202" s="19">
        <v>6.0</v>
      </c>
      <c r="H202" s="19">
        <v>1.0</v>
      </c>
      <c r="I202" s="19">
        <v>10.0</v>
      </c>
      <c r="J202" s="19">
        <v>9.0</v>
      </c>
      <c r="K202" s="19">
        <v>3.0</v>
      </c>
      <c r="L202" s="19">
        <v>1.0</v>
      </c>
      <c r="M202" s="19">
        <v>7.0</v>
      </c>
      <c r="N202" s="19">
        <v>4.0</v>
      </c>
      <c r="O202" s="19">
        <v>3.0</v>
      </c>
      <c r="P202" s="19">
        <v>0.0</v>
      </c>
      <c r="Q202" s="19">
        <v>0.0</v>
      </c>
      <c r="R202" s="13">
        <f t="shared" si="40"/>
        <v>69</v>
      </c>
      <c r="S202" s="5"/>
      <c r="T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1.0</v>
      </c>
      <c r="G203" s="19">
        <v>3.0</v>
      </c>
      <c r="H203" s="19">
        <v>2.0</v>
      </c>
      <c r="I203" s="19">
        <v>3.0</v>
      </c>
      <c r="J203" s="19">
        <v>3.0</v>
      </c>
      <c r="K203" s="19">
        <v>1.0</v>
      </c>
      <c r="L203" s="19">
        <v>6.0</v>
      </c>
      <c r="M203" s="19">
        <v>7.0</v>
      </c>
      <c r="N203" s="19">
        <v>5.0</v>
      </c>
      <c r="O203" s="19">
        <v>11.0</v>
      </c>
      <c r="P203" s="19">
        <v>0.0</v>
      </c>
      <c r="Q203" s="19">
        <v>0.0</v>
      </c>
      <c r="R203" s="13">
        <f t="shared" si="40"/>
        <v>45</v>
      </c>
      <c r="S203" s="5"/>
      <c r="T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3.0</v>
      </c>
      <c r="G204" s="19">
        <v>1.0</v>
      </c>
      <c r="H204" s="19">
        <v>0.0</v>
      </c>
      <c r="I204" s="19">
        <v>0.0</v>
      </c>
      <c r="J204" s="19">
        <v>7.0</v>
      </c>
      <c r="K204" s="19">
        <v>1.0</v>
      </c>
      <c r="L204" s="19">
        <v>0.0</v>
      </c>
      <c r="M204" s="19">
        <v>0.0</v>
      </c>
      <c r="N204" s="19">
        <v>0.0</v>
      </c>
      <c r="O204" s="19">
        <v>1.0</v>
      </c>
      <c r="P204" s="19">
        <v>0.0</v>
      </c>
      <c r="Q204" s="19">
        <v>0.0</v>
      </c>
      <c r="R204" s="13">
        <f t="shared" si="40"/>
        <v>13</v>
      </c>
      <c r="S204" s="5"/>
      <c r="T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2.0</v>
      </c>
      <c r="I205" s="19">
        <v>1.0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3">
        <f t="shared" si="40"/>
        <v>5</v>
      </c>
      <c r="S205" s="5"/>
      <c r="T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3">
        <f t="shared" si="40"/>
        <v>1</v>
      </c>
      <c r="S206" s="5"/>
      <c r="T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3">
        <f t="shared" si="40"/>
        <v>1</v>
      </c>
      <c r="S207" s="1"/>
      <c r="T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3">
        <f t="shared" si="40"/>
        <v>1</v>
      </c>
      <c r="S208" s="52"/>
      <c r="T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74"/>
      <c r="S209" s="52"/>
      <c r="T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74"/>
      <c r="S210" s="52"/>
      <c r="T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Q211" si="41">SUM(E201:E208)</f>
        <v>8</v>
      </c>
      <c r="F211" s="13">
        <f t="shared" si="41"/>
        <v>42</v>
      </c>
      <c r="G211" s="13">
        <f t="shared" si="41"/>
        <v>15</v>
      </c>
      <c r="H211" s="13">
        <f t="shared" si="41"/>
        <v>9</v>
      </c>
      <c r="I211" s="13">
        <f t="shared" si="41"/>
        <v>26</v>
      </c>
      <c r="J211" s="13">
        <f t="shared" si="41"/>
        <v>30</v>
      </c>
      <c r="K211" s="13">
        <f t="shared" si="41"/>
        <v>7</v>
      </c>
      <c r="L211" s="13">
        <f t="shared" si="41"/>
        <v>10</v>
      </c>
      <c r="M211" s="13">
        <f t="shared" si="41"/>
        <v>21</v>
      </c>
      <c r="N211" s="13">
        <f t="shared" si="41"/>
        <v>11</v>
      </c>
      <c r="O211" s="13">
        <f t="shared" si="41"/>
        <v>20</v>
      </c>
      <c r="P211" s="13">
        <f t="shared" si="41"/>
        <v>0</v>
      </c>
      <c r="Q211" s="13">
        <f t="shared" si="41"/>
        <v>0</v>
      </c>
      <c r="R211" s="13">
        <f>SUM(E211:Q211)</f>
        <v>199</v>
      </c>
      <c r="S211" s="5"/>
      <c r="T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5"/>
      <c r="T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1.0</v>
      </c>
      <c r="H213" s="19">
        <v>1.0</v>
      </c>
      <c r="I213" s="19">
        <v>1.0</v>
      </c>
      <c r="J213" s="19">
        <v>0.0</v>
      </c>
      <c r="K213" s="19">
        <v>1.0</v>
      </c>
      <c r="L213" s="19">
        <v>0.0</v>
      </c>
      <c r="M213" s="19">
        <v>0.0</v>
      </c>
      <c r="N213" s="19">
        <v>2.0</v>
      </c>
      <c r="O213" s="19">
        <v>1.0</v>
      </c>
      <c r="P213" s="19">
        <v>0.0</v>
      </c>
      <c r="Q213" s="19">
        <v>0.0</v>
      </c>
      <c r="R213" s="13">
        <f t="shared" ref="R213:R220" si="42">SUM(E213:Q213)</f>
        <v>8</v>
      </c>
      <c r="S213" s="5"/>
      <c r="T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14.0</v>
      </c>
      <c r="F214" s="19">
        <v>11.0</v>
      </c>
      <c r="G214" s="19">
        <v>3.0</v>
      </c>
      <c r="H214" s="19">
        <v>4.0</v>
      </c>
      <c r="I214" s="19">
        <v>0.0</v>
      </c>
      <c r="J214" s="19">
        <v>2.0</v>
      </c>
      <c r="K214" s="19">
        <v>1.0</v>
      </c>
      <c r="L214" s="19">
        <v>0.0</v>
      </c>
      <c r="M214" s="19">
        <v>1.0</v>
      </c>
      <c r="N214" s="19">
        <v>1.0</v>
      </c>
      <c r="O214" s="19">
        <v>2.0</v>
      </c>
      <c r="P214" s="19">
        <v>0.0</v>
      </c>
      <c r="Q214" s="19">
        <v>0.0</v>
      </c>
      <c r="R214" s="13">
        <f t="shared" si="42"/>
        <v>39</v>
      </c>
      <c r="S214" s="5"/>
      <c r="T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6.0</v>
      </c>
      <c r="G215" s="19">
        <v>0.0</v>
      </c>
      <c r="H215" s="19">
        <v>0.0</v>
      </c>
      <c r="I215" s="19">
        <v>0.0</v>
      </c>
      <c r="J215" s="19">
        <v>0.0</v>
      </c>
      <c r="K215" s="19">
        <v>0.0</v>
      </c>
      <c r="L215" s="19">
        <v>42.0</v>
      </c>
      <c r="M215" s="19">
        <v>42.0</v>
      </c>
      <c r="N215" s="19">
        <v>27.0</v>
      </c>
      <c r="O215" s="19">
        <v>36.0</v>
      </c>
      <c r="P215" s="19">
        <v>0.0</v>
      </c>
      <c r="Q215" s="19">
        <v>0.0</v>
      </c>
      <c r="R215" s="13">
        <f t="shared" si="42"/>
        <v>154</v>
      </c>
      <c r="S215" s="5"/>
      <c r="T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3">
        <f t="shared" si="42"/>
        <v>0</v>
      </c>
      <c r="S216" s="5"/>
      <c r="T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1.0</v>
      </c>
      <c r="O217" s="19">
        <v>0.0</v>
      </c>
      <c r="P217" s="19">
        <v>0.0</v>
      </c>
      <c r="Q217" s="19">
        <v>0.0</v>
      </c>
      <c r="R217" s="13">
        <f t="shared" si="42"/>
        <v>1</v>
      </c>
      <c r="S217" s="5"/>
      <c r="T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3">
        <f t="shared" si="42"/>
        <v>1</v>
      </c>
      <c r="S218" s="1"/>
      <c r="T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1.0</v>
      </c>
      <c r="N219" s="19">
        <v>1.0</v>
      </c>
      <c r="O219" s="19">
        <v>0.0</v>
      </c>
      <c r="P219" s="19">
        <v>0.0</v>
      </c>
      <c r="Q219" s="19">
        <v>0.0</v>
      </c>
      <c r="R219" s="13">
        <f t="shared" si="42"/>
        <v>3</v>
      </c>
      <c r="S219" s="52"/>
      <c r="T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3">
        <f t="shared" si="42"/>
        <v>0</v>
      </c>
      <c r="S220" s="5"/>
      <c r="T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74"/>
      <c r="S221" s="5"/>
      <c r="T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74"/>
      <c r="S222" s="5"/>
      <c r="T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Q223" si="43">SUM(E213:E220)</f>
        <v>15</v>
      </c>
      <c r="F223" s="13">
        <f t="shared" si="43"/>
        <v>18</v>
      </c>
      <c r="G223" s="13">
        <f t="shared" si="43"/>
        <v>4</v>
      </c>
      <c r="H223" s="13">
        <f t="shared" si="43"/>
        <v>5</v>
      </c>
      <c r="I223" s="13">
        <f t="shared" si="43"/>
        <v>2</v>
      </c>
      <c r="J223" s="13">
        <f t="shared" si="43"/>
        <v>2</v>
      </c>
      <c r="K223" s="13">
        <f t="shared" si="43"/>
        <v>2</v>
      </c>
      <c r="L223" s="13">
        <f t="shared" si="43"/>
        <v>42</v>
      </c>
      <c r="M223" s="13">
        <f t="shared" si="43"/>
        <v>44</v>
      </c>
      <c r="N223" s="13">
        <f t="shared" si="43"/>
        <v>32</v>
      </c>
      <c r="O223" s="13">
        <f t="shared" si="43"/>
        <v>40</v>
      </c>
      <c r="P223" s="13">
        <f t="shared" si="43"/>
        <v>0</v>
      </c>
      <c r="Q223" s="13">
        <f t="shared" si="43"/>
        <v>0</v>
      </c>
      <c r="R223" s="13">
        <f>SUM(E223:Q223)</f>
        <v>206</v>
      </c>
      <c r="S223" s="5"/>
      <c r="T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5"/>
      <c r="T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3">
        <f t="shared" ref="R225:R232" si="44">SUM(E225:Q225)</f>
        <v>0</v>
      </c>
      <c r="S225" s="5"/>
      <c r="T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3">
        <f t="shared" si="44"/>
        <v>0</v>
      </c>
      <c r="S226" s="5"/>
      <c r="T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3">
        <f t="shared" si="44"/>
        <v>0</v>
      </c>
      <c r="S227" s="5"/>
      <c r="T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3">
        <f t="shared" si="44"/>
        <v>0</v>
      </c>
      <c r="S228" s="5"/>
      <c r="T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3">
        <f t="shared" si="44"/>
        <v>0</v>
      </c>
      <c r="S229" s="1"/>
      <c r="T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3">
        <f t="shared" si="44"/>
        <v>0</v>
      </c>
      <c r="S230" s="52"/>
      <c r="T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1.0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3">
        <f t="shared" si="44"/>
        <v>1</v>
      </c>
      <c r="S231" s="5"/>
      <c r="T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3">
        <f t="shared" si="44"/>
        <v>0</v>
      </c>
      <c r="S232" s="5"/>
      <c r="T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74"/>
      <c r="S233" s="5"/>
      <c r="T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74"/>
      <c r="S234" s="5"/>
      <c r="T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Q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>SUM(E235:Q235)</f>
        <v>1</v>
      </c>
      <c r="S235" s="5"/>
      <c r="T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5"/>
      <c r="T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2.0</v>
      </c>
      <c r="G237" s="19">
        <v>0.0</v>
      </c>
      <c r="H237" s="19">
        <v>0.0</v>
      </c>
      <c r="I237" s="19">
        <v>1.0</v>
      </c>
      <c r="J237" s="19">
        <v>1.0</v>
      </c>
      <c r="K237" s="19">
        <v>0.0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3">
        <f t="shared" ref="R237:R244" si="46">SUM(E237:Q237)</f>
        <v>5</v>
      </c>
      <c r="S237" s="5"/>
      <c r="T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3.0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3">
        <f t="shared" si="46"/>
        <v>7</v>
      </c>
      <c r="S238" s="5"/>
      <c r="T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1.0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3.0</v>
      </c>
      <c r="N239" s="19">
        <v>1.0</v>
      </c>
      <c r="O239" s="19">
        <v>0.0</v>
      </c>
      <c r="P239" s="19">
        <v>0.0</v>
      </c>
      <c r="Q239" s="19">
        <v>0.0</v>
      </c>
      <c r="R239" s="13">
        <f t="shared" si="46"/>
        <v>5</v>
      </c>
      <c r="S239" s="5"/>
      <c r="T239" s="5"/>
    </row>
    <row r="240" ht="12.75" customHeight="1">
      <c r="A240" s="18"/>
      <c r="B240" s="55">
        <v>3.0</v>
      </c>
      <c r="C240" s="50" t="s">
        <v>177</v>
      </c>
      <c r="D240" s="57"/>
      <c r="E240" s="19">
        <v>3.0</v>
      </c>
      <c r="F240" s="19">
        <v>0.0</v>
      </c>
      <c r="G240" s="19">
        <v>0.0</v>
      </c>
      <c r="H240" s="19">
        <v>0.0</v>
      </c>
      <c r="I240" s="19">
        <v>1.0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3">
        <f t="shared" si="46"/>
        <v>5</v>
      </c>
      <c r="S240" s="1"/>
      <c r="T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4.0</v>
      </c>
      <c r="F244" s="19">
        <v>6.0</v>
      </c>
      <c r="G244" s="19">
        <v>14.0</v>
      </c>
      <c r="H244" s="19">
        <v>12.0</v>
      </c>
      <c r="I244" s="19">
        <v>14.0</v>
      </c>
      <c r="J244" s="19">
        <v>16.0</v>
      </c>
      <c r="K244" s="19">
        <v>3.0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3">
        <f t="shared" si="46"/>
        <v>69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Q247" si="47">SUM(E237:E244)</f>
        <v>8</v>
      </c>
      <c r="F247" s="13">
        <f t="shared" si="47"/>
        <v>9</v>
      </c>
      <c r="G247" s="13">
        <f t="shared" si="47"/>
        <v>15</v>
      </c>
      <c r="H247" s="13">
        <f t="shared" si="47"/>
        <v>12</v>
      </c>
      <c r="I247" s="13">
        <f t="shared" si="47"/>
        <v>17</v>
      </c>
      <c r="J247" s="13">
        <f t="shared" si="47"/>
        <v>18</v>
      </c>
      <c r="K247" s="13">
        <f t="shared" si="47"/>
        <v>3</v>
      </c>
      <c r="L247" s="13">
        <f t="shared" si="47"/>
        <v>5</v>
      </c>
      <c r="M247" s="13">
        <f t="shared" si="47"/>
        <v>3</v>
      </c>
      <c r="N247" s="13">
        <f t="shared" si="47"/>
        <v>2</v>
      </c>
      <c r="O247" s="13">
        <f t="shared" si="47"/>
        <v>0</v>
      </c>
      <c r="P247" s="13">
        <f t="shared" si="47"/>
        <v>0</v>
      </c>
      <c r="Q247" s="13">
        <f t="shared" si="47"/>
        <v>0</v>
      </c>
      <c r="R247" s="13">
        <f>SUM(E247:Q247)</f>
        <v>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3">
        <f t="shared" ref="R249:R255" si="48">SUM(E249:Q249)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1.0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1.0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1.0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3">
        <f t="shared" si="48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Q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3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2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>SUM(E259:Q259)</f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Q262" si="50">E55+E67+E79+E91+E103+E115+E127+E139+E151+E163+E175+E187+E199+E211+E223+E235+E247+E259</f>
        <v>158</v>
      </c>
      <c r="F262" s="19">
        <f t="shared" si="50"/>
        <v>175</v>
      </c>
      <c r="G262" s="19">
        <f t="shared" si="50"/>
        <v>183</v>
      </c>
      <c r="H262" s="19">
        <f t="shared" si="50"/>
        <v>209</v>
      </c>
      <c r="I262" s="19">
        <f t="shared" si="50"/>
        <v>214</v>
      </c>
      <c r="J262" s="19">
        <f t="shared" si="50"/>
        <v>199</v>
      </c>
      <c r="K262" s="19">
        <f t="shared" si="50"/>
        <v>158</v>
      </c>
      <c r="L262" s="19">
        <f t="shared" si="50"/>
        <v>172</v>
      </c>
      <c r="M262" s="19">
        <f t="shared" si="50"/>
        <v>193</v>
      </c>
      <c r="N262" s="19">
        <f t="shared" si="50"/>
        <v>199</v>
      </c>
      <c r="O262" s="19">
        <f t="shared" si="50"/>
        <v>194</v>
      </c>
      <c r="P262" s="19">
        <f t="shared" si="50"/>
        <v>3</v>
      </c>
      <c r="Q262" s="19">
        <f t="shared" si="50"/>
        <v>0</v>
      </c>
      <c r="R262" s="13">
        <f t="shared" ref="R262:R264" si="51">SUM(E262:Q262)</f>
        <v>2057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17.0</v>
      </c>
      <c r="F263" s="19">
        <v>14.0</v>
      </c>
      <c r="G263" s="19">
        <v>11.0</v>
      </c>
      <c r="H263" s="19">
        <v>9.0</v>
      </c>
      <c r="I263" s="19">
        <v>30.0</v>
      </c>
      <c r="J263" s="19">
        <v>16.0</v>
      </c>
      <c r="K263" s="19">
        <v>27.0</v>
      </c>
      <c r="L263" s="19">
        <v>34.0</v>
      </c>
      <c r="M263" s="19">
        <v>32.0</v>
      </c>
      <c r="N263" s="19">
        <v>18.0</v>
      </c>
      <c r="O263" s="19">
        <v>18.0</v>
      </c>
      <c r="P263" s="19">
        <v>0.0</v>
      </c>
      <c r="Q263" s="19">
        <v>0.0</v>
      </c>
      <c r="R263" s="13">
        <f t="shared" si="51"/>
        <v>226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Q264" si="52">SUM(E262:E263)</f>
        <v>175</v>
      </c>
      <c r="F264" s="13">
        <f t="shared" si="52"/>
        <v>189</v>
      </c>
      <c r="G264" s="13">
        <f t="shared" si="52"/>
        <v>194</v>
      </c>
      <c r="H264" s="13">
        <f t="shared" si="52"/>
        <v>218</v>
      </c>
      <c r="I264" s="13">
        <f t="shared" si="52"/>
        <v>244</v>
      </c>
      <c r="J264" s="13">
        <f t="shared" si="52"/>
        <v>215</v>
      </c>
      <c r="K264" s="13">
        <f t="shared" si="52"/>
        <v>185</v>
      </c>
      <c r="L264" s="13">
        <f t="shared" si="52"/>
        <v>206</v>
      </c>
      <c r="M264" s="13">
        <f t="shared" si="52"/>
        <v>225</v>
      </c>
      <c r="N264" s="13">
        <f t="shared" si="52"/>
        <v>217</v>
      </c>
      <c r="O264" s="13">
        <f t="shared" si="52"/>
        <v>212</v>
      </c>
      <c r="P264" s="13">
        <f t="shared" si="52"/>
        <v>3</v>
      </c>
      <c r="Q264" s="13">
        <f t="shared" si="52"/>
        <v>0</v>
      </c>
      <c r="R264" s="13">
        <f t="shared" si="51"/>
        <v>2283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54 E69:Q76">
    <cfRule type="containsBlanks" dxfId="1" priority="10">
      <formula>LEN(TRIM(E45))=0</formula>
    </cfRule>
  </conditionalFormatting>
  <conditionalFormatting sqref="E57:Q66 E81:Q88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9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142.0</v>
      </c>
      <c r="G14" s="19">
        <v>147.0</v>
      </c>
      <c r="H14" s="19">
        <v>115.0</v>
      </c>
      <c r="I14" s="19">
        <v>127.0</v>
      </c>
      <c r="J14" s="19">
        <v>132.0</v>
      </c>
      <c r="K14" s="19">
        <v>135.0</v>
      </c>
      <c r="L14" s="19">
        <v>139.0</v>
      </c>
      <c r="M14" s="13">
        <f t="shared" ref="M14:M16" si="1">SUM(E14:L14)</f>
        <v>1080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139.0</v>
      </c>
      <c r="G15" s="19">
        <v>121.0</v>
      </c>
      <c r="H15" s="19">
        <v>123.0</v>
      </c>
      <c r="I15" s="19">
        <v>130.0</v>
      </c>
      <c r="J15" s="19">
        <v>136.0</v>
      </c>
      <c r="K15" s="19">
        <v>141.0</v>
      </c>
      <c r="L15" s="19">
        <v>148.0</v>
      </c>
      <c r="M15" s="13">
        <f t="shared" si="1"/>
        <v>1085</v>
      </c>
    </row>
    <row r="16" ht="12.75" customHeight="1">
      <c r="A16" s="25"/>
      <c r="B16" s="21"/>
      <c r="C16" s="28"/>
      <c r="D16" s="13" t="s">
        <v>14</v>
      </c>
      <c r="E16" s="13">
        <v>290.0</v>
      </c>
      <c r="F16" s="13">
        <v>281.0</v>
      </c>
      <c r="G16" s="13">
        <v>268.0</v>
      </c>
      <c r="H16" s="13">
        <v>238.0</v>
      </c>
      <c r="I16" s="13">
        <v>257.0</v>
      </c>
      <c r="J16" s="13">
        <v>268.0</v>
      </c>
      <c r="K16" s="13">
        <v>276.0</v>
      </c>
      <c r="L16" s="13">
        <v>287.0</v>
      </c>
      <c r="M16" s="13">
        <f t="shared" si="1"/>
        <v>2165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103.0</v>
      </c>
      <c r="G19" s="19">
        <v>125.0</v>
      </c>
      <c r="H19" s="19">
        <v>102.0</v>
      </c>
      <c r="I19" s="19">
        <v>110.0</v>
      </c>
      <c r="J19" s="19">
        <v>119.0</v>
      </c>
      <c r="K19" s="19">
        <v>109.0</v>
      </c>
      <c r="L19" s="19">
        <v>115.0</v>
      </c>
      <c r="M19" s="13">
        <f t="shared" ref="M19:M30" si="2">SUM(E19:L19)</f>
        <v>900</v>
      </c>
    </row>
    <row r="20" ht="12.75" customHeight="1">
      <c r="A20" s="33"/>
      <c r="B20" s="27"/>
      <c r="C20" s="34"/>
      <c r="D20" s="19" t="s">
        <v>13</v>
      </c>
      <c r="E20" s="19">
        <v>123.0</v>
      </c>
      <c r="F20" s="19">
        <v>111.0</v>
      </c>
      <c r="G20" s="19">
        <v>108.0</v>
      </c>
      <c r="H20" s="19">
        <v>102.0</v>
      </c>
      <c r="I20" s="19">
        <v>117.0</v>
      </c>
      <c r="J20" s="19">
        <v>99.0</v>
      </c>
      <c r="K20" s="19">
        <v>119.0</v>
      </c>
      <c r="L20" s="19">
        <v>127.0</v>
      </c>
      <c r="M20" s="13">
        <f t="shared" si="2"/>
        <v>906</v>
      </c>
    </row>
    <row r="21" ht="12.75" customHeight="1">
      <c r="A21" s="35"/>
      <c r="B21" s="28"/>
      <c r="C21" s="36"/>
      <c r="D21" s="13" t="s">
        <v>14</v>
      </c>
      <c r="E21" s="13">
        <v>240.0</v>
      </c>
      <c r="F21" s="13">
        <v>214.0</v>
      </c>
      <c r="G21" s="13">
        <v>233.0</v>
      </c>
      <c r="H21" s="13">
        <v>204.0</v>
      </c>
      <c r="I21" s="13">
        <v>227.0</v>
      </c>
      <c r="J21" s="13">
        <v>218.0</v>
      </c>
      <c r="K21" s="13">
        <v>228.0</v>
      </c>
      <c r="L21" s="13">
        <v>242.0</v>
      </c>
      <c r="M21" s="13">
        <f t="shared" si="2"/>
        <v>1806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3">
        <f t="shared" si="2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3">
        <f t="shared" si="2"/>
        <v>3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2.0</v>
      </c>
      <c r="G24" s="13">
        <v>1.0</v>
      </c>
      <c r="H24" s="13">
        <v>0.0</v>
      </c>
      <c r="I24" s="13">
        <v>0.0</v>
      </c>
      <c r="J24" s="13">
        <v>1.0</v>
      </c>
      <c r="K24" s="13">
        <v>2.0</v>
      </c>
      <c r="L24" s="13">
        <v>0.0</v>
      </c>
      <c r="M24" s="13">
        <f t="shared" si="2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2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3">
        <f t="shared" si="2"/>
        <v>3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3.0</v>
      </c>
      <c r="G27" s="13">
        <v>0.0</v>
      </c>
      <c r="H27" s="13">
        <v>0.0</v>
      </c>
      <c r="I27" s="13">
        <v>0.0</v>
      </c>
      <c r="J27" s="13">
        <v>1.0</v>
      </c>
      <c r="K27" s="13">
        <v>0.0</v>
      </c>
      <c r="L27" s="13">
        <v>0.0</v>
      </c>
      <c r="M27" s="13">
        <f t="shared" si="2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117.0</v>
      </c>
      <c r="F28" s="13">
        <v>105.0</v>
      </c>
      <c r="G28" s="13">
        <v>125.0</v>
      </c>
      <c r="H28" s="13">
        <v>102.0</v>
      </c>
      <c r="I28" s="13">
        <v>110.0</v>
      </c>
      <c r="J28" s="13">
        <v>120.0</v>
      </c>
      <c r="K28" s="13">
        <v>110.0</v>
      </c>
      <c r="L28" s="13">
        <v>115.0</v>
      </c>
      <c r="M28" s="13">
        <f t="shared" si="2"/>
        <v>904</v>
      </c>
    </row>
    <row r="29" ht="12.75" customHeight="1">
      <c r="A29" s="35"/>
      <c r="B29" s="27"/>
      <c r="C29" s="34"/>
      <c r="D29" s="13" t="s">
        <v>13</v>
      </c>
      <c r="E29" s="13">
        <v>123.0</v>
      </c>
      <c r="F29" s="13">
        <v>114.0</v>
      </c>
      <c r="G29" s="13">
        <v>109.0</v>
      </c>
      <c r="H29" s="13">
        <v>102.0</v>
      </c>
      <c r="I29" s="13">
        <v>117.0</v>
      </c>
      <c r="J29" s="13">
        <v>100.0</v>
      </c>
      <c r="K29" s="13">
        <v>120.0</v>
      </c>
      <c r="L29" s="13">
        <v>127.0</v>
      </c>
      <c r="M29" s="13">
        <f t="shared" si="2"/>
        <v>912</v>
      </c>
    </row>
    <row r="30" ht="12.75" customHeight="1">
      <c r="A30" s="35"/>
      <c r="B30" s="28"/>
      <c r="C30" s="36"/>
      <c r="D30" s="13" t="s">
        <v>14</v>
      </c>
      <c r="E30" s="13">
        <v>240.0</v>
      </c>
      <c r="F30" s="13">
        <v>219.0</v>
      </c>
      <c r="G30" s="13">
        <v>234.0</v>
      </c>
      <c r="H30" s="13">
        <v>204.0</v>
      </c>
      <c r="I30" s="13">
        <v>227.0</v>
      </c>
      <c r="J30" s="13">
        <v>220.0</v>
      </c>
      <c r="K30" s="13">
        <v>230.0</v>
      </c>
      <c r="L30" s="13">
        <v>242.0</v>
      </c>
      <c r="M30" s="13">
        <f t="shared" si="2"/>
        <v>1816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8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287.0</v>
      </c>
      <c r="G33" s="19">
        <v>274.0</v>
      </c>
      <c r="H33" s="19">
        <v>243.0</v>
      </c>
      <c r="I33" s="19">
        <v>263.0</v>
      </c>
      <c r="J33" s="19">
        <v>274.0</v>
      </c>
      <c r="K33" s="19">
        <v>282.0</v>
      </c>
      <c r="L33" s="19">
        <v>293.0</v>
      </c>
      <c r="M33" s="13">
        <f t="shared" ref="M33:M36" si="3">SUM(E33:L33)</f>
        <v>2212</v>
      </c>
    </row>
    <row r="34" ht="12.75" customHeight="1">
      <c r="A34" s="19">
        <v>2.0</v>
      </c>
      <c r="B34" s="20" t="s">
        <v>28</v>
      </c>
      <c r="C34" s="15"/>
      <c r="D34" s="16"/>
      <c r="E34" s="13">
        <v>240.0</v>
      </c>
      <c r="F34" s="13">
        <v>219.0</v>
      </c>
      <c r="G34" s="13">
        <v>234.0</v>
      </c>
      <c r="H34" s="13">
        <v>204.0</v>
      </c>
      <c r="I34" s="13">
        <v>227.0</v>
      </c>
      <c r="J34" s="13">
        <v>220.0</v>
      </c>
      <c r="K34" s="13">
        <v>230.0</v>
      </c>
      <c r="L34" s="13">
        <v>242.0</v>
      </c>
      <c r="M34" s="13">
        <f t="shared" si="3"/>
        <v>1816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>
        <v>2.0</v>
      </c>
      <c r="H35" s="19">
        <v>1.0</v>
      </c>
      <c r="I35" s="19">
        <v>2.0</v>
      </c>
      <c r="J35" s="19">
        <v>2.0</v>
      </c>
      <c r="K35" s="19">
        <v>0.0</v>
      </c>
      <c r="L35" s="19">
        <v>0.0</v>
      </c>
      <c r="M35" s="13">
        <f t="shared" si="3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v>55.0</v>
      </c>
      <c r="F36" s="13">
        <v>67.0</v>
      </c>
      <c r="G36" s="13">
        <v>38.0</v>
      </c>
      <c r="H36" s="13">
        <v>38.0</v>
      </c>
      <c r="I36" s="13">
        <v>34.0</v>
      </c>
      <c r="J36" s="13">
        <v>52.0</v>
      </c>
      <c r="K36" s="13">
        <v>52.0</v>
      </c>
      <c r="L36" s="13">
        <v>51.0</v>
      </c>
      <c r="M36" s="13">
        <f t="shared" si="3"/>
        <v>387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1.0</v>
      </c>
      <c r="M39" s="13">
        <f t="shared" ref="M39:M41" si="4">SUM(E39:L39)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3.0</v>
      </c>
      <c r="I40" s="19">
        <v>0.0</v>
      </c>
      <c r="J40" s="19">
        <v>2.0</v>
      </c>
      <c r="K40" s="19">
        <v>1.0</v>
      </c>
      <c r="L40" s="19">
        <v>4.0</v>
      </c>
      <c r="M40" s="13">
        <f t="shared" si="4"/>
        <v>10</v>
      </c>
    </row>
    <row r="41" ht="12.75" customHeight="1">
      <c r="A41" s="41"/>
      <c r="B41" s="44"/>
      <c r="C41" s="28"/>
      <c r="D41" s="13" t="s">
        <v>14</v>
      </c>
      <c r="E41" s="13">
        <v>1.0</v>
      </c>
      <c r="F41" s="13">
        <v>0.0</v>
      </c>
      <c r="G41" s="13">
        <v>0.0</v>
      </c>
      <c r="H41" s="13">
        <v>4.0</v>
      </c>
      <c r="I41" s="13">
        <v>0.0</v>
      </c>
      <c r="J41" s="13">
        <v>2.0</v>
      </c>
      <c r="K41" s="13">
        <v>1.0</v>
      </c>
      <c r="L41" s="13">
        <v>5.0</v>
      </c>
      <c r="M41" s="13">
        <f t="shared" si="4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11.0</v>
      </c>
      <c r="G45" s="19">
        <v>16.0</v>
      </c>
      <c r="H45" s="19">
        <v>4.0</v>
      </c>
      <c r="I45" s="19">
        <v>1.0</v>
      </c>
      <c r="J45" s="19">
        <v>6.0</v>
      </c>
      <c r="K45" s="19">
        <v>6.0</v>
      </c>
      <c r="L45" s="19">
        <v>4.0</v>
      </c>
      <c r="M45" s="13">
        <f t="shared" ref="M45:M52" si="5">SUM(E45:L45)</f>
        <v>52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33.0</v>
      </c>
      <c r="F46" s="19">
        <v>29.0</v>
      </c>
      <c r="G46" s="19">
        <v>45.0</v>
      </c>
      <c r="H46" s="19">
        <v>10.0</v>
      </c>
      <c r="I46" s="19">
        <v>10.0</v>
      </c>
      <c r="J46" s="19">
        <v>15.0</v>
      </c>
      <c r="K46" s="19">
        <v>12.0</v>
      </c>
      <c r="L46" s="19">
        <v>16.0</v>
      </c>
      <c r="M46" s="13">
        <f t="shared" si="5"/>
        <v>170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1.0</v>
      </c>
      <c r="H47" s="19">
        <v>0.0</v>
      </c>
      <c r="I47" s="19">
        <v>0.0</v>
      </c>
      <c r="J47" s="19">
        <v>0.0</v>
      </c>
      <c r="K47" s="19">
        <v>1.0</v>
      </c>
      <c r="L47" s="19">
        <v>1.0</v>
      </c>
      <c r="M47" s="13">
        <f t="shared" si="5"/>
        <v>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3">
        <f t="shared" si="5"/>
        <v>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1.0</v>
      </c>
      <c r="M49" s="13">
        <f t="shared" si="5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3">
        <f t="shared" si="5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5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0.0</v>
      </c>
      <c r="L52" s="19">
        <v>0.0</v>
      </c>
      <c r="M52" s="13">
        <f t="shared" si="5"/>
        <v>1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L55" si="6">SUM(E45:E52)</f>
        <v>38</v>
      </c>
      <c r="F55" s="13">
        <f t="shared" si="6"/>
        <v>42</v>
      </c>
      <c r="G55" s="13">
        <f t="shared" si="6"/>
        <v>62</v>
      </c>
      <c r="H55" s="13">
        <f t="shared" si="6"/>
        <v>15</v>
      </c>
      <c r="I55" s="13">
        <f t="shared" si="6"/>
        <v>11</v>
      </c>
      <c r="J55" s="13">
        <f t="shared" si="6"/>
        <v>23</v>
      </c>
      <c r="K55" s="13">
        <f t="shared" si="6"/>
        <v>20</v>
      </c>
      <c r="L55" s="13">
        <f t="shared" si="6"/>
        <v>22</v>
      </c>
      <c r="M55" s="13">
        <f>SUM(E55:L55)</f>
        <v>233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4.0</v>
      </c>
      <c r="G57" s="19">
        <v>10.0</v>
      </c>
      <c r="H57" s="19">
        <v>5.0</v>
      </c>
      <c r="I57" s="19">
        <v>2.0</v>
      </c>
      <c r="J57" s="19">
        <v>8.0</v>
      </c>
      <c r="K57" s="19">
        <v>1.0</v>
      </c>
      <c r="L57" s="19">
        <v>3.0</v>
      </c>
      <c r="M57" s="13">
        <f t="shared" ref="M57:M64" si="7">SUM(E57:L57)</f>
        <v>39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4.0</v>
      </c>
      <c r="G58" s="19">
        <v>12.0</v>
      </c>
      <c r="H58" s="19">
        <v>5.0</v>
      </c>
      <c r="I58" s="19">
        <v>3.0</v>
      </c>
      <c r="J58" s="19">
        <v>1.0</v>
      </c>
      <c r="K58" s="19">
        <v>7.0</v>
      </c>
      <c r="L58" s="19">
        <v>7.0</v>
      </c>
      <c r="M58" s="13">
        <f t="shared" si="7"/>
        <v>48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5.0</v>
      </c>
      <c r="G59" s="19">
        <v>2.0</v>
      </c>
      <c r="H59" s="19">
        <v>1.0</v>
      </c>
      <c r="I59" s="19">
        <v>2.0</v>
      </c>
      <c r="J59" s="19">
        <v>3.0</v>
      </c>
      <c r="K59" s="19">
        <v>3.0</v>
      </c>
      <c r="L59" s="19">
        <v>0.0</v>
      </c>
      <c r="M59" s="13">
        <f t="shared" si="7"/>
        <v>19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3.0</v>
      </c>
      <c r="H60" s="19">
        <v>2.0</v>
      </c>
      <c r="I60" s="19">
        <v>0.0</v>
      </c>
      <c r="J60" s="19">
        <v>0.0</v>
      </c>
      <c r="K60" s="19">
        <v>1.0</v>
      </c>
      <c r="L60" s="19">
        <v>0.0</v>
      </c>
      <c r="M60" s="13">
        <f t="shared" si="7"/>
        <v>6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1.0</v>
      </c>
      <c r="H61" s="19">
        <v>0.0</v>
      </c>
      <c r="I61" s="19">
        <v>0.0</v>
      </c>
      <c r="J61" s="19">
        <v>1.0</v>
      </c>
      <c r="K61" s="19">
        <v>1.0</v>
      </c>
      <c r="L61" s="19">
        <v>0.0</v>
      </c>
      <c r="M61" s="13">
        <f t="shared" si="7"/>
        <v>5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3">
        <f t="shared" si="7"/>
        <v>1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1.0</v>
      </c>
      <c r="J63" s="19">
        <v>0.0</v>
      </c>
      <c r="K63" s="19">
        <v>1.0</v>
      </c>
      <c r="L63" s="19">
        <v>1.0</v>
      </c>
      <c r="M63" s="13">
        <f t="shared" si="7"/>
        <v>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3">
        <f t="shared" si="7"/>
        <v>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L67" si="8">SUM(E57:E64)</f>
        <v>19</v>
      </c>
      <c r="F67" s="13">
        <f t="shared" si="8"/>
        <v>14</v>
      </c>
      <c r="G67" s="13">
        <f t="shared" si="8"/>
        <v>28</v>
      </c>
      <c r="H67" s="13">
        <f t="shared" si="8"/>
        <v>13</v>
      </c>
      <c r="I67" s="13">
        <f t="shared" si="8"/>
        <v>8</v>
      </c>
      <c r="J67" s="13">
        <f t="shared" si="8"/>
        <v>15</v>
      </c>
      <c r="K67" s="13">
        <f t="shared" si="8"/>
        <v>14</v>
      </c>
      <c r="L67" s="13">
        <f t="shared" si="8"/>
        <v>11</v>
      </c>
      <c r="M67" s="13">
        <f>SUM(E67:L67)</f>
        <v>122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4.0</v>
      </c>
      <c r="G69" s="19">
        <v>4.0</v>
      </c>
      <c r="H69" s="19">
        <v>4.0</v>
      </c>
      <c r="I69" s="19">
        <v>2.0</v>
      </c>
      <c r="J69" s="19">
        <v>8.0</v>
      </c>
      <c r="K69" s="19">
        <v>18.0</v>
      </c>
      <c r="L69" s="19">
        <v>10.0</v>
      </c>
      <c r="M69" s="13">
        <f t="shared" ref="M69:M76" si="9">SUM(E69:L69)</f>
        <v>55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2.0</v>
      </c>
      <c r="F70" s="19">
        <v>4.0</v>
      </c>
      <c r="G70" s="19">
        <v>2.0</v>
      </c>
      <c r="H70" s="19">
        <v>1.0</v>
      </c>
      <c r="I70" s="19">
        <v>3.0</v>
      </c>
      <c r="J70" s="19">
        <v>5.0</v>
      </c>
      <c r="K70" s="19">
        <v>11.0</v>
      </c>
      <c r="L70" s="19">
        <v>11.0</v>
      </c>
      <c r="M70" s="13">
        <f t="shared" si="9"/>
        <v>39</v>
      </c>
    </row>
    <row r="71" ht="12.75" customHeight="1">
      <c r="A71" s="18"/>
      <c r="B71" s="55">
        <v>2.0</v>
      </c>
      <c r="C71" s="50" t="s">
        <v>58</v>
      </c>
      <c r="D71" s="57"/>
      <c r="E71" s="19">
        <v>6.0</v>
      </c>
      <c r="F71" s="19">
        <v>4.0</v>
      </c>
      <c r="G71" s="19">
        <v>1.0</v>
      </c>
      <c r="H71" s="19">
        <v>1.0</v>
      </c>
      <c r="I71" s="19">
        <v>1.0</v>
      </c>
      <c r="J71" s="19">
        <v>7.0</v>
      </c>
      <c r="K71" s="19">
        <v>2.0</v>
      </c>
      <c r="L71" s="19">
        <v>8.0</v>
      </c>
      <c r="M71" s="13">
        <f t="shared" si="9"/>
        <v>30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1.0</v>
      </c>
      <c r="G72" s="19">
        <v>5.0</v>
      </c>
      <c r="H72" s="19">
        <v>25.0</v>
      </c>
      <c r="I72" s="19">
        <v>4.0</v>
      </c>
      <c r="J72" s="19">
        <v>7.0</v>
      </c>
      <c r="K72" s="19">
        <v>25.0</v>
      </c>
      <c r="L72" s="19">
        <v>13.0</v>
      </c>
      <c r="M72" s="13">
        <f t="shared" si="9"/>
        <v>82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1.0</v>
      </c>
      <c r="H73" s="19">
        <v>1.0</v>
      </c>
      <c r="I73" s="19">
        <v>0.0</v>
      </c>
      <c r="J73" s="19">
        <v>1.0</v>
      </c>
      <c r="K73" s="19">
        <v>0.0</v>
      </c>
      <c r="L73" s="19">
        <v>0.0</v>
      </c>
      <c r="M73" s="13">
        <f t="shared" si="9"/>
        <v>4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1.0</v>
      </c>
      <c r="G74" s="19">
        <v>1.0</v>
      </c>
      <c r="H74" s="19">
        <v>0.0</v>
      </c>
      <c r="I74" s="19">
        <v>5.0</v>
      </c>
      <c r="J74" s="19">
        <v>2.0</v>
      </c>
      <c r="K74" s="19">
        <v>4.0</v>
      </c>
      <c r="L74" s="19">
        <v>17.0</v>
      </c>
      <c r="M74" s="13">
        <f t="shared" si="9"/>
        <v>34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2.0</v>
      </c>
      <c r="M75" s="13">
        <f t="shared" si="9"/>
        <v>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3">
        <f t="shared" si="9"/>
        <v>0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L79" si="10">SUM(E69:E76)</f>
        <v>21</v>
      </c>
      <c r="F79" s="13">
        <f t="shared" si="10"/>
        <v>14</v>
      </c>
      <c r="G79" s="13">
        <f t="shared" si="10"/>
        <v>14</v>
      </c>
      <c r="H79" s="13">
        <f t="shared" si="10"/>
        <v>32</v>
      </c>
      <c r="I79" s="13">
        <f t="shared" si="10"/>
        <v>15</v>
      </c>
      <c r="J79" s="13">
        <f t="shared" si="10"/>
        <v>30</v>
      </c>
      <c r="K79" s="13">
        <f t="shared" si="10"/>
        <v>60</v>
      </c>
      <c r="L79" s="13">
        <f t="shared" si="10"/>
        <v>61</v>
      </c>
      <c r="M79" s="13">
        <f>SUM(E79:L79)</f>
        <v>247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9.0</v>
      </c>
      <c r="F81" s="19">
        <v>12.0</v>
      </c>
      <c r="G81" s="19">
        <v>15.0</v>
      </c>
      <c r="H81" s="19">
        <v>11.0</v>
      </c>
      <c r="I81" s="19">
        <v>10.0</v>
      </c>
      <c r="J81" s="19">
        <v>9.0</v>
      </c>
      <c r="K81" s="19">
        <v>7.0</v>
      </c>
      <c r="L81" s="19">
        <v>4.0</v>
      </c>
      <c r="M81" s="13">
        <f t="shared" ref="M81:M88" si="11">SUM(E81:L81)</f>
        <v>77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80.0</v>
      </c>
      <c r="F82" s="19">
        <v>68.0</v>
      </c>
      <c r="G82" s="19">
        <v>37.0</v>
      </c>
      <c r="H82" s="19">
        <v>73.0</v>
      </c>
      <c r="I82" s="19">
        <v>99.0</v>
      </c>
      <c r="J82" s="19">
        <v>29.0</v>
      </c>
      <c r="K82" s="19">
        <v>21.0</v>
      </c>
      <c r="L82" s="19">
        <v>24.0</v>
      </c>
      <c r="M82" s="13">
        <f t="shared" si="11"/>
        <v>431</v>
      </c>
    </row>
    <row r="83" ht="12.75" customHeight="1">
      <c r="A83" s="18"/>
      <c r="B83" s="55">
        <v>2.0</v>
      </c>
      <c r="C83" s="50" t="s">
        <v>66</v>
      </c>
      <c r="D83" s="57"/>
      <c r="E83" s="19">
        <v>4.0</v>
      </c>
      <c r="F83" s="19">
        <v>1.0</v>
      </c>
      <c r="G83" s="19">
        <v>1.0</v>
      </c>
      <c r="H83" s="19">
        <v>3.0</v>
      </c>
      <c r="I83" s="19">
        <v>3.0</v>
      </c>
      <c r="J83" s="19">
        <v>4.0</v>
      </c>
      <c r="K83" s="19">
        <v>8.0</v>
      </c>
      <c r="L83" s="19">
        <v>7.0</v>
      </c>
      <c r="M83" s="13">
        <f t="shared" si="11"/>
        <v>31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2.0</v>
      </c>
      <c r="H84" s="19">
        <v>1.0</v>
      </c>
      <c r="I84" s="19">
        <v>0.0</v>
      </c>
      <c r="J84" s="19">
        <v>1.0</v>
      </c>
      <c r="K84" s="19">
        <v>2.0</v>
      </c>
      <c r="L84" s="19">
        <v>2.0</v>
      </c>
      <c r="M84" s="13">
        <f t="shared" si="11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4.0</v>
      </c>
      <c r="G85" s="19">
        <v>1.0</v>
      </c>
      <c r="H85" s="19">
        <v>0.0</v>
      </c>
      <c r="I85" s="19">
        <v>1.0</v>
      </c>
      <c r="J85" s="19">
        <v>1.0</v>
      </c>
      <c r="K85" s="19">
        <v>2.0</v>
      </c>
      <c r="L85" s="19">
        <v>1.0</v>
      </c>
      <c r="M85" s="13">
        <f t="shared" si="11"/>
        <v>10</v>
      </c>
    </row>
    <row r="86" ht="12.75" customHeight="1">
      <c r="A86" s="18"/>
      <c r="B86" s="55">
        <v>5.0</v>
      </c>
      <c r="C86" s="50" t="s">
        <v>69</v>
      </c>
      <c r="D86" s="57"/>
      <c r="E86" s="19">
        <v>4.0</v>
      </c>
      <c r="F86" s="19">
        <v>1.0</v>
      </c>
      <c r="G86" s="19">
        <v>3.0</v>
      </c>
      <c r="H86" s="19">
        <v>1.0</v>
      </c>
      <c r="I86" s="19">
        <v>3.0</v>
      </c>
      <c r="J86" s="19">
        <v>7.0</v>
      </c>
      <c r="K86" s="19">
        <v>5.0</v>
      </c>
      <c r="L86" s="19">
        <v>2.0</v>
      </c>
      <c r="M86" s="13">
        <f t="shared" si="11"/>
        <v>26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1.0</v>
      </c>
      <c r="H87" s="19">
        <v>0.0</v>
      </c>
      <c r="I87" s="19">
        <v>1.0</v>
      </c>
      <c r="J87" s="19">
        <v>0.0</v>
      </c>
      <c r="K87" s="19">
        <v>0.0</v>
      </c>
      <c r="L87" s="19">
        <v>1.0</v>
      </c>
      <c r="M87" s="13">
        <f t="shared" si="11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11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L91" si="12">SUM(E81:E88)</f>
        <v>97</v>
      </c>
      <c r="F91" s="13">
        <f t="shared" si="12"/>
        <v>88</v>
      </c>
      <c r="G91" s="13">
        <f t="shared" si="12"/>
        <v>60</v>
      </c>
      <c r="H91" s="13">
        <f t="shared" si="12"/>
        <v>89</v>
      </c>
      <c r="I91" s="13">
        <f t="shared" si="12"/>
        <v>117</v>
      </c>
      <c r="J91" s="13">
        <f t="shared" si="12"/>
        <v>51</v>
      </c>
      <c r="K91" s="13">
        <f t="shared" si="12"/>
        <v>45</v>
      </c>
      <c r="L91" s="13">
        <f t="shared" si="12"/>
        <v>41</v>
      </c>
      <c r="M91" s="13">
        <f>SUM(E91:L91)</f>
        <v>588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1.0</v>
      </c>
      <c r="H93" s="19">
        <v>1.0</v>
      </c>
      <c r="I93" s="19">
        <v>1.0</v>
      </c>
      <c r="J93" s="19">
        <v>0.0</v>
      </c>
      <c r="K93" s="19">
        <v>0.0</v>
      </c>
      <c r="L93" s="19">
        <v>3.0</v>
      </c>
      <c r="M93" s="13">
        <f t="shared" ref="M93:M100" si="13">SUM(E93:L93)</f>
        <v>8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6.0</v>
      </c>
      <c r="F94" s="19">
        <v>1.0</v>
      </c>
      <c r="G94" s="19">
        <v>1.0</v>
      </c>
      <c r="H94" s="19">
        <v>7.0</v>
      </c>
      <c r="I94" s="19">
        <v>9.0</v>
      </c>
      <c r="J94" s="19">
        <v>26.0</v>
      </c>
      <c r="K94" s="19">
        <v>9.0</v>
      </c>
      <c r="L94" s="19">
        <v>6.0</v>
      </c>
      <c r="M94" s="13">
        <f t="shared" si="13"/>
        <v>65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1.0</v>
      </c>
      <c r="H95" s="19">
        <v>0.0</v>
      </c>
      <c r="I95" s="19">
        <v>1.0</v>
      </c>
      <c r="J95" s="19">
        <v>0.0</v>
      </c>
      <c r="K95" s="19">
        <v>0.0</v>
      </c>
      <c r="L95" s="19">
        <v>1.0</v>
      </c>
      <c r="M95" s="13">
        <f t="shared" si="13"/>
        <v>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3">
        <f t="shared" si="13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2.0</v>
      </c>
      <c r="G97" s="19">
        <v>1.0</v>
      </c>
      <c r="H97" s="19">
        <v>12.0</v>
      </c>
      <c r="I97" s="19">
        <v>12.0</v>
      </c>
      <c r="J97" s="19">
        <v>0.0</v>
      </c>
      <c r="K97" s="19">
        <v>2.0</v>
      </c>
      <c r="L97" s="19">
        <v>1.0</v>
      </c>
      <c r="M97" s="13">
        <f t="shared" si="13"/>
        <v>32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3">
        <f t="shared" si="13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3">
        <f t="shared" si="13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3">
        <f t="shared" si="13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L103" si="14">SUM(E93:E100)</f>
        <v>9</v>
      </c>
      <c r="F103" s="13">
        <f t="shared" si="14"/>
        <v>4</v>
      </c>
      <c r="G103" s="13">
        <f t="shared" si="14"/>
        <v>4</v>
      </c>
      <c r="H103" s="13">
        <f t="shared" si="14"/>
        <v>20</v>
      </c>
      <c r="I103" s="13">
        <f t="shared" si="14"/>
        <v>24</v>
      </c>
      <c r="J103" s="13">
        <f t="shared" si="14"/>
        <v>26</v>
      </c>
      <c r="K103" s="13">
        <f t="shared" si="14"/>
        <v>11</v>
      </c>
      <c r="L103" s="13">
        <f t="shared" si="14"/>
        <v>11</v>
      </c>
      <c r="M103" s="13">
        <f>SUM(E103:L103)</f>
        <v>109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3">
        <f t="shared" ref="M105:M112" si="15">SUM(E105:L105)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3">
        <f t="shared" si="15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3">
        <f t="shared" si="15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15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15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15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3">
        <f t="shared" si="15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3">
        <f t="shared" si="15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L115" si="16">SUM(E105:E112)</f>
        <v>1</v>
      </c>
      <c r="F115" s="13">
        <f t="shared" si="16"/>
        <v>0</v>
      </c>
      <c r="G115" s="13">
        <f t="shared" si="16"/>
        <v>0</v>
      </c>
      <c r="H115" s="13">
        <f t="shared" si="16"/>
        <v>1</v>
      </c>
      <c r="I115" s="13">
        <f t="shared" si="16"/>
        <v>0</v>
      </c>
      <c r="J115" s="13">
        <f t="shared" si="16"/>
        <v>0</v>
      </c>
      <c r="K115" s="13">
        <f t="shared" si="16"/>
        <v>1</v>
      </c>
      <c r="L115" s="13">
        <f t="shared" si="16"/>
        <v>0</v>
      </c>
      <c r="M115" s="13">
        <f>SUM(E115:L115)</f>
        <v>3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2.0</v>
      </c>
      <c r="H117" s="19">
        <v>0.0</v>
      </c>
      <c r="I117" s="19">
        <v>1.0</v>
      </c>
      <c r="J117" s="19">
        <v>0.0</v>
      </c>
      <c r="K117" s="19">
        <v>0.0</v>
      </c>
      <c r="L117" s="19">
        <v>0.0</v>
      </c>
      <c r="M117" s="13">
        <f t="shared" ref="M117:M120" si="17">SUM(E117:L117)</f>
        <v>3</v>
      </c>
      <c r="N117" s="5"/>
      <c r="O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3">
        <f t="shared" si="17"/>
        <v>1</v>
      </c>
      <c r="N118" s="5"/>
      <c r="O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3">
        <f t="shared" si="17"/>
        <v>0</v>
      </c>
      <c r="N119" s="5"/>
      <c r="O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3">
        <f t="shared" si="17"/>
        <v>0</v>
      </c>
      <c r="N120" s="5"/>
      <c r="O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74"/>
      <c r="N121" s="5"/>
      <c r="O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74"/>
      <c r="N122" s="5"/>
      <c r="O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74"/>
      <c r="N123" s="5"/>
      <c r="O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74"/>
      <c r="N124" s="5"/>
      <c r="O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74"/>
      <c r="N125" s="5"/>
      <c r="O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74"/>
      <c r="N126" s="5"/>
      <c r="O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L127" si="18">SUM(E117:E120)</f>
        <v>0</v>
      </c>
      <c r="F127" s="58">
        <f t="shared" si="18"/>
        <v>0</v>
      </c>
      <c r="G127" s="58">
        <f t="shared" si="18"/>
        <v>2</v>
      </c>
      <c r="H127" s="58">
        <f t="shared" si="18"/>
        <v>0</v>
      </c>
      <c r="I127" s="58">
        <f t="shared" si="18"/>
        <v>2</v>
      </c>
      <c r="J127" s="58">
        <f t="shared" si="18"/>
        <v>0</v>
      </c>
      <c r="K127" s="58">
        <f t="shared" si="18"/>
        <v>0</v>
      </c>
      <c r="L127" s="58">
        <f t="shared" si="18"/>
        <v>0</v>
      </c>
      <c r="M127" s="13">
        <f>SUM(E127:L127)</f>
        <v>4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5"/>
      <c r="O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0.0</v>
      </c>
      <c r="I129" s="19">
        <v>0.0</v>
      </c>
      <c r="J129" s="19">
        <v>1.0</v>
      </c>
      <c r="K129" s="19">
        <v>0.0</v>
      </c>
      <c r="L129" s="19">
        <v>1.0</v>
      </c>
      <c r="M129" s="13">
        <f t="shared" ref="M129:M136" si="19">SUM(E129:L129)</f>
        <v>4</v>
      </c>
      <c r="N129" s="5"/>
      <c r="O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2.0</v>
      </c>
      <c r="G130" s="19">
        <v>2.0</v>
      </c>
      <c r="H130" s="19">
        <v>0.0</v>
      </c>
      <c r="I130" s="19">
        <v>0.0</v>
      </c>
      <c r="J130" s="19">
        <v>3.0</v>
      </c>
      <c r="K130" s="19">
        <v>0.0</v>
      </c>
      <c r="L130" s="19">
        <v>1.0</v>
      </c>
      <c r="M130" s="13">
        <f t="shared" si="19"/>
        <v>9</v>
      </c>
      <c r="N130" s="1"/>
      <c r="O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1.0</v>
      </c>
      <c r="H131" s="19">
        <v>3.0</v>
      </c>
      <c r="I131" s="19">
        <v>0.0</v>
      </c>
      <c r="J131" s="19">
        <v>2.0</v>
      </c>
      <c r="K131" s="19">
        <v>0.0</v>
      </c>
      <c r="L131" s="19">
        <v>0.0</v>
      </c>
      <c r="M131" s="13">
        <f t="shared" si="19"/>
        <v>7</v>
      </c>
      <c r="N131" s="52"/>
      <c r="O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3">
        <f t="shared" si="19"/>
        <v>0</v>
      </c>
      <c r="N132" s="5"/>
      <c r="O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3">
        <f t="shared" si="19"/>
        <v>1</v>
      </c>
      <c r="N133" s="5"/>
      <c r="O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3">
        <f t="shared" si="19"/>
        <v>0</v>
      </c>
      <c r="N134" s="5"/>
      <c r="O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3">
        <f t="shared" si="19"/>
        <v>0</v>
      </c>
      <c r="N135" s="5"/>
      <c r="O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19"/>
        <v>0</v>
      </c>
      <c r="N136" s="5"/>
      <c r="O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74"/>
      <c r="N137" s="5"/>
      <c r="O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74"/>
      <c r="N138" s="5"/>
      <c r="O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L139" si="20">SUM(E129:E136)</f>
        <v>2</v>
      </c>
      <c r="F139" s="13">
        <f t="shared" si="20"/>
        <v>3</v>
      </c>
      <c r="G139" s="13">
        <f t="shared" si="20"/>
        <v>4</v>
      </c>
      <c r="H139" s="13">
        <f t="shared" si="20"/>
        <v>3</v>
      </c>
      <c r="I139" s="13">
        <f t="shared" si="20"/>
        <v>0</v>
      </c>
      <c r="J139" s="13">
        <f t="shared" si="20"/>
        <v>6</v>
      </c>
      <c r="K139" s="13">
        <f t="shared" si="20"/>
        <v>0</v>
      </c>
      <c r="L139" s="13">
        <f t="shared" si="20"/>
        <v>3</v>
      </c>
      <c r="M139" s="13">
        <f>SUM(E139:L139)</f>
        <v>21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5"/>
      <c r="O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8" si="21">SUM(E141:L141)</f>
        <v>0</v>
      </c>
      <c r="N141" s="1"/>
      <c r="O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21"/>
        <v>0</v>
      </c>
      <c r="N142" s="52"/>
      <c r="O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21"/>
        <v>0</v>
      </c>
      <c r="N143" s="5"/>
      <c r="O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21"/>
        <v>0</v>
      </c>
      <c r="N144" s="5"/>
      <c r="O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21"/>
        <v>0</v>
      </c>
      <c r="N145" s="5"/>
      <c r="O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3">
        <f t="shared" si="21"/>
        <v>0</v>
      </c>
      <c r="N146" s="5"/>
      <c r="O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3">
        <f t="shared" si="21"/>
        <v>0</v>
      </c>
      <c r="N147" s="5"/>
      <c r="O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21"/>
        <v>0</v>
      </c>
      <c r="N148" s="5"/>
      <c r="O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74"/>
      <c r="N149" s="5"/>
      <c r="O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74"/>
      <c r="N150" s="5"/>
      <c r="O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L151" si="22">SUM(E141:E148)</f>
        <v>0</v>
      </c>
      <c r="F151" s="13">
        <f t="shared" si="22"/>
        <v>0</v>
      </c>
      <c r="G151" s="13">
        <f t="shared" si="22"/>
        <v>0</v>
      </c>
      <c r="H151" s="13">
        <f t="shared" si="22"/>
        <v>0</v>
      </c>
      <c r="I151" s="13">
        <f t="shared" si="22"/>
        <v>0</v>
      </c>
      <c r="J151" s="13">
        <f t="shared" si="22"/>
        <v>0</v>
      </c>
      <c r="K151" s="13">
        <f t="shared" si="22"/>
        <v>0</v>
      </c>
      <c r="L151" s="13">
        <f t="shared" si="22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13"/>
      <c r="N152" s="52"/>
      <c r="O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1.0</v>
      </c>
      <c r="K153" s="19">
        <v>0.0</v>
      </c>
      <c r="L153" s="19">
        <v>0.0</v>
      </c>
      <c r="M153" s="13">
        <v>2.0</v>
      </c>
      <c r="N153" s="5"/>
      <c r="O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3">
        <f t="shared" ref="M154:M156" si="23">SUM(E155:L155)</f>
        <v>0</v>
      </c>
      <c r="N154" s="5"/>
      <c r="O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3">
        <f t="shared" si="23"/>
        <v>0</v>
      </c>
      <c r="N155" s="5"/>
      <c r="O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3">
        <f t="shared" si="23"/>
        <v>0</v>
      </c>
      <c r="N156" s="5"/>
      <c r="O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3">
        <f>SUM(E163:L163)</f>
        <v>2</v>
      </c>
      <c r="N157" s="5"/>
      <c r="O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74"/>
      <c r="N158" s="5"/>
      <c r="O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74"/>
      <c r="N159" s="5"/>
      <c r="O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74"/>
      <c r="N160" s="5"/>
      <c r="O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74"/>
      <c r="N161" s="5"/>
      <c r="O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74"/>
      <c r="N162" s="5"/>
      <c r="O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L163" si="24">SUM(E153:E157)</f>
        <v>0</v>
      </c>
      <c r="F163" s="13">
        <f t="shared" si="24"/>
        <v>0</v>
      </c>
      <c r="G163" s="13">
        <f t="shared" si="24"/>
        <v>0</v>
      </c>
      <c r="H163" s="13">
        <f t="shared" si="24"/>
        <v>0</v>
      </c>
      <c r="I163" s="13">
        <f t="shared" si="24"/>
        <v>1</v>
      </c>
      <c r="J163" s="13">
        <f t="shared" si="24"/>
        <v>1</v>
      </c>
      <c r="K163" s="13">
        <f t="shared" si="24"/>
        <v>0</v>
      </c>
      <c r="L163" s="13">
        <f t="shared" si="24"/>
        <v>0</v>
      </c>
      <c r="M163" s="13">
        <f>SUM(E164:L164)</f>
        <v>0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5"/>
      <c r="O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3">
        <f t="shared" ref="M165:M172" si="25">SUM(E165:L165)</f>
        <v>1</v>
      </c>
      <c r="N165" s="1"/>
      <c r="O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3">
        <f t="shared" si="25"/>
        <v>0</v>
      </c>
      <c r="N166" s="52"/>
      <c r="O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3">
        <f t="shared" si="25"/>
        <v>1</v>
      </c>
      <c r="N167" s="5"/>
      <c r="O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3">
        <f t="shared" si="25"/>
        <v>0</v>
      </c>
      <c r="N168" s="5"/>
      <c r="O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3">
        <f t="shared" si="25"/>
        <v>1</v>
      </c>
      <c r="N169" s="5"/>
      <c r="O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3">
        <f t="shared" si="25"/>
        <v>0</v>
      </c>
      <c r="N170" s="5"/>
      <c r="O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25"/>
        <v>0</v>
      </c>
      <c r="N171" s="5"/>
      <c r="O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25"/>
        <v>0</v>
      </c>
      <c r="N172" s="5"/>
      <c r="O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74"/>
      <c r="N173" s="5"/>
      <c r="O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74"/>
      <c r="N174" s="5"/>
      <c r="O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L175" si="26">SUM(E165:E172)</f>
        <v>1</v>
      </c>
      <c r="F175" s="13">
        <f t="shared" si="26"/>
        <v>0</v>
      </c>
      <c r="G175" s="13">
        <f t="shared" si="26"/>
        <v>0</v>
      </c>
      <c r="H175" s="13">
        <f t="shared" si="26"/>
        <v>0</v>
      </c>
      <c r="I175" s="13">
        <f t="shared" si="26"/>
        <v>1</v>
      </c>
      <c r="J175" s="13">
        <f t="shared" si="26"/>
        <v>0</v>
      </c>
      <c r="K175" s="13">
        <f t="shared" si="26"/>
        <v>0</v>
      </c>
      <c r="L175" s="13">
        <f t="shared" si="26"/>
        <v>1</v>
      </c>
      <c r="M175" s="13">
        <f>SUM(E175:L175)</f>
        <v>3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1"/>
      <c r="O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1.0</v>
      </c>
      <c r="K177" s="19">
        <v>0.0</v>
      </c>
      <c r="L177" s="19">
        <v>0.0</v>
      </c>
      <c r="M177" s="13">
        <f t="shared" ref="M177:M184" si="27">SUM(E177:L177)</f>
        <v>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1.0</v>
      </c>
      <c r="L178" s="19">
        <v>1.0</v>
      </c>
      <c r="M178" s="13">
        <f t="shared" si="27"/>
        <v>4</v>
      </c>
      <c r="N178" s="5"/>
      <c r="O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3">
        <f t="shared" si="27"/>
        <v>1</v>
      </c>
      <c r="N179" s="5"/>
      <c r="O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1.0</v>
      </c>
      <c r="M180" s="13">
        <f t="shared" si="27"/>
        <v>3</v>
      </c>
      <c r="N180" s="5"/>
      <c r="O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3">
        <f t="shared" si="27"/>
        <v>0</v>
      </c>
      <c r="N181" s="5"/>
      <c r="O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3">
        <f t="shared" si="27"/>
        <v>0</v>
      </c>
      <c r="N182" s="5"/>
      <c r="O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27"/>
        <v>0</v>
      </c>
      <c r="N183" s="5"/>
      <c r="O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27"/>
        <v>1</v>
      </c>
      <c r="N184" s="5"/>
      <c r="O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74"/>
      <c r="N185" s="5"/>
      <c r="O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74"/>
      <c r="N186" s="5"/>
      <c r="O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L187" si="28">SUM(E177:E184)</f>
        <v>1</v>
      </c>
      <c r="F187" s="13">
        <f t="shared" si="28"/>
        <v>1</v>
      </c>
      <c r="G187" s="13">
        <f t="shared" si="28"/>
        <v>1</v>
      </c>
      <c r="H187" s="13">
        <f t="shared" si="28"/>
        <v>0</v>
      </c>
      <c r="I187" s="13">
        <f t="shared" si="28"/>
        <v>1</v>
      </c>
      <c r="J187" s="13">
        <f t="shared" si="28"/>
        <v>1</v>
      </c>
      <c r="K187" s="13">
        <f t="shared" si="28"/>
        <v>3</v>
      </c>
      <c r="L187" s="13">
        <f t="shared" si="28"/>
        <v>2</v>
      </c>
      <c r="M187" s="13">
        <f>SUM(E187:L187)</f>
        <v>10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3">
        <f t="shared" ref="M189:M196" si="29">SUM(E189:L189)</f>
        <v>1</v>
      </c>
      <c r="N189" s="5"/>
      <c r="O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3">
        <f t="shared" si="29"/>
        <v>0</v>
      </c>
      <c r="N190" s="5"/>
      <c r="O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29"/>
        <v>0</v>
      </c>
      <c r="N191" s="5"/>
      <c r="O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29"/>
        <v>0</v>
      </c>
      <c r="N192" s="5"/>
      <c r="O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29"/>
        <v>0</v>
      </c>
      <c r="N193" s="5"/>
      <c r="O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29"/>
        <v>0</v>
      </c>
      <c r="N194" s="5"/>
      <c r="O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29"/>
        <v>0</v>
      </c>
      <c r="N195" s="5"/>
      <c r="O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29"/>
        <v>0</v>
      </c>
      <c r="N196" s="1"/>
      <c r="O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74"/>
      <c r="N197" s="1"/>
      <c r="O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74"/>
      <c r="N198" s="1"/>
      <c r="O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L199" si="30">SUM(E189:E196)</f>
        <v>0</v>
      </c>
      <c r="F199" s="13">
        <f t="shared" si="30"/>
        <v>0</v>
      </c>
      <c r="G199" s="13">
        <f t="shared" si="30"/>
        <v>0</v>
      </c>
      <c r="H199" s="13">
        <f t="shared" si="30"/>
        <v>0</v>
      </c>
      <c r="I199" s="13">
        <f t="shared" si="30"/>
        <v>0</v>
      </c>
      <c r="J199" s="13">
        <f t="shared" si="30"/>
        <v>0</v>
      </c>
      <c r="K199" s="13">
        <f t="shared" si="30"/>
        <v>0</v>
      </c>
      <c r="L199" s="13">
        <f t="shared" si="30"/>
        <v>1</v>
      </c>
      <c r="M199" s="13">
        <f>SUM(E199:L199)</f>
        <v>1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5"/>
      <c r="O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3.0</v>
      </c>
      <c r="G201" s="19">
        <v>6.0</v>
      </c>
      <c r="H201" s="19">
        <v>0.0</v>
      </c>
      <c r="I201" s="19">
        <v>3.0</v>
      </c>
      <c r="J201" s="19">
        <v>6.0</v>
      </c>
      <c r="K201" s="19">
        <v>4.0</v>
      </c>
      <c r="L201" s="19">
        <v>2.0</v>
      </c>
      <c r="M201" s="13">
        <f t="shared" ref="M201:M208" si="31">SUM(E201:L201)</f>
        <v>27</v>
      </c>
      <c r="N201" s="5"/>
      <c r="O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3.0</v>
      </c>
      <c r="F202" s="19">
        <v>5.0</v>
      </c>
      <c r="G202" s="19">
        <v>5.0</v>
      </c>
      <c r="H202" s="19">
        <v>8.0</v>
      </c>
      <c r="I202" s="19">
        <v>4.0</v>
      </c>
      <c r="J202" s="19">
        <v>5.0</v>
      </c>
      <c r="K202" s="19">
        <v>7.0</v>
      </c>
      <c r="L202" s="19">
        <v>10.0</v>
      </c>
      <c r="M202" s="13">
        <f t="shared" si="31"/>
        <v>47</v>
      </c>
      <c r="N202" s="5"/>
      <c r="O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7.0</v>
      </c>
      <c r="G203" s="19">
        <v>3.0</v>
      </c>
      <c r="H203" s="19">
        <v>1.0</v>
      </c>
      <c r="I203" s="19">
        <v>5.0</v>
      </c>
      <c r="J203" s="19">
        <v>4.0</v>
      </c>
      <c r="K203" s="19">
        <v>1.0</v>
      </c>
      <c r="L203" s="19">
        <v>0.0</v>
      </c>
      <c r="M203" s="13">
        <f t="shared" si="31"/>
        <v>22</v>
      </c>
      <c r="N203" s="5"/>
      <c r="O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1.0</v>
      </c>
      <c r="G204" s="19">
        <v>3.0</v>
      </c>
      <c r="H204" s="19">
        <v>3.0</v>
      </c>
      <c r="I204" s="19">
        <v>3.0</v>
      </c>
      <c r="J204" s="19">
        <v>0.0</v>
      </c>
      <c r="K204" s="19">
        <v>2.0</v>
      </c>
      <c r="L204" s="19">
        <v>0.0</v>
      </c>
      <c r="M204" s="13">
        <f t="shared" si="31"/>
        <v>13</v>
      </c>
      <c r="N204" s="5"/>
      <c r="O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2.0</v>
      </c>
      <c r="I205" s="19">
        <v>0.0</v>
      </c>
      <c r="J205" s="19">
        <v>0.0</v>
      </c>
      <c r="K205" s="19">
        <v>1.0</v>
      </c>
      <c r="L205" s="19">
        <v>1.0</v>
      </c>
      <c r="M205" s="13">
        <f t="shared" si="31"/>
        <v>5</v>
      </c>
      <c r="N205" s="5"/>
      <c r="O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3">
        <f t="shared" si="31"/>
        <v>1</v>
      </c>
      <c r="N206" s="5"/>
      <c r="O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3">
        <f t="shared" si="31"/>
        <v>0</v>
      </c>
      <c r="N207" s="1"/>
      <c r="O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3">
        <f t="shared" si="31"/>
        <v>1</v>
      </c>
      <c r="N208" s="52"/>
      <c r="O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74"/>
      <c r="N209" s="52"/>
      <c r="O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74"/>
      <c r="N210" s="52"/>
      <c r="O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L211" si="32">SUM(E201:E208)</f>
        <v>8</v>
      </c>
      <c r="F211" s="13">
        <f t="shared" si="32"/>
        <v>16</v>
      </c>
      <c r="G211" s="13">
        <f t="shared" si="32"/>
        <v>19</v>
      </c>
      <c r="H211" s="13">
        <f t="shared" si="32"/>
        <v>14</v>
      </c>
      <c r="I211" s="13">
        <f t="shared" si="32"/>
        <v>15</v>
      </c>
      <c r="J211" s="13">
        <f t="shared" si="32"/>
        <v>15</v>
      </c>
      <c r="K211" s="13">
        <f t="shared" si="32"/>
        <v>16</v>
      </c>
      <c r="L211" s="13">
        <f t="shared" si="32"/>
        <v>13</v>
      </c>
      <c r="M211" s="13">
        <f>SUM(E211:L211)</f>
        <v>116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5"/>
      <c r="O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2.0</v>
      </c>
      <c r="G213" s="19">
        <v>0.0</v>
      </c>
      <c r="H213" s="19">
        <v>2.0</v>
      </c>
      <c r="I213" s="19">
        <v>1.0</v>
      </c>
      <c r="J213" s="19">
        <v>1.0</v>
      </c>
      <c r="K213" s="19">
        <v>1.0</v>
      </c>
      <c r="L213" s="19">
        <v>2.0</v>
      </c>
      <c r="M213" s="13">
        <f t="shared" ref="M213:M220" si="33">SUM(E213:L213)</f>
        <v>10</v>
      </c>
      <c r="N213" s="5"/>
      <c r="O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4.0</v>
      </c>
      <c r="I214" s="19">
        <v>1.0</v>
      </c>
      <c r="J214" s="19">
        <v>0.0</v>
      </c>
      <c r="K214" s="19">
        <v>2.0</v>
      </c>
      <c r="L214" s="19">
        <v>1.0</v>
      </c>
      <c r="M214" s="13">
        <f t="shared" si="33"/>
        <v>9</v>
      </c>
      <c r="N214" s="5"/>
      <c r="O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2.0</v>
      </c>
      <c r="G215" s="19">
        <v>0.0</v>
      </c>
      <c r="H215" s="19">
        <v>0.0</v>
      </c>
      <c r="I215" s="19">
        <v>0.0</v>
      </c>
      <c r="J215" s="19">
        <v>21.0</v>
      </c>
      <c r="K215" s="19">
        <v>17.0</v>
      </c>
      <c r="L215" s="19">
        <v>30.0</v>
      </c>
      <c r="M215" s="13">
        <f t="shared" si="33"/>
        <v>70</v>
      </c>
      <c r="N215" s="5"/>
      <c r="O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3">
        <f t="shared" si="33"/>
        <v>0</v>
      </c>
      <c r="N216" s="5"/>
      <c r="O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3">
        <f t="shared" si="33"/>
        <v>1</v>
      </c>
      <c r="N217" s="5"/>
      <c r="O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3">
        <f t="shared" si="33"/>
        <v>0</v>
      </c>
      <c r="N218" s="1"/>
      <c r="O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3">
        <f t="shared" si="33"/>
        <v>0</v>
      </c>
      <c r="N219" s="52"/>
      <c r="O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3">
        <f t="shared" si="33"/>
        <v>0</v>
      </c>
      <c r="N220" s="5"/>
      <c r="O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74"/>
      <c r="N221" s="5"/>
      <c r="O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74"/>
      <c r="N222" s="5"/>
      <c r="O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L223" si="34">SUM(E213:E220)</f>
        <v>2</v>
      </c>
      <c r="F223" s="13">
        <f t="shared" si="34"/>
        <v>4</v>
      </c>
      <c r="G223" s="13">
        <f t="shared" si="34"/>
        <v>0</v>
      </c>
      <c r="H223" s="13">
        <f t="shared" si="34"/>
        <v>6</v>
      </c>
      <c r="I223" s="13">
        <f t="shared" si="34"/>
        <v>2</v>
      </c>
      <c r="J223" s="13">
        <f t="shared" si="34"/>
        <v>22</v>
      </c>
      <c r="K223" s="13">
        <f t="shared" si="34"/>
        <v>21</v>
      </c>
      <c r="L223" s="13">
        <f t="shared" si="34"/>
        <v>33</v>
      </c>
      <c r="M223" s="13">
        <f>SUM(E223:L223)</f>
        <v>90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5"/>
      <c r="O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3">
        <f t="shared" ref="M225:M232" si="35">SUM(E225:L225)</f>
        <v>0</v>
      </c>
      <c r="N225" s="5"/>
      <c r="O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3">
        <f t="shared" si="35"/>
        <v>1</v>
      </c>
      <c r="N226" s="5"/>
      <c r="O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3">
        <f t="shared" si="35"/>
        <v>0</v>
      </c>
      <c r="N227" s="5"/>
      <c r="O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35"/>
        <v>0</v>
      </c>
      <c r="N228" s="5"/>
      <c r="O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35"/>
        <v>0</v>
      </c>
      <c r="N229" s="1"/>
      <c r="O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35"/>
        <v>0</v>
      </c>
      <c r="N230" s="52"/>
      <c r="O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3">
        <f t="shared" si="35"/>
        <v>0</v>
      </c>
      <c r="N231" s="5"/>
      <c r="O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3">
        <f t="shared" si="35"/>
        <v>1</v>
      </c>
      <c r="N232" s="5"/>
      <c r="O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74"/>
      <c r="N233" s="5"/>
      <c r="O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74"/>
      <c r="N234" s="5"/>
      <c r="O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L235" si="36">SUM(E225:E232)</f>
        <v>0</v>
      </c>
      <c r="F235" s="13">
        <f t="shared" si="36"/>
        <v>0</v>
      </c>
      <c r="G235" s="13">
        <f t="shared" si="36"/>
        <v>0</v>
      </c>
      <c r="H235" s="13">
        <f t="shared" si="36"/>
        <v>0</v>
      </c>
      <c r="I235" s="13">
        <f t="shared" si="36"/>
        <v>0</v>
      </c>
      <c r="J235" s="13">
        <f t="shared" si="36"/>
        <v>0</v>
      </c>
      <c r="K235" s="13">
        <f t="shared" si="36"/>
        <v>0</v>
      </c>
      <c r="L235" s="13">
        <f t="shared" si="36"/>
        <v>2</v>
      </c>
      <c r="M235" s="13">
        <f>SUM(E235:L235)</f>
        <v>2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5"/>
      <c r="O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2.0</v>
      </c>
      <c r="H237" s="19">
        <v>1.0</v>
      </c>
      <c r="I237" s="19">
        <v>0.0</v>
      </c>
      <c r="J237" s="19">
        <v>0.0</v>
      </c>
      <c r="K237" s="19">
        <v>0.0</v>
      </c>
      <c r="L237" s="19">
        <v>0.0</v>
      </c>
      <c r="M237" s="13">
        <f t="shared" ref="M237:M244" si="37">SUM(E237:L237)</f>
        <v>4</v>
      </c>
      <c r="N237" s="5"/>
      <c r="O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2.0</v>
      </c>
      <c r="G238" s="19">
        <v>0.0</v>
      </c>
      <c r="H238" s="19">
        <v>2.0</v>
      </c>
      <c r="I238" s="19">
        <v>0.0</v>
      </c>
      <c r="J238" s="19">
        <v>0.0</v>
      </c>
      <c r="K238" s="19">
        <v>1.0</v>
      </c>
      <c r="L238" s="19">
        <v>0.0</v>
      </c>
      <c r="M238" s="13">
        <f t="shared" si="37"/>
        <v>6</v>
      </c>
      <c r="N238" s="5"/>
      <c r="O238" s="5"/>
    </row>
    <row r="239" ht="12.75" customHeight="1">
      <c r="A239" s="18"/>
      <c r="B239" s="55">
        <v>2.0</v>
      </c>
      <c r="C239" s="50" t="s">
        <v>176</v>
      </c>
      <c r="D239" s="57"/>
      <c r="E239" s="19">
        <v>6.0</v>
      </c>
      <c r="F239" s="19">
        <v>6.0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0.0</v>
      </c>
      <c r="M239" s="13">
        <f t="shared" si="37"/>
        <v>13</v>
      </c>
      <c r="N239" s="5"/>
      <c r="O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3">
        <f t="shared" si="37"/>
        <v>0</v>
      </c>
      <c r="N240" s="1"/>
      <c r="O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3">
        <f t="shared" si="37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37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3">
        <f t="shared" si="37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8.0</v>
      </c>
      <c r="F244" s="19">
        <v>0.0</v>
      </c>
      <c r="G244" s="19">
        <v>4.0</v>
      </c>
      <c r="H244" s="19">
        <v>0.0</v>
      </c>
      <c r="I244" s="19">
        <v>0.0</v>
      </c>
      <c r="J244" s="19">
        <v>0.0</v>
      </c>
      <c r="K244" s="19">
        <v>1.0</v>
      </c>
      <c r="L244" s="19">
        <v>1.0</v>
      </c>
      <c r="M244" s="13">
        <f t="shared" si="37"/>
        <v>14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L247" si="38">SUM(E237:E244)</f>
        <v>16</v>
      </c>
      <c r="F247" s="13">
        <f t="shared" si="38"/>
        <v>8</v>
      </c>
      <c r="G247" s="13">
        <f t="shared" si="38"/>
        <v>6</v>
      </c>
      <c r="H247" s="13">
        <f t="shared" si="38"/>
        <v>4</v>
      </c>
      <c r="I247" s="13">
        <f t="shared" si="38"/>
        <v>0</v>
      </c>
      <c r="J247" s="13">
        <f t="shared" si="38"/>
        <v>0</v>
      </c>
      <c r="K247" s="13">
        <f t="shared" si="38"/>
        <v>2</v>
      </c>
      <c r="L247" s="13">
        <f t="shared" si="38"/>
        <v>1</v>
      </c>
      <c r="M247" s="13">
        <f>SUM(E247:L247)</f>
        <v>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3">
        <f t="shared" ref="M249:M255" si="39">SUM(E249:L249)</f>
        <v>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3">
        <f t="shared" si="39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3">
        <f t="shared" si="39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39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3">
        <f t="shared" si="3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3">
        <f t="shared" si="39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3">
        <f t="shared" si="39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L259" si="40">SUM(E249:E255)</f>
        <v>0</v>
      </c>
      <c r="F259" s="13">
        <f t="shared" si="40"/>
        <v>0</v>
      </c>
      <c r="G259" s="13">
        <f t="shared" si="40"/>
        <v>0</v>
      </c>
      <c r="H259" s="13">
        <f t="shared" si="40"/>
        <v>0</v>
      </c>
      <c r="I259" s="13">
        <f t="shared" si="40"/>
        <v>0</v>
      </c>
      <c r="J259" s="13">
        <f t="shared" si="40"/>
        <v>0</v>
      </c>
      <c r="K259" s="13">
        <f t="shared" si="40"/>
        <v>0</v>
      </c>
      <c r="L259" s="13">
        <f t="shared" si="40"/>
        <v>0</v>
      </c>
      <c r="M259" s="13">
        <f>SUM(E259:L259)</f>
        <v>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L262" si="41">E55+E67+E79+E91+E103+E115+E127+E139+E151+E163+E175+E187+E199+E211+E223+E235+E247+E259</f>
        <v>215</v>
      </c>
      <c r="F262" s="19">
        <f t="shared" si="41"/>
        <v>194</v>
      </c>
      <c r="G262" s="19">
        <f t="shared" si="41"/>
        <v>200</v>
      </c>
      <c r="H262" s="19">
        <f t="shared" si="41"/>
        <v>197</v>
      </c>
      <c r="I262" s="19">
        <f t="shared" si="41"/>
        <v>197</v>
      </c>
      <c r="J262" s="19">
        <f t="shared" si="41"/>
        <v>190</v>
      </c>
      <c r="K262" s="19">
        <f t="shared" si="41"/>
        <v>193</v>
      </c>
      <c r="L262" s="19">
        <f t="shared" si="41"/>
        <v>202</v>
      </c>
      <c r="M262" s="13">
        <f t="shared" ref="M262:M264" si="42">SUM(E262:L262)</f>
        <v>1588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25.0</v>
      </c>
      <c r="F263" s="19">
        <v>25.0</v>
      </c>
      <c r="G263" s="19">
        <v>34.0</v>
      </c>
      <c r="H263" s="19">
        <v>7.0</v>
      </c>
      <c r="I263" s="19">
        <v>30.0</v>
      </c>
      <c r="J263" s="19">
        <v>30.0</v>
      </c>
      <c r="K263" s="19">
        <v>37.0</v>
      </c>
      <c r="L263" s="19">
        <v>40.0</v>
      </c>
      <c r="M263" s="13">
        <f t="shared" si="42"/>
        <v>228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L264" si="43">SUM(E262:E263)</f>
        <v>240</v>
      </c>
      <c r="F264" s="13">
        <f t="shared" si="43"/>
        <v>219</v>
      </c>
      <c r="G264" s="13">
        <f t="shared" si="43"/>
        <v>234</v>
      </c>
      <c r="H264" s="13">
        <f t="shared" si="43"/>
        <v>204</v>
      </c>
      <c r="I264" s="13">
        <f t="shared" si="43"/>
        <v>227</v>
      </c>
      <c r="J264" s="13">
        <f t="shared" si="43"/>
        <v>220</v>
      </c>
      <c r="K264" s="13">
        <f t="shared" si="43"/>
        <v>230</v>
      </c>
      <c r="L264" s="13">
        <f t="shared" si="43"/>
        <v>242</v>
      </c>
      <c r="M264" s="13">
        <f t="shared" si="42"/>
        <v>1816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78">
        <v>116.0</v>
      </c>
      <c r="F14" s="78">
        <v>118.0</v>
      </c>
      <c r="G14" s="78">
        <v>141.0</v>
      </c>
      <c r="H14" s="78">
        <v>136.0</v>
      </c>
      <c r="I14" s="78">
        <v>143.0</v>
      </c>
      <c r="J14" s="78">
        <v>130.0</v>
      </c>
      <c r="K14" s="78">
        <v>131.0</v>
      </c>
      <c r="L14" s="78">
        <v>127.0</v>
      </c>
      <c r="M14" s="78">
        <v>127.0</v>
      </c>
      <c r="N14" s="78">
        <v>121.0</v>
      </c>
      <c r="O14" s="78">
        <v>116.0</v>
      </c>
      <c r="P14" s="13">
        <f t="shared" ref="P14:P16" si="1">SUM(E14:O14)</f>
        <v>1406</v>
      </c>
    </row>
    <row r="15" ht="12.75" customHeight="1">
      <c r="A15" s="18"/>
      <c r="B15" s="26"/>
      <c r="C15" s="27"/>
      <c r="D15" s="19" t="s">
        <v>13</v>
      </c>
      <c r="E15" s="78">
        <v>112.0</v>
      </c>
      <c r="F15" s="78">
        <v>113.0</v>
      </c>
      <c r="G15" s="78">
        <v>122.0</v>
      </c>
      <c r="H15" s="78">
        <v>150.0</v>
      </c>
      <c r="I15" s="78">
        <v>134.0</v>
      </c>
      <c r="J15" s="78">
        <v>139.0</v>
      </c>
      <c r="K15" s="78">
        <v>128.0</v>
      </c>
      <c r="L15" s="78">
        <v>133.0</v>
      </c>
      <c r="M15" s="78">
        <v>124.0</v>
      </c>
      <c r="N15" s="78">
        <v>131.0</v>
      </c>
      <c r="O15" s="78">
        <v>126.0</v>
      </c>
      <c r="P15" s="13">
        <f t="shared" si="1"/>
        <v>1412</v>
      </c>
    </row>
    <row r="16" ht="12.75" customHeight="1">
      <c r="A16" s="25"/>
      <c r="B16" s="21"/>
      <c r="C16" s="28"/>
      <c r="D16" s="13" t="s">
        <v>14</v>
      </c>
      <c r="E16" s="79">
        <f t="shared" ref="E16:O16" si="2">SUM(E14:E15)</f>
        <v>228</v>
      </c>
      <c r="F16" s="79">
        <f t="shared" si="2"/>
        <v>231</v>
      </c>
      <c r="G16" s="79">
        <f t="shared" si="2"/>
        <v>263</v>
      </c>
      <c r="H16" s="79">
        <f t="shared" si="2"/>
        <v>286</v>
      </c>
      <c r="I16" s="79">
        <f t="shared" si="2"/>
        <v>277</v>
      </c>
      <c r="J16" s="79">
        <f t="shared" si="2"/>
        <v>269</v>
      </c>
      <c r="K16" s="79">
        <f t="shared" si="2"/>
        <v>259</v>
      </c>
      <c r="L16" s="79">
        <f t="shared" si="2"/>
        <v>260</v>
      </c>
      <c r="M16" s="79">
        <f t="shared" si="2"/>
        <v>251</v>
      </c>
      <c r="N16" s="79">
        <f t="shared" si="2"/>
        <v>252</v>
      </c>
      <c r="O16" s="79">
        <f t="shared" si="2"/>
        <v>242</v>
      </c>
      <c r="P16" s="13">
        <f t="shared" si="1"/>
        <v>2818</v>
      </c>
    </row>
    <row r="17" ht="12.75" customHeight="1">
      <c r="A17" s="24"/>
      <c r="B17" s="15"/>
      <c r="C17" s="15"/>
      <c r="D17" s="16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68"/>
    </row>
    <row r="18" ht="12.75" customHeight="1">
      <c r="A18" s="30" t="s">
        <v>15</v>
      </c>
      <c r="B18" s="20" t="s">
        <v>16</v>
      </c>
      <c r="C18" s="15"/>
      <c r="D18" s="1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8">
        <v>79.0</v>
      </c>
      <c r="F19" s="78">
        <v>73.0</v>
      </c>
      <c r="G19" s="78">
        <v>108.0</v>
      </c>
      <c r="H19" s="78">
        <v>104.0</v>
      </c>
      <c r="I19" s="78">
        <v>113.0</v>
      </c>
      <c r="J19" s="78">
        <v>99.0</v>
      </c>
      <c r="K19" s="78">
        <v>100.0</v>
      </c>
      <c r="L19" s="78">
        <v>103.0</v>
      </c>
      <c r="M19" s="78">
        <v>85.0</v>
      </c>
      <c r="N19" s="78">
        <v>79.0</v>
      </c>
      <c r="O19" s="78">
        <v>81.0</v>
      </c>
      <c r="P19" s="13">
        <f t="shared" ref="P19:P30" si="3">SUM(E19:O19)</f>
        <v>1024</v>
      </c>
    </row>
    <row r="20" ht="12.75" customHeight="1">
      <c r="A20" s="33"/>
      <c r="B20" s="27"/>
      <c r="C20" s="34"/>
      <c r="D20" s="19" t="s">
        <v>13</v>
      </c>
      <c r="E20" s="78">
        <v>85.0</v>
      </c>
      <c r="F20" s="78">
        <v>88.0</v>
      </c>
      <c r="G20" s="78">
        <v>105.0</v>
      </c>
      <c r="H20" s="78">
        <v>120.0</v>
      </c>
      <c r="I20" s="78">
        <v>114.0</v>
      </c>
      <c r="J20" s="78">
        <v>112.0</v>
      </c>
      <c r="K20" s="78">
        <v>101.0</v>
      </c>
      <c r="L20" s="78">
        <v>116.0</v>
      </c>
      <c r="M20" s="78">
        <v>101.0</v>
      </c>
      <c r="N20" s="78">
        <v>94.0</v>
      </c>
      <c r="O20" s="78">
        <v>97.0</v>
      </c>
      <c r="P20" s="13">
        <f t="shared" si="3"/>
        <v>1133</v>
      </c>
    </row>
    <row r="21" ht="12.75" customHeight="1">
      <c r="A21" s="35"/>
      <c r="B21" s="28"/>
      <c r="C21" s="36"/>
      <c r="D21" s="13" t="s">
        <v>14</v>
      </c>
      <c r="E21" s="79">
        <f t="shared" ref="E21:O21" si="4">SUM(E19:E20)</f>
        <v>164</v>
      </c>
      <c r="F21" s="79">
        <f t="shared" si="4"/>
        <v>161</v>
      </c>
      <c r="G21" s="79">
        <f t="shared" si="4"/>
        <v>213</v>
      </c>
      <c r="H21" s="79">
        <f t="shared" si="4"/>
        <v>224</v>
      </c>
      <c r="I21" s="79">
        <f t="shared" si="4"/>
        <v>227</v>
      </c>
      <c r="J21" s="79">
        <f t="shared" si="4"/>
        <v>211</v>
      </c>
      <c r="K21" s="79">
        <f t="shared" si="4"/>
        <v>201</v>
      </c>
      <c r="L21" s="79">
        <f t="shared" si="4"/>
        <v>219</v>
      </c>
      <c r="M21" s="79">
        <f t="shared" si="4"/>
        <v>186</v>
      </c>
      <c r="N21" s="79">
        <f t="shared" si="4"/>
        <v>173</v>
      </c>
      <c r="O21" s="79">
        <f t="shared" si="4"/>
        <v>178</v>
      </c>
      <c r="P21" s="13">
        <f t="shared" si="3"/>
        <v>2157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8">
        <v>0.0</v>
      </c>
      <c r="F22" s="78">
        <v>2.0</v>
      </c>
      <c r="G22" s="78">
        <v>0.0</v>
      </c>
      <c r="H22" s="78">
        <v>2.0</v>
      </c>
      <c r="I22" s="78">
        <v>0.0</v>
      </c>
      <c r="J22" s="78">
        <v>0.0</v>
      </c>
      <c r="K22" s="78">
        <v>0.0</v>
      </c>
      <c r="L22" s="78">
        <v>0.0</v>
      </c>
      <c r="M22" s="78">
        <v>1.0</v>
      </c>
      <c r="N22" s="78">
        <v>0.0</v>
      </c>
      <c r="O22" s="78">
        <v>0.0</v>
      </c>
      <c r="P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8">
        <v>0.0</v>
      </c>
      <c r="F23" s="78">
        <v>0.0</v>
      </c>
      <c r="G23" s="78">
        <v>1.0</v>
      </c>
      <c r="H23" s="78">
        <v>1.0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79">
        <f>SUM(E22:E23)</f>
        <v>0</v>
      </c>
      <c r="F24" s="79">
        <v>2.0</v>
      </c>
      <c r="G24" s="79">
        <f t="shared" ref="G24:O24" si="5">SUM(G22:G23)</f>
        <v>1</v>
      </c>
      <c r="H24" s="79">
        <f t="shared" si="5"/>
        <v>3</v>
      </c>
      <c r="I24" s="79">
        <f t="shared" si="5"/>
        <v>0</v>
      </c>
      <c r="J24" s="79">
        <f t="shared" si="5"/>
        <v>0</v>
      </c>
      <c r="K24" s="79">
        <f t="shared" si="5"/>
        <v>0</v>
      </c>
      <c r="L24" s="79">
        <f t="shared" si="5"/>
        <v>0</v>
      </c>
      <c r="M24" s="79">
        <f t="shared" si="5"/>
        <v>1</v>
      </c>
      <c r="N24" s="79">
        <f t="shared" si="5"/>
        <v>0</v>
      </c>
      <c r="O24" s="79">
        <f t="shared" si="5"/>
        <v>1</v>
      </c>
      <c r="P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8">
        <v>0.0</v>
      </c>
      <c r="F25" s="78">
        <v>0.0</v>
      </c>
      <c r="G25" s="78">
        <v>0.0</v>
      </c>
      <c r="H25" s="78">
        <v>1.0</v>
      </c>
      <c r="I25" s="78">
        <v>0.0</v>
      </c>
      <c r="J25" s="78">
        <v>0.0</v>
      </c>
      <c r="K25" s="78">
        <v>1.0</v>
      </c>
      <c r="L25" s="78">
        <v>1.0</v>
      </c>
      <c r="M25" s="78">
        <v>0.0</v>
      </c>
      <c r="N25" s="78">
        <v>0.0</v>
      </c>
      <c r="O25" s="78">
        <v>0.0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78">
        <v>0.0</v>
      </c>
      <c r="F26" s="78">
        <v>0.0</v>
      </c>
      <c r="G26" s="78">
        <v>1.0</v>
      </c>
      <c r="H26" s="78">
        <v>1.0</v>
      </c>
      <c r="I26" s="78">
        <v>0.0</v>
      </c>
      <c r="J26" s="78">
        <v>0.0</v>
      </c>
      <c r="K26" s="78">
        <v>1.0</v>
      </c>
      <c r="L26" s="78">
        <v>2.0</v>
      </c>
      <c r="M26" s="78">
        <v>0.0</v>
      </c>
      <c r="N26" s="78">
        <v>1.0</v>
      </c>
      <c r="O26" s="78">
        <v>1.0</v>
      </c>
      <c r="P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79">
        <f t="shared" ref="E27:O27" si="6">SUM(E25:E26)</f>
        <v>0</v>
      </c>
      <c r="F27" s="79">
        <f t="shared" si="6"/>
        <v>0</v>
      </c>
      <c r="G27" s="79">
        <f t="shared" si="6"/>
        <v>1</v>
      </c>
      <c r="H27" s="79">
        <f t="shared" si="6"/>
        <v>2</v>
      </c>
      <c r="I27" s="79">
        <f t="shared" si="6"/>
        <v>0</v>
      </c>
      <c r="J27" s="79">
        <f t="shared" si="6"/>
        <v>0</v>
      </c>
      <c r="K27" s="79">
        <f t="shared" si="6"/>
        <v>2</v>
      </c>
      <c r="L27" s="79">
        <f t="shared" si="6"/>
        <v>3</v>
      </c>
      <c r="M27" s="79">
        <f t="shared" si="6"/>
        <v>0</v>
      </c>
      <c r="N27" s="79">
        <f t="shared" si="6"/>
        <v>1</v>
      </c>
      <c r="O27" s="79">
        <f t="shared" si="6"/>
        <v>1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9">
        <f t="shared" ref="E28:O28" si="7">SUM(E19,E22,E25)</f>
        <v>79</v>
      </c>
      <c r="F28" s="79">
        <f t="shared" si="7"/>
        <v>75</v>
      </c>
      <c r="G28" s="79">
        <f t="shared" si="7"/>
        <v>108</v>
      </c>
      <c r="H28" s="79">
        <f t="shared" si="7"/>
        <v>107</v>
      </c>
      <c r="I28" s="79">
        <f t="shared" si="7"/>
        <v>113</v>
      </c>
      <c r="J28" s="79">
        <f t="shared" si="7"/>
        <v>99</v>
      </c>
      <c r="K28" s="79">
        <f t="shared" si="7"/>
        <v>101</v>
      </c>
      <c r="L28" s="79">
        <f t="shared" si="7"/>
        <v>104</v>
      </c>
      <c r="M28" s="79">
        <f t="shared" si="7"/>
        <v>86</v>
      </c>
      <c r="N28" s="79">
        <f t="shared" si="7"/>
        <v>79</v>
      </c>
      <c r="O28" s="79">
        <f t="shared" si="7"/>
        <v>81</v>
      </c>
      <c r="P28" s="13">
        <f t="shared" si="3"/>
        <v>1032</v>
      </c>
    </row>
    <row r="29" ht="12.75" customHeight="1">
      <c r="A29" s="35"/>
      <c r="B29" s="27"/>
      <c r="C29" s="34"/>
      <c r="D29" s="13" t="s">
        <v>13</v>
      </c>
      <c r="E29" s="79">
        <f t="shared" ref="E29:O29" si="8">SUM(E20,E23,E26)</f>
        <v>85</v>
      </c>
      <c r="F29" s="79">
        <f t="shared" si="8"/>
        <v>88</v>
      </c>
      <c r="G29" s="79">
        <f t="shared" si="8"/>
        <v>107</v>
      </c>
      <c r="H29" s="79">
        <f t="shared" si="8"/>
        <v>122</v>
      </c>
      <c r="I29" s="79">
        <f t="shared" si="8"/>
        <v>114</v>
      </c>
      <c r="J29" s="79">
        <f t="shared" si="8"/>
        <v>112</v>
      </c>
      <c r="K29" s="79">
        <f t="shared" si="8"/>
        <v>102</v>
      </c>
      <c r="L29" s="79">
        <f t="shared" si="8"/>
        <v>118</v>
      </c>
      <c r="M29" s="79">
        <f t="shared" si="8"/>
        <v>101</v>
      </c>
      <c r="N29" s="79">
        <f t="shared" si="8"/>
        <v>95</v>
      </c>
      <c r="O29" s="79">
        <f t="shared" si="8"/>
        <v>99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81">
        <f t="shared" ref="E30:O30" si="9">SUM(E28:E29)</f>
        <v>164</v>
      </c>
      <c r="F30" s="81">
        <f t="shared" si="9"/>
        <v>163</v>
      </c>
      <c r="G30" s="81">
        <f t="shared" si="9"/>
        <v>215</v>
      </c>
      <c r="H30" s="81">
        <f t="shared" si="9"/>
        <v>229</v>
      </c>
      <c r="I30" s="81">
        <f t="shared" si="9"/>
        <v>227</v>
      </c>
      <c r="J30" s="81">
        <f t="shared" si="9"/>
        <v>211</v>
      </c>
      <c r="K30" s="81">
        <f t="shared" si="9"/>
        <v>203</v>
      </c>
      <c r="L30" s="81">
        <f t="shared" si="9"/>
        <v>222</v>
      </c>
      <c r="M30" s="81">
        <f t="shared" si="9"/>
        <v>187</v>
      </c>
      <c r="N30" s="81">
        <f t="shared" si="9"/>
        <v>174</v>
      </c>
      <c r="O30" s="81">
        <f t="shared" si="9"/>
        <v>180</v>
      </c>
      <c r="P30" s="13">
        <f t="shared" si="3"/>
        <v>2175</v>
      </c>
    </row>
    <row r="31" ht="12.75" customHeight="1">
      <c r="A31" s="24"/>
      <c r="B31" s="15"/>
      <c r="C31" s="15"/>
      <c r="D31" s="16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68"/>
    </row>
    <row r="32" ht="12.75" customHeight="1">
      <c r="A32" s="41" t="s">
        <v>25</v>
      </c>
      <c r="B32" s="14" t="s">
        <v>26</v>
      </c>
      <c r="C32" s="15"/>
      <c r="D32" s="16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68"/>
    </row>
    <row r="33" ht="12.75" customHeight="1">
      <c r="A33" s="19">
        <v>1.0</v>
      </c>
      <c r="B33" s="20" t="s">
        <v>27</v>
      </c>
      <c r="C33" s="15"/>
      <c r="D33" s="16"/>
      <c r="E33" s="78">
        <v>233.0</v>
      </c>
      <c r="F33" s="78">
        <v>237.0</v>
      </c>
      <c r="G33" s="78">
        <v>269.0</v>
      </c>
      <c r="H33" s="78">
        <v>292.0</v>
      </c>
      <c r="I33" s="78">
        <v>283.0</v>
      </c>
      <c r="J33" s="78">
        <v>275.0</v>
      </c>
      <c r="K33" s="78">
        <v>265.0</v>
      </c>
      <c r="L33" s="78">
        <v>266.0</v>
      </c>
      <c r="M33" s="78">
        <v>257.0</v>
      </c>
      <c r="N33" s="78">
        <v>258.0</v>
      </c>
      <c r="O33" s="78">
        <v>247.0</v>
      </c>
      <c r="P33" s="13">
        <f t="shared" ref="P33:P36" si="10">SUM(E33:O33)</f>
        <v>2882</v>
      </c>
    </row>
    <row r="34" ht="12.75" customHeight="1">
      <c r="A34" s="19">
        <v>2.0</v>
      </c>
      <c r="B34" s="20" t="s">
        <v>28</v>
      </c>
      <c r="C34" s="15"/>
      <c r="D34" s="16"/>
      <c r="E34" s="82">
        <v>164.0</v>
      </c>
      <c r="F34" s="82">
        <v>163.0</v>
      </c>
      <c r="G34" s="82">
        <v>215.0</v>
      </c>
      <c r="H34" s="82">
        <v>229.0</v>
      </c>
      <c r="I34" s="82">
        <v>227.0</v>
      </c>
      <c r="J34" s="82">
        <v>211.0</v>
      </c>
      <c r="K34" s="82">
        <v>203.0</v>
      </c>
      <c r="L34" s="82">
        <v>222.0</v>
      </c>
      <c r="M34" s="82">
        <v>187.0</v>
      </c>
      <c r="N34" s="82">
        <v>174.0</v>
      </c>
      <c r="O34" s="82">
        <v>180.0</v>
      </c>
      <c r="P34" s="13">
        <f t="shared" si="10"/>
        <v>2175</v>
      </c>
    </row>
    <row r="35" ht="12.75" customHeight="1">
      <c r="A35" s="19">
        <v>3.0</v>
      </c>
      <c r="B35" s="20" t="s">
        <v>29</v>
      </c>
      <c r="C35" s="15"/>
      <c r="D35" s="16"/>
      <c r="E35" s="78">
        <v>6.0</v>
      </c>
      <c r="F35" s="78">
        <v>1.0</v>
      </c>
      <c r="G35" s="78">
        <v>0.0</v>
      </c>
      <c r="H35" s="78">
        <v>5.0</v>
      </c>
      <c r="I35" s="78">
        <v>0.0</v>
      </c>
      <c r="J35" s="78">
        <v>19.0</v>
      </c>
      <c r="K35" s="78">
        <v>0.0</v>
      </c>
      <c r="L35" s="78">
        <v>0.0</v>
      </c>
      <c r="M35" s="78">
        <v>2.0</v>
      </c>
      <c r="N35" s="78">
        <v>2.0</v>
      </c>
      <c r="O35" s="78">
        <v>1.0</v>
      </c>
      <c r="P35" s="13">
        <f t="shared" si="10"/>
        <v>36</v>
      </c>
    </row>
    <row r="36" ht="12.75" customHeight="1">
      <c r="A36" s="19">
        <v>4.0</v>
      </c>
      <c r="B36" s="20" t="s">
        <v>30</v>
      </c>
      <c r="C36" s="15"/>
      <c r="D36" s="16"/>
      <c r="E36" s="79">
        <f t="shared" ref="E36:O36" si="11">E33-(E34+E35)</f>
        <v>63</v>
      </c>
      <c r="F36" s="79">
        <f t="shared" si="11"/>
        <v>73</v>
      </c>
      <c r="G36" s="79">
        <f t="shared" si="11"/>
        <v>54</v>
      </c>
      <c r="H36" s="79">
        <f t="shared" si="11"/>
        <v>58</v>
      </c>
      <c r="I36" s="79">
        <f t="shared" si="11"/>
        <v>56</v>
      </c>
      <c r="J36" s="79">
        <f t="shared" si="11"/>
        <v>45</v>
      </c>
      <c r="K36" s="79">
        <f t="shared" si="11"/>
        <v>62</v>
      </c>
      <c r="L36" s="79">
        <f t="shared" si="11"/>
        <v>44</v>
      </c>
      <c r="M36" s="79">
        <f t="shared" si="11"/>
        <v>68</v>
      </c>
      <c r="N36" s="79">
        <f t="shared" si="11"/>
        <v>82</v>
      </c>
      <c r="O36" s="79">
        <f t="shared" si="11"/>
        <v>66</v>
      </c>
      <c r="P36" s="13">
        <f t="shared" si="10"/>
        <v>671</v>
      </c>
    </row>
    <row r="37" ht="12.75" customHeight="1">
      <c r="A37" s="24"/>
      <c r="B37" s="15"/>
      <c r="C37" s="15"/>
      <c r="D37" s="15"/>
      <c r="E37" s="83"/>
      <c r="F37" s="15"/>
      <c r="G37" s="15"/>
      <c r="H37" s="15"/>
      <c r="I37" s="16"/>
      <c r="J37" s="80"/>
      <c r="K37" s="80"/>
      <c r="L37" s="80"/>
      <c r="M37" s="80"/>
      <c r="N37" s="80"/>
      <c r="O37" s="83"/>
      <c r="P37" s="68"/>
    </row>
    <row r="38" ht="12.75" customHeight="1">
      <c r="A38" s="42" t="s">
        <v>31</v>
      </c>
      <c r="B38" s="14" t="s">
        <v>32</v>
      </c>
      <c r="C38" s="15"/>
      <c r="D38" s="16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68"/>
    </row>
    <row r="39" ht="12.75" customHeight="1">
      <c r="A39" s="30"/>
      <c r="B39" s="43" t="s">
        <v>33</v>
      </c>
      <c r="C39" s="23"/>
      <c r="D39" s="19" t="s">
        <v>12</v>
      </c>
      <c r="E39" s="78">
        <v>0.0</v>
      </c>
      <c r="F39" s="78">
        <v>1.0</v>
      </c>
      <c r="G39" s="78">
        <v>1.0</v>
      </c>
      <c r="H39" s="78">
        <v>3.0</v>
      </c>
      <c r="I39" s="78">
        <v>0.0</v>
      </c>
      <c r="J39" s="78">
        <v>0.0</v>
      </c>
      <c r="K39" s="78">
        <v>1.0</v>
      </c>
      <c r="L39" s="78">
        <v>1.0</v>
      </c>
      <c r="M39" s="78">
        <v>0.0</v>
      </c>
      <c r="N39" s="78">
        <v>0.0</v>
      </c>
      <c r="O39" s="78">
        <v>0.0</v>
      </c>
      <c r="P39" s="13">
        <f t="shared" ref="P39:P41" si="12">SUM(E39:O39)</f>
        <v>7</v>
      </c>
    </row>
    <row r="40" ht="12.75" customHeight="1">
      <c r="A40" s="33"/>
      <c r="C40" s="27"/>
      <c r="D40" s="19" t="s">
        <v>13</v>
      </c>
      <c r="E40" s="78">
        <v>1.0</v>
      </c>
      <c r="F40" s="78">
        <v>1.0</v>
      </c>
      <c r="G40" s="78">
        <v>0.0</v>
      </c>
      <c r="H40" s="78">
        <v>1.0</v>
      </c>
      <c r="I40" s="78">
        <v>0.0</v>
      </c>
      <c r="J40" s="78">
        <v>0.0</v>
      </c>
      <c r="K40" s="78">
        <v>1.0</v>
      </c>
      <c r="L40" s="78">
        <v>1.0</v>
      </c>
      <c r="M40" s="78">
        <v>0.0</v>
      </c>
      <c r="N40" s="78">
        <v>0.0</v>
      </c>
      <c r="O40" s="78">
        <v>0.0</v>
      </c>
      <c r="P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1</v>
      </c>
      <c r="F41" s="13">
        <f t="shared" si="13"/>
        <v>2</v>
      </c>
      <c r="G41" s="13">
        <f t="shared" si="13"/>
        <v>1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10.0</v>
      </c>
      <c r="G45" s="19">
        <v>10.0</v>
      </c>
      <c r="H45" s="19">
        <v>8.0</v>
      </c>
      <c r="I45" s="19">
        <v>6.0</v>
      </c>
      <c r="J45" s="19">
        <v>5.0</v>
      </c>
      <c r="K45" s="19">
        <v>4.0</v>
      </c>
      <c r="L45" s="19">
        <v>15.0</v>
      </c>
      <c r="M45" s="19">
        <v>3.0</v>
      </c>
      <c r="N45" s="19">
        <v>2.0</v>
      </c>
      <c r="O45" s="19">
        <v>1.0</v>
      </c>
      <c r="P45" s="13">
        <f t="shared" ref="P45:P52" si="14">SUM(E45:O45)</f>
        <v>71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51.0</v>
      </c>
      <c r="F46" s="19">
        <v>40.0</v>
      </c>
      <c r="G46" s="19">
        <v>30.0</v>
      </c>
      <c r="H46" s="19">
        <v>8.0</v>
      </c>
      <c r="I46" s="19">
        <v>17.0</v>
      </c>
      <c r="J46" s="19">
        <v>3.0</v>
      </c>
      <c r="K46" s="19">
        <v>13.0</v>
      </c>
      <c r="L46" s="19">
        <v>36.0</v>
      </c>
      <c r="M46" s="19">
        <v>4.0</v>
      </c>
      <c r="N46" s="19">
        <v>4.0</v>
      </c>
      <c r="O46" s="19">
        <v>3.0</v>
      </c>
      <c r="P46" s="13">
        <f t="shared" si="14"/>
        <v>209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7.0</v>
      </c>
      <c r="G47" s="19">
        <v>1.0</v>
      </c>
      <c r="H47" s="19">
        <v>2.0</v>
      </c>
      <c r="I47" s="19">
        <v>1.0</v>
      </c>
      <c r="J47" s="19">
        <v>0.0</v>
      </c>
      <c r="K47" s="19">
        <v>1.0</v>
      </c>
      <c r="L47" s="19">
        <v>1.0</v>
      </c>
      <c r="M47" s="19">
        <v>0.0</v>
      </c>
      <c r="N47" s="19">
        <v>0.0</v>
      </c>
      <c r="O47" s="19">
        <v>0.0</v>
      </c>
      <c r="P47" s="13">
        <f t="shared" si="14"/>
        <v>13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1.0</v>
      </c>
      <c r="J48" s="19">
        <v>0.0</v>
      </c>
      <c r="K48" s="19">
        <v>0.0</v>
      </c>
      <c r="L48" s="19">
        <v>2.0</v>
      </c>
      <c r="M48" s="19">
        <v>1.0</v>
      </c>
      <c r="N48" s="19">
        <v>0.0</v>
      </c>
      <c r="O48" s="19">
        <v>0.0</v>
      </c>
      <c r="P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1.0</v>
      </c>
      <c r="M49" s="19">
        <v>2.0</v>
      </c>
      <c r="N49" s="19">
        <v>0.0</v>
      </c>
      <c r="O49" s="19">
        <v>1.0</v>
      </c>
      <c r="P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3">
        <f t="shared" si="14"/>
        <v>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1.0</v>
      </c>
      <c r="N51" s="19">
        <v>0.0</v>
      </c>
      <c r="O51" s="19">
        <v>0.0</v>
      </c>
      <c r="P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3">
        <f t="shared" si="14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O55" si="15">SUM(E45:E52)</f>
        <v>59</v>
      </c>
      <c r="F55" s="13">
        <f t="shared" si="15"/>
        <v>58</v>
      </c>
      <c r="G55" s="13">
        <f t="shared" si="15"/>
        <v>41</v>
      </c>
      <c r="H55" s="13">
        <f t="shared" si="15"/>
        <v>19</v>
      </c>
      <c r="I55" s="13">
        <f t="shared" si="15"/>
        <v>25</v>
      </c>
      <c r="J55" s="13">
        <f t="shared" si="15"/>
        <v>8</v>
      </c>
      <c r="K55" s="13">
        <f t="shared" si="15"/>
        <v>18</v>
      </c>
      <c r="L55" s="13">
        <f t="shared" si="15"/>
        <v>56</v>
      </c>
      <c r="M55" s="13">
        <f t="shared" si="15"/>
        <v>12</v>
      </c>
      <c r="N55" s="13">
        <f t="shared" si="15"/>
        <v>6</v>
      </c>
      <c r="O55" s="13">
        <f t="shared" si="15"/>
        <v>5</v>
      </c>
      <c r="P55" s="13">
        <f>SUM(E55:O55)</f>
        <v>307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2.0</v>
      </c>
      <c r="G57" s="19">
        <v>6.0</v>
      </c>
      <c r="H57" s="19">
        <v>5.0</v>
      </c>
      <c r="I57" s="19">
        <v>4.0</v>
      </c>
      <c r="J57" s="19">
        <v>11.0</v>
      </c>
      <c r="K57" s="19">
        <v>14.0</v>
      </c>
      <c r="L57" s="19">
        <v>7.0</v>
      </c>
      <c r="M57" s="19">
        <v>9.0</v>
      </c>
      <c r="N57" s="19">
        <v>17.0</v>
      </c>
      <c r="O57" s="19">
        <v>15.0</v>
      </c>
      <c r="P57" s="13">
        <f t="shared" ref="P57:P64" si="16">SUM(E57:O57)</f>
        <v>94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3.0</v>
      </c>
      <c r="F58" s="19">
        <v>6.0</v>
      </c>
      <c r="G58" s="19">
        <v>6.0</v>
      </c>
      <c r="H58" s="19">
        <v>7.0</v>
      </c>
      <c r="I58" s="19">
        <v>10.0</v>
      </c>
      <c r="J58" s="19">
        <v>9.0</v>
      </c>
      <c r="K58" s="19">
        <v>10.0</v>
      </c>
      <c r="L58" s="19">
        <v>19.0</v>
      </c>
      <c r="M58" s="19">
        <v>19.0</v>
      </c>
      <c r="N58" s="19">
        <v>30.0</v>
      </c>
      <c r="O58" s="19">
        <v>25.0</v>
      </c>
      <c r="P58" s="13">
        <f t="shared" si="16"/>
        <v>144</v>
      </c>
    </row>
    <row r="59" ht="12.75" customHeight="1">
      <c r="A59" s="18"/>
      <c r="B59" s="55">
        <v>2.0</v>
      </c>
      <c r="C59" s="50" t="s">
        <v>50</v>
      </c>
      <c r="D59" s="56"/>
      <c r="E59" s="19">
        <v>0.0</v>
      </c>
      <c r="F59" s="19">
        <v>2.0</v>
      </c>
      <c r="G59" s="19">
        <v>3.0</v>
      </c>
      <c r="H59" s="19">
        <v>3.0</v>
      </c>
      <c r="I59" s="19">
        <v>0.0</v>
      </c>
      <c r="J59" s="19">
        <v>3.0</v>
      </c>
      <c r="K59" s="19">
        <v>3.0</v>
      </c>
      <c r="L59" s="19">
        <v>2.0</v>
      </c>
      <c r="M59" s="19">
        <v>2.0</v>
      </c>
      <c r="N59" s="19">
        <v>1.0</v>
      </c>
      <c r="O59" s="19">
        <v>6.0</v>
      </c>
      <c r="P59" s="13">
        <f t="shared" si="16"/>
        <v>25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1.0</v>
      </c>
      <c r="I60" s="19">
        <v>0.0</v>
      </c>
      <c r="J60" s="19">
        <v>0.0</v>
      </c>
      <c r="K60" s="19">
        <v>2.0</v>
      </c>
      <c r="L60" s="19">
        <v>2.0</v>
      </c>
      <c r="M60" s="19">
        <v>2.0</v>
      </c>
      <c r="N60" s="19">
        <v>0.0</v>
      </c>
      <c r="O60" s="19">
        <v>0.0</v>
      </c>
      <c r="P60" s="13">
        <f t="shared" si="16"/>
        <v>7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0.0</v>
      </c>
      <c r="H61" s="19">
        <v>1.0</v>
      </c>
      <c r="I61" s="19">
        <v>1.0</v>
      </c>
      <c r="J61" s="19">
        <v>1.0</v>
      </c>
      <c r="K61" s="19">
        <v>2.0</v>
      </c>
      <c r="L61" s="19">
        <v>0.0</v>
      </c>
      <c r="M61" s="19">
        <v>3.0</v>
      </c>
      <c r="N61" s="19">
        <v>0.0</v>
      </c>
      <c r="O61" s="19">
        <v>0.0</v>
      </c>
      <c r="P61" s="13">
        <f t="shared" si="16"/>
        <v>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1.0</v>
      </c>
      <c r="H63" s="19">
        <v>1.0</v>
      </c>
      <c r="I63" s="19">
        <v>1.0</v>
      </c>
      <c r="J63" s="19">
        <v>1.0</v>
      </c>
      <c r="K63" s="19">
        <v>1.0</v>
      </c>
      <c r="L63" s="19">
        <v>1.0</v>
      </c>
      <c r="M63" s="19">
        <v>0.0</v>
      </c>
      <c r="N63" s="19">
        <v>1.0</v>
      </c>
      <c r="O63" s="19">
        <v>1.0</v>
      </c>
      <c r="P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3">
        <f t="shared" si="16"/>
        <v>0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O67" si="17">SUM(E57:E64)</f>
        <v>8</v>
      </c>
      <c r="F67" s="13">
        <f t="shared" si="17"/>
        <v>10</v>
      </c>
      <c r="G67" s="13">
        <f t="shared" si="17"/>
        <v>16</v>
      </c>
      <c r="H67" s="13">
        <f t="shared" si="17"/>
        <v>18</v>
      </c>
      <c r="I67" s="13">
        <f t="shared" si="17"/>
        <v>16</v>
      </c>
      <c r="J67" s="13">
        <f t="shared" si="17"/>
        <v>25</v>
      </c>
      <c r="K67" s="13">
        <f t="shared" si="17"/>
        <v>32</v>
      </c>
      <c r="L67" s="13">
        <f t="shared" si="17"/>
        <v>32</v>
      </c>
      <c r="M67" s="13">
        <f t="shared" si="17"/>
        <v>35</v>
      </c>
      <c r="N67" s="13">
        <f t="shared" si="17"/>
        <v>49</v>
      </c>
      <c r="O67" s="13">
        <f t="shared" si="17"/>
        <v>47</v>
      </c>
      <c r="P67" s="13">
        <f>SUM(E67:O67)</f>
        <v>288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3">
        <f t="shared" ref="P69:P76" si="18">SUM(E69:O69)</f>
        <v>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3">
        <f t="shared" si="18"/>
        <v>0</v>
      </c>
    </row>
    <row r="71" ht="12.75" customHeight="1">
      <c r="A71" s="18"/>
      <c r="B71" s="55">
        <v>2.0</v>
      </c>
      <c r="C71" s="50" t="s">
        <v>58</v>
      </c>
      <c r="D71" s="57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3">
        <f t="shared" si="18"/>
        <v>0</v>
      </c>
    </row>
    <row r="72" ht="12.75" customHeight="1">
      <c r="A72" s="18"/>
      <c r="B72" s="55">
        <v>3.0</v>
      </c>
      <c r="C72" s="50" t="s">
        <v>59</v>
      </c>
      <c r="D72" s="57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3">
        <f t="shared" si="18"/>
        <v>0</v>
      </c>
    </row>
    <row r="73" ht="12.75" customHeight="1">
      <c r="A73" s="18"/>
      <c r="B73" s="55">
        <v>4.0</v>
      </c>
      <c r="C73" s="50" t="s">
        <v>60</v>
      </c>
      <c r="D73" s="57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3">
        <f t="shared" si="18"/>
        <v>0</v>
      </c>
    </row>
    <row r="74" ht="12.75" customHeight="1">
      <c r="A74" s="18"/>
      <c r="B74" s="55">
        <v>5.0</v>
      </c>
      <c r="C74" s="50" t="s">
        <v>61</v>
      </c>
      <c r="D74" s="57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3">
        <f t="shared" si="18"/>
        <v>0</v>
      </c>
    </row>
    <row r="75" ht="12.75" customHeight="1">
      <c r="A75" s="18"/>
      <c r="B75" s="55">
        <v>6.0</v>
      </c>
      <c r="C75" s="50" t="s">
        <v>62</v>
      </c>
      <c r="D75" s="57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57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3">
        <f t="shared" si="18"/>
        <v>0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O79" si="19">SUM(E69:E76)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>SUM(E79:O79)</f>
        <v>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6.0</v>
      </c>
      <c r="G81" s="19">
        <v>4.0</v>
      </c>
      <c r="H81" s="19">
        <v>10.0</v>
      </c>
      <c r="I81" s="19">
        <v>3.0</v>
      </c>
      <c r="J81" s="19">
        <v>10.0</v>
      </c>
      <c r="K81" s="19">
        <v>3.0</v>
      </c>
      <c r="L81" s="19">
        <v>5.0</v>
      </c>
      <c r="M81" s="19">
        <v>6.0</v>
      </c>
      <c r="N81" s="19">
        <v>6.0</v>
      </c>
      <c r="O81" s="19">
        <v>3.0</v>
      </c>
      <c r="P81" s="13">
        <f t="shared" ref="P81:P88" si="20">SUM(E81:O81)</f>
        <v>58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1.0</v>
      </c>
      <c r="F82" s="19">
        <v>6.0</v>
      </c>
      <c r="G82" s="19">
        <v>35.0</v>
      </c>
      <c r="H82" s="19">
        <v>36.0</v>
      </c>
      <c r="I82" s="19">
        <v>26.0</v>
      </c>
      <c r="J82" s="19">
        <v>33.0</v>
      </c>
      <c r="K82" s="19">
        <v>12.0</v>
      </c>
      <c r="L82" s="19">
        <v>0.0</v>
      </c>
      <c r="M82" s="19">
        <v>15.0</v>
      </c>
      <c r="N82" s="19">
        <v>9.0</v>
      </c>
      <c r="O82" s="19">
        <v>22.0</v>
      </c>
      <c r="P82" s="13">
        <f t="shared" si="20"/>
        <v>195</v>
      </c>
    </row>
    <row r="83" ht="12.75" customHeight="1">
      <c r="A83" s="18"/>
      <c r="B83" s="55">
        <v>2.0</v>
      </c>
      <c r="C83" s="50" t="s">
        <v>66</v>
      </c>
      <c r="D83" s="57"/>
      <c r="E83" s="19">
        <v>21.0</v>
      </c>
      <c r="F83" s="19">
        <v>14.0</v>
      </c>
      <c r="G83" s="19">
        <v>5.0</v>
      </c>
      <c r="H83" s="19">
        <v>11.0</v>
      </c>
      <c r="I83" s="19">
        <v>19.0</v>
      </c>
      <c r="J83" s="19">
        <v>29.0</v>
      </c>
      <c r="K83" s="19">
        <v>9.0</v>
      </c>
      <c r="L83" s="19">
        <v>21.0</v>
      </c>
      <c r="M83" s="19">
        <v>4.0</v>
      </c>
      <c r="N83" s="19">
        <v>5.0</v>
      </c>
      <c r="O83" s="19">
        <v>4.0</v>
      </c>
      <c r="P83" s="13">
        <f t="shared" si="20"/>
        <v>142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1.0</v>
      </c>
      <c r="G84" s="19">
        <v>1.0</v>
      </c>
      <c r="H84" s="19">
        <v>0.0</v>
      </c>
      <c r="I84" s="19">
        <v>0.0</v>
      </c>
      <c r="J84" s="19">
        <v>2.0</v>
      </c>
      <c r="K84" s="19">
        <v>0.0</v>
      </c>
      <c r="L84" s="19">
        <v>0.0</v>
      </c>
      <c r="M84" s="19">
        <v>0.0</v>
      </c>
      <c r="N84" s="19">
        <v>2.0</v>
      </c>
      <c r="O84" s="19">
        <v>0.0</v>
      </c>
      <c r="P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1.0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3">
        <f t="shared" si="20"/>
        <v>2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2.0</v>
      </c>
      <c r="H86" s="19">
        <v>6.0</v>
      </c>
      <c r="I86" s="19">
        <v>0.0</v>
      </c>
      <c r="J86" s="19">
        <v>3.0</v>
      </c>
      <c r="K86" s="19">
        <v>0.0</v>
      </c>
      <c r="L86" s="19">
        <v>2.0</v>
      </c>
      <c r="M86" s="19">
        <v>2.0</v>
      </c>
      <c r="N86" s="19">
        <v>4.0</v>
      </c>
      <c r="O86" s="19">
        <v>0.0</v>
      </c>
      <c r="P86" s="13">
        <f t="shared" si="20"/>
        <v>19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4.0</v>
      </c>
      <c r="J87" s="19">
        <v>1.0</v>
      </c>
      <c r="K87" s="19">
        <v>0.0</v>
      </c>
      <c r="L87" s="19">
        <v>2.0</v>
      </c>
      <c r="M87" s="19">
        <v>0.0</v>
      </c>
      <c r="N87" s="19">
        <v>1.0</v>
      </c>
      <c r="O87" s="19">
        <v>0.0</v>
      </c>
      <c r="P87" s="13">
        <f t="shared" si="20"/>
        <v>8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2.0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3">
        <f t="shared" si="20"/>
        <v>4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O91" si="21">SUM(E81:E88)</f>
        <v>27</v>
      </c>
      <c r="F91" s="13">
        <f t="shared" si="21"/>
        <v>29</v>
      </c>
      <c r="G91" s="13">
        <f t="shared" si="21"/>
        <v>47</v>
      </c>
      <c r="H91" s="13">
        <f t="shared" si="21"/>
        <v>63</v>
      </c>
      <c r="I91" s="13">
        <f t="shared" si="21"/>
        <v>52</v>
      </c>
      <c r="J91" s="13">
        <f t="shared" si="21"/>
        <v>79</v>
      </c>
      <c r="K91" s="13">
        <f t="shared" si="21"/>
        <v>25</v>
      </c>
      <c r="L91" s="13">
        <f t="shared" si="21"/>
        <v>31</v>
      </c>
      <c r="M91" s="13">
        <f t="shared" si="21"/>
        <v>27</v>
      </c>
      <c r="N91" s="13">
        <f t="shared" si="21"/>
        <v>27</v>
      </c>
      <c r="O91" s="13">
        <f t="shared" si="21"/>
        <v>29</v>
      </c>
      <c r="P91" s="13">
        <f>SUM(E91:O91)</f>
        <v>436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0.0</v>
      </c>
      <c r="G93" s="19">
        <v>0.0</v>
      </c>
      <c r="H93" s="19">
        <v>2.0</v>
      </c>
      <c r="I93" s="19">
        <v>2.0</v>
      </c>
      <c r="J93" s="19">
        <v>0.0</v>
      </c>
      <c r="K93" s="19">
        <v>0.0</v>
      </c>
      <c r="L93" s="19">
        <v>0.0</v>
      </c>
      <c r="M93" s="19">
        <v>4.0</v>
      </c>
      <c r="N93" s="19">
        <v>2.0</v>
      </c>
      <c r="O93" s="19">
        <v>2.0</v>
      </c>
      <c r="P93" s="13">
        <f t="shared" ref="P93:P100" si="22">SUM(E93:O93)</f>
        <v>15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0.0</v>
      </c>
      <c r="G94" s="19">
        <v>4.0</v>
      </c>
      <c r="H94" s="19">
        <v>0.0</v>
      </c>
      <c r="I94" s="19">
        <v>0.0</v>
      </c>
      <c r="J94" s="19">
        <v>1.0</v>
      </c>
      <c r="K94" s="19">
        <v>1.0</v>
      </c>
      <c r="L94" s="19">
        <v>1.0</v>
      </c>
      <c r="M94" s="19">
        <v>1.0</v>
      </c>
      <c r="N94" s="19">
        <v>0.0</v>
      </c>
      <c r="O94" s="19">
        <v>0.0</v>
      </c>
      <c r="P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0.0</v>
      </c>
      <c r="M95" s="19">
        <v>2.0</v>
      </c>
      <c r="N95" s="19">
        <v>3.0</v>
      </c>
      <c r="O95" s="19">
        <v>4.0</v>
      </c>
      <c r="P95" s="13">
        <f t="shared" si="22"/>
        <v>12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1.0</v>
      </c>
      <c r="K96" s="19">
        <v>0.0</v>
      </c>
      <c r="L96" s="19">
        <v>0.0</v>
      </c>
      <c r="M96" s="19">
        <v>1.0</v>
      </c>
      <c r="N96" s="19">
        <v>1.0</v>
      </c>
      <c r="O96" s="19">
        <v>0.0</v>
      </c>
      <c r="P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2.0</v>
      </c>
      <c r="H97" s="19">
        <v>0.0</v>
      </c>
      <c r="I97" s="19">
        <v>0.0</v>
      </c>
      <c r="J97" s="19">
        <v>1.0</v>
      </c>
      <c r="K97" s="19">
        <v>1.0</v>
      </c>
      <c r="L97" s="19">
        <v>0.0</v>
      </c>
      <c r="M97" s="19">
        <v>1.0</v>
      </c>
      <c r="N97" s="19">
        <v>1.0</v>
      </c>
      <c r="O97" s="19">
        <v>3.0</v>
      </c>
      <c r="P97" s="13">
        <f t="shared" si="22"/>
        <v>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3.0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O103" si="23">SUM(E93:E100)</f>
        <v>5</v>
      </c>
      <c r="F103" s="13">
        <f t="shared" si="23"/>
        <v>0</v>
      </c>
      <c r="G103" s="13">
        <f t="shared" si="23"/>
        <v>6</v>
      </c>
      <c r="H103" s="13">
        <f t="shared" si="23"/>
        <v>3</v>
      </c>
      <c r="I103" s="13">
        <f t="shared" si="23"/>
        <v>5</v>
      </c>
      <c r="J103" s="13">
        <f t="shared" si="23"/>
        <v>4</v>
      </c>
      <c r="K103" s="13">
        <f t="shared" si="23"/>
        <v>3</v>
      </c>
      <c r="L103" s="13">
        <f t="shared" si="23"/>
        <v>1</v>
      </c>
      <c r="M103" s="13">
        <f t="shared" si="23"/>
        <v>9</v>
      </c>
      <c r="N103" s="13">
        <f t="shared" si="23"/>
        <v>8</v>
      </c>
      <c r="O103" s="13">
        <f t="shared" si="23"/>
        <v>9</v>
      </c>
      <c r="P103" s="13">
        <f>SUM(E103:O103)</f>
        <v>53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2.0</v>
      </c>
      <c r="G105" s="19">
        <v>0.0</v>
      </c>
      <c r="H105" s="19">
        <v>2.0</v>
      </c>
      <c r="I105" s="19">
        <v>0.0</v>
      </c>
      <c r="J105" s="19">
        <v>3.0</v>
      </c>
      <c r="K105" s="19">
        <v>1.0</v>
      </c>
      <c r="L105" s="19">
        <v>4.0</v>
      </c>
      <c r="M105" s="19">
        <v>1.0</v>
      </c>
      <c r="N105" s="19">
        <v>0.0</v>
      </c>
      <c r="O105" s="19">
        <v>2.0</v>
      </c>
      <c r="P105" s="13">
        <f t="shared" ref="P105:P112" si="24">SUM(E105:O105)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2.0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>
        <v>0.0</v>
      </c>
      <c r="N111" s="19">
        <v>0.0</v>
      </c>
      <c r="O111" s="19">
        <v>0.0</v>
      </c>
      <c r="P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O115" si="25">SUM(E105:E112)</f>
        <v>2</v>
      </c>
      <c r="F115" s="13">
        <f t="shared" si="25"/>
        <v>3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3</v>
      </c>
      <c r="K115" s="13">
        <f t="shared" si="25"/>
        <v>1</v>
      </c>
      <c r="L115" s="13">
        <f t="shared" si="25"/>
        <v>5</v>
      </c>
      <c r="M115" s="13">
        <f t="shared" si="25"/>
        <v>1</v>
      </c>
      <c r="N115" s="13">
        <f t="shared" si="25"/>
        <v>0</v>
      </c>
      <c r="O115" s="13">
        <f t="shared" si="25"/>
        <v>2</v>
      </c>
      <c r="P115" s="13">
        <f>SUM(E115:O115)</f>
        <v>19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2.0</v>
      </c>
      <c r="H117" s="19">
        <v>1.0</v>
      </c>
      <c r="I117" s="19">
        <v>1.0</v>
      </c>
      <c r="J117" s="19">
        <v>0.0</v>
      </c>
      <c r="K117" s="19">
        <v>0.0</v>
      </c>
      <c r="L117" s="19">
        <v>1.0</v>
      </c>
      <c r="M117" s="19">
        <v>2.0</v>
      </c>
      <c r="N117" s="19">
        <v>0.0</v>
      </c>
      <c r="O117" s="19">
        <v>0.0</v>
      </c>
      <c r="P117" s="13">
        <f t="shared" ref="P117:P120" si="26">SUM(E117:O117)</f>
        <v>8</v>
      </c>
      <c r="Q117" s="5"/>
      <c r="R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3">
        <f t="shared" si="26"/>
        <v>2</v>
      </c>
      <c r="Q118" s="5"/>
      <c r="R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3">
        <f t="shared" si="26"/>
        <v>1</v>
      </c>
      <c r="Q119" s="5"/>
      <c r="R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3">
        <f t="shared" si="26"/>
        <v>0</v>
      </c>
      <c r="Q120" s="5"/>
      <c r="R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74"/>
      <c r="Q121" s="5"/>
      <c r="R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74"/>
      <c r="Q122" s="5"/>
      <c r="R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74"/>
      <c r="Q123" s="5"/>
      <c r="R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74"/>
      <c r="Q124" s="5"/>
      <c r="R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74"/>
      <c r="Q125" s="5"/>
      <c r="R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74"/>
      <c r="Q126" s="5"/>
      <c r="R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O127" si="27">SUM(E117:E120)</f>
        <v>0</v>
      </c>
      <c r="F127" s="58">
        <f t="shared" si="27"/>
        <v>1</v>
      </c>
      <c r="G127" s="58">
        <f t="shared" si="27"/>
        <v>3</v>
      </c>
      <c r="H127" s="58">
        <f t="shared" si="27"/>
        <v>1</v>
      </c>
      <c r="I127" s="58">
        <f t="shared" si="27"/>
        <v>2</v>
      </c>
      <c r="J127" s="58">
        <f t="shared" si="27"/>
        <v>0</v>
      </c>
      <c r="K127" s="58">
        <f t="shared" si="27"/>
        <v>0</v>
      </c>
      <c r="L127" s="58">
        <f t="shared" si="27"/>
        <v>1</v>
      </c>
      <c r="M127" s="58">
        <f t="shared" si="27"/>
        <v>2</v>
      </c>
      <c r="N127" s="58">
        <f t="shared" si="27"/>
        <v>0</v>
      </c>
      <c r="O127" s="58">
        <f t="shared" si="27"/>
        <v>1</v>
      </c>
      <c r="P127" s="13">
        <f>SUM(E127:O127)</f>
        <v>11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5"/>
      <c r="R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3.0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3">
        <f t="shared" ref="P129:P136" si="28">SUM(E129:O129)</f>
        <v>3</v>
      </c>
      <c r="Q129" s="5"/>
      <c r="R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1.0</v>
      </c>
      <c r="G130" s="19">
        <v>2.0</v>
      </c>
      <c r="H130" s="19">
        <v>3.0</v>
      </c>
      <c r="I130" s="19">
        <v>1.0</v>
      </c>
      <c r="J130" s="19">
        <v>0.0</v>
      </c>
      <c r="K130" s="19">
        <v>0.0</v>
      </c>
      <c r="L130" s="19">
        <v>0.0</v>
      </c>
      <c r="M130" s="19">
        <v>0.0</v>
      </c>
      <c r="N130" s="19">
        <v>3.0</v>
      </c>
      <c r="O130" s="19">
        <v>4.0</v>
      </c>
      <c r="P130" s="13">
        <f t="shared" si="28"/>
        <v>14</v>
      </c>
      <c r="Q130" s="1"/>
      <c r="R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3">
        <f t="shared" si="28"/>
        <v>0</v>
      </c>
      <c r="Q131" s="52"/>
      <c r="R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3">
        <f t="shared" si="28"/>
        <v>0</v>
      </c>
      <c r="Q132" s="5"/>
      <c r="R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f t="shared" si="28"/>
        <v>0</v>
      </c>
      <c r="Q133" s="5"/>
      <c r="R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3">
        <f t="shared" si="28"/>
        <v>0</v>
      </c>
      <c r="Q134" s="5"/>
      <c r="R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3">
        <f t="shared" si="28"/>
        <v>0</v>
      </c>
      <c r="Q135" s="5"/>
      <c r="R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f t="shared" si="28"/>
        <v>0</v>
      </c>
      <c r="Q136" s="5"/>
      <c r="R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74"/>
      <c r="Q137" s="5"/>
      <c r="R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74"/>
      <c r="Q138" s="5"/>
      <c r="R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O139" si="29">SUM(E129:E136)</f>
        <v>0</v>
      </c>
      <c r="F139" s="13">
        <f t="shared" si="29"/>
        <v>1</v>
      </c>
      <c r="G139" s="13">
        <f t="shared" si="29"/>
        <v>5</v>
      </c>
      <c r="H139" s="13">
        <f t="shared" si="29"/>
        <v>3</v>
      </c>
      <c r="I139" s="13">
        <f t="shared" si="29"/>
        <v>1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3</v>
      </c>
      <c r="O139" s="13">
        <f t="shared" si="29"/>
        <v>4</v>
      </c>
      <c r="P139" s="13">
        <f>SUM(E139:O139)</f>
        <v>17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5"/>
      <c r="R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3">
        <f t="shared" ref="P141:P148" si="30">SUM(E141:O141)</f>
        <v>0</v>
      </c>
      <c r="Q141" s="1"/>
      <c r="R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30"/>
        <v>0</v>
      </c>
      <c r="Q142" s="52"/>
      <c r="R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3">
        <f t="shared" si="30"/>
        <v>0</v>
      </c>
      <c r="Q143" s="5"/>
      <c r="R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30"/>
        <v>0</v>
      </c>
      <c r="Q144" s="5"/>
      <c r="R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3">
        <f t="shared" si="30"/>
        <v>0</v>
      </c>
      <c r="Q145" s="5"/>
      <c r="R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3">
        <f t="shared" si="30"/>
        <v>0</v>
      </c>
      <c r="Q146" s="5"/>
      <c r="R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3">
        <f t="shared" si="30"/>
        <v>0</v>
      </c>
      <c r="Q147" s="5"/>
      <c r="R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3">
        <f t="shared" si="30"/>
        <v>0</v>
      </c>
      <c r="Q148" s="5"/>
      <c r="R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74"/>
      <c r="Q149" s="5"/>
      <c r="R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74"/>
      <c r="Q150" s="5"/>
      <c r="R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O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>SUM(E151:O151)</f>
        <v>0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13"/>
      <c r="Q152" s="52"/>
      <c r="R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1.0</v>
      </c>
      <c r="N153" s="19">
        <v>1.0</v>
      </c>
      <c r="O153" s="19">
        <v>0.0</v>
      </c>
      <c r="P153" s="13">
        <v>3.0</v>
      </c>
      <c r="Q153" s="5"/>
      <c r="R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3">
        <v>1.0</v>
      </c>
      <c r="Q154" s="5"/>
      <c r="R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3">
        <f t="shared" ref="P155:P156" si="32">SUM(E156:O156)</f>
        <v>0</v>
      </c>
      <c r="Q155" s="5"/>
      <c r="R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3">
        <f t="shared" si="32"/>
        <v>0</v>
      </c>
      <c r="Q156" s="5"/>
      <c r="R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3">
        <v>0.0</v>
      </c>
      <c r="Q157" s="5"/>
      <c r="R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74"/>
      <c r="Q158" s="5"/>
      <c r="R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74"/>
      <c r="Q159" s="5"/>
      <c r="R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74"/>
      <c r="Q160" s="5"/>
      <c r="R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74"/>
      <c r="Q161" s="5"/>
      <c r="R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74"/>
      <c r="Q162" s="5"/>
      <c r="R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O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v>4.0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5"/>
      <c r="R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1.0</v>
      </c>
      <c r="K165" s="19">
        <v>0.0</v>
      </c>
      <c r="L165" s="19">
        <v>2.0</v>
      </c>
      <c r="M165" s="19">
        <v>0.0</v>
      </c>
      <c r="N165" s="19">
        <v>1.0</v>
      </c>
      <c r="O165" s="19">
        <v>1.0</v>
      </c>
      <c r="P165" s="13">
        <f t="shared" ref="P165:P172" si="34">SUM(E165:O165)</f>
        <v>6</v>
      </c>
      <c r="Q165" s="1"/>
      <c r="R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3">
        <f t="shared" si="34"/>
        <v>2</v>
      </c>
      <c r="Q166" s="52"/>
      <c r="R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3">
        <f t="shared" si="34"/>
        <v>1</v>
      </c>
      <c r="Q167" s="5"/>
      <c r="R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3">
        <f t="shared" si="34"/>
        <v>0</v>
      </c>
      <c r="Q168" s="5"/>
      <c r="R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3">
        <f t="shared" si="34"/>
        <v>0</v>
      </c>
      <c r="Q169" s="5"/>
      <c r="R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3">
        <f t="shared" si="34"/>
        <v>0</v>
      </c>
      <c r="Q170" s="5"/>
      <c r="R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3">
        <f t="shared" si="34"/>
        <v>0</v>
      </c>
      <c r="Q171" s="5"/>
      <c r="R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3">
        <f t="shared" si="34"/>
        <v>0</v>
      </c>
      <c r="Q172" s="5"/>
      <c r="R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74"/>
      <c r="Q173" s="5"/>
      <c r="R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74"/>
      <c r="Q174" s="5"/>
      <c r="R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O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1</v>
      </c>
      <c r="O175" s="13">
        <f t="shared" si="35"/>
        <v>2</v>
      </c>
      <c r="P175" s="13">
        <f>SUM(E175:O175)</f>
        <v>9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1"/>
      <c r="R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3">
        <f t="shared" ref="P177:P184" si="36">SUM(E177:O177)</f>
        <v>2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3">
        <f t="shared" si="36"/>
        <v>1</v>
      </c>
      <c r="Q178" s="5"/>
      <c r="R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3">
        <f t="shared" si="36"/>
        <v>0</v>
      </c>
      <c r="Q179" s="5"/>
      <c r="R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3">
        <f t="shared" si="36"/>
        <v>1</v>
      </c>
      <c r="Q180" s="5"/>
      <c r="R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3">
        <f t="shared" si="36"/>
        <v>0</v>
      </c>
      <c r="Q181" s="5"/>
      <c r="R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3">
        <f t="shared" si="36"/>
        <v>0</v>
      </c>
      <c r="Q182" s="5"/>
      <c r="R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6"/>
        <v>0</v>
      </c>
      <c r="Q183" s="5"/>
      <c r="R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3">
        <f t="shared" si="36"/>
        <v>0</v>
      </c>
      <c r="Q184" s="5"/>
      <c r="R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74"/>
      <c r="Q185" s="5"/>
      <c r="R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74"/>
      <c r="Q186" s="5"/>
      <c r="R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O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2</v>
      </c>
      <c r="I187" s="13">
        <f t="shared" si="37"/>
        <v>2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>SUM(E187:O187)</f>
        <v>4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P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3">
        <f t="shared" ref="P189:P196" si="38">SUM(E189:O189)</f>
        <v>0</v>
      </c>
      <c r="Q189" s="5"/>
      <c r="R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3">
        <f t="shared" si="38"/>
        <v>1</v>
      </c>
      <c r="Q190" s="5"/>
      <c r="R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3">
        <f t="shared" si="38"/>
        <v>0</v>
      </c>
      <c r="Q191" s="5"/>
      <c r="R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3">
        <f t="shared" si="38"/>
        <v>0</v>
      </c>
      <c r="Q192" s="5"/>
      <c r="R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8"/>
        <v>0</v>
      </c>
      <c r="Q193" s="5"/>
      <c r="R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3">
        <f t="shared" si="38"/>
        <v>0</v>
      </c>
      <c r="Q194" s="5"/>
      <c r="R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8"/>
        <v>0</v>
      </c>
      <c r="Q195" s="5"/>
      <c r="R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8"/>
        <v>0</v>
      </c>
      <c r="Q196" s="1"/>
      <c r="R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74"/>
      <c r="Q197" s="1"/>
      <c r="R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74"/>
      <c r="Q198" s="1"/>
      <c r="R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O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>SUM(E199:O199)</f>
        <v>1</v>
      </c>
      <c r="Q199" s="52"/>
      <c r="R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5"/>
      <c r="R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5.0</v>
      </c>
      <c r="G201" s="19">
        <v>16.0</v>
      </c>
      <c r="H201" s="19">
        <v>11.0</v>
      </c>
      <c r="I201" s="19">
        <v>3.0</v>
      </c>
      <c r="J201" s="19">
        <v>3.0</v>
      </c>
      <c r="K201" s="19">
        <v>1.0</v>
      </c>
      <c r="L201" s="19">
        <v>3.0</v>
      </c>
      <c r="M201" s="19">
        <v>7.0</v>
      </c>
      <c r="N201" s="19">
        <v>10.0</v>
      </c>
      <c r="O201" s="19">
        <v>2.0</v>
      </c>
      <c r="P201" s="13">
        <f t="shared" ref="P201:P208" si="40">SUM(E201:O201)</f>
        <v>66</v>
      </c>
      <c r="Q201" s="5"/>
      <c r="R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8.0</v>
      </c>
      <c r="G202" s="19">
        <v>9.0</v>
      </c>
      <c r="H202" s="19">
        <v>10.0</v>
      </c>
      <c r="I202" s="19">
        <v>2.0</v>
      </c>
      <c r="J202" s="19">
        <v>0.0</v>
      </c>
      <c r="K202" s="19">
        <v>1.0</v>
      </c>
      <c r="L202" s="19">
        <v>3.0</v>
      </c>
      <c r="M202" s="19">
        <v>10.0</v>
      </c>
      <c r="N202" s="19">
        <v>4.0</v>
      </c>
      <c r="O202" s="19">
        <v>9.0</v>
      </c>
      <c r="P202" s="13">
        <f t="shared" si="40"/>
        <v>58</v>
      </c>
      <c r="Q202" s="5"/>
      <c r="R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1.0</v>
      </c>
      <c r="H203" s="19">
        <v>2.0</v>
      </c>
      <c r="I203" s="19">
        <v>0.0</v>
      </c>
      <c r="J203" s="19">
        <v>0.0</v>
      </c>
      <c r="K203" s="19">
        <v>2.0</v>
      </c>
      <c r="L203" s="19">
        <v>1.0</v>
      </c>
      <c r="M203" s="19">
        <v>5.0</v>
      </c>
      <c r="N203" s="19">
        <v>0.0</v>
      </c>
      <c r="O203" s="19">
        <v>2.0</v>
      </c>
      <c r="P203" s="13">
        <f t="shared" si="40"/>
        <v>15</v>
      </c>
      <c r="Q203" s="5"/>
      <c r="R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6.0</v>
      </c>
      <c r="H204" s="19">
        <v>4.0</v>
      </c>
      <c r="I204" s="19">
        <v>1.0</v>
      </c>
      <c r="J204" s="19">
        <v>0.0</v>
      </c>
      <c r="K204" s="19">
        <v>2.0</v>
      </c>
      <c r="L204" s="19">
        <v>1.0</v>
      </c>
      <c r="M204" s="19">
        <v>3.0</v>
      </c>
      <c r="N204" s="19">
        <v>1.0</v>
      </c>
      <c r="O204" s="19">
        <v>2.0</v>
      </c>
      <c r="P204" s="13">
        <f t="shared" si="40"/>
        <v>20</v>
      </c>
      <c r="Q204" s="5"/>
      <c r="R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2.0</v>
      </c>
      <c r="N205" s="19">
        <v>1.0</v>
      </c>
      <c r="O205" s="19">
        <v>0.0</v>
      </c>
      <c r="P205" s="13">
        <f t="shared" si="40"/>
        <v>6</v>
      </c>
      <c r="Q205" s="5"/>
      <c r="R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3">
        <f t="shared" si="40"/>
        <v>1</v>
      </c>
      <c r="Q206" s="5"/>
      <c r="R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3">
        <f t="shared" si="40"/>
        <v>0</v>
      </c>
      <c r="Q207" s="1"/>
      <c r="R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3">
        <f t="shared" si="40"/>
        <v>0</v>
      </c>
      <c r="Q208" s="52"/>
      <c r="R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74"/>
      <c r="Q209" s="52"/>
      <c r="R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74"/>
      <c r="Q210" s="52"/>
      <c r="R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O211" si="41">SUM(E201:E208)</f>
        <v>7</v>
      </c>
      <c r="F211" s="13">
        <f t="shared" si="41"/>
        <v>15</v>
      </c>
      <c r="G211" s="13">
        <f t="shared" si="41"/>
        <v>34</v>
      </c>
      <c r="H211" s="13">
        <f t="shared" si="41"/>
        <v>27</v>
      </c>
      <c r="I211" s="13">
        <f t="shared" si="41"/>
        <v>7</v>
      </c>
      <c r="J211" s="13">
        <f t="shared" si="41"/>
        <v>3</v>
      </c>
      <c r="K211" s="13">
        <f t="shared" si="41"/>
        <v>6</v>
      </c>
      <c r="L211" s="13">
        <f t="shared" si="41"/>
        <v>9</v>
      </c>
      <c r="M211" s="13">
        <f t="shared" si="41"/>
        <v>27</v>
      </c>
      <c r="N211" s="13">
        <f t="shared" si="41"/>
        <v>16</v>
      </c>
      <c r="O211" s="13">
        <f t="shared" si="41"/>
        <v>15</v>
      </c>
      <c r="P211" s="13">
        <f>SUM(E211:O211)</f>
        <v>166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5"/>
      <c r="R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2.0</v>
      </c>
      <c r="H213" s="19">
        <v>0.0</v>
      </c>
      <c r="I213" s="19">
        <v>2.0</v>
      </c>
      <c r="J213" s="19">
        <v>3.0</v>
      </c>
      <c r="K213" s="19">
        <v>1.0</v>
      </c>
      <c r="L213" s="19">
        <v>3.0</v>
      </c>
      <c r="M213" s="19">
        <v>0.0</v>
      </c>
      <c r="N213" s="19">
        <v>0.0</v>
      </c>
      <c r="O213" s="19">
        <v>2.0</v>
      </c>
      <c r="P213" s="13">
        <f t="shared" ref="P213:P220" si="42">SUM(E213:O213)</f>
        <v>14</v>
      </c>
      <c r="Q213" s="5"/>
      <c r="R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0.0</v>
      </c>
      <c r="I214" s="19">
        <v>1.0</v>
      </c>
      <c r="J214" s="19">
        <v>1.0</v>
      </c>
      <c r="K214" s="19">
        <v>0.0</v>
      </c>
      <c r="L214" s="19">
        <v>0.0</v>
      </c>
      <c r="M214" s="19">
        <v>2.0</v>
      </c>
      <c r="N214" s="19">
        <v>1.0</v>
      </c>
      <c r="O214" s="19">
        <v>0.0</v>
      </c>
      <c r="P214" s="13">
        <f t="shared" si="42"/>
        <v>5</v>
      </c>
      <c r="Q214" s="5"/>
      <c r="R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2.0</v>
      </c>
      <c r="G215" s="19">
        <v>4.0</v>
      </c>
      <c r="H215" s="19">
        <v>1.0</v>
      </c>
      <c r="I215" s="19">
        <v>33.0</v>
      </c>
      <c r="J215" s="19">
        <v>29.0</v>
      </c>
      <c r="K215" s="19">
        <v>29.0</v>
      </c>
      <c r="L215" s="19">
        <v>2.0</v>
      </c>
      <c r="M215" s="19">
        <v>0.0</v>
      </c>
      <c r="N215" s="19">
        <v>2.0</v>
      </c>
      <c r="O215" s="19">
        <v>0.0</v>
      </c>
      <c r="P215" s="13">
        <f t="shared" si="42"/>
        <v>102</v>
      </c>
      <c r="Q215" s="5"/>
      <c r="R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1.0</v>
      </c>
      <c r="H216" s="19">
        <v>1.0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3">
        <f t="shared" si="42"/>
        <v>3</v>
      </c>
      <c r="Q216" s="5"/>
      <c r="R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3">
        <f t="shared" si="42"/>
        <v>2</v>
      </c>
      <c r="Q217" s="5"/>
      <c r="R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3">
        <f t="shared" si="42"/>
        <v>0</v>
      </c>
      <c r="Q218" s="1"/>
      <c r="R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3">
        <f t="shared" si="42"/>
        <v>1</v>
      </c>
      <c r="Q219" s="52"/>
      <c r="R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3">
        <f t="shared" si="42"/>
        <v>1</v>
      </c>
      <c r="Q220" s="5"/>
      <c r="R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74"/>
      <c r="Q221" s="5"/>
      <c r="R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74"/>
      <c r="Q222" s="5"/>
      <c r="R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O223" si="43">SUM(E213:E220)</f>
        <v>1</v>
      </c>
      <c r="F223" s="13">
        <f t="shared" si="43"/>
        <v>2</v>
      </c>
      <c r="G223" s="13">
        <f t="shared" si="43"/>
        <v>7</v>
      </c>
      <c r="H223" s="13">
        <f t="shared" si="43"/>
        <v>2</v>
      </c>
      <c r="I223" s="13">
        <f t="shared" si="43"/>
        <v>37</v>
      </c>
      <c r="J223" s="13">
        <f t="shared" si="43"/>
        <v>34</v>
      </c>
      <c r="K223" s="13">
        <f t="shared" si="43"/>
        <v>31</v>
      </c>
      <c r="L223" s="13">
        <f t="shared" si="43"/>
        <v>6</v>
      </c>
      <c r="M223" s="13">
        <f t="shared" si="43"/>
        <v>3</v>
      </c>
      <c r="N223" s="13">
        <f t="shared" si="43"/>
        <v>3</v>
      </c>
      <c r="O223" s="13">
        <f t="shared" si="43"/>
        <v>2</v>
      </c>
      <c r="P223" s="13">
        <f>SUM(E223:O223)</f>
        <v>128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5"/>
      <c r="R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3">
        <f t="shared" ref="P225:P232" si="44">SUM(E225:O225)</f>
        <v>2</v>
      </c>
      <c r="Q225" s="5"/>
      <c r="R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3">
        <f t="shared" si="44"/>
        <v>0</v>
      </c>
      <c r="Q226" s="5"/>
      <c r="R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3">
        <f t="shared" si="44"/>
        <v>0</v>
      </c>
      <c r="Q227" s="5"/>
      <c r="R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3">
        <f t="shared" si="44"/>
        <v>1</v>
      </c>
      <c r="Q228" s="5"/>
      <c r="R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4"/>
        <v>0</v>
      </c>
      <c r="Q229" s="1"/>
      <c r="R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3">
        <f t="shared" si="44"/>
        <v>0</v>
      </c>
      <c r="Q230" s="52"/>
      <c r="R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3">
        <f t="shared" si="44"/>
        <v>0</v>
      </c>
      <c r="Q231" s="5"/>
      <c r="R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3">
        <f t="shared" si="44"/>
        <v>0</v>
      </c>
      <c r="Q232" s="5"/>
      <c r="R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74"/>
      <c r="Q233" s="5"/>
      <c r="R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74"/>
      <c r="Q234" s="5"/>
      <c r="R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O235" si="45">SUM(E225:E232)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>SUM(E235:O235)</f>
        <v>3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5"/>
      <c r="R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2.0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2.0</v>
      </c>
      <c r="M237" s="19">
        <v>0.0</v>
      </c>
      <c r="N237" s="19">
        <v>3.0</v>
      </c>
      <c r="O237" s="19">
        <v>0.0</v>
      </c>
      <c r="P237" s="13">
        <f t="shared" ref="P237:P244" si="46">SUM(E237:O237)</f>
        <v>10</v>
      </c>
      <c r="Q237" s="5"/>
      <c r="R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1.0</v>
      </c>
      <c r="I238" s="19">
        <v>1.0</v>
      </c>
      <c r="J238" s="19">
        <v>0.0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3">
        <f t="shared" si="46"/>
        <v>3</v>
      </c>
      <c r="Q238" s="5"/>
      <c r="R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1.0</v>
      </c>
      <c r="J239" s="19">
        <v>11.0</v>
      </c>
      <c r="K239" s="19">
        <v>0.0</v>
      </c>
      <c r="L239" s="19">
        <v>1.0</v>
      </c>
      <c r="M239" s="19">
        <v>1.0</v>
      </c>
      <c r="N239" s="19">
        <v>1.0</v>
      </c>
      <c r="O239" s="19">
        <v>0.0</v>
      </c>
      <c r="P239" s="13">
        <f t="shared" si="46"/>
        <v>15</v>
      </c>
      <c r="Q239" s="5"/>
      <c r="R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3">
        <f t="shared" si="46"/>
        <v>0</v>
      </c>
      <c r="Q240" s="1"/>
      <c r="R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11.0</v>
      </c>
      <c r="F244" s="19">
        <v>3.0</v>
      </c>
      <c r="G244" s="19">
        <v>0.0</v>
      </c>
      <c r="H244" s="19">
        <v>0.0</v>
      </c>
      <c r="I244" s="19">
        <v>5.0</v>
      </c>
      <c r="J244" s="19">
        <v>0.0</v>
      </c>
      <c r="K244" s="19">
        <v>2.0</v>
      </c>
      <c r="L244" s="19">
        <v>0.0</v>
      </c>
      <c r="M244" s="19">
        <v>0.0</v>
      </c>
      <c r="N244" s="19">
        <v>0.0</v>
      </c>
      <c r="O244" s="19">
        <v>0.0</v>
      </c>
      <c r="P244" s="13">
        <f t="shared" si="46"/>
        <v>21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O247" si="47">SUM(E237:E244)</f>
        <v>13</v>
      </c>
      <c r="F247" s="13">
        <f t="shared" si="47"/>
        <v>6</v>
      </c>
      <c r="G247" s="13">
        <f t="shared" si="47"/>
        <v>0</v>
      </c>
      <c r="H247" s="13">
        <f t="shared" si="47"/>
        <v>1</v>
      </c>
      <c r="I247" s="13">
        <f t="shared" si="47"/>
        <v>8</v>
      </c>
      <c r="J247" s="13">
        <f t="shared" si="47"/>
        <v>11</v>
      </c>
      <c r="K247" s="13">
        <f t="shared" si="47"/>
        <v>3</v>
      </c>
      <c r="L247" s="13">
        <f t="shared" si="47"/>
        <v>3</v>
      </c>
      <c r="M247" s="13">
        <f t="shared" si="47"/>
        <v>3</v>
      </c>
      <c r="N247" s="13">
        <f t="shared" si="47"/>
        <v>4</v>
      </c>
      <c r="O247" s="13">
        <f t="shared" si="47"/>
        <v>0</v>
      </c>
      <c r="P247" s="13">
        <f>SUM(E247:O247)</f>
        <v>52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3">
        <f t="shared" ref="P249:P255" si="48">SUM(E249:O249)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1.0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1.0</v>
      </c>
      <c r="M254" s="19">
        <v>1.0</v>
      </c>
      <c r="N254" s="19">
        <v>0.0</v>
      </c>
      <c r="O254" s="19">
        <v>0.0</v>
      </c>
      <c r="P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O259" si="49">SUM(E249:E255)</f>
        <v>1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>SUM(E259:O259)</f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O262" si="50">E55+E67+E79+E91+E103+E115+E127+E139+E151+E163+E175+E187+E199+E211+E223+E235+E247+E259</f>
        <v>124</v>
      </c>
      <c r="F262" s="19">
        <f t="shared" si="50"/>
        <v>128</v>
      </c>
      <c r="G262" s="19">
        <f t="shared" si="50"/>
        <v>160</v>
      </c>
      <c r="H262" s="19">
        <f t="shared" si="50"/>
        <v>143</v>
      </c>
      <c r="I262" s="19">
        <f t="shared" si="50"/>
        <v>156</v>
      </c>
      <c r="J262" s="19">
        <f t="shared" si="50"/>
        <v>169</v>
      </c>
      <c r="K262" s="19">
        <f t="shared" si="50"/>
        <v>119</v>
      </c>
      <c r="L262" s="19">
        <f t="shared" si="50"/>
        <v>147</v>
      </c>
      <c r="M262" s="19">
        <f t="shared" si="50"/>
        <v>122</v>
      </c>
      <c r="N262" s="19">
        <f t="shared" si="50"/>
        <v>119</v>
      </c>
      <c r="O262" s="19">
        <f t="shared" si="50"/>
        <v>117</v>
      </c>
      <c r="P262" s="13">
        <f t="shared" ref="P262:P264" si="51">SUM(E262:O262)</f>
        <v>1504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19.0</v>
      </c>
      <c r="F263" s="19">
        <v>19.0</v>
      </c>
      <c r="G263" s="19">
        <v>33.0</v>
      </c>
      <c r="H263" s="19">
        <v>34.0</v>
      </c>
      <c r="I263" s="19">
        <v>47.0</v>
      </c>
      <c r="J263" s="19">
        <v>22.0</v>
      </c>
      <c r="K263" s="19">
        <v>28.0</v>
      </c>
      <c r="L263" s="19">
        <v>47.0</v>
      </c>
      <c r="M263" s="19">
        <v>43.0</v>
      </c>
      <c r="N263" s="19">
        <v>16.0</v>
      </c>
      <c r="O263" s="19">
        <v>25.0</v>
      </c>
      <c r="P263" s="13">
        <f t="shared" si="51"/>
        <v>333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O264" si="52">SUM(E262:E263)</f>
        <v>143</v>
      </c>
      <c r="F264" s="13">
        <f t="shared" si="52"/>
        <v>147</v>
      </c>
      <c r="G264" s="13">
        <f t="shared" si="52"/>
        <v>193</v>
      </c>
      <c r="H264" s="13">
        <f t="shared" si="52"/>
        <v>177</v>
      </c>
      <c r="I264" s="13">
        <f t="shared" si="52"/>
        <v>203</v>
      </c>
      <c r="J264" s="13">
        <f t="shared" si="52"/>
        <v>191</v>
      </c>
      <c r="K264" s="13">
        <f t="shared" si="52"/>
        <v>147</v>
      </c>
      <c r="L264" s="13">
        <f t="shared" si="52"/>
        <v>194</v>
      </c>
      <c r="M264" s="13">
        <f t="shared" si="52"/>
        <v>165</v>
      </c>
      <c r="N264" s="13">
        <f t="shared" si="52"/>
        <v>135</v>
      </c>
      <c r="O264" s="13">
        <f t="shared" si="52"/>
        <v>142</v>
      </c>
      <c r="P264" s="13">
        <f t="shared" si="51"/>
        <v>1837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78">
        <v>128.0</v>
      </c>
      <c r="F14" s="78">
        <v>137.0</v>
      </c>
      <c r="G14" s="78">
        <v>126.0</v>
      </c>
      <c r="H14" s="78">
        <v>121.0</v>
      </c>
      <c r="I14" s="78">
        <v>118.0</v>
      </c>
      <c r="J14" s="78">
        <v>134.0</v>
      </c>
      <c r="K14" s="78">
        <v>114.0</v>
      </c>
      <c r="L14" s="78">
        <v>126.0</v>
      </c>
      <c r="M14" s="78">
        <v>150.0</v>
      </c>
      <c r="N14" s="78">
        <v>147.0</v>
      </c>
      <c r="O14" s="78">
        <v>145.0</v>
      </c>
      <c r="P14" s="78">
        <v>123.0</v>
      </c>
      <c r="Q14" s="78">
        <v>137.0</v>
      </c>
      <c r="R14" s="78">
        <v>138.0</v>
      </c>
      <c r="S14" s="78">
        <v>144.0</v>
      </c>
      <c r="T14" s="13">
        <f t="shared" ref="T14:T16" si="1">SUM(E14:S14)</f>
        <v>1988</v>
      </c>
    </row>
    <row r="15" ht="12.75" customHeight="1">
      <c r="A15" s="18"/>
      <c r="B15" s="26"/>
      <c r="C15" s="27"/>
      <c r="D15" s="19" t="s">
        <v>13</v>
      </c>
      <c r="E15" s="78">
        <v>161.0</v>
      </c>
      <c r="F15" s="78">
        <v>147.0</v>
      </c>
      <c r="G15" s="78">
        <v>125.0</v>
      </c>
      <c r="H15" s="78">
        <v>118.0</v>
      </c>
      <c r="I15" s="78">
        <v>123.0</v>
      </c>
      <c r="J15" s="78">
        <v>133.0</v>
      </c>
      <c r="K15" s="78">
        <v>137.0</v>
      </c>
      <c r="L15" s="78">
        <v>132.0</v>
      </c>
      <c r="M15" s="78">
        <v>138.0</v>
      </c>
      <c r="N15" s="78">
        <v>147.0</v>
      </c>
      <c r="O15" s="78">
        <v>136.0</v>
      </c>
      <c r="P15" s="78">
        <v>125.0</v>
      </c>
      <c r="Q15" s="78">
        <v>147.0</v>
      </c>
      <c r="R15" s="78">
        <v>146.0</v>
      </c>
      <c r="S15" s="78">
        <v>147.0</v>
      </c>
      <c r="T15" s="13">
        <f t="shared" si="1"/>
        <v>2062</v>
      </c>
    </row>
    <row r="16" ht="12.75" customHeight="1">
      <c r="A16" s="25"/>
      <c r="B16" s="21"/>
      <c r="C16" s="28"/>
      <c r="D16" s="13" t="s">
        <v>14</v>
      </c>
      <c r="E16" s="79">
        <f t="shared" ref="E16:S16" si="2">SUM(E14:E15)</f>
        <v>289</v>
      </c>
      <c r="F16" s="79">
        <f t="shared" si="2"/>
        <v>284</v>
      </c>
      <c r="G16" s="79">
        <f t="shared" si="2"/>
        <v>251</v>
      </c>
      <c r="H16" s="79">
        <f t="shared" si="2"/>
        <v>239</v>
      </c>
      <c r="I16" s="79">
        <f t="shared" si="2"/>
        <v>241</v>
      </c>
      <c r="J16" s="79">
        <f t="shared" si="2"/>
        <v>267</v>
      </c>
      <c r="K16" s="79">
        <f t="shared" si="2"/>
        <v>251</v>
      </c>
      <c r="L16" s="79">
        <f t="shared" si="2"/>
        <v>258</v>
      </c>
      <c r="M16" s="79">
        <f t="shared" si="2"/>
        <v>288</v>
      </c>
      <c r="N16" s="79">
        <f t="shared" si="2"/>
        <v>294</v>
      </c>
      <c r="O16" s="79">
        <f t="shared" si="2"/>
        <v>281</v>
      </c>
      <c r="P16" s="79">
        <f t="shared" si="2"/>
        <v>248</v>
      </c>
      <c r="Q16" s="79">
        <f t="shared" si="2"/>
        <v>284</v>
      </c>
      <c r="R16" s="79">
        <f t="shared" si="2"/>
        <v>284</v>
      </c>
      <c r="S16" s="79">
        <f t="shared" si="2"/>
        <v>291</v>
      </c>
      <c r="T16" s="13">
        <f t="shared" si="1"/>
        <v>4050</v>
      </c>
    </row>
    <row r="17" ht="12.75" customHeight="1">
      <c r="A17" s="24"/>
      <c r="B17" s="15"/>
      <c r="C17" s="15"/>
      <c r="D17" s="16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68"/>
    </row>
    <row r="18" ht="12.75" customHeight="1">
      <c r="A18" s="30" t="s">
        <v>15</v>
      </c>
      <c r="B18" s="20" t="s">
        <v>16</v>
      </c>
      <c r="C18" s="15"/>
      <c r="D18" s="1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8">
        <v>109.0</v>
      </c>
      <c r="F19" s="78">
        <v>111.0</v>
      </c>
      <c r="G19" s="78">
        <v>98.0</v>
      </c>
      <c r="H19" s="78">
        <v>109.0</v>
      </c>
      <c r="I19" s="78">
        <v>97.0</v>
      </c>
      <c r="J19" s="78">
        <v>95.0</v>
      </c>
      <c r="K19" s="78">
        <v>91.0</v>
      </c>
      <c r="L19" s="78">
        <v>94.0</v>
      </c>
      <c r="M19" s="78">
        <v>120.0</v>
      </c>
      <c r="N19" s="78">
        <v>111.0</v>
      </c>
      <c r="O19" s="78">
        <v>112.0</v>
      </c>
      <c r="P19" s="78">
        <v>92.0</v>
      </c>
      <c r="Q19" s="78">
        <v>107.0</v>
      </c>
      <c r="R19" s="78">
        <v>106.0</v>
      </c>
      <c r="S19" s="78">
        <v>107.0</v>
      </c>
      <c r="T19" s="13">
        <f t="shared" ref="T19:T30" si="3">SUM(E19:S19)</f>
        <v>1559</v>
      </c>
    </row>
    <row r="20" ht="12.75" customHeight="1">
      <c r="A20" s="33"/>
      <c r="B20" s="27"/>
      <c r="C20" s="34"/>
      <c r="D20" s="19" t="s">
        <v>13</v>
      </c>
      <c r="E20" s="78">
        <v>146.0</v>
      </c>
      <c r="F20" s="78">
        <v>120.0</v>
      </c>
      <c r="G20" s="78">
        <v>101.0</v>
      </c>
      <c r="H20" s="78">
        <v>104.0</v>
      </c>
      <c r="I20" s="78">
        <v>107.0</v>
      </c>
      <c r="J20" s="78">
        <v>110.0</v>
      </c>
      <c r="K20" s="78">
        <v>109.0</v>
      </c>
      <c r="L20" s="78">
        <v>105.0</v>
      </c>
      <c r="M20" s="78">
        <v>116.0</v>
      </c>
      <c r="N20" s="78">
        <v>118.0</v>
      </c>
      <c r="O20" s="78">
        <v>113.0</v>
      </c>
      <c r="P20" s="78">
        <v>98.0</v>
      </c>
      <c r="Q20" s="78">
        <v>121.0</v>
      </c>
      <c r="R20" s="78">
        <v>116.0</v>
      </c>
      <c r="S20" s="78">
        <v>109.0</v>
      </c>
      <c r="T20" s="13">
        <f t="shared" si="3"/>
        <v>1693</v>
      </c>
    </row>
    <row r="21" ht="12.75" customHeight="1">
      <c r="A21" s="35"/>
      <c r="B21" s="28"/>
      <c r="C21" s="36"/>
      <c r="D21" s="13" t="s">
        <v>14</v>
      </c>
      <c r="E21" s="79">
        <f t="shared" ref="E21:S21" si="4">SUM(E19:E20)</f>
        <v>255</v>
      </c>
      <c r="F21" s="79">
        <f t="shared" si="4"/>
        <v>231</v>
      </c>
      <c r="G21" s="79">
        <f t="shared" si="4"/>
        <v>199</v>
      </c>
      <c r="H21" s="79">
        <f t="shared" si="4"/>
        <v>213</v>
      </c>
      <c r="I21" s="79">
        <f t="shared" si="4"/>
        <v>204</v>
      </c>
      <c r="J21" s="79">
        <f t="shared" si="4"/>
        <v>205</v>
      </c>
      <c r="K21" s="79">
        <f t="shared" si="4"/>
        <v>200</v>
      </c>
      <c r="L21" s="79">
        <f t="shared" si="4"/>
        <v>199</v>
      </c>
      <c r="M21" s="79">
        <f t="shared" si="4"/>
        <v>236</v>
      </c>
      <c r="N21" s="79">
        <f t="shared" si="4"/>
        <v>229</v>
      </c>
      <c r="O21" s="79">
        <f t="shared" si="4"/>
        <v>225</v>
      </c>
      <c r="P21" s="79">
        <f t="shared" si="4"/>
        <v>190</v>
      </c>
      <c r="Q21" s="79">
        <f t="shared" si="4"/>
        <v>228</v>
      </c>
      <c r="R21" s="79">
        <f t="shared" si="4"/>
        <v>222</v>
      </c>
      <c r="S21" s="79">
        <f t="shared" si="4"/>
        <v>216</v>
      </c>
      <c r="T21" s="13">
        <f t="shared" si="3"/>
        <v>3252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8">
        <v>0.0</v>
      </c>
      <c r="F23" s="78">
        <v>0.0</v>
      </c>
      <c r="G23" s="78">
        <v>0.0</v>
      </c>
      <c r="H23" s="78">
        <v>1.0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79">
        <v>0.0</v>
      </c>
      <c r="F24" s="79">
        <f t="shared" ref="F24:S24" si="5">SUM(F22:F23)</f>
        <v>0</v>
      </c>
      <c r="G24" s="79">
        <f t="shared" si="5"/>
        <v>0</v>
      </c>
      <c r="H24" s="79">
        <f t="shared" si="5"/>
        <v>1</v>
      </c>
      <c r="I24" s="79">
        <f t="shared" si="5"/>
        <v>0</v>
      </c>
      <c r="J24" s="79">
        <f t="shared" si="5"/>
        <v>0</v>
      </c>
      <c r="K24" s="79">
        <f t="shared" si="5"/>
        <v>0</v>
      </c>
      <c r="L24" s="79">
        <f t="shared" si="5"/>
        <v>0</v>
      </c>
      <c r="M24" s="79">
        <f t="shared" si="5"/>
        <v>0</v>
      </c>
      <c r="N24" s="79">
        <f t="shared" si="5"/>
        <v>0</v>
      </c>
      <c r="O24" s="79">
        <f t="shared" si="5"/>
        <v>0</v>
      </c>
      <c r="P24" s="79">
        <f t="shared" si="5"/>
        <v>0</v>
      </c>
      <c r="Q24" s="79">
        <f t="shared" si="5"/>
        <v>0</v>
      </c>
      <c r="R24" s="79">
        <f t="shared" si="5"/>
        <v>0</v>
      </c>
      <c r="S24" s="79">
        <f t="shared" si="5"/>
        <v>0</v>
      </c>
      <c r="T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8">
        <v>0.0</v>
      </c>
      <c r="F25" s="78">
        <v>2.0</v>
      </c>
      <c r="G25" s="78">
        <v>1.0</v>
      </c>
      <c r="H25" s="78">
        <v>0.0</v>
      </c>
      <c r="I25" s="78">
        <v>0.0</v>
      </c>
      <c r="J25" s="78">
        <v>0.0</v>
      </c>
      <c r="K25" s="78">
        <v>0.0</v>
      </c>
      <c r="L25" s="78">
        <v>0.0</v>
      </c>
      <c r="M25" s="78">
        <v>1.0</v>
      </c>
      <c r="N25" s="78">
        <v>1.0</v>
      </c>
      <c r="O25" s="78">
        <v>0.0</v>
      </c>
      <c r="P25" s="78">
        <v>0.0</v>
      </c>
      <c r="Q25" s="78">
        <v>1.0</v>
      </c>
      <c r="R25" s="78">
        <v>0.0</v>
      </c>
      <c r="S25" s="78">
        <v>0.0</v>
      </c>
      <c r="T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78">
        <v>0.0</v>
      </c>
      <c r="F26" s="78">
        <v>4.0</v>
      </c>
      <c r="G26" s="78">
        <v>1.0</v>
      </c>
      <c r="H26" s="78">
        <v>0.0</v>
      </c>
      <c r="I26" s="78">
        <v>0.0</v>
      </c>
      <c r="J26" s="78">
        <v>1.0</v>
      </c>
      <c r="K26" s="78">
        <v>0.0</v>
      </c>
      <c r="L26" s="78">
        <v>0.0</v>
      </c>
      <c r="M26" s="78">
        <v>1.0</v>
      </c>
      <c r="N26" s="78">
        <v>2.0</v>
      </c>
      <c r="O26" s="78">
        <v>0.0</v>
      </c>
      <c r="P26" s="78">
        <v>0.0</v>
      </c>
      <c r="Q26" s="78">
        <v>2.0</v>
      </c>
      <c r="R26" s="78">
        <v>0.0</v>
      </c>
      <c r="S26" s="78">
        <v>0.0</v>
      </c>
      <c r="T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79">
        <f t="shared" ref="E27:S27" si="6">SUM(E25:E26)</f>
        <v>0</v>
      </c>
      <c r="F27" s="79">
        <f t="shared" si="6"/>
        <v>6</v>
      </c>
      <c r="G27" s="79">
        <f t="shared" si="6"/>
        <v>2</v>
      </c>
      <c r="H27" s="79">
        <f t="shared" si="6"/>
        <v>0</v>
      </c>
      <c r="I27" s="79">
        <f t="shared" si="6"/>
        <v>0</v>
      </c>
      <c r="J27" s="79">
        <f t="shared" si="6"/>
        <v>1</v>
      </c>
      <c r="K27" s="79">
        <f t="shared" si="6"/>
        <v>0</v>
      </c>
      <c r="L27" s="79">
        <f t="shared" si="6"/>
        <v>0</v>
      </c>
      <c r="M27" s="79">
        <f t="shared" si="6"/>
        <v>2</v>
      </c>
      <c r="N27" s="79">
        <f t="shared" si="6"/>
        <v>3</v>
      </c>
      <c r="O27" s="79">
        <f t="shared" si="6"/>
        <v>0</v>
      </c>
      <c r="P27" s="79">
        <f t="shared" si="6"/>
        <v>0</v>
      </c>
      <c r="Q27" s="79">
        <f t="shared" si="6"/>
        <v>3</v>
      </c>
      <c r="R27" s="79">
        <f t="shared" si="6"/>
        <v>0</v>
      </c>
      <c r="S27" s="79">
        <f t="shared" si="6"/>
        <v>0</v>
      </c>
      <c r="T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9">
        <f t="shared" ref="E28:S28" si="7">SUM(E19,E22,E25)</f>
        <v>109</v>
      </c>
      <c r="F28" s="79">
        <f t="shared" si="7"/>
        <v>113</v>
      </c>
      <c r="G28" s="79">
        <f t="shared" si="7"/>
        <v>99</v>
      </c>
      <c r="H28" s="79">
        <f t="shared" si="7"/>
        <v>109</v>
      </c>
      <c r="I28" s="79">
        <f t="shared" si="7"/>
        <v>97</v>
      </c>
      <c r="J28" s="79">
        <f t="shared" si="7"/>
        <v>95</v>
      </c>
      <c r="K28" s="79">
        <f t="shared" si="7"/>
        <v>91</v>
      </c>
      <c r="L28" s="79">
        <f t="shared" si="7"/>
        <v>94</v>
      </c>
      <c r="M28" s="79">
        <f t="shared" si="7"/>
        <v>121</v>
      </c>
      <c r="N28" s="79">
        <f t="shared" si="7"/>
        <v>112</v>
      </c>
      <c r="O28" s="79">
        <f t="shared" si="7"/>
        <v>112</v>
      </c>
      <c r="P28" s="79">
        <f t="shared" si="7"/>
        <v>92</v>
      </c>
      <c r="Q28" s="79">
        <f t="shared" si="7"/>
        <v>108</v>
      </c>
      <c r="R28" s="79">
        <f t="shared" si="7"/>
        <v>106</v>
      </c>
      <c r="S28" s="79">
        <f t="shared" si="7"/>
        <v>107</v>
      </c>
      <c r="T28" s="13">
        <f t="shared" si="3"/>
        <v>1565</v>
      </c>
    </row>
    <row r="29" ht="12.75" customHeight="1">
      <c r="A29" s="35"/>
      <c r="B29" s="27"/>
      <c r="C29" s="34"/>
      <c r="D29" s="13" t="s">
        <v>13</v>
      </c>
      <c r="E29" s="79">
        <f t="shared" ref="E29:S29" si="8">SUM(E20,E23,E26)</f>
        <v>146</v>
      </c>
      <c r="F29" s="79">
        <f t="shared" si="8"/>
        <v>124</v>
      </c>
      <c r="G29" s="79">
        <f t="shared" si="8"/>
        <v>102</v>
      </c>
      <c r="H29" s="79">
        <f t="shared" si="8"/>
        <v>105</v>
      </c>
      <c r="I29" s="79">
        <f t="shared" si="8"/>
        <v>107</v>
      </c>
      <c r="J29" s="79">
        <f t="shared" si="8"/>
        <v>111</v>
      </c>
      <c r="K29" s="79">
        <f t="shared" si="8"/>
        <v>109</v>
      </c>
      <c r="L29" s="79">
        <f t="shared" si="8"/>
        <v>105</v>
      </c>
      <c r="M29" s="79">
        <f t="shared" si="8"/>
        <v>117</v>
      </c>
      <c r="N29" s="79">
        <f t="shared" si="8"/>
        <v>120</v>
      </c>
      <c r="O29" s="79">
        <f t="shared" si="8"/>
        <v>113</v>
      </c>
      <c r="P29" s="79">
        <f t="shared" si="8"/>
        <v>98</v>
      </c>
      <c r="Q29" s="79">
        <f t="shared" si="8"/>
        <v>123</v>
      </c>
      <c r="R29" s="79">
        <f t="shared" si="8"/>
        <v>116</v>
      </c>
      <c r="S29" s="79">
        <f t="shared" si="8"/>
        <v>109</v>
      </c>
      <c r="T29" s="13">
        <f t="shared" si="3"/>
        <v>1705</v>
      </c>
    </row>
    <row r="30" ht="12.75" customHeight="1">
      <c r="A30" s="35"/>
      <c r="B30" s="28"/>
      <c r="C30" s="36"/>
      <c r="D30" s="13" t="s">
        <v>14</v>
      </c>
      <c r="E30" s="81">
        <f t="shared" ref="E30:S30" si="9">SUM(E28:E29)</f>
        <v>255</v>
      </c>
      <c r="F30" s="81">
        <f t="shared" si="9"/>
        <v>237</v>
      </c>
      <c r="G30" s="81">
        <f t="shared" si="9"/>
        <v>201</v>
      </c>
      <c r="H30" s="81">
        <f t="shared" si="9"/>
        <v>214</v>
      </c>
      <c r="I30" s="81">
        <f t="shared" si="9"/>
        <v>204</v>
      </c>
      <c r="J30" s="81">
        <f t="shared" si="9"/>
        <v>206</v>
      </c>
      <c r="K30" s="81">
        <f t="shared" si="9"/>
        <v>200</v>
      </c>
      <c r="L30" s="81">
        <f t="shared" si="9"/>
        <v>199</v>
      </c>
      <c r="M30" s="81">
        <f t="shared" si="9"/>
        <v>238</v>
      </c>
      <c r="N30" s="81">
        <f t="shared" si="9"/>
        <v>232</v>
      </c>
      <c r="O30" s="81">
        <f t="shared" si="9"/>
        <v>225</v>
      </c>
      <c r="P30" s="81">
        <f t="shared" si="9"/>
        <v>190</v>
      </c>
      <c r="Q30" s="81">
        <f t="shared" si="9"/>
        <v>231</v>
      </c>
      <c r="R30" s="81">
        <f t="shared" si="9"/>
        <v>222</v>
      </c>
      <c r="S30" s="81">
        <f t="shared" si="9"/>
        <v>216</v>
      </c>
      <c r="T30" s="13">
        <f t="shared" si="3"/>
        <v>3270</v>
      </c>
    </row>
    <row r="31" ht="12.75" customHeight="1">
      <c r="A31" s="24"/>
      <c r="B31" s="15"/>
      <c r="C31" s="15"/>
      <c r="D31" s="16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68"/>
    </row>
    <row r="32" ht="12.75" customHeight="1">
      <c r="A32" s="41" t="s">
        <v>25</v>
      </c>
      <c r="B32" s="14" t="s">
        <v>26</v>
      </c>
      <c r="C32" s="15"/>
      <c r="D32" s="16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68"/>
    </row>
    <row r="33" ht="12.75" customHeight="1">
      <c r="A33" s="19">
        <v>1.0</v>
      </c>
      <c r="B33" s="20" t="s">
        <v>27</v>
      </c>
      <c r="C33" s="15"/>
      <c r="D33" s="16"/>
      <c r="E33" s="78">
        <v>295.0</v>
      </c>
      <c r="F33" s="78">
        <v>290.0</v>
      </c>
      <c r="G33" s="78">
        <v>257.0</v>
      </c>
      <c r="H33" s="78">
        <v>244.0</v>
      </c>
      <c r="I33" s="78">
        <v>246.0</v>
      </c>
      <c r="J33" s="78">
        <v>273.0</v>
      </c>
      <c r="K33" s="78">
        <v>257.0</v>
      </c>
      <c r="L33" s="78">
        <v>264.0</v>
      </c>
      <c r="M33" s="78">
        <v>294.0</v>
      </c>
      <c r="N33" s="78">
        <v>300.0</v>
      </c>
      <c r="O33" s="78">
        <v>287.0</v>
      </c>
      <c r="P33" s="78">
        <v>253.0</v>
      </c>
      <c r="Q33" s="78">
        <v>290.0</v>
      </c>
      <c r="R33" s="78">
        <v>290.0</v>
      </c>
      <c r="S33" s="78">
        <v>297.0</v>
      </c>
      <c r="T33" s="13">
        <f t="shared" ref="T33:T36" si="10">SUM(E33:S33)</f>
        <v>4137</v>
      </c>
    </row>
    <row r="34" ht="12.75" customHeight="1">
      <c r="A34" s="19">
        <v>2.0</v>
      </c>
      <c r="B34" s="20" t="s">
        <v>28</v>
      </c>
      <c r="C34" s="15"/>
      <c r="D34" s="16"/>
      <c r="E34" s="82">
        <v>255.0</v>
      </c>
      <c r="F34" s="82">
        <v>237.0</v>
      </c>
      <c r="G34" s="82">
        <v>201.0</v>
      </c>
      <c r="H34" s="82">
        <v>214.0</v>
      </c>
      <c r="I34" s="82">
        <v>204.0</v>
      </c>
      <c r="J34" s="82">
        <v>206.0</v>
      </c>
      <c r="K34" s="82">
        <v>200.0</v>
      </c>
      <c r="L34" s="82">
        <v>199.0</v>
      </c>
      <c r="M34" s="82">
        <v>238.0</v>
      </c>
      <c r="N34" s="82">
        <v>232.0</v>
      </c>
      <c r="O34" s="82">
        <v>225.0</v>
      </c>
      <c r="P34" s="82">
        <v>190.0</v>
      </c>
      <c r="Q34" s="82">
        <v>231.0</v>
      </c>
      <c r="R34" s="82">
        <v>222.0</v>
      </c>
      <c r="S34" s="82">
        <v>216.0</v>
      </c>
      <c r="T34" s="13">
        <f t="shared" si="10"/>
        <v>3270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0.0</v>
      </c>
      <c r="K35" s="78">
        <v>0.0</v>
      </c>
      <c r="L35" s="78">
        <v>0.0</v>
      </c>
      <c r="M35" s="78">
        <v>0.0</v>
      </c>
      <c r="N35" s="78">
        <v>0.0</v>
      </c>
      <c r="O35" s="78">
        <v>1.0</v>
      </c>
      <c r="P35" s="78">
        <v>0.0</v>
      </c>
      <c r="Q35" s="78">
        <v>1.0</v>
      </c>
      <c r="R35" s="78">
        <v>0.0</v>
      </c>
      <c r="S35" s="78">
        <v>0.0</v>
      </c>
      <c r="T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79">
        <f t="shared" ref="E36:S36" si="11">E33-(E34+E35)</f>
        <v>40</v>
      </c>
      <c r="F36" s="79">
        <f t="shared" si="11"/>
        <v>53</v>
      </c>
      <c r="G36" s="79">
        <f t="shared" si="11"/>
        <v>56</v>
      </c>
      <c r="H36" s="79">
        <f t="shared" si="11"/>
        <v>30</v>
      </c>
      <c r="I36" s="79">
        <f t="shared" si="11"/>
        <v>42</v>
      </c>
      <c r="J36" s="79">
        <f t="shared" si="11"/>
        <v>67</v>
      </c>
      <c r="K36" s="79">
        <f t="shared" si="11"/>
        <v>57</v>
      </c>
      <c r="L36" s="79">
        <f t="shared" si="11"/>
        <v>65</v>
      </c>
      <c r="M36" s="79">
        <f t="shared" si="11"/>
        <v>56</v>
      </c>
      <c r="N36" s="79">
        <f t="shared" si="11"/>
        <v>68</v>
      </c>
      <c r="O36" s="79">
        <f t="shared" si="11"/>
        <v>61</v>
      </c>
      <c r="P36" s="79">
        <f t="shared" si="11"/>
        <v>63</v>
      </c>
      <c r="Q36" s="79">
        <f t="shared" si="11"/>
        <v>58</v>
      </c>
      <c r="R36" s="79">
        <f t="shared" si="11"/>
        <v>68</v>
      </c>
      <c r="S36" s="79">
        <f t="shared" si="11"/>
        <v>81</v>
      </c>
      <c r="T36" s="13">
        <f t="shared" si="10"/>
        <v>865</v>
      </c>
    </row>
    <row r="37" ht="12.75" customHeight="1">
      <c r="A37" s="24"/>
      <c r="B37" s="15"/>
      <c r="C37" s="15"/>
      <c r="D37" s="15"/>
      <c r="E37" s="83"/>
      <c r="F37" s="15"/>
      <c r="G37" s="15"/>
      <c r="H37" s="15"/>
      <c r="I37" s="16"/>
      <c r="J37" s="80"/>
      <c r="K37" s="80"/>
      <c r="L37" s="80"/>
      <c r="M37" s="80"/>
      <c r="N37" s="80"/>
      <c r="O37" s="80"/>
      <c r="P37" s="80"/>
      <c r="Q37" s="80"/>
      <c r="R37" s="80"/>
      <c r="S37" s="83"/>
      <c r="T37" s="68"/>
    </row>
    <row r="38" ht="12.75" customHeight="1">
      <c r="A38" s="42" t="s">
        <v>31</v>
      </c>
      <c r="B38" s="14" t="s">
        <v>32</v>
      </c>
      <c r="C38" s="15"/>
      <c r="D38" s="16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68"/>
    </row>
    <row r="39" ht="12.75" customHeight="1">
      <c r="A39" s="30"/>
      <c r="B39" s="43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1.0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3.0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79">
        <f t="shared" ref="E41:S41" si="13">SUM(E39:E40)</f>
        <v>0</v>
      </c>
      <c r="F41" s="79">
        <f t="shared" si="13"/>
        <v>0</v>
      </c>
      <c r="G41" s="79">
        <f t="shared" si="13"/>
        <v>0</v>
      </c>
      <c r="H41" s="79">
        <f t="shared" si="13"/>
        <v>0</v>
      </c>
      <c r="I41" s="79">
        <f t="shared" si="13"/>
        <v>4</v>
      </c>
      <c r="J41" s="79">
        <f t="shared" si="13"/>
        <v>0</v>
      </c>
      <c r="K41" s="79">
        <f t="shared" si="13"/>
        <v>0</v>
      </c>
      <c r="L41" s="79">
        <f t="shared" si="13"/>
        <v>0</v>
      </c>
      <c r="M41" s="79">
        <f t="shared" si="13"/>
        <v>0</v>
      </c>
      <c r="N41" s="79">
        <f t="shared" si="13"/>
        <v>0</v>
      </c>
      <c r="O41" s="79">
        <f t="shared" si="13"/>
        <v>0</v>
      </c>
      <c r="P41" s="79">
        <f t="shared" si="13"/>
        <v>0</v>
      </c>
      <c r="Q41" s="79">
        <f t="shared" si="13"/>
        <v>0</v>
      </c>
      <c r="R41" s="79">
        <f t="shared" si="13"/>
        <v>0</v>
      </c>
      <c r="S41" s="79">
        <f t="shared" si="13"/>
        <v>0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6"/>
      <c r="N42" s="19"/>
      <c r="O42" s="19"/>
      <c r="P42" s="19"/>
      <c r="Q42" s="19"/>
      <c r="R42" s="67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69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67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12.0</v>
      </c>
      <c r="G45" s="19">
        <v>14.0</v>
      </c>
      <c r="H45" s="19">
        <v>2.0</v>
      </c>
      <c r="I45" s="19">
        <v>3.0</v>
      </c>
      <c r="J45" s="19">
        <v>8.0</v>
      </c>
      <c r="K45" s="19">
        <v>6.0</v>
      </c>
      <c r="L45" s="19">
        <v>6.0</v>
      </c>
      <c r="M45" s="19">
        <v>11.0</v>
      </c>
      <c r="N45" s="19">
        <v>6.0</v>
      </c>
      <c r="O45" s="19">
        <v>0.0</v>
      </c>
      <c r="P45" s="19">
        <v>0.0</v>
      </c>
      <c r="Q45" s="19">
        <v>4.0</v>
      </c>
      <c r="R45" s="19">
        <v>4.0</v>
      </c>
      <c r="S45" s="19">
        <v>6.0</v>
      </c>
      <c r="T45" s="13">
        <f t="shared" ref="T45:T52" si="14">SUM(E45:S45)</f>
        <v>87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28.0</v>
      </c>
      <c r="F46" s="19">
        <v>29.0</v>
      </c>
      <c r="G46" s="19">
        <v>59.0</v>
      </c>
      <c r="H46" s="19">
        <v>24.0</v>
      </c>
      <c r="I46" s="19">
        <v>20.0</v>
      </c>
      <c r="J46" s="19">
        <v>31.0</v>
      </c>
      <c r="K46" s="19">
        <v>29.0</v>
      </c>
      <c r="L46" s="19">
        <v>43.0</v>
      </c>
      <c r="M46" s="19">
        <v>26.0</v>
      </c>
      <c r="N46" s="19">
        <v>30.0</v>
      </c>
      <c r="O46" s="19">
        <v>1.0</v>
      </c>
      <c r="P46" s="19">
        <v>1.0</v>
      </c>
      <c r="Q46" s="19">
        <v>13.0</v>
      </c>
      <c r="R46" s="19">
        <v>30.0</v>
      </c>
      <c r="S46" s="19">
        <v>8.0</v>
      </c>
      <c r="T46" s="13">
        <f t="shared" si="14"/>
        <v>372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2.0</v>
      </c>
      <c r="G47" s="19">
        <v>4.0</v>
      </c>
      <c r="H47" s="19">
        <v>1.0</v>
      </c>
      <c r="I47" s="19">
        <v>2.0</v>
      </c>
      <c r="J47" s="19">
        <v>1.0</v>
      </c>
      <c r="K47" s="19">
        <v>7.0</v>
      </c>
      <c r="L47" s="19">
        <v>5.0</v>
      </c>
      <c r="M47" s="19">
        <v>0.0</v>
      </c>
      <c r="N47" s="19">
        <v>1.0</v>
      </c>
      <c r="O47" s="19">
        <v>0.0</v>
      </c>
      <c r="P47" s="19">
        <v>0.0</v>
      </c>
      <c r="Q47" s="19">
        <v>3.0</v>
      </c>
      <c r="R47" s="19">
        <v>3.0</v>
      </c>
      <c r="S47" s="19">
        <v>1.0</v>
      </c>
      <c r="T47" s="13">
        <f t="shared" si="14"/>
        <v>34</v>
      </c>
    </row>
    <row r="48" ht="12.75" customHeight="1">
      <c r="A48" s="18"/>
      <c r="B48" s="55">
        <v>3.0</v>
      </c>
      <c r="C48" s="50" t="s">
        <v>42</v>
      </c>
      <c r="D48" s="16"/>
      <c r="E48" s="19">
        <v>3.0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2.0</v>
      </c>
      <c r="L48" s="19">
        <v>0.0</v>
      </c>
      <c r="M48" s="19">
        <v>2.0</v>
      </c>
      <c r="N48" s="19">
        <v>1.0</v>
      </c>
      <c r="O48" s="19">
        <v>0.0</v>
      </c>
      <c r="P48" s="19">
        <v>0.0</v>
      </c>
      <c r="Q48" s="19">
        <v>2.0</v>
      </c>
      <c r="R48" s="19">
        <v>1.0</v>
      </c>
      <c r="S48" s="19">
        <v>0.0</v>
      </c>
      <c r="T48" s="13">
        <f t="shared" si="14"/>
        <v>12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1.0</v>
      </c>
      <c r="T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2.0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2.0</v>
      </c>
      <c r="R50" s="19">
        <v>0.0</v>
      </c>
      <c r="S50" s="19">
        <v>1.0</v>
      </c>
      <c r="T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1.0</v>
      </c>
      <c r="T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1.0</v>
      </c>
      <c r="I52" s="19">
        <v>0.0</v>
      </c>
      <c r="J52" s="19">
        <v>2.0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3">
        <f t="shared" si="14"/>
        <v>5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SUM(E45:E52)</f>
        <v>42</v>
      </c>
      <c r="F55" s="13">
        <f t="shared" si="15"/>
        <v>47</v>
      </c>
      <c r="G55" s="13">
        <f t="shared" si="15"/>
        <v>78</v>
      </c>
      <c r="H55" s="13">
        <f t="shared" si="15"/>
        <v>28</v>
      </c>
      <c r="I55" s="13">
        <f t="shared" si="15"/>
        <v>25</v>
      </c>
      <c r="J55" s="13">
        <f t="shared" si="15"/>
        <v>42</v>
      </c>
      <c r="K55" s="13">
        <f t="shared" si="15"/>
        <v>45</v>
      </c>
      <c r="L55" s="13">
        <f t="shared" si="15"/>
        <v>54</v>
      </c>
      <c r="M55" s="13">
        <f t="shared" si="15"/>
        <v>40</v>
      </c>
      <c r="N55" s="13">
        <f t="shared" si="15"/>
        <v>38</v>
      </c>
      <c r="O55" s="13">
        <f t="shared" si="15"/>
        <v>1</v>
      </c>
      <c r="P55" s="13">
        <f t="shared" si="15"/>
        <v>1</v>
      </c>
      <c r="Q55" s="13">
        <f t="shared" si="15"/>
        <v>25</v>
      </c>
      <c r="R55" s="13">
        <f t="shared" si="15"/>
        <v>40</v>
      </c>
      <c r="S55" s="13">
        <f t="shared" si="15"/>
        <v>18</v>
      </c>
      <c r="T55" s="13">
        <f>SUM(E55:S55)</f>
        <v>524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8.0</v>
      </c>
      <c r="G57" s="19">
        <v>8.0</v>
      </c>
      <c r="H57" s="19">
        <v>2.0</v>
      </c>
      <c r="I57" s="19">
        <v>1.0</v>
      </c>
      <c r="J57" s="19">
        <v>7.0</v>
      </c>
      <c r="K57" s="19">
        <v>9.0</v>
      </c>
      <c r="L57" s="19">
        <v>7.0</v>
      </c>
      <c r="M57" s="19">
        <v>4.0</v>
      </c>
      <c r="N57" s="19">
        <v>5.0</v>
      </c>
      <c r="O57" s="19">
        <v>3.0</v>
      </c>
      <c r="P57" s="19">
        <v>3.0</v>
      </c>
      <c r="Q57" s="19">
        <v>5.0</v>
      </c>
      <c r="R57" s="19">
        <v>11.0</v>
      </c>
      <c r="S57" s="19">
        <v>10.0</v>
      </c>
      <c r="T57" s="13">
        <f t="shared" ref="T57:T64" si="16">SUM(E57:S57)</f>
        <v>87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17.0</v>
      </c>
      <c r="G58" s="19">
        <v>6.0</v>
      </c>
      <c r="H58" s="19">
        <v>5.0</v>
      </c>
      <c r="I58" s="19">
        <v>4.0</v>
      </c>
      <c r="J58" s="19">
        <v>5.0</v>
      </c>
      <c r="K58" s="19">
        <v>2.0</v>
      </c>
      <c r="L58" s="19">
        <v>0.0</v>
      </c>
      <c r="M58" s="19">
        <v>1.0</v>
      </c>
      <c r="N58" s="19">
        <v>3.0</v>
      </c>
      <c r="O58" s="19">
        <v>6.0</v>
      </c>
      <c r="P58" s="19">
        <v>1.0</v>
      </c>
      <c r="Q58" s="19">
        <v>8.0</v>
      </c>
      <c r="R58" s="19">
        <v>8.0</v>
      </c>
      <c r="S58" s="19">
        <v>25.0</v>
      </c>
      <c r="T58" s="13">
        <f t="shared" si="16"/>
        <v>96</v>
      </c>
    </row>
    <row r="59" ht="12.75" customHeight="1">
      <c r="A59" s="18"/>
      <c r="B59" s="55">
        <v>2.0</v>
      </c>
      <c r="C59" s="50" t="s">
        <v>50</v>
      </c>
      <c r="D59" s="56"/>
      <c r="E59" s="19">
        <v>7.0</v>
      </c>
      <c r="F59" s="19">
        <v>4.0</v>
      </c>
      <c r="G59" s="19">
        <v>0.0</v>
      </c>
      <c r="H59" s="19">
        <v>1.0</v>
      </c>
      <c r="I59" s="19">
        <v>0.0</v>
      </c>
      <c r="J59" s="19">
        <v>0.0</v>
      </c>
      <c r="K59" s="19">
        <v>0.0</v>
      </c>
      <c r="L59" s="19">
        <v>3.0</v>
      </c>
      <c r="M59" s="19">
        <v>3.0</v>
      </c>
      <c r="N59" s="19">
        <v>1.0</v>
      </c>
      <c r="O59" s="19">
        <v>0.0</v>
      </c>
      <c r="P59" s="19">
        <v>1.0</v>
      </c>
      <c r="Q59" s="19">
        <v>5.0</v>
      </c>
      <c r="R59" s="19">
        <v>1.0</v>
      </c>
      <c r="S59" s="19">
        <v>5.0</v>
      </c>
      <c r="T59" s="13">
        <f t="shared" si="16"/>
        <v>31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1.0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2.0</v>
      </c>
      <c r="N60" s="19">
        <v>0.0</v>
      </c>
      <c r="O60" s="19">
        <v>1.0</v>
      </c>
      <c r="P60" s="19">
        <v>0.0</v>
      </c>
      <c r="Q60" s="19">
        <v>1.0</v>
      </c>
      <c r="R60" s="19">
        <v>1.0</v>
      </c>
      <c r="S60" s="19">
        <v>2.0</v>
      </c>
      <c r="T60" s="13">
        <f t="shared" si="16"/>
        <v>10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0.0</v>
      </c>
      <c r="G61" s="19">
        <v>1.0</v>
      </c>
      <c r="H61" s="19">
        <v>1.0</v>
      </c>
      <c r="I61" s="19">
        <v>0.0</v>
      </c>
      <c r="J61" s="19">
        <v>0.0</v>
      </c>
      <c r="K61" s="19">
        <v>0.0</v>
      </c>
      <c r="L61" s="19">
        <v>1.0</v>
      </c>
      <c r="M61" s="19">
        <v>0.0</v>
      </c>
      <c r="N61" s="19">
        <v>2.0</v>
      </c>
      <c r="O61" s="19">
        <v>0.0</v>
      </c>
      <c r="P61" s="19">
        <v>0.0</v>
      </c>
      <c r="Q61" s="19">
        <v>3.0</v>
      </c>
      <c r="R61" s="19">
        <v>0.0</v>
      </c>
      <c r="S61" s="19">
        <v>1.0</v>
      </c>
      <c r="T61" s="13">
        <f t="shared" si="16"/>
        <v>11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1.0</v>
      </c>
      <c r="P62" s="19">
        <v>1.0</v>
      </c>
      <c r="Q62" s="19">
        <v>1.0</v>
      </c>
      <c r="R62" s="19">
        <v>0.0</v>
      </c>
      <c r="S62" s="19">
        <v>0.0</v>
      </c>
      <c r="T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1.0</v>
      </c>
      <c r="H63" s="19">
        <v>1.0</v>
      </c>
      <c r="I63" s="19">
        <v>0.0</v>
      </c>
      <c r="J63" s="19">
        <v>0.0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1.0</v>
      </c>
      <c r="H64" s="19">
        <v>1.0</v>
      </c>
      <c r="I64" s="19">
        <v>0.0</v>
      </c>
      <c r="J64" s="19">
        <v>1.0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3">
        <f t="shared" si="16"/>
        <v>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SUM(E57:E64)</f>
        <v>21</v>
      </c>
      <c r="F67" s="13">
        <f t="shared" si="17"/>
        <v>32</v>
      </c>
      <c r="G67" s="13">
        <f t="shared" si="17"/>
        <v>17</v>
      </c>
      <c r="H67" s="13">
        <f t="shared" si="17"/>
        <v>11</v>
      </c>
      <c r="I67" s="13">
        <f t="shared" si="17"/>
        <v>5</v>
      </c>
      <c r="J67" s="13">
        <f t="shared" si="17"/>
        <v>13</v>
      </c>
      <c r="K67" s="13">
        <f t="shared" si="17"/>
        <v>12</v>
      </c>
      <c r="L67" s="13">
        <f t="shared" si="17"/>
        <v>12</v>
      </c>
      <c r="M67" s="13">
        <f t="shared" si="17"/>
        <v>10</v>
      </c>
      <c r="N67" s="13">
        <f t="shared" si="17"/>
        <v>11</v>
      </c>
      <c r="O67" s="13">
        <f t="shared" si="17"/>
        <v>11</v>
      </c>
      <c r="P67" s="13">
        <f t="shared" si="17"/>
        <v>6</v>
      </c>
      <c r="Q67" s="13">
        <f t="shared" si="17"/>
        <v>23</v>
      </c>
      <c r="R67" s="13">
        <f t="shared" si="17"/>
        <v>21</v>
      </c>
      <c r="S67" s="13">
        <f t="shared" si="17"/>
        <v>43</v>
      </c>
      <c r="T67" s="13">
        <f>SUM(E67:S67)</f>
        <v>248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5.0</v>
      </c>
      <c r="G69" s="19">
        <v>10.0</v>
      </c>
      <c r="H69" s="19">
        <v>3.0</v>
      </c>
      <c r="I69" s="19">
        <v>4.0</v>
      </c>
      <c r="J69" s="19">
        <v>4.0</v>
      </c>
      <c r="K69" s="19">
        <v>4.0</v>
      </c>
      <c r="L69" s="19">
        <v>9.0</v>
      </c>
      <c r="M69" s="19">
        <v>8.0</v>
      </c>
      <c r="N69" s="19">
        <v>14.0</v>
      </c>
      <c r="O69" s="19">
        <v>18.0</v>
      </c>
      <c r="P69" s="19">
        <v>18.0</v>
      </c>
      <c r="Q69" s="19">
        <v>11.0</v>
      </c>
      <c r="R69" s="19">
        <v>15.0</v>
      </c>
      <c r="S69" s="19">
        <v>8.0</v>
      </c>
      <c r="T69" s="13">
        <f t="shared" ref="T69:T76" si="18">SUM(E69:S69)</f>
        <v>137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22.0</v>
      </c>
      <c r="F70" s="19">
        <v>13.0</v>
      </c>
      <c r="G70" s="19">
        <v>2.0</v>
      </c>
      <c r="H70" s="19">
        <v>0.0</v>
      </c>
      <c r="I70" s="19">
        <v>1.0</v>
      </c>
      <c r="J70" s="19">
        <v>6.0</v>
      </c>
      <c r="K70" s="19">
        <v>8.0</v>
      </c>
      <c r="L70" s="19">
        <v>24.0</v>
      </c>
      <c r="M70" s="19">
        <v>81.0</v>
      </c>
      <c r="N70" s="19">
        <v>17.0</v>
      </c>
      <c r="O70" s="19">
        <v>19.0</v>
      </c>
      <c r="P70" s="19">
        <v>25.0</v>
      </c>
      <c r="Q70" s="19">
        <v>18.0</v>
      </c>
      <c r="R70" s="19">
        <v>13.0</v>
      </c>
      <c r="S70" s="19">
        <v>6.0</v>
      </c>
      <c r="T70" s="13">
        <f t="shared" si="18"/>
        <v>255</v>
      </c>
    </row>
    <row r="71" ht="12.75" customHeight="1">
      <c r="A71" s="18"/>
      <c r="B71" s="55">
        <v>2.0</v>
      </c>
      <c r="C71" s="50" t="s">
        <v>58</v>
      </c>
      <c r="D71" s="57"/>
      <c r="E71" s="19">
        <v>10.0</v>
      </c>
      <c r="F71" s="19">
        <v>18.0</v>
      </c>
      <c r="G71" s="19">
        <v>5.0</v>
      </c>
      <c r="H71" s="19">
        <v>7.0</v>
      </c>
      <c r="I71" s="19">
        <v>2.0</v>
      </c>
      <c r="J71" s="19">
        <v>3.0</v>
      </c>
      <c r="K71" s="19">
        <v>5.0</v>
      </c>
      <c r="L71" s="19">
        <v>1.0</v>
      </c>
      <c r="M71" s="19">
        <v>2.0</v>
      </c>
      <c r="N71" s="19">
        <v>13.0</v>
      </c>
      <c r="O71" s="19">
        <v>55.0</v>
      </c>
      <c r="P71" s="19">
        <v>51.0</v>
      </c>
      <c r="Q71" s="19">
        <v>11.0</v>
      </c>
      <c r="R71" s="19">
        <v>18.0</v>
      </c>
      <c r="S71" s="19">
        <v>2.0</v>
      </c>
      <c r="T71" s="13">
        <f t="shared" si="18"/>
        <v>203</v>
      </c>
    </row>
    <row r="72" ht="12.75" customHeight="1">
      <c r="A72" s="18"/>
      <c r="B72" s="55">
        <v>3.0</v>
      </c>
      <c r="C72" s="50" t="s">
        <v>59</v>
      </c>
      <c r="D72" s="57"/>
      <c r="E72" s="19">
        <v>9.0</v>
      </c>
      <c r="F72" s="19">
        <v>8.0</v>
      </c>
      <c r="G72" s="19">
        <v>11.0</v>
      </c>
      <c r="H72" s="19">
        <v>3.0</v>
      </c>
      <c r="I72" s="19">
        <v>2.0</v>
      </c>
      <c r="J72" s="19">
        <v>6.0</v>
      </c>
      <c r="K72" s="19">
        <v>5.0</v>
      </c>
      <c r="L72" s="19">
        <v>8.0</v>
      </c>
      <c r="M72" s="19">
        <v>5.0</v>
      </c>
      <c r="N72" s="19">
        <v>8.0</v>
      </c>
      <c r="O72" s="19">
        <v>3.0</v>
      </c>
      <c r="P72" s="19">
        <v>2.0</v>
      </c>
      <c r="Q72" s="19">
        <v>3.0</v>
      </c>
      <c r="R72" s="19">
        <v>18.0</v>
      </c>
      <c r="S72" s="19">
        <v>8.0</v>
      </c>
      <c r="T72" s="13">
        <f t="shared" si="18"/>
        <v>99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2.0</v>
      </c>
      <c r="M73" s="19">
        <v>1.0</v>
      </c>
      <c r="N73" s="19">
        <v>0.0</v>
      </c>
      <c r="O73" s="19">
        <v>1.0</v>
      </c>
      <c r="P73" s="19">
        <v>1.0</v>
      </c>
      <c r="Q73" s="19">
        <v>1.0</v>
      </c>
      <c r="R73" s="19">
        <v>0.0</v>
      </c>
      <c r="S73" s="19">
        <v>2.0</v>
      </c>
      <c r="T73" s="13">
        <f t="shared" si="18"/>
        <v>10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4.0</v>
      </c>
      <c r="G74" s="19">
        <v>1.0</v>
      </c>
      <c r="H74" s="19">
        <v>1.0</v>
      </c>
      <c r="I74" s="19">
        <v>0.0</v>
      </c>
      <c r="J74" s="19">
        <v>1.0</v>
      </c>
      <c r="K74" s="19">
        <v>0.0</v>
      </c>
      <c r="L74" s="19">
        <v>2.0</v>
      </c>
      <c r="M74" s="19">
        <v>2.0</v>
      </c>
      <c r="N74" s="19">
        <v>4.0</v>
      </c>
      <c r="O74" s="19">
        <v>2.0</v>
      </c>
      <c r="P74" s="19">
        <v>6.0</v>
      </c>
      <c r="Q74" s="19">
        <v>6.0</v>
      </c>
      <c r="R74" s="19">
        <v>1.0</v>
      </c>
      <c r="S74" s="19">
        <v>1.0</v>
      </c>
      <c r="T74" s="13">
        <f t="shared" si="18"/>
        <v>35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1.0</v>
      </c>
      <c r="P75" s="19">
        <v>0.0</v>
      </c>
      <c r="Q75" s="19">
        <v>1.0</v>
      </c>
      <c r="R75" s="19">
        <v>1.0</v>
      </c>
      <c r="S75" s="19">
        <v>1.0</v>
      </c>
      <c r="T75" s="13">
        <f t="shared" si="18"/>
        <v>7</v>
      </c>
    </row>
    <row r="76" ht="12.75" customHeight="1">
      <c r="A76" s="18"/>
      <c r="B76" s="55">
        <v>7.0</v>
      </c>
      <c r="C76" s="50" t="s">
        <v>63</v>
      </c>
      <c r="D76" s="57"/>
      <c r="E76" s="19">
        <v>19.0</v>
      </c>
      <c r="F76" s="19">
        <v>2.0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3.0</v>
      </c>
      <c r="P76" s="19">
        <v>15.0</v>
      </c>
      <c r="Q76" s="19">
        <v>11.0</v>
      </c>
      <c r="R76" s="19">
        <v>4.0</v>
      </c>
      <c r="S76" s="19">
        <v>3.0</v>
      </c>
      <c r="T76" s="13">
        <f t="shared" si="18"/>
        <v>58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SUM(E69:E76)</f>
        <v>72</v>
      </c>
      <c r="F79" s="13">
        <f t="shared" si="19"/>
        <v>51</v>
      </c>
      <c r="G79" s="13">
        <f t="shared" si="19"/>
        <v>29</v>
      </c>
      <c r="H79" s="13">
        <f t="shared" si="19"/>
        <v>15</v>
      </c>
      <c r="I79" s="13">
        <f t="shared" si="19"/>
        <v>9</v>
      </c>
      <c r="J79" s="13">
        <f t="shared" si="19"/>
        <v>21</v>
      </c>
      <c r="K79" s="13">
        <f t="shared" si="19"/>
        <v>22</v>
      </c>
      <c r="L79" s="13">
        <f t="shared" si="19"/>
        <v>47</v>
      </c>
      <c r="M79" s="13">
        <f t="shared" si="19"/>
        <v>99</v>
      </c>
      <c r="N79" s="13">
        <f t="shared" si="19"/>
        <v>56</v>
      </c>
      <c r="O79" s="13">
        <f t="shared" si="19"/>
        <v>102</v>
      </c>
      <c r="P79" s="13">
        <f t="shared" si="19"/>
        <v>118</v>
      </c>
      <c r="Q79" s="13">
        <f t="shared" si="19"/>
        <v>62</v>
      </c>
      <c r="R79" s="13">
        <f t="shared" si="19"/>
        <v>70</v>
      </c>
      <c r="S79" s="13">
        <f t="shared" si="19"/>
        <v>31</v>
      </c>
      <c r="T79" s="13">
        <f>SUM(E79:S79)</f>
        <v>804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2.0</v>
      </c>
      <c r="G81" s="19">
        <v>1.0</v>
      </c>
      <c r="H81" s="19">
        <v>2.0</v>
      </c>
      <c r="I81" s="19">
        <v>3.0</v>
      </c>
      <c r="J81" s="19">
        <v>1.0</v>
      </c>
      <c r="K81" s="19">
        <v>2.0</v>
      </c>
      <c r="L81" s="19">
        <v>1.0</v>
      </c>
      <c r="M81" s="19">
        <v>2.0</v>
      </c>
      <c r="N81" s="19">
        <v>1.0</v>
      </c>
      <c r="O81" s="19">
        <v>8.0</v>
      </c>
      <c r="P81" s="19">
        <v>2.0</v>
      </c>
      <c r="Q81" s="19">
        <v>1.0</v>
      </c>
      <c r="R81" s="19">
        <v>0.0</v>
      </c>
      <c r="S81" s="19">
        <v>1.0</v>
      </c>
      <c r="T81" s="13">
        <f t="shared" ref="T81:T88" si="20">SUM(E81:S81)</f>
        <v>28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2.0</v>
      </c>
      <c r="G82" s="19">
        <v>1.0</v>
      </c>
      <c r="H82" s="19">
        <v>11.0</v>
      </c>
      <c r="I82" s="19">
        <v>15.0</v>
      </c>
      <c r="J82" s="19">
        <v>1.0</v>
      </c>
      <c r="K82" s="19">
        <v>15.0</v>
      </c>
      <c r="L82" s="19">
        <v>1.0</v>
      </c>
      <c r="M82" s="19">
        <v>0.0</v>
      </c>
      <c r="N82" s="19">
        <v>2.0</v>
      </c>
      <c r="O82" s="19">
        <v>22.0</v>
      </c>
      <c r="P82" s="19">
        <v>12.0</v>
      </c>
      <c r="Q82" s="19">
        <v>1.0</v>
      </c>
      <c r="R82" s="19">
        <v>6.0</v>
      </c>
      <c r="S82" s="19">
        <v>0.0</v>
      </c>
      <c r="T82" s="13">
        <f t="shared" si="20"/>
        <v>94</v>
      </c>
    </row>
    <row r="83" ht="12.75" customHeight="1">
      <c r="A83" s="18"/>
      <c r="B83" s="55">
        <v>2.0</v>
      </c>
      <c r="C83" s="50" t="s">
        <v>66</v>
      </c>
      <c r="D83" s="57"/>
      <c r="E83" s="19">
        <v>6.0</v>
      </c>
      <c r="F83" s="19">
        <v>9.0</v>
      </c>
      <c r="G83" s="19">
        <v>2.0</v>
      </c>
      <c r="H83" s="19">
        <v>4.0</v>
      </c>
      <c r="I83" s="19">
        <v>14.0</v>
      </c>
      <c r="J83" s="19">
        <v>13.0</v>
      </c>
      <c r="K83" s="19">
        <v>43.0</v>
      </c>
      <c r="L83" s="19">
        <v>34.0</v>
      </c>
      <c r="M83" s="19">
        <v>12.0</v>
      </c>
      <c r="N83" s="19">
        <v>20.0</v>
      </c>
      <c r="O83" s="19">
        <v>1.0</v>
      </c>
      <c r="P83" s="19">
        <v>1.0</v>
      </c>
      <c r="Q83" s="19">
        <v>1.0</v>
      </c>
      <c r="R83" s="19">
        <v>3.0</v>
      </c>
      <c r="S83" s="19">
        <v>1.0</v>
      </c>
      <c r="T83" s="13">
        <f t="shared" si="20"/>
        <v>164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2.0</v>
      </c>
      <c r="O84" s="19">
        <v>1.0</v>
      </c>
      <c r="P84" s="19">
        <v>0.0</v>
      </c>
      <c r="Q84" s="19">
        <v>2.0</v>
      </c>
      <c r="R84" s="19">
        <v>0.0</v>
      </c>
      <c r="S84" s="19">
        <v>1.0</v>
      </c>
      <c r="T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1.0</v>
      </c>
      <c r="H85" s="19">
        <v>0.0</v>
      </c>
      <c r="I85" s="19">
        <v>2.0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1.0</v>
      </c>
      <c r="S85" s="19">
        <v>1.0</v>
      </c>
      <c r="T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0.0</v>
      </c>
      <c r="H86" s="19">
        <v>1.0</v>
      </c>
      <c r="I86" s="19">
        <v>3.0</v>
      </c>
      <c r="J86" s="19">
        <v>0.0</v>
      </c>
      <c r="K86" s="19">
        <v>1.0</v>
      </c>
      <c r="L86" s="19">
        <v>0.0</v>
      </c>
      <c r="M86" s="19">
        <v>1.0</v>
      </c>
      <c r="N86" s="19">
        <v>3.0</v>
      </c>
      <c r="O86" s="19">
        <v>13.0</v>
      </c>
      <c r="P86" s="19">
        <v>0.0</v>
      </c>
      <c r="Q86" s="19">
        <v>2.0</v>
      </c>
      <c r="R86" s="19">
        <v>0.0</v>
      </c>
      <c r="S86" s="19">
        <v>3.0</v>
      </c>
      <c r="T86" s="13">
        <f t="shared" si="20"/>
        <v>29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2.0</v>
      </c>
      <c r="P87" s="19">
        <v>0.0</v>
      </c>
      <c r="Q87" s="19">
        <v>0.0</v>
      </c>
      <c r="R87" s="19">
        <v>0.0</v>
      </c>
      <c r="S87" s="19">
        <v>0.0</v>
      </c>
      <c r="T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0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SUM(E81:E88)</f>
        <v>15</v>
      </c>
      <c r="F91" s="13">
        <f t="shared" si="21"/>
        <v>14</v>
      </c>
      <c r="G91" s="13">
        <f t="shared" si="21"/>
        <v>5</v>
      </c>
      <c r="H91" s="13">
        <f t="shared" si="21"/>
        <v>18</v>
      </c>
      <c r="I91" s="13">
        <f t="shared" si="21"/>
        <v>38</v>
      </c>
      <c r="J91" s="13">
        <f t="shared" si="21"/>
        <v>16</v>
      </c>
      <c r="K91" s="13">
        <f t="shared" si="21"/>
        <v>61</v>
      </c>
      <c r="L91" s="13">
        <f t="shared" si="21"/>
        <v>36</v>
      </c>
      <c r="M91" s="13">
        <f t="shared" si="21"/>
        <v>15</v>
      </c>
      <c r="N91" s="13">
        <f t="shared" si="21"/>
        <v>28</v>
      </c>
      <c r="O91" s="13">
        <f t="shared" si="21"/>
        <v>48</v>
      </c>
      <c r="P91" s="13">
        <f t="shared" si="21"/>
        <v>15</v>
      </c>
      <c r="Q91" s="13">
        <f t="shared" si="21"/>
        <v>7</v>
      </c>
      <c r="R91" s="13">
        <f t="shared" si="21"/>
        <v>10</v>
      </c>
      <c r="S91" s="13">
        <f t="shared" si="21"/>
        <v>7</v>
      </c>
      <c r="T91" s="13">
        <f>SUM(E91:S91)</f>
        <v>333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4.0</v>
      </c>
      <c r="G93" s="19">
        <v>0.0</v>
      </c>
      <c r="H93" s="19">
        <v>1.0</v>
      </c>
      <c r="I93" s="19">
        <v>0.0</v>
      </c>
      <c r="J93" s="19">
        <v>1.0</v>
      </c>
      <c r="K93" s="19">
        <v>1.0</v>
      </c>
      <c r="L93" s="19">
        <v>1.0</v>
      </c>
      <c r="M93" s="19">
        <v>0.0</v>
      </c>
      <c r="N93" s="19">
        <v>0.0</v>
      </c>
      <c r="O93" s="19">
        <v>1.0</v>
      </c>
      <c r="P93" s="19">
        <v>0.0</v>
      </c>
      <c r="Q93" s="19">
        <v>1.0</v>
      </c>
      <c r="R93" s="19">
        <v>4.0</v>
      </c>
      <c r="S93" s="19">
        <v>3.0</v>
      </c>
      <c r="T93" s="13">
        <f t="shared" ref="T93:T100" si="22">SUM(E93:S93)</f>
        <v>20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3.0</v>
      </c>
      <c r="G94" s="19">
        <v>2.0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1.0</v>
      </c>
      <c r="Q94" s="19">
        <v>0.0</v>
      </c>
      <c r="R94" s="19">
        <v>1.0</v>
      </c>
      <c r="S94" s="19">
        <v>0.0</v>
      </c>
      <c r="T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57"/>
      <c r="E95" s="19">
        <v>3.0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4.0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1.0</v>
      </c>
      <c r="S95" s="19">
        <v>0.0</v>
      </c>
      <c r="T95" s="13">
        <f t="shared" si="22"/>
        <v>10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2.0</v>
      </c>
      <c r="K96" s="19">
        <v>0.0</v>
      </c>
      <c r="L96" s="19">
        <v>1.0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3.0</v>
      </c>
      <c r="G97" s="19">
        <v>0.0</v>
      </c>
      <c r="H97" s="19">
        <v>1.0</v>
      </c>
      <c r="I97" s="19">
        <v>0.0</v>
      </c>
      <c r="J97" s="19">
        <v>3.0</v>
      </c>
      <c r="K97" s="19">
        <v>0.0</v>
      </c>
      <c r="L97" s="19">
        <v>3.0</v>
      </c>
      <c r="M97" s="19">
        <v>0.0</v>
      </c>
      <c r="N97" s="19">
        <v>1.0</v>
      </c>
      <c r="O97" s="19">
        <v>2.0</v>
      </c>
      <c r="P97" s="19">
        <v>1.0</v>
      </c>
      <c r="Q97" s="19">
        <v>5.0</v>
      </c>
      <c r="R97" s="19">
        <v>0.0</v>
      </c>
      <c r="S97" s="19">
        <v>0.0</v>
      </c>
      <c r="T97" s="13">
        <f t="shared" si="22"/>
        <v>21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1.0</v>
      </c>
      <c r="M98" s="19">
        <v>0.0</v>
      </c>
      <c r="N98" s="19">
        <v>0.0</v>
      </c>
      <c r="O98" s="19">
        <v>3.0</v>
      </c>
      <c r="P98" s="19">
        <v>0.0</v>
      </c>
      <c r="Q98" s="19">
        <v>0.0</v>
      </c>
      <c r="R98" s="19">
        <v>0.0</v>
      </c>
      <c r="S98" s="19">
        <v>0.0</v>
      </c>
      <c r="T98" s="13">
        <f t="shared" si="22"/>
        <v>6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SUM(E93:E100)</f>
        <v>10</v>
      </c>
      <c r="F103" s="13">
        <f t="shared" si="23"/>
        <v>11</v>
      </c>
      <c r="G103" s="13">
        <f t="shared" si="23"/>
        <v>2</v>
      </c>
      <c r="H103" s="13">
        <f t="shared" si="23"/>
        <v>2</v>
      </c>
      <c r="I103" s="13">
        <f t="shared" si="23"/>
        <v>0</v>
      </c>
      <c r="J103" s="13">
        <f t="shared" si="23"/>
        <v>8</v>
      </c>
      <c r="K103" s="13">
        <f t="shared" si="23"/>
        <v>5</v>
      </c>
      <c r="L103" s="13">
        <f t="shared" si="23"/>
        <v>6</v>
      </c>
      <c r="M103" s="13">
        <f t="shared" si="23"/>
        <v>0</v>
      </c>
      <c r="N103" s="13">
        <f t="shared" si="23"/>
        <v>1</v>
      </c>
      <c r="O103" s="13">
        <f t="shared" si="23"/>
        <v>8</v>
      </c>
      <c r="P103" s="13">
        <f t="shared" si="23"/>
        <v>2</v>
      </c>
      <c r="Q103" s="13">
        <f t="shared" si="23"/>
        <v>6</v>
      </c>
      <c r="R103" s="13">
        <f t="shared" si="23"/>
        <v>6</v>
      </c>
      <c r="S103" s="13">
        <f t="shared" si="23"/>
        <v>3</v>
      </c>
      <c r="T103" s="13">
        <f>SUM(E103:S103)</f>
        <v>70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3">
        <f t="shared" ref="T105:T112" si="24">SUM(E105:S105)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1.0</v>
      </c>
      <c r="T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1.0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1</v>
      </c>
      <c r="T115" s="13">
        <f>SUM(E115:S115)</f>
        <v>9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3.0</v>
      </c>
      <c r="F117" s="19">
        <v>1.0</v>
      </c>
      <c r="G117" s="19">
        <v>1.0</v>
      </c>
      <c r="H117" s="19">
        <v>0.0</v>
      </c>
      <c r="I117" s="19">
        <v>1.0</v>
      </c>
      <c r="J117" s="19">
        <v>1.0</v>
      </c>
      <c r="K117" s="19">
        <v>0.0</v>
      </c>
      <c r="L117" s="19">
        <v>3.0</v>
      </c>
      <c r="M117" s="19">
        <v>3.0</v>
      </c>
      <c r="N117" s="19">
        <v>0.0</v>
      </c>
      <c r="O117" s="19">
        <v>1.0</v>
      </c>
      <c r="P117" s="19">
        <v>0.0</v>
      </c>
      <c r="Q117" s="19">
        <v>1.0</v>
      </c>
      <c r="R117" s="19">
        <v>0.0</v>
      </c>
      <c r="S117" s="19">
        <v>1.0</v>
      </c>
      <c r="T117" s="13">
        <f t="shared" ref="T117:T120" si="26">SUM(E117:S117)</f>
        <v>16</v>
      </c>
      <c r="U117" s="5"/>
      <c r="V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2.0</v>
      </c>
      <c r="F118" s="19">
        <v>0.0</v>
      </c>
      <c r="G118" s="19">
        <v>1.0</v>
      </c>
      <c r="H118" s="19">
        <v>0.0</v>
      </c>
      <c r="I118" s="19">
        <v>0.0</v>
      </c>
      <c r="J118" s="19">
        <v>1.0</v>
      </c>
      <c r="K118" s="19">
        <v>1.0</v>
      </c>
      <c r="L118" s="19">
        <v>0.0</v>
      </c>
      <c r="M118" s="19">
        <v>0.0</v>
      </c>
      <c r="N118" s="19">
        <v>3.0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3">
        <f t="shared" si="26"/>
        <v>8</v>
      </c>
      <c r="U118" s="5"/>
      <c r="V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3">
        <f t="shared" si="26"/>
        <v>0</v>
      </c>
      <c r="U119" s="5"/>
      <c r="V119" s="5"/>
    </row>
    <row r="120" ht="12.75" customHeight="1">
      <c r="A120" s="18"/>
      <c r="B120" s="55">
        <v>3.0</v>
      </c>
      <c r="C120" s="50" t="s">
        <v>94</v>
      </c>
      <c r="D120" s="57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2</v>
      </c>
      <c r="U120" s="5"/>
      <c r="V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74"/>
      <c r="U121" s="5"/>
      <c r="V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74"/>
      <c r="U122" s="5"/>
      <c r="V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74"/>
      <c r="U123" s="5"/>
      <c r="V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74"/>
      <c r="U124" s="5"/>
      <c r="V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74"/>
      <c r="U125" s="5"/>
      <c r="V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74"/>
      <c r="U126" s="5"/>
      <c r="V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S127" si="27">SUM(E117:E120)</f>
        <v>6</v>
      </c>
      <c r="F127" s="58">
        <f t="shared" si="27"/>
        <v>1</v>
      </c>
      <c r="G127" s="58">
        <f t="shared" si="27"/>
        <v>2</v>
      </c>
      <c r="H127" s="58">
        <f t="shared" si="27"/>
        <v>0</v>
      </c>
      <c r="I127" s="58">
        <f t="shared" si="27"/>
        <v>1</v>
      </c>
      <c r="J127" s="58">
        <f t="shared" si="27"/>
        <v>2</v>
      </c>
      <c r="K127" s="58">
        <f t="shared" si="27"/>
        <v>1</v>
      </c>
      <c r="L127" s="58">
        <f t="shared" si="27"/>
        <v>3</v>
      </c>
      <c r="M127" s="58">
        <f t="shared" si="27"/>
        <v>4</v>
      </c>
      <c r="N127" s="58">
        <f t="shared" si="27"/>
        <v>3</v>
      </c>
      <c r="O127" s="58">
        <f t="shared" si="27"/>
        <v>1</v>
      </c>
      <c r="P127" s="58">
        <f t="shared" si="27"/>
        <v>0</v>
      </c>
      <c r="Q127" s="58">
        <f t="shared" si="27"/>
        <v>1</v>
      </c>
      <c r="R127" s="58">
        <f t="shared" si="27"/>
        <v>0</v>
      </c>
      <c r="S127" s="58">
        <f t="shared" si="27"/>
        <v>1</v>
      </c>
      <c r="T127" s="13">
        <f>SUM(E127:S127)</f>
        <v>26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5"/>
      <c r="V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9">
        <v>0.0</v>
      </c>
      <c r="T129" s="13">
        <f t="shared" ref="T129:T136" si="28">SUM(E129:S129)</f>
        <v>1</v>
      </c>
      <c r="U129" s="5"/>
      <c r="V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8.0</v>
      </c>
      <c r="G130" s="19">
        <v>2.0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0.0</v>
      </c>
      <c r="N130" s="19">
        <v>2.0</v>
      </c>
      <c r="O130" s="19">
        <v>0.0</v>
      </c>
      <c r="P130" s="19">
        <v>0.0</v>
      </c>
      <c r="Q130" s="19">
        <v>21.0</v>
      </c>
      <c r="R130" s="19">
        <v>9.0</v>
      </c>
      <c r="S130" s="19">
        <v>5.0</v>
      </c>
      <c r="T130" s="13">
        <f t="shared" si="28"/>
        <v>49</v>
      </c>
      <c r="U130" s="1"/>
      <c r="V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si="28"/>
        <v>2</v>
      </c>
      <c r="U131" s="52"/>
      <c r="V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0</v>
      </c>
      <c r="U132" s="5"/>
      <c r="V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1</v>
      </c>
      <c r="U133" s="5"/>
      <c r="V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0</v>
      </c>
      <c r="U134" s="5"/>
      <c r="V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0</v>
      </c>
      <c r="U135" s="5"/>
      <c r="V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1.0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1</v>
      </c>
      <c r="U136" s="5"/>
      <c r="V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74"/>
      <c r="U137" s="5"/>
      <c r="V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74"/>
      <c r="U138" s="5"/>
      <c r="V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SUM(E129:E136)</f>
        <v>2</v>
      </c>
      <c r="F139" s="13">
        <f t="shared" si="29"/>
        <v>8</v>
      </c>
      <c r="G139" s="13">
        <f t="shared" si="29"/>
        <v>3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1</v>
      </c>
      <c r="L139" s="13">
        <f t="shared" si="29"/>
        <v>2</v>
      </c>
      <c r="M139" s="13">
        <f t="shared" si="29"/>
        <v>0</v>
      </c>
      <c r="N139" s="13">
        <f t="shared" si="29"/>
        <v>2</v>
      </c>
      <c r="O139" s="13">
        <f t="shared" si="29"/>
        <v>0</v>
      </c>
      <c r="P139" s="13">
        <f t="shared" si="29"/>
        <v>0</v>
      </c>
      <c r="Q139" s="13">
        <f t="shared" si="29"/>
        <v>21</v>
      </c>
      <c r="R139" s="13">
        <f t="shared" si="29"/>
        <v>10</v>
      </c>
      <c r="S139" s="13">
        <f t="shared" si="29"/>
        <v>5</v>
      </c>
      <c r="T139" s="13">
        <f>SUM(E139:S139)</f>
        <v>54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5"/>
      <c r="V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48" si="30">SUM(E141:S141)</f>
        <v>1</v>
      </c>
      <c r="U141" s="1"/>
      <c r="V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  <c r="U142" s="52"/>
      <c r="V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1.0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1</v>
      </c>
      <c r="U143" s="5"/>
      <c r="V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5">
        <v>5.0</v>
      </c>
      <c r="C146" s="50" t="s">
        <v>110</v>
      </c>
      <c r="D146" s="57"/>
      <c r="E146" s="19">
        <v>1.0</v>
      </c>
      <c r="F146" s="19">
        <v>1.0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2</v>
      </c>
      <c r="U146" s="5"/>
      <c r="V146" s="5"/>
    </row>
    <row r="147" ht="12.75" customHeight="1">
      <c r="A147" s="18"/>
      <c r="B147" s="55">
        <v>6.0</v>
      </c>
      <c r="C147" s="50" t="s">
        <v>111</v>
      </c>
      <c r="D147" s="57"/>
      <c r="E147" s="19">
        <v>1.0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1</v>
      </c>
      <c r="U147" s="5"/>
      <c r="V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74"/>
      <c r="U149" s="5"/>
      <c r="V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74"/>
      <c r="U150" s="5"/>
      <c r="V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SUM(E141:E148)</f>
        <v>4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5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13"/>
      <c r="U152" s="52"/>
      <c r="V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0.0</v>
      </c>
      <c r="Q153" s="19">
        <v>0.0</v>
      </c>
      <c r="R153" s="19">
        <v>3.0</v>
      </c>
      <c r="S153" s="19">
        <v>0.0</v>
      </c>
      <c r="T153" s="13">
        <f t="shared" ref="T153:T156" si="32">SUM(E154:S154)</f>
        <v>12</v>
      </c>
      <c r="U153" s="5"/>
      <c r="V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2.0</v>
      </c>
      <c r="I154" s="19">
        <v>1.0</v>
      </c>
      <c r="J154" s="19">
        <v>2.0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2.0</v>
      </c>
      <c r="Q154" s="19">
        <v>1.0</v>
      </c>
      <c r="R154" s="19">
        <v>2.0</v>
      </c>
      <c r="S154" s="19">
        <v>0.0</v>
      </c>
      <c r="T154" s="13">
        <f t="shared" si="32"/>
        <v>4</v>
      </c>
      <c r="U154" s="5"/>
      <c r="V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2.0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3">
        <f t="shared" si="32"/>
        <v>1</v>
      </c>
      <c r="U155" s="5"/>
      <c r="V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1.0</v>
      </c>
      <c r="S156" s="19">
        <v>0.0</v>
      </c>
      <c r="T156" s="13">
        <f t="shared" si="32"/>
        <v>0</v>
      </c>
      <c r="U156" s="5"/>
      <c r="V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>SUM(E163:S163)</f>
        <v>21</v>
      </c>
      <c r="U157" s="5"/>
      <c r="V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74"/>
      <c r="U158" s="5"/>
      <c r="V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74"/>
      <c r="U159" s="5"/>
      <c r="V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74"/>
      <c r="U160" s="5"/>
      <c r="V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74"/>
      <c r="U161" s="5"/>
      <c r="V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74"/>
      <c r="U162" s="5"/>
      <c r="V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S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2</v>
      </c>
      <c r="I163" s="13">
        <f t="shared" si="33"/>
        <v>1</v>
      </c>
      <c r="J163" s="13">
        <f t="shared" si="33"/>
        <v>4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3</v>
      </c>
      <c r="Q163" s="13">
        <f t="shared" si="33"/>
        <v>1</v>
      </c>
      <c r="R163" s="13">
        <f t="shared" si="33"/>
        <v>6</v>
      </c>
      <c r="S163" s="13">
        <f t="shared" si="33"/>
        <v>0</v>
      </c>
      <c r="T163" s="13">
        <f>SUM(E164:S164)</f>
        <v>0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5"/>
      <c r="V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ref="T165:T172" si="34">SUM(E165:S165)</f>
        <v>1</v>
      </c>
      <c r="U165" s="1"/>
      <c r="V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3">
        <f t="shared" si="34"/>
        <v>2</v>
      </c>
      <c r="U166" s="52"/>
      <c r="V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1.0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3">
        <f t="shared" si="34"/>
        <v>2</v>
      </c>
      <c r="U167" s="5"/>
      <c r="V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1.0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2</v>
      </c>
      <c r="U168" s="5"/>
      <c r="V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0</v>
      </c>
      <c r="U170" s="5"/>
      <c r="V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  <c r="U172" s="5"/>
      <c r="V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74"/>
      <c r="U173" s="5"/>
      <c r="V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74"/>
      <c r="U174" s="5"/>
      <c r="V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5">SUM(E165:E172)</f>
        <v>0</v>
      </c>
      <c r="F175" s="13">
        <f t="shared" si="35"/>
        <v>2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>SUM(E175:S175)</f>
        <v>7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1"/>
      <c r="V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3">
        <f t="shared" ref="T177:T184" si="36">SUM(E177:S177)</f>
        <v>2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1.0</v>
      </c>
      <c r="T178" s="13">
        <f t="shared" si="36"/>
        <v>4</v>
      </c>
      <c r="U178" s="5"/>
      <c r="V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6"/>
        <v>0</v>
      </c>
      <c r="U179" s="5"/>
      <c r="V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0</v>
      </c>
      <c r="U180" s="5"/>
      <c r="V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1</v>
      </c>
      <c r="U181" s="5"/>
      <c r="V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0</v>
      </c>
      <c r="U182" s="5"/>
      <c r="V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  <c r="U183" s="5"/>
      <c r="V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6"/>
        <v>0</v>
      </c>
      <c r="U184" s="5"/>
      <c r="V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74"/>
      <c r="U185" s="5"/>
      <c r="V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74"/>
      <c r="U186" s="5"/>
      <c r="V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7">SUM(E177:E184)</f>
        <v>0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1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>SUM(E187:S187)</f>
        <v>7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6" si="38">SUM(E189:S189)</f>
        <v>0</v>
      </c>
      <c r="U189" s="5"/>
      <c r="V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0</v>
      </c>
      <c r="U190" s="5"/>
      <c r="V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1</v>
      </c>
      <c r="U191" s="5"/>
      <c r="V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  <c r="U192" s="5"/>
      <c r="V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  <c r="U193" s="5"/>
      <c r="V193" s="5"/>
    </row>
    <row r="194" ht="12.75" customHeight="1">
      <c r="A194" s="18"/>
      <c r="B194" s="55">
        <v>5.0</v>
      </c>
      <c r="C194" s="50" t="s">
        <v>143</v>
      </c>
      <c r="D194" s="57"/>
      <c r="E194" s="19">
        <v>1.0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1</v>
      </c>
      <c r="U194" s="5"/>
      <c r="V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74"/>
      <c r="U197" s="1"/>
      <c r="V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74"/>
      <c r="U198" s="1"/>
      <c r="V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39">SUM(E189:E196)</f>
        <v>2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>SUM(E199:S199)</f>
        <v>2</v>
      </c>
      <c r="U199" s="52"/>
      <c r="V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5"/>
      <c r="V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2.0</v>
      </c>
      <c r="G201" s="19">
        <v>7.0</v>
      </c>
      <c r="H201" s="19">
        <v>14.0</v>
      </c>
      <c r="I201" s="19">
        <v>0.0</v>
      </c>
      <c r="J201" s="19">
        <v>6.0</v>
      </c>
      <c r="K201" s="19">
        <v>0.0</v>
      </c>
      <c r="L201" s="19">
        <v>1.0</v>
      </c>
      <c r="M201" s="19">
        <v>1.0</v>
      </c>
      <c r="N201" s="19">
        <v>3.0</v>
      </c>
      <c r="O201" s="19">
        <v>2.0</v>
      </c>
      <c r="P201" s="19">
        <v>1.0</v>
      </c>
      <c r="Q201" s="19">
        <v>2.0</v>
      </c>
      <c r="R201" s="19">
        <v>2.0</v>
      </c>
      <c r="S201" s="19">
        <v>9.0</v>
      </c>
      <c r="T201" s="13">
        <f t="shared" ref="T201:T208" si="40">SUM(E201:S201)</f>
        <v>51</v>
      </c>
      <c r="U201" s="5"/>
      <c r="V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5.0</v>
      </c>
      <c r="F202" s="19">
        <v>5.0</v>
      </c>
      <c r="G202" s="19">
        <v>11.0</v>
      </c>
      <c r="H202" s="19">
        <v>19.0</v>
      </c>
      <c r="I202" s="19">
        <v>6.0</v>
      </c>
      <c r="J202" s="19">
        <v>16.0</v>
      </c>
      <c r="K202" s="19">
        <v>7.0</v>
      </c>
      <c r="L202" s="19">
        <v>5.0</v>
      </c>
      <c r="M202" s="19">
        <v>1.0</v>
      </c>
      <c r="N202" s="19">
        <v>4.0</v>
      </c>
      <c r="O202" s="19">
        <v>1.0</v>
      </c>
      <c r="P202" s="19">
        <v>1.0</v>
      </c>
      <c r="Q202" s="19">
        <v>5.0</v>
      </c>
      <c r="R202" s="19">
        <v>5.0</v>
      </c>
      <c r="S202" s="19">
        <v>14.0</v>
      </c>
      <c r="T202" s="13">
        <f t="shared" si="40"/>
        <v>105</v>
      </c>
      <c r="U202" s="5"/>
      <c r="V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1.0</v>
      </c>
      <c r="H203" s="19">
        <v>4.0</v>
      </c>
      <c r="I203" s="19">
        <v>3.0</v>
      </c>
      <c r="J203" s="19">
        <v>6.0</v>
      </c>
      <c r="K203" s="19">
        <v>4.0</v>
      </c>
      <c r="L203" s="19">
        <v>0.0</v>
      </c>
      <c r="M203" s="19">
        <v>1.0</v>
      </c>
      <c r="N203" s="19">
        <v>2.0</v>
      </c>
      <c r="O203" s="19">
        <v>0.0</v>
      </c>
      <c r="P203" s="19">
        <v>0.0</v>
      </c>
      <c r="Q203" s="19">
        <v>0.0</v>
      </c>
      <c r="R203" s="19">
        <v>0.0</v>
      </c>
      <c r="S203" s="19">
        <v>2.0</v>
      </c>
      <c r="T203" s="13">
        <f t="shared" si="40"/>
        <v>26</v>
      </c>
      <c r="U203" s="5"/>
      <c r="V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2.0</v>
      </c>
      <c r="G204" s="19">
        <v>5.0</v>
      </c>
      <c r="H204" s="19">
        <v>1.0</v>
      </c>
      <c r="I204" s="19">
        <v>1.0</v>
      </c>
      <c r="J204" s="19">
        <v>6.0</v>
      </c>
      <c r="K204" s="19">
        <v>1.0</v>
      </c>
      <c r="L204" s="19">
        <v>1.0</v>
      </c>
      <c r="M204" s="19">
        <v>4.0</v>
      </c>
      <c r="N204" s="19">
        <v>18.0</v>
      </c>
      <c r="O204" s="19">
        <v>1.0</v>
      </c>
      <c r="P204" s="19">
        <v>0.0</v>
      </c>
      <c r="Q204" s="19">
        <v>3.0</v>
      </c>
      <c r="R204" s="19">
        <v>1.0</v>
      </c>
      <c r="S204" s="19">
        <v>4.0</v>
      </c>
      <c r="T204" s="13">
        <f t="shared" si="40"/>
        <v>49</v>
      </c>
      <c r="U204" s="5"/>
      <c r="V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1.0</v>
      </c>
      <c r="I205" s="19">
        <v>0.0</v>
      </c>
      <c r="J205" s="19">
        <v>2.0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3">
        <f t="shared" si="40"/>
        <v>6</v>
      </c>
      <c r="U205" s="5"/>
      <c r="V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1.0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3">
        <f t="shared" si="40"/>
        <v>4</v>
      </c>
      <c r="U206" s="5"/>
      <c r="V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1.0</v>
      </c>
      <c r="T207" s="13">
        <f t="shared" si="40"/>
        <v>1</v>
      </c>
      <c r="U207" s="1"/>
      <c r="V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2</v>
      </c>
      <c r="U208" s="52"/>
      <c r="V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74"/>
      <c r="U209" s="52"/>
      <c r="V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74"/>
      <c r="U210" s="52"/>
      <c r="V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1">SUM(E201:E208)</f>
        <v>9</v>
      </c>
      <c r="F211" s="13">
        <f t="shared" si="41"/>
        <v>13</v>
      </c>
      <c r="G211" s="13">
        <f t="shared" si="41"/>
        <v>24</v>
      </c>
      <c r="H211" s="13">
        <f t="shared" si="41"/>
        <v>40</v>
      </c>
      <c r="I211" s="13">
        <f t="shared" si="41"/>
        <v>10</v>
      </c>
      <c r="J211" s="13">
        <f t="shared" si="41"/>
        <v>37</v>
      </c>
      <c r="K211" s="13">
        <f t="shared" si="41"/>
        <v>12</v>
      </c>
      <c r="L211" s="13">
        <f t="shared" si="41"/>
        <v>8</v>
      </c>
      <c r="M211" s="13">
        <f t="shared" si="41"/>
        <v>7</v>
      </c>
      <c r="N211" s="13">
        <f t="shared" si="41"/>
        <v>28</v>
      </c>
      <c r="O211" s="13">
        <f t="shared" si="41"/>
        <v>4</v>
      </c>
      <c r="P211" s="13">
        <f t="shared" si="41"/>
        <v>2</v>
      </c>
      <c r="Q211" s="13">
        <f t="shared" si="41"/>
        <v>10</v>
      </c>
      <c r="R211" s="13">
        <f t="shared" si="41"/>
        <v>9</v>
      </c>
      <c r="S211" s="13">
        <f t="shared" si="41"/>
        <v>31</v>
      </c>
      <c r="T211" s="13">
        <f>SUM(E211:S211)</f>
        <v>244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5"/>
      <c r="V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1.0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1.0</v>
      </c>
      <c r="N213" s="19">
        <v>4.0</v>
      </c>
      <c r="O213" s="19">
        <v>2.0</v>
      </c>
      <c r="P213" s="19">
        <v>2.0</v>
      </c>
      <c r="Q213" s="19">
        <v>0.0</v>
      </c>
      <c r="R213" s="19">
        <v>0.0</v>
      </c>
      <c r="S213" s="19">
        <v>0.0</v>
      </c>
      <c r="T213" s="13">
        <f t="shared" ref="T213:T220" si="42">SUM(E213:S213)</f>
        <v>10</v>
      </c>
      <c r="U213" s="5"/>
      <c r="V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1.0</v>
      </c>
      <c r="G214" s="19">
        <v>2.0</v>
      </c>
      <c r="H214" s="19">
        <v>1.0</v>
      </c>
      <c r="I214" s="19">
        <v>0.0</v>
      </c>
      <c r="J214" s="19">
        <v>0.0</v>
      </c>
      <c r="K214" s="19">
        <v>3.0</v>
      </c>
      <c r="L214" s="19">
        <v>0.0</v>
      </c>
      <c r="M214" s="19">
        <v>1.0</v>
      </c>
      <c r="N214" s="19">
        <v>0.0</v>
      </c>
      <c r="O214" s="19">
        <v>0.0</v>
      </c>
      <c r="P214" s="19">
        <v>0.0</v>
      </c>
      <c r="Q214" s="19">
        <v>0.0</v>
      </c>
      <c r="R214" s="19">
        <v>1.0</v>
      </c>
      <c r="S214" s="19">
        <v>2.0</v>
      </c>
      <c r="T214" s="13">
        <f t="shared" si="42"/>
        <v>13</v>
      </c>
      <c r="U214" s="5"/>
      <c r="V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2.0</v>
      </c>
      <c r="G215" s="19">
        <v>1.0</v>
      </c>
      <c r="H215" s="19">
        <v>33.0</v>
      </c>
      <c r="I215" s="19">
        <v>17.0</v>
      </c>
      <c r="J215" s="19">
        <v>4.0</v>
      </c>
      <c r="K215" s="19">
        <v>8.0</v>
      </c>
      <c r="L215" s="19">
        <v>3.0</v>
      </c>
      <c r="M215" s="19">
        <v>7.0</v>
      </c>
      <c r="N215" s="19">
        <v>16.0</v>
      </c>
      <c r="O215" s="19">
        <v>0.0</v>
      </c>
      <c r="P215" s="19">
        <v>0.0</v>
      </c>
      <c r="Q215" s="19">
        <v>6.0</v>
      </c>
      <c r="R215" s="19">
        <v>2.0</v>
      </c>
      <c r="S215" s="19">
        <v>2.0</v>
      </c>
      <c r="T215" s="13">
        <f t="shared" si="42"/>
        <v>103</v>
      </c>
      <c r="U215" s="5"/>
      <c r="V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3">
        <f t="shared" si="42"/>
        <v>3</v>
      </c>
      <c r="U216" s="5"/>
      <c r="V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1.0</v>
      </c>
      <c r="Q217" s="19">
        <v>0.0</v>
      </c>
      <c r="R217" s="19">
        <v>0.0</v>
      </c>
      <c r="S217" s="19">
        <v>0.0</v>
      </c>
      <c r="T217" s="13">
        <f t="shared" si="42"/>
        <v>2</v>
      </c>
      <c r="U217" s="5"/>
      <c r="V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1.0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2</v>
      </c>
      <c r="U218" s="1"/>
      <c r="V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2.0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2</v>
      </c>
      <c r="U219" s="52"/>
      <c r="V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1.0</v>
      </c>
      <c r="Q220" s="19">
        <v>0.0</v>
      </c>
      <c r="R220" s="19">
        <v>0.0</v>
      </c>
      <c r="S220" s="19">
        <v>0.0</v>
      </c>
      <c r="T220" s="13">
        <f t="shared" si="42"/>
        <v>1</v>
      </c>
      <c r="U220" s="5"/>
      <c r="V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74"/>
      <c r="U221" s="5"/>
      <c r="V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74"/>
      <c r="U222" s="5"/>
      <c r="V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3">SUM(E213:E220)</f>
        <v>5</v>
      </c>
      <c r="F223" s="13">
        <f t="shared" si="43"/>
        <v>5</v>
      </c>
      <c r="G223" s="13">
        <f t="shared" si="43"/>
        <v>6</v>
      </c>
      <c r="H223" s="13">
        <f t="shared" si="43"/>
        <v>34</v>
      </c>
      <c r="I223" s="13">
        <f t="shared" si="43"/>
        <v>18</v>
      </c>
      <c r="J223" s="13">
        <f t="shared" si="43"/>
        <v>5</v>
      </c>
      <c r="K223" s="13">
        <f t="shared" si="43"/>
        <v>11</v>
      </c>
      <c r="L223" s="13">
        <f t="shared" si="43"/>
        <v>3</v>
      </c>
      <c r="M223" s="13">
        <f t="shared" si="43"/>
        <v>9</v>
      </c>
      <c r="N223" s="13">
        <f t="shared" si="43"/>
        <v>20</v>
      </c>
      <c r="O223" s="13">
        <f t="shared" si="43"/>
        <v>2</v>
      </c>
      <c r="P223" s="13">
        <f t="shared" si="43"/>
        <v>4</v>
      </c>
      <c r="Q223" s="13">
        <f t="shared" si="43"/>
        <v>7</v>
      </c>
      <c r="R223" s="13">
        <f t="shared" si="43"/>
        <v>3</v>
      </c>
      <c r="S223" s="13">
        <f t="shared" si="43"/>
        <v>4</v>
      </c>
      <c r="T223" s="13">
        <f>SUM(E223:S223)</f>
        <v>136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5"/>
      <c r="V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2" si="44">SUM(E225:S225)</f>
        <v>2</v>
      </c>
      <c r="U225" s="5"/>
      <c r="V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4"/>
        <v>1</v>
      </c>
      <c r="U226" s="5"/>
      <c r="V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0</v>
      </c>
      <c r="U227" s="5"/>
      <c r="V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1</v>
      </c>
      <c r="U228" s="5"/>
      <c r="V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  <c r="U229" s="1"/>
      <c r="V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  <c r="U230" s="52"/>
      <c r="V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1</v>
      </c>
      <c r="U232" s="5"/>
      <c r="V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74"/>
      <c r="U233" s="5"/>
      <c r="V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74"/>
      <c r="U234" s="5"/>
      <c r="V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5">SUM(E225:E232)</f>
        <v>1</v>
      </c>
      <c r="F235" s="13">
        <f t="shared" si="45"/>
        <v>3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>SUM(E235:S235)</f>
        <v>5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5"/>
      <c r="V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2.0</v>
      </c>
      <c r="G237" s="19">
        <v>0.0</v>
      </c>
      <c r="H237" s="19">
        <v>3.0</v>
      </c>
      <c r="I237" s="19">
        <v>5.0</v>
      </c>
      <c r="J237" s="19">
        <v>2.0</v>
      </c>
      <c r="K237" s="19">
        <v>0.0</v>
      </c>
      <c r="L237" s="19">
        <v>1.0</v>
      </c>
      <c r="M237" s="19">
        <v>1.0</v>
      </c>
      <c r="N237" s="19">
        <v>4.0</v>
      </c>
      <c r="O237" s="19">
        <v>0.0</v>
      </c>
      <c r="P237" s="19">
        <v>1.0</v>
      </c>
      <c r="Q237" s="19">
        <v>6.0</v>
      </c>
      <c r="R237" s="19">
        <v>0.0</v>
      </c>
      <c r="S237" s="19">
        <v>3.0</v>
      </c>
      <c r="T237" s="13">
        <f t="shared" ref="T237:T244" si="46">SUM(E237:S237)</f>
        <v>28</v>
      </c>
      <c r="U237" s="5"/>
      <c r="V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0.0</v>
      </c>
      <c r="G238" s="19">
        <v>1.0</v>
      </c>
      <c r="H238" s="19">
        <v>2.0</v>
      </c>
      <c r="I238" s="19">
        <v>0.0</v>
      </c>
      <c r="J238" s="19">
        <v>2.0</v>
      </c>
      <c r="K238" s="19">
        <v>0.0</v>
      </c>
      <c r="L238" s="19">
        <v>0.0</v>
      </c>
      <c r="M238" s="19">
        <v>1.0</v>
      </c>
      <c r="N238" s="19">
        <v>1.0</v>
      </c>
      <c r="O238" s="19">
        <v>0.0</v>
      </c>
      <c r="P238" s="19">
        <v>0.0</v>
      </c>
      <c r="Q238" s="19">
        <v>1.0</v>
      </c>
      <c r="R238" s="19">
        <v>1.0</v>
      </c>
      <c r="S238" s="19">
        <v>0.0</v>
      </c>
      <c r="T238" s="13">
        <f t="shared" si="46"/>
        <v>10</v>
      </c>
      <c r="U238" s="5"/>
      <c r="V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4.0</v>
      </c>
      <c r="H239" s="19">
        <v>0.0</v>
      </c>
      <c r="I239" s="19">
        <v>4.0</v>
      </c>
      <c r="J239" s="19">
        <v>7.0</v>
      </c>
      <c r="K239" s="19">
        <v>7.0</v>
      </c>
      <c r="L239" s="19">
        <v>3.0</v>
      </c>
      <c r="M239" s="19">
        <v>2.0</v>
      </c>
      <c r="N239" s="19">
        <v>4.0</v>
      </c>
      <c r="O239" s="19">
        <v>0.0</v>
      </c>
      <c r="P239" s="19">
        <v>2.0</v>
      </c>
      <c r="Q239" s="19">
        <v>10.0</v>
      </c>
      <c r="R239" s="19">
        <v>5.0</v>
      </c>
      <c r="S239" s="19">
        <v>10.0</v>
      </c>
      <c r="T239" s="13">
        <f t="shared" si="46"/>
        <v>58</v>
      </c>
      <c r="U239" s="5"/>
      <c r="V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1.0</v>
      </c>
      <c r="I240" s="19">
        <v>0.0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3">
        <f t="shared" si="46"/>
        <v>4</v>
      </c>
      <c r="U240" s="1"/>
      <c r="V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1.0</v>
      </c>
      <c r="K241" s="19">
        <v>1.0</v>
      </c>
      <c r="L241" s="19">
        <v>1.0</v>
      </c>
      <c r="M241" s="19">
        <v>0.0</v>
      </c>
      <c r="N241" s="19">
        <v>3.0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1.0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1.0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39.0</v>
      </c>
      <c r="F244" s="19">
        <v>6.0</v>
      </c>
      <c r="G244" s="19">
        <v>7.0</v>
      </c>
      <c r="H244" s="19">
        <v>37.0</v>
      </c>
      <c r="I244" s="19">
        <v>71.0</v>
      </c>
      <c r="J244" s="19">
        <v>19.0</v>
      </c>
      <c r="K244" s="19">
        <v>8.0</v>
      </c>
      <c r="L244" s="19">
        <v>7.0</v>
      </c>
      <c r="M244" s="19">
        <v>13.0</v>
      </c>
      <c r="N244" s="19">
        <v>2.0</v>
      </c>
      <c r="O244" s="19">
        <v>0.0</v>
      </c>
      <c r="P244" s="19">
        <v>19.0</v>
      </c>
      <c r="Q244" s="19">
        <v>1.0</v>
      </c>
      <c r="R244" s="19">
        <v>0.0</v>
      </c>
      <c r="S244" s="19">
        <v>6.0</v>
      </c>
      <c r="T244" s="13">
        <f t="shared" si="46"/>
        <v>235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7">SUM(E237:E244)</f>
        <v>41</v>
      </c>
      <c r="F247" s="13">
        <f t="shared" si="47"/>
        <v>9</v>
      </c>
      <c r="G247" s="13">
        <f t="shared" si="47"/>
        <v>12</v>
      </c>
      <c r="H247" s="13">
        <f t="shared" si="47"/>
        <v>44</v>
      </c>
      <c r="I247" s="13">
        <f t="shared" si="47"/>
        <v>81</v>
      </c>
      <c r="J247" s="13">
        <f t="shared" si="47"/>
        <v>34</v>
      </c>
      <c r="K247" s="13">
        <f t="shared" si="47"/>
        <v>16</v>
      </c>
      <c r="L247" s="13">
        <f t="shared" si="47"/>
        <v>12</v>
      </c>
      <c r="M247" s="13">
        <f t="shared" si="47"/>
        <v>17</v>
      </c>
      <c r="N247" s="13">
        <f t="shared" si="47"/>
        <v>14</v>
      </c>
      <c r="O247" s="13">
        <f t="shared" si="47"/>
        <v>0</v>
      </c>
      <c r="P247" s="13">
        <f t="shared" si="47"/>
        <v>22</v>
      </c>
      <c r="Q247" s="13">
        <f t="shared" si="47"/>
        <v>20</v>
      </c>
      <c r="R247" s="13">
        <f t="shared" si="47"/>
        <v>6</v>
      </c>
      <c r="S247" s="13">
        <f t="shared" si="47"/>
        <v>20</v>
      </c>
      <c r="T247" s="13">
        <f>SUM(E247:S247)</f>
        <v>348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3">
        <f t="shared" ref="T249:T255" si="48">SUM(E249:S249)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>SUM(E259:S259)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69"/>
      <c r="S261" s="69"/>
      <c r="T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S262" si="50">E55+E67+E79+E91+E103+E115+E127+E139+E151+E163+E175+E187+E199+E211+E223+E235+E247+E259</f>
        <v>232</v>
      </c>
      <c r="F262" s="19">
        <f t="shared" si="50"/>
        <v>201</v>
      </c>
      <c r="G262" s="19">
        <f t="shared" si="50"/>
        <v>180</v>
      </c>
      <c r="H262" s="19">
        <f t="shared" si="50"/>
        <v>196</v>
      </c>
      <c r="I262" s="19">
        <f t="shared" si="50"/>
        <v>190</v>
      </c>
      <c r="J262" s="19">
        <f t="shared" si="50"/>
        <v>183</v>
      </c>
      <c r="K262" s="19">
        <f t="shared" si="50"/>
        <v>187</v>
      </c>
      <c r="L262" s="19">
        <f t="shared" si="50"/>
        <v>185</v>
      </c>
      <c r="M262" s="19">
        <f t="shared" si="50"/>
        <v>203</v>
      </c>
      <c r="N262" s="19">
        <f t="shared" si="50"/>
        <v>202</v>
      </c>
      <c r="O262" s="19">
        <f t="shared" si="50"/>
        <v>178</v>
      </c>
      <c r="P262" s="19">
        <f t="shared" si="50"/>
        <v>174</v>
      </c>
      <c r="Q262" s="19">
        <f t="shared" si="50"/>
        <v>185</v>
      </c>
      <c r="R262" s="19">
        <f t="shared" si="50"/>
        <v>182</v>
      </c>
      <c r="S262" s="19">
        <f t="shared" si="50"/>
        <v>167</v>
      </c>
      <c r="T262" s="13">
        <f t="shared" ref="T262:T264" si="51">SUM(E262:S262)</f>
        <v>2845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23.0</v>
      </c>
      <c r="F263" s="19">
        <v>36.0</v>
      </c>
      <c r="G263" s="19">
        <v>21.0</v>
      </c>
      <c r="H263" s="19">
        <v>18.0</v>
      </c>
      <c r="I263" s="19">
        <v>14.0</v>
      </c>
      <c r="J263" s="19">
        <v>23.0</v>
      </c>
      <c r="K263" s="19">
        <v>13.0</v>
      </c>
      <c r="L263" s="19">
        <v>14.0</v>
      </c>
      <c r="M263" s="19">
        <v>35.0</v>
      </c>
      <c r="N263" s="19">
        <v>30.0</v>
      </c>
      <c r="O263" s="19">
        <v>45.0</v>
      </c>
      <c r="P263" s="19">
        <v>39.0</v>
      </c>
      <c r="Q263" s="19">
        <v>28.0</v>
      </c>
      <c r="R263" s="19">
        <v>43.0</v>
      </c>
      <c r="S263" s="19">
        <v>43.0</v>
      </c>
      <c r="T263" s="13">
        <f t="shared" si="51"/>
        <v>425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S264" si="52">SUM(E262:E263)</f>
        <v>255</v>
      </c>
      <c r="F264" s="13">
        <f t="shared" si="52"/>
        <v>237</v>
      </c>
      <c r="G264" s="13">
        <f t="shared" si="52"/>
        <v>201</v>
      </c>
      <c r="H264" s="13">
        <f t="shared" si="52"/>
        <v>214</v>
      </c>
      <c r="I264" s="13">
        <f t="shared" si="52"/>
        <v>204</v>
      </c>
      <c r="J264" s="13">
        <f t="shared" si="52"/>
        <v>206</v>
      </c>
      <c r="K264" s="13">
        <f t="shared" si="52"/>
        <v>200</v>
      </c>
      <c r="L264" s="13">
        <f t="shared" si="52"/>
        <v>199</v>
      </c>
      <c r="M264" s="13">
        <f t="shared" si="52"/>
        <v>238</v>
      </c>
      <c r="N264" s="13">
        <f t="shared" si="52"/>
        <v>232</v>
      </c>
      <c r="O264" s="13">
        <f t="shared" si="52"/>
        <v>223</v>
      </c>
      <c r="P264" s="13">
        <f t="shared" si="52"/>
        <v>213</v>
      </c>
      <c r="Q264" s="13">
        <f t="shared" si="52"/>
        <v>213</v>
      </c>
      <c r="R264" s="13">
        <f t="shared" si="52"/>
        <v>225</v>
      </c>
      <c r="S264" s="13">
        <f t="shared" si="52"/>
        <v>210</v>
      </c>
      <c r="T264" s="13">
        <f t="shared" si="51"/>
        <v>3270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M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78">
        <v>144.0</v>
      </c>
      <c r="F14" s="78">
        <v>103.0</v>
      </c>
      <c r="G14" s="78">
        <v>108.0</v>
      </c>
      <c r="H14" s="78">
        <v>112.0</v>
      </c>
      <c r="I14" s="78">
        <v>127.0</v>
      </c>
      <c r="J14" s="78">
        <v>153.0</v>
      </c>
      <c r="K14" s="78">
        <v>123.0</v>
      </c>
      <c r="L14" s="78">
        <v>145.0</v>
      </c>
      <c r="M14" s="78">
        <v>135.0</v>
      </c>
      <c r="N14" s="78">
        <v>118.0</v>
      </c>
      <c r="O14" s="78">
        <v>109.0</v>
      </c>
      <c r="P14" s="13">
        <f t="shared" ref="P14:P16" si="1">SUM(E14:O14)</f>
        <v>1377</v>
      </c>
    </row>
    <row r="15" ht="12.75" customHeight="1">
      <c r="A15" s="18"/>
      <c r="B15" s="26"/>
      <c r="C15" s="27"/>
      <c r="D15" s="19" t="s">
        <v>13</v>
      </c>
      <c r="E15" s="78">
        <v>130.0</v>
      </c>
      <c r="F15" s="78">
        <v>96.0</v>
      </c>
      <c r="G15" s="78">
        <v>103.0</v>
      </c>
      <c r="H15" s="78">
        <v>110.0</v>
      </c>
      <c r="I15" s="78">
        <v>120.0</v>
      </c>
      <c r="J15" s="78">
        <v>143.0</v>
      </c>
      <c r="K15" s="78">
        <v>123.0</v>
      </c>
      <c r="L15" s="78">
        <v>144.0</v>
      </c>
      <c r="M15" s="78">
        <v>137.0</v>
      </c>
      <c r="N15" s="78">
        <v>111.0</v>
      </c>
      <c r="O15" s="78">
        <v>116.0</v>
      </c>
      <c r="P15" s="13">
        <f t="shared" si="1"/>
        <v>1333</v>
      </c>
    </row>
    <row r="16" ht="12.75" customHeight="1">
      <c r="A16" s="25"/>
      <c r="B16" s="21"/>
      <c r="C16" s="28"/>
      <c r="D16" s="13" t="s">
        <v>14</v>
      </c>
      <c r="E16" s="79">
        <f t="shared" ref="E16:O16" si="2">SUM(E14:E15)</f>
        <v>274</v>
      </c>
      <c r="F16" s="79">
        <f t="shared" si="2"/>
        <v>199</v>
      </c>
      <c r="G16" s="79">
        <f t="shared" si="2"/>
        <v>211</v>
      </c>
      <c r="H16" s="79">
        <f t="shared" si="2"/>
        <v>222</v>
      </c>
      <c r="I16" s="79">
        <f t="shared" si="2"/>
        <v>247</v>
      </c>
      <c r="J16" s="79">
        <f t="shared" si="2"/>
        <v>296</v>
      </c>
      <c r="K16" s="79">
        <f t="shared" si="2"/>
        <v>246</v>
      </c>
      <c r="L16" s="79">
        <f t="shared" si="2"/>
        <v>289</v>
      </c>
      <c r="M16" s="79">
        <f t="shared" si="2"/>
        <v>272</v>
      </c>
      <c r="N16" s="79">
        <f t="shared" si="2"/>
        <v>229</v>
      </c>
      <c r="O16" s="79">
        <f t="shared" si="2"/>
        <v>225</v>
      </c>
      <c r="P16" s="13">
        <f t="shared" si="1"/>
        <v>2710</v>
      </c>
    </row>
    <row r="17" ht="12.75" customHeight="1">
      <c r="A17" s="24"/>
      <c r="B17" s="15"/>
      <c r="C17" s="15"/>
      <c r="D17" s="16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68"/>
    </row>
    <row r="18" ht="12.75" customHeight="1">
      <c r="A18" s="30" t="s">
        <v>15</v>
      </c>
      <c r="B18" s="20" t="s">
        <v>16</v>
      </c>
      <c r="C18" s="15"/>
      <c r="D18" s="1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8">
        <v>117.0</v>
      </c>
      <c r="F19" s="78">
        <v>75.0</v>
      </c>
      <c r="G19" s="78">
        <v>75.0</v>
      </c>
      <c r="H19" s="78">
        <v>85.0</v>
      </c>
      <c r="I19" s="78">
        <v>98.0</v>
      </c>
      <c r="J19" s="78">
        <v>115.0</v>
      </c>
      <c r="K19" s="78">
        <v>92.0</v>
      </c>
      <c r="L19" s="78">
        <v>101.0</v>
      </c>
      <c r="M19" s="78">
        <v>89.0</v>
      </c>
      <c r="N19" s="78">
        <v>95.0</v>
      </c>
      <c r="O19" s="78">
        <v>81.0</v>
      </c>
      <c r="P19" s="13">
        <f t="shared" ref="P19:P30" si="3">SUM(E19:O19)</f>
        <v>1023</v>
      </c>
    </row>
    <row r="20" ht="12.75" customHeight="1">
      <c r="A20" s="33"/>
      <c r="B20" s="27"/>
      <c r="C20" s="34"/>
      <c r="D20" s="19" t="s">
        <v>13</v>
      </c>
      <c r="E20" s="78">
        <v>112.0</v>
      </c>
      <c r="F20" s="78">
        <v>79.0</v>
      </c>
      <c r="G20" s="78">
        <v>89.0</v>
      </c>
      <c r="H20" s="78">
        <v>92.0</v>
      </c>
      <c r="I20" s="78">
        <v>99.0</v>
      </c>
      <c r="J20" s="78">
        <v>118.0</v>
      </c>
      <c r="K20" s="78">
        <v>103.0</v>
      </c>
      <c r="L20" s="78">
        <v>120.0</v>
      </c>
      <c r="M20" s="78">
        <v>110.0</v>
      </c>
      <c r="N20" s="78">
        <v>93.0</v>
      </c>
      <c r="O20" s="78">
        <v>104.0</v>
      </c>
      <c r="P20" s="13">
        <f t="shared" si="3"/>
        <v>1119</v>
      </c>
    </row>
    <row r="21" ht="12.75" customHeight="1">
      <c r="A21" s="35"/>
      <c r="B21" s="28"/>
      <c r="C21" s="36"/>
      <c r="D21" s="13" t="s">
        <v>14</v>
      </c>
      <c r="E21" s="79">
        <f t="shared" ref="E21:O21" si="4">SUM(E19:E20)</f>
        <v>229</v>
      </c>
      <c r="F21" s="79">
        <f t="shared" si="4"/>
        <v>154</v>
      </c>
      <c r="G21" s="79">
        <f t="shared" si="4"/>
        <v>164</v>
      </c>
      <c r="H21" s="79">
        <f t="shared" si="4"/>
        <v>177</v>
      </c>
      <c r="I21" s="79">
        <f t="shared" si="4"/>
        <v>197</v>
      </c>
      <c r="J21" s="79">
        <f t="shared" si="4"/>
        <v>233</v>
      </c>
      <c r="K21" s="79">
        <f t="shared" si="4"/>
        <v>195</v>
      </c>
      <c r="L21" s="79">
        <f t="shared" si="4"/>
        <v>221</v>
      </c>
      <c r="M21" s="79">
        <f t="shared" si="4"/>
        <v>199</v>
      </c>
      <c r="N21" s="79">
        <f t="shared" si="4"/>
        <v>188</v>
      </c>
      <c r="O21" s="79">
        <f t="shared" si="4"/>
        <v>185</v>
      </c>
      <c r="P21" s="13">
        <f t="shared" si="3"/>
        <v>2142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8">
        <v>0.0</v>
      </c>
      <c r="F22" s="78">
        <v>1.0</v>
      </c>
      <c r="G22" s="78">
        <v>0.0</v>
      </c>
      <c r="H22" s="78">
        <v>1.0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8">
        <v>1.0</v>
      </c>
      <c r="F23" s="78">
        <v>1.0</v>
      </c>
      <c r="G23" s="78">
        <v>0.0</v>
      </c>
      <c r="H23" s="78">
        <v>0.0</v>
      </c>
      <c r="I23" s="78">
        <v>0.0</v>
      </c>
      <c r="J23" s="78">
        <v>1.0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79">
        <f t="shared" ref="E24:O24" si="5">SUM(E22:E23)</f>
        <v>1</v>
      </c>
      <c r="F24" s="79">
        <f t="shared" si="5"/>
        <v>2</v>
      </c>
      <c r="G24" s="79">
        <f t="shared" si="5"/>
        <v>0</v>
      </c>
      <c r="H24" s="79">
        <f t="shared" si="5"/>
        <v>1</v>
      </c>
      <c r="I24" s="79">
        <f t="shared" si="5"/>
        <v>0</v>
      </c>
      <c r="J24" s="79">
        <f t="shared" si="5"/>
        <v>1</v>
      </c>
      <c r="K24" s="79">
        <f t="shared" si="5"/>
        <v>0</v>
      </c>
      <c r="L24" s="79">
        <f t="shared" si="5"/>
        <v>0</v>
      </c>
      <c r="M24" s="79">
        <f t="shared" si="5"/>
        <v>0</v>
      </c>
      <c r="N24" s="79">
        <f t="shared" si="5"/>
        <v>0</v>
      </c>
      <c r="O24" s="79">
        <f t="shared" si="5"/>
        <v>0</v>
      </c>
      <c r="P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8">
        <v>0.0</v>
      </c>
      <c r="F25" s="78">
        <v>0.0</v>
      </c>
      <c r="G25" s="78">
        <v>0.0</v>
      </c>
      <c r="H25" s="78">
        <v>1.0</v>
      </c>
      <c r="I25" s="78">
        <v>0.0</v>
      </c>
      <c r="J25" s="78">
        <v>1.0</v>
      </c>
      <c r="K25" s="78">
        <v>0.0</v>
      </c>
      <c r="L25" s="78">
        <v>0.0</v>
      </c>
      <c r="M25" s="78">
        <v>0.0</v>
      </c>
      <c r="N25" s="78">
        <v>0.0</v>
      </c>
      <c r="O25" s="78">
        <v>0.0</v>
      </c>
      <c r="P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78">
        <v>0.0</v>
      </c>
      <c r="F26" s="78">
        <v>0.0</v>
      </c>
      <c r="G26" s="78">
        <v>1.0</v>
      </c>
      <c r="H26" s="78">
        <v>0.0</v>
      </c>
      <c r="I26" s="78">
        <v>1.0</v>
      </c>
      <c r="J26" s="78">
        <v>1.0</v>
      </c>
      <c r="K26" s="78">
        <v>0.0</v>
      </c>
      <c r="L26" s="78">
        <v>0.0</v>
      </c>
      <c r="M26" s="78">
        <v>1.0</v>
      </c>
      <c r="N26" s="78">
        <v>2.0</v>
      </c>
      <c r="O26" s="78">
        <v>0.0</v>
      </c>
      <c r="P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79">
        <f t="shared" ref="E27:O27" si="6">SUM(E25:E26)</f>
        <v>0</v>
      </c>
      <c r="F27" s="79">
        <f t="shared" si="6"/>
        <v>0</v>
      </c>
      <c r="G27" s="79">
        <f t="shared" si="6"/>
        <v>1</v>
      </c>
      <c r="H27" s="79">
        <f t="shared" si="6"/>
        <v>1</v>
      </c>
      <c r="I27" s="79">
        <f t="shared" si="6"/>
        <v>1</v>
      </c>
      <c r="J27" s="79">
        <f t="shared" si="6"/>
        <v>2</v>
      </c>
      <c r="K27" s="79">
        <f t="shared" si="6"/>
        <v>0</v>
      </c>
      <c r="L27" s="79">
        <f t="shared" si="6"/>
        <v>0</v>
      </c>
      <c r="M27" s="79">
        <f t="shared" si="6"/>
        <v>1</v>
      </c>
      <c r="N27" s="79">
        <f t="shared" si="6"/>
        <v>2</v>
      </c>
      <c r="O27" s="79">
        <f t="shared" si="6"/>
        <v>0</v>
      </c>
      <c r="P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9">
        <f t="shared" ref="E28:O28" si="7">SUM(E19,E22,E25)</f>
        <v>117</v>
      </c>
      <c r="F28" s="79">
        <f t="shared" si="7"/>
        <v>76</v>
      </c>
      <c r="G28" s="79">
        <f t="shared" si="7"/>
        <v>75</v>
      </c>
      <c r="H28" s="79">
        <f t="shared" si="7"/>
        <v>87</v>
      </c>
      <c r="I28" s="79">
        <f t="shared" si="7"/>
        <v>98</v>
      </c>
      <c r="J28" s="79">
        <f t="shared" si="7"/>
        <v>116</v>
      </c>
      <c r="K28" s="79">
        <f t="shared" si="7"/>
        <v>92</v>
      </c>
      <c r="L28" s="79">
        <f t="shared" si="7"/>
        <v>101</v>
      </c>
      <c r="M28" s="79">
        <f t="shared" si="7"/>
        <v>89</v>
      </c>
      <c r="N28" s="79">
        <f t="shared" si="7"/>
        <v>95</v>
      </c>
      <c r="O28" s="79">
        <f t="shared" si="7"/>
        <v>81</v>
      </c>
      <c r="P28" s="13">
        <f t="shared" si="3"/>
        <v>1027</v>
      </c>
    </row>
    <row r="29" ht="12.75" customHeight="1">
      <c r="A29" s="35"/>
      <c r="B29" s="27"/>
      <c r="C29" s="34"/>
      <c r="D29" s="13" t="s">
        <v>13</v>
      </c>
      <c r="E29" s="79">
        <f t="shared" ref="E29:O29" si="8">SUM(E20,E23,E26)</f>
        <v>113</v>
      </c>
      <c r="F29" s="79">
        <f t="shared" si="8"/>
        <v>80</v>
      </c>
      <c r="G29" s="79">
        <f t="shared" si="8"/>
        <v>90</v>
      </c>
      <c r="H29" s="79">
        <f t="shared" si="8"/>
        <v>92</v>
      </c>
      <c r="I29" s="79">
        <f t="shared" si="8"/>
        <v>100</v>
      </c>
      <c r="J29" s="79">
        <f t="shared" si="8"/>
        <v>120</v>
      </c>
      <c r="K29" s="79">
        <f t="shared" si="8"/>
        <v>103</v>
      </c>
      <c r="L29" s="79">
        <f t="shared" si="8"/>
        <v>120</v>
      </c>
      <c r="M29" s="79">
        <f t="shared" si="8"/>
        <v>111</v>
      </c>
      <c r="N29" s="79">
        <f t="shared" si="8"/>
        <v>95</v>
      </c>
      <c r="O29" s="79">
        <f t="shared" si="8"/>
        <v>104</v>
      </c>
      <c r="P29" s="13">
        <f t="shared" si="3"/>
        <v>1128</v>
      </c>
    </row>
    <row r="30" ht="12.75" customHeight="1">
      <c r="A30" s="35"/>
      <c r="B30" s="28"/>
      <c r="C30" s="36"/>
      <c r="D30" s="13" t="s">
        <v>14</v>
      </c>
      <c r="E30" s="81">
        <f t="shared" ref="E30:O30" si="9">SUM(E28:E29)</f>
        <v>230</v>
      </c>
      <c r="F30" s="81">
        <f t="shared" si="9"/>
        <v>156</v>
      </c>
      <c r="G30" s="81">
        <f t="shared" si="9"/>
        <v>165</v>
      </c>
      <c r="H30" s="81">
        <f t="shared" si="9"/>
        <v>179</v>
      </c>
      <c r="I30" s="81">
        <f t="shared" si="9"/>
        <v>198</v>
      </c>
      <c r="J30" s="81">
        <f t="shared" si="9"/>
        <v>236</v>
      </c>
      <c r="K30" s="81">
        <f t="shared" si="9"/>
        <v>195</v>
      </c>
      <c r="L30" s="81">
        <f t="shared" si="9"/>
        <v>221</v>
      </c>
      <c r="M30" s="81">
        <f t="shared" si="9"/>
        <v>200</v>
      </c>
      <c r="N30" s="81">
        <f t="shared" si="9"/>
        <v>190</v>
      </c>
      <c r="O30" s="81">
        <f t="shared" si="9"/>
        <v>185</v>
      </c>
      <c r="P30" s="13">
        <f t="shared" si="3"/>
        <v>2155</v>
      </c>
    </row>
    <row r="31" ht="12.75" customHeight="1">
      <c r="A31" s="24"/>
      <c r="B31" s="15"/>
      <c r="C31" s="15"/>
      <c r="D31" s="16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68"/>
    </row>
    <row r="32" ht="12.75" customHeight="1">
      <c r="A32" s="41" t="s">
        <v>25</v>
      </c>
      <c r="B32" s="14" t="s">
        <v>26</v>
      </c>
      <c r="C32" s="15"/>
      <c r="D32" s="16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68"/>
    </row>
    <row r="33" ht="12.75" customHeight="1">
      <c r="A33" s="19">
        <v>1.0</v>
      </c>
      <c r="B33" s="20" t="s">
        <v>27</v>
      </c>
      <c r="C33" s="15"/>
      <c r="D33" s="16"/>
      <c r="E33" s="78">
        <v>280.0</v>
      </c>
      <c r="F33" s="78">
        <v>203.0</v>
      </c>
      <c r="G33" s="78">
        <v>216.0</v>
      </c>
      <c r="H33" s="78">
        <v>227.0</v>
      </c>
      <c r="I33" s="78">
        <v>252.0</v>
      </c>
      <c r="J33" s="78">
        <v>302.0</v>
      </c>
      <c r="K33" s="78">
        <v>251.0</v>
      </c>
      <c r="L33" s="78">
        <v>295.0</v>
      </c>
      <c r="M33" s="78">
        <v>279.0</v>
      </c>
      <c r="N33" s="78">
        <v>234.0</v>
      </c>
      <c r="O33" s="78">
        <v>230.0</v>
      </c>
      <c r="P33" s="13">
        <f t="shared" ref="P33:P36" si="10">SUM(E33:O33)</f>
        <v>2769</v>
      </c>
    </row>
    <row r="34" ht="12.75" customHeight="1">
      <c r="A34" s="19">
        <v>2.0</v>
      </c>
      <c r="B34" s="20" t="s">
        <v>28</v>
      </c>
      <c r="C34" s="15"/>
      <c r="D34" s="16"/>
      <c r="E34" s="82">
        <v>230.0</v>
      </c>
      <c r="F34" s="82">
        <v>156.0</v>
      </c>
      <c r="G34" s="82">
        <v>165.0</v>
      </c>
      <c r="H34" s="82">
        <v>179.0</v>
      </c>
      <c r="I34" s="82">
        <v>198.0</v>
      </c>
      <c r="J34" s="82">
        <v>236.0</v>
      </c>
      <c r="K34" s="82">
        <v>195.0</v>
      </c>
      <c r="L34" s="82">
        <v>221.0</v>
      </c>
      <c r="M34" s="82">
        <v>200.0</v>
      </c>
      <c r="N34" s="82">
        <v>190.0</v>
      </c>
      <c r="O34" s="82">
        <v>185.0</v>
      </c>
      <c r="P34" s="13">
        <f t="shared" si="10"/>
        <v>2155</v>
      </c>
    </row>
    <row r="35" ht="12.75" customHeight="1">
      <c r="A35" s="19">
        <v>3.0</v>
      </c>
      <c r="B35" s="20" t="s">
        <v>29</v>
      </c>
      <c r="C35" s="15"/>
      <c r="D35" s="16"/>
      <c r="E35" s="78">
        <v>1.0</v>
      </c>
      <c r="F35" s="78">
        <v>0.0</v>
      </c>
      <c r="G35" s="78">
        <v>0.0</v>
      </c>
      <c r="H35" s="78">
        <v>0.0</v>
      </c>
      <c r="I35" s="78">
        <v>0.0</v>
      </c>
      <c r="J35" s="78">
        <v>0.0</v>
      </c>
      <c r="K35" s="78">
        <v>0.0</v>
      </c>
      <c r="L35" s="78">
        <v>1.0</v>
      </c>
      <c r="M35" s="78">
        <v>0.0</v>
      </c>
      <c r="N35" s="78">
        <v>0.0</v>
      </c>
      <c r="O35" s="78">
        <v>0.0</v>
      </c>
      <c r="P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79">
        <f t="shared" ref="E36:O36" si="11">E33-(E34+E35)</f>
        <v>49</v>
      </c>
      <c r="F36" s="79">
        <f t="shared" si="11"/>
        <v>47</v>
      </c>
      <c r="G36" s="79">
        <f t="shared" si="11"/>
        <v>51</v>
      </c>
      <c r="H36" s="79">
        <f t="shared" si="11"/>
        <v>48</v>
      </c>
      <c r="I36" s="79">
        <f t="shared" si="11"/>
        <v>54</v>
      </c>
      <c r="J36" s="79">
        <f t="shared" si="11"/>
        <v>66</v>
      </c>
      <c r="K36" s="79">
        <f t="shared" si="11"/>
        <v>56</v>
      </c>
      <c r="L36" s="79">
        <f t="shared" si="11"/>
        <v>73</v>
      </c>
      <c r="M36" s="79">
        <f t="shared" si="11"/>
        <v>79</v>
      </c>
      <c r="N36" s="79">
        <f t="shared" si="11"/>
        <v>44</v>
      </c>
      <c r="O36" s="79">
        <f t="shared" si="11"/>
        <v>45</v>
      </c>
      <c r="P36" s="13">
        <f t="shared" si="10"/>
        <v>612</v>
      </c>
    </row>
    <row r="37" ht="12.75" customHeight="1">
      <c r="A37" s="24"/>
      <c r="B37" s="15"/>
      <c r="C37" s="15"/>
      <c r="D37" s="15"/>
      <c r="E37" s="83"/>
      <c r="F37" s="15"/>
      <c r="G37" s="15"/>
      <c r="H37" s="15"/>
      <c r="I37" s="16"/>
      <c r="J37" s="80"/>
      <c r="K37" s="80"/>
      <c r="L37" s="80"/>
      <c r="M37" s="80"/>
      <c r="N37" s="80"/>
      <c r="O37" s="80"/>
      <c r="P37" s="68"/>
    </row>
    <row r="38" ht="12.75" customHeight="1">
      <c r="A38" s="42" t="s">
        <v>31</v>
      </c>
      <c r="B38" s="14" t="s">
        <v>32</v>
      </c>
      <c r="C38" s="15"/>
      <c r="D38" s="16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68"/>
    </row>
    <row r="39" ht="12.75" customHeight="1">
      <c r="A39" s="30"/>
      <c r="B39" s="43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1.0</v>
      </c>
      <c r="J39" s="78">
        <v>0.0</v>
      </c>
      <c r="K39" s="78">
        <v>0.0</v>
      </c>
      <c r="L39" s="78">
        <v>0.0</v>
      </c>
      <c r="M39" s="78">
        <v>0.0</v>
      </c>
      <c r="N39" s="78">
        <v>1.0</v>
      </c>
      <c r="O39" s="78">
        <v>1.0</v>
      </c>
      <c r="P39" s="13">
        <f t="shared" ref="P39:P41" si="12">SUM(E39:O39)</f>
        <v>3</v>
      </c>
    </row>
    <row r="40" ht="12.75" customHeight="1">
      <c r="A40" s="33"/>
      <c r="C40" s="27"/>
      <c r="D40" s="19" t="s">
        <v>13</v>
      </c>
      <c r="E40" s="78">
        <v>1.0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1.0</v>
      </c>
      <c r="P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2</v>
      </c>
      <c r="P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12.0</v>
      </c>
      <c r="F45" s="19">
        <v>6.0</v>
      </c>
      <c r="G45" s="19">
        <v>9.0</v>
      </c>
      <c r="H45" s="19">
        <v>7.0</v>
      </c>
      <c r="I45" s="19">
        <v>14.0</v>
      </c>
      <c r="J45" s="19">
        <v>9.0</v>
      </c>
      <c r="K45" s="19">
        <v>5.0</v>
      </c>
      <c r="L45" s="19">
        <v>14.0</v>
      </c>
      <c r="M45" s="19">
        <v>9.0</v>
      </c>
      <c r="N45" s="19">
        <v>6.0</v>
      </c>
      <c r="O45" s="19">
        <v>7.0</v>
      </c>
      <c r="P45" s="13">
        <f t="shared" ref="P45:P52" si="14">SUM(E45:O45)</f>
        <v>98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58.0</v>
      </c>
      <c r="F46" s="19">
        <v>13.0</v>
      </c>
      <c r="G46" s="19">
        <v>16.0</v>
      </c>
      <c r="H46" s="19">
        <v>19.0</v>
      </c>
      <c r="I46" s="19">
        <v>36.0</v>
      </c>
      <c r="J46" s="19">
        <v>24.0</v>
      </c>
      <c r="K46" s="19">
        <v>21.0</v>
      </c>
      <c r="L46" s="19">
        <v>50.0</v>
      </c>
      <c r="M46" s="19">
        <v>74.0</v>
      </c>
      <c r="N46" s="19">
        <v>15.0</v>
      </c>
      <c r="O46" s="19">
        <v>25.0</v>
      </c>
      <c r="P46" s="13">
        <f t="shared" si="14"/>
        <v>351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0.0</v>
      </c>
      <c r="H47" s="19">
        <v>3.0</v>
      </c>
      <c r="I47" s="19">
        <v>2.0</v>
      </c>
      <c r="J47" s="19">
        <v>6.0</v>
      </c>
      <c r="K47" s="19">
        <v>0.0</v>
      </c>
      <c r="L47" s="19">
        <v>2.0</v>
      </c>
      <c r="M47" s="19">
        <v>1.0</v>
      </c>
      <c r="N47" s="19">
        <v>2.0</v>
      </c>
      <c r="O47" s="19">
        <v>0.0</v>
      </c>
      <c r="P47" s="13">
        <f t="shared" si="14"/>
        <v>17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1.0</v>
      </c>
      <c r="N48" s="19">
        <v>0.0</v>
      </c>
      <c r="O48" s="19">
        <v>1.0</v>
      </c>
      <c r="P48" s="13">
        <f t="shared" si="14"/>
        <v>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1.0</v>
      </c>
      <c r="M49" s="19">
        <v>0.0</v>
      </c>
      <c r="N49" s="19">
        <v>0.0</v>
      </c>
      <c r="O49" s="19">
        <v>1.0</v>
      </c>
      <c r="P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3">
        <f t="shared" si="14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3">
        <f t="shared" si="14"/>
        <v>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O55" si="15">SUM(E45:E52)</f>
        <v>71</v>
      </c>
      <c r="F55" s="13">
        <f t="shared" si="15"/>
        <v>20</v>
      </c>
      <c r="G55" s="13">
        <f t="shared" si="15"/>
        <v>25</v>
      </c>
      <c r="H55" s="13">
        <f t="shared" si="15"/>
        <v>30</v>
      </c>
      <c r="I55" s="13">
        <f t="shared" si="15"/>
        <v>53</v>
      </c>
      <c r="J55" s="13">
        <f t="shared" si="15"/>
        <v>40</v>
      </c>
      <c r="K55" s="13">
        <f t="shared" si="15"/>
        <v>27</v>
      </c>
      <c r="L55" s="13">
        <f t="shared" si="15"/>
        <v>69</v>
      </c>
      <c r="M55" s="13">
        <f t="shared" si="15"/>
        <v>85</v>
      </c>
      <c r="N55" s="13">
        <f t="shared" si="15"/>
        <v>23</v>
      </c>
      <c r="O55" s="13">
        <f t="shared" si="15"/>
        <v>34</v>
      </c>
      <c r="P55" s="13">
        <f>SUM(E55:O55)</f>
        <v>477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8.0</v>
      </c>
      <c r="G57" s="19">
        <v>9.0</v>
      </c>
      <c r="H57" s="19">
        <v>5.0</v>
      </c>
      <c r="I57" s="19">
        <v>11.0</v>
      </c>
      <c r="J57" s="19">
        <v>11.0</v>
      </c>
      <c r="K57" s="19">
        <v>10.0</v>
      </c>
      <c r="L57" s="19">
        <v>5.0</v>
      </c>
      <c r="M57" s="19">
        <v>11.0</v>
      </c>
      <c r="N57" s="19">
        <v>13.0</v>
      </c>
      <c r="O57" s="19">
        <v>9.0</v>
      </c>
      <c r="P57" s="13">
        <f t="shared" ref="P57:P64" si="16">SUM(E57:O57)</f>
        <v>103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33.0</v>
      </c>
      <c r="F58" s="19">
        <v>17.0</v>
      </c>
      <c r="G58" s="19">
        <v>16.0</v>
      </c>
      <c r="H58" s="19">
        <v>29.0</v>
      </c>
      <c r="I58" s="19">
        <v>32.0</v>
      </c>
      <c r="J58" s="19">
        <v>25.0</v>
      </c>
      <c r="K58" s="19">
        <v>31.0</v>
      </c>
      <c r="L58" s="19">
        <v>26.0</v>
      </c>
      <c r="M58" s="19">
        <v>32.0</v>
      </c>
      <c r="N58" s="19">
        <v>50.0</v>
      </c>
      <c r="O58" s="19">
        <v>42.0</v>
      </c>
      <c r="P58" s="13">
        <f t="shared" si="16"/>
        <v>333</v>
      </c>
    </row>
    <row r="59" ht="12.75" customHeight="1">
      <c r="A59" s="18"/>
      <c r="B59" s="55">
        <v>2.0</v>
      </c>
      <c r="C59" s="50" t="s">
        <v>50</v>
      </c>
      <c r="D59" s="56"/>
      <c r="E59" s="19">
        <v>0.0</v>
      </c>
      <c r="F59" s="19">
        <v>5.0</v>
      </c>
      <c r="G59" s="19">
        <v>2.0</v>
      </c>
      <c r="H59" s="19">
        <v>4.0</v>
      </c>
      <c r="I59" s="19">
        <v>2.0</v>
      </c>
      <c r="J59" s="19">
        <v>3.0</v>
      </c>
      <c r="K59" s="19">
        <v>3.0</v>
      </c>
      <c r="L59" s="19">
        <v>2.0</v>
      </c>
      <c r="M59" s="19">
        <v>2.0</v>
      </c>
      <c r="N59" s="19">
        <v>4.0</v>
      </c>
      <c r="O59" s="19">
        <v>1.0</v>
      </c>
      <c r="P59" s="13">
        <f t="shared" si="16"/>
        <v>28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4.0</v>
      </c>
      <c r="H60" s="19">
        <v>5.0</v>
      </c>
      <c r="I60" s="19">
        <v>2.0</v>
      </c>
      <c r="J60" s="19">
        <v>1.0</v>
      </c>
      <c r="K60" s="19">
        <v>0.0</v>
      </c>
      <c r="L60" s="19">
        <v>0.0</v>
      </c>
      <c r="M60" s="19">
        <v>0.0</v>
      </c>
      <c r="N60" s="19">
        <v>1.0</v>
      </c>
      <c r="O60" s="19">
        <v>1.0</v>
      </c>
      <c r="P60" s="13">
        <f t="shared" si="16"/>
        <v>14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2.0</v>
      </c>
      <c r="H61" s="19">
        <v>1.0</v>
      </c>
      <c r="I61" s="19">
        <v>1.0</v>
      </c>
      <c r="J61" s="19">
        <v>0.0</v>
      </c>
      <c r="K61" s="19">
        <v>1.0</v>
      </c>
      <c r="L61" s="19">
        <v>4.0</v>
      </c>
      <c r="M61" s="19">
        <v>4.0</v>
      </c>
      <c r="N61" s="19">
        <v>0.0</v>
      </c>
      <c r="O61" s="19">
        <v>0.0</v>
      </c>
      <c r="P61" s="13">
        <f t="shared" si="16"/>
        <v>14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1.0</v>
      </c>
      <c r="H62" s="19">
        <v>1.0</v>
      </c>
      <c r="I62" s="19">
        <v>0.0</v>
      </c>
      <c r="J62" s="19">
        <v>0.0</v>
      </c>
      <c r="K62" s="19">
        <v>0.0</v>
      </c>
      <c r="L62" s="19">
        <v>2.0</v>
      </c>
      <c r="M62" s="19">
        <v>0.0</v>
      </c>
      <c r="N62" s="19">
        <v>1.0</v>
      </c>
      <c r="O62" s="19">
        <v>0.0</v>
      </c>
      <c r="P62" s="13">
        <f t="shared" si="16"/>
        <v>6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1.0</v>
      </c>
      <c r="H63" s="19">
        <v>1.0</v>
      </c>
      <c r="I63" s="19">
        <v>0.0</v>
      </c>
      <c r="J63" s="19">
        <v>1.0</v>
      </c>
      <c r="K63" s="19">
        <v>1.0</v>
      </c>
      <c r="L63" s="19">
        <v>0.0</v>
      </c>
      <c r="M63" s="19">
        <v>0.0</v>
      </c>
      <c r="N63" s="19">
        <v>0.0</v>
      </c>
      <c r="O63" s="19">
        <v>1.0</v>
      </c>
      <c r="P63" s="13">
        <f t="shared" si="16"/>
        <v>6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3">
        <f t="shared" si="16"/>
        <v>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O67" si="17">SUM(E57:E64)</f>
        <v>46</v>
      </c>
      <c r="F67" s="13">
        <f t="shared" si="17"/>
        <v>31</v>
      </c>
      <c r="G67" s="13">
        <f t="shared" si="17"/>
        <v>35</v>
      </c>
      <c r="H67" s="13">
        <f t="shared" si="17"/>
        <v>47</v>
      </c>
      <c r="I67" s="13">
        <f t="shared" si="17"/>
        <v>48</v>
      </c>
      <c r="J67" s="13">
        <f t="shared" si="17"/>
        <v>41</v>
      </c>
      <c r="K67" s="13">
        <f t="shared" si="17"/>
        <v>46</v>
      </c>
      <c r="L67" s="13">
        <f t="shared" si="17"/>
        <v>39</v>
      </c>
      <c r="M67" s="13">
        <f t="shared" si="17"/>
        <v>49</v>
      </c>
      <c r="N67" s="13">
        <f t="shared" si="17"/>
        <v>69</v>
      </c>
      <c r="O67" s="13">
        <f t="shared" si="17"/>
        <v>54</v>
      </c>
      <c r="P67" s="13">
        <f>SUM(E67:O67)</f>
        <v>505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2.0</v>
      </c>
      <c r="G69" s="19">
        <v>2.0</v>
      </c>
      <c r="H69" s="19">
        <v>4.0</v>
      </c>
      <c r="I69" s="19">
        <v>4.0</v>
      </c>
      <c r="J69" s="19">
        <v>3.0</v>
      </c>
      <c r="K69" s="19">
        <v>1.0</v>
      </c>
      <c r="L69" s="19">
        <v>3.0</v>
      </c>
      <c r="M69" s="19">
        <v>4.0</v>
      </c>
      <c r="N69" s="19">
        <v>4.0</v>
      </c>
      <c r="O69" s="19">
        <v>4.0</v>
      </c>
      <c r="P69" s="13">
        <v>10.0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9.0</v>
      </c>
      <c r="F70" s="19">
        <v>5.0</v>
      </c>
      <c r="G70" s="19">
        <v>3.0</v>
      </c>
      <c r="H70" s="19">
        <v>5.0</v>
      </c>
      <c r="I70" s="19">
        <v>5.0</v>
      </c>
      <c r="J70" s="19">
        <v>9.0</v>
      </c>
      <c r="K70" s="19">
        <v>1.0</v>
      </c>
      <c r="L70" s="19">
        <v>7.0</v>
      </c>
      <c r="M70" s="19">
        <v>6.0</v>
      </c>
      <c r="N70" s="19">
        <v>9.0</v>
      </c>
      <c r="O70" s="19">
        <v>3.0</v>
      </c>
      <c r="P70" s="13">
        <v>0.0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1.0</v>
      </c>
      <c r="G71" s="19">
        <v>0.0</v>
      </c>
      <c r="H71" s="19">
        <v>0.0</v>
      </c>
      <c r="I71" s="19">
        <v>0.0</v>
      </c>
      <c r="J71" s="19">
        <v>2.0</v>
      </c>
      <c r="K71" s="19">
        <v>0.0</v>
      </c>
      <c r="L71" s="19">
        <v>2.0</v>
      </c>
      <c r="M71" s="19">
        <v>1.0</v>
      </c>
      <c r="N71" s="19">
        <v>6.0</v>
      </c>
      <c r="O71" s="19">
        <v>0.0</v>
      </c>
      <c r="P71" s="13">
        <v>0.0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0.0</v>
      </c>
      <c r="G72" s="19">
        <v>0.0</v>
      </c>
      <c r="H72" s="19">
        <v>0.0</v>
      </c>
      <c r="I72" s="19">
        <v>1.0</v>
      </c>
      <c r="J72" s="19">
        <v>0.0</v>
      </c>
      <c r="K72" s="19">
        <v>3.0</v>
      </c>
      <c r="L72" s="19">
        <v>2.0</v>
      </c>
      <c r="M72" s="19">
        <v>1.0</v>
      </c>
      <c r="N72" s="19">
        <v>21.0</v>
      </c>
      <c r="O72" s="19">
        <v>19.0</v>
      </c>
      <c r="P72" s="13">
        <v>0.0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1.0</v>
      </c>
      <c r="M73" s="19">
        <v>1.0</v>
      </c>
      <c r="N73" s="19">
        <v>0.0</v>
      </c>
      <c r="O73" s="19">
        <v>1.0</v>
      </c>
      <c r="P73" s="13">
        <v>0.0</v>
      </c>
    </row>
    <row r="74" ht="12.75" customHeight="1">
      <c r="A74" s="18"/>
      <c r="B74" s="55">
        <v>5.0</v>
      </c>
      <c r="C74" s="50" t="s">
        <v>61</v>
      </c>
      <c r="D74" s="57"/>
      <c r="E74" s="19">
        <v>3.0</v>
      </c>
      <c r="F74" s="19">
        <v>0.0</v>
      </c>
      <c r="G74" s="19">
        <v>0.0</v>
      </c>
      <c r="H74" s="19">
        <v>2.0</v>
      </c>
      <c r="I74" s="19">
        <v>2.0</v>
      </c>
      <c r="J74" s="19">
        <v>0.0</v>
      </c>
      <c r="K74" s="19">
        <v>2.0</v>
      </c>
      <c r="L74" s="19">
        <v>0.0</v>
      </c>
      <c r="M74" s="19">
        <v>2.0</v>
      </c>
      <c r="N74" s="19">
        <v>2.0</v>
      </c>
      <c r="O74" s="19">
        <v>1.0</v>
      </c>
      <c r="P74" s="13">
        <v>0.0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3">
        <v>0.0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1.0</v>
      </c>
      <c r="M76" s="19">
        <v>1.0</v>
      </c>
      <c r="N76" s="19">
        <v>0.0</v>
      </c>
      <c r="O76" s="19">
        <v>0.0</v>
      </c>
      <c r="P76" s="13">
        <v>0.0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O79" si="18">SUM(E69:E76)</f>
        <v>20</v>
      </c>
      <c r="F79" s="13">
        <f t="shared" si="18"/>
        <v>8</v>
      </c>
      <c r="G79" s="13">
        <f t="shared" si="18"/>
        <v>5</v>
      </c>
      <c r="H79" s="13">
        <f t="shared" si="18"/>
        <v>11</v>
      </c>
      <c r="I79" s="13">
        <f t="shared" si="18"/>
        <v>12</v>
      </c>
      <c r="J79" s="13">
        <f t="shared" si="18"/>
        <v>16</v>
      </c>
      <c r="K79" s="13">
        <f t="shared" si="18"/>
        <v>7</v>
      </c>
      <c r="L79" s="13">
        <f t="shared" si="18"/>
        <v>16</v>
      </c>
      <c r="M79" s="13">
        <f t="shared" si="18"/>
        <v>16</v>
      </c>
      <c r="N79" s="13">
        <f t="shared" si="18"/>
        <v>42</v>
      </c>
      <c r="O79" s="13">
        <f t="shared" si="18"/>
        <v>28</v>
      </c>
      <c r="P79" s="13">
        <f>SUM(E79:O79)</f>
        <v>181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6.0</v>
      </c>
      <c r="G81" s="19">
        <v>8.0</v>
      </c>
      <c r="H81" s="19">
        <v>2.0</v>
      </c>
      <c r="I81" s="19">
        <v>1.0</v>
      </c>
      <c r="J81" s="19">
        <v>10.0</v>
      </c>
      <c r="K81" s="19">
        <v>0.0</v>
      </c>
      <c r="L81" s="19">
        <v>3.0</v>
      </c>
      <c r="M81" s="19">
        <v>2.0</v>
      </c>
      <c r="N81" s="19">
        <v>2.0</v>
      </c>
      <c r="O81" s="19">
        <v>1.0</v>
      </c>
      <c r="P81" s="13">
        <f t="shared" ref="P81:P88" si="19">SUM(E81:O81)</f>
        <v>42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12.0</v>
      </c>
      <c r="G82" s="19">
        <v>6.0</v>
      </c>
      <c r="H82" s="19">
        <v>0.0</v>
      </c>
      <c r="I82" s="19">
        <v>4.0</v>
      </c>
      <c r="J82" s="19">
        <v>23.0</v>
      </c>
      <c r="K82" s="19">
        <v>33.0</v>
      </c>
      <c r="L82" s="19">
        <v>14.0</v>
      </c>
      <c r="M82" s="19">
        <v>6.0</v>
      </c>
      <c r="N82" s="19">
        <v>1.0</v>
      </c>
      <c r="O82" s="19">
        <v>1.0</v>
      </c>
      <c r="P82" s="13">
        <f t="shared" si="19"/>
        <v>105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4.0</v>
      </c>
      <c r="G83" s="19">
        <v>4.0</v>
      </c>
      <c r="H83" s="19">
        <v>6.0</v>
      </c>
      <c r="I83" s="19">
        <v>0.0</v>
      </c>
      <c r="J83" s="19">
        <v>15.0</v>
      </c>
      <c r="K83" s="19">
        <v>2.0</v>
      </c>
      <c r="L83" s="19">
        <v>4.0</v>
      </c>
      <c r="M83" s="19">
        <v>1.0</v>
      </c>
      <c r="N83" s="19">
        <v>0.0</v>
      </c>
      <c r="O83" s="19">
        <v>6.0</v>
      </c>
      <c r="P83" s="13">
        <f t="shared" si="19"/>
        <v>43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0.0</v>
      </c>
      <c r="P84" s="13">
        <f t="shared" si="19"/>
        <v>4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3">
        <f t="shared" si="19"/>
        <v>1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7.0</v>
      </c>
      <c r="G86" s="19">
        <v>5.0</v>
      </c>
      <c r="H86" s="19">
        <v>0.0</v>
      </c>
      <c r="I86" s="19">
        <v>1.0</v>
      </c>
      <c r="J86" s="19">
        <v>3.0</v>
      </c>
      <c r="K86" s="19">
        <v>2.0</v>
      </c>
      <c r="L86" s="19">
        <v>5.0</v>
      </c>
      <c r="M86" s="19">
        <v>0.0</v>
      </c>
      <c r="N86" s="19">
        <v>2.0</v>
      </c>
      <c r="O86" s="19">
        <v>2.0</v>
      </c>
      <c r="P86" s="13">
        <f t="shared" si="19"/>
        <v>27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3">
        <f t="shared" si="19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3">
        <f t="shared" si="19"/>
        <v>1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O91" si="20">SUM(E81:E88)</f>
        <v>13</v>
      </c>
      <c r="F91" s="13">
        <f t="shared" si="20"/>
        <v>30</v>
      </c>
      <c r="G91" s="13">
        <f t="shared" si="20"/>
        <v>23</v>
      </c>
      <c r="H91" s="13">
        <f t="shared" si="20"/>
        <v>9</v>
      </c>
      <c r="I91" s="13">
        <f t="shared" si="20"/>
        <v>7</v>
      </c>
      <c r="J91" s="13">
        <f t="shared" si="20"/>
        <v>52</v>
      </c>
      <c r="K91" s="13">
        <f t="shared" si="20"/>
        <v>37</v>
      </c>
      <c r="L91" s="13">
        <f t="shared" si="20"/>
        <v>26</v>
      </c>
      <c r="M91" s="13">
        <f t="shared" si="20"/>
        <v>10</v>
      </c>
      <c r="N91" s="13">
        <f t="shared" si="20"/>
        <v>6</v>
      </c>
      <c r="O91" s="13">
        <f t="shared" si="20"/>
        <v>10</v>
      </c>
      <c r="P91" s="13">
        <f>SUM(E91:O91)</f>
        <v>223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1.0</v>
      </c>
      <c r="H93" s="19">
        <v>1.0</v>
      </c>
      <c r="I93" s="19">
        <v>1.0</v>
      </c>
      <c r="J93" s="19">
        <v>2.0</v>
      </c>
      <c r="K93" s="19">
        <v>0.0</v>
      </c>
      <c r="L93" s="19">
        <v>0.0</v>
      </c>
      <c r="M93" s="19">
        <v>1.0</v>
      </c>
      <c r="N93" s="19">
        <v>4.0</v>
      </c>
      <c r="O93" s="19">
        <v>0.0</v>
      </c>
      <c r="P93" s="13">
        <f t="shared" ref="P93:P100" si="21">SUM(E93:O93)</f>
        <v>13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10.0</v>
      </c>
      <c r="F94" s="19">
        <v>11.0</v>
      </c>
      <c r="G94" s="19">
        <v>1.0</v>
      </c>
      <c r="H94" s="19">
        <v>2.0</v>
      </c>
      <c r="I94" s="19">
        <v>2.0</v>
      </c>
      <c r="J94" s="19">
        <v>1.0</v>
      </c>
      <c r="K94" s="19">
        <v>0.0</v>
      </c>
      <c r="L94" s="19">
        <v>1.0</v>
      </c>
      <c r="M94" s="19">
        <v>0.0</v>
      </c>
      <c r="N94" s="19">
        <v>0.0</v>
      </c>
      <c r="O94" s="19">
        <v>0.0</v>
      </c>
      <c r="P94" s="13">
        <f t="shared" si="21"/>
        <v>28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3">
        <f t="shared" si="21"/>
        <v>0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3">
        <f t="shared" si="21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2.0</v>
      </c>
      <c r="G97" s="19">
        <v>0.0</v>
      </c>
      <c r="H97" s="19">
        <v>0.0</v>
      </c>
      <c r="I97" s="19">
        <v>0.0</v>
      </c>
      <c r="J97" s="19">
        <v>3.0</v>
      </c>
      <c r="K97" s="19">
        <v>4.0</v>
      </c>
      <c r="L97" s="19">
        <v>1.0</v>
      </c>
      <c r="M97" s="19">
        <v>7.0</v>
      </c>
      <c r="N97" s="19">
        <v>0.0</v>
      </c>
      <c r="O97" s="19">
        <v>0.0</v>
      </c>
      <c r="P97" s="13">
        <f t="shared" si="21"/>
        <v>17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3">
        <f t="shared" si="21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3">
        <f t="shared" si="21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3">
        <f t="shared" si="21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O103" si="22">SUM(E93:E100)</f>
        <v>12</v>
      </c>
      <c r="F103" s="13">
        <f t="shared" si="22"/>
        <v>14</v>
      </c>
      <c r="G103" s="13">
        <f t="shared" si="22"/>
        <v>2</v>
      </c>
      <c r="H103" s="13">
        <f t="shared" si="22"/>
        <v>3</v>
      </c>
      <c r="I103" s="13">
        <f t="shared" si="22"/>
        <v>3</v>
      </c>
      <c r="J103" s="13">
        <f t="shared" si="22"/>
        <v>7</v>
      </c>
      <c r="K103" s="13">
        <f t="shared" si="22"/>
        <v>4</v>
      </c>
      <c r="L103" s="13">
        <f t="shared" si="22"/>
        <v>2</v>
      </c>
      <c r="M103" s="13">
        <f t="shared" si="22"/>
        <v>8</v>
      </c>
      <c r="N103" s="13">
        <f t="shared" si="22"/>
        <v>4</v>
      </c>
      <c r="O103" s="13">
        <f t="shared" si="22"/>
        <v>0</v>
      </c>
      <c r="P103" s="13">
        <f>SUM(E103:O103)</f>
        <v>59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1.0</v>
      </c>
      <c r="N105" s="19">
        <v>0.0</v>
      </c>
      <c r="O105" s="19">
        <v>0.0</v>
      </c>
      <c r="P105" s="13">
        <f t="shared" ref="P105:P112" si="23">SUM(E105:O105)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3">
        <f t="shared" si="23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3">
        <f t="shared" si="23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3">
        <f t="shared" si="23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3">
        <f t="shared" si="23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3">
        <f t="shared" si="23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3">
        <f t="shared" si="23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3">
        <f t="shared" si="23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O115" si="24">SUM(E105:E112)</f>
        <v>0</v>
      </c>
      <c r="F115" s="13">
        <f t="shared" si="24"/>
        <v>1</v>
      </c>
      <c r="G115" s="13">
        <f t="shared" si="24"/>
        <v>1</v>
      </c>
      <c r="H115" s="13">
        <f t="shared" si="24"/>
        <v>0</v>
      </c>
      <c r="I115" s="13">
        <f t="shared" si="24"/>
        <v>1</v>
      </c>
      <c r="J115" s="13">
        <f t="shared" si="24"/>
        <v>0</v>
      </c>
      <c r="K115" s="13">
        <f t="shared" si="24"/>
        <v>0</v>
      </c>
      <c r="L115" s="13">
        <f t="shared" si="24"/>
        <v>1</v>
      </c>
      <c r="M115" s="13">
        <f t="shared" si="24"/>
        <v>1</v>
      </c>
      <c r="N115" s="13">
        <f t="shared" si="24"/>
        <v>0</v>
      </c>
      <c r="O115" s="13">
        <f t="shared" si="24"/>
        <v>1</v>
      </c>
      <c r="P115" s="13">
        <f>SUM(E115:O115)</f>
        <v>6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2.0</v>
      </c>
      <c r="L117" s="19">
        <v>0.0</v>
      </c>
      <c r="M117" s="19">
        <v>0.0</v>
      </c>
      <c r="N117" s="19">
        <v>0.0</v>
      </c>
      <c r="O117" s="19">
        <v>1.0</v>
      </c>
      <c r="P117" s="13">
        <v>0.0</v>
      </c>
      <c r="Q117" s="5"/>
      <c r="R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1.0</v>
      </c>
      <c r="K118" s="19">
        <v>1.0</v>
      </c>
      <c r="L118" s="19">
        <v>8.0</v>
      </c>
      <c r="M118" s="19">
        <v>0.0</v>
      </c>
      <c r="N118" s="19">
        <v>0.0</v>
      </c>
      <c r="O118" s="19">
        <v>0.0</v>
      </c>
      <c r="P118" s="13">
        <v>0.0</v>
      </c>
      <c r="Q118" s="5"/>
      <c r="R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3">
        <v>0.0</v>
      </c>
      <c r="Q119" s="5"/>
      <c r="R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3">
        <v>0.0</v>
      </c>
      <c r="Q120" s="5"/>
      <c r="R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74"/>
      <c r="Q121" s="5"/>
      <c r="R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74"/>
      <c r="Q122" s="5"/>
      <c r="R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74"/>
      <c r="Q123" s="5"/>
      <c r="R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74"/>
      <c r="Q124" s="5"/>
      <c r="R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74"/>
      <c r="Q125" s="5"/>
      <c r="R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74"/>
      <c r="Q126" s="5"/>
      <c r="R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O127" si="25">SUM(E117:E120)</f>
        <v>1</v>
      </c>
      <c r="F127" s="58">
        <f t="shared" si="25"/>
        <v>0</v>
      </c>
      <c r="G127" s="58">
        <f t="shared" si="25"/>
        <v>1</v>
      </c>
      <c r="H127" s="58">
        <f t="shared" si="25"/>
        <v>0</v>
      </c>
      <c r="I127" s="58">
        <f t="shared" si="25"/>
        <v>1</v>
      </c>
      <c r="J127" s="58">
        <f t="shared" si="25"/>
        <v>1</v>
      </c>
      <c r="K127" s="58">
        <f t="shared" si="25"/>
        <v>3</v>
      </c>
      <c r="L127" s="58">
        <f t="shared" si="25"/>
        <v>8</v>
      </c>
      <c r="M127" s="58">
        <f t="shared" si="25"/>
        <v>0</v>
      </c>
      <c r="N127" s="58">
        <f t="shared" si="25"/>
        <v>0</v>
      </c>
      <c r="O127" s="58">
        <f t="shared" si="25"/>
        <v>2</v>
      </c>
      <c r="P127" s="13">
        <f>SUM(E127:O127)</f>
        <v>17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5"/>
      <c r="R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2.0</v>
      </c>
      <c r="J129" s="19">
        <v>0.0</v>
      </c>
      <c r="K129" s="19">
        <v>2.0</v>
      </c>
      <c r="L129" s="19">
        <v>0.0</v>
      </c>
      <c r="M129" s="19">
        <v>0.0</v>
      </c>
      <c r="N129" s="19">
        <v>0.0</v>
      </c>
      <c r="O129" s="19">
        <v>1.0</v>
      </c>
      <c r="P129" s="13">
        <v>0.0</v>
      </c>
      <c r="Q129" s="5"/>
      <c r="R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2.0</v>
      </c>
      <c r="I130" s="19">
        <v>2.0</v>
      </c>
      <c r="J130" s="19">
        <v>0.0</v>
      </c>
      <c r="K130" s="19">
        <v>1.0</v>
      </c>
      <c r="L130" s="19">
        <v>0.0</v>
      </c>
      <c r="M130" s="19">
        <v>0.0</v>
      </c>
      <c r="N130" s="19">
        <v>0.0</v>
      </c>
      <c r="O130" s="19">
        <v>2.0</v>
      </c>
      <c r="P130" s="13">
        <v>0.0</v>
      </c>
      <c r="Q130" s="1"/>
      <c r="R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3">
        <v>0.0</v>
      </c>
      <c r="Q131" s="52"/>
      <c r="R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3">
        <v>0.0</v>
      </c>
      <c r="Q132" s="5"/>
      <c r="R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v>0.0</v>
      </c>
      <c r="Q133" s="5"/>
      <c r="R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2.0</v>
      </c>
      <c r="N134" s="19">
        <v>0.0</v>
      </c>
      <c r="O134" s="19">
        <v>0.0</v>
      </c>
      <c r="P134" s="13">
        <v>0.0</v>
      </c>
      <c r="Q134" s="5"/>
      <c r="R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3">
        <v>0.0</v>
      </c>
      <c r="Q135" s="5"/>
      <c r="R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v>0.0</v>
      </c>
      <c r="Q136" s="5"/>
      <c r="R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74"/>
      <c r="Q137" s="5"/>
      <c r="R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74"/>
      <c r="Q138" s="5"/>
      <c r="R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O139" si="26">SUM(E129:E136)</f>
        <v>0</v>
      </c>
      <c r="F139" s="13">
        <f t="shared" si="26"/>
        <v>1</v>
      </c>
      <c r="G139" s="13">
        <f t="shared" si="26"/>
        <v>0</v>
      </c>
      <c r="H139" s="13">
        <f t="shared" si="26"/>
        <v>3</v>
      </c>
      <c r="I139" s="13">
        <f t="shared" si="26"/>
        <v>4</v>
      </c>
      <c r="J139" s="13">
        <f t="shared" si="26"/>
        <v>0</v>
      </c>
      <c r="K139" s="13">
        <f t="shared" si="26"/>
        <v>3</v>
      </c>
      <c r="L139" s="13">
        <f t="shared" si="26"/>
        <v>0</v>
      </c>
      <c r="M139" s="13">
        <f t="shared" si="26"/>
        <v>2</v>
      </c>
      <c r="N139" s="13">
        <f t="shared" si="26"/>
        <v>0</v>
      </c>
      <c r="O139" s="13">
        <f t="shared" si="26"/>
        <v>3</v>
      </c>
      <c r="P139" s="13">
        <f>SUM(E139:O139)</f>
        <v>16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5"/>
      <c r="R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3">
        <f t="shared" ref="P141:P148" si="27">SUM(E141:O141)</f>
        <v>0</v>
      </c>
      <c r="Q141" s="1"/>
      <c r="R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27"/>
        <v>0</v>
      </c>
      <c r="Q142" s="52"/>
      <c r="R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3">
        <f t="shared" si="27"/>
        <v>0</v>
      </c>
      <c r="Q143" s="5"/>
      <c r="R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27"/>
        <v>0</v>
      </c>
      <c r="Q144" s="5"/>
      <c r="R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3">
        <f t="shared" si="27"/>
        <v>0</v>
      </c>
      <c r="Q145" s="5"/>
      <c r="R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3">
        <f t="shared" si="27"/>
        <v>0</v>
      </c>
      <c r="Q146" s="5"/>
      <c r="R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3">
        <f t="shared" si="27"/>
        <v>0</v>
      </c>
      <c r="Q147" s="5"/>
      <c r="R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3">
        <f t="shared" si="27"/>
        <v>0</v>
      </c>
      <c r="Q148" s="5"/>
      <c r="R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74"/>
      <c r="Q149" s="5"/>
      <c r="R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74"/>
      <c r="Q150" s="5"/>
      <c r="R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O151" si="28">SUM(E141:E148)</f>
        <v>0</v>
      </c>
      <c r="F151" s="13">
        <f t="shared" si="28"/>
        <v>0</v>
      </c>
      <c r="G151" s="13">
        <f t="shared" si="28"/>
        <v>0</v>
      </c>
      <c r="H151" s="13">
        <f t="shared" si="28"/>
        <v>0</v>
      </c>
      <c r="I151" s="13">
        <f t="shared" si="28"/>
        <v>0</v>
      </c>
      <c r="J151" s="13">
        <f t="shared" si="28"/>
        <v>0</v>
      </c>
      <c r="K151" s="13">
        <f t="shared" si="28"/>
        <v>0</v>
      </c>
      <c r="L151" s="13">
        <f t="shared" si="28"/>
        <v>0</v>
      </c>
      <c r="M151" s="13">
        <f t="shared" si="28"/>
        <v>0</v>
      </c>
      <c r="N151" s="13">
        <f t="shared" si="28"/>
        <v>0</v>
      </c>
      <c r="O151" s="13">
        <f t="shared" si="28"/>
        <v>0</v>
      </c>
      <c r="P151" s="13">
        <f>SUM(E151:O151)</f>
        <v>0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13"/>
      <c r="Q152" s="52"/>
      <c r="R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3">
        <f t="shared" ref="P153:P156" si="29">SUM(E154:O154)</f>
        <v>1</v>
      </c>
      <c r="Q153" s="5"/>
      <c r="R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3">
        <f t="shared" si="29"/>
        <v>0</v>
      </c>
      <c r="Q154" s="5"/>
      <c r="R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3">
        <f t="shared" si="29"/>
        <v>0</v>
      </c>
      <c r="Q155" s="5"/>
      <c r="R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3">
        <f t="shared" si="29"/>
        <v>0</v>
      </c>
      <c r="Q156" s="5"/>
      <c r="R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3">
        <f>SUM(E163:O163)</f>
        <v>2</v>
      </c>
      <c r="Q157" s="5"/>
      <c r="R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74"/>
      <c r="Q158" s="5"/>
      <c r="R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74"/>
      <c r="Q159" s="5"/>
      <c r="R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74"/>
      <c r="Q160" s="5"/>
      <c r="R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74"/>
      <c r="Q161" s="5"/>
      <c r="R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74"/>
      <c r="Q162" s="5"/>
      <c r="R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O163" si="30">SUM(E153:E157)</f>
        <v>0</v>
      </c>
      <c r="F163" s="13">
        <f t="shared" si="30"/>
        <v>0</v>
      </c>
      <c r="G163" s="13">
        <f t="shared" si="30"/>
        <v>0</v>
      </c>
      <c r="H163" s="13">
        <f t="shared" si="30"/>
        <v>0</v>
      </c>
      <c r="I163" s="13">
        <f t="shared" si="30"/>
        <v>0</v>
      </c>
      <c r="J163" s="13">
        <f t="shared" si="30"/>
        <v>0</v>
      </c>
      <c r="K163" s="13">
        <f t="shared" si="30"/>
        <v>0</v>
      </c>
      <c r="L163" s="13">
        <f t="shared" si="30"/>
        <v>0</v>
      </c>
      <c r="M163" s="13">
        <f t="shared" si="30"/>
        <v>0</v>
      </c>
      <c r="N163" s="13">
        <f t="shared" si="30"/>
        <v>0</v>
      </c>
      <c r="O163" s="13">
        <f t="shared" si="30"/>
        <v>2</v>
      </c>
      <c r="P163" s="13">
        <f>SUM(E164:O164)</f>
        <v>0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5"/>
      <c r="R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1.0</v>
      </c>
      <c r="P165" s="13">
        <v>1.0</v>
      </c>
      <c r="Q165" s="1"/>
      <c r="R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3">
        <v>2.0</v>
      </c>
      <c r="Q166" s="52"/>
      <c r="R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3">
        <v>1.0</v>
      </c>
      <c r="Q167" s="5"/>
      <c r="R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3">
        <v>0.0</v>
      </c>
      <c r="Q168" s="5"/>
      <c r="R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3">
        <v>0.0</v>
      </c>
      <c r="Q169" s="5"/>
      <c r="R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9">
        <v>0.0</v>
      </c>
      <c r="N170" s="19">
        <v>0.0</v>
      </c>
      <c r="O170" s="19">
        <v>0.0</v>
      </c>
      <c r="P170" s="13">
        <v>1.0</v>
      </c>
      <c r="Q170" s="5"/>
      <c r="R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3">
        <v>0.0</v>
      </c>
      <c r="Q171" s="5"/>
      <c r="R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3">
        <v>0.0</v>
      </c>
      <c r="Q172" s="5"/>
      <c r="R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74"/>
      <c r="Q173" s="5"/>
      <c r="R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74"/>
      <c r="Q174" s="5"/>
      <c r="R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O175" si="31">SUM(E165:E172)</f>
        <v>0</v>
      </c>
      <c r="F175" s="13">
        <f t="shared" si="31"/>
        <v>0</v>
      </c>
      <c r="G175" s="13">
        <f t="shared" si="31"/>
        <v>0</v>
      </c>
      <c r="H175" s="13">
        <f t="shared" si="31"/>
        <v>1</v>
      </c>
      <c r="I175" s="13">
        <f t="shared" si="31"/>
        <v>0</v>
      </c>
      <c r="J175" s="13">
        <f t="shared" si="31"/>
        <v>1</v>
      </c>
      <c r="K175" s="13">
        <f t="shared" si="31"/>
        <v>0</v>
      </c>
      <c r="L175" s="13">
        <f t="shared" si="31"/>
        <v>1</v>
      </c>
      <c r="M175" s="13">
        <f t="shared" si="31"/>
        <v>1</v>
      </c>
      <c r="N175" s="13">
        <f t="shared" si="31"/>
        <v>0</v>
      </c>
      <c r="O175" s="13">
        <f t="shared" si="31"/>
        <v>1</v>
      </c>
      <c r="P175" s="13">
        <f>SUM(E175:O175)</f>
        <v>5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1"/>
      <c r="R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3">
        <f t="shared" ref="P177:P184" si="32">SUM(E177:O177)</f>
        <v>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3">
        <f t="shared" si="32"/>
        <v>1</v>
      </c>
      <c r="Q178" s="5"/>
      <c r="R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1.0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3">
        <f t="shared" si="32"/>
        <v>3</v>
      </c>
      <c r="Q179" s="5"/>
      <c r="R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3">
        <f t="shared" si="32"/>
        <v>1</v>
      </c>
      <c r="Q180" s="5"/>
      <c r="R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3">
        <f t="shared" si="32"/>
        <v>0</v>
      </c>
      <c r="Q181" s="5"/>
      <c r="R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3">
        <f t="shared" si="32"/>
        <v>1</v>
      </c>
      <c r="Q182" s="5"/>
      <c r="R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2"/>
        <v>0</v>
      </c>
      <c r="Q183" s="5"/>
      <c r="R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3">
        <f t="shared" si="32"/>
        <v>0</v>
      </c>
      <c r="Q184" s="5"/>
      <c r="R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74"/>
      <c r="Q185" s="5"/>
      <c r="R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74"/>
      <c r="Q186" s="5"/>
      <c r="R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O187" si="33">SUM(E177:E184)</f>
        <v>0</v>
      </c>
      <c r="F187" s="13">
        <f t="shared" si="33"/>
        <v>0</v>
      </c>
      <c r="G187" s="13">
        <f t="shared" si="33"/>
        <v>1</v>
      </c>
      <c r="H187" s="13">
        <f t="shared" si="33"/>
        <v>1</v>
      </c>
      <c r="I187" s="13">
        <f t="shared" si="33"/>
        <v>2</v>
      </c>
      <c r="J187" s="13">
        <f t="shared" si="33"/>
        <v>1</v>
      </c>
      <c r="K187" s="13">
        <f t="shared" si="33"/>
        <v>1</v>
      </c>
      <c r="L187" s="13">
        <f t="shared" si="33"/>
        <v>0</v>
      </c>
      <c r="M187" s="13">
        <f t="shared" si="33"/>
        <v>1</v>
      </c>
      <c r="N187" s="13">
        <f t="shared" si="33"/>
        <v>0</v>
      </c>
      <c r="O187" s="13">
        <f t="shared" si="33"/>
        <v>0</v>
      </c>
      <c r="P187" s="13">
        <f>SUM(E187:O187)</f>
        <v>7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P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3">
        <f t="shared" ref="P189:P196" si="34">SUM(E189:O189)</f>
        <v>2</v>
      </c>
      <c r="Q189" s="5"/>
      <c r="R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3">
        <f t="shared" si="34"/>
        <v>1</v>
      </c>
      <c r="Q190" s="5"/>
      <c r="R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3">
        <f t="shared" si="34"/>
        <v>1</v>
      </c>
      <c r="Q191" s="5"/>
      <c r="R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1.0</v>
      </c>
      <c r="N192" s="19">
        <v>0.0</v>
      </c>
      <c r="O192" s="19">
        <v>0.0</v>
      </c>
      <c r="P192" s="13">
        <f t="shared" si="34"/>
        <v>1</v>
      </c>
      <c r="Q192" s="5"/>
      <c r="R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4"/>
        <v>0</v>
      </c>
      <c r="Q193" s="5"/>
      <c r="R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3">
        <f t="shared" si="34"/>
        <v>0</v>
      </c>
      <c r="Q194" s="5"/>
      <c r="R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4"/>
        <v>0</v>
      </c>
      <c r="Q195" s="5"/>
      <c r="R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4"/>
        <v>0</v>
      </c>
      <c r="Q196" s="1"/>
      <c r="R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74"/>
      <c r="Q197" s="1"/>
      <c r="R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74"/>
      <c r="Q198" s="1"/>
      <c r="R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O199" si="35">SUM(E189:E196)</f>
        <v>0</v>
      </c>
      <c r="F199" s="13">
        <f t="shared" si="35"/>
        <v>1</v>
      </c>
      <c r="G199" s="13">
        <f t="shared" si="35"/>
        <v>0</v>
      </c>
      <c r="H199" s="13">
        <f t="shared" si="35"/>
        <v>0</v>
      </c>
      <c r="I199" s="13">
        <f t="shared" si="35"/>
        <v>0</v>
      </c>
      <c r="J199" s="13">
        <f t="shared" si="35"/>
        <v>1</v>
      </c>
      <c r="K199" s="13">
        <f t="shared" si="35"/>
        <v>1</v>
      </c>
      <c r="L199" s="13">
        <f t="shared" si="35"/>
        <v>0</v>
      </c>
      <c r="M199" s="13">
        <f t="shared" si="35"/>
        <v>1</v>
      </c>
      <c r="N199" s="13">
        <f t="shared" si="35"/>
        <v>0</v>
      </c>
      <c r="O199" s="13">
        <f t="shared" si="35"/>
        <v>1</v>
      </c>
      <c r="P199" s="13">
        <f>SUM(E199:O199)</f>
        <v>5</v>
      </c>
      <c r="Q199" s="52"/>
      <c r="R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5"/>
      <c r="R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9.0</v>
      </c>
      <c r="G201" s="19">
        <v>14.0</v>
      </c>
      <c r="H201" s="19">
        <v>10.0</v>
      </c>
      <c r="I201" s="19">
        <v>12.0</v>
      </c>
      <c r="J201" s="19">
        <v>22.0</v>
      </c>
      <c r="K201" s="19">
        <v>11.0</v>
      </c>
      <c r="L201" s="19">
        <v>12.0</v>
      </c>
      <c r="M201" s="19">
        <v>5.0</v>
      </c>
      <c r="N201" s="19">
        <v>9.0</v>
      </c>
      <c r="O201" s="19">
        <v>12.0</v>
      </c>
      <c r="P201" s="13">
        <f t="shared" ref="P201:P208" si="36">SUM(E201:O201)</f>
        <v>122</v>
      </c>
      <c r="Q201" s="5"/>
      <c r="R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10.0</v>
      </c>
      <c r="F202" s="19">
        <v>7.0</v>
      </c>
      <c r="G202" s="19">
        <v>24.0</v>
      </c>
      <c r="H202" s="19">
        <v>8.0</v>
      </c>
      <c r="I202" s="19">
        <v>6.0</v>
      </c>
      <c r="J202" s="19">
        <v>13.0</v>
      </c>
      <c r="K202" s="19">
        <v>10.0</v>
      </c>
      <c r="L202" s="19">
        <v>5.0</v>
      </c>
      <c r="M202" s="19">
        <v>4.0</v>
      </c>
      <c r="N202" s="19">
        <v>1.0</v>
      </c>
      <c r="O202" s="19">
        <v>4.0</v>
      </c>
      <c r="P202" s="13">
        <f t="shared" si="36"/>
        <v>92</v>
      </c>
      <c r="Q202" s="5"/>
      <c r="R202" s="5"/>
    </row>
    <row r="203" ht="12.75" customHeight="1">
      <c r="A203" s="18"/>
      <c r="B203" s="55">
        <v>2.0</v>
      </c>
      <c r="C203" s="50" t="s">
        <v>149</v>
      </c>
      <c r="D203" s="57"/>
      <c r="E203" s="19">
        <v>6.0</v>
      </c>
      <c r="F203" s="19">
        <v>7.0</v>
      </c>
      <c r="G203" s="19">
        <v>8.0</v>
      </c>
      <c r="H203" s="19">
        <v>4.0</v>
      </c>
      <c r="I203" s="19">
        <v>6.0</v>
      </c>
      <c r="J203" s="19">
        <v>7.0</v>
      </c>
      <c r="K203" s="19">
        <v>2.0</v>
      </c>
      <c r="L203" s="19">
        <v>4.0</v>
      </c>
      <c r="M203" s="19">
        <v>2.0</v>
      </c>
      <c r="N203" s="19">
        <v>7.0</v>
      </c>
      <c r="O203" s="19">
        <v>4.0</v>
      </c>
      <c r="P203" s="13">
        <f t="shared" si="36"/>
        <v>57</v>
      </c>
      <c r="Q203" s="5"/>
      <c r="R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3.0</v>
      </c>
      <c r="G204" s="19">
        <v>1.0</v>
      </c>
      <c r="H204" s="19">
        <v>1.0</v>
      </c>
      <c r="I204" s="19">
        <v>2.0</v>
      </c>
      <c r="J204" s="19">
        <v>1.0</v>
      </c>
      <c r="K204" s="19">
        <v>0.0</v>
      </c>
      <c r="L204" s="19">
        <v>3.0</v>
      </c>
      <c r="M204" s="19">
        <v>2.0</v>
      </c>
      <c r="N204" s="19">
        <v>2.0</v>
      </c>
      <c r="O204" s="19">
        <v>0.0</v>
      </c>
      <c r="P204" s="13">
        <f t="shared" si="36"/>
        <v>15</v>
      </c>
      <c r="Q204" s="5"/>
      <c r="R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2.0</v>
      </c>
      <c r="H205" s="19">
        <v>0.0</v>
      </c>
      <c r="I205" s="19">
        <v>3.0</v>
      </c>
      <c r="J205" s="19">
        <v>1.0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3">
        <f t="shared" si="36"/>
        <v>7</v>
      </c>
      <c r="Q205" s="5"/>
      <c r="R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1.0</v>
      </c>
      <c r="M206" s="19">
        <v>0.0</v>
      </c>
      <c r="N206" s="19">
        <v>1.0</v>
      </c>
      <c r="O206" s="19">
        <v>1.0</v>
      </c>
      <c r="P206" s="13">
        <f t="shared" si="36"/>
        <v>4</v>
      </c>
      <c r="Q206" s="5"/>
      <c r="R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2.0</v>
      </c>
      <c r="L207" s="19">
        <v>1.0</v>
      </c>
      <c r="M207" s="19">
        <v>1.0</v>
      </c>
      <c r="N207" s="19">
        <v>0.0</v>
      </c>
      <c r="O207" s="19">
        <v>0.0</v>
      </c>
      <c r="P207" s="13">
        <f t="shared" si="36"/>
        <v>5</v>
      </c>
      <c r="Q207" s="1"/>
      <c r="R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1.0</v>
      </c>
      <c r="H208" s="19">
        <v>0.0</v>
      </c>
      <c r="I208" s="19">
        <v>1.0</v>
      </c>
      <c r="J208" s="19">
        <v>0.0</v>
      </c>
      <c r="K208" s="19">
        <v>1.0</v>
      </c>
      <c r="L208" s="19">
        <v>2.0</v>
      </c>
      <c r="M208" s="19">
        <v>0.0</v>
      </c>
      <c r="N208" s="19">
        <v>0.0</v>
      </c>
      <c r="O208" s="19">
        <v>0.0</v>
      </c>
      <c r="P208" s="13">
        <f t="shared" si="36"/>
        <v>5</v>
      </c>
      <c r="Q208" s="52"/>
      <c r="R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74"/>
      <c r="Q209" s="52"/>
      <c r="R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74"/>
      <c r="Q210" s="52"/>
      <c r="R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O211" si="37">SUM(E201:E208)</f>
        <v>22</v>
      </c>
      <c r="F211" s="13">
        <f t="shared" si="37"/>
        <v>26</v>
      </c>
      <c r="G211" s="13">
        <f t="shared" si="37"/>
        <v>50</v>
      </c>
      <c r="H211" s="13">
        <f t="shared" si="37"/>
        <v>23</v>
      </c>
      <c r="I211" s="13">
        <f t="shared" si="37"/>
        <v>30</v>
      </c>
      <c r="J211" s="13">
        <f t="shared" si="37"/>
        <v>46</v>
      </c>
      <c r="K211" s="13">
        <f t="shared" si="37"/>
        <v>27</v>
      </c>
      <c r="L211" s="13">
        <f t="shared" si="37"/>
        <v>28</v>
      </c>
      <c r="M211" s="13">
        <f t="shared" si="37"/>
        <v>14</v>
      </c>
      <c r="N211" s="13">
        <f t="shared" si="37"/>
        <v>20</v>
      </c>
      <c r="O211" s="13">
        <f t="shared" si="37"/>
        <v>21</v>
      </c>
      <c r="P211" s="13">
        <f>SUM(E211:O211)</f>
        <v>307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5"/>
      <c r="R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2.0</v>
      </c>
      <c r="H213" s="19">
        <v>3.0</v>
      </c>
      <c r="I213" s="19">
        <v>0.0</v>
      </c>
      <c r="J213" s="19">
        <v>0.0</v>
      </c>
      <c r="K213" s="19">
        <v>0.0</v>
      </c>
      <c r="L213" s="19">
        <v>4.0</v>
      </c>
      <c r="M213" s="19">
        <v>0.0</v>
      </c>
      <c r="N213" s="19">
        <v>0.0</v>
      </c>
      <c r="O213" s="19">
        <v>0.0</v>
      </c>
      <c r="P213" s="13">
        <f t="shared" ref="P213:P220" si="38">SUM(E213:O213)</f>
        <v>11</v>
      </c>
      <c r="Q213" s="5"/>
      <c r="R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1.0</v>
      </c>
      <c r="I214" s="19">
        <v>0.0</v>
      </c>
      <c r="J214" s="19">
        <v>2.0</v>
      </c>
      <c r="K214" s="19">
        <v>1.0</v>
      </c>
      <c r="L214" s="19">
        <v>1.0</v>
      </c>
      <c r="M214" s="19">
        <v>0.0</v>
      </c>
      <c r="N214" s="19">
        <v>0.0</v>
      </c>
      <c r="O214" s="19">
        <v>0.0</v>
      </c>
      <c r="P214" s="13">
        <f t="shared" si="38"/>
        <v>5</v>
      </c>
      <c r="Q214" s="5"/>
      <c r="R214" s="5"/>
    </row>
    <row r="215" ht="12.75" customHeight="1">
      <c r="A215" s="18"/>
      <c r="B215" s="55">
        <v>2.0</v>
      </c>
      <c r="C215" s="50" t="s">
        <v>158</v>
      </c>
      <c r="D215" s="56"/>
      <c r="E215" s="19">
        <v>4.0</v>
      </c>
      <c r="F215" s="19">
        <v>2.0</v>
      </c>
      <c r="G215" s="19">
        <v>2.0</v>
      </c>
      <c r="H215" s="19">
        <v>8.0</v>
      </c>
      <c r="I215" s="19">
        <v>7.0</v>
      </c>
      <c r="J215" s="19">
        <v>7.0</v>
      </c>
      <c r="K215" s="19">
        <v>15.0</v>
      </c>
      <c r="L215" s="19">
        <v>4.0</v>
      </c>
      <c r="M215" s="19">
        <v>3.0</v>
      </c>
      <c r="N215" s="19">
        <v>5.0</v>
      </c>
      <c r="O215" s="19">
        <v>10.0</v>
      </c>
      <c r="P215" s="13">
        <f t="shared" si="38"/>
        <v>67</v>
      </c>
      <c r="Q215" s="5"/>
      <c r="R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3">
        <f t="shared" si="38"/>
        <v>0</v>
      </c>
      <c r="Q216" s="5"/>
      <c r="R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3">
        <f t="shared" si="38"/>
        <v>0</v>
      </c>
      <c r="Q217" s="5"/>
      <c r="R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3">
        <f t="shared" si="38"/>
        <v>0</v>
      </c>
      <c r="Q218" s="1"/>
      <c r="R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3">
        <f t="shared" si="38"/>
        <v>0</v>
      </c>
      <c r="Q219" s="52"/>
      <c r="R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3">
        <f t="shared" si="38"/>
        <v>1</v>
      </c>
      <c r="Q220" s="5"/>
      <c r="R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74"/>
      <c r="Q221" s="5"/>
      <c r="R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74"/>
      <c r="Q222" s="5"/>
      <c r="R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O223" si="39">SUM(E213:E220)</f>
        <v>6</v>
      </c>
      <c r="F223" s="13">
        <f t="shared" si="39"/>
        <v>3</v>
      </c>
      <c r="G223" s="13">
        <f t="shared" si="39"/>
        <v>4</v>
      </c>
      <c r="H223" s="13">
        <f t="shared" si="39"/>
        <v>12</v>
      </c>
      <c r="I223" s="13">
        <f t="shared" si="39"/>
        <v>7</v>
      </c>
      <c r="J223" s="13">
        <f t="shared" si="39"/>
        <v>9</v>
      </c>
      <c r="K223" s="13">
        <f t="shared" si="39"/>
        <v>16</v>
      </c>
      <c r="L223" s="13">
        <f t="shared" si="39"/>
        <v>9</v>
      </c>
      <c r="M223" s="13">
        <f t="shared" si="39"/>
        <v>3</v>
      </c>
      <c r="N223" s="13">
        <f t="shared" si="39"/>
        <v>5</v>
      </c>
      <c r="O223" s="13">
        <f t="shared" si="39"/>
        <v>10</v>
      </c>
      <c r="P223" s="13">
        <f>SUM(E223:O223)</f>
        <v>84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5"/>
      <c r="R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3">
        <f t="shared" ref="P225:P232" si="40">SUM(E225:O225)</f>
        <v>2</v>
      </c>
      <c r="Q225" s="5"/>
      <c r="R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2.0</v>
      </c>
      <c r="F226" s="19">
        <v>0.0</v>
      </c>
      <c r="G226" s="19">
        <v>1.0</v>
      </c>
      <c r="H226" s="19">
        <v>1.0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1.0</v>
      </c>
      <c r="O226" s="19">
        <v>0.0</v>
      </c>
      <c r="P226" s="13">
        <f t="shared" si="40"/>
        <v>5</v>
      </c>
      <c r="Q226" s="5"/>
      <c r="R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3">
        <f t="shared" si="40"/>
        <v>0</v>
      </c>
      <c r="Q227" s="5"/>
      <c r="R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3">
        <f t="shared" si="40"/>
        <v>0</v>
      </c>
      <c r="Q228" s="5"/>
      <c r="R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0"/>
        <v>0</v>
      </c>
      <c r="Q229" s="1"/>
      <c r="R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3">
        <f t="shared" si="40"/>
        <v>0</v>
      </c>
      <c r="Q230" s="52"/>
      <c r="R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3">
        <f t="shared" si="40"/>
        <v>0</v>
      </c>
      <c r="Q231" s="5"/>
      <c r="R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3">
        <f t="shared" si="40"/>
        <v>0</v>
      </c>
      <c r="Q232" s="5"/>
      <c r="R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74"/>
      <c r="Q233" s="5"/>
      <c r="R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74"/>
      <c r="Q234" s="5"/>
      <c r="R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O235" si="41">SUM(E225:E232)</f>
        <v>3</v>
      </c>
      <c r="F235" s="13">
        <f t="shared" si="41"/>
        <v>1</v>
      </c>
      <c r="G235" s="13">
        <f t="shared" si="41"/>
        <v>1</v>
      </c>
      <c r="H235" s="13">
        <f t="shared" si="41"/>
        <v>1</v>
      </c>
      <c r="I235" s="13">
        <f t="shared" si="41"/>
        <v>0</v>
      </c>
      <c r="J235" s="13">
        <f t="shared" si="41"/>
        <v>0</v>
      </c>
      <c r="K235" s="13">
        <f t="shared" si="41"/>
        <v>0</v>
      </c>
      <c r="L235" s="13">
        <f t="shared" si="41"/>
        <v>0</v>
      </c>
      <c r="M235" s="13">
        <f t="shared" si="41"/>
        <v>0</v>
      </c>
      <c r="N235" s="13">
        <f t="shared" si="41"/>
        <v>1</v>
      </c>
      <c r="O235" s="13">
        <f t="shared" si="41"/>
        <v>0</v>
      </c>
      <c r="P235" s="13">
        <f>SUM(E235:O235)</f>
        <v>7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5"/>
      <c r="R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3.0</v>
      </c>
      <c r="I237" s="19">
        <v>1.0</v>
      </c>
      <c r="J237" s="19">
        <v>0.0</v>
      </c>
      <c r="K237" s="19">
        <v>0.0</v>
      </c>
      <c r="L237" s="19">
        <v>0.0</v>
      </c>
      <c r="M237" s="19">
        <v>0.0</v>
      </c>
      <c r="N237" s="19">
        <v>1.0</v>
      </c>
      <c r="O237" s="19">
        <v>1.0</v>
      </c>
      <c r="P237" s="13">
        <f t="shared" ref="P237:P244" si="42">SUM(E237:O237)</f>
        <v>7</v>
      </c>
      <c r="Q237" s="5"/>
      <c r="R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2.0</v>
      </c>
      <c r="F238" s="19">
        <v>1.0</v>
      </c>
      <c r="G238" s="19">
        <v>4.0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2.0</v>
      </c>
      <c r="O238" s="19">
        <v>2.0</v>
      </c>
      <c r="P238" s="13">
        <f t="shared" si="42"/>
        <v>12</v>
      </c>
      <c r="Q238" s="5"/>
      <c r="R238" s="5"/>
    </row>
    <row r="239" ht="12.75" customHeight="1">
      <c r="A239" s="18"/>
      <c r="B239" s="55">
        <v>2.0</v>
      </c>
      <c r="C239" s="50" t="s">
        <v>176</v>
      </c>
      <c r="D239" s="57"/>
      <c r="E239" s="19">
        <v>6.0</v>
      </c>
      <c r="F239" s="19">
        <v>0.0</v>
      </c>
      <c r="G239" s="19">
        <v>0.0</v>
      </c>
      <c r="H239" s="19">
        <v>1.0</v>
      </c>
      <c r="I239" s="19">
        <v>2.0</v>
      </c>
      <c r="J239" s="19">
        <v>0.0</v>
      </c>
      <c r="K239" s="19">
        <v>0.0</v>
      </c>
      <c r="L239" s="19">
        <v>3.0</v>
      </c>
      <c r="M239" s="19">
        <v>0.0</v>
      </c>
      <c r="N239" s="19">
        <v>1.0</v>
      </c>
      <c r="O239" s="19">
        <v>1.0</v>
      </c>
      <c r="P239" s="13">
        <f t="shared" si="42"/>
        <v>14</v>
      </c>
      <c r="Q239" s="5"/>
      <c r="R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3">
        <f t="shared" si="42"/>
        <v>0</v>
      </c>
      <c r="Q240" s="1"/>
      <c r="R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3">
        <f t="shared" si="42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3">
        <f t="shared" si="42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3">
        <f t="shared" si="42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1.0</v>
      </c>
      <c r="G244" s="19">
        <v>0.0</v>
      </c>
      <c r="H244" s="19">
        <v>11.0</v>
      </c>
      <c r="I244" s="19">
        <v>3.0</v>
      </c>
      <c r="J244" s="19">
        <v>2.0</v>
      </c>
      <c r="K244" s="19">
        <v>1.0</v>
      </c>
      <c r="L244" s="19">
        <v>0.0</v>
      </c>
      <c r="M244" s="19">
        <v>0.0</v>
      </c>
      <c r="N244" s="19">
        <v>0.0</v>
      </c>
      <c r="O244" s="19">
        <v>0.0</v>
      </c>
      <c r="P244" s="13">
        <f t="shared" si="42"/>
        <v>19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O247" si="43">SUM(E237:E244)</f>
        <v>9</v>
      </c>
      <c r="F247" s="13">
        <f t="shared" si="43"/>
        <v>2</v>
      </c>
      <c r="G247" s="13">
        <f t="shared" si="43"/>
        <v>5</v>
      </c>
      <c r="H247" s="13">
        <f t="shared" si="43"/>
        <v>15</v>
      </c>
      <c r="I247" s="13">
        <f t="shared" si="43"/>
        <v>6</v>
      </c>
      <c r="J247" s="13">
        <f t="shared" si="43"/>
        <v>2</v>
      </c>
      <c r="K247" s="13">
        <f t="shared" si="43"/>
        <v>3</v>
      </c>
      <c r="L247" s="13">
        <f t="shared" si="43"/>
        <v>3</v>
      </c>
      <c r="M247" s="13">
        <f t="shared" si="43"/>
        <v>0</v>
      </c>
      <c r="N247" s="13">
        <f t="shared" si="43"/>
        <v>4</v>
      </c>
      <c r="O247" s="13">
        <f t="shared" si="43"/>
        <v>4</v>
      </c>
      <c r="P247" s="13">
        <f>SUM(E247:O247)</f>
        <v>53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3">
        <f t="shared" ref="P249:P255" si="44">SUM(E249:O249)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3">
        <f t="shared" si="44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3">
        <f t="shared" si="44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3">
        <f t="shared" si="44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3">
        <f t="shared" si="44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3">
        <f t="shared" si="44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3">
        <f t="shared" si="44"/>
        <v>0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O259" si="45">SUM(E249:E255)</f>
        <v>1</v>
      </c>
      <c r="F259" s="13">
        <f t="shared" si="45"/>
        <v>0</v>
      </c>
      <c r="G259" s="13">
        <f t="shared" si="45"/>
        <v>0</v>
      </c>
      <c r="H259" s="13">
        <f t="shared" si="45"/>
        <v>0</v>
      </c>
      <c r="I259" s="13">
        <f t="shared" si="45"/>
        <v>0</v>
      </c>
      <c r="J259" s="13">
        <f t="shared" si="45"/>
        <v>0</v>
      </c>
      <c r="K259" s="13">
        <f t="shared" si="45"/>
        <v>0</v>
      </c>
      <c r="L259" s="13">
        <f t="shared" si="45"/>
        <v>0</v>
      </c>
      <c r="M259" s="13">
        <f t="shared" si="45"/>
        <v>0</v>
      </c>
      <c r="N259" s="13">
        <f t="shared" si="45"/>
        <v>0</v>
      </c>
      <c r="O259" s="13">
        <f t="shared" si="45"/>
        <v>0</v>
      </c>
      <c r="P259" s="13">
        <f>SUM(E259:O259)</f>
        <v>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O262" si="46">E55+E67+E79+E91+E103+E115+E127+E139+E151+E163+E175+E187+E199+E211+E223+E235+E247+E259</f>
        <v>204</v>
      </c>
      <c r="F262" s="19">
        <f t="shared" si="46"/>
        <v>138</v>
      </c>
      <c r="G262" s="19">
        <f t="shared" si="46"/>
        <v>153</v>
      </c>
      <c r="H262" s="19">
        <f t="shared" si="46"/>
        <v>156</v>
      </c>
      <c r="I262" s="19">
        <f t="shared" si="46"/>
        <v>174</v>
      </c>
      <c r="J262" s="19">
        <f t="shared" si="46"/>
        <v>217</v>
      </c>
      <c r="K262" s="19">
        <f t="shared" si="46"/>
        <v>175</v>
      </c>
      <c r="L262" s="19">
        <f t="shared" si="46"/>
        <v>202</v>
      </c>
      <c r="M262" s="19">
        <f t="shared" si="46"/>
        <v>191</v>
      </c>
      <c r="N262" s="19">
        <f t="shared" si="46"/>
        <v>174</v>
      </c>
      <c r="O262" s="19">
        <f t="shared" si="46"/>
        <v>171</v>
      </c>
      <c r="P262" s="13">
        <f t="shared" ref="P262:P264" si="47">SUM(E262:O262)</f>
        <v>1955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26.0</v>
      </c>
      <c r="F263" s="19">
        <v>18.0</v>
      </c>
      <c r="G263" s="19">
        <v>12.0</v>
      </c>
      <c r="H263" s="19">
        <v>23.0</v>
      </c>
      <c r="I263" s="19">
        <v>24.0</v>
      </c>
      <c r="J263" s="19">
        <v>20.0</v>
      </c>
      <c r="K263" s="19">
        <v>20.0</v>
      </c>
      <c r="L263" s="19">
        <v>16.0</v>
      </c>
      <c r="M263" s="19">
        <v>11.0</v>
      </c>
      <c r="N263" s="19">
        <v>16.0</v>
      </c>
      <c r="O263" s="19">
        <v>8.0</v>
      </c>
      <c r="P263" s="13">
        <f t="shared" si="47"/>
        <v>194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O264" si="48">SUM(E262:E263)</f>
        <v>230</v>
      </c>
      <c r="F264" s="13">
        <f t="shared" si="48"/>
        <v>156</v>
      </c>
      <c r="G264" s="13">
        <f t="shared" si="48"/>
        <v>165</v>
      </c>
      <c r="H264" s="13">
        <f t="shared" si="48"/>
        <v>179</v>
      </c>
      <c r="I264" s="13">
        <f t="shared" si="48"/>
        <v>198</v>
      </c>
      <c r="J264" s="13">
        <f t="shared" si="48"/>
        <v>237</v>
      </c>
      <c r="K264" s="13">
        <f t="shared" si="48"/>
        <v>195</v>
      </c>
      <c r="L264" s="13">
        <f t="shared" si="48"/>
        <v>218</v>
      </c>
      <c r="M264" s="13">
        <f t="shared" si="48"/>
        <v>202</v>
      </c>
      <c r="N264" s="13">
        <f t="shared" si="48"/>
        <v>190</v>
      </c>
      <c r="O264" s="13">
        <f t="shared" si="48"/>
        <v>179</v>
      </c>
      <c r="P264" s="13">
        <f t="shared" si="47"/>
        <v>2149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233</v>
      </c>
      <c r="AC13" s="13" t="s">
        <v>234</v>
      </c>
      <c r="AD13" s="13" t="s">
        <v>235</v>
      </c>
      <c r="AE13" s="13" t="s">
        <v>236</v>
      </c>
      <c r="AF13" s="13" t="s">
        <v>237</v>
      </c>
      <c r="AG13" s="13" t="s">
        <v>238</v>
      </c>
      <c r="AH13" s="13" t="s">
        <v>239</v>
      </c>
      <c r="AI13" s="13" t="s">
        <v>240</v>
      </c>
      <c r="AJ13" s="13" t="s">
        <v>241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78">
        <v>138.0</v>
      </c>
      <c r="F14" s="78">
        <v>123.0</v>
      </c>
      <c r="G14" s="78">
        <v>119.0</v>
      </c>
      <c r="H14" s="78">
        <v>144.0</v>
      </c>
      <c r="I14" s="78">
        <v>128.0</v>
      </c>
      <c r="J14" s="78">
        <v>138.0</v>
      </c>
      <c r="K14" s="78">
        <v>117.0</v>
      </c>
      <c r="L14" s="78">
        <v>143.0</v>
      </c>
      <c r="M14" s="78">
        <v>141.0</v>
      </c>
      <c r="N14" s="78">
        <v>141.0</v>
      </c>
      <c r="O14" s="78">
        <v>116.0</v>
      </c>
      <c r="P14" s="78">
        <v>135.0</v>
      </c>
      <c r="Q14" s="78">
        <v>122.0</v>
      </c>
      <c r="R14" s="78">
        <v>117.0</v>
      </c>
      <c r="S14" s="78">
        <v>136.0</v>
      </c>
      <c r="T14" s="78">
        <v>147.0</v>
      </c>
      <c r="U14" s="78">
        <v>112.0</v>
      </c>
      <c r="V14" s="78">
        <v>95.0</v>
      </c>
      <c r="W14" s="78">
        <v>116.0</v>
      </c>
      <c r="X14" s="78">
        <v>146.0</v>
      </c>
      <c r="Y14" s="78">
        <v>132.0</v>
      </c>
      <c r="Z14" s="78">
        <v>129.0</v>
      </c>
      <c r="AA14" s="78">
        <v>144.0</v>
      </c>
      <c r="AB14" s="78">
        <v>151.0</v>
      </c>
      <c r="AC14" s="78">
        <v>117.0</v>
      </c>
      <c r="AD14" s="78">
        <v>109.0</v>
      </c>
      <c r="AE14" s="78">
        <v>149.0</v>
      </c>
      <c r="AF14" s="78">
        <v>131.0</v>
      </c>
      <c r="AG14" s="78">
        <v>147.0</v>
      </c>
      <c r="AH14" s="78">
        <v>118.0</v>
      </c>
      <c r="AI14" s="78">
        <v>127.0</v>
      </c>
      <c r="AJ14" s="78">
        <v>108.0</v>
      </c>
      <c r="AK14" s="13">
        <f t="shared" ref="AK14:AK16" si="1">SUM(E14:AJ14)</f>
        <v>4136</v>
      </c>
    </row>
    <row r="15" ht="12.75" customHeight="1">
      <c r="A15" s="18"/>
      <c r="B15" s="26"/>
      <c r="C15" s="27"/>
      <c r="D15" s="19" t="s">
        <v>13</v>
      </c>
      <c r="E15" s="78">
        <v>139.0</v>
      </c>
      <c r="F15" s="78">
        <v>128.0</v>
      </c>
      <c r="G15" s="78">
        <v>134.0</v>
      </c>
      <c r="H15" s="78">
        <v>150.0</v>
      </c>
      <c r="I15" s="78">
        <v>132.0</v>
      </c>
      <c r="J15" s="78">
        <v>141.0</v>
      </c>
      <c r="K15" s="78">
        <v>132.0</v>
      </c>
      <c r="L15" s="78">
        <v>150.0</v>
      </c>
      <c r="M15" s="78">
        <v>151.0</v>
      </c>
      <c r="N15" s="78">
        <v>153.0</v>
      </c>
      <c r="O15" s="78">
        <v>117.0</v>
      </c>
      <c r="P15" s="78">
        <v>138.0</v>
      </c>
      <c r="Q15" s="78">
        <v>146.0</v>
      </c>
      <c r="R15" s="78">
        <v>148.0</v>
      </c>
      <c r="S15" s="78">
        <v>137.0</v>
      </c>
      <c r="T15" s="78">
        <v>143.0</v>
      </c>
      <c r="U15" s="78">
        <v>103.0</v>
      </c>
      <c r="V15" s="78">
        <v>90.0</v>
      </c>
      <c r="W15" s="78">
        <v>116.0</v>
      </c>
      <c r="X15" s="78">
        <v>141.0</v>
      </c>
      <c r="Y15" s="78">
        <v>134.0</v>
      </c>
      <c r="Z15" s="78">
        <v>138.0</v>
      </c>
      <c r="AA15" s="78">
        <v>144.0</v>
      </c>
      <c r="AB15" s="78">
        <v>137.0</v>
      </c>
      <c r="AC15" s="78">
        <v>112.0</v>
      </c>
      <c r="AD15" s="78">
        <v>136.0</v>
      </c>
      <c r="AE15" s="78">
        <v>140.0</v>
      </c>
      <c r="AF15" s="78">
        <v>130.0</v>
      </c>
      <c r="AG15" s="78">
        <v>149.0</v>
      </c>
      <c r="AH15" s="78">
        <v>128.0</v>
      </c>
      <c r="AI15" s="78">
        <v>124.0</v>
      </c>
      <c r="AJ15" s="78">
        <v>115.0</v>
      </c>
      <c r="AK15" s="13">
        <f t="shared" si="1"/>
        <v>4276</v>
      </c>
    </row>
    <row r="16" ht="12.75" customHeight="1">
      <c r="A16" s="25"/>
      <c r="B16" s="21"/>
      <c r="C16" s="28"/>
      <c r="D16" s="13" t="s">
        <v>14</v>
      </c>
      <c r="E16" s="79">
        <f t="shared" ref="E16:AJ16" si="2">SUM(E14:E15)</f>
        <v>277</v>
      </c>
      <c r="F16" s="79">
        <f t="shared" si="2"/>
        <v>251</v>
      </c>
      <c r="G16" s="79">
        <f t="shared" si="2"/>
        <v>253</v>
      </c>
      <c r="H16" s="79">
        <f t="shared" si="2"/>
        <v>294</v>
      </c>
      <c r="I16" s="79">
        <f t="shared" si="2"/>
        <v>260</v>
      </c>
      <c r="J16" s="79">
        <f t="shared" si="2"/>
        <v>279</v>
      </c>
      <c r="K16" s="79">
        <f t="shared" si="2"/>
        <v>249</v>
      </c>
      <c r="L16" s="79">
        <f t="shared" si="2"/>
        <v>293</v>
      </c>
      <c r="M16" s="79">
        <f t="shared" si="2"/>
        <v>292</v>
      </c>
      <c r="N16" s="79">
        <f t="shared" si="2"/>
        <v>294</v>
      </c>
      <c r="O16" s="79">
        <f t="shared" si="2"/>
        <v>233</v>
      </c>
      <c r="P16" s="79">
        <f t="shared" si="2"/>
        <v>273</v>
      </c>
      <c r="Q16" s="79">
        <f t="shared" si="2"/>
        <v>268</v>
      </c>
      <c r="R16" s="79">
        <f t="shared" si="2"/>
        <v>265</v>
      </c>
      <c r="S16" s="79">
        <f t="shared" si="2"/>
        <v>273</v>
      </c>
      <c r="T16" s="79">
        <f t="shared" si="2"/>
        <v>290</v>
      </c>
      <c r="U16" s="79">
        <f t="shared" si="2"/>
        <v>215</v>
      </c>
      <c r="V16" s="79">
        <f t="shared" si="2"/>
        <v>185</v>
      </c>
      <c r="W16" s="79">
        <f t="shared" si="2"/>
        <v>232</v>
      </c>
      <c r="X16" s="79">
        <f t="shared" si="2"/>
        <v>287</v>
      </c>
      <c r="Y16" s="79">
        <f t="shared" si="2"/>
        <v>266</v>
      </c>
      <c r="Z16" s="79">
        <f t="shared" si="2"/>
        <v>267</v>
      </c>
      <c r="AA16" s="79">
        <f t="shared" si="2"/>
        <v>288</v>
      </c>
      <c r="AB16" s="79">
        <f t="shared" si="2"/>
        <v>288</v>
      </c>
      <c r="AC16" s="79">
        <f t="shared" si="2"/>
        <v>229</v>
      </c>
      <c r="AD16" s="79">
        <f t="shared" si="2"/>
        <v>245</v>
      </c>
      <c r="AE16" s="79">
        <f t="shared" si="2"/>
        <v>289</v>
      </c>
      <c r="AF16" s="79">
        <f t="shared" si="2"/>
        <v>261</v>
      </c>
      <c r="AG16" s="79">
        <f t="shared" si="2"/>
        <v>296</v>
      </c>
      <c r="AH16" s="79">
        <f t="shared" si="2"/>
        <v>246</v>
      </c>
      <c r="AI16" s="79">
        <f t="shared" si="2"/>
        <v>251</v>
      </c>
      <c r="AJ16" s="79">
        <f t="shared" si="2"/>
        <v>223</v>
      </c>
      <c r="AK16" s="13">
        <f t="shared" si="1"/>
        <v>8412</v>
      </c>
    </row>
    <row r="17" ht="12.75" customHeight="1">
      <c r="A17" s="24"/>
      <c r="B17" s="15"/>
      <c r="C17" s="15"/>
      <c r="D17" s="16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68"/>
    </row>
    <row r="18" ht="12.75" customHeight="1">
      <c r="A18" s="30" t="s">
        <v>15</v>
      </c>
      <c r="B18" s="20" t="s">
        <v>16</v>
      </c>
      <c r="C18" s="15"/>
      <c r="D18" s="1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8">
        <v>117.0</v>
      </c>
      <c r="F19" s="78">
        <v>103.0</v>
      </c>
      <c r="G19" s="78">
        <v>100.0</v>
      </c>
      <c r="H19" s="78">
        <v>113.0</v>
      </c>
      <c r="I19" s="78">
        <v>109.0</v>
      </c>
      <c r="J19" s="78">
        <v>112.0</v>
      </c>
      <c r="K19" s="78">
        <v>90.0</v>
      </c>
      <c r="L19" s="78">
        <v>101.0</v>
      </c>
      <c r="M19" s="78">
        <v>114.0</v>
      </c>
      <c r="N19" s="78">
        <v>110.0</v>
      </c>
      <c r="O19" s="78">
        <v>82.0</v>
      </c>
      <c r="P19" s="78">
        <v>100.0</v>
      </c>
      <c r="Q19" s="78">
        <v>84.0</v>
      </c>
      <c r="R19" s="78">
        <v>85.0</v>
      </c>
      <c r="S19" s="78">
        <v>101.0</v>
      </c>
      <c r="T19" s="78">
        <v>106.0</v>
      </c>
      <c r="U19" s="78">
        <v>81.0</v>
      </c>
      <c r="V19" s="78">
        <v>76.0</v>
      </c>
      <c r="W19" s="78">
        <v>85.0</v>
      </c>
      <c r="X19" s="78">
        <v>115.0</v>
      </c>
      <c r="Y19" s="78">
        <v>90.0</v>
      </c>
      <c r="Z19" s="78">
        <v>101.0</v>
      </c>
      <c r="AA19" s="78">
        <v>115.0</v>
      </c>
      <c r="AB19" s="78">
        <v>125.0</v>
      </c>
      <c r="AC19" s="78">
        <v>86.0</v>
      </c>
      <c r="AD19" s="78">
        <v>93.0</v>
      </c>
      <c r="AE19" s="78">
        <v>108.0</v>
      </c>
      <c r="AF19" s="78">
        <v>93.0</v>
      </c>
      <c r="AG19" s="78">
        <v>120.0</v>
      </c>
      <c r="AH19" s="78">
        <v>94.0</v>
      </c>
      <c r="AI19" s="78">
        <v>96.0</v>
      </c>
      <c r="AJ19" s="78">
        <v>90.0</v>
      </c>
      <c r="AK19" s="13">
        <f t="shared" ref="AK19:AK30" si="3">SUM(E19:AJ19)</f>
        <v>3195</v>
      </c>
    </row>
    <row r="20" ht="12.75" customHeight="1">
      <c r="A20" s="33"/>
      <c r="B20" s="27"/>
      <c r="C20" s="34"/>
      <c r="D20" s="19" t="s">
        <v>13</v>
      </c>
      <c r="E20" s="78">
        <v>111.0</v>
      </c>
      <c r="F20" s="78">
        <v>106.0</v>
      </c>
      <c r="G20" s="78">
        <v>110.0</v>
      </c>
      <c r="H20" s="78">
        <v>126.0</v>
      </c>
      <c r="I20" s="78">
        <v>115.0</v>
      </c>
      <c r="J20" s="78">
        <v>116.0</v>
      </c>
      <c r="K20" s="78">
        <v>107.0</v>
      </c>
      <c r="L20" s="78">
        <v>120.0</v>
      </c>
      <c r="M20" s="78">
        <v>129.0</v>
      </c>
      <c r="N20" s="78">
        <v>132.0</v>
      </c>
      <c r="O20" s="78">
        <v>95.0</v>
      </c>
      <c r="P20" s="78">
        <v>117.0</v>
      </c>
      <c r="Q20" s="78">
        <v>109.0</v>
      </c>
      <c r="R20" s="78">
        <v>129.0</v>
      </c>
      <c r="S20" s="78">
        <v>124.0</v>
      </c>
      <c r="T20" s="78">
        <v>115.0</v>
      </c>
      <c r="U20" s="78">
        <v>74.0</v>
      </c>
      <c r="V20" s="78">
        <v>65.0</v>
      </c>
      <c r="W20" s="78">
        <v>85.0</v>
      </c>
      <c r="X20" s="78">
        <v>108.0</v>
      </c>
      <c r="Y20" s="78">
        <v>99.0</v>
      </c>
      <c r="Z20" s="78">
        <v>111.0</v>
      </c>
      <c r="AA20" s="78">
        <v>104.0</v>
      </c>
      <c r="AB20" s="78">
        <v>115.0</v>
      </c>
      <c r="AC20" s="78">
        <v>89.0</v>
      </c>
      <c r="AD20" s="78">
        <v>118.0</v>
      </c>
      <c r="AE20" s="78">
        <v>118.0</v>
      </c>
      <c r="AF20" s="78">
        <v>113.0</v>
      </c>
      <c r="AG20" s="78">
        <v>128.0</v>
      </c>
      <c r="AH20" s="78">
        <v>112.0</v>
      </c>
      <c r="AI20" s="78">
        <v>110.0</v>
      </c>
      <c r="AJ20" s="78">
        <v>95.0</v>
      </c>
      <c r="AK20" s="13">
        <f t="shared" si="3"/>
        <v>3505</v>
      </c>
    </row>
    <row r="21" ht="12.75" customHeight="1">
      <c r="A21" s="35"/>
      <c r="B21" s="28"/>
      <c r="C21" s="36"/>
      <c r="D21" s="13" t="s">
        <v>14</v>
      </c>
      <c r="E21" s="79">
        <f t="shared" ref="E21:AJ21" si="4">SUM(E19:E20)</f>
        <v>228</v>
      </c>
      <c r="F21" s="79">
        <f t="shared" si="4"/>
        <v>209</v>
      </c>
      <c r="G21" s="79">
        <f t="shared" si="4"/>
        <v>210</v>
      </c>
      <c r="H21" s="79">
        <f t="shared" si="4"/>
        <v>239</v>
      </c>
      <c r="I21" s="79">
        <f t="shared" si="4"/>
        <v>224</v>
      </c>
      <c r="J21" s="79">
        <f t="shared" si="4"/>
        <v>228</v>
      </c>
      <c r="K21" s="79">
        <f t="shared" si="4"/>
        <v>197</v>
      </c>
      <c r="L21" s="79">
        <f t="shared" si="4"/>
        <v>221</v>
      </c>
      <c r="M21" s="79">
        <f t="shared" si="4"/>
        <v>243</v>
      </c>
      <c r="N21" s="79">
        <f t="shared" si="4"/>
        <v>242</v>
      </c>
      <c r="O21" s="79">
        <f t="shared" si="4"/>
        <v>177</v>
      </c>
      <c r="P21" s="79">
        <f t="shared" si="4"/>
        <v>217</v>
      </c>
      <c r="Q21" s="79">
        <f t="shared" si="4"/>
        <v>193</v>
      </c>
      <c r="R21" s="79">
        <f t="shared" si="4"/>
        <v>214</v>
      </c>
      <c r="S21" s="79">
        <f t="shared" si="4"/>
        <v>225</v>
      </c>
      <c r="T21" s="79">
        <f t="shared" si="4"/>
        <v>221</v>
      </c>
      <c r="U21" s="79">
        <f t="shared" si="4"/>
        <v>155</v>
      </c>
      <c r="V21" s="79">
        <f t="shared" si="4"/>
        <v>141</v>
      </c>
      <c r="W21" s="79">
        <f t="shared" si="4"/>
        <v>170</v>
      </c>
      <c r="X21" s="79">
        <f t="shared" si="4"/>
        <v>223</v>
      </c>
      <c r="Y21" s="79">
        <f t="shared" si="4"/>
        <v>189</v>
      </c>
      <c r="Z21" s="79">
        <f t="shared" si="4"/>
        <v>212</v>
      </c>
      <c r="AA21" s="79">
        <f t="shared" si="4"/>
        <v>219</v>
      </c>
      <c r="AB21" s="79">
        <f t="shared" si="4"/>
        <v>240</v>
      </c>
      <c r="AC21" s="79">
        <f t="shared" si="4"/>
        <v>175</v>
      </c>
      <c r="AD21" s="79">
        <f t="shared" si="4"/>
        <v>211</v>
      </c>
      <c r="AE21" s="79">
        <f t="shared" si="4"/>
        <v>226</v>
      </c>
      <c r="AF21" s="79">
        <f t="shared" si="4"/>
        <v>206</v>
      </c>
      <c r="AG21" s="79">
        <f t="shared" si="4"/>
        <v>248</v>
      </c>
      <c r="AH21" s="79">
        <f t="shared" si="4"/>
        <v>206</v>
      </c>
      <c r="AI21" s="79">
        <f t="shared" si="4"/>
        <v>206</v>
      </c>
      <c r="AJ21" s="79">
        <f t="shared" si="4"/>
        <v>185</v>
      </c>
      <c r="AK21" s="13">
        <f t="shared" si="3"/>
        <v>6700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78">
        <v>0.0</v>
      </c>
      <c r="AA22" s="78">
        <v>0.0</v>
      </c>
      <c r="AB22" s="78">
        <v>0.0</v>
      </c>
      <c r="AC22" s="78">
        <v>0.0</v>
      </c>
      <c r="AD22" s="78">
        <v>0.0</v>
      </c>
      <c r="AE22" s="78">
        <v>0.0</v>
      </c>
      <c r="AF22" s="78">
        <v>0.0</v>
      </c>
      <c r="AG22" s="78">
        <v>0.0</v>
      </c>
      <c r="AH22" s="78">
        <v>0.0</v>
      </c>
      <c r="AI22" s="78">
        <v>0.0</v>
      </c>
      <c r="AJ22" s="78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1.0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0.0</v>
      </c>
      <c r="AB23" s="78">
        <v>0.0</v>
      </c>
      <c r="AC23" s="78">
        <v>0.0</v>
      </c>
      <c r="AD23" s="78">
        <v>0.0</v>
      </c>
      <c r="AE23" s="78">
        <v>0.0</v>
      </c>
      <c r="AF23" s="78">
        <v>0.0</v>
      </c>
      <c r="AG23" s="78">
        <v>0.0</v>
      </c>
      <c r="AH23" s="78">
        <v>0.0</v>
      </c>
      <c r="AI23" s="78">
        <v>0.0</v>
      </c>
      <c r="AJ23" s="78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79">
        <f t="shared" ref="E24:AJ24" si="5">SUM(E22:E23)</f>
        <v>0</v>
      </c>
      <c r="F24" s="79">
        <f t="shared" si="5"/>
        <v>0</v>
      </c>
      <c r="G24" s="79">
        <f t="shared" si="5"/>
        <v>0</v>
      </c>
      <c r="H24" s="79">
        <f t="shared" si="5"/>
        <v>0</v>
      </c>
      <c r="I24" s="79">
        <f t="shared" si="5"/>
        <v>1</v>
      </c>
      <c r="J24" s="79">
        <f t="shared" si="5"/>
        <v>0</v>
      </c>
      <c r="K24" s="79">
        <f t="shared" si="5"/>
        <v>0</v>
      </c>
      <c r="L24" s="79">
        <f t="shared" si="5"/>
        <v>0</v>
      </c>
      <c r="M24" s="79">
        <f t="shared" si="5"/>
        <v>0</v>
      </c>
      <c r="N24" s="79">
        <f t="shared" si="5"/>
        <v>0</v>
      </c>
      <c r="O24" s="79">
        <f t="shared" si="5"/>
        <v>0</v>
      </c>
      <c r="P24" s="79">
        <f t="shared" si="5"/>
        <v>0</v>
      </c>
      <c r="Q24" s="79">
        <f t="shared" si="5"/>
        <v>0</v>
      </c>
      <c r="R24" s="79">
        <f t="shared" si="5"/>
        <v>0</v>
      </c>
      <c r="S24" s="79">
        <f t="shared" si="5"/>
        <v>0</v>
      </c>
      <c r="T24" s="79">
        <f t="shared" si="5"/>
        <v>0</v>
      </c>
      <c r="U24" s="79">
        <f t="shared" si="5"/>
        <v>0</v>
      </c>
      <c r="V24" s="79">
        <f t="shared" si="5"/>
        <v>0</v>
      </c>
      <c r="W24" s="79">
        <f t="shared" si="5"/>
        <v>0</v>
      </c>
      <c r="X24" s="79">
        <f t="shared" si="5"/>
        <v>0</v>
      </c>
      <c r="Y24" s="79">
        <f t="shared" si="5"/>
        <v>0</v>
      </c>
      <c r="Z24" s="79">
        <f t="shared" si="5"/>
        <v>0</v>
      </c>
      <c r="AA24" s="79">
        <f t="shared" si="5"/>
        <v>0</v>
      </c>
      <c r="AB24" s="79">
        <f t="shared" si="5"/>
        <v>0</v>
      </c>
      <c r="AC24" s="79">
        <f t="shared" si="5"/>
        <v>0</v>
      </c>
      <c r="AD24" s="79">
        <f t="shared" si="5"/>
        <v>0</v>
      </c>
      <c r="AE24" s="79">
        <f t="shared" si="5"/>
        <v>0</v>
      </c>
      <c r="AF24" s="79">
        <f t="shared" si="5"/>
        <v>0</v>
      </c>
      <c r="AG24" s="79">
        <f t="shared" si="5"/>
        <v>0</v>
      </c>
      <c r="AH24" s="79">
        <f t="shared" si="5"/>
        <v>0</v>
      </c>
      <c r="AI24" s="79">
        <f t="shared" si="5"/>
        <v>0</v>
      </c>
      <c r="AJ24" s="79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8">
        <v>0.0</v>
      </c>
      <c r="F25" s="78">
        <v>0.0</v>
      </c>
      <c r="G25" s="78">
        <v>0.0</v>
      </c>
      <c r="H25" s="78">
        <v>0.0</v>
      </c>
      <c r="I25" s="78">
        <v>0.0</v>
      </c>
      <c r="J25" s="78">
        <v>0.0</v>
      </c>
      <c r="K25" s="78">
        <v>3.0</v>
      </c>
      <c r="L25" s="78">
        <v>0.0</v>
      </c>
      <c r="M25" s="78">
        <v>0.0</v>
      </c>
      <c r="N25" s="78">
        <v>0.0</v>
      </c>
      <c r="O25" s="78">
        <v>0.0</v>
      </c>
      <c r="P25" s="78">
        <v>0.0</v>
      </c>
      <c r="Q25" s="78">
        <v>0.0</v>
      </c>
      <c r="R25" s="78">
        <v>0.0</v>
      </c>
      <c r="S25" s="78">
        <v>0.0</v>
      </c>
      <c r="T25" s="78">
        <v>0.0</v>
      </c>
      <c r="U25" s="78">
        <v>1.0</v>
      </c>
      <c r="V25" s="78">
        <v>0.0</v>
      </c>
      <c r="W25" s="78">
        <v>1.0</v>
      </c>
      <c r="X25" s="78">
        <v>2.0</v>
      </c>
      <c r="Y25" s="78">
        <v>1.0</v>
      </c>
      <c r="Z25" s="78">
        <v>2.0</v>
      </c>
      <c r="AA25" s="78">
        <v>0.0</v>
      </c>
      <c r="AB25" s="78">
        <v>0.0</v>
      </c>
      <c r="AC25" s="78">
        <v>1.0</v>
      </c>
      <c r="AD25" s="78">
        <v>0.0</v>
      </c>
      <c r="AE25" s="78">
        <v>1.0</v>
      </c>
      <c r="AF25" s="78">
        <v>1.0</v>
      </c>
      <c r="AG25" s="78">
        <v>1.0</v>
      </c>
      <c r="AH25" s="78">
        <v>1.0</v>
      </c>
      <c r="AI25" s="78">
        <v>0.0</v>
      </c>
      <c r="AJ25" s="78">
        <v>0.0</v>
      </c>
      <c r="AK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78">
        <v>0.0</v>
      </c>
      <c r="F26" s="78">
        <v>1.0</v>
      </c>
      <c r="G26" s="78">
        <v>0.0</v>
      </c>
      <c r="H26" s="78">
        <v>1.0</v>
      </c>
      <c r="I26" s="78">
        <v>0.0</v>
      </c>
      <c r="J26" s="78">
        <v>0.0</v>
      </c>
      <c r="K26" s="78">
        <v>0.0</v>
      </c>
      <c r="L26" s="78">
        <v>0.0</v>
      </c>
      <c r="M26" s="78">
        <v>0.0</v>
      </c>
      <c r="N26" s="78">
        <v>0.0</v>
      </c>
      <c r="O26" s="78">
        <v>1.0</v>
      </c>
      <c r="P26" s="78">
        <v>1.0</v>
      </c>
      <c r="Q26" s="78">
        <v>0.0</v>
      </c>
      <c r="R26" s="78">
        <v>0.0</v>
      </c>
      <c r="S26" s="78">
        <v>2.0</v>
      </c>
      <c r="T26" s="78">
        <v>1.0</v>
      </c>
      <c r="U26" s="78">
        <v>0.0</v>
      </c>
      <c r="V26" s="78">
        <v>0.0</v>
      </c>
      <c r="W26" s="78">
        <v>1.0</v>
      </c>
      <c r="X26" s="78">
        <v>7.0</v>
      </c>
      <c r="Y26" s="78">
        <v>2.0</v>
      </c>
      <c r="Z26" s="78">
        <v>4.0</v>
      </c>
      <c r="AA26" s="78">
        <v>0.0</v>
      </c>
      <c r="AB26" s="78">
        <v>0.0</v>
      </c>
      <c r="AC26" s="78">
        <v>2.0</v>
      </c>
      <c r="AD26" s="78">
        <v>0.0</v>
      </c>
      <c r="AE26" s="78">
        <v>2.0</v>
      </c>
      <c r="AF26" s="78">
        <v>0.0</v>
      </c>
      <c r="AG26" s="78">
        <v>1.0</v>
      </c>
      <c r="AH26" s="78">
        <v>0.0</v>
      </c>
      <c r="AI26" s="78">
        <v>0.0</v>
      </c>
      <c r="AJ26" s="78">
        <v>0.0</v>
      </c>
      <c r="AK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79">
        <f t="shared" ref="E27:AJ27" si="6">SUM(E25:E26)</f>
        <v>0</v>
      </c>
      <c r="F27" s="79">
        <f t="shared" si="6"/>
        <v>1</v>
      </c>
      <c r="G27" s="79">
        <f t="shared" si="6"/>
        <v>0</v>
      </c>
      <c r="H27" s="79">
        <f t="shared" si="6"/>
        <v>1</v>
      </c>
      <c r="I27" s="79">
        <f t="shared" si="6"/>
        <v>0</v>
      </c>
      <c r="J27" s="79">
        <f t="shared" si="6"/>
        <v>0</v>
      </c>
      <c r="K27" s="79">
        <f t="shared" si="6"/>
        <v>3</v>
      </c>
      <c r="L27" s="79">
        <f t="shared" si="6"/>
        <v>0</v>
      </c>
      <c r="M27" s="79">
        <f t="shared" si="6"/>
        <v>0</v>
      </c>
      <c r="N27" s="79">
        <f t="shared" si="6"/>
        <v>0</v>
      </c>
      <c r="O27" s="79">
        <f t="shared" si="6"/>
        <v>1</v>
      </c>
      <c r="P27" s="79">
        <f t="shared" si="6"/>
        <v>1</v>
      </c>
      <c r="Q27" s="79">
        <f t="shared" si="6"/>
        <v>0</v>
      </c>
      <c r="R27" s="79">
        <f t="shared" si="6"/>
        <v>0</v>
      </c>
      <c r="S27" s="79">
        <f t="shared" si="6"/>
        <v>2</v>
      </c>
      <c r="T27" s="79">
        <f t="shared" si="6"/>
        <v>1</v>
      </c>
      <c r="U27" s="79">
        <f t="shared" si="6"/>
        <v>1</v>
      </c>
      <c r="V27" s="79">
        <f t="shared" si="6"/>
        <v>0</v>
      </c>
      <c r="W27" s="79">
        <f t="shared" si="6"/>
        <v>2</v>
      </c>
      <c r="X27" s="79">
        <f t="shared" si="6"/>
        <v>9</v>
      </c>
      <c r="Y27" s="79">
        <f t="shared" si="6"/>
        <v>3</v>
      </c>
      <c r="Z27" s="79">
        <f t="shared" si="6"/>
        <v>6</v>
      </c>
      <c r="AA27" s="79">
        <f t="shared" si="6"/>
        <v>0</v>
      </c>
      <c r="AB27" s="79">
        <f t="shared" si="6"/>
        <v>0</v>
      </c>
      <c r="AC27" s="79">
        <f t="shared" si="6"/>
        <v>3</v>
      </c>
      <c r="AD27" s="79">
        <f t="shared" si="6"/>
        <v>0</v>
      </c>
      <c r="AE27" s="79">
        <f t="shared" si="6"/>
        <v>3</v>
      </c>
      <c r="AF27" s="79">
        <f t="shared" si="6"/>
        <v>1</v>
      </c>
      <c r="AG27" s="79">
        <f t="shared" si="6"/>
        <v>2</v>
      </c>
      <c r="AH27" s="79">
        <f t="shared" si="6"/>
        <v>1</v>
      </c>
      <c r="AI27" s="79">
        <f t="shared" si="6"/>
        <v>0</v>
      </c>
      <c r="AJ27" s="79">
        <f t="shared" si="6"/>
        <v>0</v>
      </c>
      <c r="AK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9">
        <f t="shared" ref="E28:AJ28" si="7">SUM(E19,E22,E25)</f>
        <v>117</v>
      </c>
      <c r="F28" s="79">
        <f t="shared" si="7"/>
        <v>103</v>
      </c>
      <c r="G28" s="79">
        <f t="shared" si="7"/>
        <v>100</v>
      </c>
      <c r="H28" s="79">
        <f t="shared" si="7"/>
        <v>113</v>
      </c>
      <c r="I28" s="79">
        <f t="shared" si="7"/>
        <v>109</v>
      </c>
      <c r="J28" s="79">
        <f t="shared" si="7"/>
        <v>112</v>
      </c>
      <c r="K28" s="79">
        <f t="shared" si="7"/>
        <v>93</v>
      </c>
      <c r="L28" s="79">
        <f t="shared" si="7"/>
        <v>101</v>
      </c>
      <c r="M28" s="79">
        <f t="shared" si="7"/>
        <v>114</v>
      </c>
      <c r="N28" s="79">
        <f t="shared" si="7"/>
        <v>110</v>
      </c>
      <c r="O28" s="79">
        <f t="shared" si="7"/>
        <v>82</v>
      </c>
      <c r="P28" s="79">
        <f t="shared" si="7"/>
        <v>100</v>
      </c>
      <c r="Q28" s="79">
        <f t="shared" si="7"/>
        <v>84</v>
      </c>
      <c r="R28" s="79">
        <f t="shared" si="7"/>
        <v>85</v>
      </c>
      <c r="S28" s="79">
        <f t="shared" si="7"/>
        <v>101</v>
      </c>
      <c r="T28" s="79">
        <f t="shared" si="7"/>
        <v>106</v>
      </c>
      <c r="U28" s="79">
        <f t="shared" si="7"/>
        <v>82</v>
      </c>
      <c r="V28" s="79">
        <f t="shared" si="7"/>
        <v>76</v>
      </c>
      <c r="W28" s="79">
        <f t="shared" si="7"/>
        <v>86</v>
      </c>
      <c r="X28" s="79">
        <f t="shared" si="7"/>
        <v>117</v>
      </c>
      <c r="Y28" s="79">
        <f t="shared" si="7"/>
        <v>91</v>
      </c>
      <c r="Z28" s="79">
        <f t="shared" si="7"/>
        <v>103</v>
      </c>
      <c r="AA28" s="79">
        <f t="shared" si="7"/>
        <v>115</v>
      </c>
      <c r="AB28" s="79">
        <f t="shared" si="7"/>
        <v>125</v>
      </c>
      <c r="AC28" s="79">
        <f t="shared" si="7"/>
        <v>87</v>
      </c>
      <c r="AD28" s="79">
        <f t="shared" si="7"/>
        <v>93</v>
      </c>
      <c r="AE28" s="79">
        <f t="shared" si="7"/>
        <v>109</v>
      </c>
      <c r="AF28" s="79">
        <f t="shared" si="7"/>
        <v>94</v>
      </c>
      <c r="AG28" s="79">
        <f t="shared" si="7"/>
        <v>121</v>
      </c>
      <c r="AH28" s="79">
        <f t="shared" si="7"/>
        <v>95</v>
      </c>
      <c r="AI28" s="79">
        <f t="shared" si="7"/>
        <v>96</v>
      </c>
      <c r="AJ28" s="79">
        <f t="shared" si="7"/>
        <v>90</v>
      </c>
      <c r="AK28" s="13">
        <f t="shared" si="3"/>
        <v>3210</v>
      </c>
    </row>
    <row r="29" ht="12.75" customHeight="1">
      <c r="A29" s="35"/>
      <c r="B29" s="27"/>
      <c r="C29" s="34"/>
      <c r="D29" s="13" t="s">
        <v>13</v>
      </c>
      <c r="E29" s="79">
        <f t="shared" ref="E29:AJ29" si="8">SUM(E20,E23,E26)</f>
        <v>111</v>
      </c>
      <c r="F29" s="79">
        <f t="shared" si="8"/>
        <v>107</v>
      </c>
      <c r="G29" s="79">
        <f t="shared" si="8"/>
        <v>110</v>
      </c>
      <c r="H29" s="79">
        <f t="shared" si="8"/>
        <v>127</v>
      </c>
      <c r="I29" s="79">
        <f t="shared" si="8"/>
        <v>116</v>
      </c>
      <c r="J29" s="79">
        <f t="shared" si="8"/>
        <v>116</v>
      </c>
      <c r="K29" s="79">
        <f t="shared" si="8"/>
        <v>107</v>
      </c>
      <c r="L29" s="79">
        <f t="shared" si="8"/>
        <v>120</v>
      </c>
      <c r="M29" s="79">
        <f t="shared" si="8"/>
        <v>129</v>
      </c>
      <c r="N29" s="79">
        <f t="shared" si="8"/>
        <v>132</v>
      </c>
      <c r="O29" s="79">
        <f t="shared" si="8"/>
        <v>96</v>
      </c>
      <c r="P29" s="79">
        <f t="shared" si="8"/>
        <v>118</v>
      </c>
      <c r="Q29" s="79">
        <f t="shared" si="8"/>
        <v>109</v>
      </c>
      <c r="R29" s="79">
        <f t="shared" si="8"/>
        <v>129</v>
      </c>
      <c r="S29" s="79">
        <f t="shared" si="8"/>
        <v>126</v>
      </c>
      <c r="T29" s="79">
        <f t="shared" si="8"/>
        <v>116</v>
      </c>
      <c r="U29" s="79">
        <f t="shared" si="8"/>
        <v>74</v>
      </c>
      <c r="V29" s="79">
        <f t="shared" si="8"/>
        <v>65</v>
      </c>
      <c r="W29" s="79">
        <f t="shared" si="8"/>
        <v>86</v>
      </c>
      <c r="X29" s="79">
        <f t="shared" si="8"/>
        <v>115</v>
      </c>
      <c r="Y29" s="79">
        <f t="shared" si="8"/>
        <v>101</v>
      </c>
      <c r="Z29" s="79">
        <f t="shared" si="8"/>
        <v>115</v>
      </c>
      <c r="AA29" s="79">
        <f t="shared" si="8"/>
        <v>104</v>
      </c>
      <c r="AB29" s="79">
        <f t="shared" si="8"/>
        <v>115</v>
      </c>
      <c r="AC29" s="79">
        <f t="shared" si="8"/>
        <v>91</v>
      </c>
      <c r="AD29" s="79">
        <f t="shared" si="8"/>
        <v>118</v>
      </c>
      <c r="AE29" s="79">
        <f t="shared" si="8"/>
        <v>120</v>
      </c>
      <c r="AF29" s="79">
        <f t="shared" si="8"/>
        <v>113</v>
      </c>
      <c r="AG29" s="79">
        <f t="shared" si="8"/>
        <v>129</v>
      </c>
      <c r="AH29" s="79">
        <f t="shared" si="8"/>
        <v>112</v>
      </c>
      <c r="AI29" s="79">
        <f t="shared" si="8"/>
        <v>110</v>
      </c>
      <c r="AJ29" s="79">
        <f t="shared" si="8"/>
        <v>95</v>
      </c>
      <c r="AK29" s="13">
        <f t="shared" si="3"/>
        <v>3532</v>
      </c>
    </row>
    <row r="30" ht="12.75" customHeight="1">
      <c r="A30" s="35"/>
      <c r="B30" s="28"/>
      <c r="C30" s="36"/>
      <c r="D30" s="13" t="s">
        <v>14</v>
      </c>
      <c r="E30" s="81">
        <f t="shared" ref="E30:AJ30" si="9">SUM(E28:E29)</f>
        <v>228</v>
      </c>
      <c r="F30" s="81">
        <f t="shared" si="9"/>
        <v>210</v>
      </c>
      <c r="G30" s="81">
        <f t="shared" si="9"/>
        <v>210</v>
      </c>
      <c r="H30" s="81">
        <f t="shared" si="9"/>
        <v>240</v>
      </c>
      <c r="I30" s="81">
        <f t="shared" si="9"/>
        <v>225</v>
      </c>
      <c r="J30" s="81">
        <f t="shared" si="9"/>
        <v>228</v>
      </c>
      <c r="K30" s="81">
        <f t="shared" si="9"/>
        <v>200</v>
      </c>
      <c r="L30" s="81">
        <f t="shared" si="9"/>
        <v>221</v>
      </c>
      <c r="M30" s="81">
        <f t="shared" si="9"/>
        <v>243</v>
      </c>
      <c r="N30" s="81">
        <f t="shared" si="9"/>
        <v>242</v>
      </c>
      <c r="O30" s="81">
        <f t="shared" si="9"/>
        <v>178</v>
      </c>
      <c r="P30" s="81">
        <f t="shared" si="9"/>
        <v>218</v>
      </c>
      <c r="Q30" s="81">
        <f t="shared" si="9"/>
        <v>193</v>
      </c>
      <c r="R30" s="81">
        <f t="shared" si="9"/>
        <v>214</v>
      </c>
      <c r="S30" s="81">
        <f t="shared" si="9"/>
        <v>227</v>
      </c>
      <c r="T30" s="81">
        <f t="shared" si="9"/>
        <v>222</v>
      </c>
      <c r="U30" s="81">
        <f t="shared" si="9"/>
        <v>156</v>
      </c>
      <c r="V30" s="81">
        <f t="shared" si="9"/>
        <v>141</v>
      </c>
      <c r="W30" s="81">
        <f t="shared" si="9"/>
        <v>172</v>
      </c>
      <c r="X30" s="81">
        <f t="shared" si="9"/>
        <v>232</v>
      </c>
      <c r="Y30" s="81">
        <f t="shared" si="9"/>
        <v>192</v>
      </c>
      <c r="Z30" s="81">
        <f t="shared" si="9"/>
        <v>218</v>
      </c>
      <c r="AA30" s="81">
        <f t="shared" si="9"/>
        <v>219</v>
      </c>
      <c r="AB30" s="81">
        <f t="shared" si="9"/>
        <v>240</v>
      </c>
      <c r="AC30" s="81">
        <f t="shared" si="9"/>
        <v>178</v>
      </c>
      <c r="AD30" s="81">
        <f t="shared" si="9"/>
        <v>211</v>
      </c>
      <c r="AE30" s="81">
        <f t="shared" si="9"/>
        <v>229</v>
      </c>
      <c r="AF30" s="81">
        <f t="shared" si="9"/>
        <v>207</v>
      </c>
      <c r="AG30" s="81">
        <f t="shared" si="9"/>
        <v>250</v>
      </c>
      <c r="AH30" s="81">
        <f t="shared" si="9"/>
        <v>207</v>
      </c>
      <c r="AI30" s="81">
        <f t="shared" si="9"/>
        <v>206</v>
      </c>
      <c r="AJ30" s="81">
        <f t="shared" si="9"/>
        <v>185</v>
      </c>
      <c r="AK30" s="13">
        <f t="shared" si="3"/>
        <v>6742</v>
      </c>
    </row>
    <row r="31" ht="12.75" customHeight="1">
      <c r="A31" s="24"/>
      <c r="B31" s="15"/>
      <c r="C31" s="15"/>
      <c r="D31" s="16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68"/>
    </row>
    <row r="32" ht="12.75" customHeight="1">
      <c r="A32" s="41" t="s">
        <v>25</v>
      </c>
      <c r="B32" s="14" t="s">
        <v>26</v>
      </c>
      <c r="C32" s="15"/>
      <c r="D32" s="16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68"/>
    </row>
    <row r="33" ht="12.75" customHeight="1">
      <c r="A33" s="19">
        <v>1.0</v>
      </c>
      <c r="B33" s="20" t="s">
        <v>27</v>
      </c>
      <c r="C33" s="15"/>
      <c r="D33" s="16"/>
      <c r="E33" s="78">
        <v>283.0</v>
      </c>
      <c r="F33" s="78">
        <v>257.0</v>
      </c>
      <c r="G33" s="78">
        <v>259.0</v>
      </c>
      <c r="H33" s="78">
        <v>300.0</v>
      </c>
      <c r="I33" s="78">
        <v>266.0</v>
      </c>
      <c r="J33" s="78">
        <v>285.0</v>
      </c>
      <c r="K33" s="78">
        <v>254.0</v>
      </c>
      <c r="L33" s="78">
        <v>299.0</v>
      </c>
      <c r="M33" s="78">
        <v>298.0</v>
      </c>
      <c r="N33" s="78">
        <v>300.0</v>
      </c>
      <c r="O33" s="78">
        <v>238.0</v>
      </c>
      <c r="P33" s="78">
        <v>279.0</v>
      </c>
      <c r="Q33" s="78">
        <v>275.0</v>
      </c>
      <c r="R33" s="78">
        <v>271.0</v>
      </c>
      <c r="S33" s="78">
        <v>279.0</v>
      </c>
      <c r="T33" s="78">
        <v>296.0</v>
      </c>
      <c r="U33" s="78">
        <v>220.0</v>
      </c>
      <c r="V33" s="78">
        <v>190.0</v>
      </c>
      <c r="W33" s="78">
        <v>237.0</v>
      </c>
      <c r="X33" s="78">
        <v>293.0</v>
      </c>
      <c r="Y33" s="78">
        <v>272.0</v>
      </c>
      <c r="Z33" s="78">
        <v>273.0</v>
      </c>
      <c r="AA33" s="78">
        <v>294.0</v>
      </c>
      <c r="AB33" s="78">
        <v>294.0</v>
      </c>
      <c r="AC33" s="78">
        <v>234.0</v>
      </c>
      <c r="AD33" s="78">
        <v>250.0</v>
      </c>
      <c r="AE33" s="78">
        <v>295.0</v>
      </c>
      <c r="AF33" s="78">
        <v>267.0</v>
      </c>
      <c r="AG33" s="78">
        <v>302.0</v>
      </c>
      <c r="AH33" s="78">
        <v>251.0</v>
      </c>
      <c r="AI33" s="78">
        <v>257.0</v>
      </c>
      <c r="AJ33" s="78">
        <v>228.0</v>
      </c>
      <c r="AK33" s="13">
        <f t="shared" ref="AK33:AK36" si="10">SUM(E33:AJ33)</f>
        <v>8596</v>
      </c>
    </row>
    <row r="34" ht="12.75" customHeight="1">
      <c r="A34" s="19">
        <v>2.0</v>
      </c>
      <c r="B34" s="20" t="s">
        <v>28</v>
      </c>
      <c r="C34" s="15"/>
      <c r="D34" s="16"/>
      <c r="E34" s="82">
        <v>228.0</v>
      </c>
      <c r="F34" s="82">
        <v>210.0</v>
      </c>
      <c r="G34" s="82">
        <v>210.0</v>
      </c>
      <c r="H34" s="82">
        <v>240.0</v>
      </c>
      <c r="I34" s="82">
        <v>225.0</v>
      </c>
      <c r="J34" s="82">
        <v>228.0</v>
      </c>
      <c r="K34" s="82">
        <v>200.0</v>
      </c>
      <c r="L34" s="82">
        <v>221.0</v>
      </c>
      <c r="M34" s="82">
        <v>243.0</v>
      </c>
      <c r="N34" s="82">
        <v>242.0</v>
      </c>
      <c r="O34" s="82">
        <v>178.0</v>
      </c>
      <c r="P34" s="82">
        <v>218.0</v>
      </c>
      <c r="Q34" s="82">
        <v>193.0</v>
      </c>
      <c r="R34" s="82">
        <v>214.0</v>
      </c>
      <c r="S34" s="82">
        <v>227.0</v>
      </c>
      <c r="T34" s="82">
        <v>222.0</v>
      </c>
      <c r="U34" s="82">
        <v>156.0</v>
      </c>
      <c r="V34" s="82">
        <v>141.0</v>
      </c>
      <c r="W34" s="82">
        <v>172.0</v>
      </c>
      <c r="X34" s="82">
        <v>232.0</v>
      </c>
      <c r="Y34" s="82">
        <v>192.0</v>
      </c>
      <c r="Z34" s="82">
        <v>218.0</v>
      </c>
      <c r="AA34" s="82">
        <v>219.0</v>
      </c>
      <c r="AB34" s="82">
        <v>240.0</v>
      </c>
      <c r="AC34" s="82">
        <v>178.0</v>
      </c>
      <c r="AD34" s="82">
        <v>211.0</v>
      </c>
      <c r="AE34" s="82">
        <v>229.0</v>
      </c>
      <c r="AF34" s="82">
        <v>207.0</v>
      </c>
      <c r="AG34" s="82">
        <v>250.0</v>
      </c>
      <c r="AH34" s="82">
        <v>207.0</v>
      </c>
      <c r="AI34" s="82">
        <v>206.0</v>
      </c>
      <c r="AJ34" s="82">
        <v>185.0</v>
      </c>
      <c r="AK34" s="13">
        <f t="shared" si="10"/>
        <v>6742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2.0</v>
      </c>
      <c r="J35" s="78">
        <v>0.0</v>
      </c>
      <c r="K35" s="78">
        <v>1.0</v>
      </c>
      <c r="L35" s="78">
        <v>1.0</v>
      </c>
      <c r="M35" s="78">
        <v>0.0</v>
      </c>
      <c r="N35" s="78">
        <v>0.0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1.0</v>
      </c>
      <c r="X35" s="78">
        <v>0.0</v>
      </c>
      <c r="Y35" s="78">
        <v>1.0</v>
      </c>
      <c r="Z35" s="78">
        <v>0.0</v>
      </c>
      <c r="AA35" s="78">
        <v>0.0</v>
      </c>
      <c r="AB35" s="78">
        <v>0.0</v>
      </c>
      <c r="AC35" s="78">
        <v>0.0</v>
      </c>
      <c r="AD35" s="78">
        <v>2.0</v>
      </c>
      <c r="AE35" s="78">
        <v>7.0</v>
      </c>
      <c r="AF35" s="78">
        <v>1.0</v>
      </c>
      <c r="AG35" s="78">
        <v>0.0</v>
      </c>
      <c r="AH35" s="78">
        <v>1.0</v>
      </c>
      <c r="AI35" s="78">
        <v>0.0</v>
      </c>
      <c r="AJ35" s="78">
        <v>3.0</v>
      </c>
      <c r="AK35" s="13">
        <f t="shared" si="10"/>
        <v>20</v>
      </c>
    </row>
    <row r="36" ht="12.75" customHeight="1">
      <c r="A36" s="19">
        <v>4.0</v>
      </c>
      <c r="B36" s="20" t="s">
        <v>30</v>
      </c>
      <c r="C36" s="15"/>
      <c r="D36" s="16"/>
      <c r="E36" s="79">
        <f t="shared" ref="E36:AJ36" si="11">E33-(E34+E35)</f>
        <v>55</v>
      </c>
      <c r="F36" s="79">
        <f t="shared" si="11"/>
        <v>47</v>
      </c>
      <c r="G36" s="79">
        <f t="shared" si="11"/>
        <v>49</v>
      </c>
      <c r="H36" s="79">
        <f t="shared" si="11"/>
        <v>60</v>
      </c>
      <c r="I36" s="79">
        <f t="shared" si="11"/>
        <v>39</v>
      </c>
      <c r="J36" s="79">
        <f t="shared" si="11"/>
        <v>57</v>
      </c>
      <c r="K36" s="79">
        <f t="shared" si="11"/>
        <v>53</v>
      </c>
      <c r="L36" s="79">
        <f t="shared" si="11"/>
        <v>77</v>
      </c>
      <c r="M36" s="79">
        <f t="shared" si="11"/>
        <v>55</v>
      </c>
      <c r="N36" s="79">
        <f t="shared" si="11"/>
        <v>58</v>
      </c>
      <c r="O36" s="79">
        <f t="shared" si="11"/>
        <v>60</v>
      </c>
      <c r="P36" s="79">
        <f t="shared" si="11"/>
        <v>61</v>
      </c>
      <c r="Q36" s="79">
        <f t="shared" si="11"/>
        <v>82</v>
      </c>
      <c r="R36" s="79">
        <f t="shared" si="11"/>
        <v>57</v>
      </c>
      <c r="S36" s="79">
        <f t="shared" si="11"/>
        <v>52</v>
      </c>
      <c r="T36" s="79">
        <f t="shared" si="11"/>
        <v>74</v>
      </c>
      <c r="U36" s="79">
        <f t="shared" si="11"/>
        <v>64</v>
      </c>
      <c r="V36" s="79">
        <f t="shared" si="11"/>
        <v>49</v>
      </c>
      <c r="W36" s="79">
        <f t="shared" si="11"/>
        <v>64</v>
      </c>
      <c r="X36" s="79">
        <f t="shared" si="11"/>
        <v>61</v>
      </c>
      <c r="Y36" s="79">
        <f t="shared" si="11"/>
        <v>79</v>
      </c>
      <c r="Z36" s="79">
        <f t="shared" si="11"/>
        <v>55</v>
      </c>
      <c r="AA36" s="79">
        <f t="shared" si="11"/>
        <v>75</v>
      </c>
      <c r="AB36" s="79">
        <f t="shared" si="11"/>
        <v>54</v>
      </c>
      <c r="AC36" s="79">
        <f t="shared" si="11"/>
        <v>56</v>
      </c>
      <c r="AD36" s="79">
        <f t="shared" si="11"/>
        <v>37</v>
      </c>
      <c r="AE36" s="79">
        <f t="shared" si="11"/>
        <v>59</v>
      </c>
      <c r="AF36" s="79">
        <f t="shared" si="11"/>
        <v>59</v>
      </c>
      <c r="AG36" s="79">
        <f t="shared" si="11"/>
        <v>52</v>
      </c>
      <c r="AH36" s="79">
        <f t="shared" si="11"/>
        <v>43</v>
      </c>
      <c r="AI36" s="79">
        <f t="shared" si="11"/>
        <v>51</v>
      </c>
      <c r="AJ36" s="79">
        <f t="shared" si="11"/>
        <v>40</v>
      </c>
      <c r="AK36" s="13">
        <f t="shared" si="10"/>
        <v>1834</v>
      </c>
    </row>
    <row r="37" ht="12.75" customHeight="1">
      <c r="A37" s="24"/>
      <c r="B37" s="15"/>
      <c r="C37" s="15"/>
      <c r="D37" s="15"/>
      <c r="E37" s="8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80"/>
      <c r="AF37" s="80"/>
      <c r="AG37" s="80"/>
      <c r="AH37" s="80"/>
      <c r="AI37" s="80"/>
      <c r="AJ37" s="80"/>
      <c r="AK37" s="68"/>
    </row>
    <row r="38" ht="12.75" customHeight="1">
      <c r="A38" s="42" t="s">
        <v>31</v>
      </c>
      <c r="B38" s="14" t="s">
        <v>32</v>
      </c>
      <c r="C38" s="15"/>
      <c r="D38" s="16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68"/>
    </row>
    <row r="39" ht="12.75" customHeight="1">
      <c r="A39" s="30"/>
      <c r="B39" s="43" t="s">
        <v>33</v>
      </c>
      <c r="C39" s="23"/>
      <c r="D39" s="19" t="s">
        <v>12</v>
      </c>
      <c r="E39" s="78">
        <v>1.0</v>
      </c>
      <c r="F39" s="78">
        <v>0.0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1.0</v>
      </c>
      <c r="T39" s="78">
        <v>0.0</v>
      </c>
      <c r="U39" s="78">
        <v>2.0</v>
      </c>
      <c r="V39" s="78">
        <v>0.0</v>
      </c>
      <c r="W39" s="78">
        <v>0.0</v>
      </c>
      <c r="X39" s="78">
        <v>1.0</v>
      </c>
      <c r="Y39" s="78">
        <v>0.0</v>
      </c>
      <c r="Z39" s="78">
        <v>0.0</v>
      </c>
      <c r="AA39" s="78">
        <v>0.0</v>
      </c>
      <c r="AB39" s="78">
        <v>0.0</v>
      </c>
      <c r="AC39" s="78">
        <v>0.0</v>
      </c>
      <c r="AD39" s="78">
        <v>0.0</v>
      </c>
      <c r="AE39" s="78">
        <v>0.0</v>
      </c>
      <c r="AF39" s="78">
        <v>2.0</v>
      </c>
      <c r="AG39" s="78">
        <v>1.0</v>
      </c>
      <c r="AH39" s="78">
        <v>5.0</v>
      </c>
      <c r="AI39" s="78">
        <v>1.0</v>
      </c>
      <c r="AJ39" s="78">
        <v>0.0</v>
      </c>
      <c r="AK39" s="13">
        <f t="shared" ref="AK39:AK41" si="12">SUM(E39:AJ39)</f>
        <v>14</v>
      </c>
    </row>
    <row r="40" ht="12.75" customHeight="1">
      <c r="A40" s="33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1.0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4.0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1.0</v>
      </c>
      <c r="AB40" s="78">
        <v>0.0</v>
      </c>
      <c r="AC40" s="78">
        <v>0.0</v>
      </c>
      <c r="AD40" s="78">
        <v>0.0</v>
      </c>
      <c r="AE40" s="78">
        <v>0.0</v>
      </c>
      <c r="AF40" s="78">
        <v>0.0</v>
      </c>
      <c r="AG40" s="78">
        <v>1.0</v>
      </c>
      <c r="AH40" s="78">
        <v>3.0</v>
      </c>
      <c r="AI40" s="78">
        <v>0.0</v>
      </c>
      <c r="AJ40" s="78">
        <v>0.0</v>
      </c>
      <c r="AK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1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2</v>
      </c>
      <c r="AH41" s="13">
        <f t="shared" si="13"/>
        <v>8</v>
      </c>
      <c r="AI41" s="13">
        <f t="shared" si="13"/>
        <v>1</v>
      </c>
      <c r="AJ41" s="13">
        <f t="shared" si="13"/>
        <v>0</v>
      </c>
      <c r="AK41" s="13">
        <f t="shared" si="12"/>
        <v>24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67"/>
      <c r="Q42" s="19"/>
      <c r="R42" s="67"/>
      <c r="S42" s="19"/>
      <c r="T42" s="67"/>
      <c r="U42" s="19"/>
      <c r="V42" s="67"/>
      <c r="W42" s="19"/>
      <c r="X42" s="67"/>
      <c r="Y42" s="19"/>
      <c r="Z42" s="67"/>
      <c r="AA42" s="19"/>
      <c r="AB42" s="19"/>
      <c r="AC42" s="67"/>
      <c r="AD42" s="19"/>
      <c r="AE42" s="67"/>
      <c r="AF42" s="19"/>
      <c r="AG42" s="67"/>
      <c r="AH42" s="19"/>
      <c r="AI42" s="67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13"/>
      <c r="AC43" s="69"/>
      <c r="AD43" s="13"/>
      <c r="AE43" s="69"/>
      <c r="AF43" s="13"/>
      <c r="AG43" s="69"/>
      <c r="AH43" s="13"/>
      <c r="AI43" s="69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67"/>
      <c r="Q44" s="19"/>
      <c r="R44" s="67"/>
      <c r="S44" s="19"/>
      <c r="T44" s="67"/>
      <c r="U44" s="19"/>
      <c r="V44" s="67"/>
      <c r="W44" s="19"/>
      <c r="X44" s="67"/>
      <c r="Y44" s="19"/>
      <c r="Z44" s="67"/>
      <c r="AA44" s="19"/>
      <c r="AB44" s="19"/>
      <c r="AC44" s="67"/>
      <c r="AD44" s="19"/>
      <c r="AE44" s="67"/>
      <c r="AF44" s="19"/>
      <c r="AG44" s="67"/>
      <c r="AH44" s="19"/>
      <c r="AI44" s="67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20.0</v>
      </c>
      <c r="F45" s="19">
        <v>18.0</v>
      </c>
      <c r="G45" s="19">
        <v>15.0</v>
      </c>
      <c r="H45" s="19">
        <v>16.0</v>
      </c>
      <c r="I45" s="19">
        <v>15.0</v>
      </c>
      <c r="J45" s="19">
        <v>24.0</v>
      </c>
      <c r="K45" s="19">
        <v>25.0</v>
      </c>
      <c r="L45" s="19">
        <v>27.0</v>
      </c>
      <c r="M45" s="19">
        <v>33.0</v>
      </c>
      <c r="N45" s="19">
        <v>27.0</v>
      </c>
      <c r="O45" s="19">
        <v>16.0</v>
      </c>
      <c r="P45" s="19">
        <v>14.0</v>
      </c>
      <c r="Q45" s="19">
        <v>7.0</v>
      </c>
      <c r="R45" s="19">
        <v>10.0</v>
      </c>
      <c r="S45" s="19">
        <v>24.0</v>
      </c>
      <c r="T45" s="19">
        <v>16.0</v>
      </c>
      <c r="U45" s="19">
        <v>9.0</v>
      </c>
      <c r="V45" s="19">
        <v>0.0</v>
      </c>
      <c r="W45" s="19">
        <v>0.0</v>
      </c>
      <c r="X45" s="19">
        <v>7.0</v>
      </c>
      <c r="Y45" s="19">
        <v>10.0</v>
      </c>
      <c r="Z45" s="19">
        <v>13.0</v>
      </c>
      <c r="AA45" s="19">
        <v>12.0</v>
      </c>
      <c r="AB45" s="19">
        <v>6.0</v>
      </c>
      <c r="AC45" s="19">
        <v>7.0</v>
      </c>
      <c r="AD45" s="19">
        <v>11.0</v>
      </c>
      <c r="AE45" s="19">
        <v>6.0</v>
      </c>
      <c r="AF45" s="19">
        <v>11.0</v>
      </c>
      <c r="AG45" s="19">
        <v>5.0</v>
      </c>
      <c r="AH45" s="19">
        <v>8.0</v>
      </c>
      <c r="AI45" s="19">
        <v>17.0</v>
      </c>
      <c r="AJ45" s="19">
        <v>16.0</v>
      </c>
      <c r="AK45" s="13">
        <f t="shared" ref="AK45:AK52" si="14">SUM(E45:AJ45)</f>
        <v>445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28.0</v>
      </c>
      <c r="F46" s="19">
        <v>41.0</v>
      </c>
      <c r="G46" s="19">
        <v>55.0</v>
      </c>
      <c r="H46" s="19">
        <v>37.0</v>
      </c>
      <c r="I46" s="19">
        <v>42.0</v>
      </c>
      <c r="J46" s="19">
        <v>31.0</v>
      </c>
      <c r="K46" s="19">
        <v>27.0</v>
      </c>
      <c r="L46" s="19">
        <v>51.0</v>
      </c>
      <c r="M46" s="19">
        <v>64.0</v>
      </c>
      <c r="N46" s="19">
        <v>90.0</v>
      </c>
      <c r="O46" s="19">
        <v>39.0</v>
      </c>
      <c r="P46" s="19">
        <v>35.0</v>
      </c>
      <c r="Q46" s="19">
        <v>32.0</v>
      </c>
      <c r="R46" s="19">
        <v>24.0</v>
      </c>
      <c r="S46" s="19">
        <v>36.0</v>
      </c>
      <c r="T46" s="19">
        <v>34.0</v>
      </c>
      <c r="U46" s="19">
        <v>22.0</v>
      </c>
      <c r="V46" s="19">
        <v>0.0</v>
      </c>
      <c r="W46" s="19">
        <v>1.0</v>
      </c>
      <c r="X46" s="19">
        <v>35.0</v>
      </c>
      <c r="Y46" s="19">
        <v>16.0</v>
      </c>
      <c r="Z46" s="19">
        <v>28.0</v>
      </c>
      <c r="AA46" s="19">
        <v>22.0</v>
      </c>
      <c r="AB46" s="19">
        <v>14.0</v>
      </c>
      <c r="AC46" s="19">
        <v>26.0</v>
      </c>
      <c r="AD46" s="19">
        <v>13.0</v>
      </c>
      <c r="AE46" s="19">
        <v>20.0</v>
      </c>
      <c r="AF46" s="19">
        <v>20.0</v>
      </c>
      <c r="AG46" s="19">
        <v>20.0</v>
      </c>
      <c r="AH46" s="19">
        <v>18.0</v>
      </c>
      <c r="AI46" s="19">
        <v>8.0</v>
      </c>
      <c r="AJ46" s="19">
        <v>21.0</v>
      </c>
      <c r="AK46" s="13">
        <f t="shared" si="14"/>
        <v>950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8.0</v>
      </c>
      <c r="G47" s="19">
        <v>8.0</v>
      </c>
      <c r="H47" s="19">
        <v>4.0</v>
      </c>
      <c r="I47" s="19">
        <v>6.0</v>
      </c>
      <c r="J47" s="19">
        <v>4.0</v>
      </c>
      <c r="K47" s="19">
        <v>4.0</v>
      </c>
      <c r="L47" s="19">
        <v>3.0</v>
      </c>
      <c r="M47" s="19">
        <v>5.0</v>
      </c>
      <c r="N47" s="19">
        <v>5.0</v>
      </c>
      <c r="O47" s="19">
        <v>1.0</v>
      </c>
      <c r="P47" s="19">
        <v>0.0</v>
      </c>
      <c r="Q47" s="19">
        <v>2.0</v>
      </c>
      <c r="R47" s="19">
        <v>3.0</v>
      </c>
      <c r="S47" s="19">
        <v>3.0</v>
      </c>
      <c r="T47" s="19">
        <v>8.0</v>
      </c>
      <c r="U47" s="19">
        <v>2.0</v>
      </c>
      <c r="V47" s="19">
        <v>0.0</v>
      </c>
      <c r="W47" s="19">
        <v>0.0</v>
      </c>
      <c r="X47" s="19">
        <v>0.0</v>
      </c>
      <c r="Y47" s="19">
        <v>1.0</v>
      </c>
      <c r="Z47" s="19">
        <v>2.0</v>
      </c>
      <c r="AA47" s="19">
        <v>2.0</v>
      </c>
      <c r="AB47" s="19">
        <v>0.0</v>
      </c>
      <c r="AC47" s="19">
        <v>1.0</v>
      </c>
      <c r="AD47" s="19">
        <v>1.0</v>
      </c>
      <c r="AE47" s="19">
        <v>2.0</v>
      </c>
      <c r="AF47" s="19">
        <v>3.0</v>
      </c>
      <c r="AG47" s="19">
        <v>0.0</v>
      </c>
      <c r="AH47" s="19">
        <v>4.0</v>
      </c>
      <c r="AI47" s="19">
        <v>1.0</v>
      </c>
      <c r="AJ47" s="19">
        <v>2.0</v>
      </c>
      <c r="AK47" s="13">
        <f t="shared" si="14"/>
        <v>88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1.0</v>
      </c>
      <c r="I48" s="19">
        <v>0.0</v>
      </c>
      <c r="J48" s="19">
        <v>1.0</v>
      </c>
      <c r="K48" s="19">
        <v>0.0</v>
      </c>
      <c r="L48" s="19">
        <v>0.0</v>
      </c>
      <c r="M48" s="19">
        <v>2.0</v>
      </c>
      <c r="N48" s="19">
        <v>2.0</v>
      </c>
      <c r="O48" s="19">
        <v>0.0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9">
        <v>0.0</v>
      </c>
      <c r="W48" s="19">
        <v>1.0</v>
      </c>
      <c r="X48" s="19">
        <v>0.0</v>
      </c>
      <c r="Y48" s="19">
        <v>0.0</v>
      </c>
      <c r="Z48" s="19">
        <v>1.0</v>
      </c>
      <c r="AA48" s="19">
        <v>0.0</v>
      </c>
      <c r="AB48" s="19">
        <v>0.0</v>
      </c>
      <c r="AC48" s="19">
        <v>2.0</v>
      </c>
      <c r="AD48" s="19">
        <v>1.0</v>
      </c>
      <c r="AE48" s="19">
        <v>3.0</v>
      </c>
      <c r="AF48" s="19">
        <v>1.0</v>
      </c>
      <c r="AG48" s="19">
        <v>1.0</v>
      </c>
      <c r="AH48" s="19">
        <v>1.0</v>
      </c>
      <c r="AI48" s="19">
        <v>0.0</v>
      </c>
      <c r="AJ48" s="19">
        <v>2.0</v>
      </c>
      <c r="AK48" s="13">
        <f t="shared" si="14"/>
        <v>24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7.0</v>
      </c>
      <c r="G49" s="19">
        <v>1.0</v>
      </c>
      <c r="H49" s="19">
        <v>2.0</v>
      </c>
      <c r="I49" s="19">
        <v>3.0</v>
      </c>
      <c r="J49" s="19">
        <v>1.0</v>
      </c>
      <c r="K49" s="19">
        <v>2.0</v>
      </c>
      <c r="L49" s="19">
        <v>1.0</v>
      </c>
      <c r="M49" s="19">
        <v>0.0</v>
      </c>
      <c r="N49" s="19">
        <v>2.0</v>
      </c>
      <c r="O49" s="19">
        <v>1.0</v>
      </c>
      <c r="P49" s="19">
        <v>0.0</v>
      </c>
      <c r="Q49" s="19">
        <v>2.0</v>
      </c>
      <c r="R49" s="19">
        <v>3.0</v>
      </c>
      <c r="S49" s="19">
        <v>2.0</v>
      </c>
      <c r="T49" s="19">
        <v>1.0</v>
      </c>
      <c r="U49" s="19">
        <v>1.0</v>
      </c>
      <c r="V49" s="19">
        <v>0.0</v>
      </c>
      <c r="W49" s="19">
        <v>0.0</v>
      </c>
      <c r="X49" s="19">
        <v>0.0</v>
      </c>
      <c r="Y49" s="19">
        <v>1.0</v>
      </c>
      <c r="Z49" s="19">
        <v>0.0</v>
      </c>
      <c r="AA49" s="19">
        <v>2.0</v>
      </c>
      <c r="AB49" s="19">
        <v>0.0</v>
      </c>
      <c r="AC49" s="19">
        <v>1.0</v>
      </c>
      <c r="AD49" s="19">
        <v>0.0</v>
      </c>
      <c r="AE49" s="19">
        <v>0.0</v>
      </c>
      <c r="AF49" s="19">
        <v>1.0</v>
      </c>
      <c r="AG49" s="19">
        <v>0.0</v>
      </c>
      <c r="AH49" s="19">
        <v>1.0</v>
      </c>
      <c r="AI49" s="19">
        <v>1.0</v>
      </c>
      <c r="AJ49" s="19">
        <v>0.0</v>
      </c>
      <c r="AK49" s="13">
        <f t="shared" si="14"/>
        <v>37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2.0</v>
      </c>
      <c r="H50" s="19">
        <v>2.0</v>
      </c>
      <c r="I50" s="19">
        <v>1.0</v>
      </c>
      <c r="J50" s="19">
        <v>2.0</v>
      </c>
      <c r="K50" s="19">
        <v>1.0</v>
      </c>
      <c r="L50" s="19">
        <v>2.0</v>
      </c>
      <c r="M50" s="19">
        <v>2.0</v>
      </c>
      <c r="N50" s="19">
        <v>1.0</v>
      </c>
      <c r="O50" s="19">
        <v>1.0</v>
      </c>
      <c r="P50" s="19">
        <v>0.0</v>
      </c>
      <c r="Q50" s="19">
        <v>1.0</v>
      </c>
      <c r="R50" s="19">
        <v>0.0</v>
      </c>
      <c r="S50" s="19">
        <v>0.0</v>
      </c>
      <c r="T50" s="19">
        <v>2.0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2.0</v>
      </c>
      <c r="AB50" s="19">
        <v>1.0</v>
      </c>
      <c r="AC50" s="19">
        <v>0.0</v>
      </c>
      <c r="AD50" s="19">
        <v>0.0</v>
      </c>
      <c r="AE50" s="19">
        <v>1.0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3">
        <f t="shared" si="14"/>
        <v>23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2.0</v>
      </c>
      <c r="G51" s="19">
        <v>0.0</v>
      </c>
      <c r="H51" s="19">
        <v>0.0</v>
      </c>
      <c r="I51" s="19">
        <v>0.0</v>
      </c>
      <c r="J51" s="19">
        <v>0.0</v>
      </c>
      <c r="K51" s="19">
        <v>2.0</v>
      </c>
      <c r="L51" s="19">
        <v>1.0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2.0</v>
      </c>
      <c r="Y51" s="19">
        <v>0.0</v>
      </c>
      <c r="Z51" s="19">
        <v>1.0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9">
        <v>1.0</v>
      </c>
      <c r="AG51" s="19">
        <v>0.0</v>
      </c>
      <c r="AH51" s="19">
        <v>0.0</v>
      </c>
      <c r="AI51" s="19">
        <v>0.0</v>
      </c>
      <c r="AJ51" s="19">
        <v>0.0</v>
      </c>
      <c r="AK51" s="13">
        <f t="shared" si="14"/>
        <v>11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3.0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1.0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3">
        <f t="shared" si="14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J55" si="15">SUM(E45:E52)</f>
        <v>53</v>
      </c>
      <c r="F55" s="13">
        <f t="shared" si="15"/>
        <v>78</v>
      </c>
      <c r="G55" s="13">
        <f t="shared" si="15"/>
        <v>83</v>
      </c>
      <c r="H55" s="13">
        <f t="shared" si="15"/>
        <v>62</v>
      </c>
      <c r="I55" s="13">
        <f t="shared" si="15"/>
        <v>68</v>
      </c>
      <c r="J55" s="13">
        <f t="shared" si="15"/>
        <v>63</v>
      </c>
      <c r="K55" s="13">
        <f t="shared" si="15"/>
        <v>61</v>
      </c>
      <c r="L55" s="13">
        <f t="shared" si="15"/>
        <v>85</v>
      </c>
      <c r="M55" s="13">
        <f t="shared" si="15"/>
        <v>106</v>
      </c>
      <c r="N55" s="13">
        <f t="shared" si="15"/>
        <v>130</v>
      </c>
      <c r="O55" s="13">
        <f t="shared" si="15"/>
        <v>59</v>
      </c>
      <c r="P55" s="13">
        <f t="shared" si="15"/>
        <v>49</v>
      </c>
      <c r="Q55" s="13">
        <f t="shared" si="15"/>
        <v>45</v>
      </c>
      <c r="R55" s="13">
        <f t="shared" si="15"/>
        <v>40</v>
      </c>
      <c r="S55" s="13">
        <f t="shared" si="15"/>
        <v>65</v>
      </c>
      <c r="T55" s="13">
        <f t="shared" si="15"/>
        <v>63</v>
      </c>
      <c r="U55" s="13">
        <f t="shared" si="15"/>
        <v>34</v>
      </c>
      <c r="V55" s="13">
        <f t="shared" si="15"/>
        <v>0</v>
      </c>
      <c r="W55" s="13">
        <f t="shared" si="15"/>
        <v>2</v>
      </c>
      <c r="X55" s="13">
        <f t="shared" si="15"/>
        <v>45</v>
      </c>
      <c r="Y55" s="13">
        <f t="shared" si="15"/>
        <v>28</v>
      </c>
      <c r="Z55" s="13">
        <f t="shared" si="15"/>
        <v>45</v>
      </c>
      <c r="AA55" s="13">
        <f t="shared" si="15"/>
        <v>41</v>
      </c>
      <c r="AB55" s="13">
        <f t="shared" si="15"/>
        <v>21</v>
      </c>
      <c r="AC55" s="13">
        <f t="shared" si="15"/>
        <v>38</v>
      </c>
      <c r="AD55" s="13">
        <f t="shared" si="15"/>
        <v>27</v>
      </c>
      <c r="AE55" s="13">
        <f t="shared" si="15"/>
        <v>32</v>
      </c>
      <c r="AF55" s="13">
        <f t="shared" si="15"/>
        <v>37</v>
      </c>
      <c r="AG55" s="13">
        <f t="shared" si="15"/>
        <v>26</v>
      </c>
      <c r="AH55" s="13">
        <f t="shared" si="15"/>
        <v>32</v>
      </c>
      <c r="AI55" s="13">
        <f t="shared" si="15"/>
        <v>27</v>
      </c>
      <c r="AJ55" s="13">
        <f t="shared" si="15"/>
        <v>41</v>
      </c>
      <c r="AK55" s="13">
        <f>SUM(E55:AJ55)</f>
        <v>1586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9.0</v>
      </c>
      <c r="G57" s="19">
        <v>7.0</v>
      </c>
      <c r="H57" s="19">
        <v>4.0</v>
      </c>
      <c r="I57" s="19">
        <v>7.0</v>
      </c>
      <c r="J57" s="19">
        <v>5.0</v>
      </c>
      <c r="K57" s="19">
        <v>6.0</v>
      </c>
      <c r="L57" s="19">
        <v>10.0</v>
      </c>
      <c r="M57" s="19">
        <v>5.0</v>
      </c>
      <c r="N57" s="19">
        <v>4.0</v>
      </c>
      <c r="O57" s="19">
        <v>9.0</v>
      </c>
      <c r="P57" s="19">
        <v>9.0</v>
      </c>
      <c r="Q57" s="19">
        <v>9.0</v>
      </c>
      <c r="R57" s="19">
        <v>3.0</v>
      </c>
      <c r="S57" s="19">
        <v>9.0</v>
      </c>
      <c r="T57" s="19">
        <v>4.0</v>
      </c>
      <c r="U57" s="19">
        <v>6.0</v>
      </c>
      <c r="V57" s="19">
        <v>1.0</v>
      </c>
      <c r="W57" s="19">
        <v>0.0</v>
      </c>
      <c r="X57" s="19">
        <v>6.0</v>
      </c>
      <c r="Y57" s="19">
        <v>8.0</v>
      </c>
      <c r="Z57" s="19">
        <v>10.0</v>
      </c>
      <c r="AA57" s="19">
        <v>8.0</v>
      </c>
      <c r="AB57" s="19">
        <v>1.0</v>
      </c>
      <c r="AC57" s="19">
        <v>8.0</v>
      </c>
      <c r="AD57" s="19">
        <v>6.0</v>
      </c>
      <c r="AE57" s="19">
        <v>4.0</v>
      </c>
      <c r="AF57" s="19">
        <v>8.0</v>
      </c>
      <c r="AG57" s="19">
        <v>0.0</v>
      </c>
      <c r="AH57" s="19">
        <v>6.0</v>
      </c>
      <c r="AI57" s="19">
        <v>11.0</v>
      </c>
      <c r="AJ57" s="19">
        <v>4.0</v>
      </c>
      <c r="AK57" s="13">
        <f t="shared" ref="AK57:AK64" si="16">SUM(E57:AJ57)</f>
        <v>194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16.0</v>
      </c>
      <c r="G58" s="19">
        <v>1.0</v>
      </c>
      <c r="H58" s="19">
        <v>7.0</v>
      </c>
      <c r="I58" s="19">
        <v>14.0</v>
      </c>
      <c r="J58" s="19">
        <v>4.0</v>
      </c>
      <c r="K58" s="19">
        <v>5.0</v>
      </c>
      <c r="L58" s="19">
        <v>4.0</v>
      </c>
      <c r="M58" s="19">
        <v>7.0</v>
      </c>
      <c r="N58" s="19">
        <v>6.0</v>
      </c>
      <c r="O58" s="19">
        <v>0.0</v>
      </c>
      <c r="P58" s="19">
        <v>5.0</v>
      </c>
      <c r="Q58" s="19">
        <v>1.0</v>
      </c>
      <c r="R58" s="19">
        <v>3.0</v>
      </c>
      <c r="S58" s="19">
        <v>7.0</v>
      </c>
      <c r="T58" s="19">
        <v>7.0</v>
      </c>
      <c r="U58" s="19">
        <v>4.0</v>
      </c>
      <c r="V58" s="19">
        <v>0.0</v>
      </c>
      <c r="W58" s="19">
        <v>2.0</v>
      </c>
      <c r="X58" s="19">
        <v>8.0</v>
      </c>
      <c r="Y58" s="19">
        <v>7.0</v>
      </c>
      <c r="Z58" s="19">
        <v>7.0</v>
      </c>
      <c r="AA58" s="19">
        <v>8.0</v>
      </c>
      <c r="AB58" s="19">
        <v>5.0</v>
      </c>
      <c r="AC58" s="19">
        <v>2.0</v>
      </c>
      <c r="AD58" s="19">
        <v>7.0</v>
      </c>
      <c r="AE58" s="19">
        <v>2.0</v>
      </c>
      <c r="AF58" s="19">
        <v>9.0</v>
      </c>
      <c r="AG58" s="19">
        <v>1.0</v>
      </c>
      <c r="AH58" s="19">
        <v>2.0</v>
      </c>
      <c r="AI58" s="19">
        <v>7.0</v>
      </c>
      <c r="AJ58" s="19">
        <v>2.0</v>
      </c>
      <c r="AK58" s="13">
        <f t="shared" si="16"/>
        <v>169</v>
      </c>
    </row>
    <row r="59" ht="12.75" customHeight="1">
      <c r="A59" s="18"/>
      <c r="B59" s="55">
        <v>2.0</v>
      </c>
      <c r="C59" s="50" t="s">
        <v>50</v>
      </c>
      <c r="D59" s="56"/>
      <c r="E59" s="19">
        <v>6.0</v>
      </c>
      <c r="F59" s="19">
        <v>3.0</v>
      </c>
      <c r="G59" s="19">
        <v>1.0</v>
      </c>
      <c r="H59" s="19">
        <v>2.0</v>
      </c>
      <c r="I59" s="19">
        <v>3.0</v>
      </c>
      <c r="J59" s="19">
        <v>4.0</v>
      </c>
      <c r="K59" s="19">
        <v>0.0</v>
      </c>
      <c r="L59" s="19">
        <v>1.0</v>
      </c>
      <c r="M59" s="19">
        <v>3.0</v>
      </c>
      <c r="N59" s="19">
        <v>3.0</v>
      </c>
      <c r="O59" s="19">
        <v>3.0</v>
      </c>
      <c r="P59" s="19">
        <v>4.0</v>
      </c>
      <c r="Q59" s="19">
        <v>1.0</v>
      </c>
      <c r="R59" s="19">
        <v>6.0</v>
      </c>
      <c r="S59" s="19">
        <v>6.0</v>
      </c>
      <c r="T59" s="19">
        <v>4.0</v>
      </c>
      <c r="U59" s="19">
        <v>3.0</v>
      </c>
      <c r="V59" s="19">
        <v>1.0</v>
      </c>
      <c r="W59" s="19">
        <v>0.0</v>
      </c>
      <c r="X59" s="19">
        <v>4.0</v>
      </c>
      <c r="Y59" s="19">
        <v>3.0</v>
      </c>
      <c r="Z59" s="19">
        <v>4.0</v>
      </c>
      <c r="AA59" s="19">
        <v>2.0</v>
      </c>
      <c r="AB59" s="19">
        <v>2.0</v>
      </c>
      <c r="AC59" s="19">
        <v>6.0</v>
      </c>
      <c r="AD59" s="19">
        <v>1.0</v>
      </c>
      <c r="AE59" s="19">
        <v>1.0</v>
      </c>
      <c r="AF59" s="19">
        <v>4.0</v>
      </c>
      <c r="AG59" s="19">
        <v>2.0</v>
      </c>
      <c r="AH59" s="19">
        <v>3.0</v>
      </c>
      <c r="AI59" s="19">
        <v>1.0</v>
      </c>
      <c r="AJ59" s="19">
        <v>3.0</v>
      </c>
      <c r="AK59" s="13">
        <f t="shared" si="16"/>
        <v>90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5.0</v>
      </c>
      <c r="Q60" s="19">
        <v>1.0</v>
      </c>
      <c r="R60" s="19">
        <v>1.0</v>
      </c>
      <c r="S60" s="19">
        <v>1.0</v>
      </c>
      <c r="T60" s="19">
        <v>0.0</v>
      </c>
      <c r="U60" s="19">
        <v>0.0</v>
      </c>
      <c r="V60" s="19">
        <v>0.0</v>
      </c>
      <c r="W60" s="19">
        <v>0.0</v>
      </c>
      <c r="X60" s="19">
        <v>1.0</v>
      </c>
      <c r="Y60" s="19">
        <v>0.0</v>
      </c>
      <c r="Z60" s="19">
        <v>2.0</v>
      </c>
      <c r="AA60" s="19">
        <v>0.0</v>
      </c>
      <c r="AB60" s="19">
        <v>0.0</v>
      </c>
      <c r="AC60" s="19">
        <v>1.0</v>
      </c>
      <c r="AD60" s="19">
        <v>0.0</v>
      </c>
      <c r="AE60" s="19">
        <v>4.0</v>
      </c>
      <c r="AF60" s="19">
        <v>0.0</v>
      </c>
      <c r="AG60" s="19">
        <v>0.0</v>
      </c>
      <c r="AH60" s="19">
        <v>0.0</v>
      </c>
      <c r="AI60" s="19">
        <v>2.0</v>
      </c>
      <c r="AJ60" s="19">
        <v>1.0</v>
      </c>
      <c r="AK60" s="13">
        <f t="shared" si="16"/>
        <v>20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1.0</v>
      </c>
      <c r="H61" s="19">
        <v>0.0</v>
      </c>
      <c r="I61" s="19">
        <v>1.0</v>
      </c>
      <c r="J61" s="19">
        <v>2.0</v>
      </c>
      <c r="K61" s="19">
        <v>3.0</v>
      </c>
      <c r="L61" s="19">
        <v>0.0</v>
      </c>
      <c r="M61" s="19">
        <v>0.0</v>
      </c>
      <c r="N61" s="19">
        <v>1.0</v>
      </c>
      <c r="O61" s="19">
        <v>1.0</v>
      </c>
      <c r="P61" s="19">
        <v>1.0</v>
      </c>
      <c r="Q61" s="19">
        <v>1.0</v>
      </c>
      <c r="R61" s="19">
        <v>6.0</v>
      </c>
      <c r="S61" s="19">
        <v>1.0</v>
      </c>
      <c r="T61" s="19">
        <v>2.0</v>
      </c>
      <c r="U61" s="19">
        <v>1.0</v>
      </c>
      <c r="V61" s="19">
        <v>0.0</v>
      </c>
      <c r="W61" s="19">
        <v>0.0</v>
      </c>
      <c r="X61" s="19">
        <v>3.0</v>
      </c>
      <c r="Y61" s="19">
        <v>0.0</v>
      </c>
      <c r="Z61" s="19">
        <v>3.0</v>
      </c>
      <c r="AA61" s="19">
        <v>0.0</v>
      </c>
      <c r="AB61" s="19">
        <v>1.0</v>
      </c>
      <c r="AC61" s="19">
        <v>1.0</v>
      </c>
      <c r="AD61" s="19">
        <v>3.0</v>
      </c>
      <c r="AE61" s="19">
        <v>2.0</v>
      </c>
      <c r="AF61" s="19">
        <v>1.0</v>
      </c>
      <c r="AG61" s="19">
        <v>0.0</v>
      </c>
      <c r="AH61" s="19">
        <v>1.0</v>
      </c>
      <c r="AI61" s="19">
        <v>1.0</v>
      </c>
      <c r="AJ61" s="19">
        <v>1.0</v>
      </c>
      <c r="AK61" s="13">
        <f t="shared" si="16"/>
        <v>40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2.0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3">
        <f t="shared" si="16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0.0</v>
      </c>
      <c r="R63" s="19">
        <v>1.0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1.0</v>
      </c>
      <c r="AD63" s="19">
        <v>0.0</v>
      </c>
      <c r="AE63" s="19">
        <v>0.0</v>
      </c>
      <c r="AF63" s="19">
        <v>1.0</v>
      </c>
      <c r="AG63" s="19">
        <v>2.0</v>
      </c>
      <c r="AH63" s="19">
        <v>0.0</v>
      </c>
      <c r="AI63" s="19">
        <v>0.0</v>
      </c>
      <c r="AJ63" s="19">
        <v>0.0</v>
      </c>
      <c r="AK63" s="13">
        <f t="shared" si="16"/>
        <v>8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4.0</v>
      </c>
      <c r="G64" s="19">
        <v>2.0</v>
      </c>
      <c r="H64" s="19">
        <v>0.0</v>
      </c>
      <c r="I64" s="19">
        <v>18.0</v>
      </c>
      <c r="J64" s="19">
        <v>2.0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0.0</v>
      </c>
      <c r="AB64" s="19">
        <v>0.0</v>
      </c>
      <c r="AC64" s="19">
        <v>9.0</v>
      </c>
      <c r="AD64" s="19">
        <v>6.0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1.0</v>
      </c>
      <c r="AK64" s="13">
        <f t="shared" si="16"/>
        <v>43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J67" si="17">SUM(E57:E64)</f>
        <v>25</v>
      </c>
      <c r="F67" s="13">
        <f t="shared" si="17"/>
        <v>33</v>
      </c>
      <c r="G67" s="13">
        <f t="shared" si="17"/>
        <v>12</v>
      </c>
      <c r="H67" s="13">
        <f t="shared" si="17"/>
        <v>13</v>
      </c>
      <c r="I67" s="13">
        <f t="shared" si="17"/>
        <v>46</v>
      </c>
      <c r="J67" s="13">
        <f t="shared" si="17"/>
        <v>17</v>
      </c>
      <c r="K67" s="13">
        <f t="shared" si="17"/>
        <v>14</v>
      </c>
      <c r="L67" s="13">
        <f t="shared" si="17"/>
        <v>16</v>
      </c>
      <c r="M67" s="13">
        <f t="shared" si="17"/>
        <v>15</v>
      </c>
      <c r="N67" s="13">
        <f t="shared" si="17"/>
        <v>14</v>
      </c>
      <c r="O67" s="13">
        <f t="shared" si="17"/>
        <v>14</v>
      </c>
      <c r="P67" s="13">
        <f t="shared" si="17"/>
        <v>25</v>
      </c>
      <c r="Q67" s="13">
        <f t="shared" si="17"/>
        <v>13</v>
      </c>
      <c r="R67" s="13">
        <f t="shared" si="17"/>
        <v>20</v>
      </c>
      <c r="S67" s="13">
        <f t="shared" si="17"/>
        <v>25</v>
      </c>
      <c r="T67" s="13">
        <f t="shared" si="17"/>
        <v>17</v>
      </c>
      <c r="U67" s="13">
        <f t="shared" si="17"/>
        <v>14</v>
      </c>
      <c r="V67" s="13">
        <f t="shared" si="17"/>
        <v>2</v>
      </c>
      <c r="W67" s="13">
        <f t="shared" si="17"/>
        <v>2</v>
      </c>
      <c r="X67" s="13">
        <f t="shared" si="17"/>
        <v>24</v>
      </c>
      <c r="Y67" s="13">
        <f t="shared" si="17"/>
        <v>18</v>
      </c>
      <c r="Z67" s="13">
        <f t="shared" si="17"/>
        <v>26</v>
      </c>
      <c r="AA67" s="13">
        <f t="shared" si="17"/>
        <v>18</v>
      </c>
      <c r="AB67" s="13">
        <f t="shared" si="17"/>
        <v>10</v>
      </c>
      <c r="AC67" s="13">
        <f t="shared" si="17"/>
        <v>28</v>
      </c>
      <c r="AD67" s="13">
        <f t="shared" si="17"/>
        <v>23</v>
      </c>
      <c r="AE67" s="13">
        <f t="shared" si="17"/>
        <v>13</v>
      </c>
      <c r="AF67" s="13">
        <f t="shared" si="17"/>
        <v>23</v>
      </c>
      <c r="AG67" s="13">
        <f t="shared" si="17"/>
        <v>5</v>
      </c>
      <c r="AH67" s="13">
        <f t="shared" si="17"/>
        <v>12</v>
      </c>
      <c r="AI67" s="13">
        <f t="shared" si="17"/>
        <v>22</v>
      </c>
      <c r="AJ67" s="13">
        <f t="shared" si="17"/>
        <v>12</v>
      </c>
      <c r="AK67" s="13">
        <f>SUM(E67:AJ67)</f>
        <v>571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3.0</v>
      </c>
      <c r="G69" s="19">
        <v>1.0</v>
      </c>
      <c r="H69" s="19">
        <v>1.0</v>
      </c>
      <c r="I69" s="19">
        <v>0.0</v>
      </c>
      <c r="J69" s="19">
        <v>3.0</v>
      </c>
      <c r="K69" s="19">
        <v>6.0</v>
      </c>
      <c r="L69" s="19">
        <v>10.0</v>
      </c>
      <c r="M69" s="19">
        <v>7.0</v>
      </c>
      <c r="N69" s="19">
        <v>5.0</v>
      </c>
      <c r="O69" s="19">
        <v>10.0</v>
      </c>
      <c r="P69" s="19">
        <v>7.0</v>
      </c>
      <c r="Q69" s="19">
        <v>7.0</v>
      </c>
      <c r="R69" s="19">
        <v>1.0</v>
      </c>
      <c r="S69" s="19">
        <v>1.0</v>
      </c>
      <c r="T69" s="19">
        <v>6.0</v>
      </c>
      <c r="U69" s="19">
        <v>3.0</v>
      </c>
      <c r="V69" s="19">
        <v>5.0</v>
      </c>
      <c r="W69" s="19">
        <v>7.0</v>
      </c>
      <c r="X69" s="19">
        <v>6.0</v>
      </c>
      <c r="Y69" s="19">
        <v>6.0</v>
      </c>
      <c r="Z69" s="19">
        <v>9.0</v>
      </c>
      <c r="AA69" s="19">
        <v>6.0</v>
      </c>
      <c r="AB69" s="19">
        <v>5.0</v>
      </c>
      <c r="AC69" s="19">
        <v>7.0</v>
      </c>
      <c r="AD69" s="19">
        <v>3.0</v>
      </c>
      <c r="AE69" s="19">
        <v>13.0</v>
      </c>
      <c r="AF69" s="19">
        <v>7.0</v>
      </c>
      <c r="AG69" s="19">
        <v>5.0</v>
      </c>
      <c r="AH69" s="19">
        <v>5.0</v>
      </c>
      <c r="AI69" s="19">
        <v>13.0</v>
      </c>
      <c r="AJ69" s="19">
        <v>8.0</v>
      </c>
      <c r="AK69" s="13">
        <f t="shared" ref="AK69:AK76" si="18">SUM(E69:AJ69)</f>
        <v>178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3.0</v>
      </c>
      <c r="G70" s="19">
        <v>5.0</v>
      </c>
      <c r="H70" s="19">
        <v>3.0</v>
      </c>
      <c r="I70" s="19">
        <v>2.0</v>
      </c>
      <c r="J70" s="19">
        <v>1.0</v>
      </c>
      <c r="K70" s="19">
        <v>5.0</v>
      </c>
      <c r="L70" s="19">
        <v>3.0</v>
      </c>
      <c r="M70" s="19">
        <v>1.0</v>
      </c>
      <c r="N70" s="19">
        <v>2.0</v>
      </c>
      <c r="O70" s="19">
        <v>3.0</v>
      </c>
      <c r="P70" s="19">
        <v>5.0</v>
      </c>
      <c r="Q70" s="19">
        <v>6.0</v>
      </c>
      <c r="R70" s="19">
        <v>4.0</v>
      </c>
      <c r="S70" s="19">
        <v>3.0</v>
      </c>
      <c r="T70" s="19">
        <v>1.0</v>
      </c>
      <c r="U70" s="19">
        <v>1.0</v>
      </c>
      <c r="V70" s="19">
        <v>8.0</v>
      </c>
      <c r="W70" s="19">
        <v>8.0</v>
      </c>
      <c r="X70" s="19">
        <v>12.0</v>
      </c>
      <c r="Y70" s="19">
        <v>5.0</v>
      </c>
      <c r="Z70" s="19">
        <v>6.0</v>
      </c>
      <c r="AA70" s="19">
        <v>9.0</v>
      </c>
      <c r="AB70" s="19">
        <v>13.0</v>
      </c>
      <c r="AC70" s="19">
        <v>7.0</v>
      </c>
      <c r="AD70" s="19">
        <v>9.0</v>
      </c>
      <c r="AE70" s="19">
        <v>12.0</v>
      </c>
      <c r="AF70" s="19">
        <v>6.0</v>
      </c>
      <c r="AG70" s="19">
        <v>24.0</v>
      </c>
      <c r="AH70" s="19">
        <v>13.0</v>
      </c>
      <c r="AI70" s="19">
        <v>9.0</v>
      </c>
      <c r="AJ70" s="19">
        <v>11.0</v>
      </c>
      <c r="AK70" s="13">
        <f t="shared" si="18"/>
        <v>208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3.0</v>
      </c>
      <c r="G71" s="19">
        <v>1.0</v>
      </c>
      <c r="H71" s="19">
        <v>5.0</v>
      </c>
      <c r="I71" s="19">
        <v>1.0</v>
      </c>
      <c r="J71" s="19">
        <v>5.0</v>
      </c>
      <c r="K71" s="19">
        <v>0.0</v>
      </c>
      <c r="L71" s="19">
        <v>9.0</v>
      </c>
      <c r="M71" s="19">
        <v>6.0</v>
      </c>
      <c r="N71" s="19">
        <v>4.0</v>
      </c>
      <c r="O71" s="19">
        <v>14.0</v>
      </c>
      <c r="P71" s="19">
        <v>0.0</v>
      </c>
      <c r="Q71" s="19">
        <v>6.0</v>
      </c>
      <c r="R71" s="19">
        <v>4.0</v>
      </c>
      <c r="S71" s="19">
        <v>4.0</v>
      </c>
      <c r="T71" s="19">
        <v>3.0</v>
      </c>
      <c r="U71" s="19">
        <v>0.0</v>
      </c>
      <c r="V71" s="19">
        <v>3.0</v>
      </c>
      <c r="W71" s="19">
        <v>2.0</v>
      </c>
      <c r="X71" s="19">
        <v>14.0</v>
      </c>
      <c r="Y71" s="19">
        <v>4.0</v>
      </c>
      <c r="Z71" s="19">
        <v>3.0</v>
      </c>
      <c r="AA71" s="19">
        <v>9.0</v>
      </c>
      <c r="AB71" s="19">
        <v>8.0</v>
      </c>
      <c r="AC71" s="19">
        <v>2.0</v>
      </c>
      <c r="AD71" s="19">
        <v>5.0</v>
      </c>
      <c r="AE71" s="19">
        <v>10.0</v>
      </c>
      <c r="AF71" s="19">
        <v>11.0</v>
      </c>
      <c r="AG71" s="19">
        <v>13.0</v>
      </c>
      <c r="AH71" s="19">
        <v>8.0</v>
      </c>
      <c r="AI71" s="19">
        <v>10.0</v>
      </c>
      <c r="AJ71" s="19">
        <v>36.0</v>
      </c>
      <c r="AK71" s="13">
        <f t="shared" si="18"/>
        <v>204</v>
      </c>
    </row>
    <row r="72" ht="12.75" customHeight="1">
      <c r="A72" s="18"/>
      <c r="B72" s="55">
        <v>3.0</v>
      </c>
      <c r="C72" s="50" t="s">
        <v>59</v>
      </c>
      <c r="D72" s="57"/>
      <c r="E72" s="19">
        <v>0.0</v>
      </c>
      <c r="F72" s="19">
        <v>1.0</v>
      </c>
      <c r="G72" s="19">
        <v>0.0</v>
      </c>
      <c r="H72" s="19">
        <v>0.0</v>
      </c>
      <c r="I72" s="19">
        <v>0.0</v>
      </c>
      <c r="J72" s="19">
        <v>16.0</v>
      </c>
      <c r="K72" s="19">
        <v>25.0</v>
      </c>
      <c r="L72" s="19">
        <v>0.0</v>
      </c>
      <c r="M72" s="19">
        <v>2.0</v>
      </c>
      <c r="N72" s="19">
        <v>3.0</v>
      </c>
      <c r="O72" s="19">
        <v>1.0</v>
      </c>
      <c r="P72" s="19">
        <v>2.0</v>
      </c>
      <c r="Q72" s="19">
        <v>1.0</v>
      </c>
      <c r="R72" s="19">
        <v>0.0</v>
      </c>
      <c r="S72" s="19">
        <v>1.0</v>
      </c>
      <c r="T72" s="19">
        <v>0.0</v>
      </c>
      <c r="U72" s="19">
        <v>0.0</v>
      </c>
      <c r="V72" s="19">
        <v>1.0</v>
      </c>
      <c r="W72" s="19">
        <v>1.0</v>
      </c>
      <c r="X72" s="19">
        <v>5.0</v>
      </c>
      <c r="Y72" s="19">
        <v>0.0</v>
      </c>
      <c r="Z72" s="19">
        <v>4.0</v>
      </c>
      <c r="AA72" s="19">
        <v>1.0</v>
      </c>
      <c r="AB72" s="19">
        <v>8.0</v>
      </c>
      <c r="AC72" s="19">
        <v>2.0</v>
      </c>
      <c r="AD72" s="19">
        <v>2.0</v>
      </c>
      <c r="AE72" s="19">
        <v>1.0</v>
      </c>
      <c r="AF72" s="19">
        <v>0.0</v>
      </c>
      <c r="AG72" s="19">
        <v>1.0</v>
      </c>
      <c r="AH72" s="19">
        <v>3.0</v>
      </c>
      <c r="AI72" s="19">
        <v>1.0</v>
      </c>
      <c r="AJ72" s="19">
        <v>2.0</v>
      </c>
      <c r="AK72" s="13">
        <f t="shared" si="18"/>
        <v>84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1.0</v>
      </c>
      <c r="H73" s="19">
        <v>1.0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1.0</v>
      </c>
      <c r="R73" s="19">
        <v>0.0</v>
      </c>
      <c r="S73" s="19">
        <v>0.0</v>
      </c>
      <c r="T73" s="19">
        <v>1.0</v>
      </c>
      <c r="U73" s="19">
        <v>0.0</v>
      </c>
      <c r="V73" s="19">
        <v>0.0</v>
      </c>
      <c r="W73" s="19">
        <v>2.0</v>
      </c>
      <c r="X73" s="19">
        <v>2.0</v>
      </c>
      <c r="Y73" s="19">
        <v>2.0</v>
      </c>
      <c r="Z73" s="19">
        <v>0.0</v>
      </c>
      <c r="AA73" s="19">
        <v>0.0</v>
      </c>
      <c r="AB73" s="19">
        <v>2.0</v>
      </c>
      <c r="AC73" s="19">
        <v>0.0</v>
      </c>
      <c r="AD73" s="19">
        <v>0.0</v>
      </c>
      <c r="AE73" s="19">
        <v>0.0</v>
      </c>
      <c r="AF73" s="19">
        <v>0.0</v>
      </c>
      <c r="AG73" s="19">
        <v>0.0</v>
      </c>
      <c r="AH73" s="19">
        <v>0.0</v>
      </c>
      <c r="AI73" s="19">
        <v>0.0</v>
      </c>
      <c r="AJ73" s="19">
        <v>0.0</v>
      </c>
      <c r="AK73" s="13">
        <f t="shared" si="18"/>
        <v>14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1.0</v>
      </c>
      <c r="G74" s="19">
        <v>3.0</v>
      </c>
      <c r="H74" s="19">
        <v>0.0</v>
      </c>
      <c r="I74" s="19">
        <v>6.0</v>
      </c>
      <c r="J74" s="19">
        <v>0.0</v>
      </c>
      <c r="K74" s="19">
        <v>4.0</v>
      </c>
      <c r="L74" s="19">
        <v>8.0</v>
      </c>
      <c r="M74" s="19">
        <v>7.0</v>
      </c>
      <c r="N74" s="19">
        <v>2.0</v>
      </c>
      <c r="O74" s="19">
        <v>2.0</v>
      </c>
      <c r="P74" s="19">
        <v>1.0</v>
      </c>
      <c r="Q74" s="19">
        <v>2.0</v>
      </c>
      <c r="R74" s="19">
        <v>1.0</v>
      </c>
      <c r="S74" s="19">
        <v>0.0</v>
      </c>
      <c r="T74" s="19">
        <v>1.0</v>
      </c>
      <c r="U74" s="19">
        <v>0.0</v>
      </c>
      <c r="V74" s="19">
        <v>3.0</v>
      </c>
      <c r="W74" s="19">
        <v>3.0</v>
      </c>
      <c r="X74" s="19">
        <v>5.0</v>
      </c>
      <c r="Y74" s="19">
        <v>4.0</v>
      </c>
      <c r="Z74" s="19">
        <v>2.0</v>
      </c>
      <c r="AA74" s="19">
        <v>0.0</v>
      </c>
      <c r="AB74" s="19">
        <v>6.0</v>
      </c>
      <c r="AC74" s="19">
        <v>0.0</v>
      </c>
      <c r="AD74" s="19">
        <v>6.0</v>
      </c>
      <c r="AE74" s="19">
        <v>9.0</v>
      </c>
      <c r="AF74" s="19">
        <v>0.0</v>
      </c>
      <c r="AG74" s="19">
        <v>1.0</v>
      </c>
      <c r="AH74" s="19">
        <v>5.0</v>
      </c>
      <c r="AI74" s="19">
        <v>2.0</v>
      </c>
      <c r="AJ74" s="19">
        <v>2.0</v>
      </c>
      <c r="AK74" s="13">
        <f t="shared" si="18"/>
        <v>86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2.0</v>
      </c>
      <c r="M75" s="19">
        <v>1.0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1.0</v>
      </c>
      <c r="Y75" s="19">
        <v>1.0</v>
      </c>
      <c r="Z75" s="19">
        <v>1.0</v>
      </c>
      <c r="AA75" s="19">
        <v>0.0</v>
      </c>
      <c r="AB75" s="19">
        <v>3.0</v>
      </c>
      <c r="AC75" s="19">
        <v>1.0</v>
      </c>
      <c r="AD75" s="19">
        <v>0.0</v>
      </c>
      <c r="AE75" s="19">
        <v>3.0</v>
      </c>
      <c r="AF75" s="19">
        <v>0.0</v>
      </c>
      <c r="AG75" s="19">
        <v>0.0</v>
      </c>
      <c r="AH75" s="19">
        <v>0.0</v>
      </c>
      <c r="AI75" s="19">
        <v>0.0</v>
      </c>
      <c r="AJ75" s="19">
        <v>0.0</v>
      </c>
      <c r="AK75" s="13">
        <f t="shared" si="18"/>
        <v>16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1.0</v>
      </c>
      <c r="L76" s="19">
        <v>0.0</v>
      </c>
      <c r="M76" s="19">
        <v>0.0</v>
      </c>
      <c r="N76" s="19">
        <v>0.0</v>
      </c>
      <c r="O76" s="19">
        <v>1.0</v>
      </c>
      <c r="P76" s="19">
        <v>0.0</v>
      </c>
      <c r="Q76" s="19">
        <v>2.0</v>
      </c>
      <c r="R76" s="19">
        <v>12.0</v>
      </c>
      <c r="S76" s="19">
        <v>0.0</v>
      </c>
      <c r="T76" s="19">
        <v>0.0</v>
      </c>
      <c r="U76" s="19">
        <v>0.0</v>
      </c>
      <c r="V76" s="19">
        <v>78.0</v>
      </c>
      <c r="W76" s="19">
        <v>69.0</v>
      </c>
      <c r="X76" s="19">
        <v>6.0</v>
      </c>
      <c r="Y76" s="19">
        <v>0.0</v>
      </c>
      <c r="Z76" s="19">
        <v>11.0</v>
      </c>
      <c r="AA76" s="19">
        <v>13.0</v>
      </c>
      <c r="AB76" s="19">
        <v>83.0</v>
      </c>
      <c r="AC76" s="19">
        <v>0.0</v>
      </c>
      <c r="AD76" s="19">
        <v>9.0</v>
      </c>
      <c r="AE76" s="19">
        <v>0.0</v>
      </c>
      <c r="AF76" s="19">
        <v>4.0</v>
      </c>
      <c r="AG76" s="19">
        <v>0.0</v>
      </c>
      <c r="AH76" s="19">
        <v>0.0</v>
      </c>
      <c r="AI76" s="19">
        <v>0.0</v>
      </c>
      <c r="AJ76" s="19">
        <v>1.0</v>
      </c>
      <c r="AK76" s="13">
        <f t="shared" si="18"/>
        <v>292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J79" si="19">SUM(E69:E76)</f>
        <v>12</v>
      </c>
      <c r="F79" s="13">
        <f t="shared" si="19"/>
        <v>13</v>
      </c>
      <c r="G79" s="13">
        <f t="shared" si="19"/>
        <v>11</v>
      </c>
      <c r="H79" s="13">
        <f t="shared" si="19"/>
        <v>10</v>
      </c>
      <c r="I79" s="13">
        <f t="shared" si="19"/>
        <v>9</v>
      </c>
      <c r="J79" s="13">
        <f t="shared" si="19"/>
        <v>25</v>
      </c>
      <c r="K79" s="13">
        <f t="shared" si="19"/>
        <v>41</v>
      </c>
      <c r="L79" s="13">
        <f t="shared" si="19"/>
        <v>33</v>
      </c>
      <c r="M79" s="13">
        <f t="shared" si="19"/>
        <v>24</v>
      </c>
      <c r="N79" s="13">
        <f t="shared" si="19"/>
        <v>16</v>
      </c>
      <c r="O79" s="13">
        <f t="shared" si="19"/>
        <v>31</v>
      </c>
      <c r="P79" s="13">
        <f t="shared" si="19"/>
        <v>16</v>
      </c>
      <c r="Q79" s="13">
        <f t="shared" si="19"/>
        <v>26</v>
      </c>
      <c r="R79" s="13">
        <f t="shared" si="19"/>
        <v>22</v>
      </c>
      <c r="S79" s="13">
        <f t="shared" si="19"/>
        <v>9</v>
      </c>
      <c r="T79" s="13">
        <f t="shared" si="19"/>
        <v>12</v>
      </c>
      <c r="U79" s="13">
        <f t="shared" si="19"/>
        <v>4</v>
      </c>
      <c r="V79" s="13">
        <f t="shared" si="19"/>
        <v>98</v>
      </c>
      <c r="W79" s="13">
        <f t="shared" si="19"/>
        <v>93</v>
      </c>
      <c r="X79" s="13">
        <f t="shared" si="19"/>
        <v>51</v>
      </c>
      <c r="Y79" s="13">
        <f t="shared" si="19"/>
        <v>22</v>
      </c>
      <c r="Z79" s="13">
        <f t="shared" si="19"/>
        <v>36</v>
      </c>
      <c r="AA79" s="13">
        <f t="shared" si="19"/>
        <v>38</v>
      </c>
      <c r="AB79" s="13">
        <f t="shared" si="19"/>
        <v>128</v>
      </c>
      <c r="AC79" s="13">
        <f t="shared" si="19"/>
        <v>19</v>
      </c>
      <c r="AD79" s="13">
        <f t="shared" si="19"/>
        <v>34</v>
      </c>
      <c r="AE79" s="13">
        <f t="shared" si="19"/>
        <v>48</v>
      </c>
      <c r="AF79" s="13">
        <f t="shared" si="19"/>
        <v>28</v>
      </c>
      <c r="AG79" s="13">
        <f t="shared" si="19"/>
        <v>44</v>
      </c>
      <c r="AH79" s="13">
        <f t="shared" si="19"/>
        <v>34</v>
      </c>
      <c r="AI79" s="13">
        <f t="shared" si="19"/>
        <v>35</v>
      </c>
      <c r="AJ79" s="13">
        <f t="shared" si="19"/>
        <v>60</v>
      </c>
      <c r="AK79" s="13">
        <f>SUM(E79:AJ79)</f>
        <v>1082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3.0</v>
      </c>
      <c r="G81" s="19">
        <v>1.0</v>
      </c>
      <c r="H81" s="19">
        <v>3.0</v>
      </c>
      <c r="I81" s="19">
        <v>3.0</v>
      </c>
      <c r="J81" s="19">
        <v>4.0</v>
      </c>
      <c r="K81" s="19">
        <v>9.0</v>
      </c>
      <c r="L81" s="19">
        <v>0.0</v>
      </c>
      <c r="M81" s="19">
        <v>2.0</v>
      </c>
      <c r="N81" s="19">
        <v>0.0</v>
      </c>
      <c r="O81" s="19">
        <v>4.0</v>
      </c>
      <c r="P81" s="19">
        <v>7.0</v>
      </c>
      <c r="Q81" s="19">
        <v>5.0</v>
      </c>
      <c r="R81" s="19">
        <v>5.0</v>
      </c>
      <c r="S81" s="19">
        <v>1.0</v>
      </c>
      <c r="T81" s="19">
        <v>1.0</v>
      </c>
      <c r="U81" s="19">
        <v>1.0</v>
      </c>
      <c r="V81" s="19">
        <v>1.0</v>
      </c>
      <c r="W81" s="19">
        <v>4.0</v>
      </c>
      <c r="X81" s="19">
        <v>0.0</v>
      </c>
      <c r="Y81" s="19">
        <v>14.0</v>
      </c>
      <c r="Z81" s="19">
        <v>9.0</v>
      </c>
      <c r="AA81" s="19">
        <v>7.0</v>
      </c>
      <c r="AB81" s="19">
        <v>2.0</v>
      </c>
      <c r="AC81" s="19">
        <v>4.0</v>
      </c>
      <c r="AD81" s="19">
        <v>7.0</v>
      </c>
      <c r="AE81" s="19">
        <v>3.0</v>
      </c>
      <c r="AF81" s="19">
        <v>1.0</v>
      </c>
      <c r="AG81" s="19">
        <v>3.0</v>
      </c>
      <c r="AH81" s="19">
        <v>3.0</v>
      </c>
      <c r="AI81" s="19">
        <v>1.0</v>
      </c>
      <c r="AJ81" s="19">
        <v>1.0</v>
      </c>
      <c r="AK81" s="13">
        <f t="shared" ref="AK81:AK88" si="20">SUM(E81:AJ81)</f>
        <v>115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10.0</v>
      </c>
      <c r="F82" s="19">
        <v>5.0</v>
      </c>
      <c r="G82" s="19">
        <v>7.0</v>
      </c>
      <c r="H82" s="19">
        <v>64.0</v>
      </c>
      <c r="I82" s="19">
        <v>8.0</v>
      </c>
      <c r="J82" s="19">
        <v>3.0</v>
      </c>
      <c r="K82" s="19">
        <v>9.0</v>
      </c>
      <c r="L82" s="19">
        <v>4.0</v>
      </c>
      <c r="M82" s="19">
        <v>2.0</v>
      </c>
      <c r="N82" s="19">
        <v>0.0</v>
      </c>
      <c r="O82" s="19">
        <v>2.0</v>
      </c>
      <c r="P82" s="19">
        <v>5.0</v>
      </c>
      <c r="Q82" s="19">
        <v>4.0</v>
      </c>
      <c r="R82" s="19">
        <v>3.0</v>
      </c>
      <c r="S82" s="19">
        <v>1.0</v>
      </c>
      <c r="T82" s="19">
        <v>7.0</v>
      </c>
      <c r="U82" s="19">
        <v>1.0</v>
      </c>
      <c r="V82" s="19">
        <v>3.0</v>
      </c>
      <c r="W82" s="19">
        <v>2.0</v>
      </c>
      <c r="X82" s="19">
        <v>12.0</v>
      </c>
      <c r="Y82" s="19">
        <v>12.0</v>
      </c>
      <c r="Z82" s="19">
        <v>5.0</v>
      </c>
      <c r="AA82" s="19">
        <v>9.0</v>
      </c>
      <c r="AB82" s="19">
        <v>2.0</v>
      </c>
      <c r="AC82" s="19">
        <v>9.0</v>
      </c>
      <c r="AD82" s="19">
        <v>65.0</v>
      </c>
      <c r="AE82" s="19">
        <v>34.0</v>
      </c>
      <c r="AF82" s="19">
        <v>15.0</v>
      </c>
      <c r="AG82" s="19">
        <v>15.0</v>
      </c>
      <c r="AH82" s="19">
        <v>9.0</v>
      </c>
      <c r="AI82" s="19">
        <v>2.0</v>
      </c>
      <c r="AJ82" s="19">
        <v>1.0</v>
      </c>
      <c r="AK82" s="13">
        <f t="shared" si="20"/>
        <v>330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8.0</v>
      </c>
      <c r="G83" s="19">
        <v>3.0</v>
      </c>
      <c r="H83" s="19">
        <v>4.0</v>
      </c>
      <c r="I83" s="19">
        <v>0.0</v>
      </c>
      <c r="J83" s="19">
        <v>6.0</v>
      </c>
      <c r="K83" s="19">
        <v>4.0</v>
      </c>
      <c r="L83" s="19">
        <v>4.0</v>
      </c>
      <c r="M83" s="19">
        <v>3.0</v>
      </c>
      <c r="N83" s="19">
        <v>2.0</v>
      </c>
      <c r="O83" s="19">
        <v>19.0</v>
      </c>
      <c r="P83" s="19">
        <v>43.0</v>
      </c>
      <c r="Q83" s="19">
        <v>24.0</v>
      </c>
      <c r="R83" s="19">
        <v>7.0</v>
      </c>
      <c r="S83" s="19">
        <v>4.0</v>
      </c>
      <c r="T83" s="19">
        <v>10.0</v>
      </c>
      <c r="U83" s="19">
        <v>0.0</v>
      </c>
      <c r="V83" s="19">
        <v>7.0</v>
      </c>
      <c r="W83" s="19">
        <v>6.0</v>
      </c>
      <c r="X83" s="19">
        <v>2.0</v>
      </c>
      <c r="Y83" s="19">
        <v>3.0</v>
      </c>
      <c r="Z83" s="19">
        <v>0.0</v>
      </c>
      <c r="AA83" s="19">
        <v>0.0</v>
      </c>
      <c r="AB83" s="19">
        <v>0.0</v>
      </c>
      <c r="AC83" s="19">
        <v>4.0</v>
      </c>
      <c r="AD83" s="19">
        <v>1.0</v>
      </c>
      <c r="AE83" s="19">
        <v>1.0</v>
      </c>
      <c r="AF83" s="19">
        <v>1.0</v>
      </c>
      <c r="AG83" s="19">
        <v>6.0</v>
      </c>
      <c r="AH83" s="19">
        <v>4.0</v>
      </c>
      <c r="AI83" s="19">
        <v>3.0</v>
      </c>
      <c r="AJ83" s="19">
        <v>3.0</v>
      </c>
      <c r="AK83" s="13">
        <f t="shared" si="20"/>
        <v>183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0.0</v>
      </c>
      <c r="G84" s="19">
        <v>2.0</v>
      </c>
      <c r="H84" s="19">
        <v>0.0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1.0</v>
      </c>
      <c r="O84" s="19">
        <v>0.0</v>
      </c>
      <c r="P84" s="19">
        <v>1.0</v>
      </c>
      <c r="Q84" s="19">
        <v>0.0</v>
      </c>
      <c r="R84" s="19">
        <v>2.0</v>
      </c>
      <c r="S84" s="19">
        <v>0.0</v>
      </c>
      <c r="T84" s="19">
        <v>0.0</v>
      </c>
      <c r="U84" s="19">
        <v>1.0</v>
      </c>
      <c r="V84" s="19">
        <v>0.0</v>
      </c>
      <c r="W84" s="19">
        <v>0.0</v>
      </c>
      <c r="X84" s="19">
        <v>1.0</v>
      </c>
      <c r="Y84" s="19">
        <v>1.0</v>
      </c>
      <c r="Z84" s="19">
        <v>1.0</v>
      </c>
      <c r="AA84" s="19">
        <v>0.0</v>
      </c>
      <c r="AB84" s="19">
        <v>0.0</v>
      </c>
      <c r="AC84" s="19">
        <v>0.0</v>
      </c>
      <c r="AD84" s="19">
        <v>0.0</v>
      </c>
      <c r="AE84" s="19">
        <v>1.0</v>
      </c>
      <c r="AF84" s="19">
        <v>1.0</v>
      </c>
      <c r="AG84" s="19">
        <v>1.0</v>
      </c>
      <c r="AH84" s="19">
        <v>0.0</v>
      </c>
      <c r="AI84" s="19">
        <v>0.0</v>
      </c>
      <c r="AJ84" s="19">
        <v>1.0</v>
      </c>
      <c r="AK84" s="13">
        <f t="shared" si="20"/>
        <v>17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1.0</v>
      </c>
      <c r="I85" s="19">
        <v>0.0</v>
      </c>
      <c r="J85" s="19">
        <v>2.0</v>
      </c>
      <c r="K85" s="19">
        <v>0.0</v>
      </c>
      <c r="L85" s="19">
        <v>0.0</v>
      </c>
      <c r="M85" s="19">
        <v>0.0</v>
      </c>
      <c r="N85" s="19">
        <v>0.0</v>
      </c>
      <c r="O85" s="19">
        <v>3.0</v>
      </c>
      <c r="P85" s="19">
        <v>0.0</v>
      </c>
      <c r="Q85" s="19">
        <v>0.0</v>
      </c>
      <c r="R85" s="19">
        <v>0.0</v>
      </c>
      <c r="S85" s="19">
        <v>0.0</v>
      </c>
      <c r="T85" s="19">
        <v>1.0</v>
      </c>
      <c r="U85" s="19">
        <v>0.0</v>
      </c>
      <c r="V85" s="19">
        <v>0.0</v>
      </c>
      <c r="W85" s="19">
        <v>0.0</v>
      </c>
      <c r="X85" s="19">
        <v>2.0</v>
      </c>
      <c r="Y85" s="19">
        <v>1.0</v>
      </c>
      <c r="Z85" s="19">
        <v>1.0</v>
      </c>
      <c r="AA85" s="19">
        <v>1.0</v>
      </c>
      <c r="AB85" s="19">
        <v>0.0</v>
      </c>
      <c r="AC85" s="19">
        <v>2.0</v>
      </c>
      <c r="AD85" s="19">
        <v>2.0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3">
        <f t="shared" si="20"/>
        <v>17</v>
      </c>
    </row>
    <row r="86" ht="12.75" customHeight="1">
      <c r="A86" s="18"/>
      <c r="B86" s="55">
        <v>5.0</v>
      </c>
      <c r="C86" s="50" t="s">
        <v>69</v>
      </c>
      <c r="D86" s="57"/>
      <c r="E86" s="19">
        <v>4.0</v>
      </c>
      <c r="F86" s="19">
        <v>0.0</v>
      </c>
      <c r="G86" s="19">
        <v>1.0</v>
      </c>
      <c r="H86" s="19">
        <v>6.0</v>
      </c>
      <c r="I86" s="19">
        <v>2.0</v>
      </c>
      <c r="J86" s="19">
        <v>1.0</v>
      </c>
      <c r="K86" s="19">
        <v>7.0</v>
      </c>
      <c r="L86" s="19">
        <v>0.0</v>
      </c>
      <c r="M86" s="19">
        <v>0.0</v>
      </c>
      <c r="N86" s="19">
        <v>0.0</v>
      </c>
      <c r="O86" s="19">
        <v>0.0</v>
      </c>
      <c r="P86" s="19">
        <v>3.0</v>
      </c>
      <c r="Q86" s="19">
        <v>5.0</v>
      </c>
      <c r="R86" s="19">
        <v>3.0</v>
      </c>
      <c r="S86" s="19">
        <v>1.0</v>
      </c>
      <c r="T86" s="19">
        <v>3.0</v>
      </c>
      <c r="U86" s="19">
        <v>0.0</v>
      </c>
      <c r="V86" s="19">
        <v>6.0</v>
      </c>
      <c r="W86" s="19">
        <v>1.0</v>
      </c>
      <c r="X86" s="19">
        <v>15.0</v>
      </c>
      <c r="Y86" s="19">
        <v>23.0</v>
      </c>
      <c r="Z86" s="19">
        <v>15.0</v>
      </c>
      <c r="AA86" s="19">
        <v>3.0</v>
      </c>
      <c r="AB86" s="19">
        <v>3.0</v>
      </c>
      <c r="AC86" s="19">
        <v>2.0</v>
      </c>
      <c r="AD86" s="19">
        <v>1.0</v>
      </c>
      <c r="AE86" s="19">
        <v>1.0</v>
      </c>
      <c r="AF86" s="19">
        <v>6.0</v>
      </c>
      <c r="AG86" s="19">
        <v>27.0</v>
      </c>
      <c r="AH86" s="19">
        <v>12.0</v>
      </c>
      <c r="AI86" s="19">
        <v>1.0</v>
      </c>
      <c r="AJ86" s="19">
        <v>0.0</v>
      </c>
      <c r="AK86" s="13">
        <f t="shared" si="20"/>
        <v>152</v>
      </c>
    </row>
    <row r="87" ht="12.75" customHeight="1">
      <c r="A87" s="18"/>
      <c r="B87" s="55">
        <v>6.0</v>
      </c>
      <c r="C87" s="50" t="s">
        <v>70</v>
      </c>
      <c r="D87" s="57"/>
      <c r="E87" s="19">
        <v>1.0</v>
      </c>
      <c r="F87" s="19">
        <v>0.0</v>
      </c>
      <c r="G87" s="19">
        <v>1.0</v>
      </c>
      <c r="H87" s="19">
        <v>0.0</v>
      </c>
      <c r="I87" s="19">
        <v>0.0</v>
      </c>
      <c r="J87" s="19">
        <v>1.0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1.0</v>
      </c>
      <c r="AH87" s="19">
        <v>0.0</v>
      </c>
      <c r="AI87" s="19">
        <v>0.0</v>
      </c>
      <c r="AJ87" s="19">
        <v>0.0</v>
      </c>
      <c r="AK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1.0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1.0</v>
      </c>
      <c r="AH88" s="19">
        <v>0.0</v>
      </c>
      <c r="AI88" s="19">
        <v>3.0</v>
      </c>
      <c r="AJ88" s="19">
        <v>0.0</v>
      </c>
      <c r="AK88" s="13">
        <f t="shared" si="20"/>
        <v>6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J91" si="21">SUM(E81:E88)</f>
        <v>25</v>
      </c>
      <c r="F91" s="13">
        <f t="shared" si="21"/>
        <v>16</v>
      </c>
      <c r="G91" s="13">
        <f t="shared" si="21"/>
        <v>15</v>
      </c>
      <c r="H91" s="13">
        <f t="shared" si="21"/>
        <v>78</v>
      </c>
      <c r="I91" s="13">
        <f t="shared" si="21"/>
        <v>13</v>
      </c>
      <c r="J91" s="13">
        <f t="shared" si="21"/>
        <v>18</v>
      </c>
      <c r="K91" s="13">
        <f t="shared" si="21"/>
        <v>31</v>
      </c>
      <c r="L91" s="13">
        <f t="shared" si="21"/>
        <v>8</v>
      </c>
      <c r="M91" s="13">
        <f t="shared" si="21"/>
        <v>7</v>
      </c>
      <c r="N91" s="13">
        <f t="shared" si="21"/>
        <v>3</v>
      </c>
      <c r="O91" s="13">
        <f t="shared" si="21"/>
        <v>28</v>
      </c>
      <c r="P91" s="13">
        <f t="shared" si="21"/>
        <v>59</v>
      </c>
      <c r="Q91" s="13">
        <f t="shared" si="21"/>
        <v>38</v>
      </c>
      <c r="R91" s="13">
        <f t="shared" si="21"/>
        <v>20</v>
      </c>
      <c r="S91" s="13">
        <f t="shared" si="21"/>
        <v>7</v>
      </c>
      <c r="T91" s="13">
        <f t="shared" si="21"/>
        <v>22</v>
      </c>
      <c r="U91" s="13">
        <f t="shared" si="21"/>
        <v>3</v>
      </c>
      <c r="V91" s="13">
        <f t="shared" si="21"/>
        <v>17</v>
      </c>
      <c r="W91" s="13">
        <f t="shared" si="21"/>
        <v>13</v>
      </c>
      <c r="X91" s="13">
        <f t="shared" si="21"/>
        <v>32</v>
      </c>
      <c r="Y91" s="13">
        <f t="shared" si="21"/>
        <v>54</v>
      </c>
      <c r="Z91" s="13">
        <f t="shared" si="21"/>
        <v>31</v>
      </c>
      <c r="AA91" s="13">
        <f t="shared" si="21"/>
        <v>21</v>
      </c>
      <c r="AB91" s="13">
        <f t="shared" si="21"/>
        <v>7</v>
      </c>
      <c r="AC91" s="13">
        <f t="shared" si="21"/>
        <v>21</v>
      </c>
      <c r="AD91" s="13">
        <f t="shared" si="21"/>
        <v>76</v>
      </c>
      <c r="AE91" s="13">
        <f t="shared" si="21"/>
        <v>40</v>
      </c>
      <c r="AF91" s="13">
        <f t="shared" si="21"/>
        <v>24</v>
      </c>
      <c r="AG91" s="13">
        <f t="shared" si="21"/>
        <v>54</v>
      </c>
      <c r="AH91" s="13">
        <f t="shared" si="21"/>
        <v>28</v>
      </c>
      <c r="AI91" s="13">
        <f t="shared" si="21"/>
        <v>10</v>
      </c>
      <c r="AJ91" s="13">
        <f t="shared" si="21"/>
        <v>6</v>
      </c>
      <c r="AK91" s="13">
        <f>SUM(E91:AJ91)</f>
        <v>825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3.0</v>
      </c>
      <c r="H93" s="19">
        <v>0.0</v>
      </c>
      <c r="I93" s="19">
        <v>1.0</v>
      </c>
      <c r="J93" s="19">
        <v>2.0</v>
      </c>
      <c r="K93" s="19">
        <v>0.0</v>
      </c>
      <c r="L93" s="19">
        <v>0.0</v>
      </c>
      <c r="M93" s="19">
        <v>0.0</v>
      </c>
      <c r="N93" s="19">
        <v>0.0</v>
      </c>
      <c r="O93" s="19">
        <v>2.0</v>
      </c>
      <c r="P93" s="19">
        <v>4.0</v>
      </c>
      <c r="Q93" s="19">
        <v>4.0</v>
      </c>
      <c r="R93" s="19">
        <v>4.0</v>
      </c>
      <c r="S93" s="19">
        <v>1.0</v>
      </c>
      <c r="T93" s="19">
        <v>3.0</v>
      </c>
      <c r="U93" s="19">
        <v>0.0</v>
      </c>
      <c r="V93" s="19">
        <v>0.0</v>
      </c>
      <c r="W93" s="19">
        <v>3.0</v>
      </c>
      <c r="X93" s="19">
        <v>5.0</v>
      </c>
      <c r="Y93" s="19">
        <v>3.0</v>
      </c>
      <c r="Z93" s="19">
        <v>1.0</v>
      </c>
      <c r="AA93" s="19">
        <v>0.0</v>
      </c>
      <c r="AB93" s="19">
        <v>0.0</v>
      </c>
      <c r="AC93" s="19">
        <v>2.0</v>
      </c>
      <c r="AD93" s="19">
        <v>0.0</v>
      </c>
      <c r="AE93" s="19">
        <v>7.0</v>
      </c>
      <c r="AF93" s="19">
        <v>5.0</v>
      </c>
      <c r="AG93" s="19">
        <v>2.0</v>
      </c>
      <c r="AH93" s="19">
        <v>0.0</v>
      </c>
      <c r="AI93" s="19">
        <v>3.0</v>
      </c>
      <c r="AJ93" s="19">
        <v>0.0</v>
      </c>
      <c r="AK93" s="13">
        <f t="shared" ref="AK93:AK100" si="22">SUM(E93:AJ93)</f>
        <v>55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1.0</v>
      </c>
      <c r="G94" s="19">
        <v>0.0</v>
      </c>
      <c r="H94" s="19">
        <v>0.0</v>
      </c>
      <c r="I94" s="19">
        <v>0.0</v>
      </c>
      <c r="J94" s="19">
        <v>1.0</v>
      </c>
      <c r="K94" s="19">
        <v>0.0</v>
      </c>
      <c r="L94" s="19">
        <v>2.0</v>
      </c>
      <c r="M94" s="19">
        <v>1.0</v>
      </c>
      <c r="N94" s="19">
        <v>1.0</v>
      </c>
      <c r="O94" s="19">
        <v>0.0</v>
      </c>
      <c r="P94" s="19">
        <v>3.0</v>
      </c>
      <c r="Q94" s="19">
        <v>5.0</v>
      </c>
      <c r="R94" s="19">
        <v>2.0</v>
      </c>
      <c r="S94" s="19">
        <v>2.0</v>
      </c>
      <c r="T94" s="19">
        <v>4.0</v>
      </c>
      <c r="U94" s="19">
        <v>2.0</v>
      </c>
      <c r="V94" s="19">
        <v>1.0</v>
      </c>
      <c r="W94" s="19">
        <v>0.0</v>
      </c>
      <c r="X94" s="19">
        <v>0.0</v>
      </c>
      <c r="Y94" s="19">
        <v>1.0</v>
      </c>
      <c r="Z94" s="19">
        <v>1.0</v>
      </c>
      <c r="AA94" s="19">
        <v>1.0</v>
      </c>
      <c r="AB94" s="19">
        <v>0.0</v>
      </c>
      <c r="AC94" s="19">
        <v>2.0</v>
      </c>
      <c r="AD94" s="19">
        <v>0.0</v>
      </c>
      <c r="AE94" s="19">
        <v>4.0</v>
      </c>
      <c r="AF94" s="19">
        <v>5.0</v>
      </c>
      <c r="AG94" s="19">
        <v>1.0</v>
      </c>
      <c r="AH94" s="19">
        <v>0.0</v>
      </c>
      <c r="AI94" s="19">
        <v>0.0</v>
      </c>
      <c r="AJ94" s="19">
        <v>1.0</v>
      </c>
      <c r="AK94" s="13">
        <f t="shared" si="22"/>
        <v>41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4.0</v>
      </c>
      <c r="Q95" s="19">
        <v>1.0</v>
      </c>
      <c r="R95" s="19">
        <v>2.0</v>
      </c>
      <c r="S95" s="19">
        <v>6.0</v>
      </c>
      <c r="T95" s="19">
        <v>3.0</v>
      </c>
      <c r="U95" s="19">
        <v>1.0</v>
      </c>
      <c r="V95" s="19">
        <v>0.0</v>
      </c>
      <c r="W95" s="19">
        <v>2.0</v>
      </c>
      <c r="X95" s="19">
        <v>2.0</v>
      </c>
      <c r="Y95" s="19">
        <v>2.0</v>
      </c>
      <c r="Z95" s="19">
        <v>0.0</v>
      </c>
      <c r="AA95" s="19">
        <v>1.0</v>
      </c>
      <c r="AB95" s="19">
        <v>4.0</v>
      </c>
      <c r="AC95" s="19">
        <v>4.0</v>
      </c>
      <c r="AD95" s="19">
        <v>2.0</v>
      </c>
      <c r="AE95" s="19">
        <v>4.0</v>
      </c>
      <c r="AF95" s="19">
        <v>7.0</v>
      </c>
      <c r="AG95" s="19">
        <v>0.0</v>
      </c>
      <c r="AH95" s="19">
        <v>0.0</v>
      </c>
      <c r="AI95" s="19">
        <v>5.0</v>
      </c>
      <c r="AJ95" s="19">
        <v>2.0</v>
      </c>
      <c r="AK95" s="13">
        <f t="shared" si="22"/>
        <v>53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1.0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1.0</v>
      </c>
      <c r="AG96" s="19">
        <v>0.0</v>
      </c>
      <c r="AH96" s="19">
        <v>1.0</v>
      </c>
      <c r="AI96" s="19">
        <v>1.0</v>
      </c>
      <c r="AJ96" s="19">
        <v>0.0</v>
      </c>
      <c r="AK96" s="13">
        <f t="shared" si="22"/>
        <v>6</v>
      </c>
    </row>
    <row r="97" ht="12.75" customHeight="1">
      <c r="A97" s="18"/>
      <c r="B97" s="55">
        <v>4.0</v>
      </c>
      <c r="C97" s="50" t="s">
        <v>77</v>
      </c>
      <c r="D97" s="57"/>
      <c r="E97" s="19">
        <v>6.0</v>
      </c>
      <c r="F97" s="19">
        <v>5.0</v>
      </c>
      <c r="G97" s="19">
        <v>11.0</v>
      </c>
      <c r="H97" s="19">
        <v>17.0</v>
      </c>
      <c r="I97" s="19">
        <v>8.0</v>
      </c>
      <c r="J97" s="19">
        <v>2.0</v>
      </c>
      <c r="K97" s="19">
        <v>4.0</v>
      </c>
      <c r="L97" s="19">
        <v>2.0</v>
      </c>
      <c r="M97" s="19">
        <v>0.0</v>
      </c>
      <c r="N97" s="19">
        <v>1.0</v>
      </c>
      <c r="O97" s="19">
        <v>0.0</v>
      </c>
      <c r="P97" s="19">
        <v>1.0</v>
      </c>
      <c r="Q97" s="19">
        <v>2.0</v>
      </c>
      <c r="R97" s="19">
        <v>3.0</v>
      </c>
      <c r="S97" s="19">
        <v>5.0</v>
      </c>
      <c r="T97" s="19">
        <v>3.0</v>
      </c>
      <c r="U97" s="19">
        <v>0.0</v>
      </c>
      <c r="V97" s="19">
        <v>0.0</v>
      </c>
      <c r="W97" s="19">
        <v>21.0</v>
      </c>
      <c r="X97" s="19">
        <v>8.0</v>
      </c>
      <c r="Y97" s="19">
        <v>1.0</v>
      </c>
      <c r="Z97" s="19">
        <v>3.0</v>
      </c>
      <c r="AA97" s="19">
        <v>1.0</v>
      </c>
      <c r="AB97" s="19">
        <v>2.0</v>
      </c>
      <c r="AC97" s="19">
        <v>3.0</v>
      </c>
      <c r="AD97" s="19">
        <v>0.0</v>
      </c>
      <c r="AE97" s="19">
        <v>6.0</v>
      </c>
      <c r="AF97" s="19">
        <v>5.0</v>
      </c>
      <c r="AG97" s="19">
        <v>3.0</v>
      </c>
      <c r="AH97" s="19">
        <v>4.0</v>
      </c>
      <c r="AI97" s="19">
        <v>0.0</v>
      </c>
      <c r="AJ97" s="19">
        <v>1.0</v>
      </c>
      <c r="AK97" s="13">
        <f t="shared" si="22"/>
        <v>128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1.0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1.0</v>
      </c>
      <c r="AG98" s="19">
        <v>0.0</v>
      </c>
      <c r="AH98" s="19">
        <v>1.0</v>
      </c>
      <c r="AI98" s="19">
        <v>0.0</v>
      </c>
      <c r="AJ98" s="19">
        <v>0.0</v>
      </c>
      <c r="AK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1.0</v>
      </c>
      <c r="AK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1.0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3">
        <f t="shared" si="22"/>
        <v>2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J103" si="23">SUM(E93:E100)</f>
        <v>6</v>
      </c>
      <c r="F103" s="13">
        <f t="shared" si="23"/>
        <v>6</v>
      </c>
      <c r="G103" s="13">
        <f t="shared" si="23"/>
        <v>14</v>
      </c>
      <c r="H103" s="13">
        <f t="shared" si="23"/>
        <v>17</v>
      </c>
      <c r="I103" s="13">
        <f t="shared" si="23"/>
        <v>9</v>
      </c>
      <c r="J103" s="13">
        <f t="shared" si="23"/>
        <v>6</v>
      </c>
      <c r="K103" s="13">
        <f t="shared" si="23"/>
        <v>4</v>
      </c>
      <c r="L103" s="13">
        <f t="shared" si="23"/>
        <v>4</v>
      </c>
      <c r="M103" s="13">
        <f t="shared" si="23"/>
        <v>1</v>
      </c>
      <c r="N103" s="13">
        <f t="shared" si="23"/>
        <v>2</v>
      </c>
      <c r="O103" s="13">
        <f t="shared" si="23"/>
        <v>4</v>
      </c>
      <c r="P103" s="13">
        <f t="shared" si="23"/>
        <v>13</v>
      </c>
      <c r="Q103" s="13">
        <f t="shared" si="23"/>
        <v>13</v>
      </c>
      <c r="R103" s="13">
        <f t="shared" si="23"/>
        <v>11</v>
      </c>
      <c r="S103" s="13">
        <f t="shared" si="23"/>
        <v>15</v>
      </c>
      <c r="T103" s="13">
        <f t="shared" si="23"/>
        <v>14</v>
      </c>
      <c r="U103" s="13">
        <f t="shared" si="23"/>
        <v>3</v>
      </c>
      <c r="V103" s="13">
        <f t="shared" si="23"/>
        <v>1</v>
      </c>
      <c r="W103" s="13">
        <f t="shared" si="23"/>
        <v>26</v>
      </c>
      <c r="X103" s="13">
        <f t="shared" si="23"/>
        <v>15</v>
      </c>
      <c r="Y103" s="13">
        <f t="shared" si="23"/>
        <v>8</v>
      </c>
      <c r="Z103" s="13">
        <f t="shared" si="23"/>
        <v>5</v>
      </c>
      <c r="AA103" s="13">
        <f t="shared" si="23"/>
        <v>3</v>
      </c>
      <c r="AB103" s="13">
        <f t="shared" si="23"/>
        <v>6</v>
      </c>
      <c r="AC103" s="13">
        <f t="shared" si="23"/>
        <v>11</v>
      </c>
      <c r="AD103" s="13">
        <f t="shared" si="23"/>
        <v>2</v>
      </c>
      <c r="AE103" s="13">
        <f t="shared" si="23"/>
        <v>21</v>
      </c>
      <c r="AF103" s="13">
        <f t="shared" si="23"/>
        <v>24</v>
      </c>
      <c r="AG103" s="13">
        <f t="shared" si="23"/>
        <v>6</v>
      </c>
      <c r="AH103" s="13">
        <f t="shared" si="23"/>
        <v>6</v>
      </c>
      <c r="AI103" s="13">
        <f t="shared" si="23"/>
        <v>9</v>
      </c>
      <c r="AJ103" s="13">
        <f t="shared" si="23"/>
        <v>5</v>
      </c>
      <c r="AK103" s="13">
        <f>SUM(E103:AJ103)</f>
        <v>290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3.0</v>
      </c>
      <c r="U105" s="19">
        <v>3.0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1.0</v>
      </c>
      <c r="AF105" s="19">
        <v>0.0</v>
      </c>
      <c r="AG105" s="19">
        <v>1.0</v>
      </c>
      <c r="AH105" s="19">
        <v>1.0</v>
      </c>
      <c r="AI105" s="19">
        <v>0.0</v>
      </c>
      <c r="AJ105" s="19">
        <v>0.0</v>
      </c>
      <c r="AK105" s="13">
        <f t="shared" ref="AK105:AK112" si="24">SUM(E105:AJ105)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2.0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1.0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1.0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1.0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1.0</v>
      </c>
      <c r="AK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1.0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3">
        <f t="shared" si="24"/>
        <v>0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J115" si="25">SUM(E105:E112)</f>
        <v>0</v>
      </c>
      <c r="F115" s="13">
        <f t="shared" si="25"/>
        <v>2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7</v>
      </c>
      <c r="U115" s="13">
        <f t="shared" si="25"/>
        <v>4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1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0</v>
      </c>
      <c r="AJ115" s="13">
        <f t="shared" si="25"/>
        <v>1</v>
      </c>
      <c r="AK115" s="13">
        <f>SUM(E115:AJ115)</f>
        <v>24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AB116" s="76"/>
      <c r="AC116" s="76"/>
      <c r="AD116" s="76"/>
      <c r="AE116" s="76"/>
      <c r="A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1.0</v>
      </c>
      <c r="I117" s="19">
        <v>1.0</v>
      </c>
      <c r="J117" s="19">
        <v>1.0</v>
      </c>
      <c r="K117" s="19">
        <v>1.0</v>
      </c>
      <c r="L117" s="19">
        <v>0.0</v>
      </c>
      <c r="M117" s="19">
        <v>0.0</v>
      </c>
      <c r="N117" s="19">
        <v>0.0</v>
      </c>
      <c r="O117" s="19">
        <v>0.0</v>
      </c>
      <c r="P117" s="19">
        <v>3.0</v>
      </c>
      <c r="Q117" s="19">
        <v>1.0</v>
      </c>
      <c r="R117" s="19">
        <v>0.0</v>
      </c>
      <c r="S117" s="19">
        <v>0.0</v>
      </c>
      <c r="T117" s="19">
        <v>0.0</v>
      </c>
      <c r="U117" s="19">
        <v>0.0</v>
      </c>
      <c r="V117" s="19">
        <v>2.0</v>
      </c>
      <c r="W117" s="19">
        <v>1.0</v>
      </c>
      <c r="X117" s="19">
        <v>1.0</v>
      </c>
      <c r="Y117" s="19">
        <v>1.0</v>
      </c>
      <c r="Z117" s="19">
        <v>0.0</v>
      </c>
      <c r="AA117" s="19">
        <v>3.0</v>
      </c>
      <c r="AB117" s="19">
        <v>1.0</v>
      </c>
      <c r="AC117" s="19">
        <v>0.0</v>
      </c>
      <c r="AD117" s="19">
        <v>0.0</v>
      </c>
      <c r="AE117" s="19">
        <v>0.0</v>
      </c>
      <c r="AF117" s="19">
        <v>3.0</v>
      </c>
      <c r="AG117" s="19">
        <v>2.0</v>
      </c>
      <c r="AH117" s="19">
        <v>2.0</v>
      </c>
      <c r="AI117" s="19">
        <v>0.0</v>
      </c>
      <c r="AJ117" s="19">
        <v>2.0</v>
      </c>
      <c r="AK117" s="13">
        <f t="shared" ref="AK117:AK120" si="26">SUM(E117:AJ117)</f>
        <v>26</v>
      </c>
      <c r="AL117" s="5"/>
      <c r="A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1.0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0.0</v>
      </c>
      <c r="X118" s="19">
        <v>1.0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1.0</v>
      </c>
      <c r="AI118" s="19">
        <v>0.0</v>
      </c>
      <c r="AJ118" s="19">
        <v>0.0</v>
      </c>
      <c r="AK118" s="13">
        <f t="shared" si="26"/>
        <v>8</v>
      </c>
      <c r="AL118" s="5"/>
      <c r="AM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2.0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0.0</v>
      </c>
      <c r="AB119" s="19">
        <v>1.0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1.0</v>
      </c>
      <c r="AK119" s="13">
        <f t="shared" si="26"/>
        <v>5</v>
      </c>
      <c r="AL119" s="5"/>
      <c r="AM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1.0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3">
        <f t="shared" si="26"/>
        <v>1</v>
      </c>
      <c r="AL120" s="5"/>
      <c r="AM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74"/>
      <c r="AL121" s="5"/>
      <c r="AM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74"/>
      <c r="AL122" s="5"/>
      <c r="AM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74"/>
      <c r="AL123" s="5"/>
      <c r="AM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74"/>
      <c r="AL124" s="5"/>
      <c r="AM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74"/>
      <c r="AL125" s="5"/>
      <c r="AM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74"/>
      <c r="AL126" s="5"/>
      <c r="AM126" s="5"/>
    </row>
    <row r="127" ht="12.75" customHeight="1">
      <c r="A127" s="19" t="s">
        <v>15</v>
      </c>
      <c r="B127" s="47" t="s">
        <v>47</v>
      </c>
      <c r="C127" s="15"/>
      <c r="D127" s="16"/>
      <c r="E127" s="58">
        <f t="shared" ref="E127:AJ127" si="27">SUM(E117:E120)</f>
        <v>0</v>
      </c>
      <c r="F127" s="58">
        <f t="shared" si="27"/>
        <v>1</v>
      </c>
      <c r="G127" s="58">
        <f t="shared" si="27"/>
        <v>0</v>
      </c>
      <c r="H127" s="58">
        <f t="shared" si="27"/>
        <v>1</v>
      </c>
      <c r="I127" s="58">
        <f t="shared" si="27"/>
        <v>1</v>
      </c>
      <c r="J127" s="58">
        <f t="shared" si="27"/>
        <v>1</v>
      </c>
      <c r="K127" s="58">
        <f t="shared" si="27"/>
        <v>1</v>
      </c>
      <c r="L127" s="58">
        <f t="shared" si="27"/>
        <v>0</v>
      </c>
      <c r="M127" s="58">
        <f t="shared" si="27"/>
        <v>0</v>
      </c>
      <c r="N127" s="58">
        <f t="shared" si="27"/>
        <v>0</v>
      </c>
      <c r="O127" s="58">
        <f t="shared" si="27"/>
        <v>0</v>
      </c>
      <c r="P127" s="58">
        <f t="shared" si="27"/>
        <v>6</v>
      </c>
      <c r="Q127" s="58">
        <f t="shared" si="27"/>
        <v>2</v>
      </c>
      <c r="R127" s="58">
        <f t="shared" si="27"/>
        <v>0</v>
      </c>
      <c r="S127" s="58">
        <f t="shared" si="27"/>
        <v>0</v>
      </c>
      <c r="T127" s="58">
        <f t="shared" si="27"/>
        <v>0</v>
      </c>
      <c r="U127" s="58">
        <f t="shared" si="27"/>
        <v>1</v>
      </c>
      <c r="V127" s="58">
        <f t="shared" si="27"/>
        <v>2</v>
      </c>
      <c r="W127" s="58">
        <f t="shared" si="27"/>
        <v>1</v>
      </c>
      <c r="X127" s="58">
        <f t="shared" si="27"/>
        <v>3</v>
      </c>
      <c r="Y127" s="58">
        <f t="shared" si="27"/>
        <v>2</v>
      </c>
      <c r="Z127" s="58">
        <f t="shared" si="27"/>
        <v>1</v>
      </c>
      <c r="AA127" s="58">
        <f t="shared" si="27"/>
        <v>3</v>
      </c>
      <c r="AB127" s="58">
        <f t="shared" si="27"/>
        <v>2</v>
      </c>
      <c r="AC127" s="58">
        <f t="shared" si="27"/>
        <v>0</v>
      </c>
      <c r="AD127" s="58">
        <f t="shared" si="27"/>
        <v>0</v>
      </c>
      <c r="AE127" s="58">
        <f t="shared" si="27"/>
        <v>1</v>
      </c>
      <c r="AF127" s="58">
        <f t="shared" si="27"/>
        <v>3</v>
      </c>
      <c r="AG127" s="58">
        <f t="shared" si="27"/>
        <v>2</v>
      </c>
      <c r="AH127" s="58">
        <f t="shared" si="27"/>
        <v>3</v>
      </c>
      <c r="AI127" s="58">
        <f t="shared" si="27"/>
        <v>0</v>
      </c>
      <c r="AJ127" s="58">
        <f t="shared" si="27"/>
        <v>3</v>
      </c>
      <c r="AK127" s="13">
        <f>SUM(E127:AJ127)</f>
        <v>40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5"/>
      <c r="A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4.0</v>
      </c>
      <c r="I129" s="19">
        <v>2.0</v>
      </c>
      <c r="J129" s="19">
        <v>0.0</v>
      </c>
      <c r="K129" s="19">
        <v>1.0</v>
      </c>
      <c r="L129" s="19">
        <v>3.0</v>
      </c>
      <c r="M129" s="19">
        <v>1.0</v>
      </c>
      <c r="N129" s="19">
        <v>0.0</v>
      </c>
      <c r="O129" s="19">
        <v>0.0</v>
      </c>
      <c r="P129" s="19">
        <v>1.0</v>
      </c>
      <c r="Q129" s="19">
        <v>1.0</v>
      </c>
      <c r="R129" s="19">
        <v>1.0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1.0</v>
      </c>
      <c r="AD129" s="19">
        <v>2.0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9">
        <v>0.0</v>
      </c>
      <c r="AK129" s="13">
        <f t="shared" ref="AK129:AK136" si="28">SUM(E129:AJ129)</f>
        <v>19</v>
      </c>
      <c r="AL129" s="5"/>
      <c r="A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6.0</v>
      </c>
      <c r="F130" s="19">
        <v>2.0</v>
      </c>
      <c r="G130" s="19">
        <v>4.0</v>
      </c>
      <c r="H130" s="19">
        <v>1.0</v>
      </c>
      <c r="I130" s="19">
        <v>4.0</v>
      </c>
      <c r="J130" s="19">
        <v>1.0</v>
      </c>
      <c r="K130" s="19">
        <v>2.0</v>
      </c>
      <c r="L130" s="19">
        <v>6.0</v>
      </c>
      <c r="M130" s="19">
        <v>0.0</v>
      </c>
      <c r="N130" s="19">
        <v>1.0</v>
      </c>
      <c r="O130" s="19">
        <v>0.0</v>
      </c>
      <c r="P130" s="19">
        <v>0.0</v>
      </c>
      <c r="Q130" s="19">
        <v>0.0</v>
      </c>
      <c r="R130" s="19">
        <v>1.0</v>
      </c>
      <c r="S130" s="19">
        <v>0.0</v>
      </c>
      <c r="T130" s="19">
        <v>4.0</v>
      </c>
      <c r="U130" s="19">
        <v>1.0</v>
      </c>
      <c r="V130" s="19">
        <v>0.0</v>
      </c>
      <c r="W130" s="19">
        <v>0.0</v>
      </c>
      <c r="X130" s="19">
        <v>0.0</v>
      </c>
      <c r="Y130" s="19">
        <v>2.0</v>
      </c>
      <c r="Z130" s="19">
        <v>0.0</v>
      </c>
      <c r="AA130" s="19">
        <v>1.0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3">
        <f t="shared" si="28"/>
        <v>36</v>
      </c>
      <c r="AL130" s="1"/>
      <c r="AM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2.0</v>
      </c>
      <c r="I131" s="19">
        <v>0.0</v>
      </c>
      <c r="J131" s="19">
        <v>0.0</v>
      </c>
      <c r="K131" s="19">
        <v>2.0</v>
      </c>
      <c r="L131" s="19">
        <v>2.0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1.0</v>
      </c>
      <c r="AJ131" s="19">
        <v>0.0</v>
      </c>
      <c r="AK131" s="13">
        <f t="shared" si="28"/>
        <v>9</v>
      </c>
      <c r="AL131" s="52"/>
      <c r="AM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1.0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3">
        <f t="shared" si="28"/>
        <v>3</v>
      </c>
      <c r="AL132" s="5"/>
      <c r="AM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3">
        <f t="shared" si="28"/>
        <v>0</v>
      </c>
      <c r="AL133" s="5"/>
      <c r="AM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3">
        <f t="shared" si="28"/>
        <v>0</v>
      </c>
      <c r="AL134" s="5"/>
      <c r="AM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3">
        <f t="shared" si="28"/>
        <v>1</v>
      </c>
      <c r="AL135" s="5"/>
      <c r="AM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1.0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3">
        <f t="shared" si="28"/>
        <v>1</v>
      </c>
      <c r="AL136" s="5"/>
      <c r="AM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74"/>
      <c r="AL137" s="5"/>
      <c r="AM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74"/>
      <c r="AL138" s="5"/>
      <c r="AM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J139" si="29">SUM(E129:E136)</f>
        <v>7</v>
      </c>
      <c r="F139" s="13">
        <f t="shared" si="29"/>
        <v>2</v>
      </c>
      <c r="G139" s="13">
        <f t="shared" si="29"/>
        <v>7</v>
      </c>
      <c r="H139" s="13">
        <f t="shared" si="29"/>
        <v>8</v>
      </c>
      <c r="I139" s="13">
        <f t="shared" si="29"/>
        <v>6</v>
      </c>
      <c r="J139" s="13">
        <f t="shared" si="29"/>
        <v>1</v>
      </c>
      <c r="K139" s="13">
        <f t="shared" si="29"/>
        <v>6</v>
      </c>
      <c r="L139" s="13">
        <f t="shared" si="29"/>
        <v>11</v>
      </c>
      <c r="M139" s="13">
        <f t="shared" si="29"/>
        <v>1</v>
      </c>
      <c r="N139" s="13">
        <f t="shared" si="29"/>
        <v>1</v>
      </c>
      <c r="O139" s="13">
        <f t="shared" si="29"/>
        <v>1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0</v>
      </c>
      <c r="T139" s="13">
        <f t="shared" si="29"/>
        <v>4</v>
      </c>
      <c r="U139" s="13">
        <f t="shared" si="29"/>
        <v>1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2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1</v>
      </c>
      <c r="AD139" s="13">
        <f t="shared" si="29"/>
        <v>4</v>
      </c>
      <c r="AE139" s="13">
        <f t="shared" si="29"/>
        <v>0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1</v>
      </c>
      <c r="AJ139" s="13">
        <f t="shared" si="29"/>
        <v>0</v>
      </c>
      <c r="AK139" s="13">
        <f>SUM(E139:AJ139)</f>
        <v>69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5"/>
      <c r="A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1.0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1.0</v>
      </c>
      <c r="AG141" s="19">
        <v>0.0</v>
      </c>
      <c r="AH141" s="19">
        <v>0.0</v>
      </c>
      <c r="AI141" s="19">
        <v>0.0</v>
      </c>
      <c r="AJ141" s="19">
        <v>0.0</v>
      </c>
      <c r="AK141" s="13">
        <f t="shared" ref="AK141:AK148" si="30">SUM(E141:AJ141)</f>
        <v>4</v>
      </c>
      <c r="AL141" s="1"/>
      <c r="A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1.0</v>
      </c>
      <c r="AJ142" s="19">
        <v>0.0</v>
      </c>
      <c r="AK142" s="13">
        <f t="shared" si="30"/>
        <v>1</v>
      </c>
      <c r="AL142" s="52"/>
      <c r="AM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1.0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3">
        <f t="shared" si="30"/>
        <v>1</v>
      </c>
      <c r="AL143" s="5"/>
      <c r="AM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3">
        <f t="shared" si="30"/>
        <v>0</v>
      </c>
      <c r="AL145" s="5"/>
      <c r="AM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3">
        <f t="shared" si="30"/>
        <v>0</v>
      </c>
      <c r="AL146" s="5"/>
      <c r="AM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3">
        <f t="shared" si="30"/>
        <v>0</v>
      </c>
      <c r="AL147" s="5"/>
      <c r="AM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3">
        <f t="shared" si="30"/>
        <v>0</v>
      </c>
      <c r="AL148" s="5"/>
      <c r="AM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74"/>
      <c r="AL149" s="5"/>
      <c r="AM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74"/>
      <c r="AL150" s="5"/>
      <c r="A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J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1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0</v>
      </c>
      <c r="AK151" s="13">
        <f>SUM(E151:AJ151)</f>
        <v>6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13"/>
      <c r="AL152" s="52"/>
      <c r="A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1.0</v>
      </c>
      <c r="AK153" s="13">
        <f t="shared" ref="AK153:AK156" si="32">SUM(E154:AJ154)</f>
        <v>2</v>
      </c>
      <c r="AL153" s="5"/>
      <c r="A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1.0</v>
      </c>
      <c r="AJ154" s="19">
        <v>0.0</v>
      </c>
      <c r="AK154" s="13">
        <f t="shared" si="32"/>
        <v>4</v>
      </c>
      <c r="AL154" s="5"/>
      <c r="AM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1.0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1.0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1.0</v>
      </c>
      <c r="AK155" s="13">
        <f t="shared" si="32"/>
        <v>0</v>
      </c>
      <c r="AL155" s="5"/>
      <c r="AM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3">
        <f t="shared" si="32"/>
        <v>2</v>
      </c>
      <c r="AL156" s="5"/>
      <c r="AM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1.0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1.0</v>
      </c>
      <c r="AI157" s="19">
        <v>0.0</v>
      </c>
      <c r="AJ157" s="19">
        <v>0.0</v>
      </c>
      <c r="AK157" s="13">
        <f>SUM(E163:AJ163)</f>
        <v>9</v>
      </c>
      <c r="AL157" s="5"/>
      <c r="AM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74"/>
      <c r="AL158" s="5"/>
      <c r="AM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74"/>
      <c r="AL159" s="5"/>
      <c r="AM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74"/>
      <c r="AL160" s="5"/>
      <c r="AM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74"/>
      <c r="AL161" s="5"/>
      <c r="AM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74"/>
      <c r="AL162" s="5"/>
      <c r="AM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J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1</v>
      </c>
      <c r="AI163" s="13">
        <f t="shared" si="33"/>
        <v>1</v>
      </c>
      <c r="AJ163" s="13">
        <f t="shared" si="33"/>
        <v>2</v>
      </c>
      <c r="AK163" s="13">
        <f>SUM(E164:AJ164)</f>
        <v>0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5"/>
      <c r="A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2.0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1.0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1.0</v>
      </c>
      <c r="AG165" s="19">
        <v>0.0</v>
      </c>
      <c r="AH165" s="19">
        <v>0.0</v>
      </c>
      <c r="AI165" s="19">
        <v>1.0</v>
      </c>
      <c r="AJ165" s="19">
        <v>0.0</v>
      </c>
      <c r="AK165" s="13">
        <f t="shared" ref="AK165:AK172" si="34">SUM(E165:AJ165)</f>
        <v>8</v>
      </c>
      <c r="AL165" s="1"/>
      <c r="A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1.0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2.0</v>
      </c>
      <c r="AK166" s="13">
        <f t="shared" si="34"/>
        <v>6</v>
      </c>
      <c r="AL166" s="52"/>
      <c r="AM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1.0</v>
      </c>
      <c r="AJ167" s="19">
        <v>0.0</v>
      </c>
      <c r="AK167" s="13">
        <f t="shared" si="34"/>
        <v>1</v>
      </c>
      <c r="AL167" s="5"/>
      <c r="AM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1.0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3">
        <f t="shared" si="34"/>
        <v>1</v>
      </c>
      <c r="AL168" s="5"/>
      <c r="AM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3">
        <f t="shared" si="34"/>
        <v>0</v>
      </c>
      <c r="AL169" s="5"/>
      <c r="AM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3">
        <f t="shared" si="34"/>
        <v>0</v>
      </c>
      <c r="AL170" s="5"/>
      <c r="AM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3">
        <f t="shared" si="34"/>
        <v>0</v>
      </c>
      <c r="AL171" s="5"/>
      <c r="AM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3">
        <f t="shared" si="34"/>
        <v>0</v>
      </c>
      <c r="AL172" s="5"/>
      <c r="AM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74"/>
      <c r="AL173" s="5"/>
      <c r="AM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74"/>
      <c r="AL174" s="5"/>
      <c r="AM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J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2</v>
      </c>
      <c r="AJ175" s="13">
        <f t="shared" si="35"/>
        <v>2</v>
      </c>
      <c r="AK175" s="13">
        <f>SUM(E175:AJ175)</f>
        <v>16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1"/>
      <c r="A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1.0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1.0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1.0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0.0</v>
      </c>
      <c r="AK177" s="13">
        <f t="shared" ref="AK177:AK184" si="36">SUM(E177:AJ177)</f>
        <v>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2.0</v>
      </c>
      <c r="I178" s="19">
        <v>1.0</v>
      </c>
      <c r="J178" s="19">
        <v>0.0</v>
      </c>
      <c r="K178" s="19">
        <v>0.0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1.0</v>
      </c>
      <c r="S178" s="19">
        <v>0.0</v>
      </c>
      <c r="T178" s="19">
        <v>2.0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1.0</v>
      </c>
      <c r="AD178" s="19">
        <v>0.0</v>
      </c>
      <c r="AE178" s="19">
        <v>1.0</v>
      </c>
      <c r="AF178" s="19">
        <v>1.0</v>
      </c>
      <c r="AG178" s="19">
        <v>0.0</v>
      </c>
      <c r="AH178" s="19">
        <v>0.0</v>
      </c>
      <c r="AI178" s="19">
        <v>1.0</v>
      </c>
      <c r="AJ178" s="19">
        <v>0.0</v>
      </c>
      <c r="AK178" s="13">
        <f t="shared" si="36"/>
        <v>12</v>
      </c>
      <c r="AL178" s="5"/>
      <c r="AM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9">
        <v>0.0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3">
        <f t="shared" si="36"/>
        <v>4</v>
      </c>
      <c r="AL179" s="5"/>
      <c r="AM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3">
        <f t="shared" si="36"/>
        <v>1</v>
      </c>
      <c r="AL180" s="5"/>
      <c r="AM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3">
        <f t="shared" si="36"/>
        <v>1</v>
      </c>
      <c r="AL181" s="5"/>
      <c r="AM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1.0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3">
        <f t="shared" si="36"/>
        <v>1</v>
      </c>
      <c r="AL182" s="5"/>
      <c r="AM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3">
        <f t="shared" si="36"/>
        <v>1</v>
      </c>
      <c r="AL183" s="5"/>
      <c r="AM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1.0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3">
        <f t="shared" si="36"/>
        <v>1</v>
      </c>
      <c r="AL184" s="5"/>
      <c r="AM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74"/>
      <c r="AL185" s="5"/>
      <c r="AM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74"/>
      <c r="AL186" s="5"/>
      <c r="A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J187" si="37">SUM(E177:E184)</f>
        <v>1</v>
      </c>
      <c r="F187" s="13">
        <f t="shared" si="37"/>
        <v>2</v>
      </c>
      <c r="G187" s="13">
        <f t="shared" si="37"/>
        <v>0</v>
      </c>
      <c r="H187" s="13">
        <f t="shared" si="37"/>
        <v>2</v>
      </c>
      <c r="I187" s="13">
        <f t="shared" si="37"/>
        <v>2</v>
      </c>
      <c r="J187" s="13">
        <f t="shared" si="37"/>
        <v>0</v>
      </c>
      <c r="K187" s="13">
        <f t="shared" si="37"/>
        <v>1</v>
      </c>
      <c r="L187" s="13">
        <f t="shared" si="37"/>
        <v>2</v>
      </c>
      <c r="M187" s="13">
        <f t="shared" si="37"/>
        <v>0</v>
      </c>
      <c r="N187" s="13">
        <f t="shared" si="37"/>
        <v>0</v>
      </c>
      <c r="O187" s="13">
        <f t="shared" si="37"/>
        <v>1</v>
      </c>
      <c r="P187" s="13">
        <f t="shared" si="37"/>
        <v>1</v>
      </c>
      <c r="Q187" s="13">
        <f t="shared" si="37"/>
        <v>1</v>
      </c>
      <c r="R187" s="13">
        <f t="shared" si="37"/>
        <v>3</v>
      </c>
      <c r="S187" s="13">
        <f t="shared" si="37"/>
        <v>0</v>
      </c>
      <c r="T187" s="13">
        <f t="shared" si="37"/>
        <v>2</v>
      </c>
      <c r="U187" s="13">
        <f t="shared" si="37"/>
        <v>0</v>
      </c>
      <c r="V187" s="13">
        <f t="shared" si="37"/>
        <v>0</v>
      </c>
      <c r="W187" s="13">
        <f t="shared" si="37"/>
        <v>1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3</v>
      </c>
      <c r="AD187" s="13">
        <f t="shared" si="37"/>
        <v>1</v>
      </c>
      <c r="AE187" s="13">
        <f t="shared" si="37"/>
        <v>1</v>
      </c>
      <c r="AF187" s="13">
        <f t="shared" si="37"/>
        <v>1</v>
      </c>
      <c r="AG187" s="13">
        <f t="shared" si="37"/>
        <v>0</v>
      </c>
      <c r="AH187" s="13">
        <f t="shared" si="37"/>
        <v>0</v>
      </c>
      <c r="AI187" s="13">
        <f t="shared" si="37"/>
        <v>1</v>
      </c>
      <c r="AJ187" s="13">
        <f t="shared" si="37"/>
        <v>0</v>
      </c>
      <c r="AK187" s="13">
        <f>SUM(E187:AJ187)</f>
        <v>26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A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1.0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3">
        <f t="shared" ref="AK189:AK196" si="38">SUM(E189:AJ189)</f>
        <v>2</v>
      </c>
      <c r="AL189" s="5"/>
      <c r="A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1.0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3">
        <f t="shared" si="38"/>
        <v>1</v>
      </c>
      <c r="AL190" s="5"/>
      <c r="AM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3">
        <f t="shared" si="38"/>
        <v>0</v>
      </c>
      <c r="AL191" s="5"/>
      <c r="AM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3">
        <f t="shared" si="38"/>
        <v>0</v>
      </c>
      <c r="AL192" s="5"/>
      <c r="AM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3">
        <f t="shared" si="38"/>
        <v>0</v>
      </c>
      <c r="AL193" s="5"/>
      <c r="AM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1.0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3">
        <f t="shared" si="38"/>
        <v>1</v>
      </c>
      <c r="AL194" s="5"/>
      <c r="AM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3">
        <f t="shared" si="38"/>
        <v>0</v>
      </c>
      <c r="AL195" s="5"/>
      <c r="AM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3">
        <f t="shared" si="38"/>
        <v>0</v>
      </c>
      <c r="AL196" s="1"/>
      <c r="AM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74"/>
      <c r="AL197" s="1"/>
      <c r="AM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74"/>
      <c r="AL198" s="1"/>
      <c r="AM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J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2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>SUM(E199:AJ199)</f>
        <v>4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5"/>
      <c r="A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0.0</v>
      </c>
      <c r="G201" s="19">
        <v>1.0</v>
      </c>
      <c r="H201" s="19">
        <v>1.0</v>
      </c>
      <c r="I201" s="19">
        <v>2.0</v>
      </c>
      <c r="J201" s="19">
        <v>18.0</v>
      </c>
      <c r="K201" s="19">
        <v>7.0</v>
      </c>
      <c r="L201" s="19">
        <v>4.0</v>
      </c>
      <c r="M201" s="19">
        <v>14.0</v>
      </c>
      <c r="N201" s="19">
        <v>13.0</v>
      </c>
      <c r="O201" s="19">
        <v>0.0</v>
      </c>
      <c r="P201" s="19">
        <v>1.0</v>
      </c>
      <c r="Q201" s="19">
        <v>2.0</v>
      </c>
      <c r="R201" s="19">
        <v>2.0</v>
      </c>
      <c r="S201" s="19">
        <v>1.0</v>
      </c>
      <c r="T201" s="19">
        <v>1.0</v>
      </c>
      <c r="U201" s="19">
        <v>4.0</v>
      </c>
      <c r="V201" s="19">
        <v>1.0</v>
      </c>
      <c r="W201" s="19">
        <v>0.0</v>
      </c>
      <c r="X201" s="19">
        <v>8.0</v>
      </c>
      <c r="Y201" s="19">
        <v>9.0</v>
      </c>
      <c r="Z201" s="19">
        <v>7.0</v>
      </c>
      <c r="AA201" s="19">
        <v>10.0</v>
      </c>
      <c r="AB201" s="19">
        <v>2.0</v>
      </c>
      <c r="AC201" s="19">
        <v>4.0</v>
      </c>
      <c r="AD201" s="19">
        <v>0.0</v>
      </c>
      <c r="AE201" s="19">
        <v>1.0</v>
      </c>
      <c r="AF201" s="19">
        <v>1.0</v>
      </c>
      <c r="AG201" s="19">
        <v>0.0</v>
      </c>
      <c r="AH201" s="19">
        <v>4.0</v>
      </c>
      <c r="AI201" s="19">
        <v>5.0</v>
      </c>
      <c r="AJ201" s="19">
        <v>1.0</v>
      </c>
      <c r="AK201" s="13">
        <f t="shared" ref="AK201:AK208" si="40">SUM(E201:AJ201)</f>
        <v>125</v>
      </c>
      <c r="AL201" s="5"/>
      <c r="A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4.0</v>
      </c>
      <c r="G202" s="19">
        <v>5.0</v>
      </c>
      <c r="H202" s="19">
        <v>5.0</v>
      </c>
      <c r="I202" s="19">
        <v>1.0</v>
      </c>
      <c r="J202" s="19">
        <v>29.0</v>
      </c>
      <c r="K202" s="19">
        <v>8.0</v>
      </c>
      <c r="L202" s="19">
        <v>6.0</v>
      </c>
      <c r="M202" s="19">
        <v>12.0</v>
      </c>
      <c r="N202" s="19">
        <v>17.0</v>
      </c>
      <c r="O202" s="19">
        <v>1.0</v>
      </c>
      <c r="P202" s="19">
        <v>3.0</v>
      </c>
      <c r="Q202" s="19">
        <v>3.0</v>
      </c>
      <c r="R202" s="19">
        <v>3.0</v>
      </c>
      <c r="S202" s="19">
        <v>5.0</v>
      </c>
      <c r="T202" s="19">
        <v>0.0</v>
      </c>
      <c r="U202" s="19">
        <v>2.0</v>
      </c>
      <c r="V202" s="19">
        <v>0.0</v>
      </c>
      <c r="W202" s="19">
        <v>3.0</v>
      </c>
      <c r="X202" s="19">
        <v>2.0</v>
      </c>
      <c r="Y202" s="19">
        <v>6.0</v>
      </c>
      <c r="Z202" s="19">
        <v>4.0</v>
      </c>
      <c r="AA202" s="19">
        <v>20.0</v>
      </c>
      <c r="AB202" s="19">
        <v>8.0</v>
      </c>
      <c r="AC202" s="19">
        <v>7.0</v>
      </c>
      <c r="AD202" s="19">
        <v>1.0</v>
      </c>
      <c r="AE202" s="19">
        <v>6.0</v>
      </c>
      <c r="AF202" s="19">
        <v>4.0</v>
      </c>
      <c r="AG202" s="19">
        <v>6.0</v>
      </c>
      <c r="AH202" s="19">
        <v>6.0</v>
      </c>
      <c r="AI202" s="19">
        <v>2.0</v>
      </c>
      <c r="AJ202" s="19">
        <v>5.0</v>
      </c>
      <c r="AK202" s="13">
        <f t="shared" si="40"/>
        <v>186</v>
      </c>
      <c r="AL202" s="5"/>
      <c r="A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1.0</v>
      </c>
      <c r="H203" s="19">
        <v>1.0</v>
      </c>
      <c r="I203" s="19">
        <v>1.0</v>
      </c>
      <c r="J203" s="19">
        <v>21.0</v>
      </c>
      <c r="K203" s="19">
        <v>1.0</v>
      </c>
      <c r="L203" s="19">
        <v>1.0</v>
      </c>
      <c r="M203" s="19">
        <v>5.0</v>
      </c>
      <c r="N203" s="19">
        <v>9.0</v>
      </c>
      <c r="O203" s="19">
        <v>2.0</v>
      </c>
      <c r="P203" s="19">
        <v>0.0</v>
      </c>
      <c r="Q203" s="19">
        <v>0.0</v>
      </c>
      <c r="R203" s="19">
        <v>3.0</v>
      </c>
      <c r="S203" s="19">
        <v>0.0</v>
      </c>
      <c r="T203" s="19">
        <v>1.0</v>
      </c>
      <c r="U203" s="19">
        <v>1.0</v>
      </c>
      <c r="V203" s="19">
        <v>1.0</v>
      </c>
      <c r="W203" s="19">
        <v>2.0</v>
      </c>
      <c r="X203" s="19">
        <v>1.0</v>
      </c>
      <c r="Y203" s="19">
        <v>11.0</v>
      </c>
      <c r="Z203" s="19">
        <v>6.0</v>
      </c>
      <c r="AA203" s="19">
        <v>6.0</v>
      </c>
      <c r="AB203" s="19">
        <v>7.0</v>
      </c>
      <c r="AC203" s="19">
        <v>0.0</v>
      </c>
      <c r="AD203" s="19">
        <v>1.0</v>
      </c>
      <c r="AE203" s="19">
        <v>1.0</v>
      </c>
      <c r="AF203" s="19">
        <v>3.0</v>
      </c>
      <c r="AG203" s="19">
        <v>0.0</v>
      </c>
      <c r="AH203" s="19">
        <v>0.0</v>
      </c>
      <c r="AI203" s="19">
        <v>11.0</v>
      </c>
      <c r="AJ203" s="19">
        <v>3.0</v>
      </c>
      <c r="AK203" s="13">
        <f t="shared" si="40"/>
        <v>102</v>
      </c>
      <c r="AL203" s="5"/>
      <c r="AM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1.0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2.0</v>
      </c>
      <c r="AB204" s="19">
        <v>0.0</v>
      </c>
      <c r="AC204" s="19">
        <v>1.0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1.0</v>
      </c>
      <c r="AI204" s="19">
        <v>1.0</v>
      </c>
      <c r="AJ204" s="19">
        <v>2.0</v>
      </c>
      <c r="AK204" s="13">
        <f t="shared" si="40"/>
        <v>13</v>
      </c>
      <c r="AL204" s="5"/>
      <c r="AM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3.0</v>
      </c>
      <c r="K205" s="19">
        <v>0.0</v>
      </c>
      <c r="L205" s="19">
        <v>1.0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1.0</v>
      </c>
      <c r="Z205" s="19">
        <v>1.0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1.0</v>
      </c>
      <c r="AK205" s="13">
        <f t="shared" si="40"/>
        <v>10</v>
      </c>
      <c r="AL205" s="5"/>
      <c r="AM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1.0</v>
      </c>
      <c r="AA206" s="19">
        <v>2.0</v>
      </c>
      <c r="AB206" s="19">
        <v>1.0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3">
        <f t="shared" si="40"/>
        <v>6</v>
      </c>
      <c r="AL206" s="5"/>
      <c r="AM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3">
        <f t="shared" si="40"/>
        <v>0</v>
      </c>
      <c r="AL207" s="1"/>
      <c r="A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0.0</v>
      </c>
      <c r="AA208" s="19">
        <v>1.0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3">
        <f t="shared" si="40"/>
        <v>4</v>
      </c>
      <c r="AL208" s="52"/>
      <c r="AM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74"/>
      <c r="AL209" s="52"/>
      <c r="AM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74"/>
      <c r="AL210" s="52"/>
      <c r="AM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J211" si="41">SUM(E201:E208)</f>
        <v>4</v>
      </c>
      <c r="F211" s="13">
        <f t="shared" si="41"/>
        <v>6</v>
      </c>
      <c r="G211" s="13">
        <f t="shared" si="41"/>
        <v>8</v>
      </c>
      <c r="H211" s="13">
        <f t="shared" si="41"/>
        <v>7</v>
      </c>
      <c r="I211" s="13">
        <f t="shared" si="41"/>
        <v>4</v>
      </c>
      <c r="J211" s="13">
        <f t="shared" si="41"/>
        <v>71</v>
      </c>
      <c r="K211" s="13">
        <f t="shared" si="41"/>
        <v>16</v>
      </c>
      <c r="L211" s="13">
        <f t="shared" si="41"/>
        <v>13</v>
      </c>
      <c r="M211" s="13">
        <f t="shared" si="41"/>
        <v>32</v>
      </c>
      <c r="N211" s="13">
        <f t="shared" si="41"/>
        <v>43</v>
      </c>
      <c r="O211" s="13">
        <f t="shared" si="41"/>
        <v>3</v>
      </c>
      <c r="P211" s="13">
        <f t="shared" si="41"/>
        <v>5</v>
      </c>
      <c r="Q211" s="13">
        <f t="shared" si="41"/>
        <v>5</v>
      </c>
      <c r="R211" s="13">
        <f t="shared" si="41"/>
        <v>8</v>
      </c>
      <c r="S211" s="13">
        <f t="shared" si="41"/>
        <v>7</v>
      </c>
      <c r="T211" s="13">
        <f t="shared" si="41"/>
        <v>2</v>
      </c>
      <c r="U211" s="13">
        <f t="shared" si="41"/>
        <v>7</v>
      </c>
      <c r="V211" s="13">
        <f t="shared" si="41"/>
        <v>3</v>
      </c>
      <c r="W211" s="13">
        <f t="shared" si="41"/>
        <v>5</v>
      </c>
      <c r="X211" s="13">
        <f t="shared" si="41"/>
        <v>12</v>
      </c>
      <c r="Y211" s="13">
        <f t="shared" si="41"/>
        <v>27</v>
      </c>
      <c r="Z211" s="13">
        <f t="shared" si="41"/>
        <v>20</v>
      </c>
      <c r="AA211" s="13">
        <f t="shared" si="41"/>
        <v>41</v>
      </c>
      <c r="AB211" s="13">
        <f t="shared" si="41"/>
        <v>18</v>
      </c>
      <c r="AC211" s="13">
        <f t="shared" si="41"/>
        <v>12</v>
      </c>
      <c r="AD211" s="13">
        <f t="shared" si="41"/>
        <v>2</v>
      </c>
      <c r="AE211" s="13">
        <f t="shared" si="41"/>
        <v>9</v>
      </c>
      <c r="AF211" s="13">
        <f t="shared" si="41"/>
        <v>8</v>
      </c>
      <c r="AG211" s="13">
        <f t="shared" si="41"/>
        <v>6</v>
      </c>
      <c r="AH211" s="13">
        <f t="shared" si="41"/>
        <v>11</v>
      </c>
      <c r="AI211" s="13">
        <f t="shared" si="41"/>
        <v>19</v>
      </c>
      <c r="AJ211" s="13">
        <f t="shared" si="41"/>
        <v>12</v>
      </c>
      <c r="AK211" s="13">
        <f>SUM(E211:AJ211)</f>
        <v>446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5"/>
      <c r="A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1.0</v>
      </c>
      <c r="H213" s="19">
        <v>4.0</v>
      </c>
      <c r="I213" s="19">
        <v>1.0</v>
      </c>
      <c r="J213" s="19">
        <v>0.0</v>
      </c>
      <c r="K213" s="19">
        <v>1.0</v>
      </c>
      <c r="L213" s="19">
        <v>0.0</v>
      </c>
      <c r="M213" s="19">
        <v>3.0</v>
      </c>
      <c r="N213" s="19">
        <v>2.0</v>
      </c>
      <c r="O213" s="19">
        <v>2.0</v>
      </c>
      <c r="P213" s="19">
        <v>3.0</v>
      </c>
      <c r="Q213" s="19">
        <v>0.0</v>
      </c>
      <c r="R213" s="19">
        <v>0.0</v>
      </c>
      <c r="S213" s="19">
        <v>1.0</v>
      </c>
      <c r="T213" s="19">
        <v>0.0</v>
      </c>
      <c r="U213" s="19">
        <v>3.0</v>
      </c>
      <c r="V213" s="19">
        <v>0.0</v>
      </c>
      <c r="W213" s="19">
        <v>3.0</v>
      </c>
      <c r="X213" s="19">
        <v>0.0</v>
      </c>
      <c r="Y213" s="19">
        <v>2.0</v>
      </c>
      <c r="Z213" s="19">
        <v>0.0</v>
      </c>
      <c r="AA213" s="19">
        <v>2.0</v>
      </c>
      <c r="AB213" s="19">
        <v>0.0</v>
      </c>
      <c r="AC213" s="19">
        <v>2.0</v>
      </c>
      <c r="AD213" s="19">
        <v>0.0</v>
      </c>
      <c r="AE213" s="19">
        <v>1.0</v>
      </c>
      <c r="AF213" s="19">
        <v>1.0</v>
      </c>
      <c r="AG213" s="19">
        <v>1.0</v>
      </c>
      <c r="AH213" s="19">
        <v>0.0</v>
      </c>
      <c r="AI213" s="19">
        <v>0.0</v>
      </c>
      <c r="AJ213" s="19">
        <v>0.0</v>
      </c>
      <c r="AK213" s="13">
        <f t="shared" ref="AK213:AK220" si="42">SUM(E213:AJ213)</f>
        <v>35</v>
      </c>
      <c r="AL213" s="5"/>
      <c r="A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5.0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2.0</v>
      </c>
      <c r="N214" s="19">
        <v>1.0</v>
      </c>
      <c r="O214" s="19">
        <v>2.0</v>
      </c>
      <c r="P214" s="19">
        <v>0.0</v>
      </c>
      <c r="Q214" s="19">
        <v>1.0</v>
      </c>
      <c r="R214" s="19">
        <v>2.0</v>
      </c>
      <c r="S214" s="19">
        <v>1.0</v>
      </c>
      <c r="T214" s="19">
        <v>0.0</v>
      </c>
      <c r="U214" s="19">
        <v>1.0</v>
      </c>
      <c r="V214" s="19">
        <v>0.0</v>
      </c>
      <c r="W214" s="19">
        <v>1.0</v>
      </c>
      <c r="X214" s="19">
        <v>2.0</v>
      </c>
      <c r="Y214" s="19">
        <v>0.0</v>
      </c>
      <c r="Z214" s="19">
        <v>0.0</v>
      </c>
      <c r="AA214" s="19">
        <v>0.0</v>
      </c>
      <c r="AB214" s="19">
        <v>2.0</v>
      </c>
      <c r="AC214" s="19">
        <v>1.0</v>
      </c>
      <c r="AD214" s="19">
        <v>0.0</v>
      </c>
      <c r="AE214" s="19">
        <v>1.0</v>
      </c>
      <c r="AF214" s="19">
        <v>1.0</v>
      </c>
      <c r="AG214" s="19">
        <v>1.0</v>
      </c>
      <c r="AH214" s="19">
        <v>0.0</v>
      </c>
      <c r="AI214" s="19">
        <v>1.0</v>
      </c>
      <c r="AJ214" s="19">
        <v>1.0</v>
      </c>
      <c r="AK214" s="13">
        <f t="shared" si="42"/>
        <v>27</v>
      </c>
      <c r="AL214" s="5"/>
      <c r="AM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7.0</v>
      </c>
      <c r="G215" s="19">
        <v>2.0</v>
      </c>
      <c r="H215" s="19">
        <v>1.0</v>
      </c>
      <c r="I215" s="19">
        <v>9.0</v>
      </c>
      <c r="J215" s="19">
        <v>6.0</v>
      </c>
      <c r="K215" s="19">
        <v>1.0</v>
      </c>
      <c r="L215" s="19">
        <v>6.0</v>
      </c>
      <c r="M215" s="19">
        <v>0.0</v>
      </c>
      <c r="N215" s="19">
        <v>2.0</v>
      </c>
      <c r="O215" s="19">
        <v>0.0</v>
      </c>
      <c r="P215" s="19">
        <v>7.0</v>
      </c>
      <c r="Q215" s="19">
        <v>2.0</v>
      </c>
      <c r="R215" s="19">
        <v>20.0</v>
      </c>
      <c r="S215" s="19">
        <v>29.0</v>
      </c>
      <c r="T215" s="19">
        <v>38.0</v>
      </c>
      <c r="U215" s="19">
        <v>61.0</v>
      </c>
      <c r="V215" s="19">
        <v>2.0</v>
      </c>
      <c r="W215" s="19">
        <v>1.0</v>
      </c>
      <c r="X215" s="19">
        <v>1.0</v>
      </c>
      <c r="Y215" s="19">
        <v>0.0</v>
      </c>
      <c r="Z215" s="19">
        <v>0.0</v>
      </c>
      <c r="AA215" s="19">
        <v>1.0</v>
      </c>
      <c r="AB215" s="19">
        <v>0.0</v>
      </c>
      <c r="AC215" s="19">
        <v>0.0</v>
      </c>
      <c r="AD215" s="19">
        <v>0.0</v>
      </c>
      <c r="AE215" s="19">
        <v>2.0</v>
      </c>
      <c r="AF215" s="19">
        <v>9.0</v>
      </c>
      <c r="AG215" s="19">
        <v>0.0</v>
      </c>
      <c r="AH215" s="19">
        <v>0.0</v>
      </c>
      <c r="AI215" s="19">
        <v>1.0</v>
      </c>
      <c r="AJ215" s="19">
        <v>0.0</v>
      </c>
      <c r="AK215" s="13">
        <f t="shared" si="42"/>
        <v>208</v>
      </c>
      <c r="AL215" s="5"/>
      <c r="AM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3.0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3">
        <f t="shared" si="42"/>
        <v>5</v>
      </c>
      <c r="AL216" s="5"/>
      <c r="AM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3">
        <f t="shared" si="42"/>
        <v>1</v>
      </c>
      <c r="AL217" s="5"/>
      <c r="AM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1.0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3">
        <f t="shared" si="42"/>
        <v>2</v>
      </c>
      <c r="AL218" s="1"/>
      <c r="AM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1.0</v>
      </c>
      <c r="V219" s="19">
        <v>0.0</v>
      </c>
      <c r="W219" s="19">
        <v>0.0</v>
      </c>
      <c r="X219" s="19">
        <v>0.0</v>
      </c>
      <c r="Y219" s="19">
        <v>1.0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3">
        <f t="shared" si="42"/>
        <v>2</v>
      </c>
      <c r="AL219" s="52"/>
      <c r="AM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2.0</v>
      </c>
      <c r="AD220" s="19">
        <v>0.0</v>
      </c>
      <c r="AE220" s="19">
        <v>0.0</v>
      </c>
      <c r="AF220" s="19">
        <v>0.0</v>
      </c>
      <c r="AG220" s="19">
        <v>1.0</v>
      </c>
      <c r="AH220" s="19">
        <v>0.0</v>
      </c>
      <c r="AI220" s="19">
        <v>0.0</v>
      </c>
      <c r="AJ220" s="19">
        <v>0.0</v>
      </c>
      <c r="AK220" s="13">
        <f t="shared" si="42"/>
        <v>5</v>
      </c>
      <c r="AL220" s="5"/>
      <c r="AM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74"/>
      <c r="AL221" s="5"/>
      <c r="AM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74"/>
      <c r="AL222" s="5"/>
      <c r="AM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J223" si="43">SUM(E213:E220)</f>
        <v>1</v>
      </c>
      <c r="F223" s="13">
        <f t="shared" si="43"/>
        <v>14</v>
      </c>
      <c r="G223" s="13">
        <f t="shared" si="43"/>
        <v>3</v>
      </c>
      <c r="H223" s="13">
        <f t="shared" si="43"/>
        <v>5</v>
      </c>
      <c r="I223" s="13">
        <f t="shared" si="43"/>
        <v>12</v>
      </c>
      <c r="J223" s="13">
        <f t="shared" si="43"/>
        <v>6</v>
      </c>
      <c r="K223" s="13">
        <f t="shared" si="43"/>
        <v>2</v>
      </c>
      <c r="L223" s="13">
        <f t="shared" si="43"/>
        <v>6</v>
      </c>
      <c r="M223" s="13">
        <f t="shared" si="43"/>
        <v>5</v>
      </c>
      <c r="N223" s="13">
        <f t="shared" si="43"/>
        <v>6</v>
      </c>
      <c r="O223" s="13">
        <f t="shared" si="43"/>
        <v>4</v>
      </c>
      <c r="P223" s="13">
        <f t="shared" si="43"/>
        <v>10</v>
      </c>
      <c r="Q223" s="13">
        <f t="shared" si="43"/>
        <v>4</v>
      </c>
      <c r="R223" s="13">
        <f t="shared" si="43"/>
        <v>26</v>
      </c>
      <c r="S223" s="13">
        <f t="shared" si="43"/>
        <v>31</v>
      </c>
      <c r="T223" s="13">
        <f t="shared" si="43"/>
        <v>38</v>
      </c>
      <c r="U223" s="13">
        <f t="shared" si="43"/>
        <v>66</v>
      </c>
      <c r="V223" s="13">
        <f t="shared" si="43"/>
        <v>4</v>
      </c>
      <c r="W223" s="13">
        <f t="shared" si="43"/>
        <v>5</v>
      </c>
      <c r="X223" s="13">
        <f t="shared" si="43"/>
        <v>3</v>
      </c>
      <c r="Y223" s="13">
        <f t="shared" si="43"/>
        <v>3</v>
      </c>
      <c r="Z223" s="13">
        <f t="shared" si="43"/>
        <v>0</v>
      </c>
      <c r="AA223" s="13">
        <f t="shared" si="43"/>
        <v>3</v>
      </c>
      <c r="AB223" s="13">
        <f t="shared" si="43"/>
        <v>2</v>
      </c>
      <c r="AC223" s="13">
        <f t="shared" si="43"/>
        <v>5</v>
      </c>
      <c r="AD223" s="13">
        <f t="shared" si="43"/>
        <v>0</v>
      </c>
      <c r="AE223" s="13">
        <f t="shared" si="43"/>
        <v>4</v>
      </c>
      <c r="AF223" s="13">
        <f t="shared" si="43"/>
        <v>11</v>
      </c>
      <c r="AG223" s="13">
        <f t="shared" si="43"/>
        <v>3</v>
      </c>
      <c r="AH223" s="13">
        <f t="shared" si="43"/>
        <v>0</v>
      </c>
      <c r="AI223" s="13">
        <f t="shared" si="43"/>
        <v>2</v>
      </c>
      <c r="AJ223" s="13">
        <f t="shared" si="43"/>
        <v>1</v>
      </c>
      <c r="AK223" s="13">
        <f>SUM(E223:AJ223)</f>
        <v>285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5"/>
      <c r="A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4.0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0.0</v>
      </c>
      <c r="AA225" s="19">
        <v>1.0</v>
      </c>
      <c r="AB225" s="19">
        <v>0.0</v>
      </c>
      <c r="AC225" s="19">
        <v>2.0</v>
      </c>
      <c r="AD225" s="19">
        <v>0.0</v>
      </c>
      <c r="AE225" s="19">
        <v>0.0</v>
      </c>
      <c r="AF225" s="19">
        <v>0.0</v>
      </c>
      <c r="AG225" s="19">
        <v>1.0</v>
      </c>
      <c r="AH225" s="19">
        <v>2.0</v>
      </c>
      <c r="AI225" s="19">
        <v>1.0</v>
      </c>
      <c r="AJ225" s="19">
        <v>1.0</v>
      </c>
      <c r="AK225" s="13">
        <f t="shared" ref="AK225:AK232" si="44">SUM(E225:AJ225)</f>
        <v>17</v>
      </c>
      <c r="AL225" s="5"/>
      <c r="A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30.0</v>
      </c>
      <c r="F226" s="19">
        <v>4.0</v>
      </c>
      <c r="G226" s="19">
        <v>23.0</v>
      </c>
      <c r="H226" s="19">
        <v>4.0</v>
      </c>
      <c r="I226" s="19">
        <v>5.0</v>
      </c>
      <c r="J226" s="19">
        <v>1.0</v>
      </c>
      <c r="K226" s="19">
        <v>0.0</v>
      </c>
      <c r="L226" s="19">
        <v>3.0</v>
      </c>
      <c r="M226" s="19">
        <v>3.0</v>
      </c>
      <c r="N226" s="19">
        <v>1.0</v>
      </c>
      <c r="O226" s="19">
        <v>7.0</v>
      </c>
      <c r="P226" s="19">
        <v>3.0</v>
      </c>
      <c r="Q226" s="19">
        <v>11.0</v>
      </c>
      <c r="R226" s="19">
        <v>2.0</v>
      </c>
      <c r="S226" s="19">
        <v>0.0</v>
      </c>
      <c r="T226" s="19">
        <v>1.0</v>
      </c>
      <c r="U226" s="19">
        <v>1.0</v>
      </c>
      <c r="V226" s="19">
        <v>0.0</v>
      </c>
      <c r="W226" s="19">
        <v>0.0</v>
      </c>
      <c r="X226" s="19">
        <v>17.0</v>
      </c>
      <c r="Y226" s="19">
        <v>2.0</v>
      </c>
      <c r="Z226" s="19">
        <v>4.0</v>
      </c>
      <c r="AA226" s="19">
        <v>6.0</v>
      </c>
      <c r="AB226" s="19">
        <v>0.0</v>
      </c>
      <c r="AC226" s="19">
        <v>19.0</v>
      </c>
      <c r="AD226" s="19">
        <v>5.0</v>
      </c>
      <c r="AE226" s="19">
        <v>3.0</v>
      </c>
      <c r="AF226" s="19">
        <v>2.0</v>
      </c>
      <c r="AG226" s="19">
        <v>69.0</v>
      </c>
      <c r="AH226" s="19">
        <v>39.0</v>
      </c>
      <c r="AI226" s="19">
        <v>42.0</v>
      </c>
      <c r="AJ226" s="19">
        <v>28.0</v>
      </c>
      <c r="AK226" s="13">
        <f t="shared" si="44"/>
        <v>335</v>
      </c>
      <c r="AL226" s="5"/>
      <c r="AM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1.0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3">
        <f t="shared" si="44"/>
        <v>1</v>
      </c>
      <c r="AL227" s="5"/>
      <c r="AM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1.0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3">
        <f t="shared" si="44"/>
        <v>1</v>
      </c>
      <c r="AL228" s="5"/>
      <c r="AM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1.0</v>
      </c>
      <c r="AK229" s="13">
        <f t="shared" si="44"/>
        <v>1</v>
      </c>
      <c r="AL229" s="1"/>
      <c r="AM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3">
        <f t="shared" si="44"/>
        <v>0</v>
      </c>
      <c r="AL230" s="52"/>
      <c r="AM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1.0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3">
        <f t="shared" si="44"/>
        <v>1</v>
      </c>
      <c r="AL231" s="5"/>
      <c r="AM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1.0</v>
      </c>
      <c r="AH232" s="19">
        <v>0.0</v>
      </c>
      <c r="AI232" s="19">
        <v>3.0</v>
      </c>
      <c r="AJ232" s="19">
        <v>0.0</v>
      </c>
      <c r="AK232" s="13">
        <f t="shared" si="44"/>
        <v>4</v>
      </c>
      <c r="AL232" s="5"/>
      <c r="AM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74"/>
      <c r="AL233" s="5"/>
      <c r="AM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74"/>
      <c r="AL234" s="5"/>
      <c r="AM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J235" si="45">SUM(E225:E232)</f>
        <v>34</v>
      </c>
      <c r="F235" s="13">
        <f t="shared" si="45"/>
        <v>4</v>
      </c>
      <c r="G235" s="13">
        <f t="shared" si="45"/>
        <v>24</v>
      </c>
      <c r="H235" s="13">
        <f t="shared" si="45"/>
        <v>4</v>
      </c>
      <c r="I235" s="13">
        <f t="shared" si="45"/>
        <v>5</v>
      </c>
      <c r="J235" s="13">
        <f t="shared" si="45"/>
        <v>1</v>
      </c>
      <c r="K235" s="13">
        <f t="shared" si="45"/>
        <v>1</v>
      </c>
      <c r="L235" s="13">
        <f t="shared" si="45"/>
        <v>3</v>
      </c>
      <c r="M235" s="13">
        <f t="shared" si="45"/>
        <v>4</v>
      </c>
      <c r="N235" s="13">
        <f t="shared" si="45"/>
        <v>1</v>
      </c>
      <c r="O235" s="13">
        <f t="shared" si="45"/>
        <v>7</v>
      </c>
      <c r="P235" s="13">
        <f t="shared" si="45"/>
        <v>3</v>
      </c>
      <c r="Q235" s="13">
        <f t="shared" si="45"/>
        <v>11</v>
      </c>
      <c r="R235" s="13">
        <f t="shared" si="45"/>
        <v>2</v>
      </c>
      <c r="S235" s="13">
        <f t="shared" si="45"/>
        <v>0</v>
      </c>
      <c r="T235" s="13">
        <f t="shared" si="45"/>
        <v>3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19</v>
      </c>
      <c r="Y235" s="13">
        <f t="shared" si="45"/>
        <v>2</v>
      </c>
      <c r="Z235" s="13">
        <f t="shared" si="45"/>
        <v>4</v>
      </c>
      <c r="AA235" s="13">
        <f t="shared" si="45"/>
        <v>8</v>
      </c>
      <c r="AB235" s="13">
        <f t="shared" si="45"/>
        <v>0</v>
      </c>
      <c r="AC235" s="13">
        <f t="shared" si="45"/>
        <v>21</v>
      </c>
      <c r="AD235" s="13">
        <f t="shared" si="45"/>
        <v>5</v>
      </c>
      <c r="AE235" s="13">
        <f t="shared" si="45"/>
        <v>3</v>
      </c>
      <c r="AF235" s="13">
        <f t="shared" si="45"/>
        <v>2</v>
      </c>
      <c r="AG235" s="13">
        <f t="shared" si="45"/>
        <v>71</v>
      </c>
      <c r="AH235" s="13">
        <f t="shared" si="45"/>
        <v>41</v>
      </c>
      <c r="AI235" s="13">
        <f t="shared" si="45"/>
        <v>46</v>
      </c>
      <c r="AJ235" s="13">
        <f t="shared" si="45"/>
        <v>30</v>
      </c>
      <c r="AK235" s="13">
        <f>SUM(E235:AJ235)</f>
        <v>360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5"/>
      <c r="A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0.0</v>
      </c>
      <c r="AE237" s="19">
        <v>0.0</v>
      </c>
      <c r="AF237" s="19">
        <v>0.0</v>
      </c>
      <c r="AG237" s="19">
        <v>0.0</v>
      </c>
      <c r="AH237" s="19">
        <v>1.0</v>
      </c>
      <c r="AI237" s="19">
        <v>0.0</v>
      </c>
      <c r="AJ237" s="19">
        <v>0.0</v>
      </c>
      <c r="AK237" s="13">
        <f t="shared" ref="AK237:AK244" si="46">SUM(E237:AJ237)</f>
        <v>2</v>
      </c>
      <c r="AL237" s="5"/>
      <c r="A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2.0</v>
      </c>
      <c r="K238" s="19">
        <v>0.0</v>
      </c>
      <c r="L238" s="19">
        <v>0.0</v>
      </c>
      <c r="M238" s="19">
        <v>1.0</v>
      </c>
      <c r="N238" s="19">
        <v>0.0</v>
      </c>
      <c r="O238" s="19">
        <v>0.0</v>
      </c>
      <c r="P238" s="19">
        <v>1.0</v>
      </c>
      <c r="Q238" s="19">
        <v>1.0</v>
      </c>
      <c r="R238" s="19">
        <v>0.0</v>
      </c>
      <c r="S238" s="19">
        <v>0.0</v>
      </c>
      <c r="T238" s="19">
        <v>0.0</v>
      </c>
      <c r="U238" s="19">
        <v>1.0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2.0</v>
      </c>
      <c r="AB238" s="19">
        <v>0.0</v>
      </c>
      <c r="AC238" s="19">
        <v>0.0</v>
      </c>
      <c r="AD238" s="19">
        <v>2.0</v>
      </c>
      <c r="AE238" s="19">
        <v>0.0</v>
      </c>
      <c r="AF238" s="19">
        <v>0.0</v>
      </c>
      <c r="AG238" s="19">
        <v>1.0</v>
      </c>
      <c r="AH238" s="19">
        <v>2.0</v>
      </c>
      <c r="AI238" s="19">
        <v>0.0</v>
      </c>
      <c r="AJ238" s="19">
        <v>0.0</v>
      </c>
      <c r="AK238" s="13">
        <f t="shared" si="46"/>
        <v>13</v>
      </c>
      <c r="AL238" s="5"/>
      <c r="AM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1.0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1.0</v>
      </c>
      <c r="AD239" s="19">
        <v>1.0</v>
      </c>
      <c r="AE239" s="19">
        <v>0.0</v>
      </c>
      <c r="AF239" s="19">
        <v>1.0</v>
      </c>
      <c r="AG239" s="19">
        <v>4.0</v>
      </c>
      <c r="AH239" s="19">
        <v>2.0</v>
      </c>
      <c r="AI239" s="19">
        <v>2.0</v>
      </c>
      <c r="AJ239" s="19">
        <v>0.0</v>
      </c>
      <c r="AK239" s="13">
        <f t="shared" si="46"/>
        <v>14</v>
      </c>
      <c r="AL239" s="5"/>
      <c r="AM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1.0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9">
        <v>1.0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3">
        <f t="shared" si="46"/>
        <v>3</v>
      </c>
      <c r="AL240" s="1"/>
      <c r="AM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2.0</v>
      </c>
      <c r="AB241" s="19">
        <v>2.0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1.0</v>
      </c>
      <c r="H244" s="19">
        <v>1.0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1.0</v>
      </c>
      <c r="O244" s="19">
        <v>0.0</v>
      </c>
      <c r="P244" s="19">
        <v>0.0</v>
      </c>
      <c r="Q244" s="19">
        <v>7.0</v>
      </c>
      <c r="R244" s="19">
        <v>8.0</v>
      </c>
      <c r="S244" s="19">
        <v>12.0</v>
      </c>
      <c r="T244" s="19">
        <v>0.0</v>
      </c>
      <c r="U244" s="19">
        <v>2.0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2.0</v>
      </c>
      <c r="AD244" s="19">
        <v>2.0</v>
      </c>
      <c r="AE244" s="19">
        <v>0.0</v>
      </c>
      <c r="AF244" s="19">
        <v>5.0</v>
      </c>
      <c r="AG244" s="19">
        <v>0.0</v>
      </c>
      <c r="AH244" s="19">
        <v>19.0</v>
      </c>
      <c r="AI244" s="19">
        <v>3.0</v>
      </c>
      <c r="AJ244" s="19">
        <v>1.0</v>
      </c>
      <c r="AK244" s="13">
        <f t="shared" si="46"/>
        <v>65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J247" si="47">SUM(E237:E244)</f>
        <v>0</v>
      </c>
      <c r="F247" s="13">
        <f t="shared" si="47"/>
        <v>1</v>
      </c>
      <c r="G247" s="13">
        <f t="shared" si="47"/>
        <v>1</v>
      </c>
      <c r="H247" s="13">
        <f t="shared" si="47"/>
        <v>2</v>
      </c>
      <c r="I247" s="13">
        <f t="shared" si="47"/>
        <v>0</v>
      </c>
      <c r="J247" s="13">
        <f t="shared" si="47"/>
        <v>2</v>
      </c>
      <c r="K247" s="13">
        <f t="shared" si="47"/>
        <v>1</v>
      </c>
      <c r="L247" s="13">
        <f t="shared" si="47"/>
        <v>2</v>
      </c>
      <c r="M247" s="13">
        <f t="shared" si="47"/>
        <v>2</v>
      </c>
      <c r="N247" s="13">
        <f t="shared" si="47"/>
        <v>1</v>
      </c>
      <c r="O247" s="13">
        <f t="shared" si="47"/>
        <v>0</v>
      </c>
      <c r="P247" s="13">
        <f t="shared" si="47"/>
        <v>1</v>
      </c>
      <c r="Q247" s="13">
        <f t="shared" si="47"/>
        <v>8</v>
      </c>
      <c r="R247" s="13">
        <f t="shared" si="47"/>
        <v>9</v>
      </c>
      <c r="S247" s="13">
        <f t="shared" si="47"/>
        <v>12</v>
      </c>
      <c r="T247" s="13">
        <f t="shared" si="47"/>
        <v>0</v>
      </c>
      <c r="U247" s="13">
        <f t="shared" si="47"/>
        <v>3</v>
      </c>
      <c r="V247" s="13">
        <f t="shared" si="47"/>
        <v>0</v>
      </c>
      <c r="W247" s="13">
        <f t="shared" si="47"/>
        <v>0</v>
      </c>
      <c r="X247" s="13">
        <f t="shared" si="47"/>
        <v>1</v>
      </c>
      <c r="Y247" s="13">
        <f t="shared" si="47"/>
        <v>1</v>
      </c>
      <c r="Z247" s="13">
        <f t="shared" si="47"/>
        <v>0</v>
      </c>
      <c r="AA247" s="13">
        <f t="shared" si="47"/>
        <v>4</v>
      </c>
      <c r="AB247" s="13">
        <f t="shared" si="47"/>
        <v>2</v>
      </c>
      <c r="AC247" s="13">
        <f t="shared" si="47"/>
        <v>3</v>
      </c>
      <c r="AD247" s="13">
        <f t="shared" si="47"/>
        <v>5</v>
      </c>
      <c r="AE247" s="13">
        <f t="shared" si="47"/>
        <v>0</v>
      </c>
      <c r="AF247" s="13">
        <f t="shared" si="47"/>
        <v>6</v>
      </c>
      <c r="AG247" s="13">
        <f t="shared" si="47"/>
        <v>5</v>
      </c>
      <c r="AH247" s="13">
        <f t="shared" si="47"/>
        <v>24</v>
      </c>
      <c r="AI247" s="13">
        <f t="shared" si="47"/>
        <v>5</v>
      </c>
      <c r="AJ247" s="13">
        <f t="shared" si="47"/>
        <v>1</v>
      </c>
      <c r="AK247" s="13">
        <f>SUM(E247:AJ247)</f>
        <v>102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1.0</v>
      </c>
      <c r="AG249" s="19">
        <v>0.0</v>
      </c>
      <c r="AH249" s="19">
        <v>0.0</v>
      </c>
      <c r="AI249" s="19">
        <v>1.0</v>
      </c>
      <c r="AJ249" s="19">
        <v>0.0</v>
      </c>
      <c r="AK249" s="13">
        <f t="shared" ref="AK249:AK255" si="48">SUM(E249:AJ249)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1.0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1.0</v>
      </c>
      <c r="AK255" s="13">
        <f t="shared" si="48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J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2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1</v>
      </c>
      <c r="AJ259" s="13">
        <f t="shared" si="49"/>
        <v>1</v>
      </c>
      <c r="AK259" s="13">
        <f>SUM(E259:AJ259)</f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J262" si="50">E55+E67+E79+E91+E103+E115+E127+E139+E151+E163+E175+E187+E199+E211+E223+E235+E247+E259</f>
        <v>168</v>
      </c>
      <c r="F262" s="19">
        <f t="shared" si="50"/>
        <v>179</v>
      </c>
      <c r="G262" s="19">
        <f t="shared" si="50"/>
        <v>179</v>
      </c>
      <c r="H262" s="19">
        <f t="shared" si="50"/>
        <v>209</v>
      </c>
      <c r="I262" s="19">
        <f t="shared" si="50"/>
        <v>175</v>
      </c>
      <c r="J262" s="19">
        <f t="shared" si="50"/>
        <v>211</v>
      </c>
      <c r="K262" s="19">
        <f t="shared" si="50"/>
        <v>180</v>
      </c>
      <c r="L262" s="19">
        <f t="shared" si="50"/>
        <v>186</v>
      </c>
      <c r="M262" s="19">
        <f t="shared" si="50"/>
        <v>201</v>
      </c>
      <c r="N262" s="19">
        <f t="shared" si="50"/>
        <v>217</v>
      </c>
      <c r="O262" s="19">
        <f t="shared" si="50"/>
        <v>153</v>
      </c>
      <c r="P262" s="19">
        <f t="shared" si="50"/>
        <v>193</v>
      </c>
      <c r="Q262" s="19">
        <f t="shared" si="50"/>
        <v>167</v>
      </c>
      <c r="R262" s="19">
        <f t="shared" si="50"/>
        <v>164</v>
      </c>
      <c r="S262" s="19">
        <f t="shared" si="50"/>
        <v>172</v>
      </c>
      <c r="T262" s="19">
        <f t="shared" si="50"/>
        <v>186</v>
      </c>
      <c r="U262" s="19">
        <f t="shared" si="50"/>
        <v>143</v>
      </c>
      <c r="V262" s="19">
        <f t="shared" si="50"/>
        <v>128</v>
      </c>
      <c r="W262" s="19">
        <f t="shared" si="50"/>
        <v>151</v>
      </c>
      <c r="X262" s="19">
        <f t="shared" si="50"/>
        <v>206</v>
      </c>
      <c r="Y262" s="19">
        <f t="shared" si="50"/>
        <v>169</v>
      </c>
      <c r="Z262" s="19">
        <f t="shared" si="50"/>
        <v>169</v>
      </c>
      <c r="AA262" s="19">
        <f t="shared" si="50"/>
        <v>182</v>
      </c>
      <c r="AB262" s="19">
        <f t="shared" si="50"/>
        <v>196</v>
      </c>
      <c r="AC262" s="19">
        <f t="shared" si="50"/>
        <v>163</v>
      </c>
      <c r="AD262" s="19">
        <f t="shared" si="50"/>
        <v>181</v>
      </c>
      <c r="AE262" s="19">
        <f t="shared" si="50"/>
        <v>174</v>
      </c>
      <c r="AF262" s="19">
        <f t="shared" si="50"/>
        <v>170</v>
      </c>
      <c r="AG262" s="19">
        <f t="shared" si="50"/>
        <v>223</v>
      </c>
      <c r="AH262" s="19">
        <f t="shared" si="50"/>
        <v>193</v>
      </c>
      <c r="AI262" s="19">
        <f t="shared" si="50"/>
        <v>182</v>
      </c>
      <c r="AJ262" s="19">
        <f t="shared" si="50"/>
        <v>177</v>
      </c>
      <c r="AK262" s="13">
        <f t="shared" ref="AK262:AK264" si="51">SUM(E262:AJ262)</f>
        <v>5747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60.0</v>
      </c>
      <c r="F263" s="19">
        <v>31.0</v>
      </c>
      <c r="G263" s="19">
        <v>31.0</v>
      </c>
      <c r="H263" s="19">
        <v>31.0</v>
      </c>
      <c r="I263" s="19">
        <v>50.0</v>
      </c>
      <c r="J263" s="19">
        <v>17.0</v>
      </c>
      <c r="K263" s="19">
        <v>20.0</v>
      </c>
      <c r="L263" s="19">
        <v>35.0</v>
      </c>
      <c r="M263" s="19">
        <v>41.0</v>
      </c>
      <c r="N263" s="19">
        <v>25.0</v>
      </c>
      <c r="O263" s="19">
        <v>26.0</v>
      </c>
      <c r="P263" s="19">
        <v>25.0</v>
      </c>
      <c r="Q263" s="19">
        <v>25.0</v>
      </c>
      <c r="R263" s="19">
        <v>51.0</v>
      </c>
      <c r="S263" s="19">
        <v>55.0</v>
      </c>
      <c r="T263" s="19">
        <v>36.0</v>
      </c>
      <c r="U263" s="19">
        <v>13.0</v>
      </c>
      <c r="V263" s="19">
        <v>13.0</v>
      </c>
      <c r="W263" s="19">
        <v>21.0</v>
      </c>
      <c r="X263" s="19">
        <v>26.0</v>
      </c>
      <c r="Y263" s="19">
        <v>23.0</v>
      </c>
      <c r="Z263" s="19">
        <v>49.0</v>
      </c>
      <c r="AA263" s="19">
        <v>37.0</v>
      </c>
      <c r="AB263" s="19">
        <v>44.0</v>
      </c>
      <c r="AC263" s="19">
        <v>13.0</v>
      </c>
      <c r="AD263" s="19">
        <v>32.0</v>
      </c>
      <c r="AE263" s="19">
        <v>55.0</v>
      </c>
      <c r="AF263" s="19">
        <v>37.0</v>
      </c>
      <c r="AG263" s="19">
        <v>27.0</v>
      </c>
      <c r="AH263" s="19">
        <v>14.0</v>
      </c>
      <c r="AI263" s="19">
        <v>24.0</v>
      </c>
      <c r="AJ263" s="19">
        <v>8.0</v>
      </c>
      <c r="AK263" s="13">
        <f t="shared" si="51"/>
        <v>995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J264" si="52">SUM(E262:E263)</f>
        <v>228</v>
      </c>
      <c r="F264" s="13">
        <f t="shared" si="52"/>
        <v>210</v>
      </c>
      <c r="G264" s="13">
        <f t="shared" si="52"/>
        <v>210</v>
      </c>
      <c r="H264" s="13">
        <f t="shared" si="52"/>
        <v>240</v>
      </c>
      <c r="I264" s="13">
        <f t="shared" si="52"/>
        <v>225</v>
      </c>
      <c r="J264" s="13">
        <f t="shared" si="52"/>
        <v>228</v>
      </c>
      <c r="K264" s="13">
        <f t="shared" si="52"/>
        <v>200</v>
      </c>
      <c r="L264" s="13">
        <f t="shared" si="52"/>
        <v>221</v>
      </c>
      <c r="M264" s="13">
        <f t="shared" si="52"/>
        <v>242</v>
      </c>
      <c r="N264" s="13">
        <f t="shared" si="52"/>
        <v>242</v>
      </c>
      <c r="O264" s="13">
        <f t="shared" si="52"/>
        <v>179</v>
      </c>
      <c r="P264" s="13">
        <f t="shared" si="52"/>
        <v>218</v>
      </c>
      <c r="Q264" s="13">
        <f t="shared" si="52"/>
        <v>192</v>
      </c>
      <c r="R264" s="13">
        <f t="shared" si="52"/>
        <v>215</v>
      </c>
      <c r="S264" s="13">
        <f t="shared" si="52"/>
        <v>227</v>
      </c>
      <c r="T264" s="13">
        <f t="shared" si="52"/>
        <v>222</v>
      </c>
      <c r="U264" s="13">
        <f t="shared" si="52"/>
        <v>156</v>
      </c>
      <c r="V264" s="13">
        <f t="shared" si="52"/>
        <v>141</v>
      </c>
      <c r="W264" s="13">
        <f t="shared" si="52"/>
        <v>172</v>
      </c>
      <c r="X264" s="13">
        <f t="shared" si="52"/>
        <v>232</v>
      </c>
      <c r="Y264" s="13">
        <f t="shared" si="52"/>
        <v>192</v>
      </c>
      <c r="Z264" s="13">
        <f t="shared" si="52"/>
        <v>218</v>
      </c>
      <c r="AA264" s="13">
        <f t="shared" si="52"/>
        <v>219</v>
      </c>
      <c r="AB264" s="13">
        <f t="shared" si="52"/>
        <v>240</v>
      </c>
      <c r="AC264" s="13">
        <f t="shared" si="52"/>
        <v>176</v>
      </c>
      <c r="AD264" s="13">
        <f t="shared" si="52"/>
        <v>213</v>
      </c>
      <c r="AE264" s="13">
        <f t="shared" si="52"/>
        <v>229</v>
      </c>
      <c r="AF264" s="13">
        <f t="shared" si="52"/>
        <v>207</v>
      </c>
      <c r="AG264" s="13">
        <f t="shared" si="52"/>
        <v>250</v>
      </c>
      <c r="AH264" s="13">
        <f t="shared" si="52"/>
        <v>207</v>
      </c>
      <c r="AI264" s="13">
        <f t="shared" si="52"/>
        <v>206</v>
      </c>
      <c r="AJ264" s="13">
        <f t="shared" si="52"/>
        <v>185</v>
      </c>
      <c r="AK264" s="13">
        <f t="shared" si="51"/>
        <v>6742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 AB34:AC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54">
    <cfRule type="containsBlanks" dxfId="1" priority="10">
      <formula>LEN(TRIM(E45))=0</formula>
    </cfRule>
  </conditionalFormatting>
  <conditionalFormatting sqref="E57:AJ66">
    <cfRule type="containsBlanks" dxfId="1" priority="11">
      <formula>LEN(TRIM(E57))=0</formula>
    </cfRule>
  </conditionalFormatting>
  <conditionalFormatting sqref="E69:AJ78">
    <cfRule type="containsBlanks" dxfId="1" priority="12">
      <formula>LEN(TRIM(E69))=0</formula>
    </cfRule>
  </conditionalFormatting>
  <conditionalFormatting sqref="E81:AJ90">
    <cfRule type="containsBlanks" dxfId="1" priority="13">
      <formula>LEN(TRIM(E81))=0</formula>
    </cfRule>
  </conditionalFormatting>
  <conditionalFormatting sqref="E93:AJ102">
    <cfRule type="containsBlanks" dxfId="1" priority="14">
      <formula>LEN(TRIM(E93))=0</formula>
    </cfRule>
  </conditionalFormatting>
  <conditionalFormatting sqref="E105:AJ114">
    <cfRule type="containsBlanks" dxfId="1" priority="15">
      <formula>LEN(TRIM(E105))=0</formula>
    </cfRule>
  </conditionalFormatting>
  <conditionalFormatting sqref="E117:AJ126">
    <cfRule type="containsBlanks" dxfId="1" priority="16">
      <formula>LEN(TRIM(E117))=0</formula>
    </cfRule>
  </conditionalFormatting>
  <conditionalFormatting sqref="E129:AJ138">
    <cfRule type="containsBlanks" dxfId="1" priority="17">
      <formula>LEN(TRIM(E129))=0</formula>
    </cfRule>
  </conditionalFormatting>
  <conditionalFormatting sqref="E141:AJ150">
    <cfRule type="containsBlanks" dxfId="1" priority="18">
      <formula>LEN(TRIM(E141))=0</formula>
    </cfRule>
  </conditionalFormatting>
  <conditionalFormatting sqref="E153:AJ162">
    <cfRule type="containsBlanks" dxfId="1" priority="19">
      <formula>LEN(TRIM(E153))=0</formula>
    </cfRule>
  </conditionalFormatting>
  <conditionalFormatting sqref="E165:AJ174">
    <cfRule type="containsBlanks" dxfId="1" priority="20">
      <formula>LEN(TRIM(E165))=0</formula>
    </cfRule>
  </conditionalFormatting>
  <conditionalFormatting sqref="E177:AJ186">
    <cfRule type="containsBlanks" dxfId="1" priority="21">
      <formula>LEN(TRIM(E177))=0</formula>
    </cfRule>
  </conditionalFormatting>
  <conditionalFormatting sqref="E189:AJ198">
    <cfRule type="containsBlanks" dxfId="1" priority="22">
      <formula>LEN(TRIM(E189))=0</formula>
    </cfRule>
  </conditionalFormatting>
  <conditionalFormatting sqref="E201:AJ210">
    <cfRule type="containsBlanks" dxfId="1" priority="23">
      <formula>LEN(TRIM(E201))=0</formula>
    </cfRule>
  </conditionalFormatting>
  <conditionalFormatting sqref="E213:AJ222">
    <cfRule type="containsBlanks" dxfId="1" priority="24">
      <formula>LEN(TRIM(E213))=0</formula>
    </cfRule>
  </conditionalFormatting>
  <conditionalFormatting sqref="E225:AJ234">
    <cfRule type="containsBlanks" dxfId="1" priority="25">
      <formula>LEN(TRIM(E225))=0</formula>
    </cfRule>
  </conditionalFormatting>
  <conditionalFormatting sqref="E237:AJ246">
    <cfRule type="containsBlanks" dxfId="1" priority="26">
      <formula>LEN(TRIM(E237))=0</formula>
    </cfRule>
  </conditionalFormatting>
  <conditionalFormatting sqref="E249:AJ259">
    <cfRule type="containsBlanks" dxfId="1" priority="27">
      <formula>LEN(TRIM(E249))=0</formula>
    </cfRule>
  </conditionalFormatting>
  <conditionalFormatting sqref="E262:AJ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conditionalFormatting sqref="AD34:AJ34">
    <cfRule type="expression" dxfId="0" priority="30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