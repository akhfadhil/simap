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R RI" sheetId="1" r:id="rId4"/>
    <sheet state="visible" name="GRAJAGAN" sheetId="2" r:id="rId5"/>
    <sheet state="visible" name="SUMBERASRI" sheetId="3" r:id="rId6"/>
    <sheet state="visible" name="GLAGAHAGUNG" sheetId="4" r:id="rId7"/>
    <sheet state="visible" name="SIDOREJO" sheetId="5" r:id="rId8"/>
    <sheet state="visible" name="PURWOHARJO" sheetId="6" r:id="rId9"/>
    <sheet state="visible" name="BULUREJO" sheetId="7" r:id="rId10"/>
    <sheet state="visible" name="KRADENAN" sheetId="8" r:id="rId11"/>
    <sheet state="visible" name="KARETAN" sheetId="9" r:id="rId12"/>
  </sheets>
  <definedNames/>
  <calcPr/>
  <extLst>
    <ext uri="GoogleSheetsCustomDataVersion2">
      <go:sheetsCustomData xmlns:go="http://customooxmlschemas.google.com/" r:id="rId13" roundtripDataChecksum="kgax7H0iMEW+Vpe9GQYsacEQFUezGrRLAqRQI/FWaH4="/>
    </ext>
  </extLst>
</workbook>
</file>

<file path=xl/sharedStrings.xml><?xml version="1.0" encoding="utf-8"?>
<sst xmlns="http://schemas.openxmlformats.org/spreadsheetml/2006/main" count="2797" uniqueCount="249">
  <si>
    <t>Kecamatan</t>
  </si>
  <si>
    <t>PURWOHARJO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</si>
  <si>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</si>
  <si>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</si>
  <si>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</si>
  <si>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</si>
  <si>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</si>
  <si>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</si>
  <si>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</si>
  <si>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</si>
  <si>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</si>
  <si>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</si>
  <si>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</si>
  <si>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</si>
  <si>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</si>
  <si>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</si>
  <si>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</si>
  <si>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</si>
  <si>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</si>
  <si>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</si>
  <si>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</si>
  <si>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</si>
  <si>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</si>
  <si>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</si>
  <si>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</si>
  <si>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</si>
  <si>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</si>
  <si>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</si>
  <si>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</si>
  <si>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</si>
  <si>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</si>
  <si>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</si>
  <si>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</si>
  <si>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</si>
  <si>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</si>
  <si>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</si>
  <si>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</si>
  <si>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</si>
  <si>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</si>
  <si>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</si>
  <si>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Dr. Hj. NIHAYATUL WAFIROH, M.A.</t>
  </si>
  <si>
    <t>2. H. M. NASIM KHAN</t>
  </si>
  <si>
    <t>3. Dr. H. AKIK ZAMAN, M.Pd.I.</t>
  </si>
  <si>
    <t>4. AHMAD RIFA'I, S.H.</t>
  </si>
  <si>
    <t>5. Drs. H. MAHFUD M.N.</t>
  </si>
  <si>
    <t>6. NURHAYATI, S.Pd.</t>
  </si>
  <si>
    <t>7. MAFTUHA KISWAH</t>
  </si>
  <si>
    <t>JUMLAH SUARA SAH PARTAI POLITIK DAN CALON (A1 + A2)</t>
  </si>
  <si>
    <t>Partai Gerakan Indonesia Raya</t>
  </si>
  <si>
    <t>1. SUMAIL ABDULLAH</t>
  </si>
  <si>
    <t>2. MUHAMMAD ALI ADRIAN SALEH</t>
  </si>
  <si>
    <t>3. DURROTUN NAFISAH</t>
  </si>
  <si>
    <t>4. H. EKO SUSILO NURHIDAYAT</t>
  </si>
  <si>
    <t>5. KARNADI HARIJANTO, S.S.</t>
  </si>
  <si>
    <t>6. NURHAYATI</t>
  </si>
  <si>
    <t>7. MASHUDI</t>
  </si>
  <si>
    <t>Partai Demokrasi Indonesia Perjuangan</t>
  </si>
  <si>
    <t>1. SONNY TRI DANAPARAMITA, S.H., M.H.</t>
  </si>
  <si>
    <t>2. H. MOHAMAD GUNTUR ROMLI</t>
  </si>
  <si>
    <t>3. INA AMMANIA</t>
  </si>
  <si>
    <t>4. IRWAN BACHTIAR RACHMAT, M.Si.</t>
  </si>
  <si>
    <t>5. LUCKY PERDANA</t>
  </si>
  <si>
    <t>6. WIWIK PUJIYATI</t>
  </si>
  <si>
    <t>7. CHANDRA ASTAN, S.T.</t>
  </si>
  <si>
    <t>Partai Golongan Karya</t>
  </si>
  <si>
    <t>1. ZULFIKAR ARSE SADIKIN, S.I.P., M.Si.</t>
  </si>
  <si>
    <t>2. HANDOKO</t>
  </si>
  <si>
    <t>3. Hj. OVI DEWI YANTI</t>
  </si>
  <si>
    <t>4. Ir. AZAM AZMAN NATAWIJANA</t>
  </si>
  <si>
    <t>5. UBAIDILLAH AMIN, S.Kom.</t>
  </si>
  <si>
    <t>6. DENNY YUNIANDARI, S.H., M.Kn.</t>
  </si>
  <si>
    <t>7. ERNADI, S.H.I.</t>
  </si>
  <si>
    <t>5.</t>
  </si>
  <si>
    <t>Partai NasDem</t>
  </si>
  <si>
    <t>1. ACH. FADIL MUZAKKI SYAH</t>
  </si>
  <si>
    <t>2. BENY</t>
  </si>
  <si>
    <t>3. VINA VERONIKA</t>
  </si>
  <si>
    <t>4. TEDDY ANUGRIANTO</t>
  </si>
  <si>
    <t>5. INSAN KAMIL</t>
  </si>
  <si>
    <t>6. LILIK LINDARWATI</t>
  </si>
  <si>
    <t>7. YULI ANITA</t>
  </si>
  <si>
    <t>6.</t>
  </si>
  <si>
    <t>Partai Buruh</t>
  </si>
  <si>
    <t>1. KHOIRUL ANAM</t>
  </si>
  <si>
    <t>2. INA KURNIA</t>
  </si>
  <si>
    <t>3. JIBRAL TAROUK</t>
  </si>
  <si>
    <t>4. ASTUTI DAENG PUJI</t>
  </si>
  <si>
    <t>5. ASDARMAWAN</t>
  </si>
  <si>
    <t>6. RIFQI MUBAROK</t>
  </si>
  <si>
    <t>7. FIRNANDA ALTA MEGA</t>
  </si>
  <si>
    <t>7.</t>
  </si>
  <si>
    <t>Partai Gelombang Rakyat Indonesia</t>
  </si>
  <si>
    <t>1. TITI WIDORETNO WARISMAN</t>
  </si>
  <si>
    <t>2. MAMIEK SETYANINGSIH</t>
  </si>
  <si>
    <t>3. ROMIL AZIZEN</t>
  </si>
  <si>
    <t>8.</t>
  </si>
  <si>
    <t>Partai Keadilan Sejahtera</t>
  </si>
  <si>
    <t>1. H. SAIMI SALEH, S.E., M.M.</t>
  </si>
  <si>
    <t>2. Prof. Dr. H. EGGI SUDJANA, S.H., M.Si.</t>
  </si>
  <si>
    <t>3. NURUL KHOTIMAH</t>
  </si>
  <si>
    <t>4. AKHMAD SUYANTO, S.T., M.T.</t>
  </si>
  <si>
    <t>5. PUJIYATNI</t>
  </si>
  <si>
    <t>6. HENI PURWATININGSIH</t>
  </si>
  <si>
    <t>7. MUHADI</t>
  </si>
  <si>
    <t>9.</t>
  </si>
  <si>
    <t>Partai Kebangkitan Nusantara</t>
  </si>
  <si>
    <t>1. ARIEF PRIHARDONO DARMAWAN</t>
  </si>
  <si>
    <t>2. MUSLIMIN</t>
  </si>
  <si>
    <t>3. ANDARINI RIEKE LESTINA H.</t>
  </si>
  <si>
    <t>4. CHARLES ADIKURNIA NARA HIDA</t>
  </si>
  <si>
    <t>5. FARADILLA ZAEINATH KALAKE</t>
  </si>
  <si>
    <t>6. TONY</t>
  </si>
  <si>
    <t>7. ADOLFRIN YUNIARTO KALA</t>
  </si>
  <si>
    <t>10.</t>
  </si>
  <si>
    <t>Partai Hati Nurani Rakyat</t>
  </si>
  <si>
    <t>1. Ir. H. A. BAMBANG IRIANTO</t>
  </si>
  <si>
    <t>2. EKO SUWARNO</t>
  </si>
  <si>
    <t>3. Dra. MIRTHA LISTIAYU ETTY TEDJA ADIYANTI</t>
  </si>
  <si>
    <t>4. SITI SOLIKHA</t>
  </si>
  <si>
    <t>11.</t>
  </si>
  <si>
    <t>Partai Garda Republik Indonesia</t>
  </si>
  <si>
    <t>1. TAUFIKUR RAHMAN, S.Kom.</t>
  </si>
  <si>
    <t>2. ELIN CHAERNURELINAH</t>
  </si>
  <si>
    <t>3. ARI NUROHMAN</t>
  </si>
  <si>
    <t>4. SAEFUL BAHRI</t>
  </si>
  <si>
    <t>5. NINDA HERAWATI</t>
  </si>
  <si>
    <t>6. UJANG IHWANUDIN</t>
  </si>
  <si>
    <t>7. MUHAMMAD ABDUL ROHMAN</t>
  </si>
  <si>
    <t>12.</t>
  </si>
  <si>
    <t>Partai Amanat Nasional</t>
  </si>
  <si>
    <t>1. Dr. ACH. RUBAIE, S.H., M.H.</t>
  </si>
  <si>
    <t>2. Brigjen. TNI (Purn.) SYUKRAN HAMBALI, S.H.</t>
  </si>
  <si>
    <t>3. Dra. Hj. MUSFIROH S BADRIE, M.Si.</t>
  </si>
  <si>
    <t>4. SITI ZULEHA</t>
  </si>
  <si>
    <t>5. GHOZI ZAINUDDIN, S.Ag.</t>
  </si>
  <si>
    <t>6. MUHAMMAD</t>
  </si>
  <si>
    <t>7. Drs. H. IMAM NGAQOIB, M.H.</t>
  </si>
  <si>
    <t>13.</t>
  </si>
  <si>
    <t>Partai Bulan Bintang</t>
  </si>
  <si>
    <t>1. MOHAMAD AFIFFILAH SAID</t>
  </si>
  <si>
    <t>2. AHMAD LUTFIANTO</t>
  </si>
  <si>
    <t>3. RUFINA LAILY KURNIATI</t>
  </si>
  <si>
    <t>4. WIWIK WAHYUNI, S.T.</t>
  </si>
  <si>
    <t>5. MAHFUD</t>
  </si>
  <si>
    <t>6. MARYAM CHOIRUN NISA</t>
  </si>
  <si>
    <t>7. ABU HASAN</t>
  </si>
  <si>
    <t>14.</t>
  </si>
  <si>
    <t>Partai Demokrat</t>
  </si>
  <si>
    <t>1. Dina Lorenza Audria</t>
  </si>
  <si>
    <t>2. Bobby B. Batubara, S.T., M.B.A.</t>
  </si>
  <si>
    <t>3. YUYON ALI FAHMI</t>
  </si>
  <si>
    <t>4. Mirda Rasyid, S.E., M.M.</t>
  </si>
  <si>
    <t>5. FAKHRI MUHAMMAD NOVENDRA</t>
  </si>
  <si>
    <t>6. Papang Sapari</t>
  </si>
  <si>
    <t>7. RIFKY MIFTAHUL ACHMAD</t>
  </si>
  <si>
    <t>15.</t>
  </si>
  <si>
    <t>Partai Solidaritas Indonesia</t>
  </si>
  <si>
    <t>1. IKHWAN ARIEF, S.H.I.</t>
  </si>
  <si>
    <t>2. ABDUL GHONI</t>
  </si>
  <si>
    <t>3. RAHAYU</t>
  </si>
  <si>
    <t>4. Muchamat Zainal Muzani</t>
  </si>
  <si>
    <t>5. WAHYU RAMADHAN</t>
  </si>
  <si>
    <t>6. ULFIA CAHAYANI</t>
  </si>
  <si>
    <t>7. YULIA SAFITRI</t>
  </si>
  <si>
    <t>16.</t>
  </si>
  <si>
    <t>PARTAI PERINDO</t>
  </si>
  <si>
    <t>1. ALFEN FAFIRLY, S.T.</t>
  </si>
  <si>
    <t>2. MOH. SUKRI</t>
  </si>
  <si>
    <t>3. ERFINA</t>
  </si>
  <si>
    <t>4. BEBY FAUZIANA</t>
  </si>
  <si>
    <t>5. GURITNO HIMANTORO. S.T.P., M.Si.</t>
  </si>
  <si>
    <t>6. HABSARI SUKMAYANTI</t>
  </si>
  <si>
    <t>7. EMILIA CONTESSA</t>
  </si>
  <si>
    <t>17.</t>
  </si>
  <si>
    <t>Partai Persatuan Pembangunan</t>
  </si>
  <si>
    <t>1. NORMAN ZEIN NAHDI, S.E.</t>
  </si>
  <si>
    <t>2. BASIR, S.Ag.</t>
  </si>
  <si>
    <t>3. NUR AZIZAH</t>
  </si>
  <si>
    <t>4. H. MOCH. MAHFUDH</t>
  </si>
  <si>
    <t>5. DWI SETYO EFENDI</t>
  </si>
  <si>
    <t>6. LULUK AVIYA</t>
  </si>
  <si>
    <t>7. SY. ANAS THAHIR</t>
  </si>
  <si>
    <t>18.</t>
  </si>
  <si>
    <t>Partai Ummat</t>
  </si>
  <si>
    <t>1. Ir. H. ABDUL RASYID</t>
  </si>
  <si>
    <t>2. NUR AINI, S.T.P.</t>
  </si>
  <si>
    <t>3. ERFIN SOFIA ASTUTI, S.Pd.</t>
  </si>
  <si>
    <t>4. SARIYANTO</t>
  </si>
  <si>
    <t>5. PURNOMO</t>
  </si>
  <si>
    <t>6. TRI SETYORINI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</si>
  <si>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</si>
  <si>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</si>
  <si>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</si>
  <si>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</si>
  <si>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</si>
  <si>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</si>
  <si>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</si>
  <si>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</si>
  <si>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</si>
  <si>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GRAJAGAN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</si>
  <si>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</si>
  <si>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</si>
  <si>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</si>
  <si>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</si>
  <si>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</si>
  <si>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</si>
  <si>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</si>
  <si>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</si>
  <si>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</si>
  <si>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</si>
  <si>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</si>
  <si>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</si>
  <si>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</si>
  <si>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</si>
  <si>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</si>
  <si>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</si>
  <si>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</si>
  <si>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</si>
  <si>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</si>
  <si>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</si>
  <si>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</si>
  <si>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</si>
  <si>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</si>
  <si>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</si>
  <si>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</si>
  <si>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</si>
  <si>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</si>
  <si>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</si>
  <si>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</si>
  <si>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</si>
  <si>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</si>
  <si>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</si>
  <si>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</si>
  <si>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</si>
  <si>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</si>
  <si>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</si>
  <si>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</si>
  <si>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</si>
  <si>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</si>
  <si>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</si>
  <si>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</si>
  <si>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</si>
  <si>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</si>
  <si>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SUMBERASRI</t>
  </si>
  <si>
    <t>GLAGAHAGUNG</t>
  </si>
  <si>
    <t>SIDOREJO</t>
  </si>
  <si>
    <t>BULUREJO</t>
  </si>
  <si>
    <t>KRADENAN</t>
  </si>
  <si>
    <t>KARETAN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</si>
</sst>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color theme="1"/>
      <name val="Calibri"/>
    </font>
    <font>
      <b/>
      <sz val="10.0"/>
      <color rgb="FF000000"/>
      <name val="Bookman Old Style"/>
    </font>
    <font>
      <sz val="10.0"/>
      <color rgb="FF000000"/>
      <name val="Calibri"/>
    </font>
    <font>
      <sz val="11.0"/>
      <color theme="1"/>
      <name val="Bookman Old Style"/>
    </font>
    <font>
      <sz val="11.0"/>
      <color rgb="FF000000"/>
      <name val="Bookman Old Style"/>
    </font>
    <font>
      <b/>
      <sz val="11.0"/>
      <color theme="1"/>
      <name val="Bookman Old Style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3" fillId="0" fontId="1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7" numFmtId="0" xfId="0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8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9" numFmtId="0" xfId="0" applyBorder="1" applyFont="1"/>
    <xf borderId="1" fillId="0" fontId="10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9" fillId="3" fontId="3" numFmtId="0" xfId="0" applyAlignment="1" applyBorder="1" applyFill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1"/>
    </xf>
    <xf borderId="21" fillId="3" fontId="3" numFmtId="0" xfId="0" applyAlignment="1" applyBorder="1" applyFont="1">
      <alignment shrinkToFit="0" vertical="center" wrapText="1"/>
    </xf>
    <xf borderId="21" fillId="3" fontId="2" numFmtId="0" xfId="0" applyBorder="1" applyFont="1"/>
    <xf borderId="20" fillId="2" fontId="3" numFmtId="0" xfId="0" applyAlignment="1" applyBorder="1" applyFont="1">
      <alignment horizontal="center" vertical="center"/>
    </xf>
    <xf borderId="17" fillId="3" fontId="6" numFmtId="0" xfId="0" applyAlignment="1" applyBorder="1" applyFont="1">
      <alignment horizontal="left" shrinkToFit="0" vertical="top" wrapText="1"/>
    </xf>
    <xf borderId="0" fillId="0" fontId="11" numFmtId="0" xfId="0" applyFont="1"/>
    <xf borderId="1" fillId="0" fontId="12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BULUREJO!AF14+GLAGAHAGUNG!AA14+GRAJAGAN!AV14+KARETAN!O14+KRADENAN!AK14+PURWOHARJO!AK14+SIDOREJO!AA14+SUMBERASRI!X14</f>
        <v>27886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BULUREJO!AF15+GLAGAHAGUNG!AA15+GRAJAGAN!AV15+KARETAN!O15+KRADENAN!AK15+PURWOHARJO!AK15+SIDOREJO!AA15+SUMBERASRI!X15</f>
        <v>27699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55585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BULUREJO!AF19+GLAGAHAGUNG!AA19+GRAJAGAN!AV19+KARETAN!O19+KRADENAN!AK19+PURWOHARJO!AK19+SIDOREJO!AA19+SUMBERASRI!X19</f>
        <v>21198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BULUREJO!AF20+GLAGAHAGUNG!AA20+GRAJAGAN!AV20+KARETAN!O20+KRADENAN!AK20+PURWOHARJO!AK20+SIDOREJO!AA20+SUMBERASRI!X20</f>
        <v>21906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43104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BULUREJO!AF22+GLAGAHAGUNG!AA22+GRAJAGAN!AV22+KARETAN!O22+KRADENAN!AK22+PURWOHARJO!AK22+SIDOREJO!AA22+SUMBERASRI!X22</f>
        <v>23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BULUREJO!AF23+GLAGAHAGUNG!AA23+GRAJAGAN!AV23+KARETAN!O23+KRADENAN!AK23+PURWOHARJO!AK23+SIDOREJO!AA23+SUMBERASRI!X23</f>
        <v>14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37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BULUREJO!AF25+GLAGAHAGUNG!AA25+GRAJAGAN!AV25+KARETAN!O25+KRADENAN!AK25+PURWOHARJO!AK25+SIDOREJO!AA25+SUMBERASRI!X25</f>
        <v>225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BULUREJO!AF26+GLAGAHAGUNG!AA26+GRAJAGAN!AV26+KARETAN!O26+KRADENAN!AK26+PURWOHARJO!AK26+SIDOREJO!AA26+SUMBERASRI!X26</f>
        <v>278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503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21446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22198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43644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BULUREJO!AF33+GLAGAHAGUNG!AA33+GRAJAGAN!AV33+KARETAN!O33+KRADENAN!AK33+PURWOHARJO!AK33+SIDOREJO!AA33+SUMBERASRI!X33</f>
        <v>56789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BULUREJO!AF34+GLAGAHAGUNG!AA34+GRAJAGAN!AV34+KARETAN!O34+KRADENAN!AK34+PURWOHARJO!AK34+SIDOREJO!AA34+SUMBERASRI!X34</f>
        <v>43644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BULUREJO!AF35+GLAGAHAGUNG!AA35+GRAJAGAN!AV35+KARETAN!O35+KRADENAN!AK35+PURWOHARJO!AK35+SIDOREJO!AA35+SUMBERASRI!X35</f>
        <v>96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13049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BULUREJO!AF39+GLAGAHAGUNG!AA39+GRAJAGAN!AV39+KARETAN!O39+KRADENAN!AK39+PURWOHARJO!AK39+SIDOREJO!AA39+SUMBERASRI!X39</f>
        <v>19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BULUREJO!AF40+GLAGAHAGUNG!AA40+GRAJAGAN!AV40+KARETAN!O40+KRADENAN!AK40+PURWOHARJO!AK40+SIDOREJO!AA40+SUMBERASRI!X40</f>
        <v>20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39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BULUREJO!AF45+GLAGAHAGUNG!AA45+GRAJAGAN!AV45+KARETAN!O45+KRADENAN!AK45+PURWOHARJO!AK45+SIDOREJO!AA45+SUMBERASRI!X45</f>
        <v>1342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>
        <v>1.0</v>
      </c>
      <c r="C46" s="50" t="s">
        <v>40</v>
      </c>
      <c r="D46" s="16"/>
      <c r="E46" s="24">
        <f>BULUREJO!AF46+GLAGAHAGUNG!AA46+GRAJAGAN!AV46+KARETAN!O46+KRADENAN!AK46+PURWOHARJO!AK46+SIDOREJO!AA46+SUMBERASRI!X46</f>
        <v>4574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>
        <v>2.0</v>
      </c>
      <c r="C47" s="50" t="s">
        <v>41</v>
      </c>
      <c r="D47" s="16"/>
      <c r="E47" s="24">
        <f>BULUREJO!AF47+GLAGAHAGUNG!AA47+GRAJAGAN!AV47+KARETAN!O47+KRADENAN!AK47+PURWOHARJO!AK47+SIDOREJO!AA47+SUMBERASRI!X47</f>
        <v>1490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>
        <v>3.0</v>
      </c>
      <c r="C48" s="50" t="s">
        <v>42</v>
      </c>
      <c r="D48" s="16"/>
      <c r="E48" s="24">
        <f>BULUREJO!AF48+GLAGAHAGUNG!AA48+GRAJAGAN!AV48+KARETAN!O48+KRADENAN!AK48+PURWOHARJO!AK48+SIDOREJO!AA48+SUMBERASRI!X48</f>
        <v>187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>
        <v>4.0</v>
      </c>
      <c r="C49" s="50" t="s">
        <v>43</v>
      </c>
      <c r="D49" s="16"/>
      <c r="E49" s="24">
        <f>BULUREJO!AF49+GLAGAHAGUNG!AA49+GRAJAGAN!AV49+KARETAN!O49+KRADENAN!AK49+PURWOHARJO!AK49+SIDOREJO!AA49+SUMBERASRI!X49</f>
        <v>126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>
        <v>5.0</v>
      </c>
      <c r="C50" s="50" t="s">
        <v>44</v>
      </c>
      <c r="D50" s="16"/>
      <c r="E50" s="24">
        <f>BULUREJO!AF50+GLAGAHAGUNG!AA50+GRAJAGAN!AV50+KARETAN!O50+KRADENAN!AK50+PURWOHARJO!AK50+SIDOREJO!AA50+SUMBERASRI!X50</f>
        <v>82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>
        <v>6.0</v>
      </c>
      <c r="C51" s="50" t="s">
        <v>45</v>
      </c>
      <c r="D51" s="16"/>
      <c r="E51" s="24">
        <f>BULUREJO!AF51+GLAGAHAGUNG!AA51+GRAJAGAN!AV51+KARETAN!O51+KRADENAN!AK51+PURWOHARJO!AK51+SIDOREJO!AA51+SUMBERASRI!X51</f>
        <v>97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>
        <v>7.0</v>
      </c>
      <c r="C52" s="50" t="s">
        <v>46</v>
      </c>
      <c r="D52" s="16"/>
      <c r="E52" s="24">
        <f>BULUREJO!AF52+GLAGAHAGUNG!AA52+GRAJAGAN!AV52+KARETAN!O52+KRADENAN!AK52+PURWOHARJO!AK52+SIDOREJO!AA52+SUMBERASRI!X52</f>
        <v>65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5"/>
      <c r="C53" s="50"/>
      <c r="D53" s="56"/>
      <c r="E53" s="24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5"/>
      <c r="C54" s="50"/>
      <c r="D54" s="56"/>
      <c r="E54" s="24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47</v>
      </c>
      <c r="C55" s="15"/>
      <c r="D55" s="16"/>
      <c r="E55" s="13">
        <f>SUM(E45:E52)</f>
        <v>7963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48</v>
      </c>
      <c r="D57" s="16"/>
      <c r="E57" s="24">
        <f>BULUREJO!AF57+GLAGAHAGUNG!AA57+GRAJAGAN!AV57+KARETAN!O57+KRADENAN!AK57+PURWOHARJO!AK57+SIDOREJO!AA57+SUMBERASRI!X57</f>
        <v>2199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55">
        <v>1.0</v>
      </c>
      <c r="C58" s="50" t="s">
        <v>49</v>
      </c>
      <c r="D58" s="56"/>
      <c r="E58" s="24">
        <f>BULUREJO!AF58+GLAGAHAGUNG!AA58+GRAJAGAN!AV58+KARETAN!O58+KRADENAN!AK58+PURWOHARJO!AK58+SIDOREJO!AA58+SUMBERASRI!X58</f>
        <v>1938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3"/>
      <c r="Q58" s="3"/>
      <c r="R58" s="3"/>
      <c r="S58" s="3"/>
      <c r="T58" s="3"/>
      <c r="U58" s="3"/>
      <c r="V58" s="3"/>
      <c r="W58" s="54"/>
      <c r="X58" s="3"/>
      <c r="Y58" s="3"/>
      <c r="Z58" s="3"/>
    </row>
    <row r="59" ht="15.75" customHeight="1">
      <c r="A59" s="18"/>
      <c r="B59" s="55">
        <v>2.0</v>
      </c>
      <c r="C59" s="50" t="s">
        <v>50</v>
      </c>
      <c r="D59" s="56"/>
      <c r="E59" s="24">
        <f>BULUREJO!AF59+GLAGAHAGUNG!AA59+GRAJAGAN!AV59+KARETAN!O59+KRADENAN!AK59+PURWOHARJO!AK59+SIDOREJO!AA59+SUMBERASRI!X59</f>
        <v>2917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>
        <v>3.0</v>
      </c>
      <c r="C60" s="50" t="s">
        <v>51</v>
      </c>
      <c r="D60" s="56"/>
      <c r="E60" s="24">
        <f>BULUREJO!AF60+GLAGAHAGUNG!AA60+GRAJAGAN!AV60+KARETAN!O60+KRADENAN!AK60+PURWOHARJO!AK60+SIDOREJO!AA60+SUMBERASRI!X60</f>
        <v>257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>
        <v>4.0</v>
      </c>
      <c r="C61" s="50" t="s">
        <v>52</v>
      </c>
      <c r="D61" s="56"/>
      <c r="E61" s="24">
        <f>BULUREJO!AF61+GLAGAHAGUNG!AA61+GRAJAGAN!AV61+KARETAN!O61+KRADENAN!AK61+PURWOHARJO!AK61+SIDOREJO!AA61+SUMBERASRI!X61</f>
        <v>486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>
        <v>5.0</v>
      </c>
      <c r="C62" s="50" t="s">
        <v>53</v>
      </c>
      <c r="D62" s="56"/>
      <c r="E62" s="24">
        <f>BULUREJO!AF62+GLAGAHAGUNG!AA62+GRAJAGAN!AV62+KARETAN!O62+KRADENAN!AK62+PURWOHARJO!AK62+SIDOREJO!AA62+SUMBERASRI!X62</f>
        <v>86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5">
        <v>6.0</v>
      </c>
      <c r="C63" s="50" t="s">
        <v>54</v>
      </c>
      <c r="D63" s="57"/>
      <c r="E63" s="24">
        <f>BULUREJO!AF63+GLAGAHAGUNG!AA63+GRAJAGAN!AV63+KARETAN!O63+KRADENAN!AK63+PURWOHARJO!AK63+SIDOREJO!AA63+SUMBERASRI!X63</f>
        <v>215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5">
        <v>7.0</v>
      </c>
      <c r="C64" s="50" t="s">
        <v>55</v>
      </c>
      <c r="D64" s="56"/>
      <c r="E64" s="24">
        <f>BULUREJO!AF64+GLAGAHAGUNG!AA64+GRAJAGAN!AV64+KARETAN!O64+KRADENAN!AK64+PURWOHARJO!AK64+SIDOREJO!AA64+SUMBERASRI!X64</f>
        <v>74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5"/>
      <c r="C65" s="50"/>
      <c r="D65" s="56"/>
      <c r="E65" s="24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5"/>
      <c r="C66" s="50"/>
      <c r="D66" s="56"/>
      <c r="E66" s="24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47</v>
      </c>
      <c r="C67" s="15"/>
      <c r="D67" s="16"/>
      <c r="E67" s="13">
        <f>SUM(E57:E64)</f>
        <v>8172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56</v>
      </c>
      <c r="D69" s="16"/>
      <c r="E69" s="24">
        <f>BULUREJO!AF69+GLAGAHAGUNG!AA69+GRAJAGAN!AV69+KARETAN!O69+KRADENAN!AK69+PURWOHARJO!AK69+SIDOREJO!AA69+SUMBERASRI!X69</f>
        <v>1737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55">
        <v>1.0</v>
      </c>
      <c r="C70" s="50" t="s">
        <v>57</v>
      </c>
      <c r="D70" s="57"/>
      <c r="E70" s="24">
        <f>BULUREJO!AF70+GLAGAHAGUNG!AA70+GRAJAGAN!AV70+KARETAN!O70+KRADENAN!AK70+PURWOHARJO!AK70+SIDOREJO!AA70+SUMBERASRI!X70</f>
        <v>1690</v>
      </c>
      <c r="F70" s="51"/>
      <c r="G70" s="52"/>
      <c r="H70" s="52"/>
      <c r="I70" s="52"/>
      <c r="J70" s="52"/>
      <c r="K70" s="52"/>
      <c r="L70" s="52"/>
      <c r="M70" s="52"/>
      <c r="N70" s="52"/>
      <c r="O70" s="52"/>
      <c r="P70" s="53"/>
      <c r="Q70" s="3"/>
      <c r="R70" s="3"/>
      <c r="S70" s="3"/>
      <c r="T70" s="3"/>
      <c r="U70" s="3"/>
      <c r="V70" s="3"/>
      <c r="W70" s="54"/>
      <c r="X70" s="3"/>
      <c r="Y70" s="3"/>
      <c r="Z70" s="3"/>
    </row>
    <row r="71" ht="15.75" customHeight="1">
      <c r="A71" s="18"/>
      <c r="B71" s="55">
        <v>2.0</v>
      </c>
      <c r="C71" s="50" t="s">
        <v>58</v>
      </c>
      <c r="D71" s="57"/>
      <c r="E71" s="24">
        <f>BULUREJO!AF71+GLAGAHAGUNG!AA71+GRAJAGAN!AV71+KARETAN!O71+KRADENAN!AK71+PURWOHARJO!AK71+SIDOREJO!AA71+SUMBERASRI!X71</f>
        <v>1732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>
        <v>3.0</v>
      </c>
      <c r="C72" s="50" t="s">
        <v>59</v>
      </c>
      <c r="D72" s="57"/>
      <c r="E72" s="24">
        <f>BULUREJO!AF72+GLAGAHAGUNG!AA72+GRAJAGAN!AV72+KARETAN!O72+KRADENAN!AK72+PURWOHARJO!AK72+SIDOREJO!AA72+SUMBERASRI!X72</f>
        <v>532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5">
        <v>4.0</v>
      </c>
      <c r="C73" s="50" t="s">
        <v>60</v>
      </c>
      <c r="D73" s="57"/>
      <c r="E73" s="24">
        <f>BULUREJO!AF73+GLAGAHAGUNG!AA73+GRAJAGAN!AV73+KARETAN!O73+KRADENAN!AK73+PURWOHARJO!AK73+SIDOREJO!AA73+SUMBERASRI!X73</f>
        <v>122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5">
        <v>5.0</v>
      </c>
      <c r="C74" s="50" t="s">
        <v>61</v>
      </c>
      <c r="D74" s="57"/>
      <c r="E74" s="24">
        <f>BULUREJO!AF74+GLAGAHAGUNG!AA74+GRAJAGAN!AV74+KARETAN!O74+KRADENAN!AK74+PURWOHARJO!AK74+SIDOREJO!AA74+SUMBERASRI!X74</f>
        <v>437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5">
        <v>6.0</v>
      </c>
      <c r="C75" s="50" t="s">
        <v>62</v>
      </c>
      <c r="D75" s="57"/>
      <c r="E75" s="24">
        <f>BULUREJO!AF75+GLAGAHAGUNG!AA75+GRAJAGAN!AV75+KARETAN!O75+KRADENAN!AK75+PURWOHARJO!AK75+SIDOREJO!AA75+SUMBERASRI!X75</f>
        <v>330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5">
        <v>7.0</v>
      </c>
      <c r="C76" s="50" t="s">
        <v>63</v>
      </c>
      <c r="D76" s="57"/>
      <c r="E76" s="24">
        <f>BULUREJO!AF76+GLAGAHAGUNG!AA76+GRAJAGAN!AV76+KARETAN!O76+KRADENAN!AK76+PURWOHARJO!AK76+SIDOREJO!AA76+SUMBERASRI!X76</f>
        <v>646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5"/>
      <c r="C77" s="50"/>
      <c r="D77" s="57"/>
      <c r="E77" s="24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5"/>
      <c r="C78" s="50"/>
      <c r="D78" s="57"/>
      <c r="E78" s="24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47</v>
      </c>
      <c r="C79" s="15"/>
      <c r="D79" s="16"/>
      <c r="E79" s="13">
        <f>SUM(E69:E76)</f>
        <v>7226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64</v>
      </c>
      <c r="D81" s="16"/>
      <c r="E81" s="24">
        <f>BULUREJO!AF81+GLAGAHAGUNG!AA81+GRAJAGAN!AV81+KARETAN!O81+KRADENAN!AK81+PURWOHARJO!AK81+SIDOREJO!AA81+SUMBERASRI!X81</f>
        <v>678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55">
        <v>1.0</v>
      </c>
      <c r="C82" s="50" t="s">
        <v>65</v>
      </c>
      <c r="D82" s="57"/>
      <c r="E82" s="24">
        <f>BULUREJO!AF82+GLAGAHAGUNG!AA82+GRAJAGAN!AV82+KARETAN!O82+KRADENAN!AK82+PURWOHARJO!AK82+SIDOREJO!AA82+SUMBERASRI!X82</f>
        <v>2736</v>
      </c>
      <c r="F82" s="51"/>
      <c r="G82" s="52"/>
      <c r="H82" s="52"/>
      <c r="I82" s="52"/>
      <c r="J82" s="52"/>
      <c r="K82" s="52"/>
      <c r="L82" s="52"/>
      <c r="M82" s="52"/>
      <c r="N82" s="52"/>
      <c r="O82" s="52"/>
      <c r="P82" s="53"/>
      <c r="Q82" s="3"/>
      <c r="R82" s="3"/>
      <c r="S82" s="3"/>
      <c r="T82" s="3"/>
      <c r="U82" s="3"/>
      <c r="V82" s="3"/>
      <c r="W82" s="54"/>
      <c r="X82" s="3"/>
      <c r="Y82" s="3"/>
      <c r="Z82" s="3"/>
    </row>
    <row r="83" ht="15.75" customHeight="1">
      <c r="A83" s="18"/>
      <c r="B83" s="55">
        <v>2.0</v>
      </c>
      <c r="C83" s="50" t="s">
        <v>66</v>
      </c>
      <c r="D83" s="57"/>
      <c r="E83" s="24">
        <f>BULUREJO!AF83+GLAGAHAGUNG!AA83+GRAJAGAN!AV83+KARETAN!O83+KRADENAN!AK83+PURWOHARJO!AK83+SIDOREJO!AA83+SUMBERASRI!X83</f>
        <v>1039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5">
        <v>3.0</v>
      </c>
      <c r="C84" s="50" t="s">
        <v>67</v>
      </c>
      <c r="D84" s="57"/>
      <c r="E84" s="24">
        <f>BULUREJO!AF84+GLAGAHAGUNG!AA84+GRAJAGAN!AV84+KARETAN!O84+KRADENAN!AK84+PURWOHARJO!AK84+SIDOREJO!AA84+SUMBERASRI!X84</f>
        <v>84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5">
        <v>4.0</v>
      </c>
      <c r="C85" s="50" t="s">
        <v>68</v>
      </c>
      <c r="D85" s="57"/>
      <c r="E85" s="24">
        <f>BULUREJO!AF85+GLAGAHAGUNG!AA85+GRAJAGAN!AV85+KARETAN!O85+KRADENAN!AK85+PURWOHARJO!AK85+SIDOREJO!AA85+SUMBERASRI!X85</f>
        <v>246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5">
        <v>5.0</v>
      </c>
      <c r="C86" s="50" t="s">
        <v>69</v>
      </c>
      <c r="D86" s="57"/>
      <c r="E86" s="24">
        <f>BULUREJO!AF86+GLAGAHAGUNG!AA86+GRAJAGAN!AV86+KARETAN!O86+KRADENAN!AK86+PURWOHARJO!AK86+SIDOREJO!AA86+SUMBERASRI!X86</f>
        <v>227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5">
        <v>6.0</v>
      </c>
      <c r="C87" s="50" t="s">
        <v>70</v>
      </c>
      <c r="D87" s="57"/>
      <c r="E87" s="24">
        <f>BULUREJO!AF87+GLAGAHAGUNG!AA87+GRAJAGAN!AV87+KARETAN!O87+KRADENAN!AK87+PURWOHARJO!AK87+SIDOREJO!AA87+SUMBERASRI!X87</f>
        <v>24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>
        <v>7.0</v>
      </c>
      <c r="C88" s="50" t="s">
        <v>71</v>
      </c>
      <c r="D88" s="57"/>
      <c r="E88" s="24">
        <f>BULUREJO!AF88+GLAGAHAGUNG!AA88+GRAJAGAN!AV88+KARETAN!O88+KRADENAN!AK88+PURWOHARJO!AK88+SIDOREJO!AA88+SUMBERASRI!X88</f>
        <v>38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5"/>
      <c r="C89" s="50"/>
      <c r="D89" s="57"/>
      <c r="E89" s="24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5"/>
      <c r="C90" s="50"/>
      <c r="D90" s="57"/>
      <c r="E90" s="24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47</v>
      </c>
      <c r="C91" s="15"/>
      <c r="D91" s="16"/>
      <c r="E91" s="13">
        <f>SUM(E81:E88)</f>
        <v>5072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72</v>
      </c>
      <c r="C93" s="48" t="s">
        <v>73</v>
      </c>
      <c r="D93" s="16"/>
      <c r="E93" s="24">
        <f>BULUREJO!AF93+GLAGAHAGUNG!AA93+GRAJAGAN!AV93+KARETAN!O93+KRADENAN!AK93+PURWOHARJO!AK93+SIDOREJO!AA93+SUMBERASRI!X93</f>
        <v>499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55">
        <v>1.0</v>
      </c>
      <c r="C94" s="50" t="s">
        <v>74</v>
      </c>
      <c r="D94" s="57"/>
      <c r="E94" s="24">
        <f>BULUREJO!AF94+GLAGAHAGUNG!AA94+GRAJAGAN!AV94+KARETAN!O94+KRADENAN!AK94+PURWOHARJO!AK94+SIDOREJO!AA94+SUMBERASRI!X94</f>
        <v>314</v>
      </c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3"/>
      <c r="R94" s="3"/>
      <c r="S94" s="3"/>
      <c r="T94" s="3"/>
      <c r="U94" s="3"/>
      <c r="V94" s="3"/>
      <c r="W94" s="54"/>
      <c r="X94" s="3"/>
      <c r="Y94" s="3"/>
      <c r="Z94" s="3"/>
    </row>
    <row r="95" ht="15.75" customHeight="1">
      <c r="A95" s="18"/>
      <c r="B95" s="55">
        <v>2.0</v>
      </c>
      <c r="C95" s="50" t="s">
        <v>75</v>
      </c>
      <c r="D95" s="57"/>
      <c r="E95" s="24">
        <f>BULUREJO!AF95+GLAGAHAGUNG!AA95+GRAJAGAN!AV95+KARETAN!O95+KRADENAN!AK95+PURWOHARJO!AK95+SIDOREJO!AA95+SUMBERASRI!X95</f>
        <v>790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5">
        <v>3.0</v>
      </c>
      <c r="C96" s="50" t="s">
        <v>76</v>
      </c>
      <c r="D96" s="57"/>
      <c r="E96" s="24">
        <f>BULUREJO!AF96+GLAGAHAGUNG!AA96+GRAJAGAN!AV96+KARETAN!O96+KRADENAN!AK96+PURWOHARJO!AK96+SIDOREJO!AA96+SUMBERASRI!X96</f>
        <v>116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5">
        <v>4.0</v>
      </c>
      <c r="C97" s="50" t="s">
        <v>77</v>
      </c>
      <c r="D97" s="57"/>
      <c r="E97" s="24">
        <f>BULUREJO!AF97+GLAGAHAGUNG!AA97+GRAJAGAN!AV97+KARETAN!O97+KRADENAN!AK97+PURWOHARJO!AK97+SIDOREJO!AA97+SUMBERASRI!X97</f>
        <v>333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>
        <v>5.0</v>
      </c>
      <c r="C98" s="50" t="s">
        <v>78</v>
      </c>
      <c r="D98" s="57"/>
      <c r="E98" s="24">
        <f>BULUREJO!AF98+GLAGAHAGUNG!AA98+GRAJAGAN!AV98+KARETAN!O98+KRADENAN!AK98+PURWOHARJO!AK98+SIDOREJO!AA98+SUMBERASRI!X98</f>
        <v>281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>
        <v>6.0</v>
      </c>
      <c r="C99" s="50" t="s">
        <v>79</v>
      </c>
      <c r="D99" s="57"/>
      <c r="E99" s="24">
        <f>BULUREJO!AF99+GLAGAHAGUNG!AA99+GRAJAGAN!AV99+KARETAN!O99+KRADENAN!AK99+PURWOHARJO!AK99+SIDOREJO!AA99+SUMBERASRI!X99</f>
        <v>29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>
        <v>7.0</v>
      </c>
      <c r="C100" s="50" t="s">
        <v>80</v>
      </c>
      <c r="D100" s="57"/>
      <c r="E100" s="24">
        <f>BULUREJO!AF100+GLAGAHAGUNG!AA100+GRAJAGAN!AV100+KARETAN!O100+KRADENAN!AK100+PURWOHARJO!AK100+SIDOREJO!AA100+SUMBERASRI!X100</f>
        <v>16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5"/>
      <c r="C101" s="50"/>
      <c r="D101" s="57"/>
      <c r="E101" s="24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5"/>
      <c r="C102" s="50"/>
      <c r="D102" s="57"/>
      <c r="E102" s="24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47</v>
      </c>
      <c r="C103" s="15"/>
      <c r="D103" s="16"/>
      <c r="E103" s="13">
        <f>SUM(E93:E100)</f>
        <v>2378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81</v>
      </c>
      <c r="C105" s="48" t="s">
        <v>82</v>
      </c>
      <c r="D105" s="16"/>
      <c r="E105" s="24">
        <f>BULUREJO!AF105+GLAGAHAGUNG!AA105+GRAJAGAN!AV105+KARETAN!O105+KRADENAN!AK105+PURWOHARJO!AK105+SIDOREJO!AA105+SUMBERASRI!X105</f>
        <v>81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5">
        <v>1.0</v>
      </c>
      <c r="C106" s="50" t="s">
        <v>83</v>
      </c>
      <c r="D106" s="57"/>
      <c r="E106" s="24">
        <f>BULUREJO!AF106+GLAGAHAGUNG!AA106+GRAJAGAN!AV106+KARETAN!O106+KRADENAN!AK106+PURWOHARJO!AK106+SIDOREJO!AA106+SUMBERASRI!X106</f>
        <v>54</v>
      </c>
      <c r="F106" s="51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3"/>
      <c r="R106" s="3"/>
      <c r="S106" s="3"/>
      <c r="T106" s="3"/>
      <c r="U106" s="3"/>
      <c r="V106" s="3"/>
      <c r="W106" s="54"/>
      <c r="X106" s="3"/>
      <c r="Y106" s="3"/>
      <c r="Z106" s="3"/>
    </row>
    <row r="107" ht="15.75" customHeight="1">
      <c r="A107" s="18"/>
      <c r="B107" s="55">
        <v>2.0</v>
      </c>
      <c r="C107" s="50" t="s">
        <v>84</v>
      </c>
      <c r="D107" s="57"/>
      <c r="E107" s="24">
        <f>BULUREJO!AF107+GLAGAHAGUNG!AA107+GRAJAGAN!AV107+KARETAN!O107+KRADENAN!AK107+PURWOHARJO!AK107+SIDOREJO!AA107+SUMBERASRI!X107</f>
        <v>38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5">
        <v>3.0</v>
      </c>
      <c r="C108" s="50" t="s">
        <v>85</v>
      </c>
      <c r="D108" s="57"/>
      <c r="E108" s="24">
        <f>BULUREJO!AF108+GLAGAHAGUNG!AA108+GRAJAGAN!AV108+KARETAN!O108+KRADENAN!AK108+PURWOHARJO!AK108+SIDOREJO!AA108+SUMBERASRI!X108</f>
        <v>16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5">
        <v>4.0</v>
      </c>
      <c r="C109" s="50" t="s">
        <v>86</v>
      </c>
      <c r="D109" s="57"/>
      <c r="E109" s="24">
        <f>BULUREJO!AF109+GLAGAHAGUNG!AA109+GRAJAGAN!AV109+KARETAN!O109+KRADENAN!AK109+PURWOHARJO!AK109+SIDOREJO!AA109+SUMBERASRI!X109</f>
        <v>7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5">
        <v>5.0</v>
      </c>
      <c r="C110" s="50" t="s">
        <v>87</v>
      </c>
      <c r="D110" s="57"/>
      <c r="E110" s="24">
        <f>BULUREJO!AF110+GLAGAHAGUNG!AA110+GRAJAGAN!AV110+KARETAN!O110+KRADENAN!AK110+PURWOHARJO!AK110+SIDOREJO!AA110+SUMBERASRI!X110</f>
        <v>4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5">
        <v>6.0</v>
      </c>
      <c r="C111" s="50" t="s">
        <v>88</v>
      </c>
      <c r="D111" s="57"/>
      <c r="E111" s="24">
        <f>BULUREJO!AF111+GLAGAHAGUNG!AA111+GRAJAGAN!AV111+KARETAN!O111+KRADENAN!AK111+PURWOHARJO!AK111+SIDOREJO!AA111+SUMBERASRI!X111</f>
        <v>4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5">
        <v>7.0</v>
      </c>
      <c r="C112" s="50" t="s">
        <v>89</v>
      </c>
      <c r="D112" s="57"/>
      <c r="E112" s="24">
        <f>BULUREJO!AF112+GLAGAHAGUNG!AA112+GRAJAGAN!AV112+KARETAN!O112+KRADENAN!AK112+PURWOHARJO!AK112+SIDOREJO!AA112+SUMBERASRI!X112</f>
        <v>7</v>
      </c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5"/>
      <c r="C113" s="50"/>
      <c r="D113" s="57"/>
      <c r="E113" s="24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5"/>
      <c r="C114" s="50"/>
      <c r="D114" s="57"/>
      <c r="E114" s="24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47</v>
      </c>
      <c r="C115" s="15"/>
      <c r="D115" s="16"/>
      <c r="E115" s="13">
        <f>SUM(E105:E112)</f>
        <v>211</v>
      </c>
      <c r="F115" s="51"/>
      <c r="G115" s="52"/>
      <c r="H115" s="52"/>
      <c r="I115" s="52"/>
      <c r="J115" s="52"/>
      <c r="K115" s="52"/>
      <c r="L115" s="52"/>
      <c r="M115" s="52"/>
      <c r="N115" s="52"/>
      <c r="O115" s="52"/>
      <c r="P115" s="53"/>
      <c r="Q115" s="3"/>
      <c r="R115" s="3"/>
      <c r="S115" s="3"/>
      <c r="T115" s="3"/>
      <c r="U115" s="3"/>
      <c r="V115" s="3"/>
      <c r="W115" s="54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90</v>
      </c>
      <c r="C117" s="48" t="s">
        <v>91</v>
      </c>
      <c r="D117" s="16"/>
      <c r="E117" s="24">
        <f>BULUREJO!AF117+GLAGAHAGUNG!AA117+GRAJAGAN!AV117+KARETAN!O117+KRADENAN!AK117+PURWOHARJO!AK117+SIDOREJO!AA117+SUMBERASRI!X117</f>
        <v>249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55">
        <v>1.0</v>
      </c>
      <c r="C118" s="50" t="s">
        <v>92</v>
      </c>
      <c r="D118" s="57"/>
      <c r="E118" s="24">
        <f>BULUREJO!AF118+GLAGAHAGUNG!AA118+GRAJAGAN!AV118+KARETAN!O118+KRADENAN!AK118+PURWOHARJO!AK118+SIDOREJO!AA118+SUMBERASRI!X118</f>
        <v>51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5">
        <v>2.0</v>
      </c>
      <c r="C119" s="50" t="s">
        <v>93</v>
      </c>
      <c r="D119" s="57"/>
      <c r="E119" s="24">
        <f>BULUREJO!AF119+GLAGAHAGUNG!AA119+GRAJAGAN!AV119+KARETAN!O119+KRADENAN!AK119+PURWOHARJO!AK119+SIDOREJO!AA119+SUMBERASRI!X119</f>
        <v>29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5">
        <v>3.0</v>
      </c>
      <c r="C120" s="50" t="s">
        <v>94</v>
      </c>
      <c r="D120" s="57"/>
      <c r="E120" s="24">
        <f>BULUREJO!AF120+GLAGAHAGUNG!AA120+GRAJAGAN!AV120+KARETAN!O120+KRADENAN!AK120+PURWOHARJO!AK120+SIDOREJO!AA120+SUMBERASRI!X120</f>
        <v>14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5"/>
      <c r="C121" s="50"/>
      <c r="D121" s="57"/>
      <c r="E121" s="40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5"/>
      <c r="C122" s="50"/>
      <c r="D122" s="57"/>
      <c r="E122" s="40"/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5"/>
      <c r="C123" s="50"/>
      <c r="D123" s="57"/>
      <c r="E123" s="40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5"/>
      <c r="C124" s="50"/>
      <c r="D124" s="57"/>
      <c r="E124" s="40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5"/>
      <c r="C125" s="50"/>
      <c r="D125" s="57"/>
      <c r="E125" s="40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5"/>
      <c r="C126" s="50"/>
      <c r="D126" s="57"/>
      <c r="E126" s="40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47</v>
      </c>
      <c r="C127" s="15"/>
      <c r="D127" s="16"/>
      <c r="E127" s="58">
        <f>SUM(E117:E120)</f>
        <v>343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95</v>
      </c>
      <c r="C129" s="48" t="s">
        <v>96</v>
      </c>
      <c r="D129" s="16"/>
      <c r="E129" s="24">
        <f>BULUREJO!AF129+GLAGAHAGUNG!AA129+GRAJAGAN!AV129+KARETAN!O129+KRADENAN!AK129+PURWOHARJO!AK129+SIDOREJO!AA129+SUMBERASRI!X129</f>
        <v>120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55">
        <v>1.0</v>
      </c>
      <c r="C130" s="50" t="s">
        <v>97</v>
      </c>
      <c r="D130" s="56"/>
      <c r="E130" s="24">
        <f>BULUREJO!AF130+GLAGAHAGUNG!AA130+GRAJAGAN!AV130+KARETAN!O130+KRADENAN!AK130+PURWOHARJO!AK130+SIDOREJO!AA130+SUMBERASRI!X130</f>
        <v>241</v>
      </c>
      <c r="F130" s="51"/>
      <c r="G130" s="52"/>
      <c r="H130" s="52"/>
      <c r="I130" s="52"/>
      <c r="J130" s="52"/>
      <c r="K130" s="52"/>
      <c r="L130" s="52"/>
      <c r="M130" s="52"/>
      <c r="N130" s="52"/>
      <c r="O130" s="52"/>
      <c r="P130" s="53"/>
      <c r="Q130" s="3"/>
      <c r="R130" s="3"/>
      <c r="S130" s="3"/>
      <c r="T130" s="3"/>
      <c r="U130" s="3"/>
      <c r="V130" s="3"/>
      <c r="W130" s="54"/>
      <c r="X130" s="3"/>
      <c r="Y130" s="3"/>
      <c r="Z130" s="3"/>
    </row>
    <row r="131" ht="15.75" customHeight="1">
      <c r="A131" s="18"/>
      <c r="B131" s="55">
        <v>2.0</v>
      </c>
      <c r="C131" s="50" t="s">
        <v>98</v>
      </c>
      <c r="D131" s="56"/>
      <c r="E131" s="24">
        <f>BULUREJO!AF131+GLAGAHAGUNG!AA131+GRAJAGAN!AV131+KARETAN!O131+KRADENAN!AK131+PURWOHARJO!AK131+SIDOREJO!AA131+SUMBERASRI!X131</f>
        <v>111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5">
        <v>3.0</v>
      </c>
      <c r="C132" s="50" t="s">
        <v>99</v>
      </c>
      <c r="D132" s="56"/>
      <c r="E132" s="24">
        <f>BULUREJO!AF132+GLAGAHAGUNG!AA132+GRAJAGAN!AV132+KARETAN!O132+KRADENAN!AK132+PURWOHARJO!AK132+SIDOREJO!AA132+SUMBERASRI!X132</f>
        <v>16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>
        <v>4.0</v>
      </c>
      <c r="C133" s="50" t="s">
        <v>100</v>
      </c>
      <c r="D133" s="56"/>
      <c r="E133" s="24">
        <f>BULUREJO!AF133+GLAGAHAGUNG!AA133+GRAJAGAN!AV133+KARETAN!O133+KRADENAN!AK133+PURWOHARJO!AK133+SIDOREJO!AA133+SUMBERASRI!X133</f>
        <v>19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>
        <v>5.0</v>
      </c>
      <c r="C134" s="50" t="s">
        <v>101</v>
      </c>
      <c r="D134" s="56"/>
      <c r="E134" s="24">
        <f>BULUREJO!AF134+GLAGAHAGUNG!AA134+GRAJAGAN!AV134+KARETAN!O134+KRADENAN!AK134+PURWOHARJO!AK134+SIDOREJO!AA134+SUMBERASRI!X134</f>
        <v>5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>
        <v>6.0</v>
      </c>
      <c r="C135" s="50" t="s">
        <v>102</v>
      </c>
      <c r="D135" s="57"/>
      <c r="E135" s="24">
        <f>BULUREJO!AF135+GLAGAHAGUNG!AA135+GRAJAGAN!AV135+KARETAN!O135+KRADENAN!AK135+PURWOHARJO!AK135+SIDOREJO!AA135+SUMBERASRI!X135</f>
        <v>5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5">
        <v>7.0</v>
      </c>
      <c r="C136" s="50" t="s">
        <v>103</v>
      </c>
      <c r="D136" s="56"/>
      <c r="E136" s="24">
        <f>BULUREJO!AF136+GLAGAHAGUNG!AA136+GRAJAGAN!AV136+KARETAN!O136+KRADENAN!AK136+PURWOHARJO!AK136+SIDOREJO!AA136+SUMBERASRI!X136</f>
        <v>1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5"/>
      <c r="C137" s="50"/>
      <c r="D137" s="56"/>
      <c r="E137" s="24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5"/>
      <c r="C138" s="50"/>
      <c r="D138" s="56"/>
      <c r="E138" s="24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47</v>
      </c>
      <c r="C139" s="15"/>
      <c r="D139" s="16"/>
      <c r="E139" s="13">
        <f>SUM(E129:E136)</f>
        <v>518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104</v>
      </c>
      <c r="C141" s="48" t="s">
        <v>105</v>
      </c>
      <c r="D141" s="16"/>
      <c r="E141" s="24">
        <f>BULUREJO!AF141+GLAGAHAGUNG!AA141+GRAJAGAN!AV141+KARETAN!O141+KRADENAN!AK141+PURWOHARJO!AK141+SIDOREJO!AA141+SUMBERASRI!X141</f>
        <v>9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55">
        <v>1.0</v>
      </c>
      <c r="C142" s="50" t="s">
        <v>106</v>
      </c>
      <c r="D142" s="57"/>
      <c r="E142" s="24">
        <f>BULUREJO!AF142+GLAGAHAGUNG!AA142+GRAJAGAN!AV142+KARETAN!O142+KRADENAN!AK142+PURWOHARJO!AK142+SIDOREJO!AA142+SUMBERASRI!X142</f>
        <v>4</v>
      </c>
      <c r="F142" s="51"/>
      <c r="G142" s="52"/>
      <c r="H142" s="52"/>
      <c r="I142" s="52"/>
      <c r="J142" s="52"/>
      <c r="K142" s="52"/>
      <c r="L142" s="52"/>
      <c r="M142" s="52"/>
      <c r="N142" s="52"/>
      <c r="O142" s="52"/>
      <c r="P142" s="53"/>
      <c r="Q142" s="3"/>
      <c r="R142" s="3"/>
      <c r="S142" s="3"/>
      <c r="T142" s="3"/>
      <c r="U142" s="3"/>
      <c r="V142" s="3"/>
      <c r="W142" s="54"/>
      <c r="X142" s="3"/>
      <c r="Y142" s="3"/>
      <c r="Z142" s="3"/>
    </row>
    <row r="143" ht="15.75" customHeight="1">
      <c r="A143" s="18"/>
      <c r="B143" s="55">
        <v>2.0</v>
      </c>
      <c r="C143" s="50" t="s">
        <v>107</v>
      </c>
      <c r="D143" s="57"/>
      <c r="E143" s="24">
        <f>BULUREJO!AF143+GLAGAHAGUNG!AA143+GRAJAGAN!AV143+KARETAN!O143+KRADENAN!AK143+PURWOHARJO!AK143+SIDOREJO!AA143+SUMBERASRI!X143</f>
        <v>9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>
        <v>3.0</v>
      </c>
      <c r="C144" s="50" t="s">
        <v>108</v>
      </c>
      <c r="D144" s="57"/>
      <c r="E144" s="24">
        <f>BULUREJO!AF144+GLAGAHAGUNG!AA144+GRAJAGAN!AV144+KARETAN!O144+KRADENAN!AK144+PURWOHARJO!AK144+SIDOREJO!AA144+SUMBERASRI!X144</f>
        <v>0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5">
        <v>4.0</v>
      </c>
      <c r="C145" s="50" t="s">
        <v>109</v>
      </c>
      <c r="D145" s="57"/>
      <c r="E145" s="24">
        <f>BULUREJO!AF145+GLAGAHAGUNG!AA145+GRAJAGAN!AV145+KARETAN!O145+KRADENAN!AK145+PURWOHARJO!AK145+SIDOREJO!AA145+SUMBERASRI!X145</f>
        <v>2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5">
        <v>5.0</v>
      </c>
      <c r="C146" s="50" t="s">
        <v>110</v>
      </c>
      <c r="D146" s="57"/>
      <c r="E146" s="24">
        <f>BULUREJO!AF146+GLAGAHAGUNG!AA146+GRAJAGAN!AV146+KARETAN!O146+KRADENAN!AK146+PURWOHARJO!AK146+SIDOREJO!AA146+SUMBERASRI!X146</f>
        <v>2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5">
        <v>6.0</v>
      </c>
      <c r="C147" s="50" t="s">
        <v>111</v>
      </c>
      <c r="D147" s="57"/>
      <c r="E147" s="24">
        <f>BULUREJO!AF147+GLAGAHAGUNG!AA147+GRAJAGAN!AV147+KARETAN!O147+KRADENAN!AK147+PURWOHARJO!AK147+SIDOREJO!AA147+SUMBERASRI!X147</f>
        <v>1</v>
      </c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5">
        <v>7.0</v>
      </c>
      <c r="C148" s="50" t="s">
        <v>112</v>
      </c>
      <c r="D148" s="57"/>
      <c r="E148" s="24">
        <f>BULUREJO!AF148+GLAGAHAGUNG!AA148+GRAJAGAN!AV148+KARETAN!O148+KRADENAN!AK148+PURWOHARJO!AK148+SIDOREJO!AA148+SUMBERASRI!X148</f>
        <v>1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5"/>
      <c r="C149" s="50"/>
      <c r="D149" s="57"/>
      <c r="E149" s="24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5"/>
      <c r="C150" s="50"/>
      <c r="D150" s="57"/>
      <c r="E150" s="24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47</v>
      </c>
      <c r="C151" s="15"/>
      <c r="D151" s="16"/>
      <c r="E151" s="13">
        <f>SUM(E141:E148)</f>
        <v>28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47" t="s">
        <v>113</v>
      </c>
      <c r="C153" s="48" t="s">
        <v>114</v>
      </c>
      <c r="D153" s="16"/>
      <c r="E153" s="24">
        <f>BULUREJO!AF153+GLAGAHAGUNG!AA153+GRAJAGAN!AV153+KARETAN!O153+KRADENAN!AK153+PURWOHARJO!AK153+SIDOREJO!AA153+SUMBERASRI!X153</f>
        <v>32</v>
      </c>
      <c r="F153" s="51"/>
      <c r="G153" s="52"/>
      <c r="H153" s="52"/>
      <c r="I153" s="52"/>
      <c r="J153" s="52"/>
      <c r="K153" s="52"/>
      <c r="L153" s="52"/>
      <c r="M153" s="52"/>
      <c r="N153" s="52"/>
      <c r="O153" s="52"/>
      <c r="P153" s="53"/>
      <c r="Q153" s="3"/>
      <c r="R153" s="3"/>
      <c r="S153" s="3"/>
      <c r="T153" s="3"/>
      <c r="U153" s="3"/>
      <c r="V153" s="3"/>
      <c r="W153" s="54"/>
      <c r="X153" s="3"/>
      <c r="Y153" s="3"/>
      <c r="Z153" s="3"/>
    </row>
    <row r="154" ht="15.75" customHeight="1">
      <c r="A154" s="30" t="s">
        <v>39</v>
      </c>
      <c r="B154" s="55">
        <v>1.0</v>
      </c>
      <c r="C154" s="59" t="s">
        <v>115</v>
      </c>
      <c r="D154" s="57"/>
      <c r="E154" s="24">
        <f>BULUREJO!AF154+GLAGAHAGUNG!AA154+GRAJAGAN!AV154+KARETAN!O154+KRADENAN!AK154+PURWOHARJO!AK154+SIDOREJO!AA154+SUMBERASRI!X154</f>
        <v>25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>
        <v>2.0</v>
      </c>
      <c r="C155" s="59" t="s">
        <v>116</v>
      </c>
      <c r="D155" s="57"/>
      <c r="E155" s="24">
        <f>BULUREJO!AF155+GLAGAHAGUNG!AA155+GRAJAGAN!AV155+KARETAN!O155+KRADENAN!AK155+PURWOHARJO!AK155+SIDOREJO!AA155+SUMBERASRI!X155</f>
        <v>21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5">
        <v>3.0</v>
      </c>
      <c r="C156" s="59" t="s">
        <v>117</v>
      </c>
      <c r="D156" s="57"/>
      <c r="E156" s="24">
        <f>BULUREJO!AF156+GLAGAHAGUNG!AA156+GRAJAGAN!AV156+KARETAN!O156+KRADENAN!AK156+PURWOHARJO!AK156+SIDOREJO!AA156+SUMBERASRI!X156</f>
        <v>6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5">
        <v>4.0</v>
      </c>
      <c r="C157" s="59" t="s">
        <v>118</v>
      </c>
      <c r="D157" s="57"/>
      <c r="E157" s="24">
        <f>BULUREJO!AF157+GLAGAHAGUNG!AA157+GRAJAGAN!AV157+KARETAN!O157+KRADENAN!AK157+PURWOHARJO!AK157+SIDOREJO!AA157+SUMBERASRI!X157</f>
        <v>4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5"/>
      <c r="C158" s="60"/>
      <c r="D158" s="57"/>
      <c r="E158" s="24"/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5"/>
      <c r="C159" s="60"/>
      <c r="D159" s="57"/>
      <c r="E159" s="24"/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5"/>
      <c r="C160" s="60"/>
      <c r="D160" s="57"/>
      <c r="E160" s="24"/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5"/>
      <c r="C161" s="60"/>
      <c r="D161" s="57"/>
      <c r="E161" s="24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5"/>
      <c r="C162" s="60"/>
      <c r="D162" s="57"/>
      <c r="E162" s="24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47" t="s">
        <v>47</v>
      </c>
      <c r="C163" s="15"/>
      <c r="D163" s="16"/>
      <c r="E163" s="13">
        <f>SUM(E153:E157)</f>
        <v>88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119</v>
      </c>
      <c r="C165" s="48" t="s">
        <v>120</v>
      </c>
      <c r="D165" s="16"/>
      <c r="E165" s="24">
        <f>BULUREJO!AF165+GLAGAHAGUNG!AA165+GRAJAGAN!AV165+KARETAN!O165+KRADENAN!AK165+PURWOHARJO!AK165+SIDOREJO!AA165+SUMBERASRI!X165</f>
        <v>50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5">
        <v>1.0</v>
      </c>
      <c r="C166" s="50" t="s">
        <v>121</v>
      </c>
      <c r="D166" s="57"/>
      <c r="E166" s="24">
        <f>BULUREJO!AF166+GLAGAHAGUNG!AA166+GRAJAGAN!AV166+KARETAN!O166+KRADENAN!AK166+PURWOHARJO!AK166+SIDOREJO!AA166+SUMBERASRI!X166</f>
        <v>30</v>
      </c>
      <c r="F166" s="51"/>
      <c r="G166" s="52"/>
      <c r="H166" s="52"/>
      <c r="I166" s="52"/>
      <c r="J166" s="52"/>
      <c r="K166" s="52"/>
      <c r="L166" s="52"/>
      <c r="M166" s="52"/>
      <c r="N166" s="52"/>
      <c r="O166" s="52"/>
      <c r="P166" s="53"/>
      <c r="Q166" s="3"/>
      <c r="R166" s="3"/>
      <c r="S166" s="3"/>
      <c r="T166" s="3"/>
      <c r="U166" s="3"/>
      <c r="V166" s="3"/>
      <c r="W166" s="54"/>
      <c r="X166" s="3"/>
      <c r="Y166" s="3"/>
      <c r="Z166" s="3"/>
    </row>
    <row r="167" ht="15.75" customHeight="1">
      <c r="A167" s="18"/>
      <c r="B167" s="55">
        <v>2.0</v>
      </c>
      <c r="C167" s="50" t="s">
        <v>122</v>
      </c>
      <c r="D167" s="57"/>
      <c r="E167" s="24">
        <f>BULUREJO!AF167+GLAGAHAGUNG!AA167+GRAJAGAN!AV167+KARETAN!O167+KRADENAN!AK167+PURWOHARJO!AK167+SIDOREJO!AA167+SUMBERASRI!X167</f>
        <v>19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5">
        <v>3.0</v>
      </c>
      <c r="C168" s="50" t="s">
        <v>123</v>
      </c>
      <c r="D168" s="57"/>
      <c r="E168" s="24">
        <f>BULUREJO!AF168+GLAGAHAGUNG!AA168+GRAJAGAN!AV168+KARETAN!O168+KRADENAN!AK168+PURWOHARJO!AK168+SIDOREJO!AA168+SUMBERASRI!X168</f>
        <v>9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5">
        <v>4.0</v>
      </c>
      <c r="C169" s="50" t="s">
        <v>124</v>
      </c>
      <c r="D169" s="57"/>
      <c r="E169" s="24">
        <f>BULUREJO!AF169+GLAGAHAGUNG!AA169+GRAJAGAN!AV169+KARETAN!O169+KRADENAN!AK169+PURWOHARJO!AK169+SIDOREJO!AA169+SUMBERASRI!X169</f>
        <v>4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5">
        <v>5.0</v>
      </c>
      <c r="C170" s="50" t="s">
        <v>125</v>
      </c>
      <c r="D170" s="57"/>
      <c r="E170" s="24">
        <f>BULUREJO!AF170+GLAGAHAGUNG!AA170+GRAJAGAN!AV170+KARETAN!O170+KRADENAN!AK170+PURWOHARJO!AK170+SIDOREJO!AA170+SUMBERASRI!X170</f>
        <v>8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5">
        <v>6.0</v>
      </c>
      <c r="C171" s="50" t="s">
        <v>126</v>
      </c>
      <c r="D171" s="57"/>
      <c r="E171" s="24">
        <f>BULUREJO!AF171+GLAGAHAGUNG!AA171+GRAJAGAN!AV171+KARETAN!O171+KRADENAN!AK171+PURWOHARJO!AK171+SIDOREJO!AA171+SUMBERASRI!X171</f>
        <v>3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5">
        <v>7.0</v>
      </c>
      <c r="C172" s="50" t="s">
        <v>127</v>
      </c>
      <c r="D172" s="57"/>
      <c r="E172" s="24">
        <f>BULUREJO!AF172+GLAGAHAGUNG!AA172+GRAJAGAN!AV172+KARETAN!O172+KRADENAN!AK172+PURWOHARJO!AK172+SIDOREJO!AA172+SUMBERASRI!X172</f>
        <v>11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5"/>
      <c r="C173" s="50"/>
      <c r="D173" s="57"/>
      <c r="E173" s="24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5"/>
      <c r="C174" s="50"/>
      <c r="D174" s="57"/>
      <c r="E174" s="24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47</v>
      </c>
      <c r="C175" s="15"/>
      <c r="D175" s="16"/>
      <c r="E175" s="13">
        <f>SUM(E165:E172)</f>
        <v>134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128</v>
      </c>
      <c r="C177" s="48" t="s">
        <v>129</v>
      </c>
      <c r="D177" s="16"/>
      <c r="E177" s="24">
        <f>BULUREJO!AF177+GLAGAHAGUNG!AA177+GRAJAGAN!AV177+KARETAN!O177+KRADENAN!AK177+PURWOHARJO!AK177+SIDOREJO!AA177+SUMBERASRI!X177</f>
        <v>187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55">
        <v>1.0</v>
      </c>
      <c r="C178" s="50" t="s">
        <v>130</v>
      </c>
      <c r="D178" s="57"/>
      <c r="E178" s="24">
        <f>BULUREJO!AF178+GLAGAHAGUNG!AA178+GRAJAGAN!AV178+KARETAN!O178+KRADENAN!AK178+PURWOHARJO!AK178+SIDOREJO!AA178+SUMBERASRI!X178</f>
        <v>125</v>
      </c>
      <c r="F178" s="51"/>
      <c r="G178" s="52"/>
      <c r="H178" s="52"/>
      <c r="I178" s="52"/>
      <c r="J178" s="52"/>
      <c r="K178" s="52"/>
      <c r="L178" s="52"/>
      <c r="M178" s="52"/>
      <c r="N178" s="52"/>
      <c r="O178" s="52"/>
      <c r="P178" s="53"/>
      <c r="Q178" s="3"/>
      <c r="R178" s="3"/>
      <c r="S178" s="3"/>
      <c r="T178" s="3"/>
      <c r="U178" s="3"/>
      <c r="V178" s="3"/>
      <c r="W178" s="54"/>
      <c r="X178" s="3"/>
      <c r="Y178" s="3"/>
      <c r="Z178" s="3"/>
    </row>
    <row r="179" ht="15.75" customHeight="1">
      <c r="A179" s="18"/>
      <c r="B179" s="55">
        <v>2.0</v>
      </c>
      <c r="C179" s="50" t="s">
        <v>131</v>
      </c>
      <c r="D179" s="57"/>
      <c r="E179" s="24">
        <f>BULUREJO!AF179+GLAGAHAGUNG!AA179+GRAJAGAN!AV179+KARETAN!O179+KRADENAN!AK179+PURWOHARJO!AK179+SIDOREJO!AA179+SUMBERASRI!X179</f>
        <v>118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5">
        <v>3.0</v>
      </c>
      <c r="C180" s="50" t="s">
        <v>132</v>
      </c>
      <c r="D180" s="57"/>
      <c r="E180" s="24">
        <f>BULUREJO!AF180+GLAGAHAGUNG!AA180+GRAJAGAN!AV180+KARETAN!O180+KRADENAN!AK180+PURWOHARJO!AK180+SIDOREJO!AA180+SUMBERASRI!X180</f>
        <v>46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>
        <v>4.0</v>
      </c>
      <c r="C181" s="50" t="s">
        <v>133</v>
      </c>
      <c r="D181" s="57"/>
      <c r="E181" s="24">
        <f>BULUREJO!AF181+GLAGAHAGUNG!AA181+GRAJAGAN!AV181+KARETAN!O181+KRADENAN!AK181+PURWOHARJO!AK181+SIDOREJO!AA181+SUMBERASRI!X181</f>
        <v>54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>
        <v>5.0</v>
      </c>
      <c r="C182" s="50" t="s">
        <v>134</v>
      </c>
      <c r="D182" s="57"/>
      <c r="E182" s="24">
        <f>BULUREJO!AF182+GLAGAHAGUNG!AA182+GRAJAGAN!AV182+KARETAN!O182+KRADENAN!AK182+PURWOHARJO!AK182+SIDOREJO!AA182+SUMBERASRI!X182</f>
        <v>19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>
        <v>6.0</v>
      </c>
      <c r="C183" s="50" t="s">
        <v>135</v>
      </c>
      <c r="D183" s="57"/>
      <c r="E183" s="24">
        <f>BULUREJO!AF183+GLAGAHAGUNG!AA183+GRAJAGAN!AV183+KARETAN!O183+KRADENAN!AK183+PURWOHARJO!AK183+SIDOREJO!AA183+SUMBERASRI!X183</f>
        <v>18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>
        <v>7.0</v>
      </c>
      <c r="C184" s="50" t="s">
        <v>136</v>
      </c>
      <c r="D184" s="57"/>
      <c r="E184" s="24">
        <f>BULUREJO!AF184+GLAGAHAGUNG!AA184+GRAJAGAN!AV184+KARETAN!O184+KRADENAN!AK184+PURWOHARJO!AK184+SIDOREJO!AA184+SUMBERASRI!X184</f>
        <v>22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5"/>
      <c r="C185" s="50"/>
      <c r="D185" s="57"/>
      <c r="E185" s="24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5"/>
      <c r="C186" s="50"/>
      <c r="D186" s="57"/>
      <c r="E186" s="24"/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47</v>
      </c>
      <c r="C187" s="15"/>
      <c r="D187" s="16"/>
      <c r="E187" s="13">
        <f>SUM(E177:E184)</f>
        <v>589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137</v>
      </c>
      <c r="C189" s="48" t="s">
        <v>138</v>
      </c>
      <c r="D189" s="16"/>
      <c r="E189" s="24">
        <f>BULUREJO!AF189+GLAGAHAGUNG!AA189+GRAJAGAN!AV189+KARETAN!O189+KRADENAN!AK189+PURWOHARJO!AK189+SIDOREJO!AA189+SUMBERASRI!X189</f>
        <v>20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55">
        <v>1.0</v>
      </c>
      <c r="C190" s="50" t="s">
        <v>139</v>
      </c>
      <c r="D190" s="57"/>
      <c r="E190" s="24">
        <f>BULUREJO!AF190+GLAGAHAGUNG!AA190+GRAJAGAN!AV190+KARETAN!O190+KRADENAN!AK190+PURWOHARJO!AK190+SIDOREJO!AA190+SUMBERASRI!X190</f>
        <v>10</v>
      </c>
      <c r="F190" s="51"/>
      <c r="G190" s="52"/>
      <c r="H190" s="52"/>
      <c r="I190" s="52"/>
      <c r="J190" s="52"/>
      <c r="K190" s="52"/>
      <c r="L190" s="52"/>
      <c r="M190" s="52"/>
      <c r="N190" s="52"/>
      <c r="O190" s="52"/>
      <c r="P190" s="53"/>
      <c r="Q190" s="3"/>
      <c r="R190" s="3"/>
      <c r="S190" s="3"/>
      <c r="T190" s="3"/>
      <c r="U190" s="3"/>
      <c r="V190" s="3"/>
      <c r="W190" s="54"/>
      <c r="X190" s="3"/>
      <c r="Y190" s="3"/>
      <c r="Z190" s="3"/>
    </row>
    <row r="191" ht="15.75" customHeight="1">
      <c r="A191" s="18"/>
      <c r="B191" s="55">
        <v>2.0</v>
      </c>
      <c r="C191" s="50" t="s">
        <v>140</v>
      </c>
      <c r="D191" s="57"/>
      <c r="E191" s="24">
        <f>BULUREJO!AF191+GLAGAHAGUNG!AA191+GRAJAGAN!AV191+KARETAN!O191+KRADENAN!AK191+PURWOHARJO!AK191+SIDOREJO!AA191+SUMBERASRI!X191</f>
        <v>6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>
        <v>3.0</v>
      </c>
      <c r="C192" s="50" t="s">
        <v>141</v>
      </c>
      <c r="D192" s="57"/>
      <c r="E192" s="24">
        <f>BULUREJO!AF192+GLAGAHAGUNG!AA192+GRAJAGAN!AV192+KARETAN!O192+KRADENAN!AK192+PURWOHARJO!AK192+SIDOREJO!AA192+SUMBERASRI!X192</f>
        <v>2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>
        <v>4.0</v>
      </c>
      <c r="C193" s="50" t="s">
        <v>142</v>
      </c>
      <c r="D193" s="57"/>
      <c r="E193" s="24">
        <f>BULUREJO!AF193+GLAGAHAGUNG!AA193+GRAJAGAN!AV193+KARETAN!O193+KRADENAN!AK193+PURWOHARJO!AK193+SIDOREJO!AA193+SUMBERASRI!X193</f>
        <v>3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>
        <v>5.0</v>
      </c>
      <c r="C194" s="50" t="s">
        <v>143</v>
      </c>
      <c r="D194" s="57"/>
      <c r="E194" s="24">
        <f>BULUREJO!AF194+GLAGAHAGUNG!AA194+GRAJAGAN!AV194+KARETAN!O194+KRADENAN!AK194+PURWOHARJO!AK194+SIDOREJO!AA194+SUMBERASRI!X194</f>
        <v>9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>
        <v>6.0</v>
      </c>
      <c r="C195" s="50" t="s">
        <v>144</v>
      </c>
      <c r="D195" s="57"/>
      <c r="E195" s="24">
        <f>BULUREJO!AF195+GLAGAHAGUNG!AA195+GRAJAGAN!AV195+KARETAN!O195+KRADENAN!AK195+PURWOHARJO!AK195+SIDOREJO!AA195+SUMBERASRI!X195</f>
        <v>0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5">
        <v>7.0</v>
      </c>
      <c r="C196" s="50" t="s">
        <v>145</v>
      </c>
      <c r="D196" s="57"/>
      <c r="E196" s="24">
        <f>BULUREJO!AF196+GLAGAHAGUNG!AA196+GRAJAGAN!AV196+KARETAN!O196+KRADENAN!AK196+PURWOHARJO!AK196+SIDOREJO!AA196+SUMBERASRI!X196</f>
        <v>2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5"/>
      <c r="C197" s="50"/>
      <c r="D197" s="57"/>
      <c r="E197" s="24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5"/>
      <c r="C198" s="50"/>
      <c r="D198" s="57"/>
      <c r="E198" s="24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47</v>
      </c>
      <c r="C199" s="15"/>
      <c r="D199" s="16"/>
      <c r="E199" s="13">
        <f>SUM(E189:E196)</f>
        <v>52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146</v>
      </c>
      <c r="C201" s="48" t="s">
        <v>147</v>
      </c>
      <c r="D201" s="16"/>
      <c r="E201" s="24">
        <f>BULUREJO!AF201+GLAGAHAGUNG!AA201+GRAJAGAN!AV201+KARETAN!O201+KRADENAN!AK201+PURWOHARJO!AK201+SIDOREJO!AA201+SUMBERASRI!X201</f>
        <v>766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55">
        <v>1.0</v>
      </c>
      <c r="C202" s="50" t="s">
        <v>148</v>
      </c>
      <c r="D202" s="57"/>
      <c r="E202" s="24">
        <f>BULUREJO!AF202+GLAGAHAGUNG!AA202+GRAJAGAN!AV202+KARETAN!O202+KRADENAN!AK202+PURWOHARJO!AK202+SIDOREJO!AA202+SUMBERASRI!X202</f>
        <v>1229</v>
      </c>
      <c r="F202" s="51"/>
      <c r="G202" s="52"/>
      <c r="H202" s="52"/>
      <c r="I202" s="52"/>
      <c r="J202" s="52"/>
      <c r="K202" s="52"/>
      <c r="L202" s="52"/>
      <c r="M202" s="52"/>
      <c r="N202" s="52"/>
      <c r="O202" s="52"/>
      <c r="P202" s="53"/>
      <c r="Q202" s="3"/>
      <c r="R202" s="3"/>
      <c r="S202" s="3"/>
      <c r="T202" s="3"/>
      <c r="U202" s="3"/>
      <c r="V202" s="3"/>
      <c r="W202" s="54"/>
      <c r="X202" s="3"/>
      <c r="Y202" s="3"/>
      <c r="Z202" s="3"/>
    </row>
    <row r="203" ht="15.75" customHeight="1">
      <c r="A203" s="18"/>
      <c r="B203" s="55">
        <v>2.0</v>
      </c>
      <c r="C203" s="50" t="s">
        <v>149</v>
      </c>
      <c r="D203" s="57"/>
      <c r="E203" s="24">
        <f>BULUREJO!AF203+GLAGAHAGUNG!AA203+GRAJAGAN!AV203+KARETAN!O203+KRADENAN!AK203+PURWOHARJO!AK203+SIDOREJO!AA203+SUMBERASRI!X203</f>
        <v>554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>
        <v>3.0</v>
      </c>
      <c r="C204" s="50" t="s">
        <v>150</v>
      </c>
      <c r="D204" s="57"/>
      <c r="E204" s="24">
        <f>BULUREJO!AF204+GLAGAHAGUNG!AA204+GRAJAGAN!AV204+KARETAN!O204+KRADENAN!AK204+PURWOHARJO!AK204+SIDOREJO!AA204+SUMBERASRI!X204</f>
        <v>110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>
        <v>4.0</v>
      </c>
      <c r="C205" s="50" t="s">
        <v>151</v>
      </c>
      <c r="D205" s="57"/>
      <c r="E205" s="24">
        <f>BULUREJO!AF205+GLAGAHAGUNG!AA205+GRAJAGAN!AV205+KARETAN!O205+KRADENAN!AK205+PURWOHARJO!AK205+SIDOREJO!AA205+SUMBERASRI!X205</f>
        <v>139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5">
        <v>5.0</v>
      </c>
      <c r="C206" s="50" t="s">
        <v>152</v>
      </c>
      <c r="D206" s="57"/>
      <c r="E206" s="24">
        <f>BULUREJO!AF206+GLAGAHAGUNG!AA206+GRAJAGAN!AV206+KARETAN!O206+KRADENAN!AK206+PURWOHARJO!AK206+SIDOREJO!AA206+SUMBERASRI!X206</f>
        <v>55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5">
        <v>6.0</v>
      </c>
      <c r="C207" s="50" t="s">
        <v>153</v>
      </c>
      <c r="D207" s="57"/>
      <c r="E207" s="24">
        <f>BULUREJO!AF207+GLAGAHAGUNG!AA207+GRAJAGAN!AV207+KARETAN!O207+KRADENAN!AK207+PURWOHARJO!AK207+SIDOREJO!AA207+SUMBERASRI!X207</f>
        <v>21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5">
        <v>7.0</v>
      </c>
      <c r="C208" s="50" t="s">
        <v>154</v>
      </c>
      <c r="D208" s="57"/>
      <c r="E208" s="24">
        <f>BULUREJO!AF208+GLAGAHAGUNG!AA208+GRAJAGAN!AV208+KARETAN!O208+KRADENAN!AK208+PURWOHARJO!AK208+SIDOREJO!AA208+SUMBERASRI!X208</f>
        <v>186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5"/>
      <c r="C209" s="50"/>
      <c r="D209" s="57"/>
      <c r="E209" s="24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5"/>
      <c r="C210" s="50"/>
      <c r="D210" s="57"/>
      <c r="E210" s="24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47</v>
      </c>
      <c r="C211" s="15"/>
      <c r="D211" s="16"/>
      <c r="E211" s="13">
        <f>SUM(E201:E208)</f>
        <v>3060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155</v>
      </c>
      <c r="C213" s="48" t="s">
        <v>156</v>
      </c>
      <c r="D213" s="16"/>
      <c r="E213" s="24">
        <f>BULUREJO!AF213+GLAGAHAGUNG!AA213+GRAJAGAN!AV213+KARETAN!O213+KRADENAN!AK213+PURWOHARJO!AK213+SIDOREJO!AA213+SUMBERASRI!X213</f>
        <v>344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55">
        <v>1.0</v>
      </c>
      <c r="C214" s="50" t="s">
        <v>157</v>
      </c>
      <c r="D214" s="56"/>
      <c r="E214" s="24">
        <f>BULUREJO!AF214+GLAGAHAGUNG!AA214+GRAJAGAN!AV214+KARETAN!O214+KRADENAN!AK214+PURWOHARJO!AK214+SIDOREJO!AA214+SUMBERASRI!X214</f>
        <v>540</v>
      </c>
      <c r="F214" s="51"/>
      <c r="G214" s="52"/>
      <c r="H214" s="52"/>
      <c r="I214" s="52"/>
      <c r="J214" s="52"/>
      <c r="K214" s="52"/>
      <c r="L214" s="52"/>
      <c r="M214" s="52"/>
      <c r="N214" s="52"/>
      <c r="O214" s="52"/>
      <c r="P214" s="53"/>
      <c r="Q214" s="3"/>
      <c r="R214" s="3"/>
      <c r="S214" s="3"/>
      <c r="T214" s="3"/>
      <c r="U214" s="3"/>
      <c r="V214" s="3"/>
      <c r="W214" s="54"/>
      <c r="X214" s="3"/>
      <c r="Y214" s="3"/>
      <c r="Z214" s="3"/>
    </row>
    <row r="215" ht="15.75" customHeight="1">
      <c r="A215" s="18"/>
      <c r="B215" s="55">
        <v>2.0</v>
      </c>
      <c r="C215" s="50" t="s">
        <v>158</v>
      </c>
      <c r="D215" s="56"/>
      <c r="E215" s="24">
        <f>BULUREJO!AF215+GLAGAHAGUNG!AA215+GRAJAGAN!AV215+KARETAN!O215+KRADENAN!AK215+PURWOHARJO!AK215+SIDOREJO!AA215+SUMBERASRI!X215</f>
        <v>219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5">
        <v>3.0</v>
      </c>
      <c r="C216" s="61" t="s">
        <v>159</v>
      </c>
      <c r="E216" s="24">
        <f>BULUREJO!AF216+GLAGAHAGUNG!AA216+GRAJAGAN!AV216+KARETAN!O216+KRADENAN!AK216+PURWOHARJO!AK216+SIDOREJO!AA216+SUMBERASRI!X216</f>
        <v>65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5">
        <v>4.0</v>
      </c>
      <c r="C217" s="50" t="s">
        <v>160</v>
      </c>
      <c r="D217" s="56"/>
      <c r="E217" s="24">
        <f>BULUREJO!AF217+GLAGAHAGUNG!AA217+GRAJAGAN!AV217+KARETAN!O217+KRADENAN!AK217+PURWOHARJO!AK217+SIDOREJO!AA217+SUMBERASRI!X217</f>
        <v>24</v>
      </c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5">
        <v>5.0</v>
      </c>
      <c r="C218" s="50" t="s">
        <v>161</v>
      </c>
      <c r="D218" s="56"/>
      <c r="E218" s="24">
        <f>BULUREJO!AF218+GLAGAHAGUNG!AA218+GRAJAGAN!AV218+KARETAN!O218+KRADENAN!AK218+PURWOHARJO!AK218+SIDOREJO!AA218+SUMBERASRI!X218</f>
        <v>22</v>
      </c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5">
        <v>6.0</v>
      </c>
      <c r="C219" s="50" t="s">
        <v>162</v>
      </c>
      <c r="D219" s="56"/>
      <c r="E219" s="24">
        <f>BULUREJO!AF219+GLAGAHAGUNG!AA219+GRAJAGAN!AV219+KARETAN!O219+KRADENAN!AK219+PURWOHARJO!AK219+SIDOREJO!AA219+SUMBERASRI!X219</f>
        <v>47</v>
      </c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5">
        <v>7.0</v>
      </c>
      <c r="C220" s="50" t="s">
        <v>163</v>
      </c>
      <c r="D220" s="56"/>
      <c r="E220" s="24">
        <f>BULUREJO!AF220+GLAGAHAGUNG!AA220+GRAJAGAN!AV220+KARETAN!O220+KRADENAN!AK220+PURWOHARJO!AK220+SIDOREJO!AA220+SUMBERASRI!X220</f>
        <v>35</v>
      </c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5"/>
      <c r="C221" s="50"/>
      <c r="D221" s="56"/>
      <c r="E221" s="24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5"/>
      <c r="C222" s="50"/>
      <c r="D222" s="56"/>
      <c r="E222" s="24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47</v>
      </c>
      <c r="C223" s="15"/>
      <c r="D223" s="16"/>
      <c r="E223" s="13">
        <f>SUM(E213:E220)</f>
        <v>1296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164</v>
      </c>
      <c r="C225" s="48" t="s">
        <v>165</v>
      </c>
      <c r="D225" s="16"/>
      <c r="E225" s="24">
        <f>BULUREJO!AF225+GLAGAHAGUNG!AA225+GRAJAGAN!AV225+KARETAN!O225+KRADENAN!AK225+PURWOHARJO!AK225+SIDOREJO!AA225+SUMBERASRI!X225</f>
        <v>32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55">
        <v>1.0</v>
      </c>
      <c r="C226" s="50" t="s">
        <v>166</v>
      </c>
      <c r="D226" s="57"/>
      <c r="E226" s="24">
        <f>BULUREJO!AF226+GLAGAHAGUNG!AA226+GRAJAGAN!AV226+KARETAN!O226+KRADENAN!AK226+PURWOHARJO!AK226+SIDOREJO!AA226+SUMBERASRI!X226</f>
        <v>135</v>
      </c>
      <c r="F226" s="51"/>
      <c r="G226" s="52"/>
      <c r="H226" s="52"/>
      <c r="I226" s="52"/>
      <c r="J226" s="52"/>
      <c r="K226" s="52"/>
      <c r="L226" s="52"/>
      <c r="M226" s="52"/>
      <c r="N226" s="52"/>
      <c r="O226" s="52"/>
      <c r="P226" s="53"/>
      <c r="Q226" s="3"/>
      <c r="R226" s="3"/>
      <c r="S226" s="3"/>
      <c r="T226" s="3"/>
      <c r="U226" s="3"/>
      <c r="V226" s="3"/>
      <c r="W226" s="54"/>
      <c r="X226" s="3"/>
      <c r="Y226" s="3"/>
      <c r="Z226" s="3"/>
    </row>
    <row r="227" ht="15.75" customHeight="1">
      <c r="A227" s="18"/>
      <c r="B227" s="55">
        <v>2.0</v>
      </c>
      <c r="C227" s="50" t="s">
        <v>167</v>
      </c>
      <c r="D227" s="57"/>
      <c r="E227" s="24">
        <f>BULUREJO!AF227+GLAGAHAGUNG!AA227+GRAJAGAN!AV227+KARETAN!O227+KRADENAN!AK227+PURWOHARJO!AK227+SIDOREJO!AA227+SUMBERASRI!X227</f>
        <v>2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5">
        <v>3.0</v>
      </c>
      <c r="C228" s="50" t="s">
        <v>168</v>
      </c>
      <c r="D228" s="57"/>
      <c r="E228" s="24">
        <f>BULUREJO!AF228+GLAGAHAGUNG!AA228+GRAJAGAN!AV228+KARETAN!O228+KRADENAN!AK228+PURWOHARJO!AK228+SIDOREJO!AA228+SUMBERASRI!X228</f>
        <v>3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5">
        <v>4.0</v>
      </c>
      <c r="C229" s="50" t="s">
        <v>169</v>
      </c>
      <c r="D229" s="57"/>
      <c r="E229" s="24">
        <f>BULUREJO!AF229+GLAGAHAGUNG!AA229+GRAJAGAN!AV229+KARETAN!O229+KRADENAN!AK229+PURWOHARJO!AK229+SIDOREJO!AA229+SUMBERASRI!X229</f>
        <v>4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5">
        <v>5.0</v>
      </c>
      <c r="C230" s="50" t="s">
        <v>170</v>
      </c>
      <c r="D230" s="57"/>
      <c r="E230" s="24">
        <f>BULUREJO!AF230+GLAGAHAGUNG!AA230+GRAJAGAN!AV230+KARETAN!O230+KRADENAN!AK230+PURWOHARJO!AK230+SIDOREJO!AA230+SUMBERASRI!X230</f>
        <v>7</v>
      </c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5">
        <v>6.0</v>
      </c>
      <c r="C231" s="50" t="s">
        <v>171</v>
      </c>
      <c r="D231" s="57"/>
      <c r="E231" s="24">
        <f>BULUREJO!AF231+GLAGAHAGUNG!AA231+GRAJAGAN!AV231+KARETAN!O231+KRADENAN!AK231+PURWOHARJO!AK231+SIDOREJO!AA231+SUMBERASRI!X231</f>
        <v>1</v>
      </c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5">
        <v>7.0</v>
      </c>
      <c r="C232" s="50" t="s">
        <v>172</v>
      </c>
      <c r="D232" s="57"/>
      <c r="E232" s="24">
        <f>BULUREJO!AF232+GLAGAHAGUNG!AA232+GRAJAGAN!AV232+KARETAN!O232+KRADENAN!AK232+PURWOHARJO!AK232+SIDOREJO!AA232+SUMBERASRI!X232</f>
        <v>210</v>
      </c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5"/>
      <c r="C233" s="50"/>
      <c r="D233" s="57"/>
      <c r="E233" s="24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5"/>
      <c r="C234" s="50"/>
      <c r="D234" s="57"/>
      <c r="E234" s="24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47</v>
      </c>
      <c r="C235" s="15"/>
      <c r="D235" s="16"/>
      <c r="E235" s="13">
        <f>SUM(E225:E232)</f>
        <v>394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173</v>
      </c>
      <c r="C237" s="48" t="s">
        <v>174</v>
      </c>
      <c r="D237" s="16"/>
      <c r="E237" s="24">
        <f>BULUREJO!AF237+GLAGAHAGUNG!AA237+GRAJAGAN!AV237+KARETAN!O237+KRADENAN!AK237+PURWOHARJO!AK237+SIDOREJO!AA237+SUMBERASRI!X237</f>
        <v>101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55">
        <v>1.0</v>
      </c>
      <c r="C238" s="50" t="s">
        <v>175</v>
      </c>
      <c r="D238" s="57"/>
      <c r="E238" s="24">
        <f>BULUREJO!AF238+GLAGAHAGUNG!AA238+GRAJAGAN!AV238+KARETAN!O238+KRADENAN!AK238+PURWOHARJO!AK238+SIDOREJO!AA238+SUMBERASRI!X238</f>
        <v>49</v>
      </c>
      <c r="F238" s="51"/>
      <c r="G238" s="52"/>
      <c r="H238" s="52"/>
      <c r="I238" s="52"/>
      <c r="J238" s="52"/>
      <c r="K238" s="52"/>
      <c r="L238" s="52"/>
      <c r="M238" s="52"/>
      <c r="N238" s="52"/>
      <c r="O238" s="52"/>
      <c r="P238" s="53"/>
      <c r="Q238" s="3"/>
      <c r="R238" s="3"/>
      <c r="S238" s="3"/>
      <c r="T238" s="3"/>
      <c r="U238" s="3"/>
      <c r="V238" s="3"/>
      <c r="W238" s="54"/>
      <c r="X238" s="3"/>
      <c r="Y238" s="3"/>
      <c r="Z238" s="3"/>
    </row>
    <row r="239" ht="15.75" customHeight="1">
      <c r="A239" s="18"/>
      <c r="B239" s="55">
        <v>2.0</v>
      </c>
      <c r="C239" s="50" t="s">
        <v>176</v>
      </c>
      <c r="D239" s="57"/>
      <c r="E239" s="24">
        <f>BULUREJO!AF239+GLAGAHAGUNG!AA239+GRAJAGAN!AV239+KARETAN!O239+KRADENAN!AK239+PURWOHARJO!AK239+SIDOREJO!AA239+SUMBERASRI!X239</f>
        <v>71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5">
        <v>3.0</v>
      </c>
      <c r="C240" s="50" t="s">
        <v>177</v>
      </c>
      <c r="D240" s="57"/>
      <c r="E240" s="24">
        <f>BULUREJO!AF240+GLAGAHAGUNG!AA240+GRAJAGAN!AV240+KARETAN!O240+KRADENAN!AK240+PURWOHARJO!AK240+SIDOREJO!AA240+SUMBERASRI!X240</f>
        <v>22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5">
        <v>4.0</v>
      </c>
      <c r="C241" s="50" t="s">
        <v>178</v>
      </c>
      <c r="D241" s="57"/>
      <c r="E241" s="24">
        <f>BULUREJO!AF241+GLAGAHAGUNG!AA241+GRAJAGAN!AV241+KARETAN!O241+KRADENAN!AK241+PURWOHARJO!AK241+SIDOREJO!AA241+SUMBERASRI!X241</f>
        <v>19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5">
        <v>5.0</v>
      </c>
      <c r="C242" s="50" t="s">
        <v>179</v>
      </c>
      <c r="D242" s="57"/>
      <c r="E242" s="24">
        <f>BULUREJO!AF242+GLAGAHAGUNG!AA242+GRAJAGAN!AV242+KARETAN!O242+KRADENAN!AK242+PURWOHARJO!AK242+SIDOREJO!AA242+SUMBERASRI!X242</f>
        <v>8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5">
        <v>6.0</v>
      </c>
      <c r="C243" s="50" t="s">
        <v>180</v>
      </c>
      <c r="D243" s="57"/>
      <c r="E243" s="24">
        <f>BULUREJO!AF243+GLAGAHAGUNG!AA243+GRAJAGAN!AV243+KARETAN!O243+KRADENAN!AK243+PURWOHARJO!AK243+SIDOREJO!AA243+SUMBERASRI!X243</f>
        <v>6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5">
        <v>7.0</v>
      </c>
      <c r="C244" s="50" t="s">
        <v>181</v>
      </c>
      <c r="D244" s="57"/>
      <c r="E244" s="24">
        <f>BULUREJO!AF244+GLAGAHAGUNG!AA244+GRAJAGAN!AV244+KARETAN!O244+KRADENAN!AK244+PURWOHARJO!AK244+SIDOREJO!AA244+SUMBERASRI!X244</f>
        <v>922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5"/>
      <c r="C245" s="50"/>
      <c r="D245" s="57"/>
      <c r="E245" s="24"/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5"/>
      <c r="C246" s="50"/>
      <c r="D246" s="57"/>
      <c r="E246" s="24"/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47</v>
      </c>
      <c r="C247" s="15"/>
      <c r="D247" s="16"/>
      <c r="E247" s="13">
        <f>SUM(E237:E244)</f>
        <v>1198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182</v>
      </c>
      <c r="C249" s="48" t="s">
        <v>183</v>
      </c>
      <c r="D249" s="16"/>
      <c r="E249" s="24">
        <f>BULUREJO!AF249+GLAGAHAGUNG!AA249+GRAJAGAN!AV249+KARETAN!O249+KRADENAN!AK249+PURWOHARJO!AK249+SIDOREJO!AA249+SUMBERASRI!X249</f>
        <v>82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55">
        <v>1.0</v>
      </c>
      <c r="C250" s="59" t="s">
        <v>184</v>
      </c>
      <c r="D250" s="57"/>
      <c r="E250" s="24">
        <f>BULUREJO!AF250+GLAGAHAGUNG!AA250+GRAJAGAN!AV250+KARETAN!O250+KRADENAN!AK250+PURWOHARJO!AK250+SIDOREJO!AA250+SUMBERASRI!X250</f>
        <v>79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5">
        <v>2.0</v>
      </c>
      <c r="C251" s="59" t="s">
        <v>185</v>
      </c>
      <c r="D251" s="57"/>
      <c r="E251" s="24">
        <f>BULUREJO!AF251+GLAGAHAGUNG!AA251+GRAJAGAN!AV251+KARETAN!O251+KRADENAN!AK251+PURWOHARJO!AK251+SIDOREJO!AA251+SUMBERASRI!X251</f>
        <v>37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5">
        <v>3.0</v>
      </c>
      <c r="C252" s="59" t="s">
        <v>186</v>
      </c>
      <c r="D252" s="57"/>
      <c r="E252" s="24">
        <f>BULUREJO!AF252+GLAGAHAGUNG!AA252+GRAJAGAN!AV252+KARETAN!O252+KRADENAN!AK252+PURWOHARJO!AK252+SIDOREJO!AA252+SUMBERASRI!X252</f>
        <v>8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5">
        <v>4.0</v>
      </c>
      <c r="C253" s="59" t="s">
        <v>187</v>
      </c>
      <c r="D253" s="57"/>
      <c r="E253" s="24">
        <f>BULUREJO!AF253+GLAGAHAGUNG!AA253+GRAJAGAN!AV253+KARETAN!O253+KRADENAN!AK253+PURWOHARJO!AK253+SIDOREJO!AA253+SUMBERASRI!X253</f>
        <v>3</v>
      </c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5">
        <v>5.0</v>
      </c>
      <c r="C254" s="59" t="s">
        <v>188</v>
      </c>
      <c r="D254" s="57"/>
      <c r="E254" s="24">
        <f>BULUREJO!AF254+GLAGAHAGUNG!AA254+GRAJAGAN!AV254+KARETAN!O254+KRADENAN!AK254+PURWOHARJO!AK254+SIDOREJO!AA254+SUMBERASRI!X254</f>
        <v>10</v>
      </c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5">
        <v>6.0</v>
      </c>
      <c r="C255" s="59" t="s">
        <v>189</v>
      </c>
      <c r="D255" s="57"/>
      <c r="E255" s="24">
        <f>BULUREJO!AF255+GLAGAHAGUNG!AA255+GRAJAGAN!AV255+KARETAN!O255+KRADENAN!AK255+PURWOHARJO!AK255+SIDOREJO!AA255+SUMBERASRI!X255</f>
        <v>3</v>
      </c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5"/>
      <c r="C256" s="60"/>
      <c r="D256" s="57"/>
      <c r="E256" s="24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5"/>
      <c r="C257" s="60"/>
      <c r="D257" s="57"/>
      <c r="E257" s="24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5"/>
      <c r="C258" s="60"/>
      <c r="D258" s="57"/>
      <c r="E258" s="24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47</v>
      </c>
      <c r="C259" s="15"/>
      <c r="D259" s="16"/>
      <c r="E259" s="13">
        <f>SUM(E249:E255)</f>
        <v>222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2" t="s">
        <v>192</v>
      </c>
      <c r="C262" s="63" t="s">
        <v>193</v>
      </c>
      <c r="D262" s="16"/>
      <c r="E262" s="24">
        <f>BULUREJO!AF262+GLAGAHAGUNG!AA262+GRAJAGAN!AV262+KARETAN!O262+KRADENAN!AK262+PURWOHARJO!AK262+SIDOREJO!AA262+SUMBERASRI!X262</f>
        <v>38944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2" t="s">
        <v>194</v>
      </c>
      <c r="C263" s="63" t="s">
        <v>195</v>
      </c>
      <c r="D263" s="16"/>
      <c r="E263" s="24">
        <f>BULUREJO!AF263+GLAGAHAGUNG!AA263+GRAJAGAN!AV263+KARETAN!O263+KRADENAN!AK263+PURWOHARJO!AK263+SIDOREJO!AA263+SUMBERASRI!X263</f>
        <v>4700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2" t="s">
        <v>196</v>
      </c>
      <c r="C264" s="63" t="s">
        <v>197</v>
      </c>
      <c r="D264" s="16"/>
      <c r="E264" s="13">
        <f>SUM(E262:E263)</f>
        <v>43644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64"/>
      <c r="C265" s="6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64"/>
      <c r="C266" s="6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64"/>
      <c r="C267" s="6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64"/>
      <c r="C268" s="6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64"/>
      <c r="C269" s="6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64"/>
      <c r="C270" s="6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64"/>
      <c r="C271" s="6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64"/>
      <c r="C272" s="6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64"/>
      <c r="C273" s="6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64"/>
      <c r="C274" s="6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64"/>
      <c r="C275" s="6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64"/>
      <c r="C276" s="6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64"/>
      <c r="C277" s="6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64"/>
      <c r="C278" s="6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64"/>
      <c r="C279" s="6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64"/>
      <c r="C280" s="6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64"/>
      <c r="C281" s="6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64"/>
      <c r="C282" s="6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64"/>
      <c r="C283" s="6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64"/>
      <c r="C284" s="6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64"/>
      <c r="C285" s="6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64"/>
      <c r="C286" s="6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64"/>
      <c r="C287" s="6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64"/>
      <c r="C288" s="6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64"/>
      <c r="C289" s="6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64"/>
      <c r="C290" s="6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64"/>
      <c r="C291" s="6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64"/>
      <c r="C292" s="6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64"/>
      <c r="C293" s="6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64"/>
      <c r="C294" s="6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64"/>
      <c r="C295" s="6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64"/>
      <c r="C296" s="6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64"/>
      <c r="C297" s="6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64"/>
      <c r="C298" s="6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64"/>
      <c r="C299" s="6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64"/>
      <c r="C300" s="6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64"/>
      <c r="C301" s="6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64"/>
      <c r="C302" s="6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64"/>
      <c r="C303" s="6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64"/>
      <c r="C304" s="6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64"/>
      <c r="C305" s="6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64"/>
      <c r="C306" s="6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64"/>
      <c r="C307" s="6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64"/>
      <c r="C308" s="6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64"/>
      <c r="C309" s="6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64"/>
      <c r="C310" s="6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64"/>
      <c r="C311" s="6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64"/>
      <c r="C312" s="6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64"/>
      <c r="C313" s="6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64"/>
      <c r="C314" s="6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64"/>
      <c r="C315" s="6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64"/>
      <c r="C316" s="6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64"/>
      <c r="C317" s="6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64"/>
      <c r="C318" s="6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64"/>
      <c r="C319" s="6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64"/>
      <c r="C320" s="6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64"/>
      <c r="C321" s="6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64"/>
      <c r="C322" s="6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64"/>
      <c r="C323" s="6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64"/>
      <c r="C324" s="6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64"/>
      <c r="C325" s="6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64"/>
      <c r="C326" s="6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64"/>
      <c r="C327" s="6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64"/>
      <c r="C328" s="6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64"/>
      <c r="C329" s="6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64"/>
      <c r="C330" s="6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64"/>
      <c r="C331" s="6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64"/>
      <c r="C332" s="6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64"/>
      <c r="C333" s="6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64"/>
      <c r="C334" s="6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64"/>
      <c r="C335" s="6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64"/>
      <c r="C336" s="6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64"/>
      <c r="C337" s="6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64"/>
      <c r="C338" s="6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64"/>
      <c r="C339" s="6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64"/>
      <c r="C340" s="6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64"/>
      <c r="C341" s="6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64"/>
      <c r="C342" s="6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64"/>
      <c r="C343" s="6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64"/>
      <c r="C344" s="6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64"/>
      <c r="C345" s="6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64"/>
      <c r="C346" s="6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64"/>
      <c r="C347" s="6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64"/>
      <c r="C348" s="6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64"/>
      <c r="C349" s="6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64"/>
      <c r="C350" s="6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64"/>
      <c r="C351" s="6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64"/>
      <c r="C352" s="6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64"/>
      <c r="C353" s="6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64"/>
      <c r="C354" s="6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64"/>
      <c r="C355" s="6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64"/>
      <c r="C356" s="6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64"/>
      <c r="C357" s="6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64"/>
      <c r="C358" s="6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64"/>
      <c r="C359" s="6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64"/>
      <c r="C360" s="6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64"/>
      <c r="C361" s="6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64"/>
      <c r="C362" s="6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64"/>
      <c r="C363" s="6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64"/>
      <c r="C364" s="6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64"/>
      <c r="C365" s="6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64"/>
      <c r="C366" s="6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64"/>
      <c r="C367" s="6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64"/>
      <c r="C368" s="6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64"/>
      <c r="C369" s="6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64"/>
      <c r="C370" s="6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64"/>
      <c r="C371" s="6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64"/>
      <c r="C372" s="6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64"/>
      <c r="C373" s="6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64"/>
      <c r="C374" s="6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64"/>
      <c r="C375" s="6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64"/>
      <c r="C376" s="6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64"/>
      <c r="C377" s="6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64"/>
      <c r="C378" s="6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64"/>
      <c r="C379" s="6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64"/>
      <c r="C380" s="6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64"/>
      <c r="C381" s="6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64"/>
      <c r="C382" s="6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64"/>
      <c r="C383" s="6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64"/>
      <c r="C384" s="6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64"/>
      <c r="C385" s="6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64"/>
      <c r="C386" s="6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64"/>
      <c r="C387" s="6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64"/>
      <c r="C388" s="6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64"/>
      <c r="C389" s="6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64"/>
      <c r="C390" s="6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64"/>
      <c r="C391" s="6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64"/>
      <c r="C392" s="6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64"/>
      <c r="C393" s="6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64"/>
      <c r="C394" s="6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64"/>
      <c r="C395" s="6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64"/>
      <c r="C396" s="6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64"/>
      <c r="C397" s="6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64"/>
      <c r="C398" s="6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64"/>
      <c r="C399" s="6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64"/>
      <c r="C400" s="6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64"/>
      <c r="C401" s="6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64"/>
      <c r="C402" s="6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64"/>
      <c r="C403" s="6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64"/>
      <c r="C404" s="6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64"/>
      <c r="C405" s="6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64"/>
      <c r="C406" s="6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64"/>
      <c r="C407" s="6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64"/>
      <c r="C408" s="6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64"/>
      <c r="C409" s="6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64"/>
      <c r="C410" s="6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64"/>
      <c r="C411" s="6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64"/>
      <c r="C412" s="6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64"/>
      <c r="C413" s="6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64"/>
      <c r="C414" s="6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64"/>
      <c r="C415" s="6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64"/>
      <c r="C416" s="6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64"/>
      <c r="C417" s="6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64"/>
      <c r="C418" s="6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64"/>
      <c r="C419" s="6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64"/>
      <c r="C420" s="6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64"/>
      <c r="C421" s="6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64"/>
      <c r="C422" s="6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64"/>
      <c r="C423" s="6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64"/>
      <c r="C424" s="6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64"/>
      <c r="C425" s="6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64"/>
      <c r="C426" s="6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64"/>
      <c r="C427" s="6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64"/>
      <c r="C428" s="6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64"/>
      <c r="C429" s="6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64"/>
      <c r="C430" s="6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64"/>
      <c r="C431" s="6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64"/>
      <c r="C432" s="6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64"/>
      <c r="C433" s="6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64"/>
      <c r="C434" s="6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64"/>
      <c r="C435" s="6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64"/>
      <c r="C436" s="6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64"/>
      <c r="C437" s="6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64"/>
      <c r="C438" s="6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64"/>
      <c r="C439" s="6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64"/>
      <c r="C440" s="6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64"/>
      <c r="C441" s="6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64"/>
      <c r="C442" s="6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64"/>
      <c r="C443" s="6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64"/>
      <c r="C444" s="6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64"/>
      <c r="C445" s="6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64"/>
      <c r="C446" s="6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64"/>
      <c r="C447" s="6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64"/>
      <c r="C448" s="6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64"/>
      <c r="C449" s="6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64"/>
      <c r="C450" s="6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64"/>
      <c r="C451" s="6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64"/>
      <c r="C452" s="6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64"/>
      <c r="C453" s="6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64"/>
      <c r="C454" s="6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64"/>
      <c r="C455" s="6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64"/>
      <c r="C456" s="6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64"/>
      <c r="C457" s="6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64"/>
      <c r="C458" s="6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64"/>
      <c r="C459" s="6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64"/>
      <c r="C460" s="6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64"/>
      <c r="C461" s="6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64"/>
      <c r="C462" s="65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64"/>
      <c r="C463" s="65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64"/>
      <c r="C464" s="65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A56:E56"/>
    <mergeCell ref="C57:D57"/>
    <mergeCell ref="C47:D47"/>
    <mergeCell ref="C48:D48"/>
    <mergeCell ref="C49:D49"/>
    <mergeCell ref="C50:D50"/>
    <mergeCell ref="C51:D51"/>
    <mergeCell ref="C52:D52"/>
    <mergeCell ref="B55:D55"/>
    <mergeCell ref="C117:D117"/>
    <mergeCell ref="B127:D127"/>
    <mergeCell ref="A128:E128"/>
    <mergeCell ref="C129:D129"/>
    <mergeCell ref="B139:D139"/>
    <mergeCell ref="A140:E140"/>
    <mergeCell ref="C141:D141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7" width="8.71"/>
    <col customWidth="1" min="48" max="48" width="13.29"/>
    <col customWidth="1" min="49" max="5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/>
      <c r="AJ11" s="1"/>
      <c r="AK11" s="1"/>
      <c r="AL11" s="1"/>
      <c r="AM11" s="1"/>
      <c r="AN11" s="2"/>
      <c r="AO11" s="1"/>
      <c r="AP11" s="1"/>
      <c r="AQ11" s="1"/>
      <c r="AR11" s="1"/>
      <c r="AS11" s="2"/>
      <c r="AT11" s="1"/>
      <c r="AU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13" t="s">
        <v>232</v>
      </c>
      <c r="AL13" s="13" t="s">
        <v>233</v>
      </c>
      <c r="AM13" s="13" t="s">
        <v>234</v>
      </c>
      <c r="AN13" s="13" t="s">
        <v>235</v>
      </c>
      <c r="AO13" s="13" t="s">
        <v>236</v>
      </c>
      <c r="AP13" s="13" t="s">
        <v>237</v>
      </c>
      <c r="AQ13" s="13" t="s">
        <v>238</v>
      </c>
      <c r="AR13" s="13" t="s">
        <v>239</v>
      </c>
      <c r="AS13" s="13" t="s">
        <v>240</v>
      </c>
      <c r="AT13" s="13" t="s">
        <v>241</v>
      </c>
      <c r="AU13" s="13" t="s">
        <v>242</v>
      </c>
      <c r="AV13" s="36"/>
    </row>
    <row r="14" ht="12.75" customHeight="1">
      <c r="A14" s="18"/>
      <c r="B14" s="22" t="s">
        <v>11</v>
      </c>
      <c r="C14" s="23"/>
      <c r="D14" s="19" t="s">
        <v>12</v>
      </c>
      <c r="E14" s="19">
        <v>133.0</v>
      </c>
      <c r="F14" s="19">
        <v>134.0</v>
      </c>
      <c r="G14" s="19">
        <v>131.0</v>
      </c>
      <c r="H14" s="19">
        <v>125.0</v>
      </c>
      <c r="I14" s="19">
        <v>129.0</v>
      </c>
      <c r="J14" s="19">
        <v>128.0</v>
      </c>
      <c r="K14" s="19">
        <v>127.0</v>
      </c>
      <c r="L14" s="19">
        <v>128.0</v>
      </c>
      <c r="M14" s="19">
        <v>131.0</v>
      </c>
      <c r="N14" s="19">
        <v>133.0</v>
      </c>
      <c r="O14" s="19">
        <v>130.0</v>
      </c>
      <c r="P14" s="19">
        <v>142.0</v>
      </c>
      <c r="Q14" s="19">
        <v>127.0</v>
      </c>
      <c r="R14" s="19">
        <v>133.0</v>
      </c>
      <c r="S14" s="19">
        <v>135.0</v>
      </c>
      <c r="T14" s="19">
        <v>131.0</v>
      </c>
      <c r="U14" s="19">
        <v>136.0</v>
      </c>
      <c r="V14" s="19">
        <v>131.0</v>
      </c>
      <c r="W14" s="19">
        <v>143.0</v>
      </c>
      <c r="X14" s="19">
        <v>129.0</v>
      </c>
      <c r="Y14" s="19">
        <v>127.0</v>
      </c>
      <c r="Z14" s="19">
        <v>131.0</v>
      </c>
      <c r="AA14" s="19">
        <v>137.0</v>
      </c>
      <c r="AB14" s="19">
        <v>134.0</v>
      </c>
      <c r="AC14" s="19">
        <v>141.0</v>
      </c>
      <c r="AD14" s="19">
        <v>130.0</v>
      </c>
      <c r="AE14" s="19">
        <v>131.0</v>
      </c>
      <c r="AF14" s="19">
        <v>138.0</v>
      </c>
      <c r="AG14" s="19">
        <v>138.0</v>
      </c>
      <c r="AH14" s="19">
        <v>142.0</v>
      </c>
      <c r="AI14" s="19">
        <v>133.0</v>
      </c>
      <c r="AJ14" s="19">
        <v>139.0</v>
      </c>
      <c r="AK14" s="19">
        <v>129.0</v>
      </c>
      <c r="AL14" s="19">
        <v>125.0</v>
      </c>
      <c r="AM14" s="19">
        <v>132.0</v>
      </c>
      <c r="AN14" s="19">
        <v>133.0</v>
      </c>
      <c r="AO14" s="19">
        <v>128.0</v>
      </c>
      <c r="AP14" s="19">
        <v>149.0</v>
      </c>
      <c r="AQ14" s="19">
        <v>130.0</v>
      </c>
      <c r="AR14" s="19">
        <v>143.0</v>
      </c>
      <c r="AS14" s="19">
        <v>130.0</v>
      </c>
      <c r="AT14" s="19">
        <v>136.0</v>
      </c>
      <c r="AU14" s="19">
        <v>141.0</v>
      </c>
      <c r="AV14" s="13">
        <f t="shared" ref="AV14:AV16" si="1">SUM(E14:AU14)</f>
        <v>5733</v>
      </c>
    </row>
    <row r="15" ht="12.75" customHeight="1">
      <c r="A15" s="18"/>
      <c r="B15" s="26"/>
      <c r="C15" s="27"/>
      <c r="D15" s="19" t="s">
        <v>13</v>
      </c>
      <c r="E15" s="19">
        <v>131.0</v>
      </c>
      <c r="F15" s="19">
        <v>127.0</v>
      </c>
      <c r="G15" s="19">
        <v>135.0</v>
      </c>
      <c r="H15" s="19">
        <v>127.0</v>
      </c>
      <c r="I15" s="19">
        <v>141.0</v>
      </c>
      <c r="J15" s="19">
        <v>136.0</v>
      </c>
      <c r="K15" s="19">
        <v>136.0</v>
      </c>
      <c r="L15" s="19">
        <v>139.0</v>
      </c>
      <c r="M15" s="19">
        <v>138.0</v>
      </c>
      <c r="N15" s="19">
        <v>132.0</v>
      </c>
      <c r="O15" s="19">
        <v>137.0</v>
      </c>
      <c r="P15" s="19">
        <v>121.0</v>
      </c>
      <c r="Q15" s="19">
        <v>130.0</v>
      </c>
      <c r="R15" s="19">
        <v>130.0</v>
      </c>
      <c r="S15" s="19">
        <v>134.0</v>
      </c>
      <c r="T15" s="19">
        <v>127.0</v>
      </c>
      <c r="U15" s="19">
        <v>129.0</v>
      </c>
      <c r="V15" s="19">
        <v>125.0</v>
      </c>
      <c r="W15" s="19">
        <v>124.0</v>
      </c>
      <c r="X15" s="19">
        <v>124.0</v>
      </c>
      <c r="Y15" s="19">
        <v>134.0</v>
      </c>
      <c r="Z15" s="19">
        <v>138.0</v>
      </c>
      <c r="AA15" s="19">
        <v>140.0</v>
      </c>
      <c r="AB15" s="19">
        <v>138.0</v>
      </c>
      <c r="AC15" s="19">
        <v>138.0</v>
      </c>
      <c r="AD15" s="19">
        <v>128.0</v>
      </c>
      <c r="AE15" s="19">
        <v>140.0</v>
      </c>
      <c r="AF15" s="19">
        <v>139.0</v>
      </c>
      <c r="AG15" s="19">
        <v>134.0</v>
      </c>
      <c r="AH15" s="19">
        <v>128.0</v>
      </c>
      <c r="AI15" s="19">
        <v>115.0</v>
      </c>
      <c r="AJ15" s="19">
        <v>122.0</v>
      </c>
      <c r="AK15" s="19">
        <v>138.0</v>
      </c>
      <c r="AL15" s="19">
        <v>124.0</v>
      </c>
      <c r="AM15" s="19">
        <v>133.0</v>
      </c>
      <c r="AN15" s="19">
        <v>124.0</v>
      </c>
      <c r="AO15" s="19">
        <v>141.0</v>
      </c>
      <c r="AP15" s="19">
        <v>117.0</v>
      </c>
      <c r="AQ15" s="19">
        <v>126.0</v>
      </c>
      <c r="AR15" s="19">
        <v>121.0</v>
      </c>
      <c r="AS15" s="19">
        <v>130.0</v>
      </c>
      <c r="AT15" s="19">
        <v>135.0</v>
      </c>
      <c r="AU15" s="19">
        <v>133.0</v>
      </c>
      <c r="AV15" s="13">
        <f t="shared" si="1"/>
        <v>5639</v>
      </c>
    </row>
    <row r="16" ht="12.75" customHeight="1">
      <c r="A16" s="25"/>
      <c r="B16" s="21"/>
      <c r="C16" s="28"/>
      <c r="D16" s="13" t="s">
        <v>14</v>
      </c>
      <c r="E16" s="13">
        <f t="shared" ref="E16:AU16" si="2">SUM(E14:E15)</f>
        <v>264</v>
      </c>
      <c r="F16" s="13">
        <f t="shared" si="2"/>
        <v>261</v>
      </c>
      <c r="G16" s="13">
        <f t="shared" si="2"/>
        <v>266</v>
      </c>
      <c r="H16" s="13">
        <f t="shared" si="2"/>
        <v>252</v>
      </c>
      <c r="I16" s="13">
        <f t="shared" si="2"/>
        <v>270</v>
      </c>
      <c r="J16" s="13">
        <f t="shared" si="2"/>
        <v>264</v>
      </c>
      <c r="K16" s="13">
        <f t="shared" si="2"/>
        <v>263</v>
      </c>
      <c r="L16" s="13">
        <f t="shared" si="2"/>
        <v>267</v>
      </c>
      <c r="M16" s="13">
        <f t="shared" si="2"/>
        <v>269</v>
      </c>
      <c r="N16" s="13">
        <f t="shared" si="2"/>
        <v>265</v>
      </c>
      <c r="O16" s="13">
        <f t="shared" si="2"/>
        <v>267</v>
      </c>
      <c r="P16" s="13">
        <f t="shared" si="2"/>
        <v>263</v>
      </c>
      <c r="Q16" s="13">
        <f t="shared" si="2"/>
        <v>257</v>
      </c>
      <c r="R16" s="13">
        <f t="shared" si="2"/>
        <v>263</v>
      </c>
      <c r="S16" s="13">
        <f t="shared" si="2"/>
        <v>269</v>
      </c>
      <c r="T16" s="13">
        <f t="shared" si="2"/>
        <v>258</v>
      </c>
      <c r="U16" s="13">
        <f t="shared" si="2"/>
        <v>265</v>
      </c>
      <c r="V16" s="13">
        <f t="shared" si="2"/>
        <v>256</v>
      </c>
      <c r="W16" s="13">
        <f t="shared" si="2"/>
        <v>267</v>
      </c>
      <c r="X16" s="13">
        <f t="shared" si="2"/>
        <v>253</v>
      </c>
      <c r="Y16" s="13">
        <f t="shared" si="2"/>
        <v>261</v>
      </c>
      <c r="Z16" s="13">
        <f t="shared" si="2"/>
        <v>269</v>
      </c>
      <c r="AA16" s="13">
        <f t="shared" si="2"/>
        <v>277</v>
      </c>
      <c r="AB16" s="13">
        <f t="shared" si="2"/>
        <v>272</v>
      </c>
      <c r="AC16" s="13">
        <f t="shared" si="2"/>
        <v>279</v>
      </c>
      <c r="AD16" s="13">
        <f t="shared" si="2"/>
        <v>258</v>
      </c>
      <c r="AE16" s="13">
        <f t="shared" si="2"/>
        <v>271</v>
      </c>
      <c r="AF16" s="13">
        <f t="shared" si="2"/>
        <v>277</v>
      </c>
      <c r="AG16" s="13">
        <f t="shared" si="2"/>
        <v>272</v>
      </c>
      <c r="AH16" s="13">
        <f t="shared" si="2"/>
        <v>270</v>
      </c>
      <c r="AI16" s="13">
        <f t="shared" si="2"/>
        <v>248</v>
      </c>
      <c r="AJ16" s="13">
        <f t="shared" si="2"/>
        <v>261</v>
      </c>
      <c r="AK16" s="13">
        <f t="shared" si="2"/>
        <v>267</v>
      </c>
      <c r="AL16" s="13">
        <f t="shared" si="2"/>
        <v>249</v>
      </c>
      <c r="AM16" s="13">
        <f t="shared" si="2"/>
        <v>265</v>
      </c>
      <c r="AN16" s="13">
        <f t="shared" si="2"/>
        <v>257</v>
      </c>
      <c r="AO16" s="13">
        <f t="shared" si="2"/>
        <v>269</v>
      </c>
      <c r="AP16" s="13">
        <f t="shared" si="2"/>
        <v>266</v>
      </c>
      <c r="AQ16" s="13">
        <f t="shared" si="2"/>
        <v>256</v>
      </c>
      <c r="AR16" s="13">
        <f t="shared" si="2"/>
        <v>264</v>
      </c>
      <c r="AS16" s="13">
        <f t="shared" si="2"/>
        <v>260</v>
      </c>
      <c r="AT16" s="13">
        <f t="shared" si="2"/>
        <v>271</v>
      </c>
      <c r="AU16" s="13">
        <f t="shared" si="2"/>
        <v>274</v>
      </c>
      <c r="AV16" s="13">
        <f t="shared" si="1"/>
        <v>11372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67"/>
      <c r="AJ17" s="19"/>
      <c r="AK17" s="19"/>
      <c r="AL17" s="19"/>
      <c r="AM17" s="19"/>
      <c r="AN17" s="67"/>
      <c r="AO17" s="19"/>
      <c r="AP17" s="19"/>
      <c r="AQ17" s="19"/>
      <c r="AR17" s="19"/>
      <c r="AS17" s="67"/>
      <c r="AT17" s="19"/>
      <c r="AU17" s="19"/>
      <c r="AV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67"/>
      <c r="AJ18" s="19"/>
      <c r="AK18" s="19"/>
      <c r="AL18" s="19"/>
      <c r="AM18" s="19"/>
      <c r="AN18" s="67"/>
      <c r="AO18" s="19"/>
      <c r="AP18" s="19"/>
      <c r="AQ18" s="19"/>
      <c r="AR18" s="19"/>
      <c r="AS18" s="67"/>
      <c r="AT18" s="19"/>
      <c r="AU18" s="19"/>
      <c r="AV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90.0</v>
      </c>
      <c r="F19" s="19">
        <v>97.0</v>
      </c>
      <c r="G19" s="19">
        <v>95.0</v>
      </c>
      <c r="H19" s="19">
        <v>92.0</v>
      </c>
      <c r="I19" s="19">
        <v>89.0</v>
      </c>
      <c r="J19" s="19">
        <v>92.0</v>
      </c>
      <c r="K19" s="19">
        <v>88.0</v>
      </c>
      <c r="L19" s="19">
        <v>95.0</v>
      </c>
      <c r="M19" s="19">
        <v>95.0</v>
      </c>
      <c r="N19" s="19">
        <v>96.0</v>
      </c>
      <c r="O19" s="19">
        <v>93.0</v>
      </c>
      <c r="P19" s="19">
        <v>99.0</v>
      </c>
      <c r="Q19" s="19">
        <v>98.0</v>
      </c>
      <c r="R19" s="19">
        <v>90.0</v>
      </c>
      <c r="S19" s="19">
        <v>97.0</v>
      </c>
      <c r="T19" s="19">
        <v>88.0</v>
      </c>
      <c r="U19" s="19">
        <v>102.0</v>
      </c>
      <c r="V19" s="19">
        <v>110.0</v>
      </c>
      <c r="W19" s="19">
        <v>106.0</v>
      </c>
      <c r="X19" s="19">
        <v>95.0</v>
      </c>
      <c r="Y19" s="19">
        <v>108.0</v>
      </c>
      <c r="Z19" s="19">
        <v>104.0</v>
      </c>
      <c r="AA19" s="19">
        <v>97.0</v>
      </c>
      <c r="AB19" s="19">
        <v>106.0</v>
      </c>
      <c r="AC19" s="19">
        <v>108.0</v>
      </c>
      <c r="AD19" s="19">
        <v>89.0</v>
      </c>
      <c r="AE19" s="19">
        <v>101.0</v>
      </c>
      <c r="AF19" s="19">
        <v>99.0</v>
      </c>
      <c r="AG19" s="19">
        <v>101.0</v>
      </c>
      <c r="AH19" s="19">
        <v>105.0</v>
      </c>
      <c r="AI19" s="19">
        <v>84.0</v>
      </c>
      <c r="AJ19" s="19">
        <v>113.0</v>
      </c>
      <c r="AK19" s="19">
        <v>96.0</v>
      </c>
      <c r="AL19" s="19">
        <v>86.0</v>
      </c>
      <c r="AM19" s="19">
        <v>97.0</v>
      </c>
      <c r="AN19" s="19">
        <v>85.0</v>
      </c>
      <c r="AO19" s="19">
        <v>98.0</v>
      </c>
      <c r="AP19" s="19">
        <v>117.0</v>
      </c>
      <c r="AQ19" s="19">
        <v>91.0</v>
      </c>
      <c r="AR19" s="19">
        <v>109.0</v>
      </c>
      <c r="AS19" s="19">
        <v>100.0</v>
      </c>
      <c r="AT19" s="19">
        <v>102.0</v>
      </c>
      <c r="AU19" s="19">
        <v>114.0</v>
      </c>
      <c r="AV19" s="13">
        <f t="shared" ref="AV19:AV30" si="3">SUM(E19:AU19)</f>
        <v>4217</v>
      </c>
    </row>
    <row r="20" ht="12.75" customHeight="1">
      <c r="A20" s="33"/>
      <c r="B20" s="27"/>
      <c r="C20" s="34"/>
      <c r="D20" s="19" t="s">
        <v>13</v>
      </c>
      <c r="E20" s="19">
        <v>104.0</v>
      </c>
      <c r="F20" s="19">
        <v>99.0</v>
      </c>
      <c r="G20" s="19">
        <v>110.0</v>
      </c>
      <c r="H20" s="19">
        <v>94.0</v>
      </c>
      <c r="I20" s="19">
        <v>98.0</v>
      </c>
      <c r="J20" s="19">
        <v>98.0</v>
      </c>
      <c r="K20" s="19">
        <v>106.0</v>
      </c>
      <c r="L20" s="19">
        <v>110.0</v>
      </c>
      <c r="M20" s="19">
        <v>99.0</v>
      </c>
      <c r="N20" s="19">
        <v>96.0</v>
      </c>
      <c r="O20" s="19">
        <v>108.0</v>
      </c>
      <c r="P20" s="19">
        <v>95.0</v>
      </c>
      <c r="Q20" s="19">
        <v>91.0</v>
      </c>
      <c r="R20" s="19">
        <v>84.0</v>
      </c>
      <c r="S20" s="19">
        <v>100.0</v>
      </c>
      <c r="T20" s="19">
        <v>94.0</v>
      </c>
      <c r="U20" s="19">
        <v>94.0</v>
      </c>
      <c r="V20" s="19">
        <v>108.0</v>
      </c>
      <c r="W20" s="19">
        <v>101.0</v>
      </c>
      <c r="X20" s="19">
        <v>98.0</v>
      </c>
      <c r="Y20" s="19">
        <v>113.0</v>
      </c>
      <c r="Z20" s="19">
        <v>117.0</v>
      </c>
      <c r="AA20" s="19">
        <v>109.0</v>
      </c>
      <c r="AB20" s="19">
        <v>107.0</v>
      </c>
      <c r="AC20" s="19">
        <v>112.0</v>
      </c>
      <c r="AD20" s="19">
        <v>98.0</v>
      </c>
      <c r="AE20" s="19">
        <v>104.0</v>
      </c>
      <c r="AF20" s="19">
        <v>113.0</v>
      </c>
      <c r="AG20" s="19">
        <v>96.0</v>
      </c>
      <c r="AH20" s="19">
        <v>105.0</v>
      </c>
      <c r="AI20" s="19">
        <v>81.0</v>
      </c>
      <c r="AJ20" s="19">
        <v>88.0</v>
      </c>
      <c r="AK20" s="19">
        <v>93.0</v>
      </c>
      <c r="AL20" s="19">
        <v>89.0</v>
      </c>
      <c r="AM20" s="19">
        <v>94.0</v>
      </c>
      <c r="AN20" s="19">
        <v>76.0</v>
      </c>
      <c r="AO20" s="19">
        <v>103.0</v>
      </c>
      <c r="AP20" s="19">
        <v>93.0</v>
      </c>
      <c r="AQ20" s="19">
        <v>96.0</v>
      </c>
      <c r="AR20" s="19">
        <v>89.0</v>
      </c>
      <c r="AS20" s="19">
        <v>103.0</v>
      </c>
      <c r="AT20" s="19">
        <v>105.0</v>
      </c>
      <c r="AU20" s="19">
        <v>104.0</v>
      </c>
      <c r="AV20" s="13">
        <f t="shared" si="3"/>
        <v>4275</v>
      </c>
    </row>
    <row r="21" ht="12.75" customHeight="1">
      <c r="A21" s="35"/>
      <c r="B21" s="28"/>
      <c r="C21" s="36"/>
      <c r="D21" s="13" t="s">
        <v>14</v>
      </c>
      <c r="E21" s="13">
        <f t="shared" ref="E21:AU21" si="4">SUM(E19:E20)</f>
        <v>194</v>
      </c>
      <c r="F21" s="13">
        <f t="shared" si="4"/>
        <v>196</v>
      </c>
      <c r="G21" s="13">
        <f t="shared" si="4"/>
        <v>205</v>
      </c>
      <c r="H21" s="13">
        <f t="shared" si="4"/>
        <v>186</v>
      </c>
      <c r="I21" s="13">
        <f t="shared" si="4"/>
        <v>187</v>
      </c>
      <c r="J21" s="13">
        <f t="shared" si="4"/>
        <v>190</v>
      </c>
      <c r="K21" s="13">
        <f t="shared" si="4"/>
        <v>194</v>
      </c>
      <c r="L21" s="13">
        <f t="shared" si="4"/>
        <v>205</v>
      </c>
      <c r="M21" s="13">
        <f t="shared" si="4"/>
        <v>194</v>
      </c>
      <c r="N21" s="13">
        <f t="shared" si="4"/>
        <v>192</v>
      </c>
      <c r="O21" s="13">
        <f t="shared" si="4"/>
        <v>201</v>
      </c>
      <c r="P21" s="13">
        <f t="shared" si="4"/>
        <v>194</v>
      </c>
      <c r="Q21" s="13">
        <f t="shared" si="4"/>
        <v>189</v>
      </c>
      <c r="R21" s="13">
        <f t="shared" si="4"/>
        <v>174</v>
      </c>
      <c r="S21" s="13">
        <f t="shared" si="4"/>
        <v>197</v>
      </c>
      <c r="T21" s="13">
        <f t="shared" si="4"/>
        <v>182</v>
      </c>
      <c r="U21" s="13">
        <f t="shared" si="4"/>
        <v>196</v>
      </c>
      <c r="V21" s="13">
        <f t="shared" si="4"/>
        <v>218</v>
      </c>
      <c r="W21" s="13">
        <f t="shared" si="4"/>
        <v>207</v>
      </c>
      <c r="X21" s="13">
        <f t="shared" si="4"/>
        <v>193</v>
      </c>
      <c r="Y21" s="13">
        <f t="shared" si="4"/>
        <v>221</v>
      </c>
      <c r="Z21" s="13">
        <f t="shared" si="4"/>
        <v>221</v>
      </c>
      <c r="AA21" s="13">
        <f t="shared" si="4"/>
        <v>206</v>
      </c>
      <c r="AB21" s="13">
        <f t="shared" si="4"/>
        <v>213</v>
      </c>
      <c r="AC21" s="13">
        <f t="shared" si="4"/>
        <v>220</v>
      </c>
      <c r="AD21" s="13">
        <f t="shared" si="4"/>
        <v>187</v>
      </c>
      <c r="AE21" s="13">
        <f t="shared" si="4"/>
        <v>205</v>
      </c>
      <c r="AF21" s="13">
        <f t="shared" si="4"/>
        <v>212</v>
      </c>
      <c r="AG21" s="13">
        <f t="shared" si="4"/>
        <v>197</v>
      </c>
      <c r="AH21" s="13">
        <f t="shared" si="4"/>
        <v>210</v>
      </c>
      <c r="AI21" s="13">
        <f t="shared" si="4"/>
        <v>165</v>
      </c>
      <c r="AJ21" s="13">
        <f t="shared" si="4"/>
        <v>201</v>
      </c>
      <c r="AK21" s="13">
        <f t="shared" si="4"/>
        <v>189</v>
      </c>
      <c r="AL21" s="13">
        <f t="shared" si="4"/>
        <v>175</v>
      </c>
      <c r="AM21" s="13">
        <f t="shared" si="4"/>
        <v>191</v>
      </c>
      <c r="AN21" s="13">
        <f t="shared" si="4"/>
        <v>161</v>
      </c>
      <c r="AO21" s="13">
        <f t="shared" si="4"/>
        <v>201</v>
      </c>
      <c r="AP21" s="13">
        <f t="shared" si="4"/>
        <v>210</v>
      </c>
      <c r="AQ21" s="13">
        <f t="shared" si="4"/>
        <v>187</v>
      </c>
      <c r="AR21" s="13">
        <f t="shared" si="4"/>
        <v>198</v>
      </c>
      <c r="AS21" s="13">
        <f t="shared" si="4"/>
        <v>203</v>
      </c>
      <c r="AT21" s="13">
        <f t="shared" si="4"/>
        <v>207</v>
      </c>
      <c r="AU21" s="13">
        <f t="shared" si="4"/>
        <v>218</v>
      </c>
      <c r="AV21" s="13">
        <f t="shared" si="3"/>
        <v>8492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9">
        <v>0.0</v>
      </c>
      <c r="F22" s="69">
        <v>0.0</v>
      </c>
      <c r="G22" s="69">
        <v>0.0</v>
      </c>
      <c r="H22" s="69">
        <v>0.0</v>
      </c>
      <c r="I22" s="69">
        <v>0.0</v>
      </c>
      <c r="J22" s="69">
        <v>0.0</v>
      </c>
      <c r="K22" s="69">
        <v>0.0</v>
      </c>
      <c r="L22" s="69">
        <v>0.0</v>
      </c>
      <c r="M22" s="69">
        <v>0.0</v>
      </c>
      <c r="N22" s="69">
        <v>0.0</v>
      </c>
      <c r="O22" s="69">
        <v>0.0</v>
      </c>
      <c r="P22" s="69">
        <v>0.0</v>
      </c>
      <c r="Q22" s="69">
        <v>0.0</v>
      </c>
      <c r="R22" s="69">
        <v>0.0</v>
      </c>
      <c r="S22" s="69">
        <v>0.0</v>
      </c>
      <c r="T22" s="69">
        <v>0.0</v>
      </c>
      <c r="U22" s="69">
        <v>0.0</v>
      </c>
      <c r="V22" s="69">
        <v>0.0</v>
      </c>
      <c r="W22" s="69">
        <v>0.0</v>
      </c>
      <c r="X22" s="69">
        <v>0.0</v>
      </c>
      <c r="Y22" s="69">
        <v>0.0</v>
      </c>
      <c r="Z22" s="69">
        <v>0.0</v>
      </c>
      <c r="AA22" s="69">
        <v>0.0</v>
      </c>
      <c r="AB22" s="69">
        <v>0.0</v>
      </c>
      <c r="AC22" s="69">
        <v>0.0</v>
      </c>
      <c r="AD22" s="69">
        <v>0.0</v>
      </c>
      <c r="AE22" s="69">
        <v>0.0</v>
      </c>
      <c r="AF22" s="69">
        <v>0.0</v>
      </c>
      <c r="AG22" s="69">
        <v>0.0</v>
      </c>
      <c r="AH22" s="69">
        <v>0.0</v>
      </c>
      <c r="AI22" s="69">
        <v>0.0</v>
      </c>
      <c r="AJ22" s="69">
        <v>0.0</v>
      </c>
      <c r="AK22" s="69">
        <v>0.0</v>
      </c>
      <c r="AL22" s="69">
        <v>0.0</v>
      </c>
      <c r="AM22" s="69">
        <v>1.0</v>
      </c>
      <c r="AN22" s="69">
        <v>0.0</v>
      </c>
      <c r="AO22" s="69">
        <v>0.0</v>
      </c>
      <c r="AP22" s="69">
        <v>0.0</v>
      </c>
      <c r="AQ22" s="69">
        <v>0.0</v>
      </c>
      <c r="AR22" s="69">
        <v>0.0</v>
      </c>
      <c r="AS22" s="69">
        <v>0.0</v>
      </c>
      <c r="AT22" s="69">
        <v>0.0</v>
      </c>
      <c r="AU22" s="69">
        <v>0.0</v>
      </c>
      <c r="AV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69">
        <v>0.0</v>
      </c>
      <c r="F23" s="69">
        <v>0.0</v>
      </c>
      <c r="G23" s="69">
        <v>0.0</v>
      </c>
      <c r="H23" s="69">
        <v>0.0</v>
      </c>
      <c r="I23" s="69">
        <v>0.0</v>
      </c>
      <c r="J23" s="69">
        <v>0.0</v>
      </c>
      <c r="K23" s="69">
        <v>0.0</v>
      </c>
      <c r="L23" s="69">
        <v>0.0</v>
      </c>
      <c r="M23" s="69">
        <v>0.0</v>
      </c>
      <c r="N23" s="69">
        <v>0.0</v>
      </c>
      <c r="O23" s="69">
        <v>0.0</v>
      </c>
      <c r="P23" s="69">
        <v>0.0</v>
      </c>
      <c r="Q23" s="69">
        <v>0.0</v>
      </c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9">
        <v>0.0</v>
      </c>
      <c r="Y23" s="69">
        <v>0.0</v>
      </c>
      <c r="Z23" s="69">
        <v>0.0</v>
      </c>
      <c r="AA23" s="69">
        <v>0.0</v>
      </c>
      <c r="AB23" s="69">
        <v>0.0</v>
      </c>
      <c r="AC23" s="69">
        <v>0.0</v>
      </c>
      <c r="AD23" s="69">
        <v>0.0</v>
      </c>
      <c r="AE23" s="69">
        <v>0.0</v>
      </c>
      <c r="AF23" s="69">
        <v>0.0</v>
      </c>
      <c r="AG23" s="69">
        <v>0.0</v>
      </c>
      <c r="AH23" s="69">
        <v>0.0</v>
      </c>
      <c r="AI23" s="69">
        <v>0.0</v>
      </c>
      <c r="AJ23" s="69">
        <v>0.0</v>
      </c>
      <c r="AK23" s="69">
        <v>0.0</v>
      </c>
      <c r="AL23" s="69">
        <v>0.0</v>
      </c>
      <c r="AM23" s="69">
        <v>0.0</v>
      </c>
      <c r="AN23" s="69">
        <v>0.0</v>
      </c>
      <c r="AO23" s="69">
        <v>0.0</v>
      </c>
      <c r="AP23" s="69">
        <v>0.0</v>
      </c>
      <c r="AQ23" s="69">
        <v>0.0</v>
      </c>
      <c r="AR23" s="69">
        <v>0.0</v>
      </c>
      <c r="AS23" s="69">
        <v>0.0</v>
      </c>
      <c r="AT23" s="69">
        <v>0.0</v>
      </c>
      <c r="AU23" s="69">
        <v>0.0</v>
      </c>
      <c r="AV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U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1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3.0</v>
      </c>
      <c r="G25" s="19">
        <v>2.0</v>
      </c>
      <c r="H25" s="19">
        <v>3.0</v>
      </c>
      <c r="I25" s="19">
        <v>1.0</v>
      </c>
      <c r="J25" s="19">
        <v>5.0</v>
      </c>
      <c r="K25" s="19">
        <v>0.0</v>
      </c>
      <c r="L25" s="19">
        <v>1.0</v>
      </c>
      <c r="M25" s="19">
        <v>2.0</v>
      </c>
      <c r="N25" s="19">
        <v>3.0</v>
      </c>
      <c r="O25" s="19">
        <v>0.0</v>
      </c>
      <c r="P25" s="19">
        <v>0.0</v>
      </c>
      <c r="Q25" s="19">
        <v>0.0</v>
      </c>
      <c r="R25" s="19">
        <v>1.0</v>
      </c>
      <c r="S25" s="19">
        <v>0.0</v>
      </c>
      <c r="T25" s="19">
        <v>1.0</v>
      </c>
      <c r="U25" s="19">
        <v>0.0</v>
      </c>
      <c r="V25" s="19">
        <v>0.0</v>
      </c>
      <c r="W25" s="19">
        <v>3.0</v>
      </c>
      <c r="X25" s="19">
        <v>4.0</v>
      </c>
      <c r="Y25" s="19">
        <v>0.0</v>
      </c>
      <c r="Z25" s="19">
        <v>1.0</v>
      </c>
      <c r="AA25" s="19">
        <v>0.0</v>
      </c>
      <c r="AB25" s="19">
        <v>3.0</v>
      </c>
      <c r="AC25" s="19">
        <v>0.0</v>
      </c>
      <c r="AD25" s="19">
        <v>0.0</v>
      </c>
      <c r="AE25" s="19">
        <v>1.0</v>
      </c>
      <c r="AF25" s="19">
        <v>2.0</v>
      </c>
      <c r="AG25" s="19">
        <v>2.0</v>
      </c>
      <c r="AH25" s="19">
        <v>0.0</v>
      </c>
      <c r="AI25" s="19">
        <v>2.0</v>
      </c>
      <c r="AJ25" s="19">
        <v>1.0</v>
      </c>
      <c r="AK25" s="19">
        <v>0.0</v>
      </c>
      <c r="AL25" s="19">
        <v>7.0</v>
      </c>
      <c r="AM25" s="19">
        <v>0.0</v>
      </c>
      <c r="AN25" s="19">
        <v>6.0</v>
      </c>
      <c r="AO25" s="19">
        <v>1.0</v>
      </c>
      <c r="AP25" s="19">
        <v>1.0</v>
      </c>
      <c r="AQ25" s="19">
        <v>2.0</v>
      </c>
      <c r="AR25" s="19">
        <v>3.0</v>
      </c>
      <c r="AS25" s="19">
        <v>2.0</v>
      </c>
      <c r="AT25" s="19">
        <v>0.0</v>
      </c>
      <c r="AU25" s="19">
        <v>0.0</v>
      </c>
      <c r="AV25" s="13">
        <f t="shared" si="3"/>
        <v>65</v>
      </c>
    </row>
    <row r="26" ht="12.75" customHeight="1">
      <c r="A26" s="33"/>
      <c r="B26" s="27"/>
      <c r="C26" s="34"/>
      <c r="D26" s="19" t="s">
        <v>13</v>
      </c>
      <c r="E26" s="19">
        <v>4.0</v>
      </c>
      <c r="F26" s="19">
        <v>4.0</v>
      </c>
      <c r="G26" s="19">
        <v>1.0</v>
      </c>
      <c r="H26" s="19">
        <v>5.0</v>
      </c>
      <c r="I26" s="19">
        <v>1.0</v>
      </c>
      <c r="J26" s="19">
        <v>9.0</v>
      </c>
      <c r="K26" s="19">
        <v>0.0</v>
      </c>
      <c r="L26" s="19">
        <v>1.0</v>
      </c>
      <c r="M26" s="19">
        <v>1.0</v>
      </c>
      <c r="N26" s="19">
        <v>1.0</v>
      </c>
      <c r="O26" s="19">
        <v>1.0</v>
      </c>
      <c r="P26" s="19">
        <v>0.0</v>
      </c>
      <c r="Q26" s="19">
        <v>1.0</v>
      </c>
      <c r="R26" s="19">
        <v>1.0</v>
      </c>
      <c r="S26" s="19">
        <v>0.0</v>
      </c>
      <c r="T26" s="19">
        <v>4.0</v>
      </c>
      <c r="U26" s="19">
        <v>1.0</v>
      </c>
      <c r="V26" s="19">
        <v>0.0</v>
      </c>
      <c r="W26" s="19">
        <v>4.0</v>
      </c>
      <c r="X26" s="19">
        <v>4.0</v>
      </c>
      <c r="Y26" s="19">
        <v>0.0</v>
      </c>
      <c r="Z26" s="19">
        <v>2.0</v>
      </c>
      <c r="AA26" s="19">
        <v>0.0</v>
      </c>
      <c r="AB26" s="19">
        <v>2.0</v>
      </c>
      <c r="AC26" s="19">
        <v>0.0</v>
      </c>
      <c r="AD26" s="19">
        <v>1.0</v>
      </c>
      <c r="AE26" s="19">
        <v>1.0</v>
      </c>
      <c r="AF26" s="19">
        <v>1.0</v>
      </c>
      <c r="AG26" s="19">
        <v>2.0</v>
      </c>
      <c r="AH26" s="19">
        <v>2.0</v>
      </c>
      <c r="AI26" s="19">
        <v>2.0</v>
      </c>
      <c r="AJ26" s="19">
        <v>2.0</v>
      </c>
      <c r="AK26" s="19">
        <v>0.0</v>
      </c>
      <c r="AL26" s="19">
        <v>12.0</v>
      </c>
      <c r="AM26" s="19">
        <v>0.0</v>
      </c>
      <c r="AN26" s="19">
        <v>7.0</v>
      </c>
      <c r="AO26" s="19">
        <v>2.0</v>
      </c>
      <c r="AP26" s="19">
        <v>2.0</v>
      </c>
      <c r="AQ26" s="19">
        <v>2.0</v>
      </c>
      <c r="AR26" s="19">
        <v>1.0</v>
      </c>
      <c r="AS26" s="19">
        <v>0.0</v>
      </c>
      <c r="AT26" s="19">
        <v>1.0</v>
      </c>
      <c r="AU26" s="19">
        <v>0.0</v>
      </c>
      <c r="AV26" s="13">
        <f t="shared" si="3"/>
        <v>85</v>
      </c>
    </row>
    <row r="27" ht="12.75" customHeight="1">
      <c r="A27" s="35"/>
      <c r="B27" s="28"/>
      <c r="C27" s="36"/>
      <c r="D27" s="13" t="s">
        <v>14</v>
      </c>
      <c r="E27" s="13">
        <f t="shared" ref="E27:AU27" si="6">SUM(E25:E26)</f>
        <v>6</v>
      </c>
      <c r="F27" s="13">
        <f t="shared" si="6"/>
        <v>7</v>
      </c>
      <c r="G27" s="13">
        <f t="shared" si="6"/>
        <v>3</v>
      </c>
      <c r="H27" s="13">
        <f t="shared" si="6"/>
        <v>8</v>
      </c>
      <c r="I27" s="13">
        <f t="shared" si="6"/>
        <v>2</v>
      </c>
      <c r="J27" s="13">
        <f t="shared" si="6"/>
        <v>14</v>
      </c>
      <c r="K27" s="13">
        <f t="shared" si="6"/>
        <v>0</v>
      </c>
      <c r="L27" s="13">
        <f t="shared" si="6"/>
        <v>2</v>
      </c>
      <c r="M27" s="13">
        <f t="shared" si="6"/>
        <v>3</v>
      </c>
      <c r="N27" s="13">
        <f t="shared" si="6"/>
        <v>4</v>
      </c>
      <c r="O27" s="13">
        <f t="shared" si="6"/>
        <v>1</v>
      </c>
      <c r="P27" s="13">
        <f t="shared" si="6"/>
        <v>0</v>
      </c>
      <c r="Q27" s="13">
        <f t="shared" si="6"/>
        <v>1</v>
      </c>
      <c r="R27" s="13">
        <f t="shared" si="6"/>
        <v>2</v>
      </c>
      <c r="S27" s="13">
        <f t="shared" si="6"/>
        <v>0</v>
      </c>
      <c r="T27" s="13">
        <f t="shared" si="6"/>
        <v>5</v>
      </c>
      <c r="U27" s="13">
        <f t="shared" si="6"/>
        <v>1</v>
      </c>
      <c r="V27" s="13">
        <f t="shared" si="6"/>
        <v>0</v>
      </c>
      <c r="W27" s="13">
        <f t="shared" si="6"/>
        <v>7</v>
      </c>
      <c r="X27" s="13">
        <f t="shared" si="6"/>
        <v>8</v>
      </c>
      <c r="Y27" s="13">
        <f t="shared" si="6"/>
        <v>0</v>
      </c>
      <c r="Z27" s="13">
        <f t="shared" si="6"/>
        <v>3</v>
      </c>
      <c r="AA27" s="13">
        <f t="shared" si="6"/>
        <v>0</v>
      </c>
      <c r="AB27" s="13">
        <f t="shared" si="6"/>
        <v>5</v>
      </c>
      <c r="AC27" s="13">
        <f t="shared" si="6"/>
        <v>0</v>
      </c>
      <c r="AD27" s="13">
        <f t="shared" si="6"/>
        <v>1</v>
      </c>
      <c r="AE27" s="13">
        <f t="shared" si="6"/>
        <v>2</v>
      </c>
      <c r="AF27" s="13">
        <f t="shared" si="6"/>
        <v>3</v>
      </c>
      <c r="AG27" s="13">
        <f t="shared" si="6"/>
        <v>4</v>
      </c>
      <c r="AH27" s="13">
        <f t="shared" si="6"/>
        <v>2</v>
      </c>
      <c r="AI27" s="13">
        <f t="shared" si="6"/>
        <v>4</v>
      </c>
      <c r="AJ27" s="13">
        <f t="shared" si="6"/>
        <v>3</v>
      </c>
      <c r="AK27" s="13">
        <f t="shared" si="6"/>
        <v>0</v>
      </c>
      <c r="AL27" s="13">
        <f t="shared" si="6"/>
        <v>19</v>
      </c>
      <c r="AM27" s="13">
        <f t="shared" si="6"/>
        <v>0</v>
      </c>
      <c r="AN27" s="13">
        <f t="shared" si="6"/>
        <v>13</v>
      </c>
      <c r="AO27" s="13">
        <f t="shared" si="6"/>
        <v>3</v>
      </c>
      <c r="AP27" s="13">
        <f t="shared" si="6"/>
        <v>3</v>
      </c>
      <c r="AQ27" s="13">
        <f t="shared" si="6"/>
        <v>4</v>
      </c>
      <c r="AR27" s="13">
        <f t="shared" si="6"/>
        <v>4</v>
      </c>
      <c r="AS27" s="13">
        <f t="shared" si="6"/>
        <v>2</v>
      </c>
      <c r="AT27" s="13">
        <f t="shared" si="6"/>
        <v>1</v>
      </c>
      <c r="AU27" s="13">
        <f t="shared" si="6"/>
        <v>0</v>
      </c>
      <c r="AV27" s="13">
        <f t="shared" si="3"/>
        <v>150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U28" si="7">SUM(E19,E22,E25)</f>
        <v>92</v>
      </c>
      <c r="F28" s="13">
        <f t="shared" si="7"/>
        <v>100</v>
      </c>
      <c r="G28" s="13">
        <f t="shared" si="7"/>
        <v>97</v>
      </c>
      <c r="H28" s="13">
        <f t="shared" si="7"/>
        <v>95</v>
      </c>
      <c r="I28" s="13">
        <f t="shared" si="7"/>
        <v>90</v>
      </c>
      <c r="J28" s="13">
        <f t="shared" si="7"/>
        <v>97</v>
      </c>
      <c r="K28" s="13">
        <f t="shared" si="7"/>
        <v>88</v>
      </c>
      <c r="L28" s="13">
        <f t="shared" si="7"/>
        <v>96</v>
      </c>
      <c r="M28" s="13">
        <f t="shared" si="7"/>
        <v>97</v>
      </c>
      <c r="N28" s="13">
        <f t="shared" si="7"/>
        <v>99</v>
      </c>
      <c r="O28" s="13">
        <f t="shared" si="7"/>
        <v>93</v>
      </c>
      <c r="P28" s="13">
        <f t="shared" si="7"/>
        <v>99</v>
      </c>
      <c r="Q28" s="13">
        <f t="shared" si="7"/>
        <v>98</v>
      </c>
      <c r="R28" s="13">
        <f t="shared" si="7"/>
        <v>91</v>
      </c>
      <c r="S28" s="13">
        <f t="shared" si="7"/>
        <v>97</v>
      </c>
      <c r="T28" s="13">
        <f t="shared" si="7"/>
        <v>89</v>
      </c>
      <c r="U28" s="13">
        <f t="shared" si="7"/>
        <v>102</v>
      </c>
      <c r="V28" s="13">
        <f t="shared" si="7"/>
        <v>110</v>
      </c>
      <c r="W28" s="13">
        <f t="shared" si="7"/>
        <v>109</v>
      </c>
      <c r="X28" s="13">
        <f t="shared" si="7"/>
        <v>99</v>
      </c>
      <c r="Y28" s="13">
        <f t="shared" si="7"/>
        <v>108</v>
      </c>
      <c r="Z28" s="13">
        <f t="shared" si="7"/>
        <v>105</v>
      </c>
      <c r="AA28" s="13">
        <f t="shared" si="7"/>
        <v>97</v>
      </c>
      <c r="AB28" s="13">
        <f t="shared" si="7"/>
        <v>109</v>
      </c>
      <c r="AC28" s="13">
        <f t="shared" si="7"/>
        <v>108</v>
      </c>
      <c r="AD28" s="13">
        <f t="shared" si="7"/>
        <v>89</v>
      </c>
      <c r="AE28" s="13">
        <f t="shared" si="7"/>
        <v>102</v>
      </c>
      <c r="AF28" s="13">
        <f t="shared" si="7"/>
        <v>101</v>
      </c>
      <c r="AG28" s="13">
        <f t="shared" si="7"/>
        <v>103</v>
      </c>
      <c r="AH28" s="13">
        <f t="shared" si="7"/>
        <v>105</v>
      </c>
      <c r="AI28" s="13">
        <f t="shared" si="7"/>
        <v>86</v>
      </c>
      <c r="AJ28" s="13">
        <f t="shared" si="7"/>
        <v>114</v>
      </c>
      <c r="AK28" s="13">
        <f t="shared" si="7"/>
        <v>96</v>
      </c>
      <c r="AL28" s="13">
        <f t="shared" si="7"/>
        <v>93</v>
      </c>
      <c r="AM28" s="13">
        <f t="shared" si="7"/>
        <v>98</v>
      </c>
      <c r="AN28" s="13">
        <f t="shared" si="7"/>
        <v>91</v>
      </c>
      <c r="AO28" s="13">
        <f t="shared" si="7"/>
        <v>99</v>
      </c>
      <c r="AP28" s="13">
        <f t="shared" si="7"/>
        <v>118</v>
      </c>
      <c r="AQ28" s="13">
        <f t="shared" si="7"/>
        <v>93</v>
      </c>
      <c r="AR28" s="13">
        <f t="shared" si="7"/>
        <v>112</v>
      </c>
      <c r="AS28" s="13">
        <f t="shared" si="7"/>
        <v>102</v>
      </c>
      <c r="AT28" s="13">
        <f t="shared" si="7"/>
        <v>102</v>
      </c>
      <c r="AU28" s="13">
        <f t="shared" si="7"/>
        <v>114</v>
      </c>
      <c r="AV28" s="13">
        <f t="shared" si="3"/>
        <v>4283</v>
      </c>
    </row>
    <row r="29" ht="12.75" customHeight="1">
      <c r="A29" s="35"/>
      <c r="B29" s="27"/>
      <c r="C29" s="34"/>
      <c r="D29" s="13" t="s">
        <v>13</v>
      </c>
      <c r="E29" s="13">
        <f t="shared" ref="E29:AU29" si="8">SUM(E20,E23,E26)</f>
        <v>108</v>
      </c>
      <c r="F29" s="13">
        <f t="shared" si="8"/>
        <v>103</v>
      </c>
      <c r="G29" s="13">
        <f t="shared" si="8"/>
        <v>111</v>
      </c>
      <c r="H29" s="13">
        <f t="shared" si="8"/>
        <v>99</v>
      </c>
      <c r="I29" s="13">
        <f t="shared" si="8"/>
        <v>99</v>
      </c>
      <c r="J29" s="13">
        <f t="shared" si="8"/>
        <v>107</v>
      </c>
      <c r="K29" s="13">
        <f t="shared" si="8"/>
        <v>106</v>
      </c>
      <c r="L29" s="13">
        <f t="shared" si="8"/>
        <v>111</v>
      </c>
      <c r="M29" s="13">
        <f t="shared" si="8"/>
        <v>100</v>
      </c>
      <c r="N29" s="13">
        <f t="shared" si="8"/>
        <v>97</v>
      </c>
      <c r="O29" s="13">
        <f t="shared" si="8"/>
        <v>109</v>
      </c>
      <c r="P29" s="13">
        <f t="shared" si="8"/>
        <v>95</v>
      </c>
      <c r="Q29" s="13">
        <f t="shared" si="8"/>
        <v>92</v>
      </c>
      <c r="R29" s="13">
        <f t="shared" si="8"/>
        <v>85</v>
      </c>
      <c r="S29" s="13">
        <f t="shared" si="8"/>
        <v>100</v>
      </c>
      <c r="T29" s="13">
        <f t="shared" si="8"/>
        <v>98</v>
      </c>
      <c r="U29" s="13">
        <f t="shared" si="8"/>
        <v>95</v>
      </c>
      <c r="V29" s="13">
        <f t="shared" si="8"/>
        <v>108</v>
      </c>
      <c r="W29" s="13">
        <f t="shared" si="8"/>
        <v>105</v>
      </c>
      <c r="X29" s="13">
        <f t="shared" si="8"/>
        <v>102</v>
      </c>
      <c r="Y29" s="13">
        <f t="shared" si="8"/>
        <v>113</v>
      </c>
      <c r="Z29" s="13">
        <f t="shared" si="8"/>
        <v>119</v>
      </c>
      <c r="AA29" s="13">
        <f t="shared" si="8"/>
        <v>109</v>
      </c>
      <c r="AB29" s="13">
        <f t="shared" si="8"/>
        <v>109</v>
      </c>
      <c r="AC29" s="13">
        <f t="shared" si="8"/>
        <v>112</v>
      </c>
      <c r="AD29" s="13">
        <f t="shared" si="8"/>
        <v>99</v>
      </c>
      <c r="AE29" s="13">
        <f t="shared" si="8"/>
        <v>105</v>
      </c>
      <c r="AF29" s="13">
        <f t="shared" si="8"/>
        <v>114</v>
      </c>
      <c r="AG29" s="13">
        <f t="shared" si="8"/>
        <v>98</v>
      </c>
      <c r="AH29" s="13">
        <f t="shared" si="8"/>
        <v>107</v>
      </c>
      <c r="AI29" s="13">
        <f t="shared" si="8"/>
        <v>83</v>
      </c>
      <c r="AJ29" s="13">
        <f t="shared" si="8"/>
        <v>90</v>
      </c>
      <c r="AK29" s="13">
        <f t="shared" si="8"/>
        <v>93</v>
      </c>
      <c r="AL29" s="13">
        <f t="shared" si="8"/>
        <v>101</v>
      </c>
      <c r="AM29" s="13">
        <f t="shared" si="8"/>
        <v>94</v>
      </c>
      <c r="AN29" s="13">
        <f t="shared" si="8"/>
        <v>83</v>
      </c>
      <c r="AO29" s="13">
        <f t="shared" si="8"/>
        <v>105</v>
      </c>
      <c r="AP29" s="13">
        <f t="shared" si="8"/>
        <v>95</v>
      </c>
      <c r="AQ29" s="13">
        <f t="shared" si="8"/>
        <v>98</v>
      </c>
      <c r="AR29" s="13">
        <f t="shared" si="8"/>
        <v>90</v>
      </c>
      <c r="AS29" s="13">
        <f t="shared" si="8"/>
        <v>103</v>
      </c>
      <c r="AT29" s="13">
        <f t="shared" si="8"/>
        <v>106</v>
      </c>
      <c r="AU29" s="13">
        <f t="shared" si="8"/>
        <v>104</v>
      </c>
      <c r="AV29" s="13">
        <f t="shared" si="3"/>
        <v>4360</v>
      </c>
    </row>
    <row r="30" ht="12.75" customHeight="1">
      <c r="A30" s="35"/>
      <c r="B30" s="28"/>
      <c r="C30" s="36"/>
      <c r="D30" s="13" t="s">
        <v>14</v>
      </c>
      <c r="E30" s="13">
        <f t="shared" ref="E30:AU30" si="9">SUM(E28:E29)</f>
        <v>200</v>
      </c>
      <c r="F30" s="13">
        <f t="shared" si="9"/>
        <v>203</v>
      </c>
      <c r="G30" s="13">
        <f t="shared" si="9"/>
        <v>208</v>
      </c>
      <c r="H30" s="13">
        <f t="shared" si="9"/>
        <v>194</v>
      </c>
      <c r="I30" s="13">
        <f t="shared" si="9"/>
        <v>189</v>
      </c>
      <c r="J30" s="13">
        <f t="shared" si="9"/>
        <v>204</v>
      </c>
      <c r="K30" s="13">
        <f t="shared" si="9"/>
        <v>194</v>
      </c>
      <c r="L30" s="13">
        <f t="shared" si="9"/>
        <v>207</v>
      </c>
      <c r="M30" s="13">
        <f t="shared" si="9"/>
        <v>197</v>
      </c>
      <c r="N30" s="13">
        <f t="shared" si="9"/>
        <v>196</v>
      </c>
      <c r="O30" s="13">
        <f t="shared" si="9"/>
        <v>202</v>
      </c>
      <c r="P30" s="13">
        <f t="shared" si="9"/>
        <v>194</v>
      </c>
      <c r="Q30" s="13">
        <f t="shared" si="9"/>
        <v>190</v>
      </c>
      <c r="R30" s="13">
        <f t="shared" si="9"/>
        <v>176</v>
      </c>
      <c r="S30" s="13">
        <f t="shared" si="9"/>
        <v>197</v>
      </c>
      <c r="T30" s="13">
        <f t="shared" si="9"/>
        <v>187</v>
      </c>
      <c r="U30" s="13">
        <f t="shared" si="9"/>
        <v>197</v>
      </c>
      <c r="V30" s="13">
        <f t="shared" si="9"/>
        <v>218</v>
      </c>
      <c r="W30" s="13">
        <f t="shared" si="9"/>
        <v>214</v>
      </c>
      <c r="X30" s="13">
        <f t="shared" si="9"/>
        <v>201</v>
      </c>
      <c r="Y30" s="13">
        <f t="shared" si="9"/>
        <v>221</v>
      </c>
      <c r="Z30" s="13">
        <f t="shared" si="9"/>
        <v>224</v>
      </c>
      <c r="AA30" s="13">
        <f t="shared" si="9"/>
        <v>206</v>
      </c>
      <c r="AB30" s="13">
        <f t="shared" si="9"/>
        <v>218</v>
      </c>
      <c r="AC30" s="13">
        <f t="shared" si="9"/>
        <v>220</v>
      </c>
      <c r="AD30" s="13">
        <f t="shared" si="9"/>
        <v>188</v>
      </c>
      <c r="AE30" s="13">
        <f t="shared" si="9"/>
        <v>207</v>
      </c>
      <c r="AF30" s="13">
        <f t="shared" si="9"/>
        <v>215</v>
      </c>
      <c r="AG30" s="13">
        <f t="shared" si="9"/>
        <v>201</v>
      </c>
      <c r="AH30" s="13">
        <f t="shared" si="9"/>
        <v>212</v>
      </c>
      <c r="AI30" s="13">
        <f t="shared" si="9"/>
        <v>169</v>
      </c>
      <c r="AJ30" s="13">
        <f t="shared" si="9"/>
        <v>204</v>
      </c>
      <c r="AK30" s="13">
        <f t="shared" si="9"/>
        <v>189</v>
      </c>
      <c r="AL30" s="13">
        <f t="shared" si="9"/>
        <v>194</v>
      </c>
      <c r="AM30" s="13">
        <f t="shared" si="9"/>
        <v>192</v>
      </c>
      <c r="AN30" s="13">
        <f t="shared" si="9"/>
        <v>174</v>
      </c>
      <c r="AO30" s="13">
        <f t="shared" si="9"/>
        <v>204</v>
      </c>
      <c r="AP30" s="13">
        <f t="shared" si="9"/>
        <v>213</v>
      </c>
      <c r="AQ30" s="13">
        <f t="shared" si="9"/>
        <v>191</v>
      </c>
      <c r="AR30" s="13">
        <f t="shared" si="9"/>
        <v>202</v>
      </c>
      <c r="AS30" s="13">
        <f t="shared" si="9"/>
        <v>205</v>
      </c>
      <c r="AT30" s="13">
        <f t="shared" si="9"/>
        <v>208</v>
      </c>
      <c r="AU30" s="13">
        <f t="shared" si="9"/>
        <v>218</v>
      </c>
      <c r="AV30" s="13">
        <f t="shared" si="3"/>
        <v>8643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67"/>
      <c r="AJ31" s="19"/>
      <c r="AK31" s="19"/>
      <c r="AL31" s="19"/>
      <c r="AM31" s="19"/>
      <c r="AN31" s="67"/>
      <c r="AO31" s="19"/>
      <c r="AP31" s="19"/>
      <c r="AQ31" s="19"/>
      <c r="AR31" s="19"/>
      <c r="AS31" s="67"/>
      <c r="AT31" s="19"/>
      <c r="AU31" s="19"/>
      <c r="AV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0"/>
      <c r="O32" s="13"/>
      <c r="P32" s="13"/>
      <c r="Q32" s="13"/>
      <c r="R32" s="13"/>
      <c r="S32" s="70"/>
      <c r="T32" s="13"/>
      <c r="U32" s="13"/>
      <c r="V32" s="13"/>
      <c r="W32" s="13"/>
      <c r="X32" s="70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70"/>
      <c r="AJ32" s="13"/>
      <c r="AK32" s="13"/>
      <c r="AL32" s="13"/>
      <c r="AM32" s="13"/>
      <c r="AN32" s="70"/>
      <c r="AO32" s="13"/>
      <c r="AP32" s="13"/>
      <c r="AQ32" s="13"/>
      <c r="AR32" s="13"/>
      <c r="AS32" s="70"/>
      <c r="AT32" s="13"/>
      <c r="AU32" s="13"/>
      <c r="AV32" s="68"/>
    </row>
    <row r="33" ht="12.75" customHeight="1">
      <c r="A33" s="19">
        <v>1.0</v>
      </c>
      <c r="B33" s="20" t="s">
        <v>27</v>
      </c>
      <c r="C33" s="15"/>
      <c r="D33" s="16"/>
      <c r="E33" s="19">
        <v>270.0</v>
      </c>
      <c r="F33" s="19">
        <v>267.0</v>
      </c>
      <c r="G33" s="19">
        <v>272.0</v>
      </c>
      <c r="H33" s="19">
        <v>258.0</v>
      </c>
      <c r="I33" s="19">
        <v>276.0</v>
      </c>
      <c r="J33" s="19">
        <v>270.0</v>
      </c>
      <c r="K33" s="19">
        <v>269.0</v>
      </c>
      <c r="L33" s="19">
        <v>273.0</v>
      </c>
      <c r="M33" s="19">
        <v>275.0</v>
      </c>
      <c r="N33" s="19">
        <v>271.0</v>
      </c>
      <c r="O33" s="19">
        <v>273.0</v>
      </c>
      <c r="P33" s="19">
        <v>269.0</v>
      </c>
      <c r="Q33" s="19">
        <v>263.0</v>
      </c>
      <c r="R33" s="19">
        <v>269.0</v>
      </c>
      <c r="S33" s="19">
        <v>275.0</v>
      </c>
      <c r="T33" s="19">
        <v>264.0</v>
      </c>
      <c r="U33" s="19">
        <v>271.0</v>
      </c>
      <c r="V33" s="19">
        <v>263.0</v>
      </c>
      <c r="W33" s="19">
        <v>273.0</v>
      </c>
      <c r="X33" s="19">
        <v>259.0</v>
      </c>
      <c r="Y33" s="19">
        <v>267.0</v>
      </c>
      <c r="Z33" s="19">
        <v>275.0</v>
      </c>
      <c r="AA33" s="19">
        <v>283.0</v>
      </c>
      <c r="AB33" s="19">
        <v>246.0</v>
      </c>
      <c r="AC33" s="19">
        <v>284.0</v>
      </c>
      <c r="AD33" s="19">
        <v>264.0</v>
      </c>
      <c r="AE33" s="19">
        <v>278.0</v>
      </c>
      <c r="AF33" s="19">
        <v>285.0</v>
      </c>
      <c r="AG33" s="19">
        <v>278.0</v>
      </c>
      <c r="AH33" s="19">
        <v>276.0</v>
      </c>
      <c r="AI33" s="19">
        <v>253.0</v>
      </c>
      <c r="AJ33" s="19">
        <v>267.0</v>
      </c>
      <c r="AK33" s="19">
        <v>263.0</v>
      </c>
      <c r="AL33" s="19">
        <v>254.0</v>
      </c>
      <c r="AM33" s="19">
        <v>270.0</v>
      </c>
      <c r="AN33" s="19">
        <v>263.0</v>
      </c>
      <c r="AO33" s="19">
        <v>275.0</v>
      </c>
      <c r="AP33" s="19">
        <v>273.0</v>
      </c>
      <c r="AQ33" s="19">
        <v>262.0</v>
      </c>
      <c r="AR33" s="19">
        <v>270.0</v>
      </c>
      <c r="AS33" s="19">
        <v>266.0</v>
      </c>
      <c r="AT33" s="19">
        <v>277.0</v>
      </c>
      <c r="AU33" s="19">
        <v>280.0</v>
      </c>
      <c r="AV33" s="13">
        <f t="shared" ref="AV33:AV36" si="10">SUM(E33:AU33)</f>
        <v>11589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203.0</v>
      </c>
      <c r="G34" s="13">
        <v>208.0</v>
      </c>
      <c r="H34" s="13">
        <v>194.0</v>
      </c>
      <c r="I34" s="13">
        <v>189.0</v>
      </c>
      <c r="J34" s="13">
        <v>204.0</v>
      </c>
      <c r="K34" s="13">
        <v>194.0</v>
      </c>
      <c r="L34" s="13">
        <v>207.0</v>
      </c>
      <c r="M34" s="13">
        <v>197.0</v>
      </c>
      <c r="N34" s="13">
        <v>196.0</v>
      </c>
      <c r="O34" s="13">
        <v>202.0</v>
      </c>
      <c r="P34" s="13">
        <v>194.0</v>
      </c>
      <c r="Q34" s="13">
        <v>190.0</v>
      </c>
      <c r="R34" s="13">
        <v>176.0</v>
      </c>
      <c r="S34" s="13">
        <v>197.0</v>
      </c>
      <c r="T34" s="13">
        <v>187.0</v>
      </c>
      <c r="U34" s="13">
        <v>197.0</v>
      </c>
      <c r="V34" s="13">
        <v>218.0</v>
      </c>
      <c r="W34" s="13">
        <v>214.0</v>
      </c>
      <c r="X34" s="13">
        <v>201.0</v>
      </c>
      <c r="Y34" s="13">
        <v>221.0</v>
      </c>
      <c r="Z34" s="13">
        <v>224.0</v>
      </c>
      <c r="AA34" s="13">
        <v>206.0</v>
      </c>
      <c r="AB34" s="13">
        <v>218.0</v>
      </c>
      <c r="AC34" s="13">
        <v>220.0</v>
      </c>
      <c r="AD34" s="13">
        <v>188.0</v>
      </c>
      <c r="AE34" s="13">
        <v>207.0</v>
      </c>
      <c r="AF34" s="13">
        <v>215.0</v>
      </c>
      <c r="AG34" s="13">
        <v>201.0</v>
      </c>
      <c r="AH34" s="13">
        <v>212.0</v>
      </c>
      <c r="AI34" s="13">
        <v>169.0</v>
      </c>
      <c r="AJ34" s="13">
        <v>204.0</v>
      </c>
      <c r="AK34" s="13">
        <v>189.0</v>
      </c>
      <c r="AL34" s="13">
        <v>194.0</v>
      </c>
      <c r="AM34" s="13">
        <v>192.0</v>
      </c>
      <c r="AN34" s="13">
        <v>174.0</v>
      </c>
      <c r="AO34" s="13">
        <v>204.0</v>
      </c>
      <c r="AP34" s="13">
        <v>213.0</v>
      </c>
      <c r="AQ34" s="13">
        <v>191.0</v>
      </c>
      <c r="AR34" s="13">
        <v>202.0</v>
      </c>
      <c r="AS34" s="13">
        <v>205.0</v>
      </c>
      <c r="AT34" s="13">
        <v>208.0</v>
      </c>
      <c r="AU34" s="13">
        <v>218.0</v>
      </c>
      <c r="AV34" s="13">
        <f t="shared" si="10"/>
        <v>8643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2.0</v>
      </c>
      <c r="W35" s="19">
        <v>0.0</v>
      </c>
      <c r="X35" s="19">
        <v>0.0</v>
      </c>
      <c r="Y35" s="19">
        <v>2.0</v>
      </c>
      <c r="Z35" s="19">
        <v>0.0</v>
      </c>
      <c r="AA35" s="19">
        <v>0.0</v>
      </c>
      <c r="AB35" s="19">
        <v>1.0</v>
      </c>
      <c r="AC35" s="19">
        <v>1.0</v>
      </c>
      <c r="AD35" s="19">
        <v>1.0</v>
      </c>
      <c r="AE35" s="19">
        <v>1.0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1.0</v>
      </c>
      <c r="AL35" s="19">
        <v>1.0</v>
      </c>
      <c r="AM35" s="19">
        <v>0.0</v>
      </c>
      <c r="AN35" s="19">
        <v>0.0</v>
      </c>
      <c r="AO35" s="19">
        <v>0.0</v>
      </c>
      <c r="AP35" s="19">
        <v>1.0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3">
        <f t="shared" si="10"/>
        <v>13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U36" si="11">E33-(E34+E35)</f>
        <v>69</v>
      </c>
      <c r="F36" s="13">
        <f t="shared" si="11"/>
        <v>64</v>
      </c>
      <c r="G36" s="13">
        <f t="shared" si="11"/>
        <v>64</v>
      </c>
      <c r="H36" s="13">
        <f t="shared" si="11"/>
        <v>64</v>
      </c>
      <c r="I36" s="13">
        <f t="shared" si="11"/>
        <v>87</v>
      </c>
      <c r="J36" s="13">
        <f t="shared" si="11"/>
        <v>66</v>
      </c>
      <c r="K36" s="13">
        <f t="shared" si="11"/>
        <v>75</v>
      </c>
      <c r="L36" s="13">
        <f t="shared" si="11"/>
        <v>66</v>
      </c>
      <c r="M36" s="13">
        <f t="shared" si="11"/>
        <v>78</v>
      </c>
      <c r="N36" s="13">
        <f t="shared" si="11"/>
        <v>75</v>
      </c>
      <c r="O36" s="13">
        <f t="shared" si="11"/>
        <v>71</v>
      </c>
      <c r="P36" s="13">
        <f t="shared" si="11"/>
        <v>75</v>
      </c>
      <c r="Q36" s="13">
        <f t="shared" si="11"/>
        <v>72</v>
      </c>
      <c r="R36" s="13">
        <f t="shared" si="11"/>
        <v>93</v>
      </c>
      <c r="S36" s="13">
        <f t="shared" si="11"/>
        <v>78</v>
      </c>
      <c r="T36" s="13">
        <f t="shared" si="11"/>
        <v>77</v>
      </c>
      <c r="U36" s="13">
        <f t="shared" si="11"/>
        <v>74</v>
      </c>
      <c r="V36" s="13">
        <f t="shared" si="11"/>
        <v>43</v>
      </c>
      <c r="W36" s="13">
        <f t="shared" si="11"/>
        <v>59</v>
      </c>
      <c r="X36" s="13">
        <f t="shared" si="11"/>
        <v>58</v>
      </c>
      <c r="Y36" s="13">
        <f t="shared" si="11"/>
        <v>44</v>
      </c>
      <c r="Z36" s="13">
        <f t="shared" si="11"/>
        <v>51</v>
      </c>
      <c r="AA36" s="13">
        <f t="shared" si="11"/>
        <v>77</v>
      </c>
      <c r="AB36" s="13">
        <f t="shared" si="11"/>
        <v>27</v>
      </c>
      <c r="AC36" s="13">
        <f t="shared" si="11"/>
        <v>63</v>
      </c>
      <c r="AD36" s="13">
        <f t="shared" si="11"/>
        <v>75</v>
      </c>
      <c r="AE36" s="13">
        <f t="shared" si="11"/>
        <v>70</v>
      </c>
      <c r="AF36" s="13">
        <f t="shared" si="11"/>
        <v>70</v>
      </c>
      <c r="AG36" s="13">
        <f t="shared" si="11"/>
        <v>77</v>
      </c>
      <c r="AH36" s="13">
        <f t="shared" si="11"/>
        <v>64</v>
      </c>
      <c r="AI36" s="13">
        <f t="shared" si="11"/>
        <v>84</v>
      </c>
      <c r="AJ36" s="13">
        <f t="shared" si="11"/>
        <v>63</v>
      </c>
      <c r="AK36" s="13">
        <f t="shared" si="11"/>
        <v>73</v>
      </c>
      <c r="AL36" s="13">
        <f t="shared" si="11"/>
        <v>59</v>
      </c>
      <c r="AM36" s="13">
        <f t="shared" si="11"/>
        <v>78</v>
      </c>
      <c r="AN36" s="13">
        <f t="shared" si="11"/>
        <v>89</v>
      </c>
      <c r="AO36" s="13">
        <f t="shared" si="11"/>
        <v>71</v>
      </c>
      <c r="AP36" s="13">
        <f t="shared" si="11"/>
        <v>59</v>
      </c>
      <c r="AQ36" s="13">
        <f t="shared" si="11"/>
        <v>71</v>
      </c>
      <c r="AR36" s="13">
        <f t="shared" si="11"/>
        <v>68</v>
      </c>
      <c r="AS36" s="13">
        <f t="shared" si="11"/>
        <v>61</v>
      </c>
      <c r="AT36" s="13">
        <f t="shared" si="11"/>
        <v>69</v>
      </c>
      <c r="AU36" s="13">
        <f t="shared" si="11"/>
        <v>62</v>
      </c>
      <c r="AV36" s="13">
        <f t="shared" si="10"/>
        <v>2933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9"/>
      <c r="AF37" s="19"/>
      <c r="AG37" s="19"/>
      <c r="AH37" s="19"/>
      <c r="AI37" s="67"/>
      <c r="AJ37" s="19"/>
      <c r="AK37" s="19"/>
      <c r="AL37" s="19"/>
      <c r="AM37" s="19"/>
      <c r="AN37" s="67"/>
      <c r="AO37" s="19"/>
      <c r="AP37" s="19"/>
      <c r="AQ37" s="19"/>
      <c r="AR37" s="19"/>
      <c r="AS37" s="67"/>
      <c r="AT37" s="19"/>
      <c r="AU37" s="19"/>
      <c r="AV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0"/>
      <c r="O38" s="13"/>
      <c r="P38" s="13"/>
      <c r="Q38" s="13"/>
      <c r="R38" s="13"/>
      <c r="S38" s="70"/>
      <c r="T38" s="13"/>
      <c r="U38" s="13"/>
      <c r="V38" s="13"/>
      <c r="W38" s="13"/>
      <c r="X38" s="70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70"/>
      <c r="AJ38" s="13"/>
      <c r="AK38" s="13"/>
      <c r="AL38" s="13"/>
      <c r="AM38" s="13"/>
      <c r="AN38" s="70"/>
      <c r="AO38" s="13"/>
      <c r="AP38" s="13"/>
      <c r="AQ38" s="13"/>
      <c r="AR38" s="13"/>
      <c r="AS38" s="70"/>
      <c r="AT38" s="13"/>
      <c r="AU38" s="13"/>
      <c r="AV38" s="68"/>
    </row>
    <row r="39" ht="12.75" customHeight="1">
      <c r="A39" s="30"/>
      <c r="B39" s="43" t="s">
        <v>33</v>
      </c>
      <c r="C39" s="23"/>
      <c r="D39" s="19" t="s">
        <v>12</v>
      </c>
      <c r="E39" s="69">
        <v>0.0</v>
      </c>
      <c r="F39" s="69">
        <v>0.0</v>
      </c>
      <c r="G39" s="69">
        <v>0.0</v>
      </c>
      <c r="H39" s="69">
        <v>0.0</v>
      </c>
      <c r="I39" s="69">
        <v>0.0</v>
      </c>
      <c r="J39" s="69">
        <v>0.0</v>
      </c>
      <c r="K39" s="69">
        <v>0.0</v>
      </c>
      <c r="L39" s="69">
        <v>0.0</v>
      </c>
      <c r="M39" s="69">
        <v>0.0</v>
      </c>
      <c r="N39" s="69">
        <v>0.0</v>
      </c>
      <c r="O39" s="69">
        <v>0.0</v>
      </c>
      <c r="P39" s="69">
        <v>0.0</v>
      </c>
      <c r="Q39" s="69">
        <v>0.0</v>
      </c>
      <c r="R39" s="69">
        <v>0.0</v>
      </c>
      <c r="S39" s="69">
        <v>0.0</v>
      </c>
      <c r="T39" s="69">
        <v>0.0</v>
      </c>
      <c r="U39" s="69">
        <v>0.0</v>
      </c>
      <c r="V39" s="69">
        <v>0.0</v>
      </c>
      <c r="W39" s="69">
        <v>0.0</v>
      </c>
      <c r="X39" s="69">
        <v>0.0</v>
      </c>
      <c r="Y39" s="69">
        <v>0.0</v>
      </c>
      <c r="Z39" s="69">
        <v>0.0</v>
      </c>
      <c r="AA39" s="69">
        <v>0.0</v>
      </c>
      <c r="AB39" s="69">
        <v>0.0</v>
      </c>
      <c r="AC39" s="69">
        <v>0.0</v>
      </c>
      <c r="AD39" s="69">
        <v>0.0</v>
      </c>
      <c r="AE39" s="69">
        <v>0.0</v>
      </c>
      <c r="AF39" s="69">
        <v>0.0</v>
      </c>
      <c r="AG39" s="69">
        <v>0.0</v>
      </c>
      <c r="AH39" s="69">
        <v>0.0</v>
      </c>
      <c r="AI39" s="69">
        <v>0.0</v>
      </c>
      <c r="AJ39" s="69">
        <v>0.0</v>
      </c>
      <c r="AK39" s="69">
        <v>0.0</v>
      </c>
      <c r="AL39" s="69">
        <v>0.0</v>
      </c>
      <c r="AM39" s="69">
        <v>0.0</v>
      </c>
      <c r="AN39" s="69">
        <v>0.0</v>
      </c>
      <c r="AO39" s="69">
        <v>0.0</v>
      </c>
      <c r="AP39" s="69">
        <v>0.0</v>
      </c>
      <c r="AQ39" s="69">
        <v>0.0</v>
      </c>
      <c r="AR39" s="69">
        <v>1.0</v>
      </c>
      <c r="AS39" s="69">
        <v>0.0</v>
      </c>
      <c r="AT39" s="69">
        <v>0.0</v>
      </c>
      <c r="AU39" s="69">
        <v>0.0</v>
      </c>
      <c r="AV39" s="13">
        <f t="shared" ref="AV39:AV41" si="12">SUM(E39:AU39)</f>
        <v>1</v>
      </c>
    </row>
    <row r="40" ht="12.75" customHeight="1">
      <c r="A40" s="33"/>
      <c r="C40" s="27"/>
      <c r="D40" s="19" t="s">
        <v>13</v>
      </c>
      <c r="E40" s="69">
        <v>0.0</v>
      </c>
      <c r="F40" s="69">
        <v>0.0</v>
      </c>
      <c r="G40" s="69">
        <v>0.0</v>
      </c>
      <c r="H40" s="69">
        <v>0.0</v>
      </c>
      <c r="I40" s="69">
        <v>0.0</v>
      </c>
      <c r="J40" s="69">
        <v>0.0</v>
      </c>
      <c r="K40" s="69">
        <v>0.0</v>
      </c>
      <c r="L40" s="69">
        <v>0.0</v>
      </c>
      <c r="M40" s="69">
        <v>0.0</v>
      </c>
      <c r="N40" s="69">
        <v>0.0</v>
      </c>
      <c r="O40" s="69">
        <v>0.0</v>
      </c>
      <c r="P40" s="69">
        <v>0.0</v>
      </c>
      <c r="Q40" s="69">
        <v>0.0</v>
      </c>
      <c r="R40" s="69">
        <v>0.0</v>
      </c>
      <c r="S40" s="69">
        <v>0.0</v>
      </c>
      <c r="T40" s="69">
        <v>0.0</v>
      </c>
      <c r="U40" s="69">
        <v>0.0</v>
      </c>
      <c r="V40" s="69">
        <v>0.0</v>
      </c>
      <c r="W40" s="69">
        <v>0.0</v>
      </c>
      <c r="X40" s="69">
        <v>0.0</v>
      </c>
      <c r="Y40" s="69">
        <v>0.0</v>
      </c>
      <c r="Z40" s="69">
        <v>0.0</v>
      </c>
      <c r="AA40" s="69">
        <v>0.0</v>
      </c>
      <c r="AB40" s="69">
        <v>0.0</v>
      </c>
      <c r="AC40" s="69">
        <v>0.0</v>
      </c>
      <c r="AD40" s="69">
        <v>0.0</v>
      </c>
      <c r="AE40" s="69">
        <v>0.0</v>
      </c>
      <c r="AF40" s="69">
        <v>0.0</v>
      </c>
      <c r="AG40" s="69">
        <v>0.0</v>
      </c>
      <c r="AH40" s="69">
        <v>0.0</v>
      </c>
      <c r="AI40" s="69">
        <v>0.0</v>
      </c>
      <c r="AJ40" s="69">
        <v>0.0</v>
      </c>
      <c r="AK40" s="69">
        <v>0.0</v>
      </c>
      <c r="AL40" s="69">
        <v>0.0</v>
      </c>
      <c r="AM40" s="69">
        <v>0.0</v>
      </c>
      <c r="AN40" s="69">
        <v>0.0</v>
      </c>
      <c r="AO40" s="69">
        <v>0.0</v>
      </c>
      <c r="AP40" s="69">
        <v>0.0</v>
      </c>
      <c r="AQ40" s="69">
        <v>0.0</v>
      </c>
      <c r="AR40" s="69">
        <v>0.0</v>
      </c>
      <c r="AS40" s="69">
        <v>0.0</v>
      </c>
      <c r="AT40" s="69">
        <v>0.0</v>
      </c>
      <c r="AU40" s="69">
        <v>0.0</v>
      </c>
      <c r="AV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1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9"/>
      <c r="AF42" s="19"/>
      <c r="AG42" s="19"/>
      <c r="AH42" s="19"/>
      <c r="AI42" s="67"/>
      <c r="AJ42" s="19"/>
      <c r="AK42" s="19"/>
      <c r="AL42" s="19"/>
      <c r="AM42" s="19"/>
      <c r="AN42" s="67"/>
      <c r="AO42" s="19"/>
      <c r="AP42" s="19"/>
      <c r="AQ42" s="19"/>
      <c r="AR42" s="19"/>
      <c r="AS42" s="67"/>
      <c r="AT42" s="19"/>
      <c r="AU42" s="19"/>
      <c r="A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0"/>
      <c r="O43" s="13"/>
      <c r="P43" s="13"/>
      <c r="Q43" s="13"/>
      <c r="R43" s="13"/>
      <c r="S43" s="70"/>
      <c r="T43" s="13"/>
      <c r="U43" s="13"/>
      <c r="V43" s="13"/>
      <c r="W43" s="13"/>
      <c r="X43" s="70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70"/>
      <c r="AJ43" s="13"/>
      <c r="AK43" s="13"/>
      <c r="AL43" s="13"/>
      <c r="AM43" s="13"/>
      <c r="AN43" s="70"/>
      <c r="AO43" s="13"/>
      <c r="AP43" s="13"/>
      <c r="AQ43" s="13"/>
      <c r="AR43" s="13"/>
      <c r="AS43" s="70"/>
      <c r="AT43" s="13"/>
      <c r="AU43" s="13"/>
      <c r="A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67"/>
      <c r="AJ44" s="19"/>
      <c r="AK44" s="19"/>
      <c r="AL44" s="19"/>
      <c r="AM44" s="19"/>
      <c r="AN44" s="67"/>
      <c r="AO44" s="19"/>
      <c r="AP44" s="19"/>
      <c r="AQ44" s="19"/>
      <c r="AR44" s="19"/>
      <c r="AS44" s="67"/>
      <c r="AT44" s="19"/>
      <c r="AU44" s="19"/>
      <c r="AV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7.0</v>
      </c>
      <c r="F45" s="19">
        <v>7.0</v>
      </c>
      <c r="G45" s="19">
        <v>13.0</v>
      </c>
      <c r="H45" s="19">
        <v>4.0</v>
      </c>
      <c r="I45" s="19">
        <v>9.0</v>
      </c>
      <c r="J45" s="19">
        <v>5.0</v>
      </c>
      <c r="K45" s="19">
        <v>9.0</v>
      </c>
      <c r="L45" s="19">
        <v>2.0</v>
      </c>
      <c r="M45" s="19">
        <v>8.0</v>
      </c>
      <c r="N45" s="19">
        <v>7.0</v>
      </c>
      <c r="O45" s="19">
        <v>2.0</v>
      </c>
      <c r="P45" s="19">
        <v>2.0</v>
      </c>
      <c r="Q45" s="19">
        <v>6.0</v>
      </c>
      <c r="R45" s="19">
        <v>1.0</v>
      </c>
      <c r="S45" s="19">
        <v>1.0</v>
      </c>
      <c r="T45" s="19">
        <v>10.0</v>
      </c>
      <c r="U45" s="19">
        <v>1.0</v>
      </c>
      <c r="V45" s="19">
        <v>2.0</v>
      </c>
      <c r="W45" s="19">
        <v>6.0</v>
      </c>
      <c r="X45" s="19">
        <v>0.0</v>
      </c>
      <c r="Y45" s="19">
        <v>1.0</v>
      </c>
      <c r="Z45" s="19">
        <v>9.0</v>
      </c>
      <c r="AA45" s="19">
        <v>2.0</v>
      </c>
      <c r="AB45" s="19">
        <v>5.0</v>
      </c>
      <c r="AC45" s="19">
        <v>6.0</v>
      </c>
      <c r="AD45" s="19">
        <v>4.0</v>
      </c>
      <c r="AE45" s="19">
        <v>8.0</v>
      </c>
      <c r="AF45" s="19">
        <v>7.0</v>
      </c>
      <c r="AG45" s="19">
        <v>1.0</v>
      </c>
      <c r="AH45" s="19">
        <v>0.0</v>
      </c>
      <c r="AI45" s="19">
        <v>3.0</v>
      </c>
      <c r="AJ45" s="19">
        <v>2.0</v>
      </c>
      <c r="AK45" s="19">
        <v>8.0</v>
      </c>
      <c r="AL45" s="19">
        <v>3.0</v>
      </c>
      <c r="AM45" s="19">
        <v>3.0</v>
      </c>
      <c r="AN45" s="19">
        <v>3.0</v>
      </c>
      <c r="AO45" s="19">
        <v>7.0</v>
      </c>
      <c r="AP45" s="19">
        <v>6.0</v>
      </c>
      <c r="AQ45" s="19">
        <v>2.0</v>
      </c>
      <c r="AR45" s="19">
        <v>5.0</v>
      </c>
      <c r="AS45" s="19">
        <v>6.0</v>
      </c>
      <c r="AT45" s="19">
        <v>6.0</v>
      </c>
      <c r="AU45" s="19">
        <v>4.0</v>
      </c>
      <c r="AV45" s="13">
        <f t="shared" ref="AV45:AV55" si="14">SUM(E45:AU45)</f>
        <v>203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13.0</v>
      </c>
      <c r="F46" s="19">
        <v>17.0</v>
      </c>
      <c r="G46" s="19">
        <v>30.0</v>
      </c>
      <c r="H46" s="19">
        <v>33.0</v>
      </c>
      <c r="I46" s="19">
        <v>30.0</v>
      </c>
      <c r="J46" s="19">
        <v>16.0</v>
      </c>
      <c r="K46" s="19">
        <v>13.0</v>
      </c>
      <c r="L46" s="19">
        <v>6.0</v>
      </c>
      <c r="M46" s="19">
        <v>45.0</v>
      </c>
      <c r="N46" s="19">
        <v>3.0</v>
      </c>
      <c r="O46" s="19">
        <v>12.0</v>
      </c>
      <c r="P46" s="19">
        <v>41.0</v>
      </c>
      <c r="Q46" s="19">
        <v>6.0</v>
      </c>
      <c r="R46" s="19">
        <v>6.0</v>
      </c>
      <c r="S46" s="19">
        <v>1.0</v>
      </c>
      <c r="T46" s="19">
        <v>14.0</v>
      </c>
      <c r="U46" s="19">
        <v>6.0</v>
      </c>
      <c r="V46" s="19">
        <v>8.0</v>
      </c>
      <c r="W46" s="19">
        <v>4.0</v>
      </c>
      <c r="X46" s="19">
        <v>4.0</v>
      </c>
      <c r="Y46" s="19">
        <v>0.0</v>
      </c>
      <c r="Z46" s="19">
        <v>22.0</v>
      </c>
      <c r="AA46" s="19">
        <v>15.0</v>
      </c>
      <c r="AB46" s="19">
        <v>9.0</v>
      </c>
      <c r="AC46" s="19">
        <v>15.0</v>
      </c>
      <c r="AD46" s="19">
        <v>5.0</v>
      </c>
      <c r="AE46" s="19">
        <v>5.0</v>
      </c>
      <c r="AF46" s="19">
        <v>3.0</v>
      </c>
      <c r="AG46" s="19">
        <v>4.0</v>
      </c>
      <c r="AH46" s="19">
        <v>2.0</v>
      </c>
      <c r="AI46" s="19">
        <v>4.0</v>
      </c>
      <c r="AJ46" s="19">
        <v>6.0</v>
      </c>
      <c r="AK46" s="19">
        <v>20.0</v>
      </c>
      <c r="AL46" s="19">
        <v>6.0</v>
      </c>
      <c r="AM46" s="19">
        <v>8.0</v>
      </c>
      <c r="AN46" s="19">
        <v>1.0</v>
      </c>
      <c r="AO46" s="19">
        <v>7.0</v>
      </c>
      <c r="AP46" s="19">
        <v>10.0</v>
      </c>
      <c r="AQ46" s="19">
        <v>11.0</v>
      </c>
      <c r="AR46" s="19">
        <v>8.0</v>
      </c>
      <c r="AS46" s="19">
        <v>6.0</v>
      </c>
      <c r="AT46" s="19">
        <v>6.0</v>
      </c>
      <c r="AU46" s="19">
        <v>3.0</v>
      </c>
      <c r="AV46" s="13">
        <f t="shared" si="14"/>
        <v>484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7.0</v>
      </c>
      <c r="G47" s="19">
        <v>5.0</v>
      </c>
      <c r="H47" s="19">
        <v>2.0</v>
      </c>
      <c r="I47" s="19">
        <v>7.0</v>
      </c>
      <c r="J47" s="19">
        <v>6.0</v>
      </c>
      <c r="K47" s="19">
        <v>0.0</v>
      </c>
      <c r="L47" s="19">
        <v>3.0</v>
      </c>
      <c r="M47" s="19">
        <v>3.0</v>
      </c>
      <c r="N47" s="19">
        <v>3.0</v>
      </c>
      <c r="O47" s="19">
        <v>8.0</v>
      </c>
      <c r="P47" s="19">
        <v>0.0</v>
      </c>
      <c r="Q47" s="19">
        <v>5.0</v>
      </c>
      <c r="R47" s="19">
        <v>8.0</v>
      </c>
      <c r="S47" s="19">
        <v>7.0</v>
      </c>
      <c r="T47" s="19">
        <v>11.0</v>
      </c>
      <c r="U47" s="19">
        <v>8.0</v>
      </c>
      <c r="V47" s="19">
        <v>12.0</v>
      </c>
      <c r="W47" s="19">
        <v>10.0</v>
      </c>
      <c r="X47" s="19">
        <v>5.0</v>
      </c>
      <c r="Y47" s="19">
        <v>3.0</v>
      </c>
      <c r="Z47" s="19">
        <v>8.0</v>
      </c>
      <c r="AA47" s="19">
        <v>6.0</v>
      </c>
      <c r="AB47" s="19">
        <v>15.0</v>
      </c>
      <c r="AC47" s="19">
        <v>15.0</v>
      </c>
      <c r="AD47" s="19">
        <v>14.0</v>
      </c>
      <c r="AE47" s="19">
        <v>14.0</v>
      </c>
      <c r="AF47" s="19">
        <v>20.0</v>
      </c>
      <c r="AG47" s="19">
        <v>2.0</v>
      </c>
      <c r="AH47" s="19">
        <v>12.0</v>
      </c>
      <c r="AI47" s="19">
        <v>2.0</v>
      </c>
      <c r="AJ47" s="19">
        <v>4.0</v>
      </c>
      <c r="AK47" s="19">
        <v>3.0</v>
      </c>
      <c r="AL47" s="19">
        <v>0.0</v>
      </c>
      <c r="AM47" s="19">
        <v>1.0</v>
      </c>
      <c r="AN47" s="19">
        <v>1.0</v>
      </c>
      <c r="AO47" s="19">
        <v>1.0</v>
      </c>
      <c r="AP47" s="19">
        <v>3.0</v>
      </c>
      <c r="AQ47" s="19">
        <v>1.0</v>
      </c>
      <c r="AR47" s="19">
        <v>2.0</v>
      </c>
      <c r="AS47" s="19">
        <v>4.0</v>
      </c>
      <c r="AT47" s="19">
        <v>3.0</v>
      </c>
      <c r="AU47" s="19">
        <v>1.0</v>
      </c>
      <c r="AV47" s="13">
        <f t="shared" si="14"/>
        <v>246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3.0</v>
      </c>
      <c r="H48" s="19">
        <v>0.0</v>
      </c>
      <c r="I48" s="19">
        <v>2.0</v>
      </c>
      <c r="J48" s="19">
        <v>1.0</v>
      </c>
      <c r="K48" s="19">
        <v>0.0</v>
      </c>
      <c r="L48" s="19">
        <v>0.0</v>
      </c>
      <c r="M48" s="19">
        <v>0.0</v>
      </c>
      <c r="N48" s="19">
        <v>0.0</v>
      </c>
      <c r="O48" s="19">
        <v>0.0</v>
      </c>
      <c r="P48" s="19">
        <v>0.0</v>
      </c>
      <c r="Q48" s="19">
        <v>0.0</v>
      </c>
      <c r="R48" s="19">
        <v>1.0</v>
      </c>
      <c r="S48" s="19">
        <v>0.0</v>
      </c>
      <c r="T48" s="19">
        <v>1.0</v>
      </c>
      <c r="U48" s="19">
        <v>3.0</v>
      </c>
      <c r="V48" s="19">
        <v>1.0</v>
      </c>
      <c r="W48" s="19">
        <v>0.0</v>
      </c>
      <c r="X48" s="19">
        <v>0.0</v>
      </c>
      <c r="Y48" s="19">
        <v>0.0</v>
      </c>
      <c r="Z48" s="19">
        <v>2.0</v>
      </c>
      <c r="AA48" s="19">
        <v>0.0</v>
      </c>
      <c r="AB48" s="19">
        <v>4.0</v>
      </c>
      <c r="AC48" s="19">
        <v>1.0</v>
      </c>
      <c r="AD48" s="19">
        <v>0.0</v>
      </c>
      <c r="AE48" s="19">
        <v>0.0</v>
      </c>
      <c r="AF48" s="19">
        <v>0.0</v>
      </c>
      <c r="AG48" s="19">
        <v>1.0</v>
      </c>
      <c r="AH48" s="19">
        <v>1.0</v>
      </c>
      <c r="AI48" s="19">
        <v>0.0</v>
      </c>
      <c r="AJ48" s="19">
        <v>1.0</v>
      </c>
      <c r="AK48" s="19">
        <v>0.0</v>
      </c>
      <c r="AL48" s="19">
        <v>1.0</v>
      </c>
      <c r="AM48" s="19">
        <v>0.0</v>
      </c>
      <c r="AN48" s="19">
        <v>0.0</v>
      </c>
      <c r="AO48" s="19">
        <v>1.0</v>
      </c>
      <c r="AP48" s="19">
        <v>0.0</v>
      </c>
      <c r="AQ48" s="19">
        <v>0.0</v>
      </c>
      <c r="AR48" s="19">
        <v>0.0</v>
      </c>
      <c r="AS48" s="19">
        <v>0.0</v>
      </c>
      <c r="AT48" s="19">
        <v>0.0</v>
      </c>
      <c r="AU48" s="19">
        <v>0.0</v>
      </c>
      <c r="AV48" s="13">
        <f t="shared" si="14"/>
        <v>24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1.0</v>
      </c>
      <c r="G49" s="19">
        <v>0.0</v>
      </c>
      <c r="H49" s="19">
        <v>3.0</v>
      </c>
      <c r="I49" s="19">
        <v>2.0</v>
      </c>
      <c r="J49" s="19">
        <v>1.0</v>
      </c>
      <c r="K49" s="19">
        <v>0.0</v>
      </c>
      <c r="L49" s="19">
        <v>0.0</v>
      </c>
      <c r="M49" s="19">
        <v>0.0</v>
      </c>
      <c r="N49" s="19">
        <v>0.0</v>
      </c>
      <c r="O49" s="19">
        <v>1.0</v>
      </c>
      <c r="P49" s="19">
        <v>0.0</v>
      </c>
      <c r="Q49" s="19">
        <v>0.0</v>
      </c>
      <c r="R49" s="19">
        <v>0.0</v>
      </c>
      <c r="S49" s="19">
        <v>0.0</v>
      </c>
      <c r="T49" s="19">
        <v>0.0</v>
      </c>
      <c r="U49" s="19">
        <v>2.0</v>
      </c>
      <c r="V49" s="19">
        <v>2.0</v>
      </c>
      <c r="W49" s="19">
        <v>0.0</v>
      </c>
      <c r="X49" s="19">
        <v>0.0</v>
      </c>
      <c r="Y49" s="19">
        <v>0.0</v>
      </c>
      <c r="Z49" s="19">
        <v>0.0</v>
      </c>
      <c r="AA49" s="19">
        <v>0.0</v>
      </c>
      <c r="AB49" s="19">
        <v>0.0</v>
      </c>
      <c r="AC49" s="19">
        <v>1.0</v>
      </c>
      <c r="AD49" s="19">
        <v>0.0</v>
      </c>
      <c r="AE49" s="19">
        <v>1.0</v>
      </c>
      <c r="AF49" s="19">
        <v>0.0</v>
      </c>
      <c r="AG49" s="19">
        <v>1.0</v>
      </c>
      <c r="AH49" s="19">
        <v>0.0</v>
      </c>
      <c r="AI49" s="19">
        <v>1.0</v>
      </c>
      <c r="AJ49" s="19">
        <v>0.0</v>
      </c>
      <c r="AK49" s="19">
        <v>0.0</v>
      </c>
      <c r="AL49" s="19">
        <v>0.0</v>
      </c>
      <c r="AM49" s="19">
        <v>1.0</v>
      </c>
      <c r="AN49" s="19">
        <v>0.0</v>
      </c>
      <c r="AO49" s="19">
        <v>2.0</v>
      </c>
      <c r="AP49" s="19">
        <v>0.0</v>
      </c>
      <c r="AQ49" s="19">
        <v>0.0</v>
      </c>
      <c r="AR49" s="19">
        <v>0.0</v>
      </c>
      <c r="AS49" s="19">
        <v>1.0</v>
      </c>
      <c r="AT49" s="19">
        <v>1.0</v>
      </c>
      <c r="AU49" s="19">
        <v>0.0</v>
      </c>
      <c r="AV49" s="13">
        <f t="shared" si="14"/>
        <v>21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69">
        <v>1.0</v>
      </c>
      <c r="G50" s="19">
        <v>1.0</v>
      </c>
      <c r="H50" s="19">
        <v>0.0</v>
      </c>
      <c r="I50" s="19">
        <v>0.0</v>
      </c>
      <c r="J50" s="19">
        <v>0.0</v>
      </c>
      <c r="K50" s="19">
        <v>1.0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1.0</v>
      </c>
      <c r="U50" s="19">
        <v>0.0</v>
      </c>
      <c r="V50" s="19">
        <v>0.0</v>
      </c>
      <c r="W50" s="19">
        <v>0.0</v>
      </c>
      <c r="X50" s="19">
        <v>0.0</v>
      </c>
      <c r="Y50" s="19">
        <v>0.0</v>
      </c>
      <c r="Z50" s="19">
        <v>0.0</v>
      </c>
      <c r="AA50" s="19">
        <v>0.0</v>
      </c>
      <c r="AB50" s="19">
        <v>0.0</v>
      </c>
      <c r="AC50" s="19">
        <v>1.0</v>
      </c>
      <c r="AD50" s="19">
        <v>1.0</v>
      </c>
      <c r="AE50" s="19">
        <v>0.0</v>
      </c>
      <c r="AF50" s="19">
        <v>1.0</v>
      </c>
      <c r="AG50" s="19">
        <v>0.0</v>
      </c>
      <c r="AH50" s="19">
        <v>0.0</v>
      </c>
      <c r="AI50" s="19">
        <v>1.0</v>
      </c>
      <c r="AJ50" s="19">
        <v>0.0</v>
      </c>
      <c r="AK50" s="19">
        <v>0.0</v>
      </c>
      <c r="AL50" s="19">
        <v>0.0</v>
      </c>
      <c r="AM50" s="19">
        <v>0.0</v>
      </c>
      <c r="AN50" s="19">
        <v>0.0</v>
      </c>
      <c r="AO50" s="19">
        <v>0.0</v>
      </c>
      <c r="AP50" s="19">
        <v>0.0</v>
      </c>
      <c r="AQ50" s="19">
        <v>0.0</v>
      </c>
      <c r="AR50" s="19">
        <v>0.0</v>
      </c>
      <c r="AS50" s="19">
        <v>0.0</v>
      </c>
      <c r="AT50" s="19">
        <v>0.0</v>
      </c>
      <c r="AU50" s="19">
        <v>1.0</v>
      </c>
      <c r="AV50" s="13">
        <f t="shared" si="14"/>
        <v>10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1.0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1.0</v>
      </c>
      <c r="Q51" s="19">
        <v>1.0</v>
      </c>
      <c r="R51" s="19">
        <v>0.0</v>
      </c>
      <c r="S51" s="19">
        <v>0.0</v>
      </c>
      <c r="T51" s="19">
        <v>0.0</v>
      </c>
      <c r="U51" s="19">
        <v>0.0</v>
      </c>
      <c r="V51" s="19">
        <v>1.0</v>
      </c>
      <c r="W51" s="19">
        <v>0.0</v>
      </c>
      <c r="X51" s="19">
        <v>0.0</v>
      </c>
      <c r="Y51" s="19">
        <v>0.0</v>
      </c>
      <c r="Z51" s="19">
        <v>0.0</v>
      </c>
      <c r="AA51" s="19">
        <v>1.0</v>
      </c>
      <c r="AB51" s="19">
        <v>0.0</v>
      </c>
      <c r="AC51" s="19">
        <v>0.0</v>
      </c>
      <c r="AD51" s="19">
        <v>2.0</v>
      </c>
      <c r="AE51" s="19">
        <v>2.0</v>
      </c>
      <c r="AF51" s="19">
        <v>0.0</v>
      </c>
      <c r="AG51" s="19">
        <v>0.0</v>
      </c>
      <c r="AH51" s="19">
        <v>0.0</v>
      </c>
      <c r="AI51" s="19">
        <v>2.0</v>
      </c>
      <c r="AJ51" s="19">
        <v>2.0</v>
      </c>
      <c r="AK51" s="19">
        <v>0.0</v>
      </c>
      <c r="AL51" s="19">
        <v>0.0</v>
      </c>
      <c r="AM51" s="19">
        <v>0.0</v>
      </c>
      <c r="AN51" s="19">
        <v>0.0</v>
      </c>
      <c r="AO51" s="19">
        <v>0.0</v>
      </c>
      <c r="AP51" s="19">
        <v>2.0</v>
      </c>
      <c r="AQ51" s="19">
        <v>1.0</v>
      </c>
      <c r="AR51" s="19">
        <v>0.0</v>
      </c>
      <c r="AS51" s="19">
        <v>0.0</v>
      </c>
      <c r="AT51" s="19">
        <v>0.0</v>
      </c>
      <c r="AU51" s="19">
        <v>0.0</v>
      </c>
      <c r="AV51" s="13">
        <f t="shared" si="14"/>
        <v>16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1.0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1.0</v>
      </c>
      <c r="Y52" s="19">
        <v>0.0</v>
      </c>
      <c r="Z52" s="19">
        <v>0.0</v>
      </c>
      <c r="AA52" s="19">
        <v>0.0</v>
      </c>
      <c r="AB52" s="19">
        <v>2.0</v>
      </c>
      <c r="AC52" s="19">
        <v>0.0</v>
      </c>
      <c r="AD52" s="19">
        <v>0.0</v>
      </c>
      <c r="AE52" s="19">
        <v>1.0</v>
      </c>
      <c r="AF52" s="19">
        <v>0.0</v>
      </c>
      <c r="AG52" s="19">
        <v>0.0</v>
      </c>
      <c r="AH52" s="19">
        <v>0.0</v>
      </c>
      <c r="AI52" s="19">
        <v>0.0</v>
      </c>
      <c r="AJ52" s="19">
        <v>1.0</v>
      </c>
      <c r="AK52" s="19">
        <v>1.0</v>
      </c>
      <c r="AL52" s="19">
        <v>1.0</v>
      </c>
      <c r="AM52" s="19">
        <v>0.0</v>
      </c>
      <c r="AN52" s="19">
        <v>0.0</v>
      </c>
      <c r="AO52" s="19">
        <v>0.0</v>
      </c>
      <c r="AP52" s="19">
        <v>1.0</v>
      </c>
      <c r="AQ52" s="19">
        <v>0.0</v>
      </c>
      <c r="AR52" s="19">
        <v>0.0</v>
      </c>
      <c r="AS52" s="19">
        <v>0.0</v>
      </c>
      <c r="AT52" s="19">
        <v>1.0</v>
      </c>
      <c r="AU52" s="19">
        <v>0.0</v>
      </c>
      <c r="AV52" s="13">
        <f t="shared" si="14"/>
        <v>10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3">
        <f t="shared" si="14"/>
        <v>0</v>
      </c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AU55" si="15">SUM(E45:E52)</f>
        <v>22</v>
      </c>
      <c r="F55" s="13">
        <f t="shared" si="15"/>
        <v>33</v>
      </c>
      <c r="G55" s="13">
        <f t="shared" si="15"/>
        <v>54</v>
      </c>
      <c r="H55" s="13">
        <f t="shared" si="15"/>
        <v>42</v>
      </c>
      <c r="I55" s="13">
        <f t="shared" si="15"/>
        <v>50</v>
      </c>
      <c r="J55" s="13">
        <f t="shared" si="15"/>
        <v>29</v>
      </c>
      <c r="K55" s="13">
        <f t="shared" si="15"/>
        <v>23</v>
      </c>
      <c r="L55" s="13">
        <f t="shared" si="15"/>
        <v>11</v>
      </c>
      <c r="M55" s="13">
        <f t="shared" si="15"/>
        <v>56</v>
      </c>
      <c r="N55" s="13">
        <f t="shared" si="15"/>
        <v>13</v>
      </c>
      <c r="O55" s="13">
        <f t="shared" si="15"/>
        <v>23</v>
      </c>
      <c r="P55" s="13">
        <f t="shared" si="15"/>
        <v>44</v>
      </c>
      <c r="Q55" s="13">
        <f t="shared" si="15"/>
        <v>18</v>
      </c>
      <c r="R55" s="13">
        <f t="shared" si="15"/>
        <v>16</v>
      </c>
      <c r="S55" s="13">
        <f t="shared" si="15"/>
        <v>9</v>
      </c>
      <c r="T55" s="13">
        <f t="shared" si="15"/>
        <v>37</v>
      </c>
      <c r="U55" s="13">
        <f t="shared" si="15"/>
        <v>20</v>
      </c>
      <c r="V55" s="13">
        <f t="shared" si="15"/>
        <v>26</v>
      </c>
      <c r="W55" s="13">
        <f t="shared" si="15"/>
        <v>20</v>
      </c>
      <c r="X55" s="13">
        <f t="shared" si="15"/>
        <v>10</v>
      </c>
      <c r="Y55" s="13">
        <f t="shared" si="15"/>
        <v>4</v>
      </c>
      <c r="Z55" s="13">
        <f t="shared" si="15"/>
        <v>41</v>
      </c>
      <c r="AA55" s="13">
        <f t="shared" si="15"/>
        <v>24</v>
      </c>
      <c r="AB55" s="13">
        <f t="shared" si="15"/>
        <v>35</v>
      </c>
      <c r="AC55" s="13">
        <f t="shared" si="15"/>
        <v>39</v>
      </c>
      <c r="AD55" s="13">
        <f t="shared" si="15"/>
        <v>26</v>
      </c>
      <c r="AE55" s="13">
        <f t="shared" si="15"/>
        <v>31</v>
      </c>
      <c r="AF55" s="13">
        <f t="shared" si="15"/>
        <v>31</v>
      </c>
      <c r="AG55" s="13">
        <f t="shared" si="15"/>
        <v>9</v>
      </c>
      <c r="AH55" s="13">
        <f t="shared" si="15"/>
        <v>15</v>
      </c>
      <c r="AI55" s="13">
        <f t="shared" si="15"/>
        <v>13</v>
      </c>
      <c r="AJ55" s="13">
        <f t="shared" si="15"/>
        <v>16</v>
      </c>
      <c r="AK55" s="13">
        <f t="shared" si="15"/>
        <v>32</v>
      </c>
      <c r="AL55" s="13">
        <f t="shared" si="15"/>
        <v>11</v>
      </c>
      <c r="AM55" s="13">
        <f t="shared" si="15"/>
        <v>13</v>
      </c>
      <c r="AN55" s="13">
        <f t="shared" si="15"/>
        <v>5</v>
      </c>
      <c r="AO55" s="13">
        <f t="shared" si="15"/>
        <v>18</v>
      </c>
      <c r="AP55" s="13">
        <f t="shared" si="15"/>
        <v>22</v>
      </c>
      <c r="AQ55" s="13">
        <f t="shared" si="15"/>
        <v>15</v>
      </c>
      <c r="AR55" s="13">
        <f t="shared" si="15"/>
        <v>15</v>
      </c>
      <c r="AS55" s="13">
        <f t="shared" si="15"/>
        <v>17</v>
      </c>
      <c r="AT55" s="13">
        <f t="shared" si="15"/>
        <v>17</v>
      </c>
      <c r="AU55" s="13">
        <f t="shared" si="15"/>
        <v>9</v>
      </c>
      <c r="AV55" s="13">
        <f t="shared" si="14"/>
        <v>1014</v>
      </c>
    </row>
    <row r="56" ht="12.75" customHeight="1">
      <c r="A56" s="45"/>
      <c r="B56" s="44"/>
      <c r="C56" s="44"/>
      <c r="D56" s="44"/>
      <c r="E56" s="44"/>
      <c r="AV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16.0</v>
      </c>
      <c r="F57" s="19">
        <v>12.0</v>
      </c>
      <c r="G57" s="19">
        <v>22.0</v>
      </c>
      <c r="H57" s="19">
        <v>8.0</v>
      </c>
      <c r="I57" s="19">
        <v>19.0</v>
      </c>
      <c r="J57" s="19">
        <v>22.0</v>
      </c>
      <c r="K57" s="19">
        <v>13.0</v>
      </c>
      <c r="L57" s="19">
        <v>11.0</v>
      </c>
      <c r="M57" s="19">
        <v>5.0</v>
      </c>
      <c r="N57" s="19">
        <v>22.0</v>
      </c>
      <c r="O57" s="19">
        <v>18.0</v>
      </c>
      <c r="P57" s="19">
        <v>33.0</v>
      </c>
      <c r="Q57" s="19">
        <v>14.0</v>
      </c>
      <c r="R57" s="19">
        <v>25.0</v>
      </c>
      <c r="S57" s="19">
        <v>8.0</v>
      </c>
      <c r="T57" s="19">
        <v>22.0</v>
      </c>
      <c r="U57" s="19">
        <v>11.0</v>
      </c>
      <c r="V57" s="19">
        <v>10.0</v>
      </c>
      <c r="W57" s="19">
        <v>18.0</v>
      </c>
      <c r="X57" s="19">
        <v>3.0</v>
      </c>
      <c r="Y57" s="19">
        <v>4.0</v>
      </c>
      <c r="Z57" s="19">
        <v>22.0</v>
      </c>
      <c r="AA57" s="19">
        <v>11.0</v>
      </c>
      <c r="AB57" s="19">
        <v>33.0</v>
      </c>
      <c r="AC57" s="19">
        <v>20.0</v>
      </c>
      <c r="AD57" s="19">
        <v>12.0</v>
      </c>
      <c r="AE57" s="19">
        <v>12.0</v>
      </c>
      <c r="AF57" s="19">
        <v>17.0</v>
      </c>
      <c r="AG57" s="19">
        <v>18.0</v>
      </c>
      <c r="AH57" s="19">
        <v>3.0</v>
      </c>
      <c r="AI57" s="19">
        <v>10.0</v>
      </c>
      <c r="AJ57" s="19">
        <v>7.0</v>
      </c>
      <c r="AK57" s="19">
        <v>5.0</v>
      </c>
      <c r="AL57" s="19">
        <v>12.0</v>
      </c>
      <c r="AM57" s="19">
        <v>5.0</v>
      </c>
      <c r="AN57" s="19">
        <v>14.0</v>
      </c>
      <c r="AO57" s="19">
        <v>12.0</v>
      </c>
      <c r="AP57" s="19">
        <v>7.0</v>
      </c>
      <c r="AQ57" s="19">
        <v>25.0</v>
      </c>
      <c r="AR57" s="19">
        <v>8.0</v>
      </c>
      <c r="AS57" s="19">
        <v>18.0</v>
      </c>
      <c r="AT57" s="19">
        <v>20.0</v>
      </c>
      <c r="AU57" s="19">
        <v>13.0</v>
      </c>
      <c r="AV57" s="13">
        <f t="shared" ref="AV57:AV67" si="16">SUM(E57:AU57)</f>
        <v>620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21.0</v>
      </c>
      <c r="F58" s="19">
        <v>13.0</v>
      </c>
      <c r="G58" s="19">
        <v>8.0</v>
      </c>
      <c r="H58" s="19">
        <v>10.0</v>
      </c>
      <c r="I58" s="19">
        <v>6.0</v>
      </c>
      <c r="J58" s="19">
        <v>7.0</v>
      </c>
      <c r="K58" s="19">
        <v>5.0</v>
      </c>
      <c r="L58" s="19">
        <v>12.0</v>
      </c>
      <c r="M58" s="19">
        <v>8.0</v>
      </c>
      <c r="N58" s="19">
        <v>6.0</v>
      </c>
      <c r="O58" s="19">
        <v>16.0</v>
      </c>
      <c r="P58" s="19">
        <v>22.0</v>
      </c>
      <c r="Q58" s="19">
        <v>34.0</v>
      </c>
      <c r="R58" s="19">
        <v>7.0</v>
      </c>
      <c r="S58" s="19">
        <v>8.0</v>
      </c>
      <c r="T58" s="19">
        <v>9.0</v>
      </c>
      <c r="U58" s="19">
        <v>21.0</v>
      </c>
      <c r="V58" s="19">
        <v>6.0</v>
      </c>
      <c r="W58" s="19">
        <v>9.0</v>
      </c>
      <c r="X58" s="19">
        <v>13.0</v>
      </c>
      <c r="Y58" s="19">
        <v>5.0</v>
      </c>
      <c r="Z58" s="19">
        <v>25.0</v>
      </c>
      <c r="AA58" s="19">
        <v>7.0</v>
      </c>
      <c r="AB58" s="19">
        <v>13.0</v>
      </c>
      <c r="AC58" s="19">
        <v>6.0</v>
      </c>
      <c r="AD58" s="19">
        <v>3.0</v>
      </c>
      <c r="AE58" s="19">
        <v>0.0</v>
      </c>
      <c r="AF58" s="19">
        <v>3.0</v>
      </c>
      <c r="AG58" s="19">
        <v>4.0</v>
      </c>
      <c r="AH58" s="19">
        <v>4.0</v>
      </c>
      <c r="AI58" s="19">
        <v>3.0</v>
      </c>
      <c r="AJ58" s="19">
        <v>5.0</v>
      </c>
      <c r="AK58" s="19">
        <v>9.0</v>
      </c>
      <c r="AL58" s="19">
        <v>14.0</v>
      </c>
      <c r="AM58" s="19">
        <v>9.0</v>
      </c>
      <c r="AN58" s="19">
        <v>10.0</v>
      </c>
      <c r="AO58" s="19">
        <v>15.0</v>
      </c>
      <c r="AP58" s="19">
        <v>15.0</v>
      </c>
      <c r="AQ58" s="19">
        <v>10.0</v>
      </c>
      <c r="AR58" s="19">
        <v>11.0</v>
      </c>
      <c r="AS58" s="19">
        <v>6.0</v>
      </c>
      <c r="AT58" s="19">
        <v>11.0</v>
      </c>
      <c r="AU58" s="19">
        <v>8.0</v>
      </c>
      <c r="AV58" s="13">
        <f t="shared" si="16"/>
        <v>437</v>
      </c>
    </row>
    <row r="59" ht="12.75" customHeight="1">
      <c r="A59" s="18"/>
      <c r="B59" s="55">
        <v>2.0</v>
      </c>
      <c r="C59" s="50" t="s">
        <v>50</v>
      </c>
      <c r="D59" s="56"/>
      <c r="E59" s="19">
        <v>34.0</v>
      </c>
      <c r="F59" s="19">
        <v>31.0</v>
      </c>
      <c r="G59" s="19">
        <v>10.0</v>
      </c>
      <c r="H59" s="19">
        <v>6.0</v>
      </c>
      <c r="I59" s="19">
        <v>12.0</v>
      </c>
      <c r="J59" s="19">
        <v>23.0</v>
      </c>
      <c r="K59" s="19">
        <v>5.0</v>
      </c>
      <c r="L59" s="19">
        <v>21.0</v>
      </c>
      <c r="M59" s="19">
        <v>8.0</v>
      </c>
      <c r="N59" s="19">
        <v>11.0</v>
      </c>
      <c r="O59" s="19">
        <v>26.0</v>
      </c>
      <c r="P59" s="19">
        <v>30.0</v>
      </c>
      <c r="Q59" s="19">
        <v>8.0</v>
      </c>
      <c r="R59" s="19">
        <v>35.0</v>
      </c>
      <c r="S59" s="19">
        <v>10.0</v>
      </c>
      <c r="T59" s="19">
        <v>12.0</v>
      </c>
      <c r="U59" s="19">
        <v>17.0</v>
      </c>
      <c r="V59" s="19">
        <v>35.0</v>
      </c>
      <c r="W59" s="19">
        <v>10.0</v>
      </c>
      <c r="X59" s="19">
        <v>87.0</v>
      </c>
      <c r="Y59" s="19">
        <v>137.0</v>
      </c>
      <c r="Z59" s="19">
        <v>23.0</v>
      </c>
      <c r="AA59" s="19">
        <v>26.0</v>
      </c>
      <c r="AB59" s="19">
        <v>11.0</v>
      </c>
      <c r="AC59" s="19">
        <v>41.0</v>
      </c>
      <c r="AD59" s="19">
        <v>16.0</v>
      </c>
      <c r="AE59" s="19">
        <v>20.0</v>
      </c>
      <c r="AF59" s="19">
        <v>4.0</v>
      </c>
      <c r="AG59" s="19">
        <v>22.0</v>
      </c>
      <c r="AH59" s="19">
        <v>88.0</v>
      </c>
      <c r="AI59" s="19">
        <v>14.0</v>
      </c>
      <c r="AJ59" s="19">
        <v>9.0</v>
      </c>
      <c r="AK59" s="19">
        <v>18.0</v>
      </c>
      <c r="AL59" s="19">
        <v>23.0</v>
      </c>
      <c r="AM59" s="19">
        <v>16.0</v>
      </c>
      <c r="AN59" s="19">
        <v>5.0</v>
      </c>
      <c r="AO59" s="19">
        <v>10.0</v>
      </c>
      <c r="AP59" s="19">
        <v>18.0</v>
      </c>
      <c r="AQ59" s="19">
        <v>14.0</v>
      </c>
      <c r="AR59" s="19">
        <v>37.0</v>
      </c>
      <c r="AS59" s="19">
        <v>21.0</v>
      </c>
      <c r="AT59" s="19">
        <v>6.0</v>
      </c>
      <c r="AU59" s="19">
        <v>9.0</v>
      </c>
      <c r="AV59" s="13">
        <f t="shared" si="16"/>
        <v>1019</v>
      </c>
    </row>
    <row r="60" ht="12.75" customHeight="1">
      <c r="A60" s="18"/>
      <c r="B60" s="55">
        <v>3.0</v>
      </c>
      <c r="C60" s="50" t="s">
        <v>51</v>
      </c>
      <c r="D60" s="56"/>
      <c r="E60" s="19">
        <v>3.0</v>
      </c>
      <c r="F60" s="19">
        <v>3.0</v>
      </c>
      <c r="G60" s="19">
        <v>0.0</v>
      </c>
      <c r="H60" s="19">
        <v>1.0</v>
      </c>
      <c r="I60" s="19">
        <v>0.0</v>
      </c>
      <c r="J60" s="19">
        <v>0.0</v>
      </c>
      <c r="K60" s="19">
        <v>1.0</v>
      </c>
      <c r="L60" s="19">
        <v>0.0</v>
      </c>
      <c r="M60" s="19">
        <v>2.0</v>
      </c>
      <c r="N60" s="19">
        <v>3.0</v>
      </c>
      <c r="O60" s="19">
        <v>2.0</v>
      </c>
      <c r="P60" s="19">
        <v>1.0</v>
      </c>
      <c r="Q60" s="19">
        <v>1.0</v>
      </c>
      <c r="R60" s="19">
        <v>1.0</v>
      </c>
      <c r="S60" s="19">
        <v>2.0</v>
      </c>
      <c r="T60" s="19">
        <v>1.0</v>
      </c>
      <c r="U60" s="19">
        <v>2.0</v>
      </c>
      <c r="V60" s="19">
        <v>0.0</v>
      </c>
      <c r="W60" s="19">
        <v>0.0</v>
      </c>
      <c r="X60" s="19">
        <v>2.0</v>
      </c>
      <c r="Y60" s="19">
        <v>1.0</v>
      </c>
      <c r="Z60" s="19">
        <v>2.0</v>
      </c>
      <c r="AA60" s="19">
        <v>2.0</v>
      </c>
      <c r="AB60" s="19">
        <v>2.0</v>
      </c>
      <c r="AC60" s="19">
        <v>2.0</v>
      </c>
      <c r="AD60" s="19">
        <v>1.0</v>
      </c>
      <c r="AE60" s="19">
        <v>1.0</v>
      </c>
      <c r="AF60" s="19">
        <v>1.0</v>
      </c>
      <c r="AG60" s="19">
        <v>0.0</v>
      </c>
      <c r="AH60" s="19">
        <v>1.0</v>
      </c>
      <c r="AI60" s="19">
        <v>2.0</v>
      </c>
      <c r="AJ60" s="19">
        <v>0.0</v>
      </c>
      <c r="AK60" s="19">
        <v>0.0</v>
      </c>
      <c r="AL60" s="19">
        <v>1.0</v>
      </c>
      <c r="AM60" s="19">
        <v>0.0</v>
      </c>
      <c r="AN60" s="19">
        <v>0.0</v>
      </c>
      <c r="AO60" s="19">
        <v>1.0</v>
      </c>
      <c r="AP60" s="19">
        <v>1.0</v>
      </c>
      <c r="AQ60" s="19">
        <v>0.0</v>
      </c>
      <c r="AR60" s="19">
        <v>3.0</v>
      </c>
      <c r="AS60" s="19">
        <v>2.0</v>
      </c>
      <c r="AT60" s="19">
        <v>2.0</v>
      </c>
      <c r="AU60" s="19">
        <v>2.0</v>
      </c>
      <c r="AV60" s="13">
        <f t="shared" si="16"/>
        <v>52</v>
      </c>
    </row>
    <row r="61" ht="12.75" customHeight="1">
      <c r="A61" s="18"/>
      <c r="B61" s="55">
        <v>4.0</v>
      </c>
      <c r="C61" s="50" t="s">
        <v>52</v>
      </c>
      <c r="D61" s="56"/>
      <c r="E61" s="19">
        <v>4.0</v>
      </c>
      <c r="F61" s="19">
        <v>3.0</v>
      </c>
      <c r="G61" s="19">
        <v>4.0</v>
      </c>
      <c r="H61" s="19">
        <v>2.0</v>
      </c>
      <c r="I61" s="19">
        <v>4.0</v>
      </c>
      <c r="J61" s="19">
        <v>5.0</v>
      </c>
      <c r="K61" s="19">
        <v>3.0</v>
      </c>
      <c r="L61" s="19">
        <v>0.0</v>
      </c>
      <c r="M61" s="19">
        <v>1.0</v>
      </c>
      <c r="N61" s="19">
        <v>0.0</v>
      </c>
      <c r="O61" s="19">
        <v>1.0</v>
      </c>
      <c r="P61" s="19">
        <v>1.0</v>
      </c>
      <c r="Q61" s="19">
        <v>2.0</v>
      </c>
      <c r="R61" s="19">
        <v>4.0</v>
      </c>
      <c r="S61" s="19">
        <v>2.0</v>
      </c>
      <c r="T61" s="19">
        <v>3.0</v>
      </c>
      <c r="U61" s="19">
        <v>2.0</v>
      </c>
      <c r="V61" s="19">
        <v>5.0</v>
      </c>
      <c r="W61" s="19">
        <v>0.0</v>
      </c>
      <c r="X61" s="19">
        <v>0.0</v>
      </c>
      <c r="Y61" s="19">
        <v>2.0</v>
      </c>
      <c r="Z61" s="19">
        <v>5.0</v>
      </c>
      <c r="AA61" s="19">
        <v>3.0</v>
      </c>
      <c r="AB61" s="19">
        <v>2.0</v>
      </c>
      <c r="AC61" s="19">
        <v>3.0</v>
      </c>
      <c r="AD61" s="19">
        <v>5.0</v>
      </c>
      <c r="AE61" s="19">
        <v>0.0</v>
      </c>
      <c r="AF61" s="19">
        <v>2.0</v>
      </c>
      <c r="AG61" s="19">
        <v>1.0</v>
      </c>
      <c r="AH61" s="19">
        <v>0.0</v>
      </c>
      <c r="AI61" s="19">
        <v>1.0</v>
      </c>
      <c r="AJ61" s="19">
        <v>1.0</v>
      </c>
      <c r="AK61" s="19">
        <v>4.0</v>
      </c>
      <c r="AL61" s="19">
        <v>1.0</v>
      </c>
      <c r="AM61" s="19">
        <v>0.0</v>
      </c>
      <c r="AN61" s="19">
        <v>0.0</v>
      </c>
      <c r="AO61" s="19">
        <v>4.0</v>
      </c>
      <c r="AP61" s="19">
        <v>2.0</v>
      </c>
      <c r="AQ61" s="19">
        <v>1.0</v>
      </c>
      <c r="AR61" s="19">
        <v>3.0</v>
      </c>
      <c r="AS61" s="19">
        <v>2.0</v>
      </c>
      <c r="AT61" s="19">
        <v>0.0</v>
      </c>
      <c r="AU61" s="19">
        <v>2.0</v>
      </c>
      <c r="AV61" s="13">
        <f t="shared" si="16"/>
        <v>90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4.0</v>
      </c>
      <c r="G62" s="19">
        <v>0.0</v>
      </c>
      <c r="H62" s="19">
        <v>0.0</v>
      </c>
      <c r="I62" s="19">
        <v>1.0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1.0</v>
      </c>
      <c r="P62" s="19">
        <v>0.0</v>
      </c>
      <c r="Q62" s="19">
        <v>1.0</v>
      </c>
      <c r="R62" s="19">
        <v>0.0</v>
      </c>
      <c r="S62" s="19">
        <v>0.0</v>
      </c>
      <c r="T62" s="19">
        <v>1.0</v>
      </c>
      <c r="U62" s="19">
        <v>0.0</v>
      </c>
      <c r="V62" s="19">
        <v>0.0</v>
      </c>
      <c r="W62" s="19">
        <v>0.0</v>
      </c>
      <c r="X62" s="19">
        <v>0.0</v>
      </c>
      <c r="Y62" s="19">
        <v>1.0</v>
      </c>
      <c r="Z62" s="19">
        <v>1.0</v>
      </c>
      <c r="AA62" s="19">
        <v>2.0</v>
      </c>
      <c r="AB62" s="19">
        <v>1.0</v>
      </c>
      <c r="AC62" s="19">
        <v>1.0</v>
      </c>
      <c r="AD62" s="19">
        <v>0.0</v>
      </c>
      <c r="AE62" s="19">
        <v>0.0</v>
      </c>
      <c r="AF62" s="19">
        <v>1.0</v>
      </c>
      <c r="AG62" s="19">
        <v>0.0</v>
      </c>
      <c r="AH62" s="19">
        <v>0.0</v>
      </c>
      <c r="AI62" s="19">
        <v>0.0</v>
      </c>
      <c r="AJ62" s="19">
        <v>0.0</v>
      </c>
      <c r="AK62" s="19">
        <v>0.0</v>
      </c>
      <c r="AL62" s="19">
        <v>1.0</v>
      </c>
      <c r="AM62" s="19">
        <v>0.0</v>
      </c>
      <c r="AN62" s="19">
        <v>1.0</v>
      </c>
      <c r="AO62" s="19">
        <v>0.0</v>
      </c>
      <c r="AP62" s="19">
        <v>0.0</v>
      </c>
      <c r="AQ62" s="19">
        <v>0.0</v>
      </c>
      <c r="AR62" s="19">
        <v>0.0</v>
      </c>
      <c r="AS62" s="19">
        <v>0.0</v>
      </c>
      <c r="AT62" s="19">
        <v>0.0</v>
      </c>
      <c r="AU62" s="19">
        <v>0.0</v>
      </c>
      <c r="AV62" s="13">
        <f t="shared" si="16"/>
        <v>17</v>
      </c>
    </row>
    <row r="63" ht="12.75" customHeight="1">
      <c r="A63" s="18"/>
      <c r="B63" s="55">
        <v>6.0</v>
      </c>
      <c r="C63" s="50" t="s">
        <v>54</v>
      </c>
      <c r="D63" s="57"/>
      <c r="E63" s="19">
        <v>2.0</v>
      </c>
      <c r="F63" s="19">
        <v>0.0</v>
      </c>
      <c r="G63" s="19">
        <v>1.0</v>
      </c>
      <c r="H63" s="19">
        <v>1.0</v>
      </c>
      <c r="I63" s="19">
        <v>2.0</v>
      </c>
      <c r="J63" s="19">
        <v>0.0</v>
      </c>
      <c r="K63" s="19">
        <v>0.0</v>
      </c>
      <c r="L63" s="19">
        <v>0.0</v>
      </c>
      <c r="M63" s="19">
        <v>0.0</v>
      </c>
      <c r="N63" s="19">
        <v>1.0</v>
      </c>
      <c r="O63" s="19">
        <v>2.0</v>
      </c>
      <c r="P63" s="19">
        <v>2.0</v>
      </c>
      <c r="Q63" s="19">
        <v>3.0</v>
      </c>
      <c r="R63" s="19">
        <v>2.0</v>
      </c>
      <c r="S63" s="19">
        <v>1.0</v>
      </c>
      <c r="T63" s="19">
        <v>1.0</v>
      </c>
      <c r="U63" s="19">
        <v>1.0</v>
      </c>
      <c r="V63" s="19">
        <v>0.0</v>
      </c>
      <c r="W63" s="19">
        <v>0.0</v>
      </c>
      <c r="X63" s="19">
        <v>2.0</v>
      </c>
      <c r="Y63" s="19">
        <v>1.0</v>
      </c>
      <c r="Z63" s="19">
        <v>1.0</v>
      </c>
      <c r="AA63" s="19">
        <v>1.0</v>
      </c>
      <c r="AB63" s="19">
        <v>1.0</v>
      </c>
      <c r="AC63" s="19">
        <v>1.0</v>
      </c>
      <c r="AD63" s="19">
        <v>2.0</v>
      </c>
      <c r="AE63" s="19">
        <v>0.0</v>
      </c>
      <c r="AF63" s="19">
        <v>1.0</v>
      </c>
      <c r="AG63" s="19">
        <v>1.0</v>
      </c>
      <c r="AH63" s="19">
        <v>1.0</v>
      </c>
      <c r="AI63" s="19">
        <v>1.0</v>
      </c>
      <c r="AJ63" s="19">
        <v>0.0</v>
      </c>
      <c r="AK63" s="19">
        <v>0.0</v>
      </c>
      <c r="AL63" s="19">
        <v>1.0</v>
      </c>
      <c r="AM63" s="19">
        <v>2.0</v>
      </c>
      <c r="AN63" s="19">
        <v>3.0</v>
      </c>
      <c r="AO63" s="19">
        <v>1.0</v>
      </c>
      <c r="AP63" s="19">
        <v>2.0</v>
      </c>
      <c r="AQ63" s="19">
        <v>1.0</v>
      </c>
      <c r="AR63" s="19">
        <v>1.0</v>
      </c>
      <c r="AS63" s="19">
        <v>3.0</v>
      </c>
      <c r="AT63" s="19">
        <v>4.0</v>
      </c>
      <c r="AU63" s="19">
        <v>1.0</v>
      </c>
      <c r="AV63" s="13">
        <f t="shared" si="16"/>
        <v>51</v>
      </c>
    </row>
    <row r="64" ht="12.75" customHeight="1">
      <c r="A64" s="18"/>
      <c r="B64" s="55">
        <v>7.0</v>
      </c>
      <c r="C64" s="50" t="s">
        <v>55</v>
      </c>
      <c r="D64" s="56"/>
      <c r="E64" s="19">
        <v>1.0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1.0</v>
      </c>
      <c r="R64" s="19">
        <v>0.0</v>
      </c>
      <c r="S64" s="19">
        <v>0.0</v>
      </c>
      <c r="T64" s="19">
        <v>0.0</v>
      </c>
      <c r="U64" s="19">
        <v>1.0</v>
      </c>
      <c r="V64" s="19">
        <v>0.0</v>
      </c>
      <c r="W64" s="19">
        <v>0.0</v>
      </c>
      <c r="X64" s="19">
        <v>0.0</v>
      </c>
      <c r="Y64" s="19">
        <v>0.0</v>
      </c>
      <c r="Z64" s="19">
        <v>0.0</v>
      </c>
      <c r="AA64" s="19">
        <v>0.0</v>
      </c>
      <c r="AB64" s="19">
        <v>1.0</v>
      </c>
      <c r="AC64" s="19">
        <v>1.0</v>
      </c>
      <c r="AD64" s="19">
        <v>1.0</v>
      </c>
      <c r="AE64" s="19">
        <v>0.0</v>
      </c>
      <c r="AF64" s="19">
        <v>1.0</v>
      </c>
      <c r="AG64" s="19">
        <v>0.0</v>
      </c>
      <c r="AH64" s="19">
        <v>0.0</v>
      </c>
      <c r="AI64" s="19">
        <v>0.0</v>
      </c>
      <c r="AJ64" s="19">
        <v>0.0</v>
      </c>
      <c r="AK64" s="19">
        <v>0.0</v>
      </c>
      <c r="AL64" s="19">
        <v>0.0</v>
      </c>
      <c r="AM64" s="19">
        <v>0.0</v>
      </c>
      <c r="AN64" s="19">
        <v>1.0</v>
      </c>
      <c r="AO64" s="19">
        <v>1.0</v>
      </c>
      <c r="AP64" s="19">
        <v>0.0</v>
      </c>
      <c r="AQ64" s="19">
        <v>0.0</v>
      </c>
      <c r="AR64" s="19">
        <v>2.0</v>
      </c>
      <c r="AS64" s="19">
        <v>1.0</v>
      </c>
      <c r="AT64" s="19">
        <v>1.0</v>
      </c>
      <c r="AU64" s="19">
        <v>1.0</v>
      </c>
      <c r="AV64" s="13">
        <f t="shared" si="16"/>
        <v>14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3">
        <f t="shared" si="16"/>
        <v>0</v>
      </c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AU67" si="17">SUM(E57:E64)</f>
        <v>81</v>
      </c>
      <c r="F67" s="13">
        <f t="shared" si="17"/>
        <v>66</v>
      </c>
      <c r="G67" s="13">
        <f t="shared" si="17"/>
        <v>45</v>
      </c>
      <c r="H67" s="13">
        <f t="shared" si="17"/>
        <v>28</v>
      </c>
      <c r="I67" s="13">
        <f t="shared" si="17"/>
        <v>44</v>
      </c>
      <c r="J67" s="13">
        <f t="shared" si="17"/>
        <v>57</v>
      </c>
      <c r="K67" s="13">
        <f t="shared" si="17"/>
        <v>27</v>
      </c>
      <c r="L67" s="13">
        <f t="shared" si="17"/>
        <v>44</v>
      </c>
      <c r="M67" s="13">
        <f t="shared" si="17"/>
        <v>24</v>
      </c>
      <c r="N67" s="13">
        <f t="shared" si="17"/>
        <v>43</v>
      </c>
      <c r="O67" s="13">
        <f t="shared" si="17"/>
        <v>66</v>
      </c>
      <c r="P67" s="13">
        <f t="shared" si="17"/>
        <v>89</v>
      </c>
      <c r="Q67" s="13">
        <f t="shared" si="17"/>
        <v>64</v>
      </c>
      <c r="R67" s="13">
        <f t="shared" si="17"/>
        <v>74</v>
      </c>
      <c r="S67" s="13">
        <f t="shared" si="17"/>
        <v>31</v>
      </c>
      <c r="T67" s="13">
        <f t="shared" si="17"/>
        <v>49</v>
      </c>
      <c r="U67" s="13">
        <f t="shared" si="17"/>
        <v>55</v>
      </c>
      <c r="V67" s="13">
        <f t="shared" si="17"/>
        <v>56</v>
      </c>
      <c r="W67" s="13">
        <f t="shared" si="17"/>
        <v>37</v>
      </c>
      <c r="X67" s="13">
        <f t="shared" si="17"/>
        <v>107</v>
      </c>
      <c r="Y67" s="13">
        <f t="shared" si="17"/>
        <v>151</v>
      </c>
      <c r="Z67" s="13">
        <f t="shared" si="17"/>
        <v>79</v>
      </c>
      <c r="AA67" s="13">
        <f t="shared" si="17"/>
        <v>52</v>
      </c>
      <c r="AB67" s="13">
        <f t="shared" si="17"/>
        <v>64</v>
      </c>
      <c r="AC67" s="13">
        <f t="shared" si="17"/>
        <v>75</v>
      </c>
      <c r="AD67" s="13">
        <f t="shared" si="17"/>
        <v>40</v>
      </c>
      <c r="AE67" s="13">
        <f t="shared" si="17"/>
        <v>33</v>
      </c>
      <c r="AF67" s="13">
        <f t="shared" si="17"/>
        <v>30</v>
      </c>
      <c r="AG67" s="13">
        <f t="shared" si="17"/>
        <v>46</v>
      </c>
      <c r="AH67" s="13">
        <f t="shared" si="17"/>
        <v>97</v>
      </c>
      <c r="AI67" s="13">
        <f t="shared" si="17"/>
        <v>31</v>
      </c>
      <c r="AJ67" s="13">
        <f t="shared" si="17"/>
        <v>22</v>
      </c>
      <c r="AK67" s="13">
        <f t="shared" si="17"/>
        <v>36</v>
      </c>
      <c r="AL67" s="13">
        <f t="shared" si="17"/>
        <v>53</v>
      </c>
      <c r="AM67" s="13">
        <f t="shared" si="17"/>
        <v>32</v>
      </c>
      <c r="AN67" s="13">
        <f t="shared" si="17"/>
        <v>34</v>
      </c>
      <c r="AO67" s="13">
        <f t="shared" si="17"/>
        <v>44</v>
      </c>
      <c r="AP67" s="13">
        <f t="shared" si="17"/>
        <v>45</v>
      </c>
      <c r="AQ67" s="13">
        <f t="shared" si="17"/>
        <v>51</v>
      </c>
      <c r="AR67" s="13">
        <f t="shared" si="17"/>
        <v>65</v>
      </c>
      <c r="AS67" s="13">
        <f t="shared" si="17"/>
        <v>53</v>
      </c>
      <c r="AT67" s="13">
        <f t="shared" si="17"/>
        <v>44</v>
      </c>
      <c r="AU67" s="13">
        <f t="shared" si="17"/>
        <v>36</v>
      </c>
      <c r="AV67" s="13">
        <f t="shared" si="16"/>
        <v>2300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10.0</v>
      </c>
      <c r="F69" s="19">
        <v>5.0</v>
      </c>
      <c r="G69" s="19">
        <v>10.0</v>
      </c>
      <c r="H69" s="19">
        <v>5.0</v>
      </c>
      <c r="I69" s="19">
        <v>3.0</v>
      </c>
      <c r="J69" s="19">
        <v>9.0</v>
      </c>
      <c r="K69" s="19">
        <v>7.0</v>
      </c>
      <c r="L69" s="19">
        <v>6.0</v>
      </c>
      <c r="M69" s="19">
        <v>4.0</v>
      </c>
      <c r="N69" s="19">
        <v>12.0</v>
      </c>
      <c r="O69" s="19">
        <v>7.0</v>
      </c>
      <c r="P69" s="19">
        <v>4.0</v>
      </c>
      <c r="Q69" s="19">
        <v>9.0</v>
      </c>
      <c r="R69" s="19">
        <v>6.0</v>
      </c>
      <c r="S69" s="19">
        <v>7.0</v>
      </c>
      <c r="T69" s="19">
        <v>10.0</v>
      </c>
      <c r="U69" s="19">
        <v>4.0</v>
      </c>
      <c r="V69" s="19">
        <v>5.0</v>
      </c>
      <c r="W69" s="19">
        <v>18.0</v>
      </c>
      <c r="X69" s="19">
        <v>3.0</v>
      </c>
      <c r="Y69" s="19">
        <v>0.0</v>
      </c>
      <c r="Z69" s="19">
        <v>13.0</v>
      </c>
      <c r="AA69" s="19">
        <v>5.0</v>
      </c>
      <c r="AB69" s="19">
        <v>17.0</v>
      </c>
      <c r="AC69" s="19">
        <v>7.0</v>
      </c>
      <c r="AD69" s="19">
        <v>18.0</v>
      </c>
      <c r="AE69" s="19">
        <v>20.0</v>
      </c>
      <c r="AF69" s="19">
        <v>26.0</v>
      </c>
      <c r="AG69" s="19">
        <v>7.0</v>
      </c>
      <c r="AH69" s="19">
        <v>5.0</v>
      </c>
      <c r="AI69" s="19">
        <v>31.0</v>
      </c>
      <c r="AJ69" s="19">
        <v>18.0</v>
      </c>
      <c r="AK69" s="19">
        <v>21.0</v>
      </c>
      <c r="AL69" s="19">
        <v>11.0</v>
      </c>
      <c r="AM69" s="19">
        <v>18.0</v>
      </c>
      <c r="AN69" s="19">
        <v>28.0</v>
      </c>
      <c r="AO69" s="19">
        <v>6.0</v>
      </c>
      <c r="AP69" s="19">
        <v>19.0</v>
      </c>
      <c r="AQ69" s="19">
        <v>6.0</v>
      </c>
      <c r="AR69" s="19">
        <v>7.0</v>
      </c>
      <c r="AS69" s="19">
        <v>15.0</v>
      </c>
      <c r="AT69" s="19">
        <v>23.0</v>
      </c>
      <c r="AU69" s="19">
        <v>11.0</v>
      </c>
      <c r="AV69" s="13">
        <f t="shared" ref="AV69:AV79" si="18">SUM(E69:AU69)</f>
        <v>476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6.0</v>
      </c>
      <c r="F70" s="19">
        <v>4.0</v>
      </c>
      <c r="G70" s="19">
        <v>15.0</v>
      </c>
      <c r="H70" s="19">
        <v>7.0</v>
      </c>
      <c r="I70" s="19">
        <v>6.0</v>
      </c>
      <c r="J70" s="19">
        <v>6.0</v>
      </c>
      <c r="K70" s="19">
        <v>9.0</v>
      </c>
      <c r="L70" s="19">
        <v>7.0</v>
      </c>
      <c r="M70" s="19">
        <v>4.0</v>
      </c>
      <c r="N70" s="19">
        <v>5.0</v>
      </c>
      <c r="O70" s="19">
        <v>5.0</v>
      </c>
      <c r="P70" s="19">
        <v>10.0</v>
      </c>
      <c r="Q70" s="19">
        <v>16.0</v>
      </c>
      <c r="R70" s="19">
        <v>4.0</v>
      </c>
      <c r="S70" s="19">
        <v>5.0</v>
      </c>
      <c r="T70" s="19">
        <v>7.0</v>
      </c>
      <c r="U70" s="19">
        <v>3.0</v>
      </c>
      <c r="V70" s="19">
        <v>8.0</v>
      </c>
      <c r="W70" s="19">
        <v>6.0</v>
      </c>
      <c r="X70" s="19">
        <v>2.0</v>
      </c>
      <c r="Y70" s="19">
        <v>2.0</v>
      </c>
      <c r="Z70" s="19">
        <v>5.0</v>
      </c>
      <c r="AA70" s="19">
        <v>13.0</v>
      </c>
      <c r="AB70" s="19">
        <v>2.0</v>
      </c>
      <c r="AC70" s="19">
        <v>9.0</v>
      </c>
      <c r="AD70" s="19">
        <v>8.0</v>
      </c>
      <c r="AE70" s="19">
        <v>13.0</v>
      </c>
      <c r="AF70" s="19">
        <v>5.0</v>
      </c>
      <c r="AG70" s="19">
        <v>10.0</v>
      </c>
      <c r="AH70" s="19">
        <v>14.0</v>
      </c>
      <c r="AI70" s="19">
        <v>7.0</v>
      </c>
      <c r="AJ70" s="19">
        <v>20.0</v>
      </c>
      <c r="AK70" s="19">
        <v>25.0</v>
      </c>
      <c r="AL70" s="19">
        <v>29.0</v>
      </c>
      <c r="AM70" s="19">
        <v>23.0</v>
      </c>
      <c r="AN70" s="19">
        <v>12.0</v>
      </c>
      <c r="AO70" s="19">
        <v>15.0</v>
      </c>
      <c r="AP70" s="19">
        <v>8.0</v>
      </c>
      <c r="AQ70" s="19">
        <v>7.0</v>
      </c>
      <c r="AR70" s="19">
        <v>10.0</v>
      </c>
      <c r="AS70" s="19">
        <v>6.0</v>
      </c>
      <c r="AT70" s="19">
        <v>3.0</v>
      </c>
      <c r="AU70" s="19">
        <v>4.0</v>
      </c>
      <c r="AV70" s="13">
        <f t="shared" si="18"/>
        <v>385</v>
      </c>
    </row>
    <row r="71" ht="12.75" customHeight="1">
      <c r="A71" s="18"/>
      <c r="B71" s="55">
        <v>2.0</v>
      </c>
      <c r="C71" s="50" t="s">
        <v>58</v>
      </c>
      <c r="D71" s="57"/>
      <c r="E71" s="19">
        <v>4.0</v>
      </c>
      <c r="F71" s="19">
        <v>6.0</v>
      </c>
      <c r="G71" s="19">
        <v>8.0</v>
      </c>
      <c r="H71" s="19">
        <v>18.0</v>
      </c>
      <c r="I71" s="19">
        <v>7.0</v>
      </c>
      <c r="J71" s="19">
        <v>7.0</v>
      </c>
      <c r="K71" s="19">
        <v>69.0</v>
      </c>
      <c r="L71" s="19">
        <v>31.0</v>
      </c>
      <c r="M71" s="19">
        <v>14.0</v>
      </c>
      <c r="N71" s="19">
        <v>14.0</v>
      </c>
      <c r="O71" s="19">
        <v>8.0</v>
      </c>
      <c r="P71" s="19">
        <v>1.0</v>
      </c>
      <c r="Q71" s="19">
        <v>5.0</v>
      </c>
      <c r="R71" s="19">
        <v>10.0</v>
      </c>
      <c r="S71" s="19">
        <v>7.0</v>
      </c>
      <c r="T71" s="19">
        <v>6.0</v>
      </c>
      <c r="U71" s="19">
        <v>3.0</v>
      </c>
      <c r="V71" s="19">
        <v>1.0</v>
      </c>
      <c r="W71" s="19">
        <v>1.0</v>
      </c>
      <c r="X71" s="19">
        <v>6.0</v>
      </c>
      <c r="Y71" s="19">
        <v>4.0</v>
      </c>
      <c r="Z71" s="19">
        <v>21.0</v>
      </c>
      <c r="AA71" s="19">
        <v>30.0</v>
      </c>
      <c r="AB71" s="19">
        <v>4.0</v>
      </c>
      <c r="AC71" s="19">
        <v>6.0</v>
      </c>
      <c r="AD71" s="19">
        <v>6.0</v>
      </c>
      <c r="AE71" s="19">
        <v>7.0</v>
      </c>
      <c r="AF71" s="19">
        <v>16.0</v>
      </c>
      <c r="AG71" s="19">
        <v>3.0</v>
      </c>
      <c r="AH71" s="19">
        <v>6.0</v>
      </c>
      <c r="AI71" s="19">
        <v>3.0</v>
      </c>
      <c r="AJ71" s="19">
        <v>0.0</v>
      </c>
      <c r="AK71" s="19">
        <v>1.0</v>
      </c>
      <c r="AL71" s="19">
        <v>2.0</v>
      </c>
      <c r="AM71" s="19">
        <v>6.0</v>
      </c>
      <c r="AN71" s="19">
        <v>0.0</v>
      </c>
      <c r="AO71" s="19">
        <v>2.0</v>
      </c>
      <c r="AP71" s="19">
        <v>1.0</v>
      </c>
      <c r="AQ71" s="19">
        <v>6.0</v>
      </c>
      <c r="AR71" s="19">
        <v>3.0</v>
      </c>
      <c r="AS71" s="19">
        <v>5.0</v>
      </c>
      <c r="AT71" s="19">
        <v>2.0</v>
      </c>
      <c r="AU71" s="19">
        <v>2.0</v>
      </c>
      <c r="AV71" s="13">
        <f t="shared" si="18"/>
        <v>362</v>
      </c>
    </row>
    <row r="72" ht="12.75" customHeight="1">
      <c r="A72" s="18"/>
      <c r="B72" s="55">
        <v>3.0</v>
      </c>
      <c r="C72" s="50" t="s">
        <v>59</v>
      </c>
      <c r="D72" s="57"/>
      <c r="E72" s="19">
        <v>3.0</v>
      </c>
      <c r="F72" s="19">
        <v>2.0</v>
      </c>
      <c r="G72" s="19">
        <v>1.0</v>
      </c>
      <c r="H72" s="19">
        <v>1.0</v>
      </c>
      <c r="I72" s="19">
        <v>1.0</v>
      </c>
      <c r="J72" s="19">
        <v>4.0</v>
      </c>
      <c r="K72" s="19">
        <v>0.0</v>
      </c>
      <c r="L72" s="19">
        <v>1.0</v>
      </c>
      <c r="M72" s="19">
        <v>0.0</v>
      </c>
      <c r="N72" s="19">
        <v>2.0</v>
      </c>
      <c r="O72" s="19">
        <v>2.0</v>
      </c>
      <c r="P72" s="19">
        <v>1.0</v>
      </c>
      <c r="Q72" s="19">
        <v>0.0</v>
      </c>
      <c r="R72" s="19">
        <v>3.0</v>
      </c>
      <c r="S72" s="19">
        <v>3.0</v>
      </c>
      <c r="T72" s="19">
        <v>4.0</v>
      </c>
      <c r="U72" s="19">
        <v>2.0</v>
      </c>
      <c r="V72" s="19">
        <v>2.0</v>
      </c>
      <c r="W72" s="19">
        <v>2.0</v>
      </c>
      <c r="X72" s="19">
        <v>1.0</v>
      </c>
      <c r="Y72" s="19">
        <v>1.0</v>
      </c>
      <c r="Z72" s="19">
        <v>3.0</v>
      </c>
      <c r="AA72" s="19">
        <v>2.0</v>
      </c>
      <c r="AB72" s="19">
        <v>11.0</v>
      </c>
      <c r="AC72" s="19">
        <v>2.0</v>
      </c>
      <c r="AD72" s="19">
        <v>6.0</v>
      </c>
      <c r="AE72" s="19">
        <v>1.0</v>
      </c>
      <c r="AF72" s="19">
        <v>9.0</v>
      </c>
      <c r="AG72" s="19">
        <v>2.0</v>
      </c>
      <c r="AH72" s="19">
        <v>2.0</v>
      </c>
      <c r="AI72" s="19">
        <v>1.0</v>
      </c>
      <c r="AJ72" s="19">
        <v>1.0</v>
      </c>
      <c r="AK72" s="19">
        <v>0.0</v>
      </c>
      <c r="AL72" s="19">
        <v>1.0</v>
      </c>
      <c r="AM72" s="19">
        <v>0.0</v>
      </c>
      <c r="AN72" s="19">
        <v>1.0</v>
      </c>
      <c r="AO72" s="19">
        <v>2.0</v>
      </c>
      <c r="AP72" s="19">
        <v>0.0</v>
      </c>
      <c r="AQ72" s="19">
        <v>2.0</v>
      </c>
      <c r="AR72" s="19">
        <v>1.0</v>
      </c>
      <c r="AS72" s="19">
        <v>5.0</v>
      </c>
      <c r="AT72" s="19">
        <v>3.0</v>
      </c>
      <c r="AU72" s="19">
        <v>2.0</v>
      </c>
      <c r="AV72" s="13">
        <f t="shared" si="18"/>
        <v>93</v>
      </c>
    </row>
    <row r="73" ht="12.75" customHeight="1">
      <c r="A73" s="18"/>
      <c r="B73" s="55">
        <v>4.0</v>
      </c>
      <c r="C73" s="50" t="s">
        <v>60</v>
      </c>
      <c r="D73" s="57"/>
      <c r="E73" s="19">
        <v>2.0</v>
      </c>
      <c r="F73" s="19">
        <v>0.0</v>
      </c>
      <c r="G73" s="19">
        <v>2.0</v>
      </c>
      <c r="H73" s="19">
        <v>1.0</v>
      </c>
      <c r="I73" s="19">
        <v>1.0</v>
      </c>
      <c r="J73" s="19">
        <v>0.0</v>
      </c>
      <c r="K73" s="19">
        <v>0.0</v>
      </c>
      <c r="L73" s="19">
        <v>0.0</v>
      </c>
      <c r="M73" s="19">
        <v>0.0</v>
      </c>
      <c r="N73" s="19">
        <v>1.0</v>
      </c>
      <c r="O73" s="19">
        <v>1.0</v>
      </c>
      <c r="P73" s="19">
        <v>0.0</v>
      </c>
      <c r="Q73" s="19">
        <v>0.0</v>
      </c>
      <c r="R73" s="19">
        <v>0.0</v>
      </c>
      <c r="S73" s="19">
        <v>1.0</v>
      </c>
      <c r="T73" s="19">
        <v>0.0</v>
      </c>
      <c r="U73" s="19">
        <v>0.0</v>
      </c>
      <c r="V73" s="19">
        <v>0.0</v>
      </c>
      <c r="W73" s="19">
        <v>1.0</v>
      </c>
      <c r="X73" s="19">
        <v>0.0</v>
      </c>
      <c r="Y73" s="19">
        <v>0.0</v>
      </c>
      <c r="Z73" s="19">
        <v>1.0</v>
      </c>
      <c r="AA73" s="19">
        <v>0.0</v>
      </c>
      <c r="AB73" s="19">
        <v>0.0</v>
      </c>
      <c r="AC73" s="19">
        <v>3.0</v>
      </c>
      <c r="AD73" s="19">
        <v>0.0</v>
      </c>
      <c r="AE73" s="19">
        <v>1.0</v>
      </c>
      <c r="AF73" s="19">
        <v>0.0</v>
      </c>
      <c r="AG73" s="19">
        <v>1.0</v>
      </c>
      <c r="AH73" s="19">
        <v>0.0</v>
      </c>
      <c r="AI73" s="19">
        <v>0.0</v>
      </c>
      <c r="AJ73" s="19">
        <v>2.0</v>
      </c>
      <c r="AK73" s="19">
        <v>0.0</v>
      </c>
      <c r="AL73" s="19">
        <v>1.0</v>
      </c>
      <c r="AM73" s="19">
        <v>0.0</v>
      </c>
      <c r="AN73" s="19">
        <v>0.0</v>
      </c>
      <c r="AO73" s="19">
        <v>0.0</v>
      </c>
      <c r="AP73" s="19">
        <v>0.0</v>
      </c>
      <c r="AQ73" s="19">
        <v>0.0</v>
      </c>
      <c r="AR73" s="19">
        <v>3.0</v>
      </c>
      <c r="AS73" s="19">
        <v>1.0</v>
      </c>
      <c r="AT73" s="19">
        <v>1.0</v>
      </c>
      <c r="AU73" s="19">
        <v>1.0</v>
      </c>
      <c r="AV73" s="13">
        <f t="shared" si="18"/>
        <v>25</v>
      </c>
    </row>
    <row r="74" ht="12.75" customHeight="1">
      <c r="A74" s="18"/>
      <c r="B74" s="55">
        <v>5.0</v>
      </c>
      <c r="C74" s="50" t="s">
        <v>61</v>
      </c>
      <c r="D74" s="57"/>
      <c r="E74" s="19">
        <v>1.0</v>
      </c>
      <c r="F74" s="19">
        <v>1.0</v>
      </c>
      <c r="G74" s="19">
        <v>4.0</v>
      </c>
      <c r="H74" s="19">
        <v>3.0</v>
      </c>
      <c r="I74" s="19">
        <v>2.0</v>
      </c>
      <c r="J74" s="19">
        <v>3.0</v>
      </c>
      <c r="K74" s="19">
        <v>1.0</v>
      </c>
      <c r="L74" s="19">
        <v>1.0</v>
      </c>
      <c r="M74" s="19">
        <v>0.0</v>
      </c>
      <c r="N74" s="19">
        <v>2.0</v>
      </c>
      <c r="O74" s="19">
        <v>5.0</v>
      </c>
      <c r="P74" s="19">
        <v>0.0</v>
      </c>
      <c r="Q74" s="19">
        <v>4.0</v>
      </c>
      <c r="R74" s="19">
        <v>2.0</v>
      </c>
      <c r="S74" s="19">
        <v>3.0</v>
      </c>
      <c r="T74" s="19">
        <v>2.0</v>
      </c>
      <c r="U74" s="19">
        <v>0.0</v>
      </c>
      <c r="V74" s="19">
        <v>1.0</v>
      </c>
      <c r="W74" s="19">
        <v>4.0</v>
      </c>
      <c r="X74" s="19">
        <v>1.0</v>
      </c>
      <c r="Y74" s="19">
        <v>1.0</v>
      </c>
      <c r="Z74" s="19">
        <v>3.0</v>
      </c>
      <c r="AA74" s="19">
        <v>3.0</v>
      </c>
      <c r="AB74" s="19">
        <v>4.0</v>
      </c>
      <c r="AC74" s="19">
        <v>1.0</v>
      </c>
      <c r="AD74" s="19">
        <v>0.0</v>
      </c>
      <c r="AE74" s="19">
        <v>4.0</v>
      </c>
      <c r="AF74" s="19">
        <v>5.0</v>
      </c>
      <c r="AG74" s="19">
        <v>0.0</v>
      </c>
      <c r="AH74" s="19">
        <v>0.0</v>
      </c>
      <c r="AI74" s="19">
        <v>0.0</v>
      </c>
      <c r="AJ74" s="19">
        <v>2.0</v>
      </c>
      <c r="AK74" s="19">
        <v>0.0</v>
      </c>
      <c r="AL74" s="19">
        <v>2.0</v>
      </c>
      <c r="AM74" s="19">
        <v>1.0</v>
      </c>
      <c r="AN74" s="19">
        <v>0.0</v>
      </c>
      <c r="AO74" s="19">
        <v>0.0</v>
      </c>
      <c r="AP74" s="19">
        <v>1.0</v>
      </c>
      <c r="AQ74" s="19">
        <v>0.0</v>
      </c>
      <c r="AR74" s="19">
        <v>1.0</v>
      </c>
      <c r="AS74" s="19">
        <v>2.0</v>
      </c>
      <c r="AT74" s="19">
        <v>1.0</v>
      </c>
      <c r="AU74" s="19">
        <v>1.0</v>
      </c>
      <c r="AV74" s="13">
        <f t="shared" si="18"/>
        <v>72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0.0</v>
      </c>
      <c r="G75" s="19">
        <v>1.0</v>
      </c>
      <c r="H75" s="19">
        <v>4.0</v>
      </c>
      <c r="I75" s="19">
        <v>2.0</v>
      </c>
      <c r="J75" s="19">
        <v>2.0</v>
      </c>
      <c r="K75" s="19">
        <v>2.0</v>
      </c>
      <c r="L75" s="19">
        <v>2.0</v>
      </c>
      <c r="M75" s="19">
        <v>0.0</v>
      </c>
      <c r="N75" s="19">
        <v>1.0</v>
      </c>
      <c r="O75" s="19">
        <v>3.0</v>
      </c>
      <c r="P75" s="19">
        <v>1.0</v>
      </c>
      <c r="Q75" s="19">
        <v>7.0</v>
      </c>
      <c r="R75" s="19">
        <v>4.0</v>
      </c>
      <c r="S75" s="19">
        <v>1.0</v>
      </c>
      <c r="T75" s="19">
        <v>1.0</v>
      </c>
      <c r="U75" s="19">
        <v>3.0</v>
      </c>
      <c r="V75" s="19">
        <v>0.0</v>
      </c>
      <c r="W75" s="19">
        <v>3.0</v>
      </c>
      <c r="X75" s="19">
        <v>1.0</v>
      </c>
      <c r="Y75" s="19">
        <v>1.0</v>
      </c>
      <c r="Z75" s="19">
        <v>2.0</v>
      </c>
      <c r="AA75" s="19">
        <v>7.0</v>
      </c>
      <c r="AB75" s="19">
        <v>5.0</v>
      </c>
      <c r="AC75" s="19">
        <v>2.0</v>
      </c>
      <c r="AD75" s="19">
        <v>6.0</v>
      </c>
      <c r="AE75" s="19">
        <v>8.0</v>
      </c>
      <c r="AF75" s="19">
        <v>6.0</v>
      </c>
      <c r="AG75" s="19">
        <v>2.0</v>
      </c>
      <c r="AH75" s="19">
        <v>2.0</v>
      </c>
      <c r="AI75" s="19">
        <v>1.0</v>
      </c>
      <c r="AJ75" s="19">
        <v>1.0</v>
      </c>
      <c r="AK75" s="19">
        <v>4.0</v>
      </c>
      <c r="AL75" s="19">
        <v>0.0</v>
      </c>
      <c r="AM75" s="19">
        <v>0.0</v>
      </c>
      <c r="AN75" s="19">
        <v>1.0</v>
      </c>
      <c r="AO75" s="19">
        <v>2.0</v>
      </c>
      <c r="AP75" s="19">
        <v>0.0</v>
      </c>
      <c r="AQ75" s="19">
        <v>1.0</v>
      </c>
      <c r="AR75" s="19">
        <v>1.0</v>
      </c>
      <c r="AS75" s="19">
        <v>4.0</v>
      </c>
      <c r="AT75" s="19">
        <v>3.0</v>
      </c>
      <c r="AU75" s="19">
        <v>1.0</v>
      </c>
      <c r="AV75" s="13">
        <f t="shared" si="18"/>
        <v>98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0.0</v>
      </c>
      <c r="G76" s="19">
        <v>0.0</v>
      </c>
      <c r="H76" s="19">
        <v>1.0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9">
        <v>1.0</v>
      </c>
      <c r="O76" s="19">
        <v>2.0</v>
      </c>
      <c r="P76" s="19">
        <v>0.0</v>
      </c>
      <c r="Q76" s="19">
        <v>1.0</v>
      </c>
      <c r="R76" s="19">
        <v>0.0</v>
      </c>
      <c r="S76" s="19">
        <v>1.0</v>
      </c>
      <c r="T76" s="19">
        <v>1.0</v>
      </c>
      <c r="U76" s="19">
        <v>1.0</v>
      </c>
      <c r="V76" s="19">
        <v>0.0</v>
      </c>
      <c r="W76" s="19">
        <v>1.0</v>
      </c>
      <c r="X76" s="19">
        <v>0.0</v>
      </c>
      <c r="Y76" s="19">
        <v>0.0</v>
      </c>
      <c r="Z76" s="19">
        <v>0.0</v>
      </c>
      <c r="AA76" s="19">
        <v>3.0</v>
      </c>
      <c r="AB76" s="19">
        <v>0.0</v>
      </c>
      <c r="AC76" s="19">
        <v>1.0</v>
      </c>
      <c r="AD76" s="19">
        <v>2.0</v>
      </c>
      <c r="AE76" s="19">
        <v>2.0</v>
      </c>
      <c r="AF76" s="19">
        <v>6.0</v>
      </c>
      <c r="AG76" s="19">
        <v>0.0</v>
      </c>
      <c r="AH76" s="19">
        <v>1.0</v>
      </c>
      <c r="AI76" s="19">
        <v>5.0</v>
      </c>
      <c r="AJ76" s="19">
        <v>5.0</v>
      </c>
      <c r="AK76" s="19">
        <v>3.0</v>
      </c>
      <c r="AL76" s="19">
        <v>4.0</v>
      </c>
      <c r="AM76" s="19">
        <v>6.0</v>
      </c>
      <c r="AN76" s="19">
        <v>10.0</v>
      </c>
      <c r="AO76" s="19">
        <v>4.0</v>
      </c>
      <c r="AP76" s="19">
        <v>0.0</v>
      </c>
      <c r="AQ76" s="19">
        <v>8.0</v>
      </c>
      <c r="AR76" s="19">
        <v>11.0</v>
      </c>
      <c r="AS76" s="19">
        <v>19.0</v>
      </c>
      <c r="AT76" s="19">
        <v>41.0</v>
      </c>
      <c r="AU76" s="19">
        <v>86.0</v>
      </c>
      <c r="AV76" s="13">
        <f t="shared" si="18"/>
        <v>226</v>
      </c>
    </row>
    <row r="77" ht="12.75" customHeight="1">
      <c r="A77" s="18"/>
      <c r="B77" s="71"/>
      <c r="C77" s="72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3">
        <f t="shared" si="18"/>
        <v>0</v>
      </c>
    </row>
    <row r="78" ht="12.75" customHeight="1">
      <c r="A78" s="18"/>
      <c r="B78" s="71"/>
      <c r="C78" s="72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AU79" si="19">SUM(E69:E76)</f>
        <v>26</v>
      </c>
      <c r="F79" s="13">
        <f t="shared" si="19"/>
        <v>18</v>
      </c>
      <c r="G79" s="13">
        <f t="shared" si="19"/>
        <v>41</v>
      </c>
      <c r="H79" s="13">
        <f t="shared" si="19"/>
        <v>40</v>
      </c>
      <c r="I79" s="13">
        <f t="shared" si="19"/>
        <v>22</v>
      </c>
      <c r="J79" s="13">
        <f t="shared" si="19"/>
        <v>31</v>
      </c>
      <c r="K79" s="13">
        <f t="shared" si="19"/>
        <v>88</v>
      </c>
      <c r="L79" s="13">
        <f t="shared" si="19"/>
        <v>48</v>
      </c>
      <c r="M79" s="13">
        <f t="shared" si="19"/>
        <v>22</v>
      </c>
      <c r="N79" s="13">
        <f t="shared" si="19"/>
        <v>38</v>
      </c>
      <c r="O79" s="13">
        <f t="shared" si="19"/>
        <v>33</v>
      </c>
      <c r="P79" s="13">
        <f t="shared" si="19"/>
        <v>17</v>
      </c>
      <c r="Q79" s="13">
        <f t="shared" si="19"/>
        <v>42</v>
      </c>
      <c r="R79" s="13">
        <f t="shared" si="19"/>
        <v>29</v>
      </c>
      <c r="S79" s="13">
        <f t="shared" si="19"/>
        <v>28</v>
      </c>
      <c r="T79" s="13">
        <f t="shared" si="19"/>
        <v>31</v>
      </c>
      <c r="U79" s="13">
        <f t="shared" si="19"/>
        <v>16</v>
      </c>
      <c r="V79" s="13">
        <f t="shared" si="19"/>
        <v>17</v>
      </c>
      <c r="W79" s="13">
        <f t="shared" si="19"/>
        <v>36</v>
      </c>
      <c r="X79" s="13">
        <f t="shared" si="19"/>
        <v>14</v>
      </c>
      <c r="Y79" s="13">
        <f t="shared" si="19"/>
        <v>9</v>
      </c>
      <c r="Z79" s="13">
        <f t="shared" si="19"/>
        <v>48</v>
      </c>
      <c r="AA79" s="13">
        <f t="shared" si="19"/>
        <v>63</v>
      </c>
      <c r="AB79" s="13">
        <f t="shared" si="19"/>
        <v>43</v>
      </c>
      <c r="AC79" s="13">
        <f t="shared" si="19"/>
        <v>31</v>
      </c>
      <c r="AD79" s="13">
        <f t="shared" si="19"/>
        <v>46</v>
      </c>
      <c r="AE79" s="13">
        <f t="shared" si="19"/>
        <v>56</v>
      </c>
      <c r="AF79" s="13">
        <f t="shared" si="19"/>
        <v>73</v>
      </c>
      <c r="AG79" s="13">
        <f t="shared" si="19"/>
        <v>25</v>
      </c>
      <c r="AH79" s="13">
        <f t="shared" si="19"/>
        <v>30</v>
      </c>
      <c r="AI79" s="13">
        <f t="shared" si="19"/>
        <v>48</v>
      </c>
      <c r="AJ79" s="13">
        <f t="shared" si="19"/>
        <v>49</v>
      </c>
      <c r="AK79" s="13">
        <f t="shared" si="19"/>
        <v>54</v>
      </c>
      <c r="AL79" s="13">
        <f t="shared" si="19"/>
        <v>50</v>
      </c>
      <c r="AM79" s="13">
        <f t="shared" si="19"/>
        <v>54</v>
      </c>
      <c r="AN79" s="13">
        <f t="shared" si="19"/>
        <v>52</v>
      </c>
      <c r="AO79" s="13">
        <f t="shared" si="19"/>
        <v>31</v>
      </c>
      <c r="AP79" s="13">
        <f t="shared" si="19"/>
        <v>29</v>
      </c>
      <c r="AQ79" s="13">
        <f t="shared" si="19"/>
        <v>30</v>
      </c>
      <c r="AR79" s="13">
        <f t="shared" si="19"/>
        <v>37</v>
      </c>
      <c r="AS79" s="13">
        <f t="shared" si="19"/>
        <v>57</v>
      </c>
      <c r="AT79" s="13">
        <f t="shared" si="19"/>
        <v>77</v>
      </c>
      <c r="AU79" s="13">
        <f t="shared" si="19"/>
        <v>108</v>
      </c>
      <c r="AV79" s="13">
        <f t="shared" si="18"/>
        <v>1737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1.0</v>
      </c>
      <c r="F81" s="19">
        <v>1.0</v>
      </c>
      <c r="G81" s="19">
        <v>1.0</v>
      </c>
      <c r="H81" s="19">
        <v>2.0</v>
      </c>
      <c r="I81" s="19">
        <v>1.0</v>
      </c>
      <c r="J81" s="19">
        <v>0.0</v>
      </c>
      <c r="K81" s="19">
        <v>1.0</v>
      </c>
      <c r="L81" s="19">
        <v>4.0</v>
      </c>
      <c r="M81" s="19">
        <v>2.0</v>
      </c>
      <c r="N81" s="19">
        <v>10.0</v>
      </c>
      <c r="O81" s="19">
        <v>4.0</v>
      </c>
      <c r="P81" s="19">
        <v>2.0</v>
      </c>
      <c r="Q81" s="19">
        <v>2.0</v>
      </c>
      <c r="R81" s="19">
        <v>5.0</v>
      </c>
      <c r="S81" s="19">
        <v>3.0</v>
      </c>
      <c r="T81" s="19">
        <v>1.0</v>
      </c>
      <c r="U81" s="19">
        <v>1.0</v>
      </c>
      <c r="V81" s="19">
        <v>2.0</v>
      </c>
      <c r="W81" s="19">
        <v>8.0</v>
      </c>
      <c r="X81" s="19">
        <v>0.0</v>
      </c>
      <c r="Y81" s="19">
        <v>1.0</v>
      </c>
      <c r="Z81" s="19">
        <v>7.0</v>
      </c>
      <c r="AA81" s="19">
        <v>2.0</v>
      </c>
      <c r="AB81" s="19">
        <v>6.0</v>
      </c>
      <c r="AC81" s="19">
        <v>9.0</v>
      </c>
      <c r="AD81" s="19">
        <v>2.0</v>
      </c>
      <c r="AE81" s="19">
        <v>7.0</v>
      </c>
      <c r="AF81" s="19">
        <v>7.0</v>
      </c>
      <c r="AG81" s="19">
        <v>5.0</v>
      </c>
      <c r="AH81" s="19">
        <v>0.0</v>
      </c>
      <c r="AI81" s="19">
        <v>1.0</v>
      </c>
      <c r="AJ81" s="19">
        <v>1.0</v>
      </c>
      <c r="AK81" s="19">
        <v>0.0</v>
      </c>
      <c r="AL81" s="19">
        <v>3.0</v>
      </c>
      <c r="AM81" s="19">
        <v>1.0</v>
      </c>
      <c r="AN81" s="19">
        <v>1.0</v>
      </c>
      <c r="AO81" s="19">
        <v>4.0</v>
      </c>
      <c r="AP81" s="19">
        <v>0.0</v>
      </c>
      <c r="AQ81" s="19">
        <v>2.0</v>
      </c>
      <c r="AR81" s="19">
        <v>0.0</v>
      </c>
      <c r="AS81" s="19">
        <v>1.0</v>
      </c>
      <c r="AT81" s="19">
        <v>4.0</v>
      </c>
      <c r="AU81" s="19">
        <v>0.0</v>
      </c>
      <c r="AV81" s="13">
        <f t="shared" ref="AV81:AV91" si="20">SUM(E81:AU81)</f>
        <v>115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5.0</v>
      </c>
      <c r="F82" s="19">
        <v>2.0</v>
      </c>
      <c r="G82" s="19">
        <v>2.0</v>
      </c>
      <c r="H82" s="19">
        <v>4.0</v>
      </c>
      <c r="I82" s="19">
        <v>6.0</v>
      </c>
      <c r="J82" s="19">
        <v>1.0</v>
      </c>
      <c r="K82" s="19">
        <v>4.0</v>
      </c>
      <c r="L82" s="19">
        <v>59.0</v>
      </c>
      <c r="M82" s="19">
        <v>72.0</v>
      </c>
      <c r="N82" s="19">
        <v>27.0</v>
      </c>
      <c r="O82" s="19">
        <v>7.0</v>
      </c>
      <c r="P82" s="19">
        <v>4.0</v>
      </c>
      <c r="Q82" s="19">
        <v>4.0</v>
      </c>
      <c r="R82" s="19">
        <v>1.0</v>
      </c>
      <c r="S82" s="19">
        <v>4.0</v>
      </c>
      <c r="T82" s="19">
        <v>1.0</v>
      </c>
      <c r="U82" s="19">
        <v>1.0</v>
      </c>
      <c r="V82" s="19">
        <v>7.0</v>
      </c>
      <c r="W82" s="19">
        <v>34.0</v>
      </c>
      <c r="X82" s="19">
        <v>4.0</v>
      </c>
      <c r="Y82" s="19">
        <v>4.0</v>
      </c>
      <c r="Z82" s="19">
        <v>5.0</v>
      </c>
      <c r="AA82" s="19">
        <v>3.0</v>
      </c>
      <c r="AB82" s="19">
        <v>2.0</v>
      </c>
      <c r="AC82" s="19">
        <v>15.0</v>
      </c>
      <c r="AD82" s="19">
        <v>1.0</v>
      </c>
      <c r="AE82" s="19">
        <v>24.0</v>
      </c>
      <c r="AF82" s="19">
        <v>6.0</v>
      </c>
      <c r="AG82" s="19">
        <v>86.0</v>
      </c>
      <c r="AH82" s="19">
        <v>2.0</v>
      </c>
      <c r="AI82" s="19">
        <v>0.0</v>
      </c>
      <c r="AJ82" s="19">
        <v>4.0</v>
      </c>
      <c r="AK82" s="19">
        <v>1.0</v>
      </c>
      <c r="AL82" s="19">
        <v>0.0</v>
      </c>
      <c r="AM82" s="19">
        <v>2.0</v>
      </c>
      <c r="AN82" s="19">
        <v>0.0</v>
      </c>
      <c r="AO82" s="19">
        <v>0.0</v>
      </c>
      <c r="AP82" s="19">
        <v>1.0</v>
      </c>
      <c r="AQ82" s="19">
        <v>3.0</v>
      </c>
      <c r="AR82" s="19">
        <v>2.0</v>
      </c>
      <c r="AS82" s="19">
        <v>2.0</v>
      </c>
      <c r="AT82" s="19">
        <v>0.0</v>
      </c>
      <c r="AU82" s="19">
        <v>4.0</v>
      </c>
      <c r="AV82" s="13">
        <f t="shared" si="20"/>
        <v>416</v>
      </c>
    </row>
    <row r="83" ht="12.75" customHeight="1">
      <c r="A83" s="18"/>
      <c r="B83" s="55">
        <v>2.0</v>
      </c>
      <c r="C83" s="50" t="s">
        <v>66</v>
      </c>
      <c r="D83" s="57"/>
      <c r="E83" s="19">
        <v>3.0</v>
      </c>
      <c r="F83" s="19">
        <v>10.0</v>
      </c>
      <c r="G83" s="19">
        <v>10.0</v>
      </c>
      <c r="H83" s="19">
        <v>4.0</v>
      </c>
      <c r="I83" s="19">
        <v>5.0</v>
      </c>
      <c r="J83" s="19">
        <v>7.0</v>
      </c>
      <c r="K83" s="19">
        <v>8.0</v>
      </c>
      <c r="L83" s="19">
        <v>6.0</v>
      </c>
      <c r="M83" s="19">
        <v>4.0</v>
      </c>
      <c r="N83" s="19">
        <v>6.0</v>
      </c>
      <c r="O83" s="19">
        <v>2.0</v>
      </c>
      <c r="P83" s="19">
        <v>2.0</v>
      </c>
      <c r="Q83" s="19">
        <v>8.0</v>
      </c>
      <c r="R83" s="19">
        <v>10.0</v>
      </c>
      <c r="S83" s="19">
        <v>0.0</v>
      </c>
      <c r="T83" s="19">
        <v>4.0</v>
      </c>
      <c r="U83" s="19">
        <v>4.0</v>
      </c>
      <c r="V83" s="19">
        <v>3.0</v>
      </c>
      <c r="W83" s="19">
        <v>6.0</v>
      </c>
      <c r="X83" s="19">
        <v>8.0</v>
      </c>
      <c r="Y83" s="19">
        <v>23.0</v>
      </c>
      <c r="Z83" s="19">
        <v>7.0</v>
      </c>
      <c r="AA83" s="19">
        <v>11.0</v>
      </c>
      <c r="AB83" s="19">
        <v>11.0</v>
      </c>
      <c r="AC83" s="19">
        <v>7.0</v>
      </c>
      <c r="AD83" s="19">
        <v>18.0</v>
      </c>
      <c r="AE83" s="19">
        <v>5.0</v>
      </c>
      <c r="AF83" s="19">
        <v>4.0</v>
      </c>
      <c r="AG83" s="19">
        <v>1.0</v>
      </c>
      <c r="AH83" s="19">
        <v>2.0</v>
      </c>
      <c r="AI83" s="19">
        <v>1.0</v>
      </c>
      <c r="AJ83" s="19">
        <v>0.0</v>
      </c>
      <c r="AK83" s="19">
        <v>1.0</v>
      </c>
      <c r="AL83" s="19">
        <v>0.0</v>
      </c>
      <c r="AM83" s="19">
        <v>0.0</v>
      </c>
      <c r="AN83" s="19">
        <v>0.0</v>
      </c>
      <c r="AO83" s="19">
        <v>2.0</v>
      </c>
      <c r="AP83" s="19">
        <v>0.0</v>
      </c>
      <c r="AQ83" s="19">
        <v>1.0</v>
      </c>
      <c r="AR83" s="19">
        <v>1.0</v>
      </c>
      <c r="AS83" s="19">
        <v>1.0</v>
      </c>
      <c r="AT83" s="19">
        <v>3.0</v>
      </c>
      <c r="AU83" s="19">
        <v>1.0</v>
      </c>
      <c r="AV83" s="13">
        <f t="shared" si="20"/>
        <v>210</v>
      </c>
    </row>
    <row r="84" ht="12.75" customHeight="1">
      <c r="A84" s="18"/>
      <c r="B84" s="55">
        <v>3.0</v>
      </c>
      <c r="C84" s="50" t="s">
        <v>67</v>
      </c>
      <c r="D84" s="57"/>
      <c r="E84" s="19">
        <v>1.0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1.0</v>
      </c>
      <c r="O84" s="19">
        <v>1.0</v>
      </c>
      <c r="P84" s="19">
        <v>0.0</v>
      </c>
      <c r="Q84" s="19">
        <v>1.0</v>
      </c>
      <c r="R84" s="19">
        <v>0.0</v>
      </c>
      <c r="S84" s="19">
        <v>0.0</v>
      </c>
      <c r="T84" s="19">
        <v>0.0</v>
      </c>
      <c r="U84" s="19">
        <v>0.0</v>
      </c>
      <c r="V84" s="19">
        <v>0.0</v>
      </c>
      <c r="W84" s="19">
        <v>1.0</v>
      </c>
      <c r="X84" s="19">
        <v>0.0</v>
      </c>
      <c r="Y84" s="19">
        <v>0.0</v>
      </c>
      <c r="Z84" s="19">
        <v>0.0</v>
      </c>
      <c r="AA84" s="19">
        <v>0.0</v>
      </c>
      <c r="AB84" s="19">
        <v>1.0</v>
      </c>
      <c r="AC84" s="19">
        <v>2.0</v>
      </c>
      <c r="AD84" s="19">
        <v>1.0</v>
      </c>
      <c r="AE84" s="19">
        <v>0.0</v>
      </c>
      <c r="AF84" s="19">
        <v>0.0</v>
      </c>
      <c r="AG84" s="19">
        <v>0.0</v>
      </c>
      <c r="AH84" s="19">
        <v>0.0</v>
      </c>
      <c r="AI84" s="19">
        <v>0.0</v>
      </c>
      <c r="AJ84" s="19">
        <v>1.0</v>
      </c>
      <c r="AK84" s="19">
        <v>0.0</v>
      </c>
      <c r="AL84" s="19">
        <v>0.0</v>
      </c>
      <c r="AM84" s="19">
        <v>0.0</v>
      </c>
      <c r="AN84" s="19">
        <v>0.0</v>
      </c>
      <c r="AO84" s="19">
        <v>1.0</v>
      </c>
      <c r="AP84" s="19">
        <v>0.0</v>
      </c>
      <c r="AQ84" s="19">
        <v>0.0</v>
      </c>
      <c r="AR84" s="19">
        <v>1.0</v>
      </c>
      <c r="AS84" s="19">
        <v>0.0</v>
      </c>
      <c r="AT84" s="19">
        <v>0.0</v>
      </c>
      <c r="AU84" s="19">
        <v>0.0</v>
      </c>
      <c r="AV84" s="13">
        <f t="shared" si="20"/>
        <v>12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1.0</v>
      </c>
      <c r="M85" s="19">
        <v>0.0</v>
      </c>
      <c r="N85" s="19">
        <v>0.0</v>
      </c>
      <c r="O85" s="19">
        <v>3.0</v>
      </c>
      <c r="P85" s="19">
        <v>0.0</v>
      </c>
      <c r="Q85" s="19">
        <v>1.0</v>
      </c>
      <c r="R85" s="19">
        <v>0.0</v>
      </c>
      <c r="S85" s="19">
        <v>0.0</v>
      </c>
      <c r="T85" s="19">
        <v>0.0</v>
      </c>
      <c r="U85" s="19">
        <v>0.0</v>
      </c>
      <c r="V85" s="19">
        <v>0.0</v>
      </c>
      <c r="W85" s="19">
        <v>3.0</v>
      </c>
      <c r="X85" s="19">
        <v>0.0</v>
      </c>
      <c r="Y85" s="19">
        <v>0.0</v>
      </c>
      <c r="Z85" s="19">
        <v>0.0</v>
      </c>
      <c r="AA85" s="19">
        <v>0.0</v>
      </c>
      <c r="AB85" s="19">
        <v>0.0</v>
      </c>
      <c r="AC85" s="19">
        <v>0.0</v>
      </c>
      <c r="AD85" s="19">
        <v>1.0</v>
      </c>
      <c r="AE85" s="19">
        <v>0.0</v>
      </c>
      <c r="AF85" s="19">
        <v>0.0</v>
      </c>
      <c r="AG85" s="19">
        <v>0.0</v>
      </c>
      <c r="AH85" s="19">
        <v>0.0</v>
      </c>
      <c r="AI85" s="19">
        <v>2.0</v>
      </c>
      <c r="AJ85" s="19">
        <v>0.0</v>
      </c>
      <c r="AK85" s="19">
        <v>0.0</v>
      </c>
      <c r="AL85" s="19">
        <v>0.0</v>
      </c>
      <c r="AM85" s="19">
        <v>1.0</v>
      </c>
      <c r="AN85" s="19">
        <v>0.0</v>
      </c>
      <c r="AO85" s="19">
        <v>0.0</v>
      </c>
      <c r="AP85" s="19">
        <v>0.0</v>
      </c>
      <c r="AQ85" s="19">
        <v>0.0</v>
      </c>
      <c r="AR85" s="19">
        <v>1.0</v>
      </c>
      <c r="AS85" s="19">
        <v>0.0</v>
      </c>
      <c r="AT85" s="19">
        <v>0.0</v>
      </c>
      <c r="AU85" s="19">
        <v>0.0</v>
      </c>
      <c r="AV85" s="13">
        <f t="shared" si="20"/>
        <v>13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1.0</v>
      </c>
      <c r="G86" s="19">
        <v>4.0</v>
      </c>
      <c r="H86" s="19">
        <v>0.0</v>
      </c>
      <c r="I86" s="19">
        <v>0.0</v>
      </c>
      <c r="J86" s="19">
        <v>3.0</v>
      </c>
      <c r="K86" s="19">
        <v>1.0</v>
      </c>
      <c r="L86" s="19">
        <v>0.0</v>
      </c>
      <c r="M86" s="19">
        <v>0.0</v>
      </c>
      <c r="N86" s="19">
        <v>1.0</v>
      </c>
      <c r="O86" s="19">
        <v>0.0</v>
      </c>
      <c r="P86" s="19">
        <v>1.0</v>
      </c>
      <c r="Q86" s="19">
        <v>0.0</v>
      </c>
      <c r="R86" s="19">
        <v>0.0</v>
      </c>
      <c r="S86" s="19">
        <v>0.0</v>
      </c>
      <c r="T86" s="19">
        <v>0.0</v>
      </c>
      <c r="U86" s="19">
        <v>8.0</v>
      </c>
      <c r="V86" s="19">
        <v>0.0</v>
      </c>
      <c r="W86" s="19">
        <v>4.0</v>
      </c>
      <c r="X86" s="19">
        <v>0.0</v>
      </c>
      <c r="Y86" s="19">
        <v>0.0</v>
      </c>
      <c r="Z86" s="19">
        <v>1.0</v>
      </c>
      <c r="AA86" s="19">
        <v>1.0</v>
      </c>
      <c r="AB86" s="19">
        <v>3.0</v>
      </c>
      <c r="AC86" s="19">
        <v>0.0</v>
      </c>
      <c r="AD86" s="19">
        <v>0.0</v>
      </c>
      <c r="AE86" s="19">
        <v>0.0</v>
      </c>
      <c r="AF86" s="19">
        <v>0.0</v>
      </c>
      <c r="AG86" s="19">
        <v>0.0</v>
      </c>
      <c r="AH86" s="19">
        <v>0.0</v>
      </c>
      <c r="AI86" s="19">
        <v>0.0</v>
      </c>
      <c r="AJ86" s="19">
        <v>1.0</v>
      </c>
      <c r="AK86" s="19">
        <v>2.0</v>
      </c>
      <c r="AL86" s="19">
        <v>0.0</v>
      </c>
      <c r="AM86" s="19">
        <v>1.0</v>
      </c>
      <c r="AN86" s="19">
        <v>3.0</v>
      </c>
      <c r="AO86" s="19">
        <v>0.0</v>
      </c>
      <c r="AP86" s="19">
        <v>0.0</v>
      </c>
      <c r="AQ86" s="19">
        <v>0.0</v>
      </c>
      <c r="AR86" s="19">
        <v>0.0</v>
      </c>
      <c r="AS86" s="19">
        <v>0.0</v>
      </c>
      <c r="AT86" s="19">
        <v>0.0</v>
      </c>
      <c r="AU86" s="19">
        <v>0.0</v>
      </c>
      <c r="AV86" s="13">
        <f t="shared" si="20"/>
        <v>35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1.0</v>
      </c>
      <c r="N87" s="19">
        <v>0.0</v>
      </c>
      <c r="O87" s="19">
        <v>0.0</v>
      </c>
      <c r="P87" s="19">
        <v>0.0</v>
      </c>
      <c r="Q87" s="19">
        <v>1.0</v>
      </c>
      <c r="R87" s="19">
        <v>0.0</v>
      </c>
      <c r="S87" s="19">
        <v>0.0</v>
      </c>
      <c r="T87" s="19">
        <v>0.0</v>
      </c>
      <c r="U87" s="19">
        <v>0.0</v>
      </c>
      <c r="V87" s="19">
        <v>1.0</v>
      </c>
      <c r="W87" s="19">
        <v>0.0</v>
      </c>
      <c r="X87" s="19">
        <v>0.0</v>
      </c>
      <c r="Y87" s="19">
        <v>0.0</v>
      </c>
      <c r="Z87" s="19">
        <v>1.0</v>
      </c>
      <c r="AA87" s="19">
        <v>0.0</v>
      </c>
      <c r="AB87" s="19">
        <v>1.0</v>
      </c>
      <c r="AC87" s="19">
        <v>0.0</v>
      </c>
      <c r="AD87" s="19">
        <v>0.0</v>
      </c>
      <c r="AE87" s="19">
        <v>0.0</v>
      </c>
      <c r="AF87" s="19">
        <v>1.0</v>
      </c>
      <c r="AG87" s="19">
        <v>0.0</v>
      </c>
      <c r="AH87" s="19">
        <v>0.0</v>
      </c>
      <c r="AI87" s="19">
        <v>0.0</v>
      </c>
      <c r="AJ87" s="19">
        <v>0.0</v>
      </c>
      <c r="AK87" s="19">
        <v>0.0</v>
      </c>
      <c r="AL87" s="19">
        <v>0.0</v>
      </c>
      <c r="AM87" s="19">
        <v>0.0</v>
      </c>
      <c r="AN87" s="19">
        <v>0.0</v>
      </c>
      <c r="AO87" s="19">
        <v>0.0</v>
      </c>
      <c r="AP87" s="19">
        <v>0.0</v>
      </c>
      <c r="AQ87" s="19">
        <v>0.0</v>
      </c>
      <c r="AR87" s="19">
        <v>0.0</v>
      </c>
      <c r="AS87" s="19">
        <v>0.0</v>
      </c>
      <c r="AT87" s="19">
        <v>0.0</v>
      </c>
      <c r="AU87" s="19">
        <v>0.0</v>
      </c>
      <c r="AV87" s="13">
        <f t="shared" si="20"/>
        <v>6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1.0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2.0</v>
      </c>
      <c r="AG88" s="19">
        <v>0.0</v>
      </c>
      <c r="AH88" s="19">
        <v>0.0</v>
      </c>
      <c r="AI88" s="19">
        <v>0.0</v>
      </c>
      <c r="AJ88" s="19">
        <v>0.0</v>
      </c>
      <c r="AK88" s="19">
        <v>0.0</v>
      </c>
      <c r="AL88" s="19">
        <v>0.0</v>
      </c>
      <c r="AM88" s="19">
        <v>0.0</v>
      </c>
      <c r="AN88" s="19">
        <v>0.0</v>
      </c>
      <c r="AO88" s="19">
        <v>0.0</v>
      </c>
      <c r="AP88" s="19">
        <v>0.0</v>
      </c>
      <c r="AQ88" s="19">
        <v>0.0</v>
      </c>
      <c r="AR88" s="19">
        <v>0.0</v>
      </c>
      <c r="AS88" s="19">
        <v>0.0</v>
      </c>
      <c r="AT88" s="19">
        <v>0.0</v>
      </c>
      <c r="AU88" s="19">
        <v>0.0</v>
      </c>
      <c r="AV88" s="13">
        <f t="shared" si="20"/>
        <v>3</v>
      </c>
    </row>
    <row r="89" ht="12.75" customHeight="1">
      <c r="A89" s="18"/>
      <c r="B89" s="71"/>
      <c r="C89" s="72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3">
        <f t="shared" si="20"/>
        <v>0</v>
      </c>
    </row>
    <row r="90" ht="12.75" customHeight="1">
      <c r="A90" s="18"/>
      <c r="B90" s="71"/>
      <c r="C90" s="72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AU91" si="21">SUM(E81:E88)</f>
        <v>10</v>
      </c>
      <c r="F91" s="13">
        <f t="shared" si="21"/>
        <v>14</v>
      </c>
      <c r="G91" s="13">
        <f t="shared" si="21"/>
        <v>17</v>
      </c>
      <c r="H91" s="13">
        <f t="shared" si="21"/>
        <v>10</v>
      </c>
      <c r="I91" s="13">
        <f t="shared" si="21"/>
        <v>12</v>
      </c>
      <c r="J91" s="13">
        <f t="shared" si="21"/>
        <v>11</v>
      </c>
      <c r="K91" s="13">
        <f t="shared" si="21"/>
        <v>14</v>
      </c>
      <c r="L91" s="13">
        <f t="shared" si="21"/>
        <v>71</v>
      </c>
      <c r="M91" s="13">
        <f t="shared" si="21"/>
        <v>79</v>
      </c>
      <c r="N91" s="13">
        <f t="shared" si="21"/>
        <v>45</v>
      </c>
      <c r="O91" s="13">
        <f t="shared" si="21"/>
        <v>17</v>
      </c>
      <c r="P91" s="13">
        <f t="shared" si="21"/>
        <v>9</v>
      </c>
      <c r="Q91" s="13">
        <f t="shared" si="21"/>
        <v>17</v>
      </c>
      <c r="R91" s="13">
        <f t="shared" si="21"/>
        <v>16</v>
      </c>
      <c r="S91" s="13">
        <f t="shared" si="21"/>
        <v>7</v>
      </c>
      <c r="T91" s="13">
        <f t="shared" si="21"/>
        <v>6</v>
      </c>
      <c r="U91" s="13">
        <f t="shared" si="21"/>
        <v>14</v>
      </c>
      <c r="V91" s="13">
        <f t="shared" si="21"/>
        <v>13</v>
      </c>
      <c r="W91" s="13">
        <f t="shared" si="21"/>
        <v>56</v>
      </c>
      <c r="X91" s="13">
        <f t="shared" si="21"/>
        <v>12</v>
      </c>
      <c r="Y91" s="13">
        <f t="shared" si="21"/>
        <v>28</v>
      </c>
      <c r="Z91" s="13">
        <f t="shared" si="21"/>
        <v>21</v>
      </c>
      <c r="AA91" s="13">
        <f t="shared" si="21"/>
        <v>17</v>
      </c>
      <c r="AB91" s="13">
        <f t="shared" si="21"/>
        <v>24</v>
      </c>
      <c r="AC91" s="13">
        <f t="shared" si="21"/>
        <v>33</v>
      </c>
      <c r="AD91" s="13">
        <f t="shared" si="21"/>
        <v>23</v>
      </c>
      <c r="AE91" s="13">
        <f t="shared" si="21"/>
        <v>36</v>
      </c>
      <c r="AF91" s="13">
        <f t="shared" si="21"/>
        <v>20</v>
      </c>
      <c r="AG91" s="13">
        <f t="shared" si="21"/>
        <v>92</v>
      </c>
      <c r="AH91" s="13">
        <f t="shared" si="21"/>
        <v>4</v>
      </c>
      <c r="AI91" s="13">
        <f t="shared" si="21"/>
        <v>4</v>
      </c>
      <c r="AJ91" s="13">
        <f t="shared" si="21"/>
        <v>7</v>
      </c>
      <c r="AK91" s="13">
        <f t="shared" si="21"/>
        <v>4</v>
      </c>
      <c r="AL91" s="13">
        <f t="shared" si="21"/>
        <v>3</v>
      </c>
      <c r="AM91" s="13">
        <f t="shared" si="21"/>
        <v>5</v>
      </c>
      <c r="AN91" s="13">
        <f t="shared" si="21"/>
        <v>4</v>
      </c>
      <c r="AO91" s="13">
        <f t="shared" si="21"/>
        <v>7</v>
      </c>
      <c r="AP91" s="13">
        <f t="shared" si="21"/>
        <v>1</v>
      </c>
      <c r="AQ91" s="13">
        <f t="shared" si="21"/>
        <v>6</v>
      </c>
      <c r="AR91" s="13">
        <f t="shared" si="21"/>
        <v>5</v>
      </c>
      <c r="AS91" s="13">
        <f t="shared" si="21"/>
        <v>4</v>
      </c>
      <c r="AT91" s="13">
        <f t="shared" si="21"/>
        <v>7</v>
      </c>
      <c r="AU91" s="13">
        <f t="shared" si="21"/>
        <v>5</v>
      </c>
      <c r="AV91" s="13">
        <f t="shared" si="20"/>
        <v>810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5.0</v>
      </c>
      <c r="G93" s="19">
        <v>1.0</v>
      </c>
      <c r="H93" s="19">
        <v>9.0</v>
      </c>
      <c r="I93" s="19">
        <v>2.0</v>
      </c>
      <c r="J93" s="19">
        <v>1.0</v>
      </c>
      <c r="K93" s="19">
        <v>0.0</v>
      </c>
      <c r="L93" s="19">
        <v>0.0</v>
      </c>
      <c r="M93" s="19">
        <v>2.0</v>
      </c>
      <c r="N93" s="19">
        <v>4.0</v>
      </c>
      <c r="O93" s="19">
        <v>4.0</v>
      </c>
      <c r="P93" s="19">
        <v>2.0</v>
      </c>
      <c r="Q93" s="19">
        <v>0.0</v>
      </c>
      <c r="R93" s="19">
        <v>4.0</v>
      </c>
      <c r="S93" s="19">
        <v>3.0</v>
      </c>
      <c r="T93" s="19">
        <v>4.0</v>
      </c>
      <c r="U93" s="19">
        <v>0.0</v>
      </c>
      <c r="V93" s="19">
        <v>5.0</v>
      </c>
      <c r="W93" s="19">
        <v>2.0</v>
      </c>
      <c r="X93" s="19">
        <v>0.0</v>
      </c>
      <c r="Y93" s="19">
        <v>1.0</v>
      </c>
      <c r="Z93" s="19">
        <v>0.0</v>
      </c>
      <c r="AA93" s="19">
        <v>2.0</v>
      </c>
      <c r="AB93" s="19">
        <v>1.0</v>
      </c>
      <c r="AC93" s="19">
        <v>1.0</v>
      </c>
      <c r="AD93" s="19">
        <v>2.0</v>
      </c>
      <c r="AE93" s="19">
        <v>4.0</v>
      </c>
      <c r="AF93" s="19">
        <v>4.0</v>
      </c>
      <c r="AG93" s="19">
        <v>2.0</v>
      </c>
      <c r="AH93" s="19">
        <v>1.0</v>
      </c>
      <c r="AI93" s="19">
        <v>8.0</v>
      </c>
      <c r="AJ93" s="19">
        <v>7.0</v>
      </c>
      <c r="AK93" s="19">
        <v>3.0</v>
      </c>
      <c r="AL93" s="19">
        <v>2.0</v>
      </c>
      <c r="AM93" s="19">
        <v>2.0</v>
      </c>
      <c r="AN93" s="19">
        <v>4.0</v>
      </c>
      <c r="AO93" s="19">
        <v>6.0</v>
      </c>
      <c r="AP93" s="19">
        <v>11.0</v>
      </c>
      <c r="AQ93" s="19">
        <v>1.0</v>
      </c>
      <c r="AR93" s="19">
        <v>3.0</v>
      </c>
      <c r="AS93" s="19">
        <v>7.0</v>
      </c>
      <c r="AT93" s="19">
        <v>5.0</v>
      </c>
      <c r="AU93" s="19">
        <v>3.0</v>
      </c>
      <c r="AV93" s="13">
        <f t="shared" ref="AV93:AV103" si="22">SUM(E93:AU93)</f>
        <v>129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2.0</v>
      </c>
      <c r="F94" s="19">
        <v>8.0</v>
      </c>
      <c r="G94" s="19">
        <v>3.0</v>
      </c>
      <c r="H94" s="19">
        <v>7.0</v>
      </c>
      <c r="I94" s="19">
        <v>6.0</v>
      </c>
      <c r="J94" s="19">
        <v>2.0</v>
      </c>
      <c r="K94" s="19">
        <v>0.0</v>
      </c>
      <c r="L94" s="19">
        <v>0.0</v>
      </c>
      <c r="M94" s="19">
        <v>2.0</v>
      </c>
      <c r="N94" s="19">
        <v>1.0</v>
      </c>
      <c r="O94" s="19">
        <v>1.0</v>
      </c>
      <c r="P94" s="19">
        <v>1.0</v>
      </c>
      <c r="Q94" s="19">
        <v>0.0</v>
      </c>
      <c r="R94" s="19">
        <v>0.0</v>
      </c>
      <c r="S94" s="19">
        <v>2.0</v>
      </c>
      <c r="T94" s="19">
        <v>1.0</v>
      </c>
      <c r="U94" s="19">
        <v>0.0</v>
      </c>
      <c r="V94" s="19">
        <v>1.0</v>
      </c>
      <c r="W94" s="19">
        <v>1.0</v>
      </c>
      <c r="X94" s="19">
        <v>0.0</v>
      </c>
      <c r="Y94" s="19">
        <v>1.0</v>
      </c>
      <c r="Z94" s="19">
        <v>0.0</v>
      </c>
      <c r="AA94" s="19">
        <v>3.0</v>
      </c>
      <c r="AB94" s="19">
        <v>1.0</v>
      </c>
      <c r="AC94" s="19">
        <v>0.0</v>
      </c>
      <c r="AD94" s="19">
        <v>1.0</v>
      </c>
      <c r="AE94" s="19">
        <v>2.0</v>
      </c>
      <c r="AF94" s="19">
        <v>0.0</v>
      </c>
      <c r="AG94" s="19">
        <v>0.0</v>
      </c>
      <c r="AH94" s="19">
        <v>0.0</v>
      </c>
      <c r="AI94" s="19">
        <v>5.0</v>
      </c>
      <c r="AJ94" s="19">
        <v>1.0</v>
      </c>
      <c r="AK94" s="19">
        <v>1.0</v>
      </c>
      <c r="AL94" s="19">
        <v>2.0</v>
      </c>
      <c r="AM94" s="19">
        <v>1.0</v>
      </c>
      <c r="AN94" s="19">
        <v>0.0</v>
      </c>
      <c r="AO94" s="19">
        <v>4.0</v>
      </c>
      <c r="AP94" s="19">
        <v>2.0</v>
      </c>
      <c r="AQ94" s="19">
        <v>2.0</v>
      </c>
      <c r="AR94" s="19">
        <v>2.0</v>
      </c>
      <c r="AS94" s="19">
        <v>3.0</v>
      </c>
      <c r="AT94" s="19">
        <v>1.0</v>
      </c>
      <c r="AU94" s="19">
        <v>3.0</v>
      </c>
      <c r="AV94" s="13">
        <f t="shared" si="22"/>
        <v>73</v>
      </c>
    </row>
    <row r="95" ht="12.75" customHeight="1">
      <c r="A95" s="18"/>
      <c r="B95" s="55">
        <v>2.0</v>
      </c>
      <c r="C95" s="50" t="s">
        <v>75</v>
      </c>
      <c r="D95" s="57"/>
      <c r="E95" s="19">
        <v>1.0</v>
      </c>
      <c r="F95" s="19">
        <v>1.0</v>
      </c>
      <c r="G95" s="19">
        <v>1.0</v>
      </c>
      <c r="H95" s="19">
        <v>2.0</v>
      </c>
      <c r="I95" s="19">
        <v>1.0</v>
      </c>
      <c r="J95" s="19">
        <v>1.0</v>
      </c>
      <c r="K95" s="19">
        <v>0.0</v>
      </c>
      <c r="L95" s="19">
        <v>1.0</v>
      </c>
      <c r="M95" s="19">
        <v>0.0</v>
      </c>
      <c r="N95" s="19">
        <v>0.0</v>
      </c>
      <c r="O95" s="19">
        <v>1.0</v>
      </c>
      <c r="P95" s="19">
        <v>4.0</v>
      </c>
      <c r="Q95" s="19">
        <v>0.0</v>
      </c>
      <c r="R95" s="19">
        <v>0.0</v>
      </c>
      <c r="S95" s="19">
        <v>50.0</v>
      </c>
      <c r="T95" s="19">
        <v>4.0</v>
      </c>
      <c r="U95" s="19">
        <v>30.0</v>
      </c>
      <c r="V95" s="19">
        <v>39.0</v>
      </c>
      <c r="W95" s="19">
        <v>10.0</v>
      </c>
      <c r="X95" s="19">
        <v>4.0</v>
      </c>
      <c r="Y95" s="19">
        <v>1.0</v>
      </c>
      <c r="Z95" s="19">
        <v>0.0</v>
      </c>
      <c r="AA95" s="19">
        <v>0.0</v>
      </c>
      <c r="AB95" s="19">
        <v>2.0</v>
      </c>
      <c r="AC95" s="19">
        <v>0.0</v>
      </c>
      <c r="AD95" s="19">
        <v>2.0</v>
      </c>
      <c r="AE95" s="19">
        <v>1.0</v>
      </c>
      <c r="AF95" s="19">
        <v>0.0</v>
      </c>
      <c r="AG95" s="19">
        <v>0.0</v>
      </c>
      <c r="AH95" s="19">
        <v>0.0</v>
      </c>
      <c r="AI95" s="19">
        <v>4.0</v>
      </c>
      <c r="AJ95" s="19">
        <v>22.0</v>
      </c>
      <c r="AK95" s="19">
        <v>3.0</v>
      </c>
      <c r="AL95" s="19">
        <v>15.0</v>
      </c>
      <c r="AM95" s="19">
        <v>33.0</v>
      </c>
      <c r="AN95" s="19">
        <v>13.0</v>
      </c>
      <c r="AO95" s="19">
        <v>2.0</v>
      </c>
      <c r="AP95" s="19">
        <v>22.0</v>
      </c>
      <c r="AQ95" s="19">
        <v>9.0</v>
      </c>
      <c r="AR95" s="19">
        <v>16.0</v>
      </c>
      <c r="AS95" s="19">
        <v>4.0</v>
      </c>
      <c r="AT95" s="19">
        <v>1.0</v>
      </c>
      <c r="AU95" s="19">
        <v>3.0</v>
      </c>
      <c r="AV95" s="13">
        <f t="shared" si="22"/>
        <v>303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2.0</v>
      </c>
      <c r="G96" s="19">
        <v>0.0</v>
      </c>
      <c r="H96" s="19">
        <v>0.0</v>
      </c>
      <c r="I96" s="19">
        <v>1.0</v>
      </c>
      <c r="J96" s="19">
        <v>0.0</v>
      </c>
      <c r="K96" s="19">
        <v>0.0</v>
      </c>
      <c r="L96" s="19">
        <v>0.0</v>
      </c>
      <c r="M96" s="19">
        <v>0.0</v>
      </c>
      <c r="N96" s="19">
        <v>2.0</v>
      </c>
      <c r="O96" s="19">
        <v>0.0</v>
      </c>
      <c r="P96" s="19">
        <v>0.0</v>
      </c>
      <c r="Q96" s="19">
        <v>1.0</v>
      </c>
      <c r="R96" s="19">
        <v>0.0</v>
      </c>
      <c r="S96" s="19">
        <v>0.0</v>
      </c>
      <c r="T96" s="19">
        <v>0.0</v>
      </c>
      <c r="U96" s="19">
        <v>1.0</v>
      </c>
      <c r="V96" s="19">
        <v>0.0</v>
      </c>
      <c r="W96" s="19">
        <v>1.0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2.0</v>
      </c>
      <c r="AE96" s="19">
        <v>0.0</v>
      </c>
      <c r="AF96" s="19">
        <v>1.0</v>
      </c>
      <c r="AG96" s="19">
        <v>0.0</v>
      </c>
      <c r="AH96" s="19">
        <v>0.0</v>
      </c>
      <c r="AI96" s="19">
        <v>2.0</v>
      </c>
      <c r="AJ96" s="19">
        <v>0.0</v>
      </c>
      <c r="AK96" s="19">
        <v>2.0</v>
      </c>
      <c r="AL96" s="19">
        <v>0.0</v>
      </c>
      <c r="AM96" s="19">
        <v>0.0</v>
      </c>
      <c r="AN96" s="19">
        <v>0.0</v>
      </c>
      <c r="AO96" s="19">
        <v>0.0</v>
      </c>
      <c r="AP96" s="19">
        <v>0.0</v>
      </c>
      <c r="AQ96" s="19">
        <v>0.0</v>
      </c>
      <c r="AR96" s="19">
        <v>0.0</v>
      </c>
      <c r="AS96" s="19">
        <v>1.0</v>
      </c>
      <c r="AT96" s="19">
        <v>1.0</v>
      </c>
      <c r="AU96" s="19">
        <v>0.0</v>
      </c>
      <c r="AV96" s="13">
        <f t="shared" si="22"/>
        <v>17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2.0</v>
      </c>
      <c r="G97" s="19">
        <v>2.0</v>
      </c>
      <c r="H97" s="19">
        <v>0.0</v>
      </c>
      <c r="I97" s="19">
        <v>1.0</v>
      </c>
      <c r="J97" s="19">
        <v>0.0</v>
      </c>
      <c r="K97" s="19">
        <v>0.0</v>
      </c>
      <c r="L97" s="19">
        <v>0.0</v>
      </c>
      <c r="M97" s="19">
        <v>0.0</v>
      </c>
      <c r="N97" s="19">
        <v>1.0</v>
      </c>
      <c r="O97" s="19">
        <v>1.0</v>
      </c>
      <c r="P97" s="19">
        <v>1.0</v>
      </c>
      <c r="Q97" s="19">
        <v>0.0</v>
      </c>
      <c r="R97" s="19">
        <v>2.0</v>
      </c>
      <c r="S97" s="19">
        <v>1.0</v>
      </c>
      <c r="T97" s="19">
        <v>2.0</v>
      </c>
      <c r="U97" s="19">
        <v>4.0</v>
      </c>
      <c r="V97" s="19">
        <v>4.0</v>
      </c>
      <c r="W97" s="19">
        <v>3.0</v>
      </c>
      <c r="X97" s="19">
        <v>0.0</v>
      </c>
      <c r="Y97" s="19">
        <v>3.0</v>
      </c>
      <c r="Z97" s="19">
        <v>1.0</v>
      </c>
      <c r="AA97" s="19">
        <v>2.0</v>
      </c>
      <c r="AB97" s="19">
        <v>2.0</v>
      </c>
      <c r="AC97" s="19">
        <v>1.0</v>
      </c>
      <c r="AD97" s="19">
        <v>8.0</v>
      </c>
      <c r="AE97" s="19">
        <v>0.0</v>
      </c>
      <c r="AF97" s="19">
        <v>0.0</v>
      </c>
      <c r="AG97" s="19">
        <v>0.0</v>
      </c>
      <c r="AH97" s="19">
        <v>0.0</v>
      </c>
      <c r="AI97" s="19">
        <v>2.0</v>
      </c>
      <c r="AJ97" s="19">
        <v>8.0</v>
      </c>
      <c r="AK97" s="19">
        <v>5.0</v>
      </c>
      <c r="AL97" s="19">
        <v>3.0</v>
      </c>
      <c r="AM97" s="19">
        <v>4.0</v>
      </c>
      <c r="AN97" s="19">
        <v>3.0</v>
      </c>
      <c r="AO97" s="19">
        <v>2.0</v>
      </c>
      <c r="AP97" s="19">
        <v>2.0</v>
      </c>
      <c r="AQ97" s="19">
        <v>1.0</v>
      </c>
      <c r="AR97" s="19">
        <v>2.0</v>
      </c>
      <c r="AS97" s="19">
        <v>5.0</v>
      </c>
      <c r="AT97" s="19">
        <v>0.0</v>
      </c>
      <c r="AU97" s="19">
        <v>1.0</v>
      </c>
      <c r="AV97" s="13">
        <f t="shared" si="22"/>
        <v>79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1.0</v>
      </c>
      <c r="I98" s="19">
        <v>0.0</v>
      </c>
      <c r="J98" s="19">
        <v>1.0</v>
      </c>
      <c r="K98" s="19">
        <v>0.0</v>
      </c>
      <c r="L98" s="19">
        <v>0.0</v>
      </c>
      <c r="M98" s="19">
        <v>0.0</v>
      </c>
      <c r="N98" s="19">
        <v>0.0</v>
      </c>
      <c r="O98" s="19">
        <v>1.0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1.0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1.0</v>
      </c>
      <c r="AF98" s="19">
        <v>3.0</v>
      </c>
      <c r="AG98" s="19">
        <v>8.0</v>
      </c>
      <c r="AH98" s="19">
        <v>0.0</v>
      </c>
      <c r="AI98" s="19">
        <v>1.0</v>
      </c>
      <c r="AJ98" s="19">
        <v>26.0</v>
      </c>
      <c r="AK98" s="19">
        <v>2.0</v>
      </c>
      <c r="AL98" s="19">
        <v>2.0</v>
      </c>
      <c r="AM98" s="19">
        <v>2.0</v>
      </c>
      <c r="AN98" s="19">
        <v>1.0</v>
      </c>
      <c r="AO98" s="19">
        <v>2.0</v>
      </c>
      <c r="AP98" s="19">
        <v>8.0</v>
      </c>
      <c r="AQ98" s="19">
        <v>6.0</v>
      </c>
      <c r="AR98" s="19">
        <v>6.0</v>
      </c>
      <c r="AS98" s="19">
        <v>7.0</v>
      </c>
      <c r="AT98" s="19">
        <v>6.0</v>
      </c>
      <c r="AU98" s="19">
        <v>8.0</v>
      </c>
      <c r="AV98" s="13">
        <f t="shared" si="22"/>
        <v>93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1.0</v>
      </c>
      <c r="S99" s="19">
        <v>0.0</v>
      </c>
      <c r="T99" s="19">
        <v>0.0</v>
      </c>
      <c r="U99" s="19">
        <v>1.0</v>
      </c>
      <c r="V99" s="19">
        <v>0.0</v>
      </c>
      <c r="W99" s="19">
        <v>1.0</v>
      </c>
      <c r="X99" s="19">
        <v>0.0</v>
      </c>
      <c r="Y99" s="19">
        <v>0.0</v>
      </c>
      <c r="Z99" s="19">
        <v>0.0</v>
      </c>
      <c r="AA99" s="19">
        <v>1.0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9">
        <v>0.0</v>
      </c>
      <c r="AI99" s="19">
        <v>1.0</v>
      </c>
      <c r="AJ99" s="19">
        <v>0.0</v>
      </c>
      <c r="AK99" s="19">
        <v>0.0</v>
      </c>
      <c r="AL99" s="19">
        <v>0.0</v>
      </c>
      <c r="AM99" s="19">
        <v>0.0</v>
      </c>
      <c r="AN99" s="19">
        <v>1.0</v>
      </c>
      <c r="AO99" s="19">
        <v>0.0</v>
      </c>
      <c r="AP99" s="19">
        <v>0.0</v>
      </c>
      <c r="AQ99" s="19">
        <v>0.0</v>
      </c>
      <c r="AR99" s="19">
        <v>0.0</v>
      </c>
      <c r="AS99" s="19">
        <v>0.0</v>
      </c>
      <c r="AT99" s="19">
        <v>2.0</v>
      </c>
      <c r="AU99" s="19">
        <v>1.0</v>
      </c>
      <c r="AV99" s="13">
        <f t="shared" si="22"/>
        <v>9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1.0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1.0</v>
      </c>
      <c r="AF100" s="19">
        <v>0.0</v>
      </c>
      <c r="AG100" s="19">
        <v>0.0</v>
      </c>
      <c r="AH100" s="19">
        <v>0.0</v>
      </c>
      <c r="AI100" s="19">
        <v>0.0</v>
      </c>
      <c r="AJ100" s="19">
        <v>0.0</v>
      </c>
      <c r="AK100" s="19">
        <v>0.0</v>
      </c>
      <c r="AL100" s="19">
        <v>0.0</v>
      </c>
      <c r="AM100" s="19">
        <v>0.0</v>
      </c>
      <c r="AN100" s="19">
        <v>1.0</v>
      </c>
      <c r="AO100" s="19">
        <v>0.0</v>
      </c>
      <c r="AP100" s="19">
        <v>0.0</v>
      </c>
      <c r="AQ100" s="19">
        <v>0.0</v>
      </c>
      <c r="AR100" s="19">
        <v>0.0</v>
      </c>
      <c r="AS100" s="19">
        <v>0.0</v>
      </c>
      <c r="AT100" s="19">
        <v>0.0</v>
      </c>
      <c r="AU100" s="19">
        <v>0.0</v>
      </c>
      <c r="AV100" s="13">
        <f t="shared" si="22"/>
        <v>3</v>
      </c>
    </row>
    <row r="101" ht="12.75" customHeight="1">
      <c r="A101" s="18"/>
      <c r="B101" s="71"/>
      <c r="C101" s="72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3">
        <f t="shared" si="22"/>
        <v>0</v>
      </c>
    </row>
    <row r="102" ht="12.75" customHeight="1">
      <c r="A102" s="18"/>
      <c r="B102" s="71"/>
      <c r="C102" s="72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AU103" si="23">SUM(E93:E100)</f>
        <v>4</v>
      </c>
      <c r="F103" s="13">
        <f t="shared" si="23"/>
        <v>18</v>
      </c>
      <c r="G103" s="13">
        <f t="shared" si="23"/>
        <v>8</v>
      </c>
      <c r="H103" s="13">
        <f t="shared" si="23"/>
        <v>19</v>
      </c>
      <c r="I103" s="13">
        <f t="shared" si="23"/>
        <v>11</v>
      </c>
      <c r="J103" s="13">
        <f t="shared" si="23"/>
        <v>5</v>
      </c>
      <c r="K103" s="13">
        <f t="shared" si="23"/>
        <v>0</v>
      </c>
      <c r="L103" s="13">
        <f t="shared" si="23"/>
        <v>1</v>
      </c>
      <c r="M103" s="13">
        <f t="shared" si="23"/>
        <v>4</v>
      </c>
      <c r="N103" s="13">
        <f t="shared" si="23"/>
        <v>8</v>
      </c>
      <c r="O103" s="13">
        <f t="shared" si="23"/>
        <v>8</v>
      </c>
      <c r="P103" s="13">
        <f t="shared" si="23"/>
        <v>8</v>
      </c>
      <c r="Q103" s="13">
        <f t="shared" si="23"/>
        <v>1</v>
      </c>
      <c r="R103" s="13">
        <f t="shared" si="23"/>
        <v>7</v>
      </c>
      <c r="S103" s="13">
        <f t="shared" si="23"/>
        <v>56</v>
      </c>
      <c r="T103" s="13">
        <f t="shared" si="23"/>
        <v>11</v>
      </c>
      <c r="U103" s="13">
        <f t="shared" si="23"/>
        <v>37</v>
      </c>
      <c r="V103" s="13">
        <f t="shared" si="23"/>
        <v>49</v>
      </c>
      <c r="W103" s="13">
        <f t="shared" si="23"/>
        <v>18</v>
      </c>
      <c r="X103" s="13">
        <f t="shared" si="23"/>
        <v>4</v>
      </c>
      <c r="Y103" s="13">
        <f t="shared" si="23"/>
        <v>6</v>
      </c>
      <c r="Z103" s="13">
        <f t="shared" si="23"/>
        <v>1</v>
      </c>
      <c r="AA103" s="13">
        <f t="shared" si="23"/>
        <v>8</v>
      </c>
      <c r="AB103" s="13">
        <f t="shared" si="23"/>
        <v>6</v>
      </c>
      <c r="AC103" s="13">
        <f t="shared" si="23"/>
        <v>2</v>
      </c>
      <c r="AD103" s="13">
        <f t="shared" si="23"/>
        <v>15</v>
      </c>
      <c r="AE103" s="13">
        <f t="shared" si="23"/>
        <v>9</v>
      </c>
      <c r="AF103" s="13">
        <f t="shared" si="23"/>
        <v>8</v>
      </c>
      <c r="AG103" s="13">
        <f t="shared" si="23"/>
        <v>10</v>
      </c>
      <c r="AH103" s="13">
        <f t="shared" si="23"/>
        <v>1</v>
      </c>
      <c r="AI103" s="13">
        <f t="shared" si="23"/>
        <v>23</v>
      </c>
      <c r="AJ103" s="13">
        <f t="shared" si="23"/>
        <v>64</v>
      </c>
      <c r="AK103" s="13">
        <f t="shared" si="23"/>
        <v>16</v>
      </c>
      <c r="AL103" s="13">
        <f t="shared" si="23"/>
        <v>24</v>
      </c>
      <c r="AM103" s="13">
        <f t="shared" si="23"/>
        <v>42</v>
      </c>
      <c r="AN103" s="13">
        <f t="shared" si="23"/>
        <v>23</v>
      </c>
      <c r="AO103" s="13">
        <f t="shared" si="23"/>
        <v>16</v>
      </c>
      <c r="AP103" s="13">
        <f t="shared" si="23"/>
        <v>45</v>
      </c>
      <c r="AQ103" s="13">
        <f t="shared" si="23"/>
        <v>19</v>
      </c>
      <c r="AR103" s="13">
        <f t="shared" si="23"/>
        <v>29</v>
      </c>
      <c r="AS103" s="13">
        <f t="shared" si="23"/>
        <v>27</v>
      </c>
      <c r="AT103" s="13">
        <f t="shared" si="23"/>
        <v>16</v>
      </c>
      <c r="AU103" s="13">
        <f t="shared" si="23"/>
        <v>19</v>
      </c>
      <c r="AV103" s="13">
        <f t="shared" si="22"/>
        <v>706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1.0</v>
      </c>
      <c r="M105" s="19">
        <v>0.0</v>
      </c>
      <c r="N105" s="19">
        <v>2.0</v>
      </c>
      <c r="O105" s="19">
        <v>1.0</v>
      </c>
      <c r="P105" s="19">
        <v>0.0</v>
      </c>
      <c r="Q105" s="19">
        <v>0.0</v>
      </c>
      <c r="R105" s="19">
        <v>1.0</v>
      </c>
      <c r="S105" s="19">
        <v>0.0</v>
      </c>
      <c r="T105" s="19">
        <v>1.0</v>
      </c>
      <c r="U105" s="19">
        <v>0.0</v>
      </c>
      <c r="V105" s="19">
        <v>2.0</v>
      </c>
      <c r="W105" s="19">
        <v>2.0</v>
      </c>
      <c r="X105" s="19">
        <v>0.0</v>
      </c>
      <c r="Y105" s="19">
        <v>0.0</v>
      </c>
      <c r="Z105" s="19">
        <v>3.0</v>
      </c>
      <c r="AA105" s="19">
        <v>0.0</v>
      </c>
      <c r="AB105" s="19">
        <v>1.0</v>
      </c>
      <c r="AC105" s="19">
        <v>1.0</v>
      </c>
      <c r="AD105" s="19">
        <v>1.0</v>
      </c>
      <c r="AE105" s="19">
        <v>0.0</v>
      </c>
      <c r="AF105" s="19">
        <v>0.0</v>
      </c>
      <c r="AG105" s="19">
        <v>1.0</v>
      </c>
      <c r="AH105" s="19">
        <v>0.0</v>
      </c>
      <c r="AI105" s="19">
        <v>1.0</v>
      </c>
      <c r="AJ105" s="19">
        <v>0.0</v>
      </c>
      <c r="AK105" s="19">
        <v>0.0</v>
      </c>
      <c r="AL105" s="19">
        <v>0.0</v>
      </c>
      <c r="AM105" s="19">
        <v>0.0</v>
      </c>
      <c r="AN105" s="19">
        <v>1.0</v>
      </c>
      <c r="AO105" s="19">
        <v>0.0</v>
      </c>
      <c r="AP105" s="19">
        <v>0.0</v>
      </c>
      <c r="AQ105" s="19">
        <v>0.0</v>
      </c>
      <c r="AR105" s="19">
        <v>0.0</v>
      </c>
      <c r="AS105" s="19">
        <v>0.0</v>
      </c>
      <c r="AT105" s="19">
        <v>0.0</v>
      </c>
      <c r="AU105" s="19">
        <v>0.0</v>
      </c>
      <c r="AV105" s="13">
        <f t="shared" ref="AV105:AV115" si="24">SUM(E105:AU105)</f>
        <v>19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1.0</v>
      </c>
      <c r="J106" s="19">
        <v>0.0</v>
      </c>
      <c r="K106" s="19">
        <v>0.0</v>
      </c>
      <c r="L106" s="19">
        <v>1.0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1.0</v>
      </c>
      <c r="T106" s="19">
        <v>1.0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1.0</v>
      </c>
      <c r="AE106" s="19">
        <v>1.0</v>
      </c>
      <c r="AF106" s="19">
        <v>0.0</v>
      </c>
      <c r="AG106" s="19">
        <v>0.0</v>
      </c>
      <c r="AH106" s="19">
        <v>0.0</v>
      </c>
      <c r="AI106" s="19">
        <v>1.0</v>
      </c>
      <c r="AJ106" s="19">
        <v>1.0</v>
      </c>
      <c r="AK106" s="19">
        <v>0.0</v>
      </c>
      <c r="AL106" s="19">
        <v>1.0</v>
      </c>
      <c r="AM106" s="19">
        <v>0.0</v>
      </c>
      <c r="AN106" s="19">
        <v>0.0</v>
      </c>
      <c r="AO106" s="19">
        <v>0.0</v>
      </c>
      <c r="AP106" s="19">
        <v>1.0</v>
      </c>
      <c r="AQ106" s="19">
        <v>2.0</v>
      </c>
      <c r="AR106" s="19">
        <v>0.0</v>
      </c>
      <c r="AS106" s="19">
        <v>0.0</v>
      </c>
      <c r="AT106" s="19">
        <v>0.0</v>
      </c>
      <c r="AU106" s="19">
        <v>1.0</v>
      </c>
      <c r="AV106" s="13">
        <f t="shared" si="24"/>
        <v>13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1.0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1.0</v>
      </c>
      <c r="X107" s="19">
        <v>0.0</v>
      </c>
      <c r="Y107" s="19">
        <v>0.0</v>
      </c>
      <c r="Z107" s="19">
        <v>0.0</v>
      </c>
      <c r="AA107" s="19">
        <v>1.0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1.0</v>
      </c>
      <c r="AG107" s="19">
        <v>0.0</v>
      </c>
      <c r="AH107" s="19">
        <v>0.0</v>
      </c>
      <c r="AI107" s="19">
        <v>0.0</v>
      </c>
      <c r="AJ107" s="19">
        <v>0.0</v>
      </c>
      <c r="AK107" s="19">
        <v>0.0</v>
      </c>
      <c r="AL107" s="19">
        <v>0.0</v>
      </c>
      <c r="AM107" s="19">
        <v>0.0</v>
      </c>
      <c r="AN107" s="19">
        <v>0.0</v>
      </c>
      <c r="AO107" s="19">
        <v>0.0</v>
      </c>
      <c r="AP107" s="19">
        <v>0.0</v>
      </c>
      <c r="AQ107" s="19">
        <v>0.0</v>
      </c>
      <c r="AR107" s="19">
        <v>0.0</v>
      </c>
      <c r="AS107" s="19">
        <v>0.0</v>
      </c>
      <c r="AT107" s="19">
        <v>0.0</v>
      </c>
      <c r="AU107" s="19">
        <v>0.0</v>
      </c>
      <c r="AV107" s="13">
        <f t="shared" si="24"/>
        <v>4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1.0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1.0</v>
      </c>
      <c r="W108" s="19">
        <v>1.0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1.0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1.0</v>
      </c>
      <c r="AL108" s="19">
        <v>0.0</v>
      </c>
      <c r="AM108" s="19">
        <v>0.0</v>
      </c>
      <c r="AN108" s="19">
        <v>0.0</v>
      </c>
      <c r="AO108" s="19">
        <v>0.0</v>
      </c>
      <c r="AP108" s="19">
        <v>0.0</v>
      </c>
      <c r="AQ108" s="19">
        <v>0.0</v>
      </c>
      <c r="AR108" s="19">
        <v>0.0</v>
      </c>
      <c r="AS108" s="19">
        <v>0.0</v>
      </c>
      <c r="AT108" s="19">
        <v>1.0</v>
      </c>
      <c r="AU108" s="19">
        <v>0.0</v>
      </c>
      <c r="AV108" s="13">
        <f t="shared" si="24"/>
        <v>6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1.0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1.0</v>
      </c>
      <c r="AP109" s="19">
        <v>0.0</v>
      </c>
      <c r="AQ109" s="19">
        <v>0.0</v>
      </c>
      <c r="AR109" s="19">
        <v>0.0</v>
      </c>
      <c r="AS109" s="19">
        <v>0.0</v>
      </c>
      <c r="AT109" s="19">
        <v>0.0</v>
      </c>
      <c r="AU109" s="19">
        <v>0.0</v>
      </c>
      <c r="AV109" s="13">
        <f t="shared" si="24"/>
        <v>2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1.0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1.0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0.0</v>
      </c>
      <c r="AS110" s="19">
        <v>0.0</v>
      </c>
      <c r="AT110" s="19">
        <v>0.0</v>
      </c>
      <c r="AU110" s="19">
        <v>0.0</v>
      </c>
      <c r="AV110" s="13">
        <f t="shared" si="24"/>
        <v>2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1.0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0.0</v>
      </c>
      <c r="AO111" s="19">
        <v>0.0</v>
      </c>
      <c r="AP111" s="19">
        <v>0.0</v>
      </c>
      <c r="AQ111" s="19">
        <v>0.0</v>
      </c>
      <c r="AR111" s="19">
        <v>0.0</v>
      </c>
      <c r="AS111" s="19">
        <v>0.0</v>
      </c>
      <c r="AT111" s="19">
        <v>0.0</v>
      </c>
      <c r="AU111" s="19">
        <v>0.0</v>
      </c>
      <c r="AV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1.0</v>
      </c>
      <c r="Z112" s="19">
        <v>1.0</v>
      </c>
      <c r="AA112" s="19">
        <v>0.0</v>
      </c>
      <c r="AB112" s="19">
        <v>0.0</v>
      </c>
      <c r="AC112" s="19">
        <v>0.0</v>
      </c>
      <c r="AD112" s="19">
        <v>1.0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9">
        <v>0.0</v>
      </c>
      <c r="AN112" s="19">
        <v>0.0</v>
      </c>
      <c r="AO112" s="19">
        <v>0.0</v>
      </c>
      <c r="AP112" s="19">
        <v>0.0</v>
      </c>
      <c r="AQ112" s="19">
        <v>0.0</v>
      </c>
      <c r="AR112" s="19">
        <v>0.0</v>
      </c>
      <c r="AS112" s="19">
        <v>0.0</v>
      </c>
      <c r="AT112" s="19">
        <v>0.0</v>
      </c>
      <c r="AU112" s="19">
        <v>0.0</v>
      </c>
      <c r="AV112" s="13">
        <f t="shared" si="24"/>
        <v>3</v>
      </c>
    </row>
    <row r="113" ht="12.75" customHeight="1">
      <c r="A113" s="18"/>
      <c r="B113" s="71"/>
      <c r="C113" s="72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3">
        <f t="shared" si="24"/>
        <v>0</v>
      </c>
    </row>
    <row r="114" ht="12.75" customHeight="1">
      <c r="A114" s="18"/>
      <c r="B114" s="71"/>
      <c r="C114" s="72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U115" si="25">SUM(E105:E112)</f>
        <v>0</v>
      </c>
      <c r="F115" s="13">
        <f t="shared" si="25"/>
        <v>1</v>
      </c>
      <c r="G115" s="13">
        <f t="shared" si="25"/>
        <v>0</v>
      </c>
      <c r="H115" s="13">
        <f t="shared" si="25"/>
        <v>1</v>
      </c>
      <c r="I115" s="13">
        <f t="shared" si="25"/>
        <v>1</v>
      </c>
      <c r="J115" s="13">
        <f t="shared" si="25"/>
        <v>0</v>
      </c>
      <c r="K115" s="13">
        <f t="shared" si="25"/>
        <v>0</v>
      </c>
      <c r="L115" s="13">
        <f t="shared" si="25"/>
        <v>2</v>
      </c>
      <c r="M115" s="13">
        <f t="shared" si="25"/>
        <v>0</v>
      </c>
      <c r="N115" s="13">
        <f t="shared" si="25"/>
        <v>3</v>
      </c>
      <c r="O115" s="13">
        <f t="shared" si="25"/>
        <v>1</v>
      </c>
      <c r="P115" s="13">
        <f t="shared" si="25"/>
        <v>0</v>
      </c>
      <c r="Q115" s="13">
        <f t="shared" si="25"/>
        <v>0</v>
      </c>
      <c r="R115" s="13">
        <f t="shared" si="25"/>
        <v>2</v>
      </c>
      <c r="S115" s="13">
        <f t="shared" si="25"/>
        <v>1</v>
      </c>
      <c r="T115" s="13">
        <f t="shared" si="25"/>
        <v>2</v>
      </c>
      <c r="U115" s="13">
        <f t="shared" si="25"/>
        <v>0</v>
      </c>
      <c r="V115" s="13">
        <f t="shared" si="25"/>
        <v>4</v>
      </c>
      <c r="W115" s="13">
        <f t="shared" si="25"/>
        <v>4</v>
      </c>
      <c r="X115" s="13">
        <f t="shared" si="25"/>
        <v>0</v>
      </c>
      <c r="Y115" s="13">
        <f t="shared" si="25"/>
        <v>1</v>
      </c>
      <c r="Z115" s="13">
        <f t="shared" si="25"/>
        <v>4</v>
      </c>
      <c r="AA115" s="13">
        <f t="shared" si="25"/>
        <v>1</v>
      </c>
      <c r="AB115" s="13">
        <f t="shared" si="25"/>
        <v>1</v>
      </c>
      <c r="AC115" s="13">
        <f t="shared" si="25"/>
        <v>1</v>
      </c>
      <c r="AD115" s="13">
        <f t="shared" si="25"/>
        <v>3</v>
      </c>
      <c r="AE115" s="13">
        <f t="shared" si="25"/>
        <v>2</v>
      </c>
      <c r="AF115" s="13">
        <f t="shared" si="25"/>
        <v>2</v>
      </c>
      <c r="AG115" s="13">
        <f t="shared" si="25"/>
        <v>1</v>
      </c>
      <c r="AH115" s="13">
        <f t="shared" si="25"/>
        <v>0</v>
      </c>
      <c r="AI115" s="13">
        <f t="shared" si="25"/>
        <v>2</v>
      </c>
      <c r="AJ115" s="13">
        <f t="shared" si="25"/>
        <v>1</v>
      </c>
      <c r="AK115" s="13">
        <f t="shared" si="25"/>
        <v>1</v>
      </c>
      <c r="AL115" s="13">
        <f t="shared" si="25"/>
        <v>1</v>
      </c>
      <c r="AM115" s="13">
        <f t="shared" si="25"/>
        <v>0</v>
      </c>
      <c r="AN115" s="13">
        <f t="shared" si="25"/>
        <v>1</v>
      </c>
      <c r="AO115" s="13">
        <f t="shared" si="25"/>
        <v>1</v>
      </c>
      <c r="AP115" s="13">
        <f t="shared" si="25"/>
        <v>1</v>
      </c>
      <c r="AQ115" s="13">
        <f t="shared" si="25"/>
        <v>2</v>
      </c>
      <c r="AR115" s="13">
        <f t="shared" si="25"/>
        <v>0</v>
      </c>
      <c r="AS115" s="13">
        <f t="shared" si="25"/>
        <v>0</v>
      </c>
      <c r="AT115" s="13">
        <f t="shared" si="25"/>
        <v>1</v>
      </c>
      <c r="AU115" s="13">
        <f t="shared" si="25"/>
        <v>1</v>
      </c>
      <c r="AV115" s="13">
        <f t="shared" si="24"/>
        <v>50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2.0</v>
      </c>
      <c r="F117" s="19">
        <v>0.0</v>
      </c>
      <c r="G117" s="19">
        <v>1.0</v>
      </c>
      <c r="H117" s="19">
        <v>1.0</v>
      </c>
      <c r="I117" s="19">
        <v>4.0</v>
      </c>
      <c r="J117" s="19">
        <v>0.0</v>
      </c>
      <c r="K117" s="19">
        <v>2.0</v>
      </c>
      <c r="L117" s="19">
        <v>3.0</v>
      </c>
      <c r="M117" s="19">
        <v>0.0</v>
      </c>
      <c r="N117" s="19">
        <v>3.0</v>
      </c>
      <c r="O117" s="19">
        <v>1.0</v>
      </c>
      <c r="P117" s="19">
        <v>0.0</v>
      </c>
      <c r="Q117" s="19">
        <v>0.0</v>
      </c>
      <c r="R117" s="19">
        <v>1.0</v>
      </c>
      <c r="S117" s="19">
        <v>0.0</v>
      </c>
      <c r="T117" s="19">
        <v>0.0</v>
      </c>
      <c r="U117" s="19">
        <v>3.0</v>
      </c>
      <c r="V117" s="19">
        <v>1.0</v>
      </c>
      <c r="W117" s="19">
        <v>4.0</v>
      </c>
      <c r="X117" s="19">
        <v>2.0</v>
      </c>
      <c r="Y117" s="19">
        <v>0.0</v>
      </c>
      <c r="Z117" s="19">
        <v>1.0</v>
      </c>
      <c r="AA117" s="19">
        <v>0.0</v>
      </c>
      <c r="AB117" s="19">
        <v>2.0</v>
      </c>
      <c r="AC117" s="19">
        <v>3.0</v>
      </c>
      <c r="AD117" s="19">
        <v>1.0</v>
      </c>
      <c r="AE117" s="19">
        <v>3.0</v>
      </c>
      <c r="AF117" s="19">
        <v>0.0</v>
      </c>
      <c r="AG117" s="19">
        <v>2.0</v>
      </c>
      <c r="AH117" s="19">
        <v>1.0</v>
      </c>
      <c r="AI117" s="19">
        <v>4.0</v>
      </c>
      <c r="AJ117" s="19">
        <v>0.0</v>
      </c>
      <c r="AK117" s="19">
        <v>2.0</v>
      </c>
      <c r="AL117" s="19">
        <v>0.0</v>
      </c>
      <c r="AM117" s="19">
        <v>1.0</v>
      </c>
      <c r="AN117" s="19">
        <v>4.0</v>
      </c>
      <c r="AO117" s="19">
        <v>1.0</v>
      </c>
      <c r="AP117" s="19">
        <v>0.0</v>
      </c>
      <c r="AQ117" s="19">
        <v>2.0</v>
      </c>
      <c r="AR117" s="19">
        <v>2.0</v>
      </c>
      <c r="AS117" s="19">
        <v>0.0</v>
      </c>
      <c r="AT117" s="19">
        <v>0.0</v>
      </c>
      <c r="AU117" s="19">
        <v>1.0</v>
      </c>
      <c r="AV117" s="13">
        <f t="shared" ref="AV117:AV127" si="26">SUM(E117:AU117)</f>
        <v>58</v>
      </c>
      <c r="AW117" s="5"/>
      <c r="AX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1.0</v>
      </c>
      <c r="F118" s="19">
        <v>1.0</v>
      </c>
      <c r="G118" s="19">
        <v>1.0</v>
      </c>
      <c r="H118" s="19">
        <v>0.0</v>
      </c>
      <c r="I118" s="19">
        <v>0.0</v>
      </c>
      <c r="J118" s="19">
        <v>0.0</v>
      </c>
      <c r="K118" s="19">
        <v>0.0</v>
      </c>
      <c r="L118" s="19">
        <v>1.0</v>
      </c>
      <c r="M118" s="19">
        <v>0.0</v>
      </c>
      <c r="N118" s="19">
        <v>0.0</v>
      </c>
      <c r="O118" s="19">
        <v>1.0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1.0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2.0</v>
      </c>
      <c r="AF118" s="19">
        <v>0.0</v>
      </c>
      <c r="AG118" s="19">
        <v>0.0</v>
      </c>
      <c r="AH118" s="19">
        <v>0.0</v>
      </c>
      <c r="AI118" s="19">
        <v>0.0</v>
      </c>
      <c r="AJ118" s="19">
        <v>0.0</v>
      </c>
      <c r="AK118" s="19">
        <v>0.0</v>
      </c>
      <c r="AL118" s="19">
        <v>0.0</v>
      </c>
      <c r="AM118" s="19">
        <v>0.0</v>
      </c>
      <c r="AN118" s="19">
        <v>0.0</v>
      </c>
      <c r="AO118" s="19">
        <v>0.0</v>
      </c>
      <c r="AP118" s="19">
        <v>3.0</v>
      </c>
      <c r="AQ118" s="19">
        <v>1.0</v>
      </c>
      <c r="AR118" s="19">
        <v>0.0</v>
      </c>
      <c r="AS118" s="19">
        <v>0.0</v>
      </c>
      <c r="AT118" s="19">
        <v>0.0</v>
      </c>
      <c r="AU118" s="19">
        <v>1.0</v>
      </c>
      <c r="AV118" s="13">
        <f t="shared" si="26"/>
        <v>13</v>
      </c>
      <c r="AW118" s="5"/>
      <c r="AX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1.0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1.0</v>
      </c>
      <c r="P119" s="19">
        <v>0.0</v>
      </c>
      <c r="Q119" s="19">
        <v>0.0</v>
      </c>
      <c r="R119" s="19">
        <v>0.0</v>
      </c>
      <c r="S119" s="19">
        <v>1.0</v>
      </c>
      <c r="T119" s="19">
        <v>0.0</v>
      </c>
      <c r="U119" s="19">
        <v>1.0</v>
      </c>
      <c r="V119" s="19">
        <v>1.0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1.0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0.0</v>
      </c>
      <c r="AL119" s="19">
        <v>0.0</v>
      </c>
      <c r="AM119" s="19">
        <v>0.0</v>
      </c>
      <c r="AN119" s="19">
        <v>1.0</v>
      </c>
      <c r="AO119" s="19">
        <v>0.0</v>
      </c>
      <c r="AP119" s="19">
        <v>0.0</v>
      </c>
      <c r="AQ119" s="19">
        <v>0.0</v>
      </c>
      <c r="AR119" s="19">
        <v>0.0</v>
      </c>
      <c r="AS119" s="19">
        <v>0.0</v>
      </c>
      <c r="AT119" s="19">
        <v>0.0</v>
      </c>
      <c r="AU119" s="19">
        <v>0.0</v>
      </c>
      <c r="AV119" s="13">
        <f t="shared" si="26"/>
        <v>7</v>
      </c>
      <c r="AW119" s="5"/>
      <c r="AX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1.0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1.0</v>
      </c>
      <c r="AJ120" s="19">
        <v>0.0</v>
      </c>
      <c r="AK120" s="19">
        <v>0.0</v>
      </c>
      <c r="AL120" s="19">
        <v>0.0</v>
      </c>
      <c r="AM120" s="19">
        <v>0.0</v>
      </c>
      <c r="AN120" s="19">
        <v>0.0</v>
      </c>
      <c r="AO120" s="19">
        <v>0.0</v>
      </c>
      <c r="AP120" s="19">
        <v>0.0</v>
      </c>
      <c r="AQ120" s="19">
        <v>0.0</v>
      </c>
      <c r="AR120" s="19">
        <v>0.0</v>
      </c>
      <c r="AS120" s="19">
        <v>0.0</v>
      </c>
      <c r="AT120" s="19">
        <v>0.0</v>
      </c>
      <c r="AU120" s="19">
        <v>0.0</v>
      </c>
      <c r="AV120" s="13">
        <f t="shared" si="26"/>
        <v>2</v>
      </c>
      <c r="AW120" s="5"/>
      <c r="AX120" s="5"/>
    </row>
    <row r="121" ht="12.75" customHeight="1">
      <c r="A121" s="18"/>
      <c r="B121" s="71"/>
      <c r="C121" s="72"/>
      <c r="D121" s="74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3">
        <f t="shared" si="26"/>
        <v>0</v>
      </c>
      <c r="AW121" s="5"/>
      <c r="AX121" s="5"/>
    </row>
    <row r="122" ht="12.75" customHeight="1">
      <c r="A122" s="18"/>
      <c r="B122" s="71"/>
      <c r="C122" s="72"/>
      <c r="D122" s="74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3">
        <f t="shared" si="26"/>
        <v>0</v>
      </c>
      <c r="AW122" s="5"/>
      <c r="AX122" s="5"/>
    </row>
    <row r="123" ht="12.75" customHeight="1">
      <c r="A123" s="18"/>
      <c r="B123" s="71"/>
      <c r="C123" s="72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13">
        <f t="shared" si="26"/>
        <v>0</v>
      </c>
      <c r="AW123" s="5"/>
      <c r="AX123" s="5"/>
    </row>
    <row r="124" ht="12.75" customHeight="1">
      <c r="A124" s="18"/>
      <c r="B124" s="71"/>
      <c r="C124" s="72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13">
        <f t="shared" si="26"/>
        <v>0</v>
      </c>
      <c r="AW124" s="5"/>
      <c r="AX124" s="5"/>
    </row>
    <row r="125" ht="12.75" customHeight="1">
      <c r="A125" s="18"/>
      <c r="B125" s="71"/>
      <c r="C125" s="72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13">
        <f t="shared" si="26"/>
        <v>0</v>
      </c>
      <c r="AW125" s="5"/>
      <c r="AX125" s="5"/>
    </row>
    <row r="126" ht="12.75" customHeight="1">
      <c r="A126" s="18"/>
      <c r="B126" s="71"/>
      <c r="C126" s="72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13">
        <f t="shared" si="26"/>
        <v>0</v>
      </c>
      <c r="AW126" s="5"/>
      <c r="AX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AU127" si="27">SUM(E117:E120)</f>
        <v>3</v>
      </c>
      <c r="F127" s="58">
        <f t="shared" si="27"/>
        <v>1</v>
      </c>
      <c r="G127" s="58">
        <f t="shared" si="27"/>
        <v>3</v>
      </c>
      <c r="H127" s="58">
        <f t="shared" si="27"/>
        <v>2</v>
      </c>
      <c r="I127" s="58">
        <f t="shared" si="27"/>
        <v>4</v>
      </c>
      <c r="J127" s="58">
        <f t="shared" si="27"/>
        <v>0</v>
      </c>
      <c r="K127" s="58">
        <f t="shared" si="27"/>
        <v>2</v>
      </c>
      <c r="L127" s="58">
        <f t="shared" si="27"/>
        <v>4</v>
      </c>
      <c r="M127" s="58">
        <f t="shared" si="27"/>
        <v>0</v>
      </c>
      <c r="N127" s="58">
        <f t="shared" si="27"/>
        <v>3</v>
      </c>
      <c r="O127" s="58">
        <f t="shared" si="27"/>
        <v>3</v>
      </c>
      <c r="P127" s="58">
        <f t="shared" si="27"/>
        <v>0</v>
      </c>
      <c r="Q127" s="58">
        <f t="shared" si="27"/>
        <v>0</v>
      </c>
      <c r="R127" s="58">
        <f t="shared" si="27"/>
        <v>1</v>
      </c>
      <c r="S127" s="58">
        <f t="shared" si="27"/>
        <v>1</v>
      </c>
      <c r="T127" s="58">
        <f t="shared" si="27"/>
        <v>0</v>
      </c>
      <c r="U127" s="58">
        <f t="shared" si="27"/>
        <v>4</v>
      </c>
      <c r="V127" s="58">
        <f t="shared" si="27"/>
        <v>3</v>
      </c>
      <c r="W127" s="58">
        <f t="shared" si="27"/>
        <v>4</v>
      </c>
      <c r="X127" s="58">
        <f t="shared" si="27"/>
        <v>2</v>
      </c>
      <c r="Y127" s="58">
        <f t="shared" si="27"/>
        <v>0</v>
      </c>
      <c r="Z127" s="58">
        <f t="shared" si="27"/>
        <v>1</v>
      </c>
      <c r="AA127" s="58">
        <f t="shared" si="27"/>
        <v>0</v>
      </c>
      <c r="AB127" s="58">
        <f t="shared" si="27"/>
        <v>2</v>
      </c>
      <c r="AC127" s="58">
        <f t="shared" si="27"/>
        <v>3</v>
      </c>
      <c r="AD127" s="58">
        <f t="shared" si="27"/>
        <v>1</v>
      </c>
      <c r="AE127" s="58">
        <f t="shared" si="27"/>
        <v>6</v>
      </c>
      <c r="AF127" s="58">
        <f t="shared" si="27"/>
        <v>0</v>
      </c>
      <c r="AG127" s="58">
        <f t="shared" si="27"/>
        <v>2</v>
      </c>
      <c r="AH127" s="58">
        <f t="shared" si="27"/>
        <v>1</v>
      </c>
      <c r="AI127" s="58">
        <f t="shared" si="27"/>
        <v>5</v>
      </c>
      <c r="AJ127" s="58">
        <f t="shared" si="27"/>
        <v>0</v>
      </c>
      <c r="AK127" s="58">
        <f t="shared" si="27"/>
        <v>2</v>
      </c>
      <c r="AL127" s="58">
        <f t="shared" si="27"/>
        <v>0</v>
      </c>
      <c r="AM127" s="58">
        <f t="shared" si="27"/>
        <v>1</v>
      </c>
      <c r="AN127" s="58">
        <f t="shared" si="27"/>
        <v>5</v>
      </c>
      <c r="AO127" s="58">
        <f t="shared" si="27"/>
        <v>1</v>
      </c>
      <c r="AP127" s="58">
        <f t="shared" si="27"/>
        <v>3</v>
      </c>
      <c r="AQ127" s="58">
        <f t="shared" si="27"/>
        <v>3</v>
      </c>
      <c r="AR127" s="58">
        <f t="shared" si="27"/>
        <v>2</v>
      </c>
      <c r="AS127" s="58">
        <f t="shared" si="27"/>
        <v>0</v>
      </c>
      <c r="AT127" s="58">
        <f t="shared" si="27"/>
        <v>0</v>
      </c>
      <c r="AU127" s="58">
        <f t="shared" si="27"/>
        <v>2</v>
      </c>
      <c r="AV127" s="13">
        <f t="shared" si="26"/>
        <v>80</v>
      </c>
      <c r="AW127" s="5"/>
      <c r="AX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75"/>
      <c r="AW128" s="5"/>
      <c r="AX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1.0</v>
      </c>
      <c r="H129" s="19">
        <v>0.0</v>
      </c>
      <c r="I129" s="19">
        <v>0.0</v>
      </c>
      <c r="J129" s="19">
        <v>0.0</v>
      </c>
      <c r="K129" s="19">
        <v>0.0</v>
      </c>
      <c r="L129" s="19">
        <v>1.0</v>
      </c>
      <c r="M129" s="19">
        <v>1.0</v>
      </c>
      <c r="N129" s="19">
        <v>0.0</v>
      </c>
      <c r="O129" s="19">
        <v>2.0</v>
      </c>
      <c r="P129" s="19">
        <v>1.0</v>
      </c>
      <c r="Q129" s="19">
        <v>0.0</v>
      </c>
      <c r="R129" s="19">
        <v>0.0</v>
      </c>
      <c r="S129" s="19">
        <v>2.0</v>
      </c>
      <c r="T129" s="19">
        <v>0.0</v>
      </c>
      <c r="U129" s="19">
        <v>0.0</v>
      </c>
      <c r="V129" s="19">
        <v>0.0</v>
      </c>
      <c r="W129" s="19">
        <v>3.0</v>
      </c>
      <c r="X129" s="19">
        <v>0.0</v>
      </c>
      <c r="Y129" s="19">
        <v>0.0</v>
      </c>
      <c r="Z129" s="19">
        <v>1.0</v>
      </c>
      <c r="AA129" s="19">
        <v>1.0</v>
      </c>
      <c r="AB129" s="19">
        <v>0.0</v>
      </c>
      <c r="AC129" s="19">
        <v>0.0</v>
      </c>
      <c r="AD129" s="19">
        <v>0.0</v>
      </c>
      <c r="AE129" s="19">
        <v>0.0</v>
      </c>
      <c r="AF129" s="19">
        <v>0.0</v>
      </c>
      <c r="AG129" s="19">
        <v>0.0</v>
      </c>
      <c r="AH129" s="19">
        <v>0.0</v>
      </c>
      <c r="AI129" s="19">
        <v>0.0</v>
      </c>
      <c r="AJ129" s="19">
        <v>1.0</v>
      </c>
      <c r="AK129" s="19">
        <v>1.0</v>
      </c>
      <c r="AL129" s="19">
        <v>0.0</v>
      </c>
      <c r="AM129" s="19">
        <v>1.0</v>
      </c>
      <c r="AN129" s="19">
        <v>0.0</v>
      </c>
      <c r="AO129" s="19">
        <v>0.0</v>
      </c>
      <c r="AP129" s="19">
        <v>0.0</v>
      </c>
      <c r="AQ129" s="19">
        <v>0.0</v>
      </c>
      <c r="AR129" s="19">
        <v>0.0</v>
      </c>
      <c r="AS129" s="19">
        <v>0.0</v>
      </c>
      <c r="AT129" s="19">
        <v>1.0</v>
      </c>
      <c r="AU129" s="19">
        <v>0.0</v>
      </c>
      <c r="AV129" s="13">
        <f t="shared" ref="AV129:AV139" si="28">SUM(E129:AU129)</f>
        <v>17</v>
      </c>
      <c r="AW129" s="5"/>
      <c r="AX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2.0</v>
      </c>
      <c r="F130" s="19">
        <v>1.0</v>
      </c>
      <c r="G130" s="19">
        <v>2.0</v>
      </c>
      <c r="H130" s="19">
        <v>0.0</v>
      </c>
      <c r="I130" s="19">
        <v>2.0</v>
      </c>
      <c r="J130" s="19">
        <v>2.0</v>
      </c>
      <c r="K130" s="19">
        <v>0.0</v>
      </c>
      <c r="L130" s="19">
        <v>1.0</v>
      </c>
      <c r="M130" s="19">
        <v>1.0</v>
      </c>
      <c r="N130" s="19">
        <v>2.0</v>
      </c>
      <c r="O130" s="19">
        <v>4.0</v>
      </c>
      <c r="P130" s="19">
        <v>0.0</v>
      </c>
      <c r="Q130" s="19">
        <v>1.0</v>
      </c>
      <c r="R130" s="19">
        <v>0.0</v>
      </c>
      <c r="S130" s="19">
        <v>1.0</v>
      </c>
      <c r="T130" s="19">
        <v>2.0</v>
      </c>
      <c r="U130" s="19">
        <v>0.0</v>
      </c>
      <c r="V130" s="19">
        <v>0.0</v>
      </c>
      <c r="W130" s="19">
        <v>9.0</v>
      </c>
      <c r="X130" s="19">
        <v>0.0</v>
      </c>
      <c r="Y130" s="19">
        <v>0.0</v>
      </c>
      <c r="Z130" s="19">
        <v>0.0</v>
      </c>
      <c r="AA130" s="19">
        <v>0.0</v>
      </c>
      <c r="AB130" s="19">
        <v>0.0</v>
      </c>
      <c r="AC130" s="19">
        <v>1.0</v>
      </c>
      <c r="AD130" s="19">
        <v>0.0</v>
      </c>
      <c r="AE130" s="19">
        <v>0.0</v>
      </c>
      <c r="AF130" s="19">
        <v>0.0</v>
      </c>
      <c r="AG130" s="19">
        <v>0.0</v>
      </c>
      <c r="AH130" s="19">
        <v>1.0</v>
      </c>
      <c r="AI130" s="19">
        <v>0.0</v>
      </c>
      <c r="AJ130" s="19">
        <v>0.0</v>
      </c>
      <c r="AK130" s="19">
        <v>0.0</v>
      </c>
      <c r="AL130" s="19">
        <v>0.0</v>
      </c>
      <c r="AM130" s="19">
        <v>0.0</v>
      </c>
      <c r="AN130" s="19">
        <v>0.0</v>
      </c>
      <c r="AO130" s="19">
        <v>0.0</v>
      </c>
      <c r="AP130" s="19">
        <v>0.0</v>
      </c>
      <c r="AQ130" s="19">
        <v>3.0</v>
      </c>
      <c r="AR130" s="19">
        <v>0.0</v>
      </c>
      <c r="AS130" s="19">
        <v>0.0</v>
      </c>
      <c r="AT130" s="19">
        <v>1.0</v>
      </c>
      <c r="AU130" s="19">
        <v>0.0</v>
      </c>
      <c r="AV130" s="13">
        <f t="shared" si="28"/>
        <v>36</v>
      </c>
      <c r="AW130" s="1"/>
      <c r="AX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1.0</v>
      </c>
      <c r="K131" s="19">
        <v>0.0</v>
      </c>
      <c r="L131" s="19">
        <v>0.0</v>
      </c>
      <c r="M131" s="19">
        <v>1.0</v>
      </c>
      <c r="N131" s="19">
        <v>1.0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1.0</v>
      </c>
      <c r="AC131" s="19">
        <v>1.0</v>
      </c>
      <c r="AD131" s="19">
        <v>0.0</v>
      </c>
      <c r="AE131" s="19">
        <v>1.0</v>
      </c>
      <c r="AF131" s="19">
        <v>0.0</v>
      </c>
      <c r="AG131" s="19">
        <v>0.0</v>
      </c>
      <c r="AH131" s="19">
        <v>0.0</v>
      </c>
      <c r="AI131" s="19">
        <v>0.0</v>
      </c>
      <c r="AJ131" s="19">
        <v>0.0</v>
      </c>
      <c r="AK131" s="19">
        <v>0.0</v>
      </c>
      <c r="AL131" s="19">
        <v>0.0</v>
      </c>
      <c r="AM131" s="19">
        <v>0.0</v>
      </c>
      <c r="AN131" s="19">
        <v>0.0</v>
      </c>
      <c r="AO131" s="19">
        <v>0.0</v>
      </c>
      <c r="AP131" s="19">
        <v>0.0</v>
      </c>
      <c r="AQ131" s="19">
        <v>0.0</v>
      </c>
      <c r="AR131" s="19">
        <v>0.0</v>
      </c>
      <c r="AS131" s="19">
        <v>0.0</v>
      </c>
      <c r="AT131" s="19">
        <v>0.0</v>
      </c>
      <c r="AU131" s="19">
        <v>0.0</v>
      </c>
      <c r="AV131" s="13">
        <f t="shared" si="28"/>
        <v>6</v>
      </c>
      <c r="AW131" s="52"/>
      <c r="AX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1.0</v>
      </c>
      <c r="O132" s="19">
        <v>0.0</v>
      </c>
      <c r="P132" s="19">
        <v>0.0</v>
      </c>
      <c r="Q132" s="19">
        <v>0.0</v>
      </c>
      <c r="R132" s="19">
        <v>0.0</v>
      </c>
      <c r="S132" s="19">
        <v>1.0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0.0</v>
      </c>
      <c r="AJ132" s="19">
        <v>0.0</v>
      </c>
      <c r="AK132" s="19">
        <v>0.0</v>
      </c>
      <c r="AL132" s="19">
        <v>0.0</v>
      </c>
      <c r="AM132" s="19">
        <v>0.0</v>
      </c>
      <c r="AN132" s="19">
        <v>0.0</v>
      </c>
      <c r="AO132" s="19">
        <v>0.0</v>
      </c>
      <c r="AP132" s="19">
        <v>0.0</v>
      </c>
      <c r="AQ132" s="19">
        <v>0.0</v>
      </c>
      <c r="AR132" s="19">
        <v>0.0</v>
      </c>
      <c r="AS132" s="19">
        <v>0.0</v>
      </c>
      <c r="AT132" s="19">
        <v>0.0</v>
      </c>
      <c r="AU132" s="19">
        <v>0.0</v>
      </c>
      <c r="AV132" s="13">
        <f t="shared" si="28"/>
        <v>2</v>
      </c>
      <c r="AW132" s="5"/>
      <c r="AX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1.0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9">
        <v>0.0</v>
      </c>
      <c r="AL133" s="19">
        <v>0.0</v>
      </c>
      <c r="AM133" s="19">
        <v>0.0</v>
      </c>
      <c r="AN133" s="19">
        <v>0.0</v>
      </c>
      <c r="AO133" s="19">
        <v>0.0</v>
      </c>
      <c r="AP133" s="19">
        <v>0.0</v>
      </c>
      <c r="AQ133" s="19">
        <v>0.0</v>
      </c>
      <c r="AR133" s="19">
        <v>0.0</v>
      </c>
      <c r="AS133" s="19">
        <v>0.0</v>
      </c>
      <c r="AT133" s="19">
        <v>0.0</v>
      </c>
      <c r="AU133" s="19">
        <v>0.0</v>
      </c>
      <c r="AV133" s="13">
        <f t="shared" si="28"/>
        <v>1</v>
      </c>
      <c r="AW133" s="5"/>
      <c r="AX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9">
        <v>0.0</v>
      </c>
      <c r="AM134" s="19">
        <v>0.0</v>
      </c>
      <c r="AN134" s="19">
        <v>0.0</v>
      </c>
      <c r="AO134" s="19">
        <v>0.0</v>
      </c>
      <c r="AP134" s="19">
        <v>0.0</v>
      </c>
      <c r="AQ134" s="19">
        <v>0.0</v>
      </c>
      <c r="AR134" s="19">
        <v>0.0</v>
      </c>
      <c r="AS134" s="19">
        <v>0.0</v>
      </c>
      <c r="AT134" s="19">
        <v>0.0</v>
      </c>
      <c r="AU134" s="19">
        <v>0.0</v>
      </c>
      <c r="AV134" s="13">
        <f t="shared" si="28"/>
        <v>0</v>
      </c>
      <c r="AW134" s="5"/>
      <c r="AX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0.0</v>
      </c>
      <c r="AQ135" s="19">
        <v>0.0</v>
      </c>
      <c r="AR135" s="19">
        <v>0.0</v>
      </c>
      <c r="AS135" s="19">
        <v>0.0</v>
      </c>
      <c r="AT135" s="19">
        <v>1.0</v>
      </c>
      <c r="AU135" s="19">
        <v>0.0</v>
      </c>
      <c r="AV135" s="13">
        <f t="shared" si="28"/>
        <v>1</v>
      </c>
      <c r="AW135" s="5"/>
      <c r="AX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9">
        <v>0.0</v>
      </c>
      <c r="AN136" s="19">
        <v>0.0</v>
      </c>
      <c r="AO136" s="19">
        <v>0.0</v>
      </c>
      <c r="AP136" s="19">
        <v>0.0</v>
      </c>
      <c r="AQ136" s="19">
        <v>0.0</v>
      </c>
      <c r="AR136" s="19">
        <v>0.0</v>
      </c>
      <c r="AS136" s="19">
        <v>0.0</v>
      </c>
      <c r="AT136" s="19">
        <v>0.0</v>
      </c>
      <c r="AU136" s="19">
        <v>0.0</v>
      </c>
      <c r="AV136" s="13">
        <f t="shared" si="28"/>
        <v>0</v>
      </c>
      <c r="AW136" s="5"/>
      <c r="AX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3">
        <f t="shared" si="28"/>
        <v>0</v>
      </c>
      <c r="AW137" s="5"/>
      <c r="AX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3">
        <f t="shared" si="28"/>
        <v>0</v>
      </c>
      <c r="AW138" s="5"/>
      <c r="AX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AU139" si="29">SUM(E129:E136)</f>
        <v>2</v>
      </c>
      <c r="F139" s="13">
        <f t="shared" si="29"/>
        <v>2</v>
      </c>
      <c r="G139" s="13">
        <f t="shared" si="29"/>
        <v>3</v>
      </c>
      <c r="H139" s="13">
        <f t="shared" si="29"/>
        <v>0</v>
      </c>
      <c r="I139" s="13">
        <f t="shared" si="29"/>
        <v>2</v>
      </c>
      <c r="J139" s="13">
        <f t="shared" si="29"/>
        <v>3</v>
      </c>
      <c r="K139" s="13">
        <f t="shared" si="29"/>
        <v>0</v>
      </c>
      <c r="L139" s="13">
        <f t="shared" si="29"/>
        <v>2</v>
      </c>
      <c r="M139" s="13">
        <f t="shared" si="29"/>
        <v>3</v>
      </c>
      <c r="N139" s="13">
        <f t="shared" si="29"/>
        <v>4</v>
      </c>
      <c r="O139" s="13">
        <f t="shared" si="29"/>
        <v>6</v>
      </c>
      <c r="P139" s="13">
        <f t="shared" si="29"/>
        <v>1</v>
      </c>
      <c r="Q139" s="13">
        <f t="shared" si="29"/>
        <v>1</v>
      </c>
      <c r="R139" s="13">
        <f t="shared" si="29"/>
        <v>0</v>
      </c>
      <c r="S139" s="13">
        <f t="shared" si="29"/>
        <v>4</v>
      </c>
      <c r="T139" s="13">
        <f t="shared" si="29"/>
        <v>2</v>
      </c>
      <c r="U139" s="13">
        <f t="shared" si="29"/>
        <v>0</v>
      </c>
      <c r="V139" s="13">
        <f t="shared" si="29"/>
        <v>0</v>
      </c>
      <c r="W139" s="13">
        <f t="shared" si="29"/>
        <v>12</v>
      </c>
      <c r="X139" s="13">
        <f t="shared" si="29"/>
        <v>0</v>
      </c>
      <c r="Y139" s="13">
        <f t="shared" si="29"/>
        <v>0</v>
      </c>
      <c r="Z139" s="13">
        <f t="shared" si="29"/>
        <v>1</v>
      </c>
      <c r="AA139" s="13">
        <f t="shared" si="29"/>
        <v>1</v>
      </c>
      <c r="AB139" s="13">
        <f t="shared" si="29"/>
        <v>1</v>
      </c>
      <c r="AC139" s="13">
        <f t="shared" si="29"/>
        <v>2</v>
      </c>
      <c r="AD139" s="13">
        <f t="shared" si="29"/>
        <v>0</v>
      </c>
      <c r="AE139" s="13">
        <f t="shared" si="29"/>
        <v>1</v>
      </c>
      <c r="AF139" s="13">
        <f t="shared" si="29"/>
        <v>0</v>
      </c>
      <c r="AG139" s="13">
        <f t="shared" si="29"/>
        <v>0</v>
      </c>
      <c r="AH139" s="13">
        <f t="shared" si="29"/>
        <v>1</v>
      </c>
      <c r="AI139" s="13">
        <f t="shared" si="29"/>
        <v>0</v>
      </c>
      <c r="AJ139" s="13">
        <f t="shared" si="29"/>
        <v>1</v>
      </c>
      <c r="AK139" s="13">
        <f t="shared" si="29"/>
        <v>1</v>
      </c>
      <c r="AL139" s="13">
        <f t="shared" si="29"/>
        <v>0</v>
      </c>
      <c r="AM139" s="13">
        <f t="shared" si="29"/>
        <v>1</v>
      </c>
      <c r="AN139" s="13">
        <f t="shared" si="29"/>
        <v>0</v>
      </c>
      <c r="AO139" s="13">
        <f t="shared" si="29"/>
        <v>0</v>
      </c>
      <c r="AP139" s="13">
        <f t="shared" si="29"/>
        <v>0</v>
      </c>
      <c r="AQ139" s="13">
        <f t="shared" si="29"/>
        <v>3</v>
      </c>
      <c r="AR139" s="13">
        <f t="shared" si="29"/>
        <v>0</v>
      </c>
      <c r="AS139" s="13">
        <f t="shared" si="29"/>
        <v>0</v>
      </c>
      <c r="AT139" s="13">
        <f t="shared" si="29"/>
        <v>3</v>
      </c>
      <c r="AU139" s="13">
        <f t="shared" si="29"/>
        <v>0</v>
      </c>
      <c r="AV139" s="13">
        <f t="shared" si="28"/>
        <v>63</v>
      </c>
      <c r="AW139" s="5"/>
      <c r="AX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75"/>
      <c r="AT140" s="75"/>
      <c r="AU140" s="75"/>
      <c r="AV140" s="75"/>
      <c r="AW140" s="5"/>
      <c r="AX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1.0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1.0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9">
        <v>0.0</v>
      </c>
      <c r="AL141" s="19">
        <v>0.0</v>
      </c>
      <c r="AM141" s="19">
        <v>0.0</v>
      </c>
      <c r="AN141" s="19">
        <v>0.0</v>
      </c>
      <c r="AO141" s="19">
        <v>0.0</v>
      </c>
      <c r="AP141" s="19">
        <v>0.0</v>
      </c>
      <c r="AQ141" s="19">
        <v>0.0</v>
      </c>
      <c r="AR141" s="19">
        <v>0.0</v>
      </c>
      <c r="AS141" s="19">
        <v>0.0</v>
      </c>
      <c r="AT141" s="19">
        <v>0.0</v>
      </c>
      <c r="AU141" s="19">
        <v>0.0</v>
      </c>
      <c r="AV141" s="13">
        <f t="shared" ref="AV141:AV151" si="30">SUM(E141:AU141)</f>
        <v>2</v>
      </c>
      <c r="AW141" s="1"/>
      <c r="AX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0.0</v>
      </c>
      <c r="AL142" s="19">
        <v>0.0</v>
      </c>
      <c r="AM142" s="19">
        <v>0.0</v>
      </c>
      <c r="AN142" s="19">
        <v>0.0</v>
      </c>
      <c r="AO142" s="19">
        <v>0.0</v>
      </c>
      <c r="AP142" s="19">
        <v>0.0</v>
      </c>
      <c r="AQ142" s="19">
        <v>0.0</v>
      </c>
      <c r="AR142" s="19">
        <v>0.0</v>
      </c>
      <c r="AS142" s="19">
        <v>0.0</v>
      </c>
      <c r="AT142" s="19">
        <v>0.0</v>
      </c>
      <c r="AU142" s="19">
        <v>0.0</v>
      </c>
      <c r="AV142" s="13">
        <f t="shared" si="30"/>
        <v>0</v>
      </c>
      <c r="AW142" s="52"/>
      <c r="AX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2.0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1.0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9">
        <v>0.0</v>
      </c>
      <c r="AM143" s="19">
        <v>0.0</v>
      </c>
      <c r="AN143" s="19">
        <v>0.0</v>
      </c>
      <c r="AO143" s="19">
        <v>0.0</v>
      </c>
      <c r="AP143" s="19">
        <v>0.0</v>
      </c>
      <c r="AQ143" s="19">
        <v>0.0</v>
      </c>
      <c r="AR143" s="19">
        <v>0.0</v>
      </c>
      <c r="AS143" s="19">
        <v>0.0</v>
      </c>
      <c r="AT143" s="19">
        <v>0.0</v>
      </c>
      <c r="AU143" s="19">
        <v>0.0</v>
      </c>
      <c r="AV143" s="13">
        <f t="shared" si="30"/>
        <v>3</v>
      </c>
      <c r="AW143" s="5"/>
      <c r="AX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9">
        <v>0.0</v>
      </c>
      <c r="AM144" s="19">
        <v>0.0</v>
      </c>
      <c r="AN144" s="19">
        <v>0.0</v>
      </c>
      <c r="AO144" s="19">
        <v>0.0</v>
      </c>
      <c r="AP144" s="19">
        <v>0.0</v>
      </c>
      <c r="AQ144" s="19">
        <v>0.0</v>
      </c>
      <c r="AR144" s="19">
        <v>0.0</v>
      </c>
      <c r="AS144" s="19">
        <v>0.0</v>
      </c>
      <c r="AT144" s="19">
        <v>0.0</v>
      </c>
      <c r="AU144" s="19">
        <v>0.0</v>
      </c>
      <c r="AV144" s="13">
        <f t="shared" si="30"/>
        <v>0</v>
      </c>
      <c r="AW144" s="5"/>
      <c r="AX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9">
        <v>0.0</v>
      </c>
      <c r="AN145" s="19">
        <v>0.0</v>
      </c>
      <c r="AO145" s="19">
        <v>0.0</v>
      </c>
      <c r="AP145" s="19">
        <v>0.0</v>
      </c>
      <c r="AQ145" s="19">
        <v>0.0</v>
      </c>
      <c r="AR145" s="19">
        <v>0.0</v>
      </c>
      <c r="AS145" s="19">
        <v>0.0</v>
      </c>
      <c r="AT145" s="19">
        <v>0.0</v>
      </c>
      <c r="AU145" s="19">
        <v>0.0</v>
      </c>
      <c r="AV145" s="13">
        <f t="shared" si="30"/>
        <v>0</v>
      </c>
      <c r="AW145" s="5"/>
      <c r="AX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9">
        <v>0.0</v>
      </c>
      <c r="AM146" s="19">
        <v>0.0</v>
      </c>
      <c r="AN146" s="19">
        <v>0.0</v>
      </c>
      <c r="AO146" s="19">
        <v>0.0</v>
      </c>
      <c r="AP146" s="19">
        <v>0.0</v>
      </c>
      <c r="AQ146" s="19">
        <v>0.0</v>
      </c>
      <c r="AR146" s="19">
        <v>0.0</v>
      </c>
      <c r="AS146" s="19">
        <v>0.0</v>
      </c>
      <c r="AT146" s="19">
        <v>0.0</v>
      </c>
      <c r="AU146" s="19">
        <v>0.0</v>
      </c>
      <c r="AV146" s="13">
        <f t="shared" si="30"/>
        <v>0</v>
      </c>
      <c r="AW146" s="5"/>
      <c r="AX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1.0</v>
      </c>
      <c r="AK147" s="19">
        <v>0.0</v>
      </c>
      <c r="AL147" s="19">
        <v>0.0</v>
      </c>
      <c r="AM147" s="19">
        <v>0.0</v>
      </c>
      <c r="AN147" s="19">
        <v>0.0</v>
      </c>
      <c r="AO147" s="19">
        <v>0.0</v>
      </c>
      <c r="AP147" s="19">
        <v>0.0</v>
      </c>
      <c r="AQ147" s="19">
        <v>0.0</v>
      </c>
      <c r="AR147" s="19">
        <v>0.0</v>
      </c>
      <c r="AS147" s="19">
        <v>0.0</v>
      </c>
      <c r="AT147" s="19">
        <v>0.0</v>
      </c>
      <c r="AU147" s="19">
        <v>0.0</v>
      </c>
      <c r="AV147" s="13">
        <f t="shared" si="30"/>
        <v>1</v>
      </c>
      <c r="AW147" s="5"/>
      <c r="AX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0.0</v>
      </c>
      <c r="AM148" s="19">
        <v>0.0</v>
      </c>
      <c r="AN148" s="19">
        <v>0.0</v>
      </c>
      <c r="AO148" s="19">
        <v>0.0</v>
      </c>
      <c r="AP148" s="19">
        <v>0.0</v>
      </c>
      <c r="AQ148" s="19">
        <v>0.0</v>
      </c>
      <c r="AR148" s="19">
        <v>0.0</v>
      </c>
      <c r="AS148" s="19">
        <v>0.0</v>
      </c>
      <c r="AT148" s="19">
        <v>0.0</v>
      </c>
      <c r="AU148" s="19">
        <v>0.0</v>
      </c>
      <c r="AV148" s="13">
        <f t="shared" si="30"/>
        <v>0</v>
      </c>
      <c r="AW148" s="5"/>
      <c r="AX148" s="5"/>
    </row>
    <row r="149" ht="12.75" customHeight="1">
      <c r="A149" s="18"/>
      <c r="B149" s="71"/>
      <c r="C149" s="72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3">
        <f t="shared" si="30"/>
        <v>0</v>
      </c>
      <c r="AW149" s="5"/>
      <c r="AX149" s="5"/>
    </row>
    <row r="150" ht="12.75" customHeight="1">
      <c r="A150" s="18"/>
      <c r="B150" s="71"/>
      <c r="C150" s="72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3">
        <f t="shared" si="30"/>
        <v>0</v>
      </c>
      <c r="AW150" s="5"/>
      <c r="AX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U151" si="31">SUM(E141:E148)</f>
        <v>0</v>
      </c>
      <c r="F151" s="13">
        <f t="shared" si="31"/>
        <v>2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1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1</v>
      </c>
      <c r="X151" s="13">
        <f t="shared" si="31"/>
        <v>0</v>
      </c>
      <c r="Y151" s="13">
        <f t="shared" si="31"/>
        <v>0</v>
      </c>
      <c r="Z151" s="13">
        <f t="shared" si="31"/>
        <v>1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1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0</v>
      </c>
      <c r="AV151" s="13">
        <f t="shared" si="30"/>
        <v>6</v>
      </c>
      <c r="AW151" s="1"/>
      <c r="AX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75"/>
      <c r="AK152" s="75"/>
      <c r="AL152" s="75"/>
      <c r="AM152" s="75"/>
      <c r="AN152" s="75"/>
      <c r="AO152" s="75"/>
      <c r="AP152" s="75"/>
      <c r="AQ152" s="75"/>
      <c r="AR152" s="75"/>
      <c r="AS152" s="75"/>
      <c r="AT152" s="75"/>
      <c r="AU152" s="75"/>
      <c r="AV152" s="13"/>
      <c r="AW152" s="52"/>
      <c r="AX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1.0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1.0</v>
      </c>
      <c r="P153" s="19">
        <v>0.0</v>
      </c>
      <c r="Q153" s="19">
        <v>0.0</v>
      </c>
      <c r="R153" s="19">
        <v>0.0</v>
      </c>
      <c r="S153" s="19">
        <v>0.0</v>
      </c>
      <c r="T153" s="19">
        <v>1.0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1.0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1.0</v>
      </c>
      <c r="AG153" s="19">
        <v>0.0</v>
      </c>
      <c r="AH153" s="19">
        <v>0.0</v>
      </c>
      <c r="AI153" s="19">
        <v>0.0</v>
      </c>
      <c r="AJ153" s="19">
        <v>0.0</v>
      </c>
      <c r="AK153" s="19">
        <v>0.0</v>
      </c>
      <c r="AL153" s="19">
        <v>0.0</v>
      </c>
      <c r="AM153" s="19">
        <v>0.0</v>
      </c>
      <c r="AN153" s="19">
        <v>0.0</v>
      </c>
      <c r="AO153" s="19">
        <v>0.0</v>
      </c>
      <c r="AP153" s="19">
        <v>0.0</v>
      </c>
      <c r="AQ153" s="19">
        <v>0.0</v>
      </c>
      <c r="AR153" s="19">
        <v>0.0</v>
      </c>
      <c r="AS153" s="19">
        <v>0.0</v>
      </c>
      <c r="AT153" s="19">
        <v>0.0</v>
      </c>
      <c r="AU153" s="19">
        <v>0.0</v>
      </c>
      <c r="AV153" s="13">
        <f t="shared" ref="AV153:AV163" si="32">SUM(E153:AU153)</f>
        <v>5</v>
      </c>
      <c r="AW153" s="5"/>
      <c r="AX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1.0</v>
      </c>
      <c r="F154" s="19">
        <v>0.0</v>
      </c>
      <c r="G154" s="19">
        <v>0.0</v>
      </c>
      <c r="H154" s="19">
        <v>1.0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1.0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0.0</v>
      </c>
      <c r="AL154" s="19">
        <v>0.0</v>
      </c>
      <c r="AM154" s="19">
        <v>0.0</v>
      </c>
      <c r="AN154" s="19">
        <v>0.0</v>
      </c>
      <c r="AO154" s="19">
        <v>0.0</v>
      </c>
      <c r="AP154" s="19">
        <v>0.0</v>
      </c>
      <c r="AQ154" s="19">
        <v>0.0</v>
      </c>
      <c r="AR154" s="19">
        <v>1.0</v>
      </c>
      <c r="AS154" s="19">
        <v>0.0</v>
      </c>
      <c r="AT154" s="19">
        <v>0.0</v>
      </c>
      <c r="AU154" s="19">
        <v>0.0</v>
      </c>
      <c r="AV154" s="13">
        <f t="shared" si="32"/>
        <v>4</v>
      </c>
      <c r="AW154" s="5"/>
      <c r="AX154" s="5"/>
    </row>
    <row r="155" ht="12.75" customHeight="1">
      <c r="A155" s="18"/>
      <c r="B155" s="55">
        <v>2.0</v>
      </c>
      <c r="C155" s="59" t="s">
        <v>116</v>
      </c>
      <c r="D155" s="57"/>
      <c r="E155" s="19">
        <v>1.0</v>
      </c>
      <c r="F155" s="19">
        <v>0.0</v>
      </c>
      <c r="G155" s="19">
        <v>0.0</v>
      </c>
      <c r="H155" s="19">
        <v>0.0</v>
      </c>
      <c r="I155" s="19">
        <v>1.0</v>
      </c>
      <c r="J155" s="19">
        <v>0.0</v>
      </c>
      <c r="K155" s="19">
        <v>1.0</v>
      </c>
      <c r="L155" s="19">
        <v>0.0</v>
      </c>
      <c r="M155" s="19">
        <v>0.0</v>
      </c>
      <c r="N155" s="19">
        <v>0.0</v>
      </c>
      <c r="O155" s="19">
        <v>0.0</v>
      </c>
      <c r="P155" s="19">
        <v>2.0</v>
      </c>
      <c r="Q155" s="19">
        <v>0.0</v>
      </c>
      <c r="R155" s="19">
        <v>0.0</v>
      </c>
      <c r="S155" s="19">
        <v>1.0</v>
      </c>
      <c r="T155" s="19">
        <v>0.0</v>
      </c>
      <c r="U155" s="19">
        <v>0.0</v>
      </c>
      <c r="V155" s="19">
        <v>0.0</v>
      </c>
      <c r="W155" s="19">
        <v>1.0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1.0</v>
      </c>
      <c r="AG155" s="19">
        <v>0.0</v>
      </c>
      <c r="AH155" s="19">
        <v>0.0</v>
      </c>
      <c r="AI155" s="19">
        <v>0.0</v>
      </c>
      <c r="AJ155" s="19">
        <v>0.0</v>
      </c>
      <c r="AK155" s="19">
        <v>0.0</v>
      </c>
      <c r="AL155" s="19">
        <v>0.0</v>
      </c>
      <c r="AM155" s="19">
        <v>0.0</v>
      </c>
      <c r="AN155" s="19">
        <v>0.0</v>
      </c>
      <c r="AO155" s="19">
        <v>0.0</v>
      </c>
      <c r="AP155" s="19">
        <v>0.0</v>
      </c>
      <c r="AQ155" s="19">
        <v>0.0</v>
      </c>
      <c r="AR155" s="19">
        <v>0.0</v>
      </c>
      <c r="AS155" s="19">
        <v>0.0</v>
      </c>
      <c r="AT155" s="19">
        <v>0.0</v>
      </c>
      <c r="AU155" s="19">
        <v>0.0</v>
      </c>
      <c r="AV155" s="13">
        <f t="shared" si="32"/>
        <v>8</v>
      </c>
      <c r="AW155" s="5"/>
      <c r="AX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0.0</v>
      </c>
      <c r="AP156" s="19">
        <v>0.0</v>
      </c>
      <c r="AQ156" s="19">
        <v>0.0</v>
      </c>
      <c r="AR156" s="19">
        <v>0.0</v>
      </c>
      <c r="AS156" s="19">
        <v>0.0</v>
      </c>
      <c r="AT156" s="19">
        <v>0.0</v>
      </c>
      <c r="AU156" s="19">
        <v>0.0</v>
      </c>
      <c r="AV156" s="13">
        <f t="shared" si="32"/>
        <v>0</v>
      </c>
      <c r="AW156" s="5"/>
      <c r="AX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9">
        <v>0.0</v>
      </c>
      <c r="AL157" s="19">
        <v>0.0</v>
      </c>
      <c r="AM157" s="19">
        <v>0.0</v>
      </c>
      <c r="AN157" s="19">
        <v>0.0</v>
      </c>
      <c r="AO157" s="19">
        <v>0.0</v>
      </c>
      <c r="AP157" s="19">
        <v>0.0</v>
      </c>
      <c r="AQ157" s="19">
        <v>0.0</v>
      </c>
      <c r="AR157" s="19">
        <v>0.0</v>
      </c>
      <c r="AS157" s="19">
        <v>0.0</v>
      </c>
      <c r="AT157" s="19">
        <v>0.0</v>
      </c>
      <c r="AU157" s="19">
        <v>0.0</v>
      </c>
      <c r="AV157" s="13">
        <f t="shared" si="32"/>
        <v>0</v>
      </c>
      <c r="AW157" s="5"/>
      <c r="AX157" s="5"/>
    </row>
    <row r="158" ht="12.75" customHeight="1">
      <c r="A158" s="18"/>
      <c r="B158" s="71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3">
        <f t="shared" si="32"/>
        <v>0</v>
      </c>
      <c r="AW158" s="5"/>
      <c r="AX158" s="5"/>
    </row>
    <row r="159" ht="12.75" customHeight="1">
      <c r="A159" s="18"/>
      <c r="B159" s="71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3">
        <f t="shared" si="32"/>
        <v>0</v>
      </c>
      <c r="AW159" s="5"/>
      <c r="AX159" s="5"/>
    </row>
    <row r="160" ht="12.75" customHeight="1">
      <c r="A160" s="18"/>
      <c r="B160" s="71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3">
        <f t="shared" si="32"/>
        <v>0</v>
      </c>
      <c r="AW160" s="5"/>
      <c r="AX160" s="5"/>
    </row>
    <row r="161" ht="12.75" customHeight="1">
      <c r="A161" s="18"/>
      <c r="B161" s="71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3">
        <f t="shared" si="32"/>
        <v>0</v>
      </c>
      <c r="AW161" s="5"/>
      <c r="AX161" s="5"/>
    </row>
    <row r="162" ht="12.75" customHeight="1">
      <c r="A162" s="18"/>
      <c r="B162" s="71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3">
        <f t="shared" si="32"/>
        <v>0</v>
      </c>
      <c r="AW162" s="5"/>
      <c r="AX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AU163" si="33">SUM(E153:E157)</f>
        <v>2</v>
      </c>
      <c r="F163" s="13">
        <f t="shared" si="33"/>
        <v>0</v>
      </c>
      <c r="G163" s="13">
        <f t="shared" si="33"/>
        <v>1</v>
      </c>
      <c r="H163" s="13">
        <f t="shared" si="33"/>
        <v>1</v>
      </c>
      <c r="I163" s="13">
        <f t="shared" si="33"/>
        <v>1</v>
      </c>
      <c r="J163" s="13">
        <f t="shared" si="33"/>
        <v>0</v>
      </c>
      <c r="K163" s="13">
        <f t="shared" si="33"/>
        <v>1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1</v>
      </c>
      <c r="P163" s="13">
        <f t="shared" si="33"/>
        <v>2</v>
      </c>
      <c r="Q163" s="13">
        <f t="shared" si="33"/>
        <v>0</v>
      </c>
      <c r="R163" s="13">
        <f t="shared" si="33"/>
        <v>0</v>
      </c>
      <c r="S163" s="13">
        <f t="shared" si="33"/>
        <v>1</v>
      </c>
      <c r="T163" s="13">
        <f t="shared" si="33"/>
        <v>1</v>
      </c>
      <c r="U163" s="13">
        <f t="shared" si="33"/>
        <v>1</v>
      </c>
      <c r="V163" s="13">
        <f t="shared" si="33"/>
        <v>0</v>
      </c>
      <c r="W163" s="13">
        <f t="shared" si="33"/>
        <v>1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1</v>
      </c>
      <c r="AB163" s="13">
        <f t="shared" si="33"/>
        <v>0</v>
      </c>
      <c r="AC163" s="13">
        <f t="shared" si="33"/>
        <v>0</v>
      </c>
      <c r="AD163" s="13">
        <f t="shared" si="33"/>
        <v>0</v>
      </c>
      <c r="AE163" s="13">
        <f t="shared" si="33"/>
        <v>0</v>
      </c>
      <c r="AF163" s="13">
        <f t="shared" si="33"/>
        <v>2</v>
      </c>
      <c r="AG163" s="13">
        <f t="shared" si="33"/>
        <v>0</v>
      </c>
      <c r="AH163" s="13">
        <f t="shared" si="33"/>
        <v>0</v>
      </c>
      <c r="AI163" s="13">
        <f t="shared" si="33"/>
        <v>0</v>
      </c>
      <c r="AJ163" s="13">
        <f t="shared" si="33"/>
        <v>0</v>
      </c>
      <c r="AK163" s="13">
        <f t="shared" si="33"/>
        <v>0</v>
      </c>
      <c r="AL163" s="13">
        <f t="shared" si="33"/>
        <v>0</v>
      </c>
      <c r="AM163" s="13">
        <f t="shared" si="33"/>
        <v>0</v>
      </c>
      <c r="AN163" s="13">
        <f t="shared" si="33"/>
        <v>0</v>
      </c>
      <c r="AO163" s="13">
        <f t="shared" si="33"/>
        <v>0</v>
      </c>
      <c r="AP163" s="13">
        <f t="shared" si="33"/>
        <v>0</v>
      </c>
      <c r="AQ163" s="13">
        <f t="shared" si="33"/>
        <v>0</v>
      </c>
      <c r="AR163" s="13">
        <f t="shared" si="33"/>
        <v>1</v>
      </c>
      <c r="AS163" s="13">
        <f t="shared" si="33"/>
        <v>0</v>
      </c>
      <c r="AT163" s="13">
        <f t="shared" si="33"/>
        <v>0</v>
      </c>
      <c r="AU163" s="13">
        <f t="shared" si="33"/>
        <v>0</v>
      </c>
      <c r="AV163" s="13">
        <f t="shared" si="32"/>
        <v>17</v>
      </c>
      <c r="AW163" s="5"/>
      <c r="AX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  <c r="AS164" s="75"/>
      <c r="AT164" s="75"/>
      <c r="AU164" s="75"/>
      <c r="AV164" s="75"/>
      <c r="AW164" s="5"/>
      <c r="AX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1.0</v>
      </c>
      <c r="I165" s="19">
        <v>1.0</v>
      </c>
      <c r="J165" s="19">
        <v>1.0</v>
      </c>
      <c r="K165" s="19">
        <v>0.0</v>
      </c>
      <c r="L165" s="19">
        <v>1.0</v>
      </c>
      <c r="M165" s="19">
        <v>0.0</v>
      </c>
      <c r="N165" s="19">
        <v>0.0</v>
      </c>
      <c r="O165" s="19">
        <v>1.0</v>
      </c>
      <c r="P165" s="19">
        <v>0.0</v>
      </c>
      <c r="Q165" s="19">
        <v>0.0</v>
      </c>
      <c r="R165" s="19">
        <v>0.0</v>
      </c>
      <c r="S165" s="19">
        <v>1.0</v>
      </c>
      <c r="T165" s="19">
        <v>0.0</v>
      </c>
      <c r="U165" s="19">
        <v>1.0</v>
      </c>
      <c r="V165" s="19">
        <v>0.0</v>
      </c>
      <c r="W165" s="19">
        <v>1.0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0.0</v>
      </c>
      <c r="AJ165" s="19">
        <v>0.0</v>
      </c>
      <c r="AK165" s="19">
        <v>1.0</v>
      </c>
      <c r="AL165" s="19">
        <v>0.0</v>
      </c>
      <c r="AM165" s="19">
        <v>0.0</v>
      </c>
      <c r="AN165" s="19">
        <v>1.0</v>
      </c>
      <c r="AO165" s="19">
        <v>0.0</v>
      </c>
      <c r="AP165" s="19">
        <v>1.0</v>
      </c>
      <c r="AQ165" s="19">
        <v>0.0</v>
      </c>
      <c r="AR165" s="19">
        <v>0.0</v>
      </c>
      <c r="AS165" s="19">
        <v>1.0</v>
      </c>
      <c r="AT165" s="19">
        <v>1.0</v>
      </c>
      <c r="AU165" s="19">
        <v>0.0</v>
      </c>
      <c r="AV165" s="13">
        <f t="shared" ref="AV165:AV175" si="34">SUM(E165:AU165)</f>
        <v>13</v>
      </c>
      <c r="AW165" s="1"/>
      <c r="AX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1.0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1.0</v>
      </c>
      <c r="N166" s="19">
        <v>0.0</v>
      </c>
      <c r="O166" s="19">
        <v>0.0</v>
      </c>
      <c r="P166" s="19">
        <v>0.0</v>
      </c>
      <c r="Q166" s="19">
        <v>1.0</v>
      </c>
      <c r="R166" s="19">
        <v>1.0</v>
      </c>
      <c r="S166" s="19">
        <v>1.0</v>
      </c>
      <c r="T166" s="19">
        <v>0.0</v>
      </c>
      <c r="U166" s="19">
        <v>0.0</v>
      </c>
      <c r="V166" s="19">
        <v>1.0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0.0</v>
      </c>
      <c r="AH166" s="19">
        <v>0.0</v>
      </c>
      <c r="AI166" s="19">
        <v>0.0</v>
      </c>
      <c r="AJ166" s="19">
        <v>1.0</v>
      </c>
      <c r="AK166" s="19">
        <v>0.0</v>
      </c>
      <c r="AL166" s="19">
        <v>0.0</v>
      </c>
      <c r="AM166" s="19">
        <v>0.0</v>
      </c>
      <c r="AN166" s="19">
        <v>0.0</v>
      </c>
      <c r="AO166" s="19">
        <v>0.0</v>
      </c>
      <c r="AP166" s="19">
        <v>0.0</v>
      </c>
      <c r="AQ166" s="19">
        <v>0.0</v>
      </c>
      <c r="AR166" s="19">
        <v>1.0</v>
      </c>
      <c r="AS166" s="19">
        <v>0.0</v>
      </c>
      <c r="AT166" s="19">
        <v>0.0</v>
      </c>
      <c r="AU166" s="19">
        <v>0.0</v>
      </c>
      <c r="AV166" s="13">
        <f t="shared" si="34"/>
        <v>8</v>
      </c>
      <c r="AW166" s="52"/>
      <c r="AX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1.0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0.0</v>
      </c>
      <c r="AJ167" s="19">
        <v>0.0</v>
      </c>
      <c r="AK167" s="19">
        <v>0.0</v>
      </c>
      <c r="AL167" s="19">
        <v>0.0</v>
      </c>
      <c r="AM167" s="19">
        <v>0.0</v>
      </c>
      <c r="AN167" s="19">
        <v>0.0</v>
      </c>
      <c r="AO167" s="19">
        <v>0.0</v>
      </c>
      <c r="AP167" s="19">
        <v>1.0</v>
      </c>
      <c r="AQ167" s="19">
        <v>0.0</v>
      </c>
      <c r="AR167" s="19">
        <v>0.0</v>
      </c>
      <c r="AS167" s="19">
        <v>0.0</v>
      </c>
      <c r="AT167" s="19">
        <v>0.0</v>
      </c>
      <c r="AU167" s="19">
        <v>0.0</v>
      </c>
      <c r="AV167" s="13">
        <f t="shared" si="34"/>
        <v>2</v>
      </c>
      <c r="AW167" s="5"/>
      <c r="AX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1.0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1.0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9">
        <v>0.0</v>
      </c>
      <c r="AL168" s="19">
        <v>0.0</v>
      </c>
      <c r="AM168" s="19">
        <v>0.0</v>
      </c>
      <c r="AN168" s="19">
        <v>0.0</v>
      </c>
      <c r="AO168" s="19">
        <v>0.0</v>
      </c>
      <c r="AP168" s="19">
        <v>0.0</v>
      </c>
      <c r="AQ168" s="19">
        <v>0.0</v>
      </c>
      <c r="AR168" s="19">
        <v>0.0</v>
      </c>
      <c r="AS168" s="19">
        <v>0.0</v>
      </c>
      <c r="AT168" s="19">
        <v>0.0</v>
      </c>
      <c r="AU168" s="19">
        <v>0.0</v>
      </c>
      <c r="AV168" s="13">
        <f t="shared" si="34"/>
        <v>2</v>
      </c>
      <c r="AW168" s="5"/>
      <c r="AX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0.0</v>
      </c>
      <c r="AK169" s="19">
        <v>0.0</v>
      </c>
      <c r="AL169" s="19">
        <v>0.0</v>
      </c>
      <c r="AM169" s="19">
        <v>0.0</v>
      </c>
      <c r="AN169" s="19">
        <v>0.0</v>
      </c>
      <c r="AO169" s="19">
        <v>0.0</v>
      </c>
      <c r="AP169" s="19">
        <v>0.0</v>
      </c>
      <c r="AQ169" s="19">
        <v>0.0</v>
      </c>
      <c r="AR169" s="19">
        <v>0.0</v>
      </c>
      <c r="AS169" s="19">
        <v>1.0</v>
      </c>
      <c r="AT169" s="19">
        <v>0.0</v>
      </c>
      <c r="AU169" s="19">
        <v>0.0</v>
      </c>
      <c r="AV169" s="13">
        <f t="shared" si="34"/>
        <v>1</v>
      </c>
      <c r="AW169" s="5"/>
      <c r="AX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2.0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9">
        <v>0.0</v>
      </c>
      <c r="AM170" s="19">
        <v>0.0</v>
      </c>
      <c r="AN170" s="19">
        <v>0.0</v>
      </c>
      <c r="AO170" s="19">
        <v>0.0</v>
      </c>
      <c r="AP170" s="19">
        <v>0.0</v>
      </c>
      <c r="AQ170" s="19">
        <v>0.0</v>
      </c>
      <c r="AR170" s="19">
        <v>0.0</v>
      </c>
      <c r="AS170" s="19">
        <v>0.0</v>
      </c>
      <c r="AT170" s="19">
        <v>0.0</v>
      </c>
      <c r="AU170" s="19">
        <v>0.0</v>
      </c>
      <c r="AV170" s="13">
        <f t="shared" si="34"/>
        <v>2</v>
      </c>
      <c r="AW170" s="5"/>
      <c r="AX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1.0</v>
      </c>
      <c r="AL171" s="19">
        <v>0.0</v>
      </c>
      <c r="AM171" s="19">
        <v>0.0</v>
      </c>
      <c r="AN171" s="19">
        <v>0.0</v>
      </c>
      <c r="AO171" s="19">
        <v>0.0</v>
      </c>
      <c r="AP171" s="19">
        <v>0.0</v>
      </c>
      <c r="AQ171" s="19">
        <v>0.0</v>
      </c>
      <c r="AR171" s="19">
        <v>0.0</v>
      </c>
      <c r="AS171" s="19">
        <v>0.0</v>
      </c>
      <c r="AT171" s="19">
        <v>0.0</v>
      </c>
      <c r="AU171" s="19">
        <v>0.0</v>
      </c>
      <c r="AV171" s="13">
        <f t="shared" si="34"/>
        <v>1</v>
      </c>
      <c r="AW171" s="5"/>
      <c r="AX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1.0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1.0</v>
      </c>
      <c r="AI172" s="19">
        <v>0.0</v>
      </c>
      <c r="AJ172" s="19">
        <v>0.0</v>
      </c>
      <c r="AK172" s="19">
        <v>0.0</v>
      </c>
      <c r="AL172" s="19">
        <v>0.0</v>
      </c>
      <c r="AM172" s="19">
        <v>0.0</v>
      </c>
      <c r="AN172" s="19">
        <v>1.0</v>
      </c>
      <c r="AO172" s="19">
        <v>0.0</v>
      </c>
      <c r="AP172" s="19">
        <v>0.0</v>
      </c>
      <c r="AQ172" s="19">
        <v>0.0</v>
      </c>
      <c r="AR172" s="19">
        <v>0.0</v>
      </c>
      <c r="AS172" s="19">
        <v>0.0</v>
      </c>
      <c r="AT172" s="19">
        <v>0.0</v>
      </c>
      <c r="AU172" s="19">
        <v>0.0</v>
      </c>
      <c r="AV172" s="13">
        <f t="shared" si="34"/>
        <v>3</v>
      </c>
      <c r="AW172" s="5"/>
      <c r="AX172" s="5"/>
    </row>
    <row r="173" ht="12.75" customHeight="1">
      <c r="A173" s="18"/>
      <c r="B173" s="71"/>
      <c r="C173" s="72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3">
        <f t="shared" si="34"/>
        <v>0</v>
      </c>
      <c r="AW173" s="5"/>
      <c r="AX173" s="5"/>
    </row>
    <row r="174" ht="12.75" customHeight="1">
      <c r="A174" s="18"/>
      <c r="B174" s="71"/>
      <c r="C174" s="72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3">
        <f t="shared" si="34"/>
        <v>0</v>
      </c>
      <c r="AW174" s="5"/>
      <c r="AX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AU175" si="35">SUM(E165:E172)</f>
        <v>1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2</v>
      </c>
      <c r="J175" s="13">
        <f t="shared" si="35"/>
        <v>2</v>
      </c>
      <c r="K175" s="13">
        <f t="shared" si="35"/>
        <v>0</v>
      </c>
      <c r="L175" s="13">
        <f t="shared" si="35"/>
        <v>1</v>
      </c>
      <c r="M175" s="13">
        <f t="shared" si="35"/>
        <v>1</v>
      </c>
      <c r="N175" s="13">
        <f t="shared" si="35"/>
        <v>0</v>
      </c>
      <c r="O175" s="13">
        <f t="shared" si="35"/>
        <v>1</v>
      </c>
      <c r="P175" s="13">
        <f t="shared" si="35"/>
        <v>0</v>
      </c>
      <c r="Q175" s="13">
        <f t="shared" si="35"/>
        <v>1</v>
      </c>
      <c r="R175" s="13">
        <f t="shared" si="35"/>
        <v>2</v>
      </c>
      <c r="S175" s="13">
        <f t="shared" si="35"/>
        <v>2</v>
      </c>
      <c r="T175" s="13">
        <f t="shared" si="35"/>
        <v>0</v>
      </c>
      <c r="U175" s="13">
        <f t="shared" si="35"/>
        <v>1</v>
      </c>
      <c r="V175" s="13">
        <f t="shared" si="35"/>
        <v>1</v>
      </c>
      <c r="W175" s="13">
        <f t="shared" si="35"/>
        <v>1</v>
      </c>
      <c r="X175" s="13">
        <f t="shared" si="35"/>
        <v>1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2</v>
      </c>
      <c r="AC175" s="13">
        <f t="shared" si="35"/>
        <v>0</v>
      </c>
      <c r="AD175" s="13">
        <f t="shared" si="35"/>
        <v>0</v>
      </c>
      <c r="AE175" s="13">
        <f t="shared" si="35"/>
        <v>0</v>
      </c>
      <c r="AF175" s="13">
        <f t="shared" si="35"/>
        <v>0</v>
      </c>
      <c r="AG175" s="13">
        <f t="shared" si="35"/>
        <v>0</v>
      </c>
      <c r="AH175" s="13">
        <f t="shared" si="35"/>
        <v>1</v>
      </c>
      <c r="AI175" s="13">
        <f t="shared" si="35"/>
        <v>0</v>
      </c>
      <c r="AJ175" s="13">
        <f t="shared" si="35"/>
        <v>1</v>
      </c>
      <c r="AK175" s="13">
        <f t="shared" si="35"/>
        <v>2</v>
      </c>
      <c r="AL175" s="13">
        <f t="shared" si="35"/>
        <v>0</v>
      </c>
      <c r="AM175" s="13">
        <f t="shared" si="35"/>
        <v>0</v>
      </c>
      <c r="AN175" s="13">
        <f t="shared" si="35"/>
        <v>2</v>
      </c>
      <c r="AO175" s="13">
        <f t="shared" si="35"/>
        <v>0</v>
      </c>
      <c r="AP175" s="13">
        <f t="shared" si="35"/>
        <v>2</v>
      </c>
      <c r="AQ175" s="13">
        <f t="shared" si="35"/>
        <v>0</v>
      </c>
      <c r="AR175" s="13">
        <f t="shared" si="35"/>
        <v>1</v>
      </c>
      <c r="AS175" s="13">
        <f t="shared" si="35"/>
        <v>2</v>
      </c>
      <c r="AT175" s="13">
        <f t="shared" si="35"/>
        <v>1</v>
      </c>
      <c r="AU175" s="13">
        <f t="shared" si="35"/>
        <v>0</v>
      </c>
      <c r="AV175" s="13">
        <f t="shared" si="34"/>
        <v>32</v>
      </c>
      <c r="AW175" s="5"/>
      <c r="AX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75"/>
      <c r="AV176" s="75"/>
      <c r="AW176" s="1"/>
      <c r="AX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1.0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0.0</v>
      </c>
      <c r="N177" s="19">
        <v>0.0</v>
      </c>
      <c r="O177" s="19">
        <v>1.0</v>
      </c>
      <c r="P177" s="19">
        <v>0.0</v>
      </c>
      <c r="Q177" s="19">
        <v>0.0</v>
      </c>
      <c r="R177" s="19">
        <v>0.0</v>
      </c>
      <c r="S177" s="19">
        <v>0.0</v>
      </c>
      <c r="T177" s="19">
        <v>0.0</v>
      </c>
      <c r="U177" s="19">
        <v>0.0</v>
      </c>
      <c r="V177" s="19">
        <v>1.0</v>
      </c>
      <c r="W177" s="19">
        <v>0.0</v>
      </c>
      <c r="X177" s="19">
        <v>0.0</v>
      </c>
      <c r="Y177" s="19">
        <v>0.0</v>
      </c>
      <c r="Z177" s="19">
        <v>0.0</v>
      </c>
      <c r="AA177" s="19">
        <v>0.0</v>
      </c>
      <c r="AB177" s="19">
        <v>3.0</v>
      </c>
      <c r="AC177" s="19">
        <v>0.0</v>
      </c>
      <c r="AD177" s="19">
        <v>0.0</v>
      </c>
      <c r="AE177" s="19">
        <v>0.0</v>
      </c>
      <c r="AF177" s="19">
        <v>1.0</v>
      </c>
      <c r="AG177" s="19">
        <v>1.0</v>
      </c>
      <c r="AH177" s="19">
        <v>0.0</v>
      </c>
      <c r="AI177" s="19">
        <v>0.0</v>
      </c>
      <c r="AJ177" s="19">
        <v>0.0</v>
      </c>
      <c r="AK177" s="19">
        <v>0.0</v>
      </c>
      <c r="AL177" s="19">
        <v>0.0</v>
      </c>
      <c r="AM177" s="19">
        <v>0.0</v>
      </c>
      <c r="AN177" s="19">
        <v>0.0</v>
      </c>
      <c r="AO177" s="19">
        <v>1.0</v>
      </c>
      <c r="AP177" s="19">
        <v>0.0</v>
      </c>
      <c r="AQ177" s="19">
        <v>1.0</v>
      </c>
      <c r="AR177" s="19">
        <v>2.0</v>
      </c>
      <c r="AS177" s="19">
        <v>1.0</v>
      </c>
      <c r="AT177" s="19">
        <v>0.0</v>
      </c>
      <c r="AU177" s="19">
        <v>0.0</v>
      </c>
      <c r="AV177" s="13">
        <f t="shared" ref="AV177:AV187" si="36">SUM(E177:AU177)</f>
        <v>14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1.0</v>
      </c>
      <c r="G178" s="19">
        <v>0.0</v>
      </c>
      <c r="H178" s="19">
        <v>1.0</v>
      </c>
      <c r="I178" s="19">
        <v>0.0</v>
      </c>
      <c r="J178" s="19">
        <v>0.0</v>
      </c>
      <c r="K178" s="19">
        <v>0.0</v>
      </c>
      <c r="L178" s="19">
        <v>0.0</v>
      </c>
      <c r="M178" s="19">
        <v>1.0</v>
      </c>
      <c r="N178" s="19">
        <v>0.0</v>
      </c>
      <c r="O178" s="19">
        <v>2.0</v>
      </c>
      <c r="P178" s="19">
        <v>1.0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1.0</v>
      </c>
      <c r="W178" s="19">
        <v>1.0</v>
      </c>
      <c r="X178" s="19">
        <v>0.0</v>
      </c>
      <c r="Y178" s="19">
        <v>0.0</v>
      </c>
      <c r="Z178" s="19">
        <v>0.0</v>
      </c>
      <c r="AA178" s="19">
        <v>1.0</v>
      </c>
      <c r="AB178" s="19">
        <v>0.0</v>
      </c>
      <c r="AC178" s="19">
        <v>0.0</v>
      </c>
      <c r="AD178" s="19">
        <v>0.0</v>
      </c>
      <c r="AE178" s="19">
        <v>1.0</v>
      </c>
      <c r="AF178" s="19">
        <v>0.0</v>
      </c>
      <c r="AG178" s="19">
        <v>0.0</v>
      </c>
      <c r="AH178" s="19">
        <v>0.0</v>
      </c>
      <c r="AI178" s="19">
        <v>2.0</v>
      </c>
      <c r="AJ178" s="19">
        <v>0.0</v>
      </c>
      <c r="AK178" s="19">
        <v>0.0</v>
      </c>
      <c r="AL178" s="19">
        <v>0.0</v>
      </c>
      <c r="AM178" s="19">
        <v>0.0</v>
      </c>
      <c r="AN178" s="19">
        <v>0.0</v>
      </c>
      <c r="AO178" s="19">
        <v>0.0</v>
      </c>
      <c r="AP178" s="19">
        <v>0.0</v>
      </c>
      <c r="AQ178" s="19">
        <v>1.0</v>
      </c>
      <c r="AR178" s="19">
        <v>1.0</v>
      </c>
      <c r="AS178" s="19">
        <v>0.0</v>
      </c>
      <c r="AT178" s="19">
        <v>0.0</v>
      </c>
      <c r="AU178" s="19">
        <v>0.0</v>
      </c>
      <c r="AV178" s="13">
        <f t="shared" si="36"/>
        <v>14</v>
      </c>
      <c r="AW178" s="5"/>
      <c r="AX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2.0</v>
      </c>
      <c r="H179" s="19">
        <v>3.0</v>
      </c>
      <c r="I179" s="19">
        <v>0.0</v>
      </c>
      <c r="J179" s="19">
        <v>1.0</v>
      </c>
      <c r="K179" s="19">
        <v>1.0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1.0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1.0</v>
      </c>
      <c r="Y179" s="19">
        <v>0.0</v>
      </c>
      <c r="Z179" s="19">
        <v>2.0</v>
      </c>
      <c r="AA179" s="19">
        <v>1.0</v>
      </c>
      <c r="AB179" s="19">
        <v>0.0</v>
      </c>
      <c r="AC179" s="19">
        <v>1.0</v>
      </c>
      <c r="AD179" s="19">
        <v>1.0</v>
      </c>
      <c r="AE179" s="19">
        <v>0.0</v>
      </c>
      <c r="AF179" s="19">
        <v>0.0</v>
      </c>
      <c r="AG179" s="19">
        <v>1.0</v>
      </c>
      <c r="AH179" s="19">
        <v>1.0</v>
      </c>
      <c r="AI179" s="19">
        <v>0.0</v>
      </c>
      <c r="AJ179" s="19">
        <v>0.0</v>
      </c>
      <c r="AK179" s="19">
        <v>0.0</v>
      </c>
      <c r="AL179" s="19">
        <v>0.0</v>
      </c>
      <c r="AM179" s="19">
        <v>0.0</v>
      </c>
      <c r="AN179" s="19">
        <v>0.0</v>
      </c>
      <c r="AO179" s="19">
        <v>0.0</v>
      </c>
      <c r="AP179" s="19">
        <v>0.0</v>
      </c>
      <c r="AQ179" s="19">
        <v>0.0</v>
      </c>
      <c r="AR179" s="19">
        <v>0.0</v>
      </c>
      <c r="AS179" s="19">
        <v>1.0</v>
      </c>
      <c r="AT179" s="19">
        <v>0.0</v>
      </c>
      <c r="AU179" s="19">
        <v>0.0</v>
      </c>
      <c r="AV179" s="13">
        <f t="shared" si="36"/>
        <v>17</v>
      </c>
      <c r="AW179" s="5"/>
      <c r="AX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4.0</v>
      </c>
      <c r="G180" s="19">
        <v>1.0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1.0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1.0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0.0</v>
      </c>
      <c r="AI180" s="19">
        <v>0.0</v>
      </c>
      <c r="AJ180" s="19">
        <v>0.0</v>
      </c>
      <c r="AK180" s="19">
        <v>0.0</v>
      </c>
      <c r="AL180" s="19">
        <v>0.0</v>
      </c>
      <c r="AM180" s="19">
        <v>0.0</v>
      </c>
      <c r="AN180" s="19">
        <v>0.0</v>
      </c>
      <c r="AO180" s="19">
        <v>0.0</v>
      </c>
      <c r="AP180" s="19">
        <v>1.0</v>
      </c>
      <c r="AQ180" s="19">
        <v>0.0</v>
      </c>
      <c r="AR180" s="19">
        <v>0.0</v>
      </c>
      <c r="AS180" s="19">
        <v>0.0</v>
      </c>
      <c r="AT180" s="19">
        <v>0.0</v>
      </c>
      <c r="AU180" s="19">
        <v>0.0</v>
      </c>
      <c r="AV180" s="13">
        <f t="shared" si="36"/>
        <v>8</v>
      </c>
      <c r="AW180" s="5"/>
      <c r="AX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1.0</v>
      </c>
      <c r="H181" s="19">
        <v>0.0</v>
      </c>
      <c r="I181" s="19">
        <v>1.0</v>
      </c>
      <c r="J181" s="19">
        <v>1.0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1.0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1.0</v>
      </c>
      <c r="AB181" s="19">
        <v>0.0</v>
      </c>
      <c r="AC181" s="19">
        <v>0.0</v>
      </c>
      <c r="AD181" s="19">
        <v>1.0</v>
      </c>
      <c r="AE181" s="19">
        <v>0.0</v>
      </c>
      <c r="AF181" s="19">
        <v>0.0</v>
      </c>
      <c r="AG181" s="19">
        <v>0.0</v>
      </c>
      <c r="AH181" s="19">
        <v>0.0</v>
      </c>
      <c r="AI181" s="19">
        <v>0.0</v>
      </c>
      <c r="AJ181" s="19">
        <v>0.0</v>
      </c>
      <c r="AK181" s="19">
        <v>0.0</v>
      </c>
      <c r="AL181" s="19">
        <v>0.0</v>
      </c>
      <c r="AM181" s="19">
        <v>0.0</v>
      </c>
      <c r="AN181" s="19">
        <v>0.0</v>
      </c>
      <c r="AO181" s="19">
        <v>0.0</v>
      </c>
      <c r="AP181" s="19">
        <v>0.0</v>
      </c>
      <c r="AQ181" s="19">
        <v>0.0</v>
      </c>
      <c r="AR181" s="19">
        <v>1.0</v>
      </c>
      <c r="AS181" s="19">
        <v>1.0</v>
      </c>
      <c r="AT181" s="19">
        <v>0.0</v>
      </c>
      <c r="AU181" s="19">
        <v>0.0</v>
      </c>
      <c r="AV181" s="13">
        <f t="shared" si="36"/>
        <v>8</v>
      </c>
      <c r="AW181" s="5"/>
      <c r="AX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9">
        <v>0.0</v>
      </c>
      <c r="AN182" s="19">
        <v>0.0</v>
      </c>
      <c r="AO182" s="19">
        <v>0.0</v>
      </c>
      <c r="AP182" s="19">
        <v>0.0</v>
      </c>
      <c r="AQ182" s="19">
        <v>0.0</v>
      </c>
      <c r="AR182" s="19">
        <v>0.0</v>
      </c>
      <c r="AS182" s="19">
        <v>0.0</v>
      </c>
      <c r="AT182" s="19">
        <v>0.0</v>
      </c>
      <c r="AU182" s="19">
        <v>0.0</v>
      </c>
      <c r="AV182" s="13">
        <f t="shared" si="36"/>
        <v>0</v>
      </c>
      <c r="AW182" s="5"/>
      <c r="AX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1.0</v>
      </c>
      <c r="AL183" s="19">
        <v>0.0</v>
      </c>
      <c r="AM183" s="19">
        <v>0.0</v>
      </c>
      <c r="AN183" s="19">
        <v>0.0</v>
      </c>
      <c r="AO183" s="19">
        <v>0.0</v>
      </c>
      <c r="AP183" s="19">
        <v>0.0</v>
      </c>
      <c r="AQ183" s="19">
        <v>0.0</v>
      </c>
      <c r="AR183" s="19">
        <v>0.0</v>
      </c>
      <c r="AS183" s="19">
        <v>0.0</v>
      </c>
      <c r="AT183" s="19">
        <v>0.0</v>
      </c>
      <c r="AU183" s="19">
        <v>0.0</v>
      </c>
      <c r="AV183" s="13">
        <f t="shared" si="36"/>
        <v>1</v>
      </c>
      <c r="AW183" s="5"/>
      <c r="AX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3.0</v>
      </c>
      <c r="I184" s="19">
        <v>1.0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0.0</v>
      </c>
      <c r="AK184" s="19">
        <v>0.0</v>
      </c>
      <c r="AL184" s="19">
        <v>0.0</v>
      </c>
      <c r="AM184" s="19">
        <v>0.0</v>
      </c>
      <c r="AN184" s="19">
        <v>0.0</v>
      </c>
      <c r="AO184" s="19">
        <v>0.0</v>
      </c>
      <c r="AP184" s="19">
        <v>0.0</v>
      </c>
      <c r="AQ184" s="19">
        <v>0.0</v>
      </c>
      <c r="AR184" s="19">
        <v>0.0</v>
      </c>
      <c r="AS184" s="19">
        <v>0.0</v>
      </c>
      <c r="AT184" s="19">
        <v>1.0</v>
      </c>
      <c r="AU184" s="19">
        <v>0.0</v>
      </c>
      <c r="AV184" s="13">
        <f t="shared" si="36"/>
        <v>5</v>
      </c>
      <c r="AW184" s="5"/>
      <c r="AX184" s="5"/>
    </row>
    <row r="185" ht="12.75" customHeight="1">
      <c r="A185" s="18"/>
      <c r="B185" s="71"/>
      <c r="C185" s="72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3">
        <f t="shared" si="36"/>
        <v>0</v>
      </c>
      <c r="AW185" s="5"/>
      <c r="AX185" s="5"/>
    </row>
    <row r="186" ht="12.75" customHeight="1">
      <c r="A186" s="18"/>
      <c r="B186" s="71"/>
      <c r="C186" s="72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3">
        <f t="shared" si="36"/>
        <v>0</v>
      </c>
      <c r="AW186" s="5"/>
      <c r="AX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U187" si="37">SUM(E177:E184)</f>
        <v>1</v>
      </c>
      <c r="F187" s="13">
        <f t="shared" si="37"/>
        <v>6</v>
      </c>
      <c r="G187" s="13">
        <f t="shared" si="37"/>
        <v>4</v>
      </c>
      <c r="H187" s="13">
        <f t="shared" si="37"/>
        <v>7</v>
      </c>
      <c r="I187" s="13">
        <f t="shared" si="37"/>
        <v>2</v>
      </c>
      <c r="J187" s="13">
        <f t="shared" si="37"/>
        <v>2</v>
      </c>
      <c r="K187" s="13">
        <f t="shared" si="37"/>
        <v>1</v>
      </c>
      <c r="L187" s="13">
        <f t="shared" si="37"/>
        <v>0</v>
      </c>
      <c r="M187" s="13">
        <f t="shared" si="37"/>
        <v>1</v>
      </c>
      <c r="N187" s="13">
        <f t="shared" si="37"/>
        <v>0</v>
      </c>
      <c r="O187" s="13">
        <f t="shared" si="37"/>
        <v>3</v>
      </c>
      <c r="P187" s="13">
        <f t="shared" si="37"/>
        <v>1</v>
      </c>
      <c r="Q187" s="13">
        <f t="shared" si="37"/>
        <v>2</v>
      </c>
      <c r="R187" s="13">
        <f t="shared" si="37"/>
        <v>1</v>
      </c>
      <c r="S187" s="13">
        <f t="shared" si="37"/>
        <v>0</v>
      </c>
      <c r="T187" s="13">
        <f t="shared" si="37"/>
        <v>0</v>
      </c>
      <c r="U187" s="13">
        <f t="shared" si="37"/>
        <v>0</v>
      </c>
      <c r="V187" s="13">
        <f t="shared" si="37"/>
        <v>2</v>
      </c>
      <c r="W187" s="13">
        <f t="shared" si="37"/>
        <v>1</v>
      </c>
      <c r="X187" s="13">
        <f t="shared" si="37"/>
        <v>1</v>
      </c>
      <c r="Y187" s="13">
        <f t="shared" si="37"/>
        <v>0</v>
      </c>
      <c r="Z187" s="13">
        <f t="shared" si="37"/>
        <v>2</v>
      </c>
      <c r="AA187" s="13">
        <f t="shared" si="37"/>
        <v>4</v>
      </c>
      <c r="AB187" s="13">
        <f t="shared" si="37"/>
        <v>3</v>
      </c>
      <c r="AC187" s="13">
        <f t="shared" si="37"/>
        <v>1</v>
      </c>
      <c r="AD187" s="13">
        <f t="shared" si="37"/>
        <v>2</v>
      </c>
      <c r="AE187" s="13">
        <f t="shared" si="37"/>
        <v>1</v>
      </c>
      <c r="AF187" s="13">
        <f t="shared" si="37"/>
        <v>1</v>
      </c>
      <c r="AG187" s="13">
        <f t="shared" si="37"/>
        <v>2</v>
      </c>
      <c r="AH187" s="13">
        <f t="shared" si="37"/>
        <v>1</v>
      </c>
      <c r="AI187" s="13">
        <f t="shared" si="37"/>
        <v>2</v>
      </c>
      <c r="AJ187" s="13">
        <f t="shared" si="37"/>
        <v>0</v>
      </c>
      <c r="AK187" s="13">
        <f t="shared" si="37"/>
        <v>1</v>
      </c>
      <c r="AL187" s="13">
        <f t="shared" si="37"/>
        <v>0</v>
      </c>
      <c r="AM187" s="13">
        <f t="shared" si="37"/>
        <v>0</v>
      </c>
      <c r="AN187" s="13">
        <f t="shared" si="37"/>
        <v>0</v>
      </c>
      <c r="AO187" s="13">
        <f t="shared" si="37"/>
        <v>1</v>
      </c>
      <c r="AP187" s="13">
        <f t="shared" si="37"/>
        <v>1</v>
      </c>
      <c r="AQ187" s="13">
        <f t="shared" si="37"/>
        <v>2</v>
      </c>
      <c r="AR187" s="13">
        <f t="shared" si="37"/>
        <v>4</v>
      </c>
      <c r="AS187" s="13">
        <f t="shared" si="37"/>
        <v>3</v>
      </c>
      <c r="AT187" s="13">
        <f t="shared" si="37"/>
        <v>1</v>
      </c>
      <c r="AU187" s="13">
        <f t="shared" si="37"/>
        <v>0</v>
      </c>
      <c r="AV187" s="13">
        <f t="shared" si="36"/>
        <v>67</v>
      </c>
      <c r="AW187" s="1"/>
      <c r="AX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75"/>
      <c r="AK188" s="75"/>
      <c r="AL188" s="75"/>
      <c r="AM188" s="75"/>
      <c r="AN188" s="75"/>
      <c r="AO188" s="75"/>
      <c r="AP188" s="75"/>
      <c r="AQ188" s="75"/>
      <c r="AR188" s="75"/>
      <c r="AS188" s="75"/>
      <c r="AT188" s="75"/>
      <c r="AU188" s="75"/>
      <c r="AV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3.0</v>
      </c>
      <c r="G189" s="19">
        <v>0.0</v>
      </c>
      <c r="H189" s="19">
        <v>0.0</v>
      </c>
      <c r="I189" s="19">
        <v>0.0</v>
      </c>
      <c r="J189" s="19">
        <v>0.0</v>
      </c>
      <c r="K189" s="19">
        <v>1.0</v>
      </c>
      <c r="L189" s="19">
        <v>2.0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1.0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1.0</v>
      </c>
      <c r="AG189" s="19">
        <v>0.0</v>
      </c>
      <c r="AH189" s="19">
        <v>0.0</v>
      </c>
      <c r="AI189" s="19">
        <v>0.0</v>
      </c>
      <c r="AJ189" s="19">
        <v>0.0</v>
      </c>
      <c r="AK189" s="19">
        <v>0.0</v>
      </c>
      <c r="AL189" s="19">
        <v>0.0</v>
      </c>
      <c r="AM189" s="19">
        <v>0.0</v>
      </c>
      <c r="AN189" s="19">
        <v>0.0</v>
      </c>
      <c r="AO189" s="19">
        <v>0.0</v>
      </c>
      <c r="AP189" s="19">
        <v>0.0</v>
      </c>
      <c r="AQ189" s="19">
        <v>0.0</v>
      </c>
      <c r="AR189" s="19">
        <v>0.0</v>
      </c>
      <c r="AS189" s="19">
        <v>1.0</v>
      </c>
      <c r="AT189" s="19">
        <v>0.0</v>
      </c>
      <c r="AU189" s="19">
        <v>0.0</v>
      </c>
      <c r="AV189" s="13">
        <f t="shared" ref="AV189:AV199" si="38">SUM(E189:AU189)</f>
        <v>9</v>
      </c>
      <c r="AW189" s="5"/>
      <c r="AX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9">
        <v>0.0</v>
      </c>
      <c r="AL190" s="19">
        <v>0.0</v>
      </c>
      <c r="AM190" s="19">
        <v>0.0</v>
      </c>
      <c r="AN190" s="19">
        <v>0.0</v>
      </c>
      <c r="AO190" s="19">
        <v>0.0</v>
      </c>
      <c r="AP190" s="19">
        <v>0.0</v>
      </c>
      <c r="AQ190" s="19">
        <v>0.0</v>
      </c>
      <c r="AR190" s="19">
        <v>0.0</v>
      </c>
      <c r="AS190" s="19">
        <v>0.0</v>
      </c>
      <c r="AT190" s="19">
        <v>0.0</v>
      </c>
      <c r="AU190" s="19">
        <v>0.0</v>
      </c>
      <c r="AV190" s="13">
        <f t="shared" si="38"/>
        <v>0</v>
      </c>
      <c r="AW190" s="5"/>
      <c r="AX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1.0</v>
      </c>
      <c r="L191" s="19">
        <v>0.0</v>
      </c>
      <c r="M191" s="19">
        <v>0.0</v>
      </c>
      <c r="N191" s="19">
        <v>0.0</v>
      </c>
      <c r="O191" s="19">
        <v>0.0</v>
      </c>
      <c r="P191" s="19">
        <v>1.0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0.0</v>
      </c>
      <c r="AL191" s="19">
        <v>0.0</v>
      </c>
      <c r="AM191" s="19">
        <v>0.0</v>
      </c>
      <c r="AN191" s="19">
        <v>0.0</v>
      </c>
      <c r="AO191" s="19">
        <v>0.0</v>
      </c>
      <c r="AP191" s="19">
        <v>0.0</v>
      </c>
      <c r="AQ191" s="19">
        <v>0.0</v>
      </c>
      <c r="AR191" s="19">
        <v>0.0</v>
      </c>
      <c r="AS191" s="19">
        <v>0.0</v>
      </c>
      <c r="AT191" s="19">
        <v>0.0</v>
      </c>
      <c r="AU191" s="19">
        <v>0.0</v>
      </c>
      <c r="AV191" s="13">
        <f t="shared" si="38"/>
        <v>2</v>
      </c>
      <c r="AW191" s="5"/>
      <c r="AX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0.0</v>
      </c>
      <c r="AM192" s="19">
        <v>0.0</v>
      </c>
      <c r="AN192" s="19">
        <v>0.0</v>
      </c>
      <c r="AO192" s="19">
        <v>0.0</v>
      </c>
      <c r="AP192" s="19">
        <v>0.0</v>
      </c>
      <c r="AQ192" s="19">
        <v>0.0</v>
      </c>
      <c r="AR192" s="19">
        <v>0.0</v>
      </c>
      <c r="AS192" s="19">
        <v>0.0</v>
      </c>
      <c r="AT192" s="19">
        <v>0.0</v>
      </c>
      <c r="AU192" s="19">
        <v>0.0</v>
      </c>
      <c r="AV192" s="13">
        <f t="shared" si="38"/>
        <v>0</v>
      </c>
      <c r="AW192" s="5"/>
      <c r="AX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9">
        <v>0.0</v>
      </c>
      <c r="AN193" s="19">
        <v>0.0</v>
      </c>
      <c r="AO193" s="19">
        <v>0.0</v>
      </c>
      <c r="AP193" s="19">
        <v>0.0</v>
      </c>
      <c r="AQ193" s="19">
        <v>0.0</v>
      </c>
      <c r="AR193" s="19">
        <v>0.0</v>
      </c>
      <c r="AS193" s="19">
        <v>0.0</v>
      </c>
      <c r="AT193" s="19">
        <v>0.0</v>
      </c>
      <c r="AU193" s="19">
        <v>0.0</v>
      </c>
      <c r="AV193" s="13">
        <f t="shared" si="38"/>
        <v>0</v>
      </c>
      <c r="AW193" s="5"/>
      <c r="AX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1.0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9">
        <v>0.0</v>
      </c>
      <c r="AN194" s="19">
        <v>0.0</v>
      </c>
      <c r="AO194" s="19">
        <v>0.0</v>
      </c>
      <c r="AP194" s="19">
        <v>0.0</v>
      </c>
      <c r="AQ194" s="19">
        <v>0.0</v>
      </c>
      <c r="AR194" s="19">
        <v>1.0</v>
      </c>
      <c r="AS194" s="19">
        <v>0.0</v>
      </c>
      <c r="AT194" s="19">
        <v>0.0</v>
      </c>
      <c r="AU194" s="19">
        <v>0.0</v>
      </c>
      <c r="AV194" s="13">
        <f t="shared" si="38"/>
        <v>2</v>
      </c>
      <c r="AW194" s="5"/>
      <c r="AX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9">
        <v>0.0</v>
      </c>
      <c r="AN195" s="19">
        <v>0.0</v>
      </c>
      <c r="AO195" s="19">
        <v>0.0</v>
      </c>
      <c r="AP195" s="19">
        <v>0.0</v>
      </c>
      <c r="AQ195" s="19">
        <v>0.0</v>
      </c>
      <c r="AR195" s="19">
        <v>0.0</v>
      </c>
      <c r="AS195" s="19">
        <v>0.0</v>
      </c>
      <c r="AT195" s="19">
        <v>0.0</v>
      </c>
      <c r="AU195" s="19">
        <v>0.0</v>
      </c>
      <c r="AV195" s="13">
        <f t="shared" si="38"/>
        <v>0</v>
      </c>
      <c r="AW195" s="5"/>
      <c r="AX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9">
        <v>0.0</v>
      </c>
      <c r="AM196" s="19">
        <v>0.0</v>
      </c>
      <c r="AN196" s="19">
        <v>0.0</v>
      </c>
      <c r="AO196" s="19">
        <v>0.0</v>
      </c>
      <c r="AP196" s="19">
        <v>0.0</v>
      </c>
      <c r="AQ196" s="19">
        <v>0.0</v>
      </c>
      <c r="AR196" s="19">
        <v>0.0</v>
      </c>
      <c r="AS196" s="19">
        <v>0.0</v>
      </c>
      <c r="AT196" s="19">
        <v>0.0</v>
      </c>
      <c r="AU196" s="19">
        <v>0.0</v>
      </c>
      <c r="AV196" s="13">
        <f t="shared" si="38"/>
        <v>0</v>
      </c>
      <c r="AW196" s="1"/>
      <c r="AX196" s="1"/>
    </row>
    <row r="197" ht="12.75" customHeight="1">
      <c r="A197" s="18"/>
      <c r="B197" s="71"/>
      <c r="C197" s="72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3">
        <f t="shared" si="38"/>
        <v>0</v>
      </c>
      <c r="AW197" s="1"/>
      <c r="AX197" s="1"/>
    </row>
    <row r="198" ht="12.75" customHeight="1">
      <c r="A198" s="18"/>
      <c r="B198" s="71"/>
      <c r="C198" s="72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3">
        <f t="shared" si="38"/>
        <v>0</v>
      </c>
      <c r="AW198" s="1"/>
      <c r="AX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AU199" si="39">SUM(E189:E196)</f>
        <v>0</v>
      </c>
      <c r="F199" s="13">
        <f t="shared" si="39"/>
        <v>3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2</v>
      </c>
      <c r="L199" s="13">
        <f t="shared" si="39"/>
        <v>2</v>
      </c>
      <c r="M199" s="13">
        <f t="shared" si="39"/>
        <v>0</v>
      </c>
      <c r="N199" s="13">
        <f t="shared" si="39"/>
        <v>0</v>
      </c>
      <c r="O199" s="13">
        <f t="shared" si="39"/>
        <v>1</v>
      </c>
      <c r="P199" s="13">
        <f t="shared" si="39"/>
        <v>1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1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1</v>
      </c>
      <c r="AG199" s="13">
        <f t="shared" si="39"/>
        <v>0</v>
      </c>
      <c r="AH199" s="13">
        <f t="shared" si="39"/>
        <v>0</v>
      </c>
      <c r="AI199" s="13">
        <f t="shared" si="39"/>
        <v>0</v>
      </c>
      <c r="AJ199" s="13">
        <f t="shared" si="39"/>
        <v>0</v>
      </c>
      <c r="AK199" s="13">
        <f t="shared" si="39"/>
        <v>0</v>
      </c>
      <c r="AL199" s="13">
        <f t="shared" si="39"/>
        <v>0</v>
      </c>
      <c r="AM199" s="13">
        <f t="shared" si="39"/>
        <v>0</v>
      </c>
      <c r="AN199" s="13">
        <f t="shared" si="39"/>
        <v>0</v>
      </c>
      <c r="AO199" s="13">
        <f t="shared" si="39"/>
        <v>0</v>
      </c>
      <c r="AP199" s="13">
        <f t="shared" si="39"/>
        <v>0</v>
      </c>
      <c r="AQ199" s="13">
        <f t="shared" si="39"/>
        <v>0</v>
      </c>
      <c r="AR199" s="13">
        <f t="shared" si="39"/>
        <v>1</v>
      </c>
      <c r="AS199" s="13">
        <f t="shared" si="39"/>
        <v>1</v>
      </c>
      <c r="AT199" s="13">
        <f t="shared" si="39"/>
        <v>0</v>
      </c>
      <c r="AU199" s="13">
        <f t="shared" si="39"/>
        <v>0</v>
      </c>
      <c r="AV199" s="13">
        <f t="shared" si="38"/>
        <v>13</v>
      </c>
      <c r="AW199" s="52"/>
      <c r="AX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/>
      <c r="AT200" s="75"/>
      <c r="AU200" s="75"/>
      <c r="AV200" s="75"/>
      <c r="AW200" s="5"/>
      <c r="AX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2.0</v>
      </c>
      <c r="F201" s="19">
        <v>1.0</v>
      </c>
      <c r="G201" s="19">
        <v>3.0</v>
      </c>
      <c r="H201" s="19">
        <v>2.0</v>
      </c>
      <c r="I201" s="19">
        <v>2.0</v>
      </c>
      <c r="J201" s="19">
        <v>5.0</v>
      </c>
      <c r="K201" s="19">
        <v>5.0</v>
      </c>
      <c r="L201" s="19">
        <v>3.0</v>
      </c>
      <c r="M201" s="19">
        <v>1.0</v>
      </c>
      <c r="N201" s="19">
        <v>5.0</v>
      </c>
      <c r="O201" s="19">
        <v>3.0</v>
      </c>
      <c r="P201" s="19">
        <v>3.0</v>
      </c>
      <c r="Q201" s="19">
        <v>2.0</v>
      </c>
      <c r="R201" s="19">
        <v>2.0</v>
      </c>
      <c r="S201" s="19">
        <v>6.0</v>
      </c>
      <c r="T201" s="19">
        <v>1.0</v>
      </c>
      <c r="U201" s="19">
        <v>4.0</v>
      </c>
      <c r="V201" s="19">
        <v>3.0</v>
      </c>
      <c r="W201" s="19">
        <v>6.0</v>
      </c>
      <c r="X201" s="19">
        <v>2.0</v>
      </c>
      <c r="Y201" s="19">
        <v>2.0</v>
      </c>
      <c r="Z201" s="19">
        <v>0.0</v>
      </c>
      <c r="AA201" s="19">
        <v>7.0</v>
      </c>
      <c r="AB201" s="19">
        <v>6.0</v>
      </c>
      <c r="AC201" s="19">
        <v>4.0</v>
      </c>
      <c r="AD201" s="19">
        <v>5.0</v>
      </c>
      <c r="AE201" s="19">
        <v>1.0</v>
      </c>
      <c r="AF201" s="19">
        <v>4.0</v>
      </c>
      <c r="AG201" s="19">
        <v>4.0</v>
      </c>
      <c r="AH201" s="19">
        <v>7.0</v>
      </c>
      <c r="AI201" s="19">
        <v>1.0</v>
      </c>
      <c r="AJ201" s="19">
        <v>1.0</v>
      </c>
      <c r="AK201" s="19">
        <v>2.0</v>
      </c>
      <c r="AL201" s="19">
        <v>1.0</v>
      </c>
      <c r="AM201" s="19">
        <v>5.0</v>
      </c>
      <c r="AN201" s="19">
        <v>3.0</v>
      </c>
      <c r="AO201" s="19">
        <v>2.0</v>
      </c>
      <c r="AP201" s="19">
        <v>1.0</v>
      </c>
      <c r="AQ201" s="19">
        <v>0.0</v>
      </c>
      <c r="AR201" s="19">
        <v>2.0</v>
      </c>
      <c r="AS201" s="19">
        <v>1.0</v>
      </c>
      <c r="AT201" s="19">
        <v>4.0</v>
      </c>
      <c r="AU201" s="19">
        <v>2.0</v>
      </c>
      <c r="AV201" s="13">
        <f t="shared" ref="AV201:AV211" si="40">SUM(E201:AU201)</f>
        <v>126</v>
      </c>
      <c r="AW201" s="5"/>
      <c r="AX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11.0</v>
      </c>
      <c r="F202" s="19">
        <v>3.0</v>
      </c>
      <c r="G202" s="19">
        <v>4.0</v>
      </c>
      <c r="H202" s="19">
        <v>8.0</v>
      </c>
      <c r="I202" s="19">
        <v>7.0</v>
      </c>
      <c r="J202" s="19">
        <v>13.0</v>
      </c>
      <c r="K202" s="19">
        <v>0.0</v>
      </c>
      <c r="L202" s="19">
        <v>6.0</v>
      </c>
      <c r="M202" s="19">
        <v>0.0</v>
      </c>
      <c r="N202" s="19">
        <v>16.0</v>
      </c>
      <c r="O202" s="19">
        <v>7.0</v>
      </c>
      <c r="P202" s="19">
        <v>2.0</v>
      </c>
      <c r="Q202" s="19">
        <v>6.0</v>
      </c>
      <c r="R202" s="19">
        <v>3.0</v>
      </c>
      <c r="S202" s="19">
        <v>9.0</v>
      </c>
      <c r="T202" s="19">
        <v>5.0</v>
      </c>
      <c r="U202" s="19">
        <v>5.0</v>
      </c>
      <c r="V202" s="19">
        <v>8.0</v>
      </c>
      <c r="W202" s="19">
        <v>2.0</v>
      </c>
      <c r="X202" s="19">
        <v>15.0</v>
      </c>
      <c r="Y202" s="19">
        <v>0.0</v>
      </c>
      <c r="Z202" s="19">
        <v>3.0</v>
      </c>
      <c r="AA202" s="19">
        <v>9.0</v>
      </c>
      <c r="AB202" s="19">
        <v>5.0</v>
      </c>
      <c r="AC202" s="19">
        <v>6.0</v>
      </c>
      <c r="AD202" s="19">
        <v>3.0</v>
      </c>
      <c r="AE202" s="19">
        <v>8.0</v>
      </c>
      <c r="AF202" s="19">
        <v>3.0</v>
      </c>
      <c r="AG202" s="19">
        <v>3.0</v>
      </c>
      <c r="AH202" s="19">
        <v>32.0</v>
      </c>
      <c r="AI202" s="19">
        <v>1.0</v>
      </c>
      <c r="AJ202" s="19">
        <v>2.0</v>
      </c>
      <c r="AK202" s="19">
        <v>3.0</v>
      </c>
      <c r="AL202" s="19">
        <v>5.0</v>
      </c>
      <c r="AM202" s="19">
        <v>1.0</v>
      </c>
      <c r="AN202" s="19">
        <v>4.0</v>
      </c>
      <c r="AO202" s="19">
        <v>1.0</v>
      </c>
      <c r="AP202" s="19">
        <v>4.0</v>
      </c>
      <c r="AQ202" s="19">
        <v>2.0</v>
      </c>
      <c r="AR202" s="19">
        <v>5.0</v>
      </c>
      <c r="AS202" s="19">
        <v>2.0</v>
      </c>
      <c r="AT202" s="19">
        <v>3.0</v>
      </c>
      <c r="AU202" s="19">
        <v>1.0</v>
      </c>
      <c r="AV202" s="13">
        <f t="shared" si="40"/>
        <v>236</v>
      </c>
      <c r="AW202" s="5"/>
      <c r="AX202" s="5"/>
    </row>
    <row r="203" ht="12.75" customHeight="1">
      <c r="A203" s="18"/>
      <c r="B203" s="55">
        <v>2.0</v>
      </c>
      <c r="C203" s="50" t="s">
        <v>149</v>
      </c>
      <c r="D203" s="57"/>
      <c r="E203" s="19">
        <v>3.0</v>
      </c>
      <c r="F203" s="19">
        <v>0.0</v>
      </c>
      <c r="G203" s="19">
        <v>1.0</v>
      </c>
      <c r="H203" s="19">
        <v>0.0</v>
      </c>
      <c r="I203" s="19">
        <v>4.0</v>
      </c>
      <c r="J203" s="19">
        <v>2.0</v>
      </c>
      <c r="K203" s="19">
        <v>0.0</v>
      </c>
      <c r="L203" s="19">
        <v>0.0</v>
      </c>
      <c r="M203" s="19">
        <v>0.0</v>
      </c>
      <c r="N203" s="19">
        <v>0.0</v>
      </c>
      <c r="O203" s="19">
        <v>3.0</v>
      </c>
      <c r="P203" s="19">
        <v>0.0</v>
      </c>
      <c r="Q203" s="19">
        <v>2.0</v>
      </c>
      <c r="R203" s="19">
        <v>4.0</v>
      </c>
      <c r="S203" s="19">
        <v>10.0</v>
      </c>
      <c r="T203" s="19">
        <v>0.0</v>
      </c>
      <c r="U203" s="19">
        <v>3.0</v>
      </c>
      <c r="V203" s="19">
        <v>2.0</v>
      </c>
      <c r="W203" s="19">
        <v>3.0</v>
      </c>
      <c r="X203" s="19">
        <v>10.0</v>
      </c>
      <c r="Y203" s="19">
        <v>7.0</v>
      </c>
      <c r="Z203" s="19">
        <v>0.0</v>
      </c>
      <c r="AA203" s="19">
        <v>3.0</v>
      </c>
      <c r="AB203" s="19">
        <v>2.0</v>
      </c>
      <c r="AC203" s="19">
        <v>2.0</v>
      </c>
      <c r="AD203" s="19">
        <v>1.0</v>
      </c>
      <c r="AE203" s="19">
        <v>2.0</v>
      </c>
      <c r="AF203" s="19">
        <v>1.0</v>
      </c>
      <c r="AG203" s="19">
        <v>1.0</v>
      </c>
      <c r="AH203" s="19">
        <v>3.0</v>
      </c>
      <c r="AI203" s="19">
        <v>4.0</v>
      </c>
      <c r="AJ203" s="19">
        <v>0.0</v>
      </c>
      <c r="AK203" s="19">
        <v>1.0</v>
      </c>
      <c r="AL203" s="19">
        <v>0.0</v>
      </c>
      <c r="AM203" s="19">
        <v>0.0</v>
      </c>
      <c r="AN203" s="19">
        <v>3.0</v>
      </c>
      <c r="AO203" s="19">
        <v>0.0</v>
      </c>
      <c r="AP203" s="19">
        <v>1.0</v>
      </c>
      <c r="AQ203" s="19">
        <v>3.0</v>
      </c>
      <c r="AR203" s="19">
        <v>0.0</v>
      </c>
      <c r="AS203" s="19">
        <v>0.0</v>
      </c>
      <c r="AT203" s="19">
        <v>2.0</v>
      </c>
      <c r="AU203" s="19">
        <v>0.0</v>
      </c>
      <c r="AV203" s="13">
        <f t="shared" si="40"/>
        <v>83</v>
      </c>
      <c r="AW203" s="5"/>
      <c r="AX203" s="5"/>
    </row>
    <row r="204" ht="12.75" customHeight="1">
      <c r="A204" s="18"/>
      <c r="B204" s="55">
        <v>3.0</v>
      </c>
      <c r="C204" s="50" t="s">
        <v>150</v>
      </c>
      <c r="D204" s="57"/>
      <c r="E204" s="19">
        <v>1.0</v>
      </c>
      <c r="F204" s="19">
        <v>0.0</v>
      </c>
      <c r="G204" s="19">
        <v>1.0</v>
      </c>
      <c r="H204" s="19">
        <v>1.0</v>
      </c>
      <c r="I204" s="19">
        <v>0.0</v>
      </c>
      <c r="J204" s="19">
        <v>1.0</v>
      </c>
      <c r="K204" s="19">
        <v>2.0</v>
      </c>
      <c r="L204" s="19">
        <v>0.0</v>
      </c>
      <c r="M204" s="19">
        <v>1.0</v>
      </c>
      <c r="N204" s="19">
        <v>1.0</v>
      </c>
      <c r="O204" s="19">
        <v>0.0</v>
      </c>
      <c r="P204" s="19">
        <v>0.0</v>
      </c>
      <c r="Q204" s="19">
        <v>0.0</v>
      </c>
      <c r="R204" s="19">
        <v>1.0</v>
      </c>
      <c r="S204" s="19">
        <v>1.0</v>
      </c>
      <c r="T204" s="19">
        <v>0.0</v>
      </c>
      <c r="U204" s="19">
        <v>0.0</v>
      </c>
      <c r="V204" s="19">
        <v>1.0</v>
      </c>
      <c r="W204" s="19">
        <v>0.0</v>
      </c>
      <c r="X204" s="19">
        <v>2.0</v>
      </c>
      <c r="Y204" s="19">
        <v>1.0</v>
      </c>
      <c r="Z204" s="19">
        <v>0.0</v>
      </c>
      <c r="AA204" s="19">
        <v>1.0</v>
      </c>
      <c r="AB204" s="19">
        <v>2.0</v>
      </c>
      <c r="AC204" s="19">
        <v>1.0</v>
      </c>
      <c r="AD204" s="19">
        <v>0.0</v>
      </c>
      <c r="AE204" s="19">
        <v>0.0</v>
      </c>
      <c r="AF204" s="19">
        <v>1.0</v>
      </c>
      <c r="AG204" s="19">
        <v>1.0</v>
      </c>
      <c r="AH204" s="19">
        <v>1.0</v>
      </c>
      <c r="AI204" s="19">
        <v>0.0</v>
      </c>
      <c r="AJ204" s="19">
        <v>0.0</v>
      </c>
      <c r="AK204" s="19">
        <v>0.0</v>
      </c>
      <c r="AL204" s="19">
        <v>1.0</v>
      </c>
      <c r="AM204" s="19">
        <v>0.0</v>
      </c>
      <c r="AN204" s="19">
        <v>0.0</v>
      </c>
      <c r="AO204" s="19">
        <v>0.0</v>
      </c>
      <c r="AP204" s="19">
        <v>0.0</v>
      </c>
      <c r="AQ204" s="19">
        <v>0.0</v>
      </c>
      <c r="AR204" s="19">
        <v>0.0</v>
      </c>
      <c r="AS204" s="19">
        <v>0.0</v>
      </c>
      <c r="AT204" s="19">
        <v>0.0</v>
      </c>
      <c r="AU204" s="19">
        <v>1.0</v>
      </c>
      <c r="AV204" s="13">
        <f t="shared" si="40"/>
        <v>23</v>
      </c>
      <c r="AW204" s="5"/>
      <c r="AX204" s="5"/>
    </row>
    <row r="205" ht="12.75" customHeight="1">
      <c r="A205" s="18"/>
      <c r="B205" s="55">
        <v>4.0</v>
      </c>
      <c r="C205" s="50" t="s">
        <v>151</v>
      </c>
      <c r="D205" s="57"/>
      <c r="E205" s="19">
        <v>2.0</v>
      </c>
      <c r="F205" s="19">
        <v>0.0</v>
      </c>
      <c r="G205" s="19">
        <v>0.0</v>
      </c>
      <c r="H205" s="19">
        <v>0.0</v>
      </c>
      <c r="I205" s="19">
        <v>0.0</v>
      </c>
      <c r="J205" s="19">
        <v>2.0</v>
      </c>
      <c r="K205" s="19">
        <v>2.0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0.0</v>
      </c>
      <c r="U205" s="19">
        <v>0.0</v>
      </c>
      <c r="V205" s="19">
        <v>0.0</v>
      </c>
      <c r="W205" s="19">
        <v>0.0</v>
      </c>
      <c r="X205" s="19">
        <v>1.0</v>
      </c>
      <c r="Y205" s="19">
        <v>0.0</v>
      </c>
      <c r="Z205" s="19">
        <v>0.0</v>
      </c>
      <c r="AA205" s="19">
        <v>0.0</v>
      </c>
      <c r="AB205" s="19">
        <v>0.0</v>
      </c>
      <c r="AC205" s="19">
        <v>0.0</v>
      </c>
      <c r="AD205" s="19">
        <v>0.0</v>
      </c>
      <c r="AE205" s="19">
        <v>2.0</v>
      </c>
      <c r="AF205" s="19">
        <v>0.0</v>
      </c>
      <c r="AG205" s="19">
        <v>1.0</v>
      </c>
      <c r="AH205" s="19">
        <v>0.0</v>
      </c>
      <c r="AI205" s="19">
        <v>0.0</v>
      </c>
      <c r="AJ205" s="19">
        <v>0.0</v>
      </c>
      <c r="AK205" s="19">
        <v>0.0</v>
      </c>
      <c r="AL205" s="19">
        <v>0.0</v>
      </c>
      <c r="AM205" s="19">
        <v>0.0</v>
      </c>
      <c r="AN205" s="19">
        <v>1.0</v>
      </c>
      <c r="AO205" s="19">
        <v>0.0</v>
      </c>
      <c r="AP205" s="19">
        <v>1.0</v>
      </c>
      <c r="AQ205" s="19">
        <v>0.0</v>
      </c>
      <c r="AR205" s="19">
        <v>0.0</v>
      </c>
      <c r="AS205" s="19">
        <v>5.0</v>
      </c>
      <c r="AT205" s="19">
        <v>0.0</v>
      </c>
      <c r="AU205" s="19">
        <v>1.0</v>
      </c>
      <c r="AV205" s="13">
        <f t="shared" si="40"/>
        <v>18</v>
      </c>
      <c r="AW205" s="5"/>
      <c r="AX205" s="5"/>
    </row>
    <row r="206" ht="12.75" customHeight="1">
      <c r="A206" s="18"/>
      <c r="B206" s="55">
        <v>5.0</v>
      </c>
      <c r="C206" s="50" t="s">
        <v>152</v>
      </c>
      <c r="D206" s="57"/>
      <c r="E206" s="19">
        <v>1.0</v>
      </c>
      <c r="F206" s="19">
        <v>1.0</v>
      </c>
      <c r="G206" s="19">
        <v>0.0</v>
      </c>
      <c r="H206" s="19">
        <v>0.0</v>
      </c>
      <c r="I206" s="19">
        <v>1.0</v>
      </c>
      <c r="J206" s="19">
        <v>0.0</v>
      </c>
      <c r="K206" s="19">
        <v>0.0</v>
      </c>
      <c r="L206" s="19">
        <v>0.0</v>
      </c>
      <c r="M206" s="19">
        <v>1.0</v>
      </c>
      <c r="N206" s="19">
        <v>0.0</v>
      </c>
      <c r="O206" s="19">
        <v>0.0</v>
      </c>
      <c r="P206" s="19">
        <v>0.0</v>
      </c>
      <c r="Q206" s="19">
        <v>1.0</v>
      </c>
      <c r="R206" s="19">
        <v>0.0</v>
      </c>
      <c r="S206" s="19">
        <v>0.0</v>
      </c>
      <c r="T206" s="19">
        <v>0.0</v>
      </c>
      <c r="U206" s="19">
        <v>2.0</v>
      </c>
      <c r="V206" s="19">
        <v>0.0</v>
      </c>
      <c r="W206" s="19">
        <v>1.0</v>
      </c>
      <c r="X206" s="19">
        <v>0.0</v>
      </c>
      <c r="Y206" s="19">
        <v>0.0</v>
      </c>
      <c r="Z206" s="19">
        <v>0.0</v>
      </c>
      <c r="AA206" s="19">
        <v>1.0</v>
      </c>
      <c r="AB206" s="19">
        <v>0.0</v>
      </c>
      <c r="AC206" s="19">
        <v>0.0</v>
      </c>
      <c r="AD206" s="19">
        <v>0.0</v>
      </c>
      <c r="AE206" s="19">
        <v>0.0</v>
      </c>
      <c r="AF206" s="19">
        <v>0.0</v>
      </c>
      <c r="AG206" s="19">
        <v>0.0</v>
      </c>
      <c r="AH206" s="19">
        <v>0.0</v>
      </c>
      <c r="AI206" s="19">
        <v>0.0</v>
      </c>
      <c r="AJ206" s="19">
        <v>0.0</v>
      </c>
      <c r="AK206" s="19">
        <v>0.0</v>
      </c>
      <c r="AL206" s="19">
        <v>0.0</v>
      </c>
      <c r="AM206" s="19">
        <v>0.0</v>
      </c>
      <c r="AN206" s="19">
        <v>0.0</v>
      </c>
      <c r="AO206" s="19">
        <v>0.0</v>
      </c>
      <c r="AP206" s="19">
        <v>0.0</v>
      </c>
      <c r="AQ206" s="19">
        <v>0.0</v>
      </c>
      <c r="AR206" s="19">
        <v>0.0</v>
      </c>
      <c r="AS206" s="19">
        <v>0.0</v>
      </c>
      <c r="AT206" s="19">
        <v>0.0</v>
      </c>
      <c r="AU206" s="69">
        <v>1.0</v>
      </c>
      <c r="AV206" s="13">
        <f t="shared" si="40"/>
        <v>10</v>
      </c>
      <c r="AW206" s="5"/>
      <c r="AX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1.0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1.0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9">
        <v>0.0</v>
      </c>
      <c r="AK207" s="19">
        <v>0.0</v>
      </c>
      <c r="AL207" s="19">
        <v>0.0</v>
      </c>
      <c r="AM207" s="19">
        <v>0.0</v>
      </c>
      <c r="AN207" s="19">
        <v>0.0</v>
      </c>
      <c r="AO207" s="19">
        <v>0.0</v>
      </c>
      <c r="AP207" s="19">
        <v>0.0</v>
      </c>
      <c r="AQ207" s="19">
        <v>0.0</v>
      </c>
      <c r="AR207" s="19">
        <v>0.0</v>
      </c>
      <c r="AS207" s="19">
        <v>0.0</v>
      </c>
      <c r="AT207" s="19">
        <v>0.0</v>
      </c>
      <c r="AU207" s="19">
        <v>0.0</v>
      </c>
      <c r="AV207" s="13">
        <f t="shared" si="40"/>
        <v>2</v>
      </c>
      <c r="AW207" s="1"/>
      <c r="AX207" s="1"/>
    </row>
    <row r="208" ht="12.75" customHeight="1">
      <c r="A208" s="18"/>
      <c r="B208" s="55">
        <v>7.0</v>
      </c>
      <c r="C208" s="50" t="s">
        <v>154</v>
      </c>
      <c r="D208" s="57"/>
      <c r="E208" s="19">
        <v>1.0</v>
      </c>
      <c r="F208" s="19">
        <v>1.0</v>
      </c>
      <c r="G208" s="19">
        <v>1.0</v>
      </c>
      <c r="H208" s="19">
        <v>1.0</v>
      </c>
      <c r="I208" s="19">
        <v>1.0</v>
      </c>
      <c r="J208" s="19">
        <v>1.0</v>
      </c>
      <c r="K208" s="19">
        <v>0.0</v>
      </c>
      <c r="L208" s="19">
        <v>1.0</v>
      </c>
      <c r="M208" s="19">
        <v>0.0</v>
      </c>
      <c r="N208" s="19">
        <v>0.0</v>
      </c>
      <c r="O208" s="19">
        <v>1.0</v>
      </c>
      <c r="P208" s="19">
        <v>0.0</v>
      </c>
      <c r="Q208" s="19">
        <v>1.0</v>
      </c>
      <c r="R208" s="19">
        <v>0.0</v>
      </c>
      <c r="S208" s="19">
        <v>1.0</v>
      </c>
      <c r="T208" s="19">
        <v>1.0</v>
      </c>
      <c r="U208" s="19">
        <v>4.0</v>
      </c>
      <c r="V208" s="19">
        <v>1.0</v>
      </c>
      <c r="W208" s="19">
        <v>1.0</v>
      </c>
      <c r="X208" s="19">
        <v>5.0</v>
      </c>
      <c r="Y208" s="19">
        <v>0.0</v>
      </c>
      <c r="Z208" s="19">
        <v>2.0</v>
      </c>
      <c r="AA208" s="19">
        <v>0.0</v>
      </c>
      <c r="AB208" s="19">
        <v>1.0</v>
      </c>
      <c r="AC208" s="19">
        <v>1.0</v>
      </c>
      <c r="AD208" s="19">
        <v>1.0</v>
      </c>
      <c r="AE208" s="19">
        <v>1.0</v>
      </c>
      <c r="AF208" s="19">
        <v>3.0</v>
      </c>
      <c r="AG208" s="19">
        <v>0.0</v>
      </c>
      <c r="AH208" s="19">
        <v>4.0</v>
      </c>
      <c r="AI208" s="19">
        <v>0.0</v>
      </c>
      <c r="AJ208" s="19">
        <v>0.0</v>
      </c>
      <c r="AK208" s="19">
        <v>1.0</v>
      </c>
      <c r="AL208" s="19">
        <v>0.0</v>
      </c>
      <c r="AM208" s="19">
        <v>1.0</v>
      </c>
      <c r="AN208" s="19">
        <v>0.0</v>
      </c>
      <c r="AO208" s="19">
        <v>0.0</v>
      </c>
      <c r="AP208" s="19">
        <v>1.0</v>
      </c>
      <c r="AQ208" s="19">
        <v>0.0</v>
      </c>
      <c r="AR208" s="19">
        <v>0.0</v>
      </c>
      <c r="AS208" s="19">
        <v>0.0</v>
      </c>
      <c r="AT208" s="19">
        <v>0.0</v>
      </c>
      <c r="AU208" s="19">
        <v>0.0</v>
      </c>
      <c r="AV208" s="13">
        <f t="shared" si="40"/>
        <v>38</v>
      </c>
      <c r="AW208" s="52"/>
      <c r="AX208" s="52"/>
    </row>
    <row r="209" ht="12.75" customHeight="1">
      <c r="A209" s="18"/>
      <c r="B209" s="71"/>
      <c r="C209" s="72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3">
        <f t="shared" si="40"/>
        <v>0</v>
      </c>
      <c r="AW209" s="52"/>
      <c r="AX209" s="52"/>
    </row>
    <row r="210" ht="12.75" customHeight="1">
      <c r="A210" s="18"/>
      <c r="B210" s="71"/>
      <c r="C210" s="72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3">
        <f t="shared" si="40"/>
        <v>0</v>
      </c>
      <c r="AW210" s="52"/>
      <c r="AX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AU211" si="41">SUM(E201:E208)</f>
        <v>21</v>
      </c>
      <c r="F211" s="13">
        <f t="shared" si="41"/>
        <v>6</v>
      </c>
      <c r="G211" s="13">
        <f t="shared" si="41"/>
        <v>10</v>
      </c>
      <c r="H211" s="13">
        <f t="shared" si="41"/>
        <v>12</v>
      </c>
      <c r="I211" s="13">
        <f t="shared" si="41"/>
        <v>15</v>
      </c>
      <c r="J211" s="13">
        <f t="shared" si="41"/>
        <v>24</v>
      </c>
      <c r="K211" s="13">
        <f t="shared" si="41"/>
        <v>9</v>
      </c>
      <c r="L211" s="13">
        <f t="shared" si="41"/>
        <v>10</v>
      </c>
      <c r="M211" s="13">
        <f t="shared" si="41"/>
        <v>4</v>
      </c>
      <c r="N211" s="13">
        <f t="shared" si="41"/>
        <v>22</v>
      </c>
      <c r="O211" s="13">
        <f t="shared" si="41"/>
        <v>14</v>
      </c>
      <c r="P211" s="13">
        <f t="shared" si="41"/>
        <v>5</v>
      </c>
      <c r="Q211" s="13">
        <f t="shared" si="41"/>
        <v>12</v>
      </c>
      <c r="R211" s="13">
        <f t="shared" si="41"/>
        <v>10</v>
      </c>
      <c r="S211" s="13">
        <f t="shared" si="41"/>
        <v>27</v>
      </c>
      <c r="T211" s="13">
        <f t="shared" si="41"/>
        <v>7</v>
      </c>
      <c r="U211" s="13">
        <f t="shared" si="41"/>
        <v>19</v>
      </c>
      <c r="V211" s="13">
        <f t="shared" si="41"/>
        <v>15</v>
      </c>
      <c r="W211" s="13">
        <f t="shared" si="41"/>
        <v>13</v>
      </c>
      <c r="X211" s="13">
        <f t="shared" si="41"/>
        <v>35</v>
      </c>
      <c r="Y211" s="13">
        <f t="shared" si="41"/>
        <v>10</v>
      </c>
      <c r="Z211" s="13">
        <f t="shared" si="41"/>
        <v>5</v>
      </c>
      <c r="AA211" s="13">
        <f t="shared" si="41"/>
        <v>21</v>
      </c>
      <c r="AB211" s="13">
        <f t="shared" si="41"/>
        <v>16</v>
      </c>
      <c r="AC211" s="13">
        <f t="shared" si="41"/>
        <v>14</v>
      </c>
      <c r="AD211" s="13">
        <f t="shared" si="41"/>
        <v>10</v>
      </c>
      <c r="AE211" s="13">
        <f t="shared" si="41"/>
        <v>14</v>
      </c>
      <c r="AF211" s="13">
        <f t="shared" si="41"/>
        <v>12</v>
      </c>
      <c r="AG211" s="13">
        <f t="shared" si="41"/>
        <v>10</v>
      </c>
      <c r="AH211" s="13">
        <f t="shared" si="41"/>
        <v>47</v>
      </c>
      <c r="AI211" s="13">
        <f t="shared" si="41"/>
        <v>6</v>
      </c>
      <c r="AJ211" s="13">
        <f t="shared" si="41"/>
        <v>3</v>
      </c>
      <c r="AK211" s="13">
        <f t="shared" si="41"/>
        <v>7</v>
      </c>
      <c r="AL211" s="13">
        <f t="shared" si="41"/>
        <v>7</v>
      </c>
      <c r="AM211" s="13">
        <f t="shared" si="41"/>
        <v>7</v>
      </c>
      <c r="AN211" s="13">
        <f t="shared" si="41"/>
        <v>11</v>
      </c>
      <c r="AO211" s="13">
        <f t="shared" si="41"/>
        <v>3</v>
      </c>
      <c r="AP211" s="13">
        <f t="shared" si="41"/>
        <v>8</v>
      </c>
      <c r="AQ211" s="13">
        <f t="shared" si="41"/>
        <v>5</v>
      </c>
      <c r="AR211" s="13">
        <f t="shared" si="41"/>
        <v>7</v>
      </c>
      <c r="AS211" s="13">
        <f t="shared" si="41"/>
        <v>8</v>
      </c>
      <c r="AT211" s="13">
        <f t="shared" si="41"/>
        <v>9</v>
      </c>
      <c r="AU211" s="13">
        <f t="shared" si="41"/>
        <v>6</v>
      </c>
      <c r="AV211" s="13">
        <f t="shared" si="40"/>
        <v>536</v>
      </c>
      <c r="AW211" s="5"/>
      <c r="AX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75"/>
      <c r="AK212" s="75"/>
      <c r="AL212" s="75"/>
      <c r="AM212" s="75"/>
      <c r="AN212" s="75"/>
      <c r="AO212" s="75"/>
      <c r="AP212" s="75"/>
      <c r="AQ212" s="75"/>
      <c r="AR212" s="75"/>
      <c r="AS212" s="75"/>
      <c r="AT212" s="75"/>
      <c r="AU212" s="75"/>
      <c r="AV212" s="75"/>
      <c r="AW212" s="5"/>
      <c r="AX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1.0</v>
      </c>
      <c r="G213" s="19">
        <v>1.0</v>
      </c>
      <c r="H213" s="19">
        <v>5.0</v>
      </c>
      <c r="I213" s="19">
        <v>1.0</v>
      </c>
      <c r="J213" s="19">
        <v>2.0</v>
      </c>
      <c r="K213" s="19">
        <v>1.0</v>
      </c>
      <c r="L213" s="19">
        <v>0.0</v>
      </c>
      <c r="M213" s="19">
        <v>0.0</v>
      </c>
      <c r="N213" s="19">
        <v>0.0</v>
      </c>
      <c r="O213" s="19">
        <v>3.0</v>
      </c>
      <c r="P213" s="19">
        <v>0.0</v>
      </c>
      <c r="Q213" s="19">
        <v>3.0</v>
      </c>
      <c r="R213" s="19">
        <v>2.0</v>
      </c>
      <c r="S213" s="19">
        <v>0.0</v>
      </c>
      <c r="T213" s="19">
        <v>10.0</v>
      </c>
      <c r="U213" s="19">
        <v>1.0</v>
      </c>
      <c r="V213" s="19">
        <v>0.0</v>
      </c>
      <c r="W213" s="19">
        <v>1.0</v>
      </c>
      <c r="X213" s="19">
        <v>0.0</v>
      </c>
      <c r="Y213" s="19">
        <v>0.0</v>
      </c>
      <c r="Z213" s="19">
        <v>3.0</v>
      </c>
      <c r="AA213" s="19">
        <v>1.0</v>
      </c>
      <c r="AB213" s="19">
        <v>3.0</v>
      </c>
      <c r="AC213" s="19">
        <v>2.0</v>
      </c>
      <c r="AD213" s="19">
        <v>7.0</v>
      </c>
      <c r="AE213" s="19">
        <v>0.0</v>
      </c>
      <c r="AF213" s="19">
        <v>4.0</v>
      </c>
      <c r="AG213" s="19">
        <v>1.0</v>
      </c>
      <c r="AH213" s="19">
        <v>0.0</v>
      </c>
      <c r="AI213" s="19">
        <v>1.0</v>
      </c>
      <c r="AJ213" s="19">
        <v>2.0</v>
      </c>
      <c r="AK213" s="19">
        <v>1.0</v>
      </c>
      <c r="AL213" s="19">
        <v>1.0</v>
      </c>
      <c r="AM213" s="19">
        <v>0.0</v>
      </c>
      <c r="AN213" s="19">
        <v>3.0</v>
      </c>
      <c r="AO213" s="19">
        <v>5.0</v>
      </c>
      <c r="AP213" s="19">
        <v>2.0</v>
      </c>
      <c r="AQ213" s="19">
        <v>4.0</v>
      </c>
      <c r="AR213" s="19">
        <v>0.0</v>
      </c>
      <c r="AS213" s="19">
        <v>2.0</v>
      </c>
      <c r="AT213" s="19">
        <v>2.0</v>
      </c>
      <c r="AU213" s="19">
        <v>1.0</v>
      </c>
      <c r="AV213" s="13">
        <f t="shared" ref="AV213:AV223" si="42">SUM(E213:AU213)</f>
        <v>77</v>
      </c>
      <c r="AW213" s="5"/>
      <c r="AX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0.0</v>
      </c>
      <c r="G214" s="19">
        <v>2.0</v>
      </c>
      <c r="H214" s="19">
        <v>3.0</v>
      </c>
      <c r="I214" s="19">
        <v>2.0</v>
      </c>
      <c r="J214" s="19">
        <v>1.0</v>
      </c>
      <c r="K214" s="19">
        <v>0.0</v>
      </c>
      <c r="L214" s="19">
        <v>1.0</v>
      </c>
      <c r="M214" s="19">
        <v>0.0</v>
      </c>
      <c r="N214" s="19">
        <v>2.0</v>
      </c>
      <c r="O214" s="19">
        <v>3.0</v>
      </c>
      <c r="P214" s="19">
        <v>1.0</v>
      </c>
      <c r="Q214" s="19">
        <v>1.0</v>
      </c>
      <c r="R214" s="19">
        <v>1.0</v>
      </c>
      <c r="S214" s="19">
        <v>1.0</v>
      </c>
      <c r="T214" s="19">
        <v>6.0</v>
      </c>
      <c r="U214" s="19">
        <v>0.0</v>
      </c>
      <c r="V214" s="19">
        <v>0.0</v>
      </c>
      <c r="W214" s="19">
        <v>1.0</v>
      </c>
      <c r="X214" s="19">
        <v>0.0</v>
      </c>
      <c r="Y214" s="19">
        <v>1.0</v>
      </c>
      <c r="Z214" s="19">
        <v>2.0</v>
      </c>
      <c r="AA214" s="19">
        <v>1.0</v>
      </c>
      <c r="AB214" s="19">
        <v>0.0</v>
      </c>
      <c r="AC214" s="19">
        <v>3.0</v>
      </c>
      <c r="AD214" s="19">
        <v>2.0</v>
      </c>
      <c r="AE214" s="19">
        <v>0.0</v>
      </c>
      <c r="AF214" s="19">
        <v>1.0</v>
      </c>
      <c r="AG214" s="19">
        <v>0.0</v>
      </c>
      <c r="AH214" s="19">
        <v>0.0</v>
      </c>
      <c r="AI214" s="19">
        <v>5.0</v>
      </c>
      <c r="AJ214" s="19">
        <v>4.0</v>
      </c>
      <c r="AK214" s="19">
        <v>10.0</v>
      </c>
      <c r="AL214" s="19">
        <v>21.0</v>
      </c>
      <c r="AM214" s="19">
        <v>2.0</v>
      </c>
      <c r="AN214" s="19">
        <v>0.0</v>
      </c>
      <c r="AO214" s="19">
        <v>56.0</v>
      </c>
      <c r="AP214" s="19">
        <v>24.0</v>
      </c>
      <c r="AQ214" s="19">
        <v>13.0</v>
      </c>
      <c r="AR214" s="19">
        <v>8.0</v>
      </c>
      <c r="AS214" s="19">
        <v>10.0</v>
      </c>
      <c r="AT214" s="19">
        <v>4.0</v>
      </c>
      <c r="AU214" s="19">
        <v>13.0</v>
      </c>
      <c r="AV214" s="13">
        <f t="shared" si="42"/>
        <v>205</v>
      </c>
      <c r="AW214" s="5"/>
      <c r="AX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0.0</v>
      </c>
      <c r="G215" s="19">
        <v>2.0</v>
      </c>
      <c r="H215" s="19">
        <v>1.0</v>
      </c>
      <c r="I215" s="19">
        <v>1.0</v>
      </c>
      <c r="J215" s="19">
        <v>1.0</v>
      </c>
      <c r="K215" s="19">
        <v>1.0</v>
      </c>
      <c r="L215" s="19">
        <v>0.0</v>
      </c>
      <c r="M215" s="19">
        <v>0.0</v>
      </c>
      <c r="N215" s="19">
        <v>0.0</v>
      </c>
      <c r="O215" s="19">
        <v>1.0</v>
      </c>
      <c r="P215" s="19">
        <v>0.0</v>
      </c>
      <c r="Q215" s="19">
        <v>0.0</v>
      </c>
      <c r="R215" s="19">
        <v>1.0</v>
      </c>
      <c r="S215" s="19">
        <v>0.0</v>
      </c>
      <c r="T215" s="19">
        <v>0.0</v>
      </c>
      <c r="U215" s="19">
        <v>2.0</v>
      </c>
      <c r="V215" s="19">
        <v>0.0</v>
      </c>
      <c r="W215" s="19">
        <v>0.0</v>
      </c>
      <c r="X215" s="19">
        <v>1.0</v>
      </c>
      <c r="Y215" s="19">
        <v>0.0</v>
      </c>
      <c r="Z215" s="19">
        <v>0.0</v>
      </c>
      <c r="AA215" s="19">
        <v>0.0</v>
      </c>
      <c r="AB215" s="19">
        <v>0.0</v>
      </c>
      <c r="AC215" s="19">
        <v>1.0</v>
      </c>
      <c r="AD215" s="19">
        <v>0.0</v>
      </c>
      <c r="AE215" s="19">
        <v>1.0</v>
      </c>
      <c r="AF215" s="19">
        <v>0.0</v>
      </c>
      <c r="AG215" s="19">
        <v>1.0</v>
      </c>
      <c r="AH215" s="19">
        <v>0.0</v>
      </c>
      <c r="AI215" s="19">
        <v>0.0</v>
      </c>
      <c r="AJ215" s="19">
        <v>1.0</v>
      </c>
      <c r="AK215" s="19">
        <v>7.0</v>
      </c>
      <c r="AL215" s="19">
        <v>4.0</v>
      </c>
      <c r="AM215" s="19">
        <v>2.0</v>
      </c>
      <c r="AN215" s="19">
        <v>0.0</v>
      </c>
      <c r="AO215" s="19">
        <v>0.0</v>
      </c>
      <c r="AP215" s="19">
        <v>4.0</v>
      </c>
      <c r="AQ215" s="19">
        <v>1.0</v>
      </c>
      <c r="AR215" s="19">
        <v>0.0</v>
      </c>
      <c r="AS215" s="19">
        <v>1.0</v>
      </c>
      <c r="AT215" s="19">
        <v>0.0</v>
      </c>
      <c r="AU215" s="19">
        <v>0.0</v>
      </c>
      <c r="AV215" s="13">
        <f t="shared" si="42"/>
        <v>34</v>
      </c>
      <c r="AW215" s="5"/>
      <c r="AX215" s="5"/>
    </row>
    <row r="216" ht="12.75" customHeight="1">
      <c r="A216" s="18"/>
      <c r="B216" s="55">
        <v>3.0</v>
      </c>
      <c r="C216" s="61" t="s">
        <v>159</v>
      </c>
      <c r="E216" s="19">
        <v>1.0</v>
      </c>
      <c r="F216" s="19">
        <v>0.0</v>
      </c>
      <c r="G216" s="19">
        <v>0.0</v>
      </c>
      <c r="H216" s="19">
        <v>1.0</v>
      </c>
      <c r="I216" s="19">
        <v>0.0</v>
      </c>
      <c r="J216" s="19">
        <v>1.0</v>
      </c>
      <c r="K216" s="19">
        <v>0.0</v>
      </c>
      <c r="L216" s="19">
        <v>0.0</v>
      </c>
      <c r="M216" s="19">
        <v>0.0</v>
      </c>
      <c r="N216" s="19">
        <v>1.0</v>
      </c>
      <c r="O216" s="19">
        <v>1.0</v>
      </c>
      <c r="P216" s="19">
        <v>0.0</v>
      </c>
      <c r="Q216" s="19">
        <v>0.0</v>
      </c>
      <c r="R216" s="19">
        <v>0.0</v>
      </c>
      <c r="S216" s="19">
        <v>0.0</v>
      </c>
      <c r="T216" s="19">
        <v>1.0</v>
      </c>
      <c r="U216" s="19">
        <v>2.0</v>
      </c>
      <c r="V216" s="19">
        <v>1.0</v>
      </c>
      <c r="W216" s="19">
        <v>1.0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2.0</v>
      </c>
      <c r="AC216" s="19">
        <v>0.0</v>
      </c>
      <c r="AD216" s="19">
        <v>2.0</v>
      </c>
      <c r="AE216" s="19">
        <v>1.0</v>
      </c>
      <c r="AF216" s="19">
        <v>2.0</v>
      </c>
      <c r="AG216" s="19">
        <v>0.0</v>
      </c>
      <c r="AH216" s="19">
        <v>0.0</v>
      </c>
      <c r="AI216" s="19">
        <v>0.0</v>
      </c>
      <c r="AJ216" s="19">
        <v>0.0</v>
      </c>
      <c r="AK216" s="19">
        <v>0.0</v>
      </c>
      <c r="AL216" s="19">
        <v>0.0</v>
      </c>
      <c r="AM216" s="19">
        <v>0.0</v>
      </c>
      <c r="AN216" s="19">
        <v>0.0</v>
      </c>
      <c r="AO216" s="19">
        <v>0.0</v>
      </c>
      <c r="AP216" s="19">
        <v>0.0</v>
      </c>
      <c r="AQ216" s="19">
        <v>1.0</v>
      </c>
      <c r="AR216" s="19">
        <v>0.0</v>
      </c>
      <c r="AS216" s="19">
        <v>0.0</v>
      </c>
      <c r="AT216" s="19">
        <v>0.0</v>
      </c>
      <c r="AU216" s="19">
        <v>0.0</v>
      </c>
      <c r="AV216" s="13">
        <f t="shared" si="42"/>
        <v>18</v>
      </c>
      <c r="AW216" s="5"/>
      <c r="AX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1.0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1.0</v>
      </c>
      <c r="U217" s="19">
        <v>0.0</v>
      </c>
      <c r="V217" s="19">
        <v>0.0</v>
      </c>
      <c r="W217" s="19">
        <v>0.0</v>
      </c>
      <c r="X217" s="19">
        <v>1.0</v>
      </c>
      <c r="Y217" s="19">
        <v>1.0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1.0</v>
      </c>
      <c r="AG217" s="19">
        <v>0.0</v>
      </c>
      <c r="AH217" s="19">
        <v>0.0</v>
      </c>
      <c r="AI217" s="19">
        <v>0.0</v>
      </c>
      <c r="AJ217" s="19">
        <v>0.0</v>
      </c>
      <c r="AK217" s="19">
        <v>0.0</v>
      </c>
      <c r="AL217" s="19">
        <v>0.0</v>
      </c>
      <c r="AM217" s="19">
        <v>1.0</v>
      </c>
      <c r="AN217" s="19">
        <v>0.0</v>
      </c>
      <c r="AO217" s="19">
        <v>0.0</v>
      </c>
      <c r="AP217" s="19">
        <v>1.0</v>
      </c>
      <c r="AQ217" s="19">
        <v>0.0</v>
      </c>
      <c r="AR217" s="19">
        <v>0.0</v>
      </c>
      <c r="AS217" s="19">
        <v>0.0</v>
      </c>
      <c r="AT217" s="19">
        <v>0.0</v>
      </c>
      <c r="AU217" s="19">
        <v>0.0</v>
      </c>
      <c r="AV217" s="13">
        <f t="shared" si="42"/>
        <v>7</v>
      </c>
      <c r="AW217" s="5"/>
      <c r="AX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1.0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1.0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0.0</v>
      </c>
      <c r="AK218" s="19">
        <v>0.0</v>
      </c>
      <c r="AL218" s="19">
        <v>0.0</v>
      </c>
      <c r="AM218" s="19">
        <v>0.0</v>
      </c>
      <c r="AN218" s="19">
        <v>0.0</v>
      </c>
      <c r="AO218" s="19">
        <v>1.0</v>
      </c>
      <c r="AP218" s="19">
        <v>0.0</v>
      </c>
      <c r="AQ218" s="19">
        <v>0.0</v>
      </c>
      <c r="AR218" s="19">
        <v>0.0</v>
      </c>
      <c r="AS218" s="19">
        <v>0.0</v>
      </c>
      <c r="AT218" s="19">
        <v>1.0</v>
      </c>
      <c r="AU218" s="19">
        <v>0.0</v>
      </c>
      <c r="AV218" s="13">
        <f t="shared" si="42"/>
        <v>4</v>
      </c>
      <c r="AW218" s="1"/>
      <c r="AX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1.0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1.0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1.0</v>
      </c>
      <c r="AA219" s="19">
        <v>0.0</v>
      </c>
      <c r="AB219" s="19">
        <v>0.0</v>
      </c>
      <c r="AC219" s="19">
        <v>1.0</v>
      </c>
      <c r="AD219" s="19">
        <v>0.0</v>
      </c>
      <c r="AE219" s="19">
        <v>1.0</v>
      </c>
      <c r="AF219" s="19">
        <v>0.0</v>
      </c>
      <c r="AG219" s="19">
        <v>0.0</v>
      </c>
      <c r="AH219" s="19">
        <v>1.0</v>
      </c>
      <c r="AI219" s="19">
        <v>0.0</v>
      </c>
      <c r="AJ219" s="19">
        <v>0.0</v>
      </c>
      <c r="AK219" s="19">
        <v>0.0</v>
      </c>
      <c r="AL219" s="19">
        <v>0.0</v>
      </c>
      <c r="AM219" s="19">
        <v>0.0</v>
      </c>
      <c r="AN219" s="19">
        <v>0.0</v>
      </c>
      <c r="AO219" s="19">
        <v>0.0</v>
      </c>
      <c r="AP219" s="19">
        <v>0.0</v>
      </c>
      <c r="AQ219" s="19">
        <v>0.0</v>
      </c>
      <c r="AR219" s="19">
        <v>1.0</v>
      </c>
      <c r="AS219" s="19">
        <v>0.0</v>
      </c>
      <c r="AT219" s="19">
        <v>0.0</v>
      </c>
      <c r="AU219" s="19">
        <v>0.0</v>
      </c>
      <c r="AV219" s="13">
        <f t="shared" si="42"/>
        <v>7</v>
      </c>
      <c r="AW219" s="52"/>
      <c r="AX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1.0</v>
      </c>
      <c r="M220" s="19">
        <v>0.0</v>
      </c>
      <c r="N220" s="19">
        <v>1.0</v>
      </c>
      <c r="O220" s="19">
        <v>0.0</v>
      </c>
      <c r="P220" s="19">
        <v>0.0</v>
      </c>
      <c r="Q220" s="19">
        <v>0.0</v>
      </c>
      <c r="R220" s="19">
        <v>1.0</v>
      </c>
      <c r="S220" s="19">
        <v>0.0</v>
      </c>
      <c r="T220" s="19">
        <v>0.0</v>
      </c>
      <c r="U220" s="19">
        <v>1.0</v>
      </c>
      <c r="V220" s="19">
        <v>0.0</v>
      </c>
      <c r="W220" s="19">
        <v>1.0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1.0</v>
      </c>
      <c r="AC220" s="19">
        <v>0.0</v>
      </c>
      <c r="AD220" s="19">
        <v>0.0</v>
      </c>
      <c r="AE220" s="19">
        <v>0.0</v>
      </c>
      <c r="AF220" s="19">
        <v>1.0</v>
      </c>
      <c r="AG220" s="19">
        <v>0.0</v>
      </c>
      <c r="AH220" s="19">
        <v>0.0</v>
      </c>
      <c r="AI220" s="19">
        <v>0.0</v>
      </c>
      <c r="AJ220" s="19">
        <v>0.0</v>
      </c>
      <c r="AK220" s="19">
        <v>0.0</v>
      </c>
      <c r="AL220" s="19">
        <v>0.0</v>
      </c>
      <c r="AM220" s="19">
        <v>0.0</v>
      </c>
      <c r="AN220" s="19">
        <v>0.0</v>
      </c>
      <c r="AO220" s="19">
        <v>0.0</v>
      </c>
      <c r="AP220" s="19">
        <v>0.0</v>
      </c>
      <c r="AQ220" s="19">
        <v>0.0</v>
      </c>
      <c r="AR220" s="19">
        <v>0.0</v>
      </c>
      <c r="AS220" s="19">
        <v>0.0</v>
      </c>
      <c r="AT220" s="19">
        <v>0.0</v>
      </c>
      <c r="AU220" s="19">
        <v>0.0</v>
      </c>
      <c r="AV220" s="13">
        <f t="shared" si="42"/>
        <v>7</v>
      </c>
      <c r="AW220" s="5"/>
      <c r="AX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3">
        <f t="shared" si="42"/>
        <v>0</v>
      </c>
      <c r="AW221" s="5"/>
      <c r="AX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3">
        <f t="shared" si="42"/>
        <v>0</v>
      </c>
      <c r="AW222" s="5"/>
      <c r="AX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AU223" si="43">SUM(E213:E220)</f>
        <v>2</v>
      </c>
      <c r="F223" s="13">
        <f t="shared" si="43"/>
        <v>2</v>
      </c>
      <c r="G223" s="13">
        <f t="shared" si="43"/>
        <v>5</v>
      </c>
      <c r="H223" s="13">
        <f t="shared" si="43"/>
        <v>11</v>
      </c>
      <c r="I223" s="13">
        <f t="shared" si="43"/>
        <v>5</v>
      </c>
      <c r="J223" s="13">
        <f t="shared" si="43"/>
        <v>5</v>
      </c>
      <c r="K223" s="13">
        <f t="shared" si="43"/>
        <v>2</v>
      </c>
      <c r="L223" s="13">
        <f t="shared" si="43"/>
        <v>2</v>
      </c>
      <c r="M223" s="13">
        <f t="shared" si="43"/>
        <v>0</v>
      </c>
      <c r="N223" s="13">
        <f t="shared" si="43"/>
        <v>4</v>
      </c>
      <c r="O223" s="13">
        <f t="shared" si="43"/>
        <v>8</v>
      </c>
      <c r="P223" s="13">
        <f t="shared" si="43"/>
        <v>1</v>
      </c>
      <c r="Q223" s="13">
        <f t="shared" si="43"/>
        <v>4</v>
      </c>
      <c r="R223" s="13">
        <f t="shared" si="43"/>
        <v>5</v>
      </c>
      <c r="S223" s="13">
        <f t="shared" si="43"/>
        <v>1</v>
      </c>
      <c r="T223" s="13">
        <f t="shared" si="43"/>
        <v>19</v>
      </c>
      <c r="U223" s="13">
        <f t="shared" si="43"/>
        <v>6</v>
      </c>
      <c r="V223" s="13">
        <f t="shared" si="43"/>
        <v>1</v>
      </c>
      <c r="W223" s="13">
        <f t="shared" si="43"/>
        <v>4</v>
      </c>
      <c r="X223" s="13">
        <f t="shared" si="43"/>
        <v>2</v>
      </c>
      <c r="Y223" s="13">
        <f t="shared" si="43"/>
        <v>2</v>
      </c>
      <c r="Z223" s="13">
        <f t="shared" si="43"/>
        <v>7</v>
      </c>
      <c r="AA223" s="13">
        <f t="shared" si="43"/>
        <v>2</v>
      </c>
      <c r="AB223" s="13">
        <f t="shared" si="43"/>
        <v>6</v>
      </c>
      <c r="AC223" s="13">
        <f t="shared" si="43"/>
        <v>7</v>
      </c>
      <c r="AD223" s="13">
        <f t="shared" si="43"/>
        <v>11</v>
      </c>
      <c r="AE223" s="13">
        <f t="shared" si="43"/>
        <v>3</v>
      </c>
      <c r="AF223" s="13">
        <f t="shared" si="43"/>
        <v>9</v>
      </c>
      <c r="AG223" s="13">
        <f t="shared" si="43"/>
        <v>2</v>
      </c>
      <c r="AH223" s="13">
        <f t="shared" si="43"/>
        <v>1</v>
      </c>
      <c r="AI223" s="13">
        <f t="shared" si="43"/>
        <v>6</v>
      </c>
      <c r="AJ223" s="13">
        <f t="shared" si="43"/>
        <v>7</v>
      </c>
      <c r="AK223" s="13">
        <f t="shared" si="43"/>
        <v>18</v>
      </c>
      <c r="AL223" s="13">
        <f t="shared" si="43"/>
        <v>26</v>
      </c>
      <c r="AM223" s="13">
        <f t="shared" si="43"/>
        <v>5</v>
      </c>
      <c r="AN223" s="13">
        <f t="shared" si="43"/>
        <v>3</v>
      </c>
      <c r="AO223" s="13">
        <f t="shared" si="43"/>
        <v>62</v>
      </c>
      <c r="AP223" s="13">
        <f t="shared" si="43"/>
        <v>31</v>
      </c>
      <c r="AQ223" s="13">
        <f t="shared" si="43"/>
        <v>19</v>
      </c>
      <c r="AR223" s="13">
        <f t="shared" si="43"/>
        <v>9</v>
      </c>
      <c r="AS223" s="13">
        <f t="shared" si="43"/>
        <v>13</v>
      </c>
      <c r="AT223" s="13">
        <f t="shared" si="43"/>
        <v>7</v>
      </c>
      <c r="AU223" s="13">
        <f t="shared" si="43"/>
        <v>14</v>
      </c>
      <c r="AV223" s="13">
        <f t="shared" si="42"/>
        <v>359</v>
      </c>
      <c r="AW223" s="5"/>
      <c r="AX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5"/>
      <c r="AK224" s="75"/>
      <c r="AL224" s="75"/>
      <c r="AM224" s="75"/>
      <c r="AN224" s="75"/>
      <c r="AO224" s="75"/>
      <c r="AP224" s="75"/>
      <c r="AQ224" s="75"/>
      <c r="AR224" s="75"/>
      <c r="AS224" s="75"/>
      <c r="AT224" s="75"/>
      <c r="AU224" s="75"/>
      <c r="AV224" s="75"/>
      <c r="AW224" s="5"/>
      <c r="AX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1.0</v>
      </c>
      <c r="L225" s="19">
        <v>0.0</v>
      </c>
      <c r="M225" s="19">
        <v>0.0</v>
      </c>
      <c r="N225" s="19">
        <v>1.0</v>
      </c>
      <c r="O225" s="19">
        <v>0.0</v>
      </c>
      <c r="P225" s="19">
        <v>0.0</v>
      </c>
      <c r="Q225" s="19">
        <v>1.0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1.0</v>
      </c>
      <c r="AF225" s="19">
        <v>0.0</v>
      </c>
      <c r="AG225" s="19">
        <v>0.0</v>
      </c>
      <c r="AH225" s="19">
        <v>0.0</v>
      </c>
      <c r="AI225" s="19">
        <v>0.0</v>
      </c>
      <c r="AJ225" s="19">
        <v>0.0</v>
      </c>
      <c r="AK225" s="19">
        <v>0.0</v>
      </c>
      <c r="AL225" s="19">
        <v>0.0</v>
      </c>
      <c r="AM225" s="19">
        <v>0.0</v>
      </c>
      <c r="AN225" s="19">
        <v>0.0</v>
      </c>
      <c r="AO225" s="19">
        <v>0.0</v>
      </c>
      <c r="AP225" s="19">
        <v>0.0</v>
      </c>
      <c r="AQ225" s="19">
        <v>0.0</v>
      </c>
      <c r="AR225" s="19">
        <v>0.0</v>
      </c>
      <c r="AS225" s="19">
        <v>0.0</v>
      </c>
      <c r="AT225" s="19">
        <v>0.0</v>
      </c>
      <c r="AU225" s="19">
        <v>0.0</v>
      </c>
      <c r="AV225" s="13">
        <f t="shared" ref="AV225:AV235" si="44">SUM(E225:AU225)</f>
        <v>4</v>
      </c>
      <c r="AW225" s="5"/>
      <c r="AX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7.0</v>
      </c>
      <c r="T226" s="19">
        <v>0.0</v>
      </c>
      <c r="U226" s="19">
        <v>0.0</v>
      </c>
      <c r="V226" s="19">
        <v>2.0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0.0</v>
      </c>
      <c r="AD226" s="19">
        <v>0.0</v>
      </c>
      <c r="AE226" s="19">
        <v>0.0</v>
      </c>
      <c r="AF226" s="19">
        <v>0.0</v>
      </c>
      <c r="AG226" s="19">
        <v>0.0</v>
      </c>
      <c r="AH226" s="19">
        <v>0.0</v>
      </c>
      <c r="AI226" s="19">
        <v>0.0</v>
      </c>
      <c r="AJ226" s="19">
        <v>0.0</v>
      </c>
      <c r="AK226" s="19">
        <v>1.0</v>
      </c>
      <c r="AL226" s="19">
        <v>0.0</v>
      </c>
      <c r="AM226" s="19">
        <v>0.0</v>
      </c>
      <c r="AN226" s="19">
        <v>0.0</v>
      </c>
      <c r="AO226" s="19">
        <v>1.0</v>
      </c>
      <c r="AP226" s="19">
        <v>0.0</v>
      </c>
      <c r="AQ226" s="19">
        <v>0.0</v>
      </c>
      <c r="AR226" s="19">
        <v>1.0</v>
      </c>
      <c r="AS226" s="19">
        <v>0.0</v>
      </c>
      <c r="AT226" s="19">
        <v>2.0</v>
      </c>
      <c r="AU226" s="19">
        <v>0.0</v>
      </c>
      <c r="AV226" s="13">
        <f t="shared" si="44"/>
        <v>14</v>
      </c>
      <c r="AW226" s="5"/>
      <c r="AX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9">
        <v>0.0</v>
      </c>
      <c r="AM227" s="19">
        <v>0.0</v>
      </c>
      <c r="AN227" s="19">
        <v>0.0</v>
      </c>
      <c r="AO227" s="19">
        <v>0.0</v>
      </c>
      <c r="AP227" s="19">
        <v>0.0</v>
      </c>
      <c r="AQ227" s="19">
        <v>0.0</v>
      </c>
      <c r="AR227" s="19">
        <v>0.0</v>
      </c>
      <c r="AS227" s="19">
        <v>0.0</v>
      </c>
      <c r="AT227" s="19">
        <v>0.0</v>
      </c>
      <c r="AU227" s="19">
        <v>0.0</v>
      </c>
      <c r="AV227" s="13">
        <f t="shared" si="44"/>
        <v>0</v>
      </c>
      <c r="AW227" s="5"/>
      <c r="AX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0.0</v>
      </c>
      <c r="AK228" s="19">
        <v>0.0</v>
      </c>
      <c r="AL228" s="19">
        <v>0.0</v>
      </c>
      <c r="AM228" s="19">
        <v>0.0</v>
      </c>
      <c r="AN228" s="19">
        <v>0.0</v>
      </c>
      <c r="AO228" s="19">
        <v>0.0</v>
      </c>
      <c r="AP228" s="19">
        <v>0.0</v>
      </c>
      <c r="AQ228" s="19">
        <v>0.0</v>
      </c>
      <c r="AR228" s="19">
        <v>0.0</v>
      </c>
      <c r="AS228" s="19">
        <v>0.0</v>
      </c>
      <c r="AT228" s="19">
        <v>0.0</v>
      </c>
      <c r="AU228" s="19">
        <v>0.0</v>
      </c>
      <c r="AV228" s="13">
        <f t="shared" si="44"/>
        <v>0</v>
      </c>
      <c r="AW228" s="5"/>
      <c r="AX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9">
        <v>0.0</v>
      </c>
      <c r="AN229" s="19">
        <v>0.0</v>
      </c>
      <c r="AO229" s="19">
        <v>0.0</v>
      </c>
      <c r="AP229" s="19">
        <v>0.0</v>
      </c>
      <c r="AQ229" s="19">
        <v>0.0</v>
      </c>
      <c r="AR229" s="19">
        <v>0.0</v>
      </c>
      <c r="AS229" s="19">
        <v>0.0</v>
      </c>
      <c r="AT229" s="19">
        <v>0.0</v>
      </c>
      <c r="AU229" s="19">
        <v>0.0</v>
      </c>
      <c r="AV229" s="13">
        <f t="shared" si="44"/>
        <v>0</v>
      </c>
      <c r="AW229" s="1"/>
      <c r="AX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1.0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9">
        <v>0.0</v>
      </c>
      <c r="AL230" s="19">
        <v>0.0</v>
      </c>
      <c r="AM230" s="19">
        <v>0.0</v>
      </c>
      <c r="AN230" s="19">
        <v>0.0</v>
      </c>
      <c r="AO230" s="19">
        <v>1.0</v>
      </c>
      <c r="AP230" s="19">
        <v>0.0</v>
      </c>
      <c r="AQ230" s="19">
        <v>0.0</v>
      </c>
      <c r="AR230" s="19">
        <v>0.0</v>
      </c>
      <c r="AS230" s="19">
        <v>0.0</v>
      </c>
      <c r="AT230" s="19">
        <v>0.0</v>
      </c>
      <c r="AU230" s="19">
        <v>0.0</v>
      </c>
      <c r="AV230" s="13">
        <f t="shared" si="44"/>
        <v>2</v>
      </c>
      <c r="AW230" s="52"/>
      <c r="AX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9">
        <v>0.0</v>
      </c>
      <c r="AN231" s="19">
        <v>0.0</v>
      </c>
      <c r="AO231" s="19">
        <v>0.0</v>
      </c>
      <c r="AP231" s="19">
        <v>0.0</v>
      </c>
      <c r="AQ231" s="19">
        <v>0.0</v>
      </c>
      <c r="AR231" s="19">
        <v>0.0</v>
      </c>
      <c r="AS231" s="19">
        <v>0.0</v>
      </c>
      <c r="AT231" s="19">
        <v>0.0</v>
      </c>
      <c r="AU231" s="19">
        <v>0.0</v>
      </c>
      <c r="AV231" s="13">
        <f t="shared" si="44"/>
        <v>0</v>
      </c>
      <c r="AW231" s="5"/>
      <c r="AX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2.0</v>
      </c>
      <c r="H232" s="19">
        <v>0.0</v>
      </c>
      <c r="I232" s="19">
        <v>0.0</v>
      </c>
      <c r="J232" s="19">
        <v>0.0</v>
      </c>
      <c r="K232" s="19">
        <v>1.0</v>
      </c>
      <c r="L232" s="19">
        <v>1.0</v>
      </c>
      <c r="M232" s="19">
        <v>0.0</v>
      </c>
      <c r="N232" s="19">
        <v>0.0</v>
      </c>
      <c r="O232" s="19">
        <v>2.0</v>
      </c>
      <c r="P232" s="19">
        <v>0.0</v>
      </c>
      <c r="Q232" s="19">
        <v>1.0</v>
      </c>
      <c r="R232" s="19">
        <v>0.0</v>
      </c>
      <c r="S232" s="19">
        <v>2.0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2.0</v>
      </c>
      <c r="AB232" s="19">
        <v>0.0</v>
      </c>
      <c r="AC232" s="19">
        <v>0.0</v>
      </c>
      <c r="AD232" s="19">
        <v>0.0</v>
      </c>
      <c r="AE232" s="19">
        <v>1.0</v>
      </c>
      <c r="AF232" s="19">
        <v>0.0</v>
      </c>
      <c r="AG232" s="19">
        <v>0.0</v>
      </c>
      <c r="AH232" s="19">
        <v>1.0</v>
      </c>
      <c r="AI232" s="19">
        <v>0.0</v>
      </c>
      <c r="AJ232" s="19">
        <v>0.0</v>
      </c>
      <c r="AK232" s="19">
        <v>1.0</v>
      </c>
      <c r="AL232" s="19">
        <v>2.0</v>
      </c>
      <c r="AM232" s="19">
        <v>1.0</v>
      </c>
      <c r="AN232" s="19">
        <v>2.0</v>
      </c>
      <c r="AO232" s="19">
        <v>0.0</v>
      </c>
      <c r="AP232" s="19">
        <v>0.0</v>
      </c>
      <c r="AQ232" s="19">
        <v>0.0</v>
      </c>
      <c r="AR232" s="19">
        <v>0.0</v>
      </c>
      <c r="AS232" s="19">
        <v>1.0</v>
      </c>
      <c r="AT232" s="19">
        <v>0.0</v>
      </c>
      <c r="AU232" s="19">
        <v>0.0</v>
      </c>
      <c r="AV232" s="13">
        <f t="shared" si="44"/>
        <v>20</v>
      </c>
      <c r="AW232" s="5"/>
      <c r="AX232" s="5"/>
    </row>
    <row r="233" ht="12.75" customHeight="1">
      <c r="A233" s="18"/>
      <c r="B233" s="71"/>
      <c r="C233" s="72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3">
        <f t="shared" si="44"/>
        <v>0</v>
      </c>
      <c r="AW233" s="5"/>
      <c r="AX233" s="5"/>
    </row>
    <row r="234" ht="12.75" customHeight="1">
      <c r="A234" s="18"/>
      <c r="B234" s="71"/>
      <c r="C234" s="72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3">
        <f t="shared" si="44"/>
        <v>0</v>
      </c>
      <c r="AW234" s="5"/>
      <c r="AX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AU235" si="45">SUM(E225:E232)</f>
        <v>0</v>
      </c>
      <c r="F235" s="13">
        <f t="shared" si="45"/>
        <v>0</v>
      </c>
      <c r="G235" s="13">
        <f t="shared" si="45"/>
        <v>2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2</v>
      </c>
      <c r="L235" s="13">
        <f t="shared" si="45"/>
        <v>1</v>
      </c>
      <c r="M235" s="13">
        <f t="shared" si="45"/>
        <v>0</v>
      </c>
      <c r="N235" s="13">
        <f t="shared" si="45"/>
        <v>1</v>
      </c>
      <c r="O235" s="13">
        <f t="shared" si="45"/>
        <v>2</v>
      </c>
      <c r="P235" s="13">
        <f t="shared" si="45"/>
        <v>0</v>
      </c>
      <c r="Q235" s="13">
        <f t="shared" si="45"/>
        <v>2</v>
      </c>
      <c r="R235" s="13">
        <f t="shared" si="45"/>
        <v>0</v>
      </c>
      <c r="S235" s="13">
        <f t="shared" si="45"/>
        <v>9</v>
      </c>
      <c r="T235" s="13">
        <f t="shared" si="45"/>
        <v>0</v>
      </c>
      <c r="U235" s="13">
        <f t="shared" si="45"/>
        <v>0</v>
      </c>
      <c r="V235" s="13">
        <f t="shared" si="45"/>
        <v>2</v>
      </c>
      <c r="W235" s="13">
        <f t="shared" si="45"/>
        <v>0</v>
      </c>
      <c r="X235" s="13">
        <f t="shared" si="45"/>
        <v>0</v>
      </c>
      <c r="Y235" s="13">
        <f t="shared" si="45"/>
        <v>0</v>
      </c>
      <c r="Z235" s="13">
        <f t="shared" si="45"/>
        <v>0</v>
      </c>
      <c r="AA235" s="13">
        <f t="shared" si="45"/>
        <v>2</v>
      </c>
      <c r="AB235" s="13">
        <f t="shared" si="45"/>
        <v>1</v>
      </c>
      <c r="AC235" s="13">
        <f t="shared" si="45"/>
        <v>0</v>
      </c>
      <c r="AD235" s="13">
        <f t="shared" si="45"/>
        <v>0</v>
      </c>
      <c r="AE235" s="13">
        <f t="shared" si="45"/>
        <v>2</v>
      </c>
      <c r="AF235" s="13">
        <f t="shared" si="45"/>
        <v>0</v>
      </c>
      <c r="AG235" s="13">
        <f t="shared" si="45"/>
        <v>0</v>
      </c>
      <c r="AH235" s="13">
        <f t="shared" si="45"/>
        <v>1</v>
      </c>
      <c r="AI235" s="13">
        <f t="shared" si="45"/>
        <v>0</v>
      </c>
      <c r="AJ235" s="13">
        <f t="shared" si="45"/>
        <v>0</v>
      </c>
      <c r="AK235" s="13">
        <f t="shared" si="45"/>
        <v>2</v>
      </c>
      <c r="AL235" s="13">
        <f t="shared" si="45"/>
        <v>2</v>
      </c>
      <c r="AM235" s="13">
        <f t="shared" si="45"/>
        <v>1</v>
      </c>
      <c r="AN235" s="13">
        <f t="shared" si="45"/>
        <v>2</v>
      </c>
      <c r="AO235" s="13">
        <f t="shared" si="45"/>
        <v>2</v>
      </c>
      <c r="AP235" s="13">
        <f t="shared" si="45"/>
        <v>0</v>
      </c>
      <c r="AQ235" s="13">
        <f t="shared" si="45"/>
        <v>0</v>
      </c>
      <c r="AR235" s="13">
        <f t="shared" si="45"/>
        <v>1</v>
      </c>
      <c r="AS235" s="13">
        <f t="shared" si="45"/>
        <v>1</v>
      </c>
      <c r="AT235" s="13">
        <f t="shared" si="45"/>
        <v>2</v>
      </c>
      <c r="AU235" s="13">
        <f t="shared" si="45"/>
        <v>0</v>
      </c>
      <c r="AV235" s="13">
        <f t="shared" si="44"/>
        <v>40</v>
      </c>
      <c r="AW235" s="5"/>
      <c r="AX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75"/>
      <c r="AK236" s="75"/>
      <c r="AL236" s="75"/>
      <c r="AM236" s="75"/>
      <c r="AN236" s="75"/>
      <c r="AO236" s="75"/>
      <c r="AP236" s="75"/>
      <c r="AQ236" s="75"/>
      <c r="AR236" s="75"/>
      <c r="AS236" s="75"/>
      <c r="AT236" s="75"/>
      <c r="AU236" s="75"/>
      <c r="AV236" s="75"/>
      <c r="AW236" s="5"/>
      <c r="AX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0.0</v>
      </c>
      <c r="I237" s="19">
        <v>0.0</v>
      </c>
      <c r="J237" s="19">
        <v>0.0</v>
      </c>
      <c r="K237" s="19">
        <v>0.0</v>
      </c>
      <c r="L237" s="19">
        <v>0.0</v>
      </c>
      <c r="M237" s="19">
        <v>0.0</v>
      </c>
      <c r="N237" s="19">
        <v>0.0</v>
      </c>
      <c r="O237" s="19">
        <v>0.0</v>
      </c>
      <c r="P237" s="19">
        <v>0.0</v>
      </c>
      <c r="Q237" s="19">
        <v>0.0</v>
      </c>
      <c r="R237" s="19">
        <v>0.0</v>
      </c>
      <c r="S237" s="19">
        <v>0.0</v>
      </c>
      <c r="T237" s="19">
        <v>0.0</v>
      </c>
      <c r="U237" s="19">
        <v>1.0</v>
      </c>
      <c r="V237" s="19">
        <v>0.0</v>
      </c>
      <c r="W237" s="19">
        <v>0.0</v>
      </c>
      <c r="X237" s="19">
        <v>0.0</v>
      </c>
      <c r="Y237" s="19">
        <v>0.0</v>
      </c>
      <c r="Z237" s="19">
        <v>1.0</v>
      </c>
      <c r="AA237" s="19">
        <v>0.0</v>
      </c>
      <c r="AB237" s="19">
        <v>1.0</v>
      </c>
      <c r="AC237" s="19">
        <v>1.0</v>
      </c>
      <c r="AD237" s="19">
        <v>0.0</v>
      </c>
      <c r="AE237" s="19">
        <v>0.0</v>
      </c>
      <c r="AF237" s="19">
        <v>0.0</v>
      </c>
      <c r="AG237" s="19">
        <v>0.0</v>
      </c>
      <c r="AH237" s="19">
        <v>0.0</v>
      </c>
      <c r="AI237" s="19">
        <v>0.0</v>
      </c>
      <c r="AJ237" s="19">
        <v>0.0</v>
      </c>
      <c r="AK237" s="19">
        <v>0.0</v>
      </c>
      <c r="AL237" s="19">
        <v>0.0</v>
      </c>
      <c r="AM237" s="19">
        <v>0.0</v>
      </c>
      <c r="AN237" s="19">
        <v>0.0</v>
      </c>
      <c r="AO237" s="19">
        <v>0.0</v>
      </c>
      <c r="AP237" s="19">
        <v>0.0</v>
      </c>
      <c r="AQ237" s="19">
        <v>0.0</v>
      </c>
      <c r="AR237" s="19">
        <v>0.0</v>
      </c>
      <c r="AS237" s="19">
        <v>0.0</v>
      </c>
      <c r="AT237" s="19">
        <v>0.0</v>
      </c>
      <c r="AU237" s="19">
        <v>0.0</v>
      </c>
      <c r="AV237" s="13">
        <f t="shared" ref="AV237:AV247" si="46">SUM(E237:AU237)</f>
        <v>4</v>
      </c>
      <c r="AW237" s="5"/>
      <c r="AX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0.0</v>
      </c>
      <c r="W238" s="19">
        <v>0.0</v>
      </c>
      <c r="X238" s="19">
        <v>0.0</v>
      </c>
      <c r="Y238" s="19">
        <v>0.0</v>
      </c>
      <c r="Z238" s="19">
        <v>1.0</v>
      </c>
      <c r="AA238" s="19">
        <v>0.0</v>
      </c>
      <c r="AB238" s="19">
        <v>0.0</v>
      </c>
      <c r="AC238" s="19">
        <v>0.0</v>
      </c>
      <c r="AD238" s="19">
        <v>0.0</v>
      </c>
      <c r="AE238" s="19">
        <v>0.0</v>
      </c>
      <c r="AF238" s="19">
        <v>0.0</v>
      </c>
      <c r="AG238" s="19">
        <v>0.0</v>
      </c>
      <c r="AH238" s="19">
        <v>0.0</v>
      </c>
      <c r="AI238" s="19">
        <v>1.0</v>
      </c>
      <c r="AJ238" s="19">
        <v>0.0</v>
      </c>
      <c r="AK238" s="19">
        <v>0.0</v>
      </c>
      <c r="AL238" s="19">
        <v>0.0</v>
      </c>
      <c r="AM238" s="19">
        <v>0.0</v>
      </c>
      <c r="AN238" s="19">
        <v>0.0</v>
      </c>
      <c r="AO238" s="19">
        <v>0.0</v>
      </c>
      <c r="AP238" s="19">
        <v>0.0</v>
      </c>
      <c r="AQ238" s="19">
        <v>0.0</v>
      </c>
      <c r="AR238" s="19">
        <v>0.0</v>
      </c>
      <c r="AS238" s="19">
        <v>0.0</v>
      </c>
      <c r="AT238" s="19">
        <v>0.0</v>
      </c>
      <c r="AU238" s="19">
        <v>0.0</v>
      </c>
      <c r="AV238" s="13">
        <f t="shared" si="46"/>
        <v>2</v>
      </c>
      <c r="AW238" s="5"/>
      <c r="AX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0.0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0.0</v>
      </c>
      <c r="S239" s="19">
        <v>0.0</v>
      </c>
      <c r="T239" s="19">
        <v>0.0</v>
      </c>
      <c r="U239" s="19">
        <v>0.0</v>
      </c>
      <c r="V239" s="19">
        <v>0.0</v>
      </c>
      <c r="W239" s="19">
        <v>0.0</v>
      </c>
      <c r="X239" s="19">
        <v>0.0</v>
      </c>
      <c r="Y239" s="19">
        <v>0.0</v>
      </c>
      <c r="Z239" s="19">
        <v>1.0</v>
      </c>
      <c r="AA239" s="19">
        <v>0.0</v>
      </c>
      <c r="AB239" s="19">
        <v>0.0</v>
      </c>
      <c r="AC239" s="19">
        <v>1.0</v>
      </c>
      <c r="AD239" s="19">
        <v>0.0</v>
      </c>
      <c r="AE239" s="19">
        <v>0.0</v>
      </c>
      <c r="AF239" s="19">
        <v>0.0</v>
      </c>
      <c r="AG239" s="19">
        <v>0.0</v>
      </c>
      <c r="AH239" s="19">
        <v>0.0</v>
      </c>
      <c r="AI239" s="19">
        <v>0.0</v>
      </c>
      <c r="AJ239" s="19">
        <v>1.0</v>
      </c>
      <c r="AK239" s="19">
        <v>0.0</v>
      </c>
      <c r="AL239" s="19">
        <v>0.0</v>
      </c>
      <c r="AM239" s="19">
        <v>0.0</v>
      </c>
      <c r="AN239" s="19">
        <v>0.0</v>
      </c>
      <c r="AO239" s="19">
        <v>0.0</v>
      </c>
      <c r="AP239" s="19">
        <v>0.0</v>
      </c>
      <c r="AQ239" s="19">
        <v>0.0</v>
      </c>
      <c r="AR239" s="19">
        <v>0.0</v>
      </c>
      <c r="AS239" s="19">
        <v>0.0</v>
      </c>
      <c r="AT239" s="19">
        <v>0.0</v>
      </c>
      <c r="AU239" s="19">
        <v>0.0</v>
      </c>
      <c r="AV239" s="13">
        <f t="shared" si="46"/>
        <v>3</v>
      </c>
      <c r="AW239" s="5"/>
      <c r="AX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9">
        <v>0.0</v>
      </c>
      <c r="AC240" s="19">
        <v>0.0</v>
      </c>
      <c r="AD240" s="19">
        <v>0.0</v>
      </c>
      <c r="AE240" s="19">
        <v>0.0</v>
      </c>
      <c r="AF240" s="19">
        <v>0.0</v>
      </c>
      <c r="AG240" s="19">
        <v>0.0</v>
      </c>
      <c r="AH240" s="19">
        <v>0.0</v>
      </c>
      <c r="AI240" s="19">
        <v>0.0</v>
      </c>
      <c r="AJ240" s="19">
        <v>0.0</v>
      </c>
      <c r="AK240" s="19">
        <v>0.0</v>
      </c>
      <c r="AL240" s="19">
        <v>0.0</v>
      </c>
      <c r="AM240" s="19">
        <v>0.0</v>
      </c>
      <c r="AN240" s="19">
        <v>0.0</v>
      </c>
      <c r="AO240" s="19">
        <v>0.0</v>
      </c>
      <c r="AP240" s="19">
        <v>0.0</v>
      </c>
      <c r="AQ240" s="19">
        <v>0.0</v>
      </c>
      <c r="AR240" s="19">
        <v>0.0</v>
      </c>
      <c r="AS240" s="19">
        <v>0.0</v>
      </c>
      <c r="AT240" s="19">
        <v>0.0</v>
      </c>
      <c r="AU240" s="19">
        <v>0.0</v>
      </c>
      <c r="AV240" s="13">
        <f t="shared" si="46"/>
        <v>0</v>
      </c>
      <c r="AW240" s="1"/>
      <c r="AX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0.0</v>
      </c>
      <c r="AH241" s="19">
        <v>0.0</v>
      </c>
      <c r="AI241" s="19">
        <v>0.0</v>
      </c>
      <c r="AJ241" s="19">
        <v>0.0</v>
      </c>
      <c r="AK241" s="19">
        <v>0.0</v>
      </c>
      <c r="AL241" s="19">
        <v>0.0</v>
      </c>
      <c r="AM241" s="19">
        <v>0.0</v>
      </c>
      <c r="AN241" s="19">
        <v>0.0</v>
      </c>
      <c r="AO241" s="19">
        <v>0.0</v>
      </c>
      <c r="AP241" s="19">
        <v>0.0</v>
      </c>
      <c r="AQ241" s="19">
        <v>0.0</v>
      </c>
      <c r="AR241" s="19">
        <v>0.0</v>
      </c>
      <c r="AS241" s="19">
        <v>0.0</v>
      </c>
      <c r="AT241" s="19">
        <v>0.0</v>
      </c>
      <c r="AU241" s="19">
        <v>0.0</v>
      </c>
      <c r="AV241" s="13">
        <f t="shared" si="46"/>
        <v>0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9">
        <v>0.0</v>
      </c>
      <c r="AL242" s="19">
        <v>0.0</v>
      </c>
      <c r="AM242" s="19">
        <v>0.0</v>
      </c>
      <c r="AN242" s="19">
        <v>0.0</v>
      </c>
      <c r="AO242" s="19">
        <v>0.0</v>
      </c>
      <c r="AP242" s="19">
        <v>0.0</v>
      </c>
      <c r="AQ242" s="19">
        <v>0.0</v>
      </c>
      <c r="AR242" s="19">
        <v>0.0</v>
      </c>
      <c r="AS242" s="19">
        <v>0.0</v>
      </c>
      <c r="AT242" s="19">
        <v>0.0</v>
      </c>
      <c r="AU242" s="19">
        <v>0.0</v>
      </c>
      <c r="AV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1.0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9">
        <v>0.0</v>
      </c>
      <c r="AM243" s="19">
        <v>0.0</v>
      </c>
      <c r="AN243" s="19">
        <v>0.0</v>
      </c>
      <c r="AO243" s="19">
        <v>0.0</v>
      </c>
      <c r="AP243" s="19">
        <v>0.0</v>
      </c>
      <c r="AQ243" s="19">
        <v>0.0</v>
      </c>
      <c r="AR243" s="19">
        <v>0.0</v>
      </c>
      <c r="AS243" s="19">
        <v>0.0</v>
      </c>
      <c r="AT243" s="19">
        <v>0.0</v>
      </c>
      <c r="AU243" s="19">
        <v>0.0</v>
      </c>
      <c r="AV243" s="13">
        <f t="shared" si="46"/>
        <v>1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4.0</v>
      </c>
      <c r="G244" s="19">
        <v>2.0</v>
      </c>
      <c r="H244" s="19">
        <v>0.0</v>
      </c>
      <c r="I244" s="19">
        <v>0.0</v>
      </c>
      <c r="J244" s="19">
        <v>2.0</v>
      </c>
      <c r="K244" s="19">
        <v>0.0</v>
      </c>
      <c r="L244" s="19">
        <v>0.0</v>
      </c>
      <c r="M244" s="19">
        <v>0.0</v>
      </c>
      <c r="N244" s="19">
        <v>0.0</v>
      </c>
      <c r="O244" s="19">
        <v>0.0</v>
      </c>
      <c r="P244" s="19">
        <v>1.0</v>
      </c>
      <c r="Q244" s="19">
        <v>0.0</v>
      </c>
      <c r="R244" s="19">
        <v>1.0</v>
      </c>
      <c r="S244" s="19">
        <v>0.0</v>
      </c>
      <c r="T244" s="19">
        <v>0.0</v>
      </c>
      <c r="U244" s="19">
        <v>0.0</v>
      </c>
      <c r="V244" s="19">
        <v>0.0</v>
      </c>
      <c r="W244" s="19">
        <v>0.0</v>
      </c>
      <c r="X244" s="19">
        <v>0.0</v>
      </c>
      <c r="Y244" s="19">
        <v>0.0</v>
      </c>
      <c r="Z244" s="19">
        <v>0.0</v>
      </c>
      <c r="AA244" s="19">
        <v>0.0</v>
      </c>
      <c r="AB244" s="19">
        <v>1.0</v>
      </c>
      <c r="AC244" s="19">
        <v>0.0</v>
      </c>
      <c r="AD244" s="19">
        <v>0.0</v>
      </c>
      <c r="AE244" s="19">
        <v>0.0</v>
      </c>
      <c r="AF244" s="19">
        <v>0.0</v>
      </c>
      <c r="AG244" s="19">
        <v>0.0</v>
      </c>
      <c r="AH244" s="19">
        <v>0.0</v>
      </c>
      <c r="AI244" s="19">
        <v>0.0</v>
      </c>
      <c r="AJ244" s="19">
        <v>0.0</v>
      </c>
      <c r="AK244" s="19">
        <v>1.0</v>
      </c>
      <c r="AL244" s="19">
        <v>0.0</v>
      </c>
      <c r="AM244" s="19">
        <v>0.0</v>
      </c>
      <c r="AN244" s="19">
        <v>0.0</v>
      </c>
      <c r="AO244" s="19">
        <v>1.0</v>
      </c>
      <c r="AP244" s="19">
        <v>1.0</v>
      </c>
      <c r="AQ244" s="19">
        <v>0.0</v>
      </c>
      <c r="AR244" s="19">
        <v>3.0</v>
      </c>
      <c r="AS244" s="19">
        <v>0.0</v>
      </c>
      <c r="AT244" s="19">
        <v>0.0</v>
      </c>
      <c r="AU244" s="19">
        <v>0.0</v>
      </c>
      <c r="AV244" s="13">
        <f t="shared" si="46"/>
        <v>17</v>
      </c>
    </row>
    <row r="245" ht="12.75" customHeight="1">
      <c r="A245" s="18"/>
      <c r="B245" s="71"/>
      <c r="C245" s="72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3">
        <f t="shared" si="46"/>
        <v>0</v>
      </c>
    </row>
    <row r="246" ht="12.75" customHeight="1">
      <c r="A246" s="18"/>
      <c r="B246" s="71"/>
      <c r="C246" s="72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U247" si="47">SUM(E237:E244)</f>
        <v>0</v>
      </c>
      <c r="F247" s="13">
        <f t="shared" si="47"/>
        <v>4</v>
      </c>
      <c r="G247" s="13">
        <f t="shared" si="47"/>
        <v>2</v>
      </c>
      <c r="H247" s="13">
        <f t="shared" si="47"/>
        <v>0</v>
      </c>
      <c r="I247" s="13">
        <f t="shared" si="47"/>
        <v>0</v>
      </c>
      <c r="J247" s="13">
        <f t="shared" si="47"/>
        <v>2</v>
      </c>
      <c r="K247" s="13">
        <f t="shared" si="47"/>
        <v>1</v>
      </c>
      <c r="L247" s="13">
        <f t="shared" si="47"/>
        <v>0</v>
      </c>
      <c r="M247" s="13">
        <f t="shared" si="47"/>
        <v>0</v>
      </c>
      <c r="N247" s="13">
        <f t="shared" si="47"/>
        <v>0</v>
      </c>
      <c r="O247" s="13">
        <f t="shared" si="47"/>
        <v>0</v>
      </c>
      <c r="P247" s="13">
        <f t="shared" si="47"/>
        <v>1</v>
      </c>
      <c r="Q247" s="13">
        <f t="shared" si="47"/>
        <v>0</v>
      </c>
      <c r="R247" s="13">
        <f t="shared" si="47"/>
        <v>1</v>
      </c>
      <c r="S247" s="13">
        <f t="shared" si="47"/>
        <v>0</v>
      </c>
      <c r="T247" s="13">
        <f t="shared" si="47"/>
        <v>0</v>
      </c>
      <c r="U247" s="13">
        <f t="shared" si="47"/>
        <v>1</v>
      </c>
      <c r="V247" s="13">
        <f t="shared" si="47"/>
        <v>0</v>
      </c>
      <c r="W247" s="13">
        <f t="shared" si="47"/>
        <v>0</v>
      </c>
      <c r="X247" s="13">
        <f t="shared" si="47"/>
        <v>0</v>
      </c>
      <c r="Y247" s="13">
        <f t="shared" si="47"/>
        <v>0</v>
      </c>
      <c r="Z247" s="13">
        <f t="shared" si="47"/>
        <v>3</v>
      </c>
      <c r="AA247" s="13">
        <f t="shared" si="47"/>
        <v>0</v>
      </c>
      <c r="AB247" s="13">
        <f t="shared" si="47"/>
        <v>2</v>
      </c>
      <c r="AC247" s="13">
        <f t="shared" si="47"/>
        <v>2</v>
      </c>
      <c r="AD247" s="13">
        <f t="shared" si="47"/>
        <v>0</v>
      </c>
      <c r="AE247" s="13">
        <f t="shared" si="47"/>
        <v>0</v>
      </c>
      <c r="AF247" s="13">
        <f t="shared" si="47"/>
        <v>0</v>
      </c>
      <c r="AG247" s="13">
        <f t="shared" si="47"/>
        <v>0</v>
      </c>
      <c r="AH247" s="13">
        <f t="shared" si="47"/>
        <v>0</v>
      </c>
      <c r="AI247" s="13">
        <f t="shared" si="47"/>
        <v>1</v>
      </c>
      <c r="AJ247" s="13">
        <f t="shared" si="47"/>
        <v>1</v>
      </c>
      <c r="AK247" s="13">
        <f t="shared" si="47"/>
        <v>1</v>
      </c>
      <c r="AL247" s="13">
        <f t="shared" si="47"/>
        <v>0</v>
      </c>
      <c r="AM247" s="13">
        <f t="shared" si="47"/>
        <v>0</v>
      </c>
      <c r="AN247" s="13">
        <f t="shared" si="47"/>
        <v>0</v>
      </c>
      <c r="AO247" s="13">
        <f t="shared" si="47"/>
        <v>1</v>
      </c>
      <c r="AP247" s="13">
        <f t="shared" si="47"/>
        <v>1</v>
      </c>
      <c r="AQ247" s="13">
        <f t="shared" si="47"/>
        <v>0</v>
      </c>
      <c r="AR247" s="13">
        <f t="shared" si="47"/>
        <v>3</v>
      </c>
      <c r="AS247" s="13">
        <f t="shared" si="47"/>
        <v>0</v>
      </c>
      <c r="AT247" s="13">
        <f t="shared" si="47"/>
        <v>0</v>
      </c>
      <c r="AU247" s="13">
        <f t="shared" si="47"/>
        <v>0</v>
      </c>
      <c r="AV247" s="13">
        <f t="shared" si="46"/>
        <v>27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1.0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1.0</v>
      </c>
      <c r="Z249" s="19">
        <v>0.0</v>
      </c>
      <c r="AA249" s="19">
        <v>0.0</v>
      </c>
      <c r="AB249" s="19">
        <v>0.0</v>
      </c>
      <c r="AC249" s="19">
        <v>0.0</v>
      </c>
      <c r="AD249" s="19">
        <v>1.0</v>
      </c>
      <c r="AE249" s="19">
        <v>0.0</v>
      </c>
      <c r="AF249" s="19">
        <v>0.0</v>
      </c>
      <c r="AG249" s="19">
        <v>0.0</v>
      </c>
      <c r="AH249" s="19">
        <v>0.0</v>
      </c>
      <c r="AI249" s="19">
        <v>0.0</v>
      </c>
      <c r="AJ249" s="19">
        <v>0.0</v>
      </c>
      <c r="AK249" s="19">
        <v>0.0</v>
      </c>
      <c r="AL249" s="19">
        <v>0.0</v>
      </c>
      <c r="AM249" s="19">
        <v>0.0</v>
      </c>
      <c r="AN249" s="19">
        <v>0.0</v>
      </c>
      <c r="AO249" s="19">
        <v>0.0</v>
      </c>
      <c r="AP249" s="19">
        <v>0.0</v>
      </c>
      <c r="AQ249" s="19">
        <v>0.0</v>
      </c>
      <c r="AR249" s="19">
        <v>0.0</v>
      </c>
      <c r="AS249" s="19">
        <v>0.0</v>
      </c>
      <c r="AT249" s="19">
        <v>0.0</v>
      </c>
      <c r="AU249" s="19">
        <v>0.0</v>
      </c>
      <c r="AV249" s="13">
        <f t="shared" ref="AV249:AV259" si="48">SUM(E249:AU249)</f>
        <v>3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1.0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1.0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9">
        <v>0.0</v>
      </c>
      <c r="AH250" s="19">
        <v>0.0</v>
      </c>
      <c r="AI250" s="19">
        <v>0.0</v>
      </c>
      <c r="AJ250" s="19">
        <v>0.0</v>
      </c>
      <c r="AK250" s="19">
        <v>0.0</v>
      </c>
      <c r="AL250" s="19">
        <v>0.0</v>
      </c>
      <c r="AM250" s="19">
        <v>0.0</v>
      </c>
      <c r="AN250" s="19">
        <v>0.0</v>
      </c>
      <c r="AO250" s="19">
        <v>0.0</v>
      </c>
      <c r="AP250" s="19">
        <v>0.0</v>
      </c>
      <c r="AQ250" s="19">
        <v>0.0</v>
      </c>
      <c r="AR250" s="19">
        <v>0.0</v>
      </c>
      <c r="AS250" s="19">
        <v>0.0</v>
      </c>
      <c r="AT250" s="19">
        <v>0.0</v>
      </c>
      <c r="AU250" s="19">
        <v>0.0</v>
      </c>
      <c r="AV250" s="13">
        <f t="shared" si="48"/>
        <v>2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1.0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0.0</v>
      </c>
      <c r="AH251" s="19">
        <v>0.0</v>
      </c>
      <c r="AI251" s="19">
        <v>0.0</v>
      </c>
      <c r="AJ251" s="19">
        <v>0.0</v>
      </c>
      <c r="AK251" s="19">
        <v>0.0</v>
      </c>
      <c r="AL251" s="19">
        <v>0.0</v>
      </c>
      <c r="AM251" s="19">
        <v>0.0</v>
      </c>
      <c r="AN251" s="19">
        <v>0.0</v>
      </c>
      <c r="AO251" s="19">
        <v>0.0</v>
      </c>
      <c r="AP251" s="19">
        <v>0.0</v>
      </c>
      <c r="AQ251" s="19">
        <v>0.0</v>
      </c>
      <c r="AR251" s="19">
        <v>0.0</v>
      </c>
      <c r="AS251" s="19">
        <v>0.0</v>
      </c>
      <c r="AT251" s="19">
        <v>0.0</v>
      </c>
      <c r="AU251" s="19">
        <v>0.0</v>
      </c>
      <c r="AV251" s="13">
        <f t="shared" si="48"/>
        <v>1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9">
        <v>0.0</v>
      </c>
      <c r="AM252" s="19">
        <v>0.0</v>
      </c>
      <c r="AN252" s="19">
        <v>0.0</v>
      </c>
      <c r="AO252" s="19">
        <v>0.0</v>
      </c>
      <c r="AP252" s="19">
        <v>0.0</v>
      </c>
      <c r="AQ252" s="19">
        <v>0.0</v>
      </c>
      <c r="AR252" s="19">
        <v>0.0</v>
      </c>
      <c r="AS252" s="19">
        <v>0.0</v>
      </c>
      <c r="AT252" s="19">
        <v>0.0</v>
      </c>
      <c r="AU252" s="19">
        <v>0.0</v>
      </c>
      <c r="AV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9">
        <v>0.0</v>
      </c>
      <c r="AM253" s="19">
        <v>0.0</v>
      </c>
      <c r="AN253" s="19">
        <v>0.0</v>
      </c>
      <c r="AO253" s="19">
        <v>0.0</v>
      </c>
      <c r="AP253" s="19">
        <v>0.0</v>
      </c>
      <c r="AQ253" s="19">
        <v>0.0</v>
      </c>
      <c r="AR253" s="19">
        <v>0.0</v>
      </c>
      <c r="AS253" s="19">
        <v>0.0</v>
      </c>
      <c r="AT253" s="19">
        <v>0.0</v>
      </c>
      <c r="AU253" s="19">
        <v>0.0</v>
      </c>
      <c r="AV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1.0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9">
        <v>0.0</v>
      </c>
      <c r="AM254" s="19">
        <v>0.0</v>
      </c>
      <c r="AN254" s="19">
        <v>0.0</v>
      </c>
      <c r="AO254" s="19">
        <v>0.0</v>
      </c>
      <c r="AP254" s="19">
        <v>0.0</v>
      </c>
      <c r="AQ254" s="19">
        <v>0.0</v>
      </c>
      <c r="AR254" s="19">
        <v>0.0</v>
      </c>
      <c r="AS254" s="19">
        <v>0.0</v>
      </c>
      <c r="AT254" s="19">
        <v>0.0</v>
      </c>
      <c r="AU254" s="19">
        <v>0.0</v>
      </c>
      <c r="AV254" s="13">
        <f t="shared" si="48"/>
        <v>1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0.0</v>
      </c>
      <c r="AK255" s="19">
        <v>0.0</v>
      </c>
      <c r="AL255" s="19">
        <v>0.0</v>
      </c>
      <c r="AM255" s="19">
        <v>0.0</v>
      </c>
      <c r="AN255" s="19">
        <v>0.0</v>
      </c>
      <c r="AO255" s="19">
        <v>0.0</v>
      </c>
      <c r="AP255" s="19">
        <v>0.0</v>
      </c>
      <c r="AQ255" s="19">
        <v>0.0</v>
      </c>
      <c r="AR255" s="19">
        <v>0.0</v>
      </c>
      <c r="AS255" s="19">
        <v>0.0</v>
      </c>
      <c r="AT255" s="19">
        <v>0.0</v>
      </c>
      <c r="AU255" s="19">
        <v>0.0</v>
      </c>
      <c r="AV255" s="13">
        <f t="shared" si="48"/>
        <v>0</v>
      </c>
    </row>
    <row r="256" ht="12.75" customHeight="1">
      <c r="A256" s="18"/>
      <c r="B256" s="71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3">
        <f t="shared" si="48"/>
        <v>0</v>
      </c>
    </row>
    <row r="257" ht="12.75" customHeight="1">
      <c r="A257" s="18"/>
      <c r="B257" s="71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3">
        <f t="shared" si="48"/>
        <v>0</v>
      </c>
    </row>
    <row r="258" ht="12.75" customHeight="1">
      <c r="A258" s="18"/>
      <c r="B258" s="71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3">
        <f t="shared" si="48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AU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1</v>
      </c>
      <c r="I259" s="13">
        <f t="shared" si="49"/>
        <v>0</v>
      </c>
      <c r="J259" s="13">
        <f t="shared" si="49"/>
        <v>1</v>
      </c>
      <c r="K259" s="13">
        <f t="shared" si="49"/>
        <v>1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1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1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1</v>
      </c>
      <c r="Z259" s="13">
        <f t="shared" si="49"/>
        <v>0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1</v>
      </c>
      <c r="AE259" s="13">
        <f t="shared" si="49"/>
        <v>0</v>
      </c>
      <c r="AF259" s="13">
        <f t="shared" si="49"/>
        <v>0</v>
      </c>
      <c r="AG259" s="13">
        <f t="shared" si="49"/>
        <v>0</v>
      </c>
      <c r="AH259" s="13">
        <f t="shared" si="49"/>
        <v>0</v>
      </c>
      <c r="AI259" s="13">
        <f t="shared" si="49"/>
        <v>0</v>
      </c>
      <c r="AJ259" s="13">
        <f t="shared" si="49"/>
        <v>0</v>
      </c>
      <c r="AK259" s="13">
        <f t="shared" si="49"/>
        <v>0</v>
      </c>
      <c r="AL259" s="13">
        <f t="shared" si="49"/>
        <v>0</v>
      </c>
      <c r="AM259" s="13">
        <f t="shared" si="49"/>
        <v>0</v>
      </c>
      <c r="AN259" s="13">
        <f t="shared" si="49"/>
        <v>0</v>
      </c>
      <c r="AO259" s="13">
        <f t="shared" si="49"/>
        <v>0</v>
      </c>
      <c r="AP259" s="13">
        <f t="shared" si="49"/>
        <v>0</v>
      </c>
      <c r="AQ259" s="13">
        <f t="shared" si="49"/>
        <v>0</v>
      </c>
      <c r="AR259" s="13">
        <f t="shared" si="49"/>
        <v>0</v>
      </c>
      <c r="AS259" s="13">
        <f t="shared" si="49"/>
        <v>0</v>
      </c>
      <c r="AT259" s="13">
        <f t="shared" si="49"/>
        <v>0</v>
      </c>
      <c r="AU259" s="13">
        <f t="shared" si="49"/>
        <v>0</v>
      </c>
      <c r="AV259" s="13">
        <f t="shared" si="48"/>
        <v>7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0"/>
      <c r="O261" s="13"/>
      <c r="P261" s="13"/>
      <c r="Q261" s="13"/>
      <c r="R261" s="13"/>
      <c r="S261" s="70"/>
      <c r="T261" s="13"/>
      <c r="U261" s="13"/>
      <c r="V261" s="13"/>
      <c r="W261" s="13"/>
      <c r="X261" s="70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70"/>
      <c r="AJ261" s="13"/>
      <c r="AK261" s="13"/>
      <c r="AL261" s="13"/>
      <c r="AM261" s="13"/>
      <c r="AN261" s="70"/>
      <c r="AO261" s="13"/>
      <c r="AP261" s="13"/>
      <c r="AQ261" s="13"/>
      <c r="AR261" s="13"/>
      <c r="AS261" s="70"/>
      <c r="AT261" s="13"/>
      <c r="AU261" s="13"/>
      <c r="AV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U262" si="50">E55+E67+E79+E91+E103+E115+E127+E139+E151+E163+E175+E187+E199+E211+E223+E235+E247+E259</f>
        <v>175</v>
      </c>
      <c r="F262" s="19">
        <f t="shared" si="50"/>
        <v>176</v>
      </c>
      <c r="G262" s="19">
        <f t="shared" si="50"/>
        <v>195</v>
      </c>
      <c r="H262" s="19">
        <f t="shared" si="50"/>
        <v>175</v>
      </c>
      <c r="I262" s="19">
        <f t="shared" si="50"/>
        <v>171</v>
      </c>
      <c r="J262" s="19">
        <f t="shared" si="50"/>
        <v>172</v>
      </c>
      <c r="K262" s="19">
        <f t="shared" si="50"/>
        <v>173</v>
      </c>
      <c r="L262" s="19">
        <f t="shared" si="50"/>
        <v>199</v>
      </c>
      <c r="M262" s="19">
        <f t="shared" si="50"/>
        <v>194</v>
      </c>
      <c r="N262" s="19">
        <f t="shared" si="50"/>
        <v>184</v>
      </c>
      <c r="O262" s="19">
        <f t="shared" si="50"/>
        <v>188</v>
      </c>
      <c r="P262" s="19">
        <f t="shared" si="50"/>
        <v>180</v>
      </c>
      <c r="Q262" s="19">
        <f t="shared" si="50"/>
        <v>164</v>
      </c>
      <c r="R262" s="19">
        <f t="shared" si="50"/>
        <v>164</v>
      </c>
      <c r="S262" s="19">
        <f t="shared" si="50"/>
        <v>178</v>
      </c>
      <c r="T262" s="19">
        <f t="shared" si="50"/>
        <v>165</v>
      </c>
      <c r="U262" s="19">
        <f t="shared" si="50"/>
        <v>174</v>
      </c>
      <c r="V262" s="19">
        <f t="shared" si="50"/>
        <v>190</v>
      </c>
      <c r="W262" s="19">
        <f t="shared" si="50"/>
        <v>208</v>
      </c>
      <c r="X262" s="19">
        <f t="shared" si="50"/>
        <v>188</v>
      </c>
      <c r="Y262" s="19">
        <f t="shared" si="50"/>
        <v>212</v>
      </c>
      <c r="Z262" s="19">
        <f t="shared" si="50"/>
        <v>214</v>
      </c>
      <c r="AA262" s="19">
        <f t="shared" si="50"/>
        <v>196</v>
      </c>
      <c r="AB262" s="19">
        <f t="shared" si="50"/>
        <v>206</v>
      </c>
      <c r="AC262" s="19">
        <f t="shared" si="50"/>
        <v>210</v>
      </c>
      <c r="AD262" s="19">
        <f t="shared" si="50"/>
        <v>178</v>
      </c>
      <c r="AE262" s="19">
        <f t="shared" si="50"/>
        <v>194</v>
      </c>
      <c r="AF262" s="19">
        <f t="shared" si="50"/>
        <v>189</v>
      </c>
      <c r="AG262" s="19">
        <f t="shared" si="50"/>
        <v>199</v>
      </c>
      <c r="AH262" s="19">
        <f t="shared" si="50"/>
        <v>200</v>
      </c>
      <c r="AI262" s="19">
        <f t="shared" si="50"/>
        <v>141</v>
      </c>
      <c r="AJ262" s="19">
        <f t="shared" si="50"/>
        <v>173</v>
      </c>
      <c r="AK262" s="19">
        <f t="shared" si="50"/>
        <v>177</v>
      </c>
      <c r="AL262" s="19">
        <f t="shared" si="50"/>
        <v>177</v>
      </c>
      <c r="AM262" s="19">
        <f t="shared" si="50"/>
        <v>161</v>
      </c>
      <c r="AN262" s="19">
        <f t="shared" si="50"/>
        <v>142</v>
      </c>
      <c r="AO262" s="19">
        <f t="shared" si="50"/>
        <v>187</v>
      </c>
      <c r="AP262" s="19">
        <f t="shared" si="50"/>
        <v>189</v>
      </c>
      <c r="AQ262" s="19">
        <f t="shared" si="50"/>
        <v>155</v>
      </c>
      <c r="AR262" s="19">
        <f t="shared" si="50"/>
        <v>180</v>
      </c>
      <c r="AS262" s="19">
        <f t="shared" si="50"/>
        <v>186</v>
      </c>
      <c r="AT262" s="19">
        <f t="shared" si="50"/>
        <v>185</v>
      </c>
      <c r="AU262" s="19">
        <f t="shared" si="50"/>
        <v>200</v>
      </c>
      <c r="AV262" s="13">
        <f t="shared" ref="AV262:AV264" si="51">SUM(E262:AU262)</f>
        <v>7864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25.0</v>
      </c>
      <c r="F263" s="19">
        <v>27.0</v>
      </c>
      <c r="G263" s="19">
        <v>13.0</v>
      </c>
      <c r="H263" s="19">
        <v>19.0</v>
      </c>
      <c r="I263" s="19">
        <v>18.0</v>
      </c>
      <c r="J263" s="19">
        <v>32.0</v>
      </c>
      <c r="K263" s="19">
        <v>21.0</v>
      </c>
      <c r="L263" s="19">
        <v>8.0</v>
      </c>
      <c r="M263" s="19">
        <v>3.0</v>
      </c>
      <c r="N263" s="19">
        <v>12.0</v>
      </c>
      <c r="O263" s="19">
        <v>14.0</v>
      </c>
      <c r="P263" s="19">
        <v>14.0</v>
      </c>
      <c r="Q263" s="19">
        <v>26.0</v>
      </c>
      <c r="R263" s="19">
        <v>12.0</v>
      </c>
      <c r="S263" s="19">
        <v>19.0</v>
      </c>
      <c r="T263" s="19">
        <v>22.0</v>
      </c>
      <c r="U263" s="19">
        <v>23.0</v>
      </c>
      <c r="V263" s="19">
        <v>28.0</v>
      </c>
      <c r="W263" s="19">
        <v>6.0</v>
      </c>
      <c r="X263" s="19">
        <v>13.0</v>
      </c>
      <c r="Y263" s="19">
        <v>9.0</v>
      </c>
      <c r="Z263" s="19">
        <v>10.0</v>
      </c>
      <c r="AA263" s="19">
        <v>10.0</v>
      </c>
      <c r="AB263" s="19">
        <v>12.0</v>
      </c>
      <c r="AC263" s="19">
        <v>10.0</v>
      </c>
      <c r="AD263" s="19">
        <v>10.0</v>
      </c>
      <c r="AE263" s="19">
        <v>13.0</v>
      </c>
      <c r="AF263" s="19">
        <v>27.0</v>
      </c>
      <c r="AG263" s="19">
        <v>1.0</v>
      </c>
      <c r="AH263" s="19">
        <v>12.0</v>
      </c>
      <c r="AI263" s="19">
        <v>28.0</v>
      </c>
      <c r="AJ263" s="19">
        <v>31.0</v>
      </c>
      <c r="AK263" s="19">
        <v>12.0</v>
      </c>
      <c r="AL263" s="19">
        <v>17.0</v>
      </c>
      <c r="AM263" s="19">
        <v>31.0</v>
      </c>
      <c r="AN263" s="19">
        <v>32.0</v>
      </c>
      <c r="AO263" s="19">
        <v>17.0</v>
      </c>
      <c r="AP263" s="19">
        <v>24.0</v>
      </c>
      <c r="AQ263" s="19">
        <v>36.0</v>
      </c>
      <c r="AR263" s="19">
        <v>22.0</v>
      </c>
      <c r="AS263" s="19">
        <v>20.0</v>
      </c>
      <c r="AT263" s="19">
        <v>22.0</v>
      </c>
      <c r="AU263" s="19">
        <v>18.0</v>
      </c>
      <c r="AV263" s="13">
        <f t="shared" si="51"/>
        <v>779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U264" si="52">SUM(E262:E263)</f>
        <v>200</v>
      </c>
      <c r="F264" s="13">
        <f t="shared" si="52"/>
        <v>203</v>
      </c>
      <c r="G264" s="13">
        <f t="shared" si="52"/>
        <v>208</v>
      </c>
      <c r="H264" s="13">
        <f t="shared" si="52"/>
        <v>194</v>
      </c>
      <c r="I264" s="13">
        <f t="shared" si="52"/>
        <v>189</v>
      </c>
      <c r="J264" s="13">
        <f t="shared" si="52"/>
        <v>204</v>
      </c>
      <c r="K264" s="13">
        <f t="shared" si="52"/>
        <v>194</v>
      </c>
      <c r="L264" s="13">
        <f t="shared" si="52"/>
        <v>207</v>
      </c>
      <c r="M264" s="13">
        <f t="shared" si="52"/>
        <v>197</v>
      </c>
      <c r="N264" s="13">
        <f t="shared" si="52"/>
        <v>196</v>
      </c>
      <c r="O264" s="13">
        <f t="shared" si="52"/>
        <v>202</v>
      </c>
      <c r="P264" s="13">
        <f t="shared" si="52"/>
        <v>194</v>
      </c>
      <c r="Q264" s="13">
        <f t="shared" si="52"/>
        <v>190</v>
      </c>
      <c r="R264" s="13">
        <f t="shared" si="52"/>
        <v>176</v>
      </c>
      <c r="S264" s="13">
        <f t="shared" si="52"/>
        <v>197</v>
      </c>
      <c r="T264" s="13">
        <f t="shared" si="52"/>
        <v>187</v>
      </c>
      <c r="U264" s="13">
        <f t="shared" si="52"/>
        <v>197</v>
      </c>
      <c r="V264" s="13">
        <f t="shared" si="52"/>
        <v>218</v>
      </c>
      <c r="W264" s="13">
        <f t="shared" si="52"/>
        <v>214</v>
      </c>
      <c r="X264" s="13">
        <f t="shared" si="52"/>
        <v>201</v>
      </c>
      <c r="Y264" s="13">
        <f t="shared" si="52"/>
        <v>221</v>
      </c>
      <c r="Z264" s="13">
        <f t="shared" si="52"/>
        <v>224</v>
      </c>
      <c r="AA264" s="13">
        <f t="shared" si="52"/>
        <v>206</v>
      </c>
      <c r="AB264" s="13">
        <f t="shared" si="52"/>
        <v>218</v>
      </c>
      <c r="AC264" s="13">
        <f t="shared" si="52"/>
        <v>220</v>
      </c>
      <c r="AD264" s="13">
        <f t="shared" si="52"/>
        <v>188</v>
      </c>
      <c r="AE264" s="13">
        <f t="shared" si="52"/>
        <v>207</v>
      </c>
      <c r="AF264" s="13">
        <f t="shared" si="52"/>
        <v>216</v>
      </c>
      <c r="AG264" s="13">
        <f t="shared" si="52"/>
        <v>200</v>
      </c>
      <c r="AH264" s="13">
        <f t="shared" si="52"/>
        <v>212</v>
      </c>
      <c r="AI264" s="13">
        <f t="shared" si="52"/>
        <v>169</v>
      </c>
      <c r="AJ264" s="13">
        <f t="shared" si="52"/>
        <v>204</v>
      </c>
      <c r="AK264" s="13">
        <f t="shared" si="52"/>
        <v>189</v>
      </c>
      <c r="AL264" s="13">
        <f t="shared" si="52"/>
        <v>194</v>
      </c>
      <c r="AM264" s="13">
        <f t="shared" si="52"/>
        <v>192</v>
      </c>
      <c r="AN264" s="13">
        <f t="shared" si="52"/>
        <v>174</v>
      </c>
      <c r="AO264" s="13">
        <f t="shared" si="52"/>
        <v>204</v>
      </c>
      <c r="AP264" s="13">
        <f t="shared" si="52"/>
        <v>213</v>
      </c>
      <c r="AQ264" s="13">
        <f t="shared" si="52"/>
        <v>191</v>
      </c>
      <c r="AR264" s="13">
        <f t="shared" si="52"/>
        <v>202</v>
      </c>
      <c r="AS264" s="13">
        <f t="shared" si="52"/>
        <v>206</v>
      </c>
      <c r="AT264" s="13">
        <f t="shared" si="52"/>
        <v>207</v>
      </c>
      <c r="AU264" s="13">
        <f t="shared" si="52"/>
        <v>218</v>
      </c>
      <c r="AV264" s="13">
        <f t="shared" si="51"/>
        <v>8643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C50:D50"/>
    <mergeCell ref="C51:D51"/>
    <mergeCell ref="C52:D52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C249:D249"/>
    <mergeCell ref="B259:D259"/>
    <mergeCell ref="B261:D261"/>
    <mergeCell ref="C262:D262"/>
    <mergeCell ref="C263:D263"/>
    <mergeCell ref="C264:D264"/>
    <mergeCell ref="A224:E224"/>
    <mergeCell ref="C225:D225"/>
    <mergeCell ref="B235:D235"/>
    <mergeCell ref="A236:E236"/>
    <mergeCell ref="C237:D237"/>
    <mergeCell ref="B247:D247"/>
    <mergeCell ref="A248:E248"/>
    <mergeCell ref="B12:D12"/>
    <mergeCell ref="E12:AU12"/>
    <mergeCell ref="AV12:A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D37"/>
    <mergeCell ref="B38:D38"/>
    <mergeCell ref="B39:C41"/>
    <mergeCell ref="A42:D42"/>
    <mergeCell ref="E42:AD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93:D93"/>
    <mergeCell ref="B103:D103"/>
    <mergeCell ref="A104:E104"/>
    <mergeCell ref="C105:D105"/>
  </mergeCells>
  <conditionalFormatting sqref="E34:AU34">
    <cfRule type="expression" dxfId="0" priority="1">
      <formula>E34&lt;&gt;E64</formula>
    </cfRule>
  </conditionalFormatting>
  <conditionalFormatting sqref="E14:AU15">
    <cfRule type="containsBlanks" dxfId="1" priority="2">
      <formula>LEN(TRIM(E14))=0</formula>
    </cfRule>
  </conditionalFormatting>
  <conditionalFormatting sqref="E19:AU20">
    <cfRule type="containsBlanks" dxfId="1" priority="3">
      <formula>LEN(TRIM(E19))=0</formula>
    </cfRule>
  </conditionalFormatting>
  <conditionalFormatting sqref="E22:AU23 E25:AU26 E33:AU33 E35:AU35 E39:AU40">
    <cfRule type="containsBlanks" dxfId="1" priority="4">
      <formula>LEN(TRIM(E22))=0</formula>
    </cfRule>
  </conditionalFormatting>
  <conditionalFormatting sqref="E30:AU30">
    <cfRule type="expression" dxfId="0" priority="5">
      <formula>E30&lt;&gt;E47</formula>
    </cfRule>
  </conditionalFormatting>
  <conditionalFormatting sqref="E30:AU30">
    <cfRule type="expression" dxfId="0" priority="6">
      <formula>E30&lt;&gt;E34</formula>
    </cfRule>
  </conditionalFormatting>
  <conditionalFormatting sqref="E34:AU34">
    <cfRule type="expression" dxfId="2" priority="7">
      <formula>E30&lt;&gt;E34</formula>
    </cfRule>
  </conditionalFormatting>
  <conditionalFormatting sqref="E34:AU34">
    <cfRule type="expression" dxfId="3" priority="8">
      <formula>E30=E34</formula>
    </cfRule>
  </conditionalFormatting>
  <conditionalFormatting sqref="E34:AU34">
    <cfRule type="expression" dxfId="0" priority="9">
      <formula>E34&lt;&gt;E30</formula>
    </cfRule>
  </conditionalFormatting>
  <conditionalFormatting sqref="F45:AU54">
    <cfRule type="containsBlanks" dxfId="1" priority="10">
      <formula>LEN(TRIM(F45))=0</formula>
    </cfRule>
  </conditionalFormatting>
  <conditionalFormatting sqref="F57:AU66">
    <cfRule type="containsBlanks" dxfId="1" priority="11">
      <formula>LEN(TRIM(F57))=0</formula>
    </cfRule>
  </conditionalFormatting>
  <conditionalFormatting sqref="F69:AU78">
    <cfRule type="containsBlanks" dxfId="1" priority="12">
      <formula>LEN(TRIM(F69))=0</formula>
    </cfRule>
  </conditionalFormatting>
  <conditionalFormatting sqref="F81:AU90">
    <cfRule type="containsBlanks" dxfId="1" priority="13">
      <formula>LEN(TRIM(F81))=0</formula>
    </cfRule>
  </conditionalFormatting>
  <conditionalFormatting sqref="F93:AU102">
    <cfRule type="containsBlanks" dxfId="1" priority="14">
      <formula>LEN(TRIM(F93))=0</formula>
    </cfRule>
  </conditionalFormatting>
  <conditionalFormatting sqref="F105:AU114">
    <cfRule type="containsBlanks" dxfId="1" priority="15">
      <formula>LEN(TRIM(F105))=0</formula>
    </cfRule>
  </conditionalFormatting>
  <conditionalFormatting sqref="F117:AU126">
    <cfRule type="containsBlanks" dxfId="1" priority="16">
      <formula>LEN(TRIM(F117))=0</formula>
    </cfRule>
  </conditionalFormatting>
  <conditionalFormatting sqref="F129:AU138">
    <cfRule type="containsBlanks" dxfId="1" priority="17">
      <formula>LEN(TRIM(F129))=0</formula>
    </cfRule>
  </conditionalFormatting>
  <conditionalFormatting sqref="F141:AU150">
    <cfRule type="containsBlanks" dxfId="1" priority="18">
      <formula>LEN(TRIM(F141))=0</formula>
    </cfRule>
  </conditionalFormatting>
  <conditionalFormatting sqref="F153:AU162">
    <cfRule type="containsBlanks" dxfId="1" priority="19">
      <formula>LEN(TRIM(F153))=0</formula>
    </cfRule>
  </conditionalFormatting>
  <conditionalFormatting sqref="F165:AU174">
    <cfRule type="containsBlanks" dxfId="1" priority="20">
      <formula>LEN(TRIM(F165))=0</formula>
    </cfRule>
  </conditionalFormatting>
  <conditionalFormatting sqref="F177:AU186">
    <cfRule type="containsBlanks" dxfId="1" priority="21">
      <formula>LEN(TRIM(F177))=0</formula>
    </cfRule>
  </conditionalFormatting>
  <conditionalFormatting sqref="F189:AU198">
    <cfRule type="containsBlanks" dxfId="1" priority="22">
      <formula>LEN(TRIM(F189))=0</formula>
    </cfRule>
  </conditionalFormatting>
  <conditionalFormatting sqref="F201:AU210">
    <cfRule type="containsBlanks" dxfId="1" priority="23">
      <formula>LEN(TRIM(F201))=0</formula>
    </cfRule>
  </conditionalFormatting>
  <conditionalFormatting sqref="F213:AU222">
    <cfRule type="containsBlanks" dxfId="1" priority="24">
      <formula>LEN(TRIM(F213))=0</formula>
    </cfRule>
  </conditionalFormatting>
  <conditionalFormatting sqref="F225:AU234">
    <cfRule type="containsBlanks" dxfId="1" priority="25">
      <formula>LEN(TRIM(F225))=0</formula>
    </cfRule>
  </conditionalFormatting>
  <conditionalFormatting sqref="F237:AU246">
    <cfRule type="containsBlanks" dxfId="1" priority="26">
      <formula>LEN(TRIM(F237))=0</formula>
    </cfRule>
  </conditionalFormatting>
  <conditionalFormatting sqref="F249:AU259">
    <cfRule type="containsBlanks" dxfId="1" priority="27">
      <formula>LEN(TRIM(F249))=0</formula>
    </cfRule>
  </conditionalFormatting>
  <conditionalFormatting sqref="F262:AU263">
    <cfRule type="containsBlanks" dxfId="1" priority="28">
      <formula>LEN(TRIM(F262))=0</formula>
    </cfRule>
  </conditionalFormatting>
  <conditionalFormatting sqref="E45:E54">
    <cfRule type="containsBlanks" dxfId="1" priority="29">
      <formula>LEN(TRIM(E45))=0</formula>
    </cfRule>
  </conditionalFormatting>
  <conditionalFormatting sqref="E57:E66">
    <cfRule type="containsBlanks" dxfId="1" priority="30">
      <formula>LEN(TRIM(E57))=0</formula>
    </cfRule>
  </conditionalFormatting>
  <conditionalFormatting sqref="E69:E78">
    <cfRule type="containsBlanks" dxfId="1" priority="31">
      <formula>LEN(TRIM(E69))=0</formula>
    </cfRule>
  </conditionalFormatting>
  <conditionalFormatting sqref="E81:E90">
    <cfRule type="containsBlanks" dxfId="1" priority="32">
      <formula>LEN(TRIM(E81))=0</formula>
    </cfRule>
  </conditionalFormatting>
  <conditionalFormatting sqref="E93:E102">
    <cfRule type="containsBlanks" dxfId="1" priority="33">
      <formula>LEN(TRIM(E93))=0</formula>
    </cfRule>
  </conditionalFormatting>
  <conditionalFormatting sqref="E105:E114">
    <cfRule type="containsBlanks" dxfId="1" priority="34">
      <formula>LEN(TRIM(E105))=0</formula>
    </cfRule>
  </conditionalFormatting>
  <conditionalFormatting sqref="E117:E126">
    <cfRule type="containsBlanks" dxfId="1" priority="35">
      <formula>LEN(TRIM(E117))=0</formula>
    </cfRule>
  </conditionalFormatting>
  <conditionalFormatting sqref="E129:E138">
    <cfRule type="containsBlanks" dxfId="1" priority="36">
      <formula>LEN(TRIM(E129))=0</formula>
    </cfRule>
  </conditionalFormatting>
  <conditionalFormatting sqref="E141:E150">
    <cfRule type="containsBlanks" dxfId="1" priority="37">
      <formula>LEN(TRIM(E141))=0</formula>
    </cfRule>
  </conditionalFormatting>
  <conditionalFormatting sqref="E153:E162">
    <cfRule type="containsBlanks" dxfId="1" priority="38">
      <formula>LEN(TRIM(E153))=0</formula>
    </cfRule>
  </conditionalFormatting>
  <conditionalFormatting sqref="E165:E174">
    <cfRule type="containsBlanks" dxfId="1" priority="39">
      <formula>LEN(TRIM(E165))=0</formula>
    </cfRule>
  </conditionalFormatting>
  <conditionalFormatting sqref="E177:E186">
    <cfRule type="containsBlanks" dxfId="1" priority="40">
      <formula>LEN(TRIM(E177))=0</formula>
    </cfRule>
  </conditionalFormatting>
  <conditionalFormatting sqref="E189:E198">
    <cfRule type="containsBlanks" dxfId="1" priority="41">
      <formula>LEN(TRIM(E189))=0</formula>
    </cfRule>
  </conditionalFormatting>
  <conditionalFormatting sqref="E201:E210">
    <cfRule type="containsBlanks" dxfId="1" priority="42">
      <formula>LEN(TRIM(E201))=0</formula>
    </cfRule>
  </conditionalFormatting>
  <conditionalFormatting sqref="E213:E222">
    <cfRule type="containsBlanks" dxfId="1" priority="43">
      <formula>LEN(TRIM(E213))=0</formula>
    </cfRule>
  </conditionalFormatting>
  <conditionalFormatting sqref="E225:E234">
    <cfRule type="containsBlanks" dxfId="1" priority="44">
      <formula>LEN(TRIM(E225))=0</formula>
    </cfRule>
  </conditionalFormatting>
  <conditionalFormatting sqref="E237:E246">
    <cfRule type="containsBlanks" dxfId="1" priority="45">
      <formula>LEN(TRIM(E237))=0</formula>
    </cfRule>
  </conditionalFormatting>
  <conditionalFormatting sqref="E249:E259">
    <cfRule type="containsBlanks" dxfId="1" priority="46">
      <formula>LEN(TRIM(E249))=0</formula>
    </cfRule>
  </conditionalFormatting>
  <conditionalFormatting sqref="E262:E263">
    <cfRule type="containsBlanks" dxfId="1" priority="47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77" t="s">
        <v>243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36"/>
    </row>
    <row r="14" ht="12.75" customHeight="1">
      <c r="A14" s="18"/>
      <c r="B14" s="22" t="s">
        <v>11</v>
      </c>
      <c r="C14" s="23"/>
      <c r="D14" s="19" t="s">
        <v>12</v>
      </c>
      <c r="E14" s="19">
        <v>143.0</v>
      </c>
      <c r="F14" s="19">
        <v>127.0</v>
      </c>
      <c r="G14" s="19">
        <v>140.0</v>
      </c>
      <c r="H14" s="19">
        <v>144.0</v>
      </c>
      <c r="I14" s="19">
        <v>152.0</v>
      </c>
      <c r="J14" s="19">
        <v>149.0</v>
      </c>
      <c r="K14" s="19">
        <v>125.0</v>
      </c>
      <c r="L14" s="19">
        <v>146.0</v>
      </c>
      <c r="M14" s="19">
        <v>146.0</v>
      </c>
      <c r="N14" s="19">
        <v>148.0</v>
      </c>
      <c r="O14" s="19">
        <v>147.0</v>
      </c>
      <c r="P14" s="19">
        <v>143.0</v>
      </c>
      <c r="Q14" s="19">
        <v>143.0</v>
      </c>
      <c r="R14" s="19">
        <v>118.0</v>
      </c>
      <c r="S14" s="19">
        <v>111.0</v>
      </c>
      <c r="T14" s="19">
        <v>153.0</v>
      </c>
      <c r="U14" s="19">
        <v>151.0</v>
      </c>
      <c r="V14" s="19">
        <v>150.0</v>
      </c>
      <c r="W14" s="19">
        <v>143.0</v>
      </c>
      <c r="X14" s="13">
        <f t="shared" ref="X14:X16" si="1">SUM(E14:W14)</f>
        <v>2679</v>
      </c>
    </row>
    <row r="15" ht="12.75" customHeight="1">
      <c r="A15" s="18"/>
      <c r="B15" s="26"/>
      <c r="C15" s="27"/>
      <c r="D15" s="19" t="s">
        <v>13</v>
      </c>
      <c r="E15" s="19">
        <v>140.0</v>
      </c>
      <c r="F15" s="19">
        <v>131.0</v>
      </c>
      <c r="G15" s="19">
        <v>134.0</v>
      </c>
      <c r="H15" s="19">
        <v>142.0</v>
      </c>
      <c r="I15" s="19">
        <v>137.0</v>
      </c>
      <c r="J15" s="19">
        <v>143.0</v>
      </c>
      <c r="K15" s="19">
        <v>119.0</v>
      </c>
      <c r="L15" s="19">
        <v>132.0</v>
      </c>
      <c r="M15" s="19">
        <v>137.0</v>
      </c>
      <c r="N15" s="19">
        <v>145.0</v>
      </c>
      <c r="O15" s="19">
        <v>135.0</v>
      </c>
      <c r="P15" s="19">
        <v>140.0</v>
      </c>
      <c r="Q15" s="19">
        <v>143.0</v>
      </c>
      <c r="R15" s="19">
        <v>125.0</v>
      </c>
      <c r="S15" s="19">
        <v>115.0</v>
      </c>
      <c r="T15" s="19">
        <v>140.0</v>
      </c>
      <c r="U15" s="19">
        <v>141.0</v>
      </c>
      <c r="V15" s="19">
        <v>145.0</v>
      </c>
      <c r="W15" s="19">
        <v>148.0</v>
      </c>
      <c r="X15" s="13">
        <f t="shared" si="1"/>
        <v>2592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283</v>
      </c>
      <c r="F16" s="13">
        <f t="shared" si="2"/>
        <v>258</v>
      </c>
      <c r="G16" s="13">
        <f t="shared" si="2"/>
        <v>274</v>
      </c>
      <c r="H16" s="13">
        <f t="shared" si="2"/>
        <v>286</v>
      </c>
      <c r="I16" s="13">
        <f t="shared" si="2"/>
        <v>289</v>
      </c>
      <c r="J16" s="13">
        <f t="shared" si="2"/>
        <v>292</v>
      </c>
      <c r="K16" s="13">
        <f t="shared" si="2"/>
        <v>244</v>
      </c>
      <c r="L16" s="13">
        <f t="shared" si="2"/>
        <v>278</v>
      </c>
      <c r="M16" s="13">
        <f t="shared" si="2"/>
        <v>283</v>
      </c>
      <c r="N16" s="13">
        <f t="shared" si="2"/>
        <v>293</v>
      </c>
      <c r="O16" s="13">
        <f t="shared" si="2"/>
        <v>282</v>
      </c>
      <c r="P16" s="13">
        <f t="shared" si="2"/>
        <v>283</v>
      </c>
      <c r="Q16" s="13">
        <f t="shared" si="2"/>
        <v>286</v>
      </c>
      <c r="R16" s="13">
        <f t="shared" si="2"/>
        <v>243</v>
      </c>
      <c r="S16" s="13">
        <f t="shared" si="2"/>
        <v>226</v>
      </c>
      <c r="T16" s="13">
        <f t="shared" si="2"/>
        <v>293</v>
      </c>
      <c r="U16" s="13">
        <f t="shared" si="2"/>
        <v>292</v>
      </c>
      <c r="V16" s="13">
        <f t="shared" si="2"/>
        <v>295</v>
      </c>
      <c r="W16" s="13">
        <f t="shared" si="2"/>
        <v>291</v>
      </c>
      <c r="X16" s="13">
        <f t="shared" si="1"/>
        <v>5271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109.0</v>
      </c>
      <c r="F19" s="19">
        <v>97.0</v>
      </c>
      <c r="G19" s="19">
        <v>106.0</v>
      </c>
      <c r="H19" s="19">
        <v>113.0</v>
      </c>
      <c r="I19" s="19">
        <v>115.0</v>
      </c>
      <c r="J19" s="19">
        <v>111.0</v>
      </c>
      <c r="K19" s="19">
        <v>91.0</v>
      </c>
      <c r="L19" s="19">
        <v>113.0</v>
      </c>
      <c r="M19" s="19">
        <v>124.0</v>
      </c>
      <c r="N19" s="19">
        <v>112.0</v>
      </c>
      <c r="O19" s="19">
        <v>113.0</v>
      </c>
      <c r="P19" s="19">
        <v>112.0</v>
      </c>
      <c r="Q19" s="19">
        <v>114.0</v>
      </c>
      <c r="R19" s="19">
        <v>78.0</v>
      </c>
      <c r="S19" s="19">
        <v>88.0</v>
      </c>
      <c r="T19" s="19">
        <v>120.0</v>
      </c>
      <c r="U19" s="19">
        <v>113.0</v>
      </c>
      <c r="V19" s="19">
        <v>124.0</v>
      </c>
      <c r="W19" s="19">
        <v>133.0</v>
      </c>
      <c r="X19" s="13">
        <f t="shared" ref="X19:X30" si="3">SUM(E19:W19)</f>
        <v>2086</v>
      </c>
    </row>
    <row r="20" ht="12.75" customHeight="1">
      <c r="A20" s="33"/>
      <c r="B20" s="27"/>
      <c r="C20" s="34"/>
      <c r="D20" s="19" t="s">
        <v>13</v>
      </c>
      <c r="E20" s="19">
        <v>118.0</v>
      </c>
      <c r="F20" s="19">
        <v>109.0</v>
      </c>
      <c r="G20" s="19">
        <v>102.0</v>
      </c>
      <c r="H20" s="19">
        <v>113.0</v>
      </c>
      <c r="I20" s="19">
        <v>112.0</v>
      </c>
      <c r="J20" s="19">
        <v>113.0</v>
      </c>
      <c r="K20" s="19">
        <v>96.0</v>
      </c>
      <c r="L20" s="19">
        <v>102.0</v>
      </c>
      <c r="M20" s="19">
        <v>119.0</v>
      </c>
      <c r="N20" s="19">
        <v>117.0</v>
      </c>
      <c r="O20" s="19">
        <v>117.0</v>
      </c>
      <c r="P20" s="19">
        <v>120.0</v>
      </c>
      <c r="Q20" s="19">
        <v>118.0</v>
      </c>
      <c r="R20" s="19">
        <v>90.0</v>
      </c>
      <c r="S20" s="19">
        <v>93.0</v>
      </c>
      <c r="T20" s="19">
        <v>112.0</v>
      </c>
      <c r="U20" s="19">
        <v>111.0</v>
      </c>
      <c r="V20" s="19">
        <v>116.0</v>
      </c>
      <c r="W20" s="19">
        <v>140.0</v>
      </c>
      <c r="X20" s="13">
        <f t="shared" si="3"/>
        <v>2118</v>
      </c>
    </row>
    <row r="21" ht="12.75" customHeight="1">
      <c r="A21" s="35"/>
      <c r="B21" s="28"/>
      <c r="C21" s="36"/>
      <c r="D21" s="13" t="s">
        <v>14</v>
      </c>
      <c r="E21" s="13">
        <f t="shared" ref="E21:W21" si="4">SUM(E19:E20)</f>
        <v>227</v>
      </c>
      <c r="F21" s="13">
        <f t="shared" si="4"/>
        <v>206</v>
      </c>
      <c r="G21" s="13">
        <f t="shared" si="4"/>
        <v>208</v>
      </c>
      <c r="H21" s="13">
        <f t="shared" si="4"/>
        <v>226</v>
      </c>
      <c r="I21" s="13">
        <f t="shared" si="4"/>
        <v>227</v>
      </c>
      <c r="J21" s="13">
        <f t="shared" si="4"/>
        <v>224</v>
      </c>
      <c r="K21" s="13">
        <f t="shared" si="4"/>
        <v>187</v>
      </c>
      <c r="L21" s="13">
        <f t="shared" si="4"/>
        <v>215</v>
      </c>
      <c r="M21" s="13">
        <f t="shared" si="4"/>
        <v>243</v>
      </c>
      <c r="N21" s="13">
        <f t="shared" si="4"/>
        <v>229</v>
      </c>
      <c r="O21" s="13">
        <f t="shared" si="4"/>
        <v>230</v>
      </c>
      <c r="P21" s="13">
        <f t="shared" si="4"/>
        <v>232</v>
      </c>
      <c r="Q21" s="13">
        <f t="shared" si="4"/>
        <v>232</v>
      </c>
      <c r="R21" s="13">
        <f t="shared" si="4"/>
        <v>168</v>
      </c>
      <c r="S21" s="13">
        <f t="shared" si="4"/>
        <v>181</v>
      </c>
      <c r="T21" s="13">
        <f t="shared" si="4"/>
        <v>232</v>
      </c>
      <c r="U21" s="13">
        <f t="shared" si="4"/>
        <v>224</v>
      </c>
      <c r="V21" s="13">
        <f t="shared" si="4"/>
        <v>240</v>
      </c>
      <c r="W21" s="13">
        <f t="shared" si="4"/>
        <v>273</v>
      </c>
      <c r="X21" s="13">
        <f t="shared" si="3"/>
        <v>4204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1.0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1.0</v>
      </c>
      <c r="R22" s="19">
        <v>0.0</v>
      </c>
      <c r="S22" s="19">
        <v>1.0</v>
      </c>
      <c r="T22" s="19">
        <v>0.0</v>
      </c>
      <c r="U22" s="19">
        <v>0.0</v>
      </c>
      <c r="V22" s="19">
        <v>3.0</v>
      </c>
      <c r="W22" s="19">
        <v>1.0</v>
      </c>
      <c r="X22" s="13">
        <f t="shared" si="3"/>
        <v>8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2.0</v>
      </c>
      <c r="R23" s="19">
        <v>0.0</v>
      </c>
      <c r="S23" s="19">
        <v>0.0</v>
      </c>
      <c r="T23" s="19">
        <v>0.0</v>
      </c>
      <c r="U23" s="19">
        <v>1.0</v>
      </c>
      <c r="V23" s="19">
        <v>1.0</v>
      </c>
      <c r="W23" s="19">
        <v>1.0</v>
      </c>
      <c r="X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W24" si="5">SUM(E22:E23)</f>
        <v>0</v>
      </c>
      <c r="F24" s="13">
        <f t="shared" si="5"/>
        <v>1</v>
      </c>
      <c r="G24" s="13">
        <f t="shared" si="5"/>
        <v>2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3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1</v>
      </c>
      <c r="V24" s="13">
        <f t="shared" si="5"/>
        <v>4</v>
      </c>
      <c r="W24" s="13">
        <f t="shared" si="5"/>
        <v>2</v>
      </c>
      <c r="X24" s="13">
        <f t="shared" si="3"/>
        <v>14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1.0</v>
      </c>
      <c r="H25" s="19">
        <v>1.0</v>
      </c>
      <c r="I25" s="19">
        <v>1.0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3.0</v>
      </c>
      <c r="P25" s="19">
        <v>1.0</v>
      </c>
      <c r="Q25" s="19">
        <v>0.0</v>
      </c>
      <c r="R25" s="19">
        <v>2.0</v>
      </c>
      <c r="S25" s="19">
        <v>1.0</v>
      </c>
      <c r="T25" s="19">
        <v>1.0</v>
      </c>
      <c r="U25" s="19">
        <v>1.0</v>
      </c>
      <c r="V25" s="19">
        <v>1.0</v>
      </c>
      <c r="W25" s="19">
        <v>1.0</v>
      </c>
      <c r="X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0.0</v>
      </c>
      <c r="H26" s="19">
        <v>0.0</v>
      </c>
      <c r="I26" s="19">
        <v>1.0</v>
      </c>
      <c r="J26" s="19">
        <v>4.0</v>
      </c>
      <c r="K26" s="19">
        <v>0.0</v>
      </c>
      <c r="L26" s="19">
        <v>0.0</v>
      </c>
      <c r="M26" s="19">
        <v>1.0</v>
      </c>
      <c r="N26" s="19">
        <v>2.0</v>
      </c>
      <c r="O26" s="19">
        <v>2.0</v>
      </c>
      <c r="P26" s="19">
        <v>4.0</v>
      </c>
      <c r="Q26" s="19">
        <v>0.0</v>
      </c>
      <c r="R26" s="19">
        <v>0.0</v>
      </c>
      <c r="S26" s="19">
        <v>1.0</v>
      </c>
      <c r="T26" s="19">
        <v>2.0</v>
      </c>
      <c r="U26" s="19">
        <v>0.0</v>
      </c>
      <c r="V26" s="19">
        <v>1.0</v>
      </c>
      <c r="W26" s="19">
        <v>0.0</v>
      </c>
      <c r="X26" s="13">
        <f t="shared" si="3"/>
        <v>20</v>
      </c>
    </row>
    <row r="27" ht="12.75" customHeight="1">
      <c r="A27" s="35"/>
      <c r="B27" s="28"/>
      <c r="C27" s="36"/>
      <c r="D27" s="13" t="s">
        <v>14</v>
      </c>
      <c r="E27" s="13">
        <f t="shared" ref="E27:W27" si="6">SUM(E25:E26)</f>
        <v>2</v>
      </c>
      <c r="F27" s="13">
        <f t="shared" si="6"/>
        <v>0</v>
      </c>
      <c r="G27" s="13">
        <f t="shared" si="6"/>
        <v>1</v>
      </c>
      <c r="H27" s="13">
        <f t="shared" si="6"/>
        <v>1</v>
      </c>
      <c r="I27" s="13">
        <f t="shared" si="6"/>
        <v>2</v>
      </c>
      <c r="J27" s="13">
        <f t="shared" si="6"/>
        <v>4</v>
      </c>
      <c r="K27" s="13">
        <f t="shared" si="6"/>
        <v>0</v>
      </c>
      <c r="L27" s="13">
        <f t="shared" si="6"/>
        <v>0</v>
      </c>
      <c r="M27" s="13">
        <f t="shared" si="6"/>
        <v>1</v>
      </c>
      <c r="N27" s="13">
        <f t="shared" si="6"/>
        <v>2</v>
      </c>
      <c r="O27" s="13">
        <f t="shared" si="6"/>
        <v>5</v>
      </c>
      <c r="P27" s="13">
        <f t="shared" si="6"/>
        <v>5</v>
      </c>
      <c r="Q27" s="13">
        <f t="shared" si="6"/>
        <v>0</v>
      </c>
      <c r="R27" s="13">
        <f t="shared" si="6"/>
        <v>2</v>
      </c>
      <c r="S27" s="13">
        <f t="shared" si="6"/>
        <v>2</v>
      </c>
      <c r="T27" s="13">
        <f t="shared" si="6"/>
        <v>3</v>
      </c>
      <c r="U27" s="13">
        <f t="shared" si="6"/>
        <v>1</v>
      </c>
      <c r="V27" s="13">
        <f t="shared" si="6"/>
        <v>2</v>
      </c>
      <c r="W27" s="13">
        <f t="shared" si="6"/>
        <v>1</v>
      </c>
      <c r="X27" s="13">
        <f t="shared" si="3"/>
        <v>34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W28" si="7">SUM(E19,E22,E25)</f>
        <v>109</v>
      </c>
      <c r="F28" s="13">
        <f t="shared" si="7"/>
        <v>98</v>
      </c>
      <c r="G28" s="13">
        <f t="shared" si="7"/>
        <v>108</v>
      </c>
      <c r="H28" s="13">
        <f t="shared" si="7"/>
        <v>114</v>
      </c>
      <c r="I28" s="13">
        <f t="shared" si="7"/>
        <v>116</v>
      </c>
      <c r="J28" s="13">
        <f t="shared" si="7"/>
        <v>111</v>
      </c>
      <c r="K28" s="13">
        <f t="shared" si="7"/>
        <v>91</v>
      </c>
      <c r="L28" s="13">
        <f t="shared" si="7"/>
        <v>113</v>
      </c>
      <c r="M28" s="13">
        <f t="shared" si="7"/>
        <v>124</v>
      </c>
      <c r="N28" s="13">
        <f t="shared" si="7"/>
        <v>112</v>
      </c>
      <c r="O28" s="13">
        <f t="shared" si="7"/>
        <v>116</v>
      </c>
      <c r="P28" s="13">
        <f t="shared" si="7"/>
        <v>113</v>
      </c>
      <c r="Q28" s="13">
        <f t="shared" si="7"/>
        <v>115</v>
      </c>
      <c r="R28" s="13">
        <f t="shared" si="7"/>
        <v>80</v>
      </c>
      <c r="S28" s="13">
        <f t="shared" si="7"/>
        <v>90</v>
      </c>
      <c r="T28" s="13">
        <f t="shared" si="7"/>
        <v>121</v>
      </c>
      <c r="U28" s="13">
        <f t="shared" si="7"/>
        <v>114</v>
      </c>
      <c r="V28" s="13">
        <f t="shared" si="7"/>
        <v>128</v>
      </c>
      <c r="W28" s="13">
        <f t="shared" si="7"/>
        <v>135</v>
      </c>
      <c r="X28" s="13">
        <f t="shared" si="3"/>
        <v>2108</v>
      </c>
    </row>
    <row r="29" ht="12.75" customHeight="1">
      <c r="A29" s="35"/>
      <c r="B29" s="27"/>
      <c r="C29" s="34"/>
      <c r="D29" s="13" t="s">
        <v>13</v>
      </c>
      <c r="E29" s="13">
        <f t="shared" ref="E29:W29" si="8">SUM(E20,E23,E26)</f>
        <v>120</v>
      </c>
      <c r="F29" s="13">
        <f t="shared" si="8"/>
        <v>109</v>
      </c>
      <c r="G29" s="13">
        <f t="shared" si="8"/>
        <v>103</v>
      </c>
      <c r="H29" s="13">
        <f t="shared" si="8"/>
        <v>113</v>
      </c>
      <c r="I29" s="13">
        <f t="shared" si="8"/>
        <v>113</v>
      </c>
      <c r="J29" s="13">
        <f t="shared" si="8"/>
        <v>117</v>
      </c>
      <c r="K29" s="13">
        <f t="shared" si="8"/>
        <v>96</v>
      </c>
      <c r="L29" s="13">
        <f t="shared" si="8"/>
        <v>102</v>
      </c>
      <c r="M29" s="13">
        <f t="shared" si="8"/>
        <v>120</v>
      </c>
      <c r="N29" s="13">
        <f t="shared" si="8"/>
        <v>119</v>
      </c>
      <c r="O29" s="13">
        <f t="shared" si="8"/>
        <v>119</v>
      </c>
      <c r="P29" s="13">
        <f t="shared" si="8"/>
        <v>124</v>
      </c>
      <c r="Q29" s="13">
        <f t="shared" si="8"/>
        <v>120</v>
      </c>
      <c r="R29" s="13">
        <f t="shared" si="8"/>
        <v>90</v>
      </c>
      <c r="S29" s="13">
        <f t="shared" si="8"/>
        <v>94</v>
      </c>
      <c r="T29" s="13">
        <f t="shared" si="8"/>
        <v>114</v>
      </c>
      <c r="U29" s="13">
        <f t="shared" si="8"/>
        <v>112</v>
      </c>
      <c r="V29" s="13">
        <f t="shared" si="8"/>
        <v>118</v>
      </c>
      <c r="W29" s="13">
        <f t="shared" si="8"/>
        <v>141</v>
      </c>
      <c r="X29" s="13">
        <f t="shared" si="3"/>
        <v>2144</v>
      </c>
    </row>
    <row r="30" ht="12.75" customHeight="1">
      <c r="A30" s="35"/>
      <c r="B30" s="28"/>
      <c r="C30" s="36"/>
      <c r="D30" s="13" t="s">
        <v>14</v>
      </c>
      <c r="E30" s="13">
        <f t="shared" ref="E30:W30" si="9">SUM(E28:E29)</f>
        <v>229</v>
      </c>
      <c r="F30" s="13">
        <f t="shared" si="9"/>
        <v>207</v>
      </c>
      <c r="G30" s="13">
        <f t="shared" si="9"/>
        <v>211</v>
      </c>
      <c r="H30" s="13">
        <f t="shared" si="9"/>
        <v>227</v>
      </c>
      <c r="I30" s="13">
        <f t="shared" si="9"/>
        <v>229</v>
      </c>
      <c r="J30" s="13">
        <f t="shared" si="9"/>
        <v>228</v>
      </c>
      <c r="K30" s="13">
        <f t="shared" si="9"/>
        <v>187</v>
      </c>
      <c r="L30" s="13">
        <f t="shared" si="9"/>
        <v>215</v>
      </c>
      <c r="M30" s="13">
        <f t="shared" si="9"/>
        <v>244</v>
      </c>
      <c r="N30" s="13">
        <f t="shared" si="9"/>
        <v>231</v>
      </c>
      <c r="O30" s="13">
        <f t="shared" si="9"/>
        <v>235</v>
      </c>
      <c r="P30" s="13">
        <f t="shared" si="9"/>
        <v>237</v>
      </c>
      <c r="Q30" s="13">
        <f t="shared" si="9"/>
        <v>235</v>
      </c>
      <c r="R30" s="13">
        <f t="shared" si="9"/>
        <v>170</v>
      </c>
      <c r="S30" s="13">
        <f t="shared" si="9"/>
        <v>184</v>
      </c>
      <c r="T30" s="13">
        <f t="shared" si="9"/>
        <v>235</v>
      </c>
      <c r="U30" s="13">
        <f t="shared" si="9"/>
        <v>226</v>
      </c>
      <c r="V30" s="13">
        <f t="shared" si="9"/>
        <v>246</v>
      </c>
      <c r="W30" s="13">
        <f t="shared" si="9"/>
        <v>276</v>
      </c>
      <c r="X30" s="13">
        <f t="shared" si="3"/>
        <v>4252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0"/>
      <c r="O32" s="13"/>
      <c r="P32" s="13"/>
      <c r="Q32" s="13"/>
      <c r="R32" s="13"/>
      <c r="S32" s="70"/>
      <c r="T32" s="13"/>
      <c r="U32" s="13"/>
      <c r="V32" s="13"/>
      <c r="W32" s="13"/>
      <c r="X32" s="68"/>
    </row>
    <row r="33" ht="12.75" customHeight="1">
      <c r="A33" s="19">
        <v>1.0</v>
      </c>
      <c r="B33" s="20" t="s">
        <v>27</v>
      </c>
      <c r="C33" s="15"/>
      <c r="D33" s="16"/>
      <c r="E33" s="19">
        <v>293.0</v>
      </c>
      <c r="F33" s="19">
        <v>264.0</v>
      </c>
      <c r="G33" s="19">
        <v>283.0</v>
      </c>
      <c r="H33" s="19">
        <v>292.0</v>
      </c>
      <c r="I33" s="19">
        <v>295.0</v>
      </c>
      <c r="J33" s="19">
        <v>298.0</v>
      </c>
      <c r="K33" s="19">
        <v>249.0</v>
      </c>
      <c r="L33" s="19">
        <v>284.0</v>
      </c>
      <c r="M33" s="19">
        <v>289.0</v>
      </c>
      <c r="N33" s="19">
        <v>299.0</v>
      </c>
      <c r="O33" s="19">
        <v>288.0</v>
      </c>
      <c r="P33" s="19">
        <v>289.0</v>
      </c>
      <c r="Q33" s="19">
        <v>292.0</v>
      </c>
      <c r="R33" s="19">
        <v>248.0</v>
      </c>
      <c r="S33" s="19">
        <v>231.0</v>
      </c>
      <c r="T33" s="19">
        <v>299.0</v>
      </c>
      <c r="U33" s="19">
        <v>298.0</v>
      </c>
      <c r="V33" s="19">
        <v>301.0</v>
      </c>
      <c r="W33" s="19">
        <v>298.0</v>
      </c>
      <c r="X33" s="13">
        <f t="shared" ref="X33:X36" si="10">SUM(E33:W33)</f>
        <v>5390</v>
      </c>
    </row>
    <row r="34" ht="12.75" customHeight="1">
      <c r="A34" s="19">
        <v>2.0</v>
      </c>
      <c r="B34" s="20" t="s">
        <v>28</v>
      </c>
      <c r="C34" s="15"/>
      <c r="D34" s="16"/>
      <c r="E34" s="13">
        <v>229.0</v>
      </c>
      <c r="F34" s="13">
        <v>207.0</v>
      </c>
      <c r="G34" s="13">
        <v>211.0</v>
      </c>
      <c r="H34" s="13">
        <v>227.0</v>
      </c>
      <c r="I34" s="13">
        <v>229.0</v>
      </c>
      <c r="J34" s="13">
        <v>228.0</v>
      </c>
      <c r="K34" s="13">
        <v>187.0</v>
      </c>
      <c r="L34" s="13">
        <v>215.0</v>
      </c>
      <c r="M34" s="13">
        <v>244.0</v>
      </c>
      <c r="N34" s="13">
        <v>231.0</v>
      </c>
      <c r="O34" s="13">
        <v>235.0</v>
      </c>
      <c r="P34" s="13">
        <v>237.0</v>
      </c>
      <c r="Q34" s="13">
        <v>235.0</v>
      </c>
      <c r="R34" s="13">
        <v>170.0</v>
      </c>
      <c r="S34" s="13">
        <v>184.0</v>
      </c>
      <c r="T34" s="13">
        <v>235.0</v>
      </c>
      <c r="U34" s="13">
        <v>226.0</v>
      </c>
      <c r="V34" s="13">
        <v>246.0</v>
      </c>
      <c r="W34" s="13">
        <v>276.0</v>
      </c>
      <c r="X34" s="13">
        <f t="shared" si="10"/>
        <v>4252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21.0</v>
      </c>
      <c r="G35" s="19">
        <v>0.0</v>
      </c>
      <c r="H35" s="19">
        <v>2.0</v>
      </c>
      <c r="I35" s="19">
        <v>3.0</v>
      </c>
      <c r="J35" s="19">
        <v>0.0</v>
      </c>
      <c r="K35" s="19">
        <v>0.0</v>
      </c>
      <c r="L35" s="19">
        <v>0.0</v>
      </c>
      <c r="M35" s="19">
        <v>0.0</v>
      </c>
      <c r="N35" s="19">
        <v>1.0</v>
      </c>
      <c r="O35" s="19">
        <v>0.0</v>
      </c>
      <c r="P35" s="19">
        <v>0.0</v>
      </c>
      <c r="Q35" s="19">
        <v>0.0</v>
      </c>
      <c r="R35" s="19">
        <v>0.0</v>
      </c>
      <c r="S35" s="19">
        <v>1.0</v>
      </c>
      <c r="T35" s="19">
        <v>0.0</v>
      </c>
      <c r="U35" s="19">
        <v>0.0</v>
      </c>
      <c r="V35" s="19">
        <v>0.0</v>
      </c>
      <c r="W35" s="19">
        <v>3.0</v>
      </c>
      <c r="X35" s="13">
        <f t="shared" si="10"/>
        <v>31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1">E33-(E34+E35)</f>
        <v>64</v>
      </c>
      <c r="F36" s="13">
        <f t="shared" si="11"/>
        <v>36</v>
      </c>
      <c r="G36" s="13">
        <f t="shared" si="11"/>
        <v>72</v>
      </c>
      <c r="H36" s="13">
        <f t="shared" si="11"/>
        <v>63</v>
      </c>
      <c r="I36" s="13">
        <f t="shared" si="11"/>
        <v>63</v>
      </c>
      <c r="J36" s="13">
        <f t="shared" si="11"/>
        <v>70</v>
      </c>
      <c r="K36" s="13">
        <f t="shared" si="11"/>
        <v>62</v>
      </c>
      <c r="L36" s="13">
        <f t="shared" si="11"/>
        <v>69</v>
      </c>
      <c r="M36" s="13">
        <f t="shared" si="11"/>
        <v>45</v>
      </c>
      <c r="N36" s="13">
        <f t="shared" si="11"/>
        <v>67</v>
      </c>
      <c r="O36" s="13">
        <f t="shared" si="11"/>
        <v>53</v>
      </c>
      <c r="P36" s="13">
        <f t="shared" si="11"/>
        <v>52</v>
      </c>
      <c r="Q36" s="13">
        <f t="shared" si="11"/>
        <v>57</v>
      </c>
      <c r="R36" s="13">
        <f t="shared" si="11"/>
        <v>78</v>
      </c>
      <c r="S36" s="13">
        <f t="shared" si="11"/>
        <v>46</v>
      </c>
      <c r="T36" s="13">
        <f t="shared" si="11"/>
        <v>64</v>
      </c>
      <c r="U36" s="13">
        <f t="shared" si="11"/>
        <v>72</v>
      </c>
      <c r="V36" s="13">
        <f t="shared" si="11"/>
        <v>55</v>
      </c>
      <c r="W36" s="13">
        <f t="shared" si="11"/>
        <v>19</v>
      </c>
      <c r="X36" s="13">
        <f t="shared" si="10"/>
        <v>1107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0"/>
      <c r="O38" s="13"/>
      <c r="P38" s="13"/>
      <c r="Q38" s="13"/>
      <c r="R38" s="13"/>
      <c r="S38" s="70"/>
      <c r="T38" s="13"/>
      <c r="U38" s="13"/>
      <c r="V38" s="13"/>
      <c r="W38" s="13"/>
      <c r="X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1.0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69">
        <v>0.0</v>
      </c>
      <c r="U39" s="69">
        <v>0.0</v>
      </c>
      <c r="V39" s="69">
        <v>0.0</v>
      </c>
      <c r="W39" s="69">
        <v>0.0</v>
      </c>
      <c r="X39" s="13">
        <f t="shared" ref="X39:X41" si="12">SUM(E39:W39)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2.0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1.0</v>
      </c>
      <c r="Q40" s="19">
        <v>1.0</v>
      </c>
      <c r="R40" s="19">
        <v>0.0</v>
      </c>
      <c r="S40" s="19">
        <v>0.0</v>
      </c>
      <c r="T40" s="69">
        <v>0.0</v>
      </c>
      <c r="U40" s="69">
        <v>0.0</v>
      </c>
      <c r="V40" s="69">
        <v>0.0</v>
      </c>
      <c r="W40" s="69">
        <v>0.0</v>
      </c>
      <c r="X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3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0"/>
      <c r="O43" s="13"/>
      <c r="P43" s="13"/>
      <c r="Q43" s="13"/>
      <c r="R43" s="13"/>
      <c r="S43" s="70"/>
      <c r="T43" s="13"/>
      <c r="U43" s="13"/>
      <c r="V43" s="13"/>
      <c r="W43" s="13"/>
      <c r="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14.0</v>
      </c>
      <c r="F45" s="19">
        <v>6.0</v>
      </c>
      <c r="G45" s="19">
        <v>8.0</v>
      </c>
      <c r="H45" s="19">
        <v>3.0</v>
      </c>
      <c r="I45" s="19">
        <v>8.0</v>
      </c>
      <c r="J45" s="19">
        <v>8.0</v>
      </c>
      <c r="K45" s="19">
        <v>14.0</v>
      </c>
      <c r="L45" s="19">
        <v>6.0</v>
      </c>
      <c r="M45" s="19">
        <v>7.0</v>
      </c>
      <c r="N45" s="19">
        <v>11.0</v>
      </c>
      <c r="O45" s="19">
        <v>5.0</v>
      </c>
      <c r="P45" s="19">
        <v>5.0</v>
      </c>
      <c r="Q45" s="19">
        <v>17.0</v>
      </c>
      <c r="R45" s="19">
        <v>11.0</v>
      </c>
      <c r="S45" s="19">
        <v>0.0</v>
      </c>
      <c r="T45" s="19">
        <v>9.0</v>
      </c>
      <c r="U45" s="19">
        <v>6.0</v>
      </c>
      <c r="V45" s="19">
        <v>3.0</v>
      </c>
      <c r="W45" s="19">
        <v>0.0</v>
      </c>
      <c r="X45" s="13">
        <f t="shared" ref="X45:X55" si="14">SUM(E45:W45)</f>
        <v>141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9.0</v>
      </c>
      <c r="F46" s="19">
        <v>14.0</v>
      </c>
      <c r="G46" s="19">
        <v>13.0</v>
      </c>
      <c r="H46" s="19">
        <v>26.0</v>
      </c>
      <c r="I46" s="19">
        <v>54.0</v>
      </c>
      <c r="J46" s="19">
        <v>10.0</v>
      </c>
      <c r="K46" s="19">
        <v>34.0</v>
      </c>
      <c r="L46" s="19">
        <v>40.0</v>
      </c>
      <c r="M46" s="19">
        <v>12.0</v>
      </c>
      <c r="N46" s="19">
        <v>38.0</v>
      </c>
      <c r="O46" s="19">
        <v>32.0</v>
      </c>
      <c r="P46" s="19">
        <v>75.0</v>
      </c>
      <c r="Q46" s="19">
        <v>27.0</v>
      </c>
      <c r="R46" s="19">
        <v>19.0</v>
      </c>
      <c r="S46" s="19">
        <v>7.0</v>
      </c>
      <c r="T46" s="19">
        <v>22.0</v>
      </c>
      <c r="U46" s="19">
        <v>9.0</v>
      </c>
      <c r="V46" s="19">
        <v>4.0</v>
      </c>
      <c r="W46" s="19">
        <v>24.0</v>
      </c>
      <c r="X46" s="13">
        <f t="shared" si="14"/>
        <v>469</v>
      </c>
    </row>
    <row r="47" ht="12.75" customHeight="1">
      <c r="A47" s="18"/>
      <c r="B47" s="55">
        <v>2.0</v>
      </c>
      <c r="C47" s="50" t="s">
        <v>41</v>
      </c>
      <c r="D47" s="16"/>
      <c r="E47" s="19">
        <v>3.0</v>
      </c>
      <c r="F47" s="19">
        <v>8.0</v>
      </c>
      <c r="G47" s="19">
        <v>7.0</v>
      </c>
      <c r="H47" s="19">
        <v>2.0</v>
      </c>
      <c r="I47" s="19">
        <v>3.0</v>
      </c>
      <c r="J47" s="19">
        <v>8.0</v>
      </c>
      <c r="K47" s="19">
        <v>6.0</v>
      </c>
      <c r="L47" s="19">
        <v>6.0</v>
      </c>
      <c r="M47" s="19">
        <v>3.0</v>
      </c>
      <c r="N47" s="19">
        <v>2.0</v>
      </c>
      <c r="O47" s="19">
        <v>5.0</v>
      </c>
      <c r="P47" s="19">
        <v>4.0</v>
      </c>
      <c r="Q47" s="19">
        <v>2.0</v>
      </c>
      <c r="R47" s="19">
        <v>2.0</v>
      </c>
      <c r="S47" s="19">
        <v>1.0</v>
      </c>
      <c r="T47" s="19">
        <v>1.0</v>
      </c>
      <c r="U47" s="19">
        <v>0.0</v>
      </c>
      <c r="V47" s="19">
        <v>0.0</v>
      </c>
      <c r="W47" s="19">
        <v>0.0</v>
      </c>
      <c r="X47" s="13">
        <f t="shared" si="14"/>
        <v>63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0.0</v>
      </c>
      <c r="H48" s="19">
        <v>1.0</v>
      </c>
      <c r="I48" s="19">
        <v>2.0</v>
      </c>
      <c r="J48" s="19">
        <v>4.0</v>
      </c>
      <c r="K48" s="19">
        <v>1.0</v>
      </c>
      <c r="L48" s="19">
        <v>2.0</v>
      </c>
      <c r="M48" s="19">
        <v>0.0</v>
      </c>
      <c r="N48" s="19">
        <v>2.0</v>
      </c>
      <c r="O48" s="19">
        <v>2.0</v>
      </c>
      <c r="P48" s="19">
        <v>1.0</v>
      </c>
      <c r="Q48" s="19">
        <v>0.0</v>
      </c>
      <c r="R48" s="19">
        <v>2.0</v>
      </c>
      <c r="S48" s="19">
        <v>0.0</v>
      </c>
      <c r="T48" s="19">
        <v>1.0</v>
      </c>
      <c r="U48" s="19">
        <v>0.0</v>
      </c>
      <c r="V48" s="19">
        <v>0.0</v>
      </c>
      <c r="W48" s="19">
        <v>0.0</v>
      </c>
      <c r="X48" s="13">
        <f t="shared" si="14"/>
        <v>19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1.0</v>
      </c>
      <c r="I49" s="19">
        <v>2.0</v>
      </c>
      <c r="J49" s="19">
        <v>0.0</v>
      </c>
      <c r="K49" s="19">
        <v>0.0</v>
      </c>
      <c r="L49" s="19">
        <v>0.0</v>
      </c>
      <c r="M49" s="19">
        <v>0.0</v>
      </c>
      <c r="N49" s="19">
        <v>2.0</v>
      </c>
      <c r="O49" s="19">
        <v>0.0</v>
      </c>
      <c r="P49" s="19">
        <v>1.0</v>
      </c>
      <c r="Q49" s="19">
        <v>0.0</v>
      </c>
      <c r="R49" s="19">
        <v>0.0</v>
      </c>
      <c r="S49" s="19">
        <v>0.0</v>
      </c>
      <c r="T49" s="19">
        <v>0.0</v>
      </c>
      <c r="U49" s="19">
        <v>1.0</v>
      </c>
      <c r="V49" s="19">
        <v>0.0</v>
      </c>
      <c r="W49" s="19">
        <v>0.0</v>
      </c>
      <c r="X49" s="13">
        <f t="shared" si="14"/>
        <v>7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0.0</v>
      </c>
      <c r="G50" s="19">
        <v>0.0</v>
      </c>
      <c r="H50" s="19">
        <v>0.0</v>
      </c>
      <c r="I50" s="19">
        <v>1.0</v>
      </c>
      <c r="J50" s="19">
        <v>0.0</v>
      </c>
      <c r="K50" s="19">
        <v>1.0</v>
      </c>
      <c r="L50" s="19">
        <v>0.0</v>
      </c>
      <c r="M50" s="19">
        <v>0.0</v>
      </c>
      <c r="N50" s="19">
        <v>1.0</v>
      </c>
      <c r="O50" s="19">
        <v>1.0</v>
      </c>
      <c r="P50" s="19">
        <v>0.0</v>
      </c>
      <c r="Q50" s="19">
        <v>0.0</v>
      </c>
      <c r="R50" s="19">
        <v>0.0</v>
      </c>
      <c r="S50" s="19">
        <v>0.0</v>
      </c>
      <c r="T50" s="19">
        <v>1.0</v>
      </c>
      <c r="U50" s="19">
        <v>0.0</v>
      </c>
      <c r="V50" s="19">
        <v>0.0</v>
      </c>
      <c r="W50" s="19">
        <v>0.0</v>
      </c>
      <c r="X50" s="13">
        <f t="shared" si="14"/>
        <v>6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1.0</v>
      </c>
      <c r="G51" s="19">
        <v>1.0</v>
      </c>
      <c r="H51" s="19">
        <v>1.0</v>
      </c>
      <c r="I51" s="19">
        <v>0.0</v>
      </c>
      <c r="J51" s="19">
        <v>0.0</v>
      </c>
      <c r="K51" s="19">
        <v>0.0</v>
      </c>
      <c r="L51" s="19">
        <v>0.0</v>
      </c>
      <c r="M51" s="19">
        <v>1.0</v>
      </c>
      <c r="N51" s="19">
        <v>0.0</v>
      </c>
      <c r="O51" s="19">
        <v>0.0</v>
      </c>
      <c r="P51" s="19">
        <v>1.0</v>
      </c>
      <c r="Q51" s="19">
        <v>0.0</v>
      </c>
      <c r="R51" s="19">
        <v>1.0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3">
        <f t="shared" si="14"/>
        <v>6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1.0</v>
      </c>
      <c r="J52" s="19">
        <v>0.0</v>
      </c>
      <c r="K52" s="19">
        <v>0.0</v>
      </c>
      <c r="L52" s="19">
        <v>0.0</v>
      </c>
      <c r="M52" s="19">
        <v>0.0</v>
      </c>
      <c r="N52" s="19">
        <v>1.0</v>
      </c>
      <c r="O52" s="19">
        <v>5.0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1.0</v>
      </c>
      <c r="V52" s="19">
        <v>0.0</v>
      </c>
      <c r="W52" s="19">
        <v>0.0</v>
      </c>
      <c r="X52" s="13">
        <f t="shared" si="14"/>
        <v>8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3">
        <f t="shared" si="14"/>
        <v>0</v>
      </c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W55" si="15">SUM(E45:E52)</f>
        <v>28</v>
      </c>
      <c r="F55" s="13">
        <f t="shared" si="15"/>
        <v>29</v>
      </c>
      <c r="G55" s="13">
        <f t="shared" si="15"/>
        <v>29</v>
      </c>
      <c r="H55" s="13">
        <f t="shared" si="15"/>
        <v>34</v>
      </c>
      <c r="I55" s="13">
        <f t="shared" si="15"/>
        <v>71</v>
      </c>
      <c r="J55" s="13">
        <f t="shared" si="15"/>
        <v>30</v>
      </c>
      <c r="K55" s="13">
        <f t="shared" si="15"/>
        <v>56</v>
      </c>
      <c r="L55" s="13">
        <f t="shared" si="15"/>
        <v>54</v>
      </c>
      <c r="M55" s="13">
        <f t="shared" si="15"/>
        <v>23</v>
      </c>
      <c r="N55" s="13">
        <f t="shared" si="15"/>
        <v>57</v>
      </c>
      <c r="O55" s="13">
        <f t="shared" si="15"/>
        <v>50</v>
      </c>
      <c r="P55" s="13">
        <f t="shared" si="15"/>
        <v>87</v>
      </c>
      <c r="Q55" s="13">
        <f t="shared" si="15"/>
        <v>46</v>
      </c>
      <c r="R55" s="13">
        <f t="shared" si="15"/>
        <v>35</v>
      </c>
      <c r="S55" s="13">
        <f t="shared" si="15"/>
        <v>8</v>
      </c>
      <c r="T55" s="13">
        <f t="shared" si="15"/>
        <v>34</v>
      </c>
      <c r="U55" s="13">
        <f t="shared" si="15"/>
        <v>17</v>
      </c>
      <c r="V55" s="13">
        <f t="shared" si="15"/>
        <v>7</v>
      </c>
      <c r="W55" s="13">
        <f t="shared" si="15"/>
        <v>24</v>
      </c>
      <c r="X55" s="13">
        <f t="shared" si="14"/>
        <v>719</v>
      </c>
    </row>
    <row r="56" ht="12.75" customHeight="1">
      <c r="A56" s="45"/>
      <c r="B56" s="44"/>
      <c r="C56" s="44"/>
      <c r="D56" s="44"/>
      <c r="E56" s="44"/>
      <c r="X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13.0</v>
      </c>
      <c r="F57" s="19">
        <v>11.0</v>
      </c>
      <c r="G57" s="19">
        <v>13.0</v>
      </c>
      <c r="H57" s="19">
        <v>2.0</v>
      </c>
      <c r="I57" s="19">
        <v>6.0</v>
      </c>
      <c r="J57" s="19">
        <v>9.0</v>
      </c>
      <c r="K57" s="19">
        <v>9.0</v>
      </c>
      <c r="L57" s="19">
        <v>8.0</v>
      </c>
      <c r="M57" s="19">
        <v>14.0</v>
      </c>
      <c r="N57" s="19">
        <v>6.0</v>
      </c>
      <c r="O57" s="19">
        <v>28.0</v>
      </c>
      <c r="P57" s="19">
        <v>15.0</v>
      </c>
      <c r="Q57" s="19">
        <v>15.0</v>
      </c>
      <c r="R57" s="19">
        <v>4.0</v>
      </c>
      <c r="S57" s="19">
        <v>2.0</v>
      </c>
      <c r="T57" s="19">
        <v>18.0</v>
      </c>
      <c r="U57" s="19">
        <v>11.0</v>
      </c>
      <c r="V57" s="19">
        <v>5.0</v>
      </c>
      <c r="W57" s="19">
        <v>3.0</v>
      </c>
      <c r="X57" s="13">
        <f t="shared" ref="X57:X67" si="16">SUM(E57:W57)</f>
        <v>192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8.0</v>
      </c>
      <c r="F58" s="19">
        <v>5.0</v>
      </c>
      <c r="G58" s="19">
        <v>3.0</v>
      </c>
      <c r="H58" s="19">
        <v>13.0</v>
      </c>
      <c r="I58" s="19">
        <v>4.0</v>
      </c>
      <c r="J58" s="19">
        <v>2.0</v>
      </c>
      <c r="K58" s="19">
        <v>13.0</v>
      </c>
      <c r="L58" s="19">
        <v>14.0</v>
      </c>
      <c r="M58" s="19">
        <v>13.0</v>
      </c>
      <c r="N58" s="19">
        <v>31.0</v>
      </c>
      <c r="O58" s="19">
        <v>40.0</v>
      </c>
      <c r="P58" s="19">
        <v>19.0</v>
      </c>
      <c r="Q58" s="19">
        <v>12.0</v>
      </c>
      <c r="R58" s="19">
        <v>7.0</v>
      </c>
      <c r="S58" s="19">
        <v>2.0</v>
      </c>
      <c r="T58" s="19">
        <v>7.0</v>
      </c>
      <c r="U58" s="19">
        <v>28.0</v>
      </c>
      <c r="V58" s="19">
        <v>162.0</v>
      </c>
      <c r="W58" s="19">
        <v>73.0</v>
      </c>
      <c r="X58" s="13">
        <f t="shared" si="16"/>
        <v>456</v>
      </c>
    </row>
    <row r="59" ht="12.75" customHeight="1">
      <c r="A59" s="18"/>
      <c r="B59" s="55">
        <v>2.0</v>
      </c>
      <c r="C59" s="50" t="s">
        <v>50</v>
      </c>
      <c r="D59" s="56"/>
      <c r="E59" s="19">
        <v>1.0</v>
      </c>
      <c r="F59" s="19">
        <v>5.0</v>
      </c>
      <c r="G59" s="19">
        <v>8.0</v>
      </c>
      <c r="H59" s="19">
        <v>3.0</v>
      </c>
      <c r="I59" s="19">
        <v>1.0</v>
      </c>
      <c r="J59" s="19">
        <v>3.0</v>
      </c>
      <c r="K59" s="19">
        <v>6.0</v>
      </c>
      <c r="L59" s="19">
        <v>12.0</v>
      </c>
      <c r="M59" s="19">
        <v>6.0</v>
      </c>
      <c r="N59" s="19">
        <v>4.0</v>
      </c>
      <c r="O59" s="19">
        <v>8.0</v>
      </c>
      <c r="P59" s="19">
        <v>6.0</v>
      </c>
      <c r="Q59" s="19">
        <v>10.0</v>
      </c>
      <c r="R59" s="19">
        <v>4.0</v>
      </c>
      <c r="S59" s="19">
        <v>1.0</v>
      </c>
      <c r="T59" s="19">
        <v>5.0</v>
      </c>
      <c r="U59" s="19">
        <v>4.0</v>
      </c>
      <c r="V59" s="19">
        <v>1.0</v>
      </c>
      <c r="W59" s="19">
        <v>3.0</v>
      </c>
      <c r="X59" s="13">
        <f t="shared" si="16"/>
        <v>91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0.0</v>
      </c>
      <c r="G60" s="19">
        <v>2.0</v>
      </c>
      <c r="H60" s="19">
        <v>0.0</v>
      </c>
      <c r="I60" s="19">
        <v>1.0</v>
      </c>
      <c r="J60" s="19">
        <v>1.0</v>
      </c>
      <c r="K60" s="19">
        <v>0.0</v>
      </c>
      <c r="L60" s="19">
        <v>2.0</v>
      </c>
      <c r="M60" s="19">
        <v>1.0</v>
      </c>
      <c r="N60" s="19">
        <v>0.0</v>
      </c>
      <c r="O60" s="19">
        <v>1.0</v>
      </c>
      <c r="P60" s="19">
        <v>0.0</v>
      </c>
      <c r="Q60" s="19">
        <v>3.0</v>
      </c>
      <c r="R60" s="19">
        <v>1.0</v>
      </c>
      <c r="S60" s="19">
        <v>0.0</v>
      </c>
      <c r="T60" s="19">
        <v>1.0</v>
      </c>
      <c r="U60" s="19">
        <v>1.0</v>
      </c>
      <c r="V60" s="19">
        <v>1.0</v>
      </c>
      <c r="W60" s="19">
        <v>0.0</v>
      </c>
      <c r="X60" s="13">
        <f t="shared" si="16"/>
        <v>15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3.0</v>
      </c>
      <c r="G61" s="19">
        <v>1.0</v>
      </c>
      <c r="H61" s="19">
        <v>5.0</v>
      </c>
      <c r="I61" s="19">
        <v>2.0</v>
      </c>
      <c r="J61" s="19">
        <v>1.0</v>
      </c>
      <c r="K61" s="19">
        <v>5.0</v>
      </c>
      <c r="L61" s="19">
        <v>2.0</v>
      </c>
      <c r="M61" s="19">
        <v>1.0</v>
      </c>
      <c r="N61" s="19">
        <v>2.0</v>
      </c>
      <c r="O61" s="19">
        <v>4.0</v>
      </c>
      <c r="P61" s="19">
        <v>1.0</v>
      </c>
      <c r="Q61" s="19">
        <v>2.0</v>
      </c>
      <c r="R61" s="19">
        <v>6.0</v>
      </c>
      <c r="S61" s="19">
        <v>1.0</v>
      </c>
      <c r="T61" s="19">
        <v>0.0</v>
      </c>
      <c r="U61" s="19">
        <v>2.0</v>
      </c>
      <c r="V61" s="19">
        <v>0.0</v>
      </c>
      <c r="W61" s="19">
        <v>1.0</v>
      </c>
      <c r="X61" s="13">
        <f t="shared" si="16"/>
        <v>40</v>
      </c>
    </row>
    <row r="62" ht="12.75" customHeight="1">
      <c r="A62" s="18"/>
      <c r="B62" s="55">
        <v>5.0</v>
      </c>
      <c r="C62" s="50" t="s">
        <v>53</v>
      </c>
      <c r="D62" s="56"/>
      <c r="E62" s="69">
        <v>1.0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2.0</v>
      </c>
      <c r="L62" s="19">
        <v>0.0</v>
      </c>
      <c r="M62" s="19">
        <v>0.0</v>
      </c>
      <c r="N62" s="19">
        <v>0.0</v>
      </c>
      <c r="O62" s="19">
        <v>0.0</v>
      </c>
      <c r="P62" s="19">
        <v>2.0</v>
      </c>
      <c r="Q62" s="19">
        <v>0.0</v>
      </c>
      <c r="R62" s="19">
        <v>0.0</v>
      </c>
      <c r="S62" s="19">
        <v>0.0</v>
      </c>
      <c r="T62" s="19">
        <v>1.0</v>
      </c>
      <c r="U62" s="19">
        <v>1.0</v>
      </c>
      <c r="V62" s="19">
        <v>0.0</v>
      </c>
      <c r="W62" s="19">
        <v>0.0</v>
      </c>
      <c r="X62" s="13">
        <f t="shared" si="16"/>
        <v>7</v>
      </c>
    </row>
    <row r="63" ht="12.75" customHeight="1">
      <c r="A63" s="18"/>
      <c r="B63" s="55">
        <v>6.0</v>
      </c>
      <c r="C63" s="50" t="s">
        <v>54</v>
      </c>
      <c r="D63" s="57"/>
      <c r="E63" s="19">
        <v>1.0</v>
      </c>
      <c r="F63" s="19">
        <v>1.0</v>
      </c>
      <c r="G63" s="19">
        <v>0.0</v>
      </c>
      <c r="H63" s="19">
        <v>0.0</v>
      </c>
      <c r="I63" s="19">
        <v>0.0</v>
      </c>
      <c r="J63" s="19">
        <v>0.0</v>
      </c>
      <c r="K63" s="19">
        <v>1.0</v>
      </c>
      <c r="L63" s="19">
        <v>0.0</v>
      </c>
      <c r="M63" s="19">
        <v>0.0</v>
      </c>
      <c r="N63" s="19">
        <v>0.0</v>
      </c>
      <c r="O63" s="19">
        <v>0.0</v>
      </c>
      <c r="P63" s="19">
        <v>1.0</v>
      </c>
      <c r="Q63" s="19">
        <v>2.0</v>
      </c>
      <c r="R63" s="19">
        <v>1.0</v>
      </c>
      <c r="S63" s="19">
        <v>0.0</v>
      </c>
      <c r="T63" s="19">
        <v>0.0</v>
      </c>
      <c r="U63" s="19">
        <v>1.0</v>
      </c>
      <c r="V63" s="19">
        <v>0.0</v>
      </c>
      <c r="W63" s="19">
        <v>0.0</v>
      </c>
      <c r="X63" s="13">
        <f t="shared" si="16"/>
        <v>8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1.0</v>
      </c>
      <c r="L64" s="19">
        <v>0.0</v>
      </c>
      <c r="M64" s="19">
        <v>1.0</v>
      </c>
      <c r="N64" s="19">
        <v>0.0</v>
      </c>
      <c r="O64" s="19">
        <v>0.0</v>
      </c>
      <c r="P64" s="19">
        <v>1.0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1.0</v>
      </c>
      <c r="X64" s="13">
        <f t="shared" si="16"/>
        <v>4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3">
        <f t="shared" si="16"/>
        <v>0</v>
      </c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W67" si="17">SUM(E57:E64)</f>
        <v>25</v>
      </c>
      <c r="F67" s="13">
        <f t="shared" si="17"/>
        <v>25</v>
      </c>
      <c r="G67" s="13">
        <f t="shared" si="17"/>
        <v>27</v>
      </c>
      <c r="H67" s="13">
        <f t="shared" si="17"/>
        <v>23</v>
      </c>
      <c r="I67" s="13">
        <f t="shared" si="17"/>
        <v>14</v>
      </c>
      <c r="J67" s="13">
        <f t="shared" si="17"/>
        <v>16</v>
      </c>
      <c r="K67" s="13">
        <f t="shared" si="17"/>
        <v>37</v>
      </c>
      <c r="L67" s="13">
        <f t="shared" si="17"/>
        <v>38</v>
      </c>
      <c r="M67" s="13">
        <f t="shared" si="17"/>
        <v>36</v>
      </c>
      <c r="N67" s="13">
        <f t="shared" si="17"/>
        <v>43</v>
      </c>
      <c r="O67" s="13">
        <f t="shared" si="17"/>
        <v>81</v>
      </c>
      <c r="P67" s="13">
        <f t="shared" si="17"/>
        <v>45</v>
      </c>
      <c r="Q67" s="13">
        <f t="shared" si="17"/>
        <v>44</v>
      </c>
      <c r="R67" s="13">
        <f t="shared" si="17"/>
        <v>23</v>
      </c>
      <c r="S67" s="13">
        <f t="shared" si="17"/>
        <v>6</v>
      </c>
      <c r="T67" s="13">
        <f t="shared" si="17"/>
        <v>32</v>
      </c>
      <c r="U67" s="13">
        <f t="shared" si="17"/>
        <v>48</v>
      </c>
      <c r="V67" s="13">
        <f t="shared" si="17"/>
        <v>169</v>
      </c>
      <c r="W67" s="13">
        <f t="shared" si="17"/>
        <v>81</v>
      </c>
      <c r="X67" s="13">
        <f t="shared" si="16"/>
        <v>813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6.0</v>
      </c>
      <c r="F69" s="19">
        <v>6.0</v>
      </c>
      <c r="G69" s="19">
        <v>1.0</v>
      </c>
      <c r="H69" s="19">
        <v>2.0</v>
      </c>
      <c r="I69" s="19">
        <v>1.0</v>
      </c>
      <c r="J69" s="19">
        <v>15.0</v>
      </c>
      <c r="K69" s="19">
        <v>1.0</v>
      </c>
      <c r="L69" s="19">
        <v>7.0</v>
      </c>
      <c r="M69" s="19">
        <v>10.0</v>
      </c>
      <c r="N69" s="19">
        <v>3.0</v>
      </c>
      <c r="O69" s="19">
        <v>3.0</v>
      </c>
      <c r="P69" s="19">
        <v>6.0</v>
      </c>
      <c r="Q69" s="19">
        <v>2.0</v>
      </c>
      <c r="R69" s="19">
        <v>4.0</v>
      </c>
      <c r="S69" s="19">
        <v>2.0</v>
      </c>
      <c r="T69" s="19">
        <v>6.0</v>
      </c>
      <c r="U69" s="19">
        <v>6.0</v>
      </c>
      <c r="V69" s="19">
        <v>3.0</v>
      </c>
      <c r="W69" s="19">
        <v>7.0</v>
      </c>
      <c r="X69" s="13">
        <f t="shared" ref="X69:X79" si="18">SUM(E69:W69)</f>
        <v>91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5.0</v>
      </c>
      <c r="F70" s="19">
        <v>4.0</v>
      </c>
      <c r="G70" s="19">
        <v>4.0</v>
      </c>
      <c r="H70" s="19">
        <v>0.0</v>
      </c>
      <c r="I70" s="19">
        <v>5.0</v>
      </c>
      <c r="J70" s="19">
        <v>6.0</v>
      </c>
      <c r="K70" s="19">
        <v>1.0</v>
      </c>
      <c r="L70" s="19">
        <v>7.0</v>
      </c>
      <c r="M70" s="19">
        <v>6.0</v>
      </c>
      <c r="N70" s="19">
        <v>5.0</v>
      </c>
      <c r="O70" s="19">
        <v>2.0</v>
      </c>
      <c r="P70" s="19">
        <v>3.0</v>
      </c>
      <c r="Q70" s="19">
        <v>1.0</v>
      </c>
      <c r="R70" s="19">
        <v>3.0</v>
      </c>
      <c r="S70" s="19">
        <v>27.0</v>
      </c>
      <c r="T70" s="19">
        <v>3.0</v>
      </c>
      <c r="U70" s="19">
        <v>2.0</v>
      </c>
      <c r="V70" s="19">
        <v>0.0</v>
      </c>
      <c r="W70" s="19">
        <v>2.0</v>
      </c>
      <c r="X70" s="13">
        <f t="shared" si="18"/>
        <v>86</v>
      </c>
    </row>
    <row r="71" ht="12.75" customHeight="1">
      <c r="A71" s="18"/>
      <c r="B71" s="55">
        <v>2.0</v>
      </c>
      <c r="C71" s="50" t="s">
        <v>58</v>
      </c>
      <c r="D71" s="57"/>
      <c r="E71" s="19">
        <v>6.0</v>
      </c>
      <c r="F71" s="19">
        <v>2.0</v>
      </c>
      <c r="G71" s="19">
        <v>3.0</v>
      </c>
      <c r="H71" s="19">
        <v>1.0</v>
      </c>
      <c r="I71" s="19">
        <v>3.0</v>
      </c>
      <c r="J71" s="19">
        <v>18.0</v>
      </c>
      <c r="K71" s="19">
        <v>2.0</v>
      </c>
      <c r="L71" s="19">
        <v>4.0</v>
      </c>
      <c r="M71" s="19">
        <v>10.0</v>
      </c>
      <c r="N71" s="19">
        <v>1.0</v>
      </c>
      <c r="O71" s="19">
        <v>2.0</v>
      </c>
      <c r="P71" s="19">
        <v>5.0</v>
      </c>
      <c r="Q71" s="19">
        <v>0.0</v>
      </c>
      <c r="R71" s="19">
        <v>1.0</v>
      </c>
      <c r="S71" s="19">
        <v>1.0</v>
      </c>
      <c r="T71" s="19">
        <v>2.0</v>
      </c>
      <c r="U71" s="19">
        <v>3.0</v>
      </c>
      <c r="V71" s="19">
        <v>0.0</v>
      </c>
      <c r="W71" s="19">
        <v>1.0</v>
      </c>
      <c r="X71" s="13">
        <f t="shared" si="18"/>
        <v>65</v>
      </c>
    </row>
    <row r="72" ht="12.75" customHeight="1">
      <c r="A72" s="18"/>
      <c r="B72" s="55">
        <v>3.0</v>
      </c>
      <c r="C72" s="50" t="s">
        <v>59</v>
      </c>
      <c r="D72" s="57"/>
      <c r="E72" s="19">
        <v>3.0</v>
      </c>
      <c r="F72" s="19">
        <v>3.0</v>
      </c>
      <c r="G72" s="19">
        <v>2.0</v>
      </c>
      <c r="H72" s="19">
        <v>0.0</v>
      </c>
      <c r="I72" s="19">
        <v>2.0</v>
      </c>
      <c r="J72" s="19">
        <v>0.0</v>
      </c>
      <c r="K72" s="19">
        <v>0.0</v>
      </c>
      <c r="L72" s="19">
        <v>0.0</v>
      </c>
      <c r="M72" s="19">
        <v>2.0</v>
      </c>
      <c r="N72" s="19">
        <v>0.0</v>
      </c>
      <c r="O72" s="19">
        <v>0.0</v>
      </c>
      <c r="P72" s="19">
        <v>1.0</v>
      </c>
      <c r="Q72" s="19">
        <v>6.0</v>
      </c>
      <c r="R72" s="19">
        <v>0.0</v>
      </c>
      <c r="S72" s="19">
        <v>1.0</v>
      </c>
      <c r="T72" s="19">
        <v>3.0</v>
      </c>
      <c r="U72" s="19">
        <v>2.0</v>
      </c>
      <c r="V72" s="19">
        <v>1.0</v>
      </c>
      <c r="W72" s="19">
        <v>4.0</v>
      </c>
      <c r="X72" s="13">
        <f t="shared" si="18"/>
        <v>30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0.0</v>
      </c>
      <c r="G73" s="19">
        <v>1.0</v>
      </c>
      <c r="H73" s="19">
        <v>0.0</v>
      </c>
      <c r="I73" s="19">
        <v>1.0</v>
      </c>
      <c r="J73" s="19">
        <v>1.0</v>
      </c>
      <c r="K73" s="19">
        <v>0.0</v>
      </c>
      <c r="L73" s="19">
        <v>1.0</v>
      </c>
      <c r="M73" s="19">
        <v>0.0</v>
      </c>
      <c r="N73" s="19">
        <v>0.0</v>
      </c>
      <c r="O73" s="19">
        <v>0.0</v>
      </c>
      <c r="P73" s="19">
        <v>0.0</v>
      </c>
      <c r="Q73" s="19">
        <v>0.0</v>
      </c>
      <c r="R73" s="19">
        <v>0.0</v>
      </c>
      <c r="S73" s="19">
        <v>0.0</v>
      </c>
      <c r="T73" s="19">
        <v>1.0</v>
      </c>
      <c r="U73" s="19">
        <v>0.0</v>
      </c>
      <c r="V73" s="19">
        <v>1.0</v>
      </c>
      <c r="W73" s="19">
        <v>0.0</v>
      </c>
      <c r="X73" s="13">
        <f t="shared" si="18"/>
        <v>6</v>
      </c>
    </row>
    <row r="74" ht="12.75" customHeight="1">
      <c r="A74" s="18"/>
      <c r="B74" s="55">
        <v>5.0</v>
      </c>
      <c r="C74" s="50" t="s">
        <v>61</v>
      </c>
      <c r="D74" s="57"/>
      <c r="E74" s="19">
        <v>0.0</v>
      </c>
      <c r="F74" s="19">
        <v>1.0</v>
      </c>
      <c r="G74" s="19">
        <v>0.0</v>
      </c>
      <c r="H74" s="19">
        <v>0.0</v>
      </c>
      <c r="I74" s="19">
        <v>0.0</v>
      </c>
      <c r="J74" s="19">
        <v>0.0</v>
      </c>
      <c r="K74" s="19">
        <v>0.0</v>
      </c>
      <c r="L74" s="19">
        <v>3.0</v>
      </c>
      <c r="M74" s="19">
        <v>2.0</v>
      </c>
      <c r="N74" s="19">
        <v>0.0</v>
      </c>
      <c r="O74" s="19">
        <v>0.0</v>
      </c>
      <c r="P74" s="19">
        <v>1.0</v>
      </c>
      <c r="Q74" s="19">
        <v>1.0</v>
      </c>
      <c r="R74" s="19">
        <v>3.0</v>
      </c>
      <c r="S74" s="19">
        <v>0.0</v>
      </c>
      <c r="T74" s="19">
        <v>1.0</v>
      </c>
      <c r="U74" s="19">
        <v>0.0</v>
      </c>
      <c r="V74" s="19">
        <v>0.0</v>
      </c>
      <c r="W74" s="19">
        <v>1.0</v>
      </c>
      <c r="X74" s="13">
        <f t="shared" si="18"/>
        <v>13</v>
      </c>
    </row>
    <row r="75" ht="12.75" customHeight="1">
      <c r="A75" s="18"/>
      <c r="B75" s="55">
        <v>6.0</v>
      </c>
      <c r="C75" s="50" t="s">
        <v>62</v>
      </c>
      <c r="D75" s="57"/>
      <c r="E75" s="19">
        <v>1.0</v>
      </c>
      <c r="F75" s="19">
        <v>2.0</v>
      </c>
      <c r="G75" s="19">
        <v>1.0</v>
      </c>
      <c r="H75" s="19">
        <v>0.0</v>
      </c>
      <c r="I75" s="19">
        <v>0.0</v>
      </c>
      <c r="J75" s="19">
        <v>1.0</v>
      </c>
      <c r="K75" s="19">
        <v>2.0</v>
      </c>
      <c r="L75" s="19">
        <v>2.0</v>
      </c>
      <c r="M75" s="19">
        <v>2.0</v>
      </c>
      <c r="N75" s="19">
        <v>0.0</v>
      </c>
      <c r="O75" s="19">
        <v>0.0</v>
      </c>
      <c r="P75" s="19">
        <v>1.0</v>
      </c>
      <c r="Q75" s="19">
        <v>0.0</v>
      </c>
      <c r="R75" s="19">
        <v>1.0</v>
      </c>
      <c r="S75" s="19">
        <v>0.0</v>
      </c>
      <c r="T75" s="19">
        <v>1.0</v>
      </c>
      <c r="U75" s="19">
        <v>0.0</v>
      </c>
      <c r="V75" s="19">
        <v>0.0</v>
      </c>
      <c r="W75" s="19">
        <v>1.0</v>
      </c>
      <c r="X75" s="13">
        <f t="shared" si="18"/>
        <v>15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1.0</v>
      </c>
      <c r="N76" s="19">
        <v>0.0</v>
      </c>
      <c r="O76" s="19">
        <v>0.0</v>
      </c>
      <c r="P76" s="19">
        <v>2.0</v>
      </c>
      <c r="Q76" s="19">
        <v>5.0</v>
      </c>
      <c r="R76" s="19">
        <v>1.0</v>
      </c>
      <c r="S76" s="19">
        <v>0.0</v>
      </c>
      <c r="T76" s="19">
        <v>2.0</v>
      </c>
      <c r="U76" s="19">
        <v>1.0</v>
      </c>
      <c r="V76" s="19">
        <v>5.0</v>
      </c>
      <c r="W76" s="19">
        <v>7.0</v>
      </c>
      <c r="X76" s="13">
        <f t="shared" si="18"/>
        <v>24</v>
      </c>
    </row>
    <row r="77" ht="12.75" customHeight="1">
      <c r="A77" s="18"/>
      <c r="B77" s="71"/>
      <c r="C77" s="72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3">
        <f t="shared" si="18"/>
        <v>0</v>
      </c>
    </row>
    <row r="78" ht="12.75" customHeight="1">
      <c r="A78" s="18"/>
      <c r="B78" s="71"/>
      <c r="C78" s="72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W79" si="19">SUM(E69:E76)</f>
        <v>21</v>
      </c>
      <c r="F79" s="13">
        <f t="shared" si="19"/>
        <v>18</v>
      </c>
      <c r="G79" s="13">
        <f t="shared" si="19"/>
        <v>12</v>
      </c>
      <c r="H79" s="13">
        <f t="shared" si="19"/>
        <v>3</v>
      </c>
      <c r="I79" s="13">
        <f t="shared" si="19"/>
        <v>12</v>
      </c>
      <c r="J79" s="13">
        <f t="shared" si="19"/>
        <v>41</v>
      </c>
      <c r="K79" s="13">
        <f t="shared" si="19"/>
        <v>6</v>
      </c>
      <c r="L79" s="13">
        <f t="shared" si="19"/>
        <v>24</v>
      </c>
      <c r="M79" s="13">
        <f t="shared" si="19"/>
        <v>33</v>
      </c>
      <c r="N79" s="13">
        <f t="shared" si="19"/>
        <v>9</v>
      </c>
      <c r="O79" s="13">
        <f t="shared" si="19"/>
        <v>7</v>
      </c>
      <c r="P79" s="13">
        <f t="shared" si="19"/>
        <v>19</v>
      </c>
      <c r="Q79" s="13">
        <f t="shared" si="19"/>
        <v>15</v>
      </c>
      <c r="R79" s="13">
        <f t="shared" si="19"/>
        <v>13</v>
      </c>
      <c r="S79" s="13">
        <f t="shared" si="19"/>
        <v>31</v>
      </c>
      <c r="T79" s="13">
        <f t="shared" si="19"/>
        <v>19</v>
      </c>
      <c r="U79" s="13">
        <f t="shared" si="19"/>
        <v>14</v>
      </c>
      <c r="V79" s="13">
        <f t="shared" si="19"/>
        <v>10</v>
      </c>
      <c r="W79" s="13">
        <f t="shared" si="19"/>
        <v>23</v>
      </c>
      <c r="X79" s="13">
        <f t="shared" si="18"/>
        <v>330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8.0</v>
      </c>
      <c r="F81" s="19">
        <v>8.0</v>
      </c>
      <c r="G81" s="19">
        <v>3.0</v>
      </c>
      <c r="H81" s="19">
        <v>5.0</v>
      </c>
      <c r="I81" s="19">
        <v>3.0</v>
      </c>
      <c r="J81" s="19">
        <v>7.0</v>
      </c>
      <c r="K81" s="19">
        <v>9.0</v>
      </c>
      <c r="L81" s="19">
        <v>8.0</v>
      </c>
      <c r="M81" s="19">
        <v>8.0</v>
      </c>
      <c r="N81" s="19">
        <v>3.0</v>
      </c>
      <c r="O81" s="19">
        <v>3.0</v>
      </c>
      <c r="P81" s="19">
        <v>3.0</v>
      </c>
      <c r="Q81" s="19">
        <v>4.0</v>
      </c>
      <c r="R81" s="19">
        <v>4.0</v>
      </c>
      <c r="S81" s="19">
        <v>4.0</v>
      </c>
      <c r="T81" s="19">
        <v>11.0</v>
      </c>
      <c r="U81" s="19">
        <v>15.0</v>
      </c>
      <c r="V81" s="19">
        <v>2.0</v>
      </c>
      <c r="W81" s="19">
        <v>1.0</v>
      </c>
      <c r="X81" s="13">
        <f t="shared" ref="X81:X91" si="20">SUM(E81:W81)</f>
        <v>109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38.0</v>
      </c>
      <c r="F82" s="19">
        <v>19.0</v>
      </c>
      <c r="G82" s="19">
        <v>45.0</v>
      </c>
      <c r="H82" s="19">
        <v>22.0</v>
      </c>
      <c r="I82" s="19">
        <v>59.0</v>
      </c>
      <c r="J82" s="19">
        <v>76.0</v>
      </c>
      <c r="K82" s="19">
        <v>27.0</v>
      </c>
      <c r="L82" s="19">
        <v>32.0</v>
      </c>
      <c r="M82" s="19">
        <v>43.0</v>
      </c>
      <c r="N82" s="19">
        <v>39.0</v>
      </c>
      <c r="O82" s="19">
        <v>1.0</v>
      </c>
      <c r="P82" s="19">
        <v>10.0</v>
      </c>
      <c r="Q82" s="19">
        <v>24.0</v>
      </c>
      <c r="R82" s="19">
        <v>33.0</v>
      </c>
      <c r="S82" s="19">
        <v>101.0</v>
      </c>
      <c r="T82" s="19">
        <v>56.0</v>
      </c>
      <c r="U82" s="19">
        <v>48.0</v>
      </c>
      <c r="V82" s="19">
        <v>16.0</v>
      </c>
      <c r="W82" s="19">
        <v>3.0</v>
      </c>
      <c r="X82" s="13">
        <f t="shared" si="20"/>
        <v>692</v>
      </c>
    </row>
    <row r="83" ht="12.75" customHeight="1">
      <c r="A83" s="18"/>
      <c r="B83" s="55">
        <v>2.0</v>
      </c>
      <c r="C83" s="50" t="s">
        <v>66</v>
      </c>
      <c r="D83" s="57"/>
      <c r="E83" s="19">
        <v>2.0</v>
      </c>
      <c r="F83" s="19">
        <v>10.0</v>
      </c>
      <c r="G83" s="19">
        <v>2.0</v>
      </c>
      <c r="H83" s="19">
        <v>5.0</v>
      </c>
      <c r="I83" s="19">
        <v>2.0</v>
      </c>
      <c r="J83" s="19">
        <v>11.0</v>
      </c>
      <c r="K83" s="19">
        <v>11.0</v>
      </c>
      <c r="L83" s="19">
        <v>8.0</v>
      </c>
      <c r="M83" s="19">
        <v>4.0</v>
      </c>
      <c r="N83" s="69">
        <v>1.0</v>
      </c>
      <c r="O83" s="19">
        <v>1.0</v>
      </c>
      <c r="P83" s="19">
        <v>3.0</v>
      </c>
      <c r="Q83" s="19">
        <v>6.0</v>
      </c>
      <c r="R83" s="19">
        <v>2.0</v>
      </c>
      <c r="S83" s="19">
        <v>0.0</v>
      </c>
      <c r="T83" s="19">
        <v>13.0</v>
      </c>
      <c r="U83" s="19">
        <v>20.0</v>
      </c>
      <c r="V83" s="19">
        <v>4.0</v>
      </c>
      <c r="W83" s="19">
        <v>86.0</v>
      </c>
      <c r="X83" s="13">
        <f t="shared" si="20"/>
        <v>191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1.0</v>
      </c>
      <c r="G84" s="19">
        <v>0.0</v>
      </c>
      <c r="H84" s="19">
        <v>1.0</v>
      </c>
      <c r="I84" s="19">
        <v>0.0</v>
      </c>
      <c r="J84" s="19">
        <v>1.0</v>
      </c>
      <c r="K84" s="19">
        <v>0.0</v>
      </c>
      <c r="L84" s="19">
        <v>2.0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0.0</v>
      </c>
      <c r="S84" s="19">
        <v>0.0</v>
      </c>
      <c r="T84" s="19">
        <v>0.0</v>
      </c>
      <c r="U84" s="19">
        <v>1.0</v>
      </c>
      <c r="V84" s="19">
        <v>0.0</v>
      </c>
      <c r="W84" s="19">
        <v>1.0</v>
      </c>
      <c r="X84" s="13">
        <f t="shared" si="20"/>
        <v>7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1.0</v>
      </c>
      <c r="H85" s="19">
        <v>1.0</v>
      </c>
      <c r="I85" s="19">
        <v>1.0</v>
      </c>
      <c r="J85" s="19">
        <v>1.0</v>
      </c>
      <c r="K85" s="19">
        <v>2.0</v>
      </c>
      <c r="L85" s="19">
        <v>4.0</v>
      </c>
      <c r="M85" s="19">
        <v>0.0</v>
      </c>
      <c r="N85" s="19">
        <v>1.0</v>
      </c>
      <c r="O85" s="19">
        <v>0.0</v>
      </c>
      <c r="P85" s="19">
        <v>1.0</v>
      </c>
      <c r="Q85" s="19">
        <v>0.0</v>
      </c>
      <c r="R85" s="19">
        <v>0.0</v>
      </c>
      <c r="S85" s="19">
        <v>0.0</v>
      </c>
      <c r="T85" s="19">
        <v>0.0</v>
      </c>
      <c r="U85" s="19">
        <v>1.0</v>
      </c>
      <c r="V85" s="19">
        <v>6.0</v>
      </c>
      <c r="W85" s="19">
        <v>1.0</v>
      </c>
      <c r="X85" s="13">
        <f t="shared" si="20"/>
        <v>20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2.0</v>
      </c>
      <c r="H86" s="19">
        <v>0.0</v>
      </c>
      <c r="I86" s="19">
        <v>8.0</v>
      </c>
      <c r="J86" s="19">
        <v>1.0</v>
      </c>
      <c r="K86" s="19">
        <v>1.0</v>
      </c>
      <c r="L86" s="19">
        <v>0.0</v>
      </c>
      <c r="M86" s="19">
        <v>1.0</v>
      </c>
      <c r="N86" s="19">
        <v>1.0</v>
      </c>
      <c r="O86" s="19">
        <v>0.0</v>
      </c>
      <c r="P86" s="19">
        <v>1.0</v>
      </c>
      <c r="Q86" s="19">
        <v>3.0</v>
      </c>
      <c r="R86" s="19">
        <v>0.0</v>
      </c>
      <c r="S86" s="19">
        <v>0.0</v>
      </c>
      <c r="T86" s="19">
        <v>5.0</v>
      </c>
      <c r="U86" s="19">
        <v>0.0</v>
      </c>
      <c r="V86" s="19">
        <v>0.0</v>
      </c>
      <c r="W86" s="19">
        <v>0.0</v>
      </c>
      <c r="X86" s="13">
        <f t="shared" si="20"/>
        <v>23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1.0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3">
        <f t="shared" si="20"/>
        <v>1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1.0</v>
      </c>
      <c r="G88" s="19">
        <v>1.0</v>
      </c>
      <c r="H88" s="19">
        <v>0.0</v>
      </c>
      <c r="I88" s="19">
        <v>1.0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1.0</v>
      </c>
      <c r="U88" s="19">
        <v>0.0</v>
      </c>
      <c r="V88" s="19">
        <v>0.0</v>
      </c>
      <c r="W88" s="19">
        <v>0.0</v>
      </c>
      <c r="X88" s="13">
        <f t="shared" si="20"/>
        <v>4</v>
      </c>
    </row>
    <row r="89" ht="12.75" customHeight="1">
      <c r="A89" s="18"/>
      <c r="B89" s="71"/>
      <c r="C89" s="72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3">
        <f t="shared" si="20"/>
        <v>0</v>
      </c>
    </row>
    <row r="90" ht="12.75" customHeight="1">
      <c r="A90" s="18"/>
      <c r="B90" s="71"/>
      <c r="C90" s="72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W91" si="21">SUM(E81:E88)</f>
        <v>48</v>
      </c>
      <c r="F91" s="13">
        <f t="shared" si="21"/>
        <v>39</v>
      </c>
      <c r="G91" s="13">
        <f t="shared" si="21"/>
        <v>54</v>
      </c>
      <c r="H91" s="13">
        <f t="shared" si="21"/>
        <v>35</v>
      </c>
      <c r="I91" s="13">
        <f t="shared" si="21"/>
        <v>74</v>
      </c>
      <c r="J91" s="13">
        <f t="shared" si="21"/>
        <v>97</v>
      </c>
      <c r="K91" s="13">
        <f t="shared" si="21"/>
        <v>50</v>
      </c>
      <c r="L91" s="13">
        <f t="shared" si="21"/>
        <v>54</v>
      </c>
      <c r="M91" s="13">
        <f t="shared" si="21"/>
        <v>56</v>
      </c>
      <c r="N91" s="13">
        <f t="shared" si="21"/>
        <v>45</v>
      </c>
      <c r="O91" s="13">
        <f t="shared" si="21"/>
        <v>5</v>
      </c>
      <c r="P91" s="13">
        <f t="shared" si="21"/>
        <v>18</v>
      </c>
      <c r="Q91" s="13">
        <f t="shared" si="21"/>
        <v>37</v>
      </c>
      <c r="R91" s="13">
        <f t="shared" si="21"/>
        <v>39</v>
      </c>
      <c r="S91" s="13">
        <f t="shared" si="21"/>
        <v>105</v>
      </c>
      <c r="T91" s="13">
        <f t="shared" si="21"/>
        <v>86</v>
      </c>
      <c r="U91" s="13">
        <f t="shared" si="21"/>
        <v>85</v>
      </c>
      <c r="V91" s="13">
        <f t="shared" si="21"/>
        <v>28</v>
      </c>
      <c r="W91" s="13">
        <f t="shared" si="21"/>
        <v>92</v>
      </c>
      <c r="X91" s="13">
        <f t="shared" si="20"/>
        <v>1047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8.0</v>
      </c>
      <c r="F93" s="19">
        <v>0.0</v>
      </c>
      <c r="G93" s="19">
        <v>2.0</v>
      </c>
      <c r="H93" s="19">
        <v>5.0</v>
      </c>
      <c r="I93" s="19">
        <v>0.0</v>
      </c>
      <c r="J93" s="19">
        <v>2.0</v>
      </c>
      <c r="K93" s="19">
        <v>0.0</v>
      </c>
      <c r="L93" s="19">
        <v>1.0</v>
      </c>
      <c r="M93" s="19">
        <v>5.0</v>
      </c>
      <c r="N93" s="19">
        <v>0.0</v>
      </c>
      <c r="O93" s="19">
        <v>10.0</v>
      </c>
      <c r="P93" s="19">
        <v>3.0</v>
      </c>
      <c r="Q93" s="19">
        <v>1.0</v>
      </c>
      <c r="R93" s="19">
        <v>1.0</v>
      </c>
      <c r="S93" s="19">
        <v>2.0</v>
      </c>
      <c r="T93" s="19">
        <v>2.0</v>
      </c>
      <c r="U93" s="19">
        <v>1.0</v>
      </c>
      <c r="V93" s="19">
        <v>0.0</v>
      </c>
      <c r="W93" s="19">
        <v>0.0</v>
      </c>
      <c r="X93" s="13">
        <f t="shared" ref="X93:X103" si="22">SUM(E93:W93)</f>
        <v>43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3.0</v>
      </c>
      <c r="F94" s="19">
        <v>1.0</v>
      </c>
      <c r="G94" s="19">
        <v>1.0</v>
      </c>
      <c r="H94" s="19">
        <v>2.0</v>
      </c>
      <c r="I94" s="19">
        <v>2.0</v>
      </c>
      <c r="J94" s="19">
        <v>0.0</v>
      </c>
      <c r="K94" s="19">
        <v>1.0</v>
      </c>
      <c r="L94" s="19">
        <v>4.0</v>
      </c>
      <c r="M94" s="19">
        <v>0.0</v>
      </c>
      <c r="N94" s="19">
        <v>1.0</v>
      </c>
      <c r="O94" s="19">
        <v>5.0</v>
      </c>
      <c r="P94" s="19">
        <v>2.0</v>
      </c>
      <c r="Q94" s="19">
        <v>2.0</v>
      </c>
      <c r="R94" s="19">
        <v>2.0</v>
      </c>
      <c r="S94" s="19">
        <v>0.0</v>
      </c>
      <c r="T94" s="19">
        <v>2.0</v>
      </c>
      <c r="U94" s="19">
        <v>1.0</v>
      </c>
      <c r="V94" s="19">
        <v>0.0</v>
      </c>
      <c r="W94" s="19">
        <v>1.0</v>
      </c>
      <c r="X94" s="13">
        <f t="shared" si="22"/>
        <v>30</v>
      </c>
    </row>
    <row r="95" ht="12.75" customHeight="1">
      <c r="A95" s="18"/>
      <c r="B95" s="55">
        <v>2.0</v>
      </c>
      <c r="C95" s="50" t="s">
        <v>75</v>
      </c>
      <c r="D95" s="57"/>
      <c r="E95" s="19">
        <v>1.0</v>
      </c>
      <c r="F95" s="19">
        <v>0.0</v>
      </c>
      <c r="G95" s="19">
        <v>0.0</v>
      </c>
      <c r="H95" s="19">
        <v>2.0</v>
      </c>
      <c r="I95" s="19">
        <v>1.0</v>
      </c>
      <c r="J95" s="19">
        <v>1.0</v>
      </c>
      <c r="K95" s="19">
        <v>0.0</v>
      </c>
      <c r="L95" s="19">
        <v>0.0</v>
      </c>
      <c r="M95" s="19">
        <v>1.0</v>
      </c>
      <c r="N95" s="19">
        <v>0.0</v>
      </c>
      <c r="O95" s="19">
        <v>3.0</v>
      </c>
      <c r="P95" s="19">
        <v>2.0</v>
      </c>
      <c r="Q95" s="19">
        <v>3.0</v>
      </c>
      <c r="R95" s="19">
        <v>3.0</v>
      </c>
      <c r="S95" s="19">
        <v>1.0</v>
      </c>
      <c r="T95" s="19">
        <v>3.0</v>
      </c>
      <c r="U95" s="19">
        <v>0.0</v>
      </c>
      <c r="V95" s="19">
        <v>0.0</v>
      </c>
      <c r="W95" s="19">
        <v>0.0</v>
      </c>
      <c r="X95" s="13">
        <f t="shared" si="22"/>
        <v>21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1.0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1.0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3">
        <f t="shared" si="22"/>
        <v>2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1.0</v>
      </c>
      <c r="G97" s="19">
        <v>4.0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1.0</v>
      </c>
      <c r="P97" s="19">
        <v>1.0</v>
      </c>
      <c r="Q97" s="19">
        <v>0.0</v>
      </c>
      <c r="R97" s="19">
        <v>2.0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3">
        <f t="shared" si="22"/>
        <v>9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3">
        <f t="shared" si="22"/>
        <v>0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3">
        <f t="shared" si="22"/>
        <v>0</v>
      </c>
    </row>
    <row r="101" ht="12.75" customHeight="1">
      <c r="A101" s="18"/>
      <c r="B101" s="71"/>
      <c r="C101" s="72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3">
        <f t="shared" si="22"/>
        <v>0</v>
      </c>
    </row>
    <row r="102" ht="12.75" customHeight="1">
      <c r="A102" s="18"/>
      <c r="B102" s="71"/>
      <c r="C102" s="72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W103" si="23">SUM(E93:E100)</f>
        <v>12</v>
      </c>
      <c r="F103" s="13">
        <f t="shared" si="23"/>
        <v>2</v>
      </c>
      <c r="G103" s="13">
        <f t="shared" si="23"/>
        <v>8</v>
      </c>
      <c r="H103" s="13">
        <f t="shared" si="23"/>
        <v>9</v>
      </c>
      <c r="I103" s="13">
        <f t="shared" si="23"/>
        <v>3</v>
      </c>
      <c r="J103" s="13">
        <f t="shared" si="23"/>
        <v>3</v>
      </c>
      <c r="K103" s="13">
        <f t="shared" si="23"/>
        <v>1</v>
      </c>
      <c r="L103" s="13">
        <f t="shared" si="23"/>
        <v>5</v>
      </c>
      <c r="M103" s="13">
        <f t="shared" si="23"/>
        <v>7</v>
      </c>
      <c r="N103" s="13">
        <f t="shared" si="23"/>
        <v>1</v>
      </c>
      <c r="O103" s="13">
        <f t="shared" si="23"/>
        <v>19</v>
      </c>
      <c r="P103" s="13">
        <f t="shared" si="23"/>
        <v>8</v>
      </c>
      <c r="Q103" s="13">
        <f t="shared" si="23"/>
        <v>6</v>
      </c>
      <c r="R103" s="13">
        <f t="shared" si="23"/>
        <v>8</v>
      </c>
      <c r="S103" s="13">
        <f t="shared" si="23"/>
        <v>3</v>
      </c>
      <c r="T103" s="13">
        <f t="shared" si="23"/>
        <v>7</v>
      </c>
      <c r="U103" s="13">
        <f t="shared" si="23"/>
        <v>2</v>
      </c>
      <c r="V103" s="13">
        <f t="shared" si="23"/>
        <v>0</v>
      </c>
      <c r="W103" s="13">
        <f t="shared" si="23"/>
        <v>1</v>
      </c>
      <c r="X103" s="13">
        <f t="shared" si="22"/>
        <v>105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1.0</v>
      </c>
      <c r="N105" s="19">
        <v>0.0</v>
      </c>
      <c r="O105" s="19">
        <v>0.0</v>
      </c>
      <c r="P105" s="19">
        <v>1.0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1.0</v>
      </c>
      <c r="X105" s="13">
        <f t="shared" ref="X105:X115" si="24">SUM(E105:W105)</f>
        <v>3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1.0</v>
      </c>
      <c r="F106" s="19">
        <v>0.0</v>
      </c>
      <c r="G106" s="19">
        <v>0.0</v>
      </c>
      <c r="H106" s="19">
        <v>0.0</v>
      </c>
      <c r="I106" s="19">
        <v>0.0</v>
      </c>
      <c r="J106" s="19">
        <v>1.0</v>
      </c>
      <c r="K106" s="19">
        <v>0.0</v>
      </c>
      <c r="L106" s="19">
        <v>0.0</v>
      </c>
      <c r="M106" s="19">
        <v>0.0</v>
      </c>
      <c r="N106" s="19">
        <v>0.0</v>
      </c>
      <c r="O106" s="19">
        <v>1.0</v>
      </c>
      <c r="P106" s="19">
        <v>0.0</v>
      </c>
      <c r="Q106" s="19">
        <v>0.0</v>
      </c>
      <c r="R106" s="19">
        <v>0.0</v>
      </c>
      <c r="S106" s="19">
        <v>1.0</v>
      </c>
      <c r="T106" s="19">
        <v>1.0</v>
      </c>
      <c r="U106" s="19">
        <v>0.0</v>
      </c>
      <c r="V106" s="19">
        <v>0.0</v>
      </c>
      <c r="W106" s="19">
        <v>0.0</v>
      </c>
      <c r="X106" s="13">
        <f t="shared" si="24"/>
        <v>5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1.0</v>
      </c>
      <c r="O107" s="19">
        <v>2.0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1.0</v>
      </c>
      <c r="X107" s="13">
        <f t="shared" si="24"/>
        <v>4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1.0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1.0</v>
      </c>
      <c r="T109" s="19">
        <v>0.0</v>
      </c>
      <c r="U109" s="19">
        <v>0.0</v>
      </c>
      <c r="V109" s="19">
        <v>0.0</v>
      </c>
      <c r="W109" s="19">
        <v>0.0</v>
      </c>
      <c r="X109" s="13">
        <f t="shared" si="24"/>
        <v>2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3">
        <f t="shared" si="24"/>
        <v>0</v>
      </c>
    </row>
    <row r="113" ht="12.75" customHeight="1">
      <c r="A113" s="18"/>
      <c r="B113" s="71"/>
      <c r="C113" s="72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3">
        <f t="shared" si="24"/>
        <v>0</v>
      </c>
    </row>
    <row r="114" ht="12.75" customHeight="1">
      <c r="A114" s="18"/>
      <c r="B114" s="71"/>
      <c r="C114" s="72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W115" si="25">SUM(E105:E112)</f>
        <v>1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2</v>
      </c>
      <c r="K115" s="13">
        <f t="shared" si="25"/>
        <v>0</v>
      </c>
      <c r="L115" s="13">
        <f t="shared" si="25"/>
        <v>0</v>
      </c>
      <c r="M115" s="13">
        <f t="shared" si="25"/>
        <v>1</v>
      </c>
      <c r="N115" s="13">
        <f t="shared" si="25"/>
        <v>1</v>
      </c>
      <c r="O115" s="13">
        <f t="shared" si="25"/>
        <v>3</v>
      </c>
      <c r="P115" s="13">
        <f t="shared" si="25"/>
        <v>1</v>
      </c>
      <c r="Q115" s="13">
        <f t="shared" si="25"/>
        <v>0</v>
      </c>
      <c r="R115" s="13">
        <f t="shared" si="25"/>
        <v>0</v>
      </c>
      <c r="S115" s="13">
        <f t="shared" si="25"/>
        <v>2</v>
      </c>
      <c r="T115" s="13">
        <f t="shared" si="25"/>
        <v>1</v>
      </c>
      <c r="U115" s="13">
        <f t="shared" si="25"/>
        <v>0</v>
      </c>
      <c r="V115" s="13">
        <f t="shared" si="25"/>
        <v>0</v>
      </c>
      <c r="W115" s="13">
        <f t="shared" si="25"/>
        <v>2</v>
      </c>
      <c r="X115" s="13">
        <f t="shared" si="24"/>
        <v>14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2.0</v>
      </c>
      <c r="F117" s="19">
        <v>2.0</v>
      </c>
      <c r="G117" s="19">
        <v>0.0</v>
      </c>
      <c r="H117" s="19">
        <v>1.0</v>
      </c>
      <c r="I117" s="19">
        <v>0.0</v>
      </c>
      <c r="J117" s="19">
        <v>0.0</v>
      </c>
      <c r="K117" s="19">
        <v>0.0</v>
      </c>
      <c r="L117" s="19">
        <v>1.0</v>
      </c>
      <c r="M117" s="19">
        <v>1.0</v>
      </c>
      <c r="N117" s="19">
        <v>0.0</v>
      </c>
      <c r="O117" s="19">
        <v>0.0</v>
      </c>
      <c r="P117" s="19">
        <v>0.0</v>
      </c>
      <c r="Q117" s="19">
        <v>0.0</v>
      </c>
      <c r="R117" s="19">
        <v>1.0</v>
      </c>
      <c r="S117" s="19">
        <v>0.0</v>
      </c>
      <c r="T117" s="19">
        <v>3.0</v>
      </c>
      <c r="U117" s="19">
        <v>2.0</v>
      </c>
      <c r="V117" s="19">
        <v>1.0</v>
      </c>
      <c r="W117" s="19">
        <v>1.0</v>
      </c>
      <c r="X117" s="13">
        <f t="shared" ref="X117:X127" si="26">SUM(E117:W117)</f>
        <v>15</v>
      </c>
      <c r="Y117" s="5"/>
      <c r="Z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1.0</v>
      </c>
      <c r="G118" s="19">
        <v>2.0</v>
      </c>
      <c r="H118" s="19">
        <v>1.0</v>
      </c>
      <c r="I118" s="19">
        <v>0.0</v>
      </c>
      <c r="J118" s="19">
        <v>0.0</v>
      </c>
      <c r="K118" s="19">
        <v>0.0</v>
      </c>
      <c r="L118" s="19">
        <v>1.0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1.0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3">
        <f t="shared" si="26"/>
        <v>6</v>
      </c>
      <c r="Y118" s="5"/>
      <c r="Z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1.0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3">
        <f t="shared" si="26"/>
        <v>1</v>
      </c>
      <c r="Y119" s="5"/>
      <c r="Z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1.0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3">
        <f t="shared" si="26"/>
        <v>1</v>
      </c>
      <c r="Y120" s="5"/>
      <c r="Z120" s="5"/>
    </row>
    <row r="121" ht="12.75" customHeight="1">
      <c r="A121" s="18"/>
      <c r="B121" s="71"/>
      <c r="C121" s="72"/>
      <c r="D121" s="74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3">
        <f t="shared" si="26"/>
        <v>0</v>
      </c>
      <c r="Y121" s="5"/>
      <c r="Z121" s="5"/>
    </row>
    <row r="122" ht="12.75" customHeight="1">
      <c r="A122" s="18"/>
      <c r="B122" s="71"/>
      <c r="C122" s="72"/>
      <c r="D122" s="74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3">
        <f t="shared" si="26"/>
        <v>0</v>
      </c>
      <c r="Y122" s="5"/>
      <c r="Z122" s="5"/>
    </row>
    <row r="123" ht="12.75" customHeight="1">
      <c r="A123" s="18"/>
      <c r="B123" s="71"/>
      <c r="C123" s="72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13">
        <f t="shared" si="26"/>
        <v>0</v>
      </c>
      <c r="Y123" s="5"/>
      <c r="Z123" s="5"/>
    </row>
    <row r="124" ht="12.75" customHeight="1">
      <c r="A124" s="18"/>
      <c r="B124" s="71"/>
      <c r="C124" s="72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13">
        <f t="shared" si="26"/>
        <v>0</v>
      </c>
      <c r="Y124" s="5"/>
      <c r="Z124" s="5"/>
    </row>
    <row r="125" ht="12.75" customHeight="1">
      <c r="A125" s="18"/>
      <c r="B125" s="71"/>
      <c r="C125" s="72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13">
        <f t="shared" si="26"/>
        <v>0</v>
      </c>
      <c r="Y125" s="5"/>
      <c r="Z125" s="5"/>
    </row>
    <row r="126" ht="12.75" customHeight="1">
      <c r="A126" s="18"/>
      <c r="B126" s="71"/>
      <c r="C126" s="72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13">
        <f t="shared" si="26"/>
        <v>0</v>
      </c>
      <c r="Y126" s="5"/>
      <c r="Z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W127" si="27">SUM(E117:E120)</f>
        <v>2</v>
      </c>
      <c r="F127" s="58">
        <f t="shared" si="27"/>
        <v>3</v>
      </c>
      <c r="G127" s="58">
        <f t="shared" si="27"/>
        <v>2</v>
      </c>
      <c r="H127" s="58">
        <f t="shared" si="27"/>
        <v>3</v>
      </c>
      <c r="I127" s="58">
        <f t="shared" si="27"/>
        <v>0</v>
      </c>
      <c r="J127" s="58">
        <f t="shared" si="27"/>
        <v>0</v>
      </c>
      <c r="K127" s="58">
        <f t="shared" si="27"/>
        <v>0</v>
      </c>
      <c r="L127" s="58">
        <f t="shared" si="27"/>
        <v>3</v>
      </c>
      <c r="M127" s="58">
        <f t="shared" si="27"/>
        <v>1</v>
      </c>
      <c r="N127" s="58">
        <f t="shared" si="27"/>
        <v>0</v>
      </c>
      <c r="O127" s="58">
        <f t="shared" si="27"/>
        <v>0</v>
      </c>
      <c r="P127" s="58">
        <f t="shared" si="27"/>
        <v>0</v>
      </c>
      <c r="Q127" s="58">
        <f t="shared" si="27"/>
        <v>0</v>
      </c>
      <c r="R127" s="58">
        <f t="shared" si="27"/>
        <v>2</v>
      </c>
      <c r="S127" s="58">
        <f t="shared" si="27"/>
        <v>0</v>
      </c>
      <c r="T127" s="58">
        <f t="shared" si="27"/>
        <v>3</v>
      </c>
      <c r="U127" s="58">
        <f t="shared" si="27"/>
        <v>2</v>
      </c>
      <c r="V127" s="58">
        <f t="shared" si="27"/>
        <v>1</v>
      </c>
      <c r="W127" s="58">
        <f t="shared" si="27"/>
        <v>1</v>
      </c>
      <c r="X127" s="13">
        <f t="shared" si="26"/>
        <v>23</v>
      </c>
      <c r="Y127" s="5"/>
      <c r="Z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5"/>
      <c r="Z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8.0</v>
      </c>
      <c r="F129" s="19">
        <v>0.0</v>
      </c>
      <c r="G129" s="19">
        <v>2.0</v>
      </c>
      <c r="H129" s="19">
        <v>4.0</v>
      </c>
      <c r="I129" s="19">
        <v>1.0</v>
      </c>
      <c r="J129" s="19">
        <v>1.0</v>
      </c>
      <c r="K129" s="19">
        <v>0.0</v>
      </c>
      <c r="L129" s="19">
        <v>1.0</v>
      </c>
      <c r="M129" s="19">
        <v>1.0</v>
      </c>
      <c r="N129" s="19">
        <v>0.0</v>
      </c>
      <c r="O129" s="19">
        <v>1.0</v>
      </c>
      <c r="P129" s="19">
        <v>0.0</v>
      </c>
      <c r="Q129" s="19">
        <v>1.0</v>
      </c>
      <c r="R129" s="19">
        <v>2.0</v>
      </c>
      <c r="S129" s="19">
        <v>0.0</v>
      </c>
      <c r="T129" s="19">
        <v>0.0</v>
      </c>
      <c r="U129" s="19">
        <v>0.0</v>
      </c>
      <c r="V129" s="19">
        <v>0.0</v>
      </c>
      <c r="W129" s="19">
        <v>0.0</v>
      </c>
      <c r="X129" s="13">
        <f t="shared" ref="X129:X139" si="28">SUM(E129:W129)</f>
        <v>22</v>
      </c>
      <c r="Y129" s="5"/>
      <c r="Z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6.0</v>
      </c>
      <c r="F130" s="19">
        <v>7.0</v>
      </c>
      <c r="G130" s="19">
        <v>4.0</v>
      </c>
      <c r="H130" s="19">
        <v>3.0</v>
      </c>
      <c r="I130" s="19">
        <v>2.0</v>
      </c>
      <c r="J130" s="19">
        <v>2.0</v>
      </c>
      <c r="K130" s="19">
        <v>3.0</v>
      </c>
      <c r="L130" s="19">
        <v>4.0</v>
      </c>
      <c r="M130" s="19">
        <v>0.0</v>
      </c>
      <c r="N130" s="19">
        <v>0.0</v>
      </c>
      <c r="O130" s="19">
        <v>0.0</v>
      </c>
      <c r="P130" s="19">
        <v>0.0</v>
      </c>
      <c r="Q130" s="19">
        <v>3.0</v>
      </c>
      <c r="R130" s="19">
        <v>0.0</v>
      </c>
      <c r="S130" s="19">
        <v>1.0</v>
      </c>
      <c r="T130" s="19">
        <v>0.0</v>
      </c>
      <c r="U130" s="19">
        <v>2.0</v>
      </c>
      <c r="V130" s="19">
        <v>0.0</v>
      </c>
      <c r="W130" s="19">
        <v>0.0</v>
      </c>
      <c r="X130" s="13">
        <f t="shared" si="28"/>
        <v>37</v>
      </c>
      <c r="Y130" s="1"/>
      <c r="Z130" s="1"/>
    </row>
    <row r="131" ht="12.75" customHeight="1">
      <c r="A131" s="18"/>
      <c r="B131" s="55">
        <v>2.0</v>
      </c>
      <c r="C131" s="50" t="s">
        <v>98</v>
      </c>
      <c r="D131" s="56"/>
      <c r="E131" s="19">
        <v>5.0</v>
      </c>
      <c r="F131" s="19">
        <v>1.0</v>
      </c>
      <c r="G131" s="19">
        <v>2.0</v>
      </c>
      <c r="H131" s="19">
        <v>1.0</v>
      </c>
      <c r="I131" s="19">
        <v>1.0</v>
      </c>
      <c r="J131" s="19">
        <v>0.0</v>
      </c>
      <c r="K131" s="19">
        <v>1.0</v>
      </c>
      <c r="L131" s="19">
        <v>1.0</v>
      </c>
      <c r="M131" s="19">
        <v>2.0</v>
      </c>
      <c r="N131" s="19">
        <v>0.0</v>
      </c>
      <c r="O131" s="19">
        <v>0.0</v>
      </c>
      <c r="P131" s="19">
        <v>0.0</v>
      </c>
      <c r="Q131" s="19">
        <v>1.0</v>
      </c>
      <c r="R131" s="19">
        <v>1.0</v>
      </c>
      <c r="S131" s="19">
        <v>0.0</v>
      </c>
      <c r="T131" s="19">
        <v>0.0</v>
      </c>
      <c r="U131" s="19">
        <v>0.0</v>
      </c>
      <c r="V131" s="19">
        <v>0.0</v>
      </c>
      <c r="W131" s="19">
        <v>1.0</v>
      </c>
      <c r="X131" s="13">
        <f t="shared" si="28"/>
        <v>17</v>
      </c>
      <c r="Y131" s="52"/>
      <c r="Z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1.0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1.0</v>
      </c>
      <c r="X132" s="13">
        <f t="shared" si="28"/>
        <v>2</v>
      </c>
      <c r="Y132" s="5"/>
      <c r="Z132" s="5"/>
    </row>
    <row r="133" ht="12.75" customHeight="1">
      <c r="A133" s="18"/>
      <c r="B133" s="55">
        <v>4.0</v>
      </c>
      <c r="C133" s="50" t="s">
        <v>100</v>
      </c>
      <c r="D133" s="56"/>
      <c r="E133" s="19">
        <v>1.0</v>
      </c>
      <c r="F133" s="19">
        <v>0.0</v>
      </c>
      <c r="G133" s="19">
        <v>1.0</v>
      </c>
      <c r="H133" s="19">
        <v>0.0</v>
      </c>
      <c r="I133" s="19">
        <v>1.0</v>
      </c>
      <c r="J133" s="19">
        <v>1.0</v>
      </c>
      <c r="K133" s="19">
        <v>0.0</v>
      </c>
      <c r="L133" s="19">
        <v>0.0</v>
      </c>
      <c r="M133" s="19">
        <v>0.0</v>
      </c>
      <c r="N133" s="19">
        <v>0.0</v>
      </c>
      <c r="O133" s="19">
        <v>1.0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3">
        <f t="shared" si="28"/>
        <v>5</v>
      </c>
      <c r="Y133" s="5"/>
      <c r="Z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1.0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3">
        <f t="shared" si="28"/>
        <v>1</v>
      </c>
      <c r="Y134" s="5"/>
      <c r="Z134" s="5"/>
    </row>
    <row r="135" ht="12.75" customHeight="1">
      <c r="A135" s="18"/>
      <c r="B135" s="55">
        <v>6.0</v>
      </c>
      <c r="C135" s="50" t="s">
        <v>102</v>
      </c>
      <c r="D135" s="57"/>
      <c r="E135" s="19">
        <v>1.0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3">
        <f t="shared" si="28"/>
        <v>1</v>
      </c>
      <c r="Y135" s="5"/>
      <c r="Z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3">
        <f t="shared" si="28"/>
        <v>0</v>
      </c>
      <c r="Y136" s="5"/>
      <c r="Z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3">
        <f t="shared" si="28"/>
        <v>0</v>
      </c>
      <c r="Y137" s="5"/>
      <c r="Z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3">
        <f t="shared" si="28"/>
        <v>0</v>
      </c>
      <c r="Y138" s="5"/>
      <c r="Z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W139" si="29">SUM(E129:E136)</f>
        <v>21</v>
      </c>
      <c r="F139" s="13">
        <f t="shared" si="29"/>
        <v>8</v>
      </c>
      <c r="G139" s="13">
        <f t="shared" si="29"/>
        <v>9</v>
      </c>
      <c r="H139" s="13">
        <f t="shared" si="29"/>
        <v>8</v>
      </c>
      <c r="I139" s="13">
        <f t="shared" si="29"/>
        <v>5</v>
      </c>
      <c r="J139" s="13">
        <f t="shared" si="29"/>
        <v>4</v>
      </c>
      <c r="K139" s="13">
        <f t="shared" si="29"/>
        <v>4</v>
      </c>
      <c r="L139" s="13">
        <f t="shared" si="29"/>
        <v>6</v>
      </c>
      <c r="M139" s="13">
        <f t="shared" si="29"/>
        <v>3</v>
      </c>
      <c r="N139" s="13">
        <f t="shared" si="29"/>
        <v>0</v>
      </c>
      <c r="O139" s="13">
        <f t="shared" si="29"/>
        <v>2</v>
      </c>
      <c r="P139" s="13">
        <f t="shared" si="29"/>
        <v>0</v>
      </c>
      <c r="Q139" s="13">
        <f t="shared" si="29"/>
        <v>6</v>
      </c>
      <c r="R139" s="13">
        <f t="shared" si="29"/>
        <v>4</v>
      </c>
      <c r="S139" s="13">
        <f t="shared" si="29"/>
        <v>1</v>
      </c>
      <c r="T139" s="13">
        <f t="shared" si="29"/>
        <v>0</v>
      </c>
      <c r="U139" s="13">
        <f t="shared" si="29"/>
        <v>2</v>
      </c>
      <c r="V139" s="13">
        <f t="shared" si="29"/>
        <v>0</v>
      </c>
      <c r="W139" s="13">
        <f t="shared" si="29"/>
        <v>2</v>
      </c>
      <c r="X139" s="13">
        <f t="shared" si="28"/>
        <v>85</v>
      </c>
      <c r="Y139" s="5"/>
      <c r="Z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5"/>
      <c r="Z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3">
        <f t="shared" ref="X141:X151" si="30">SUM(E141:W141)</f>
        <v>0</v>
      </c>
      <c r="Y141" s="1"/>
      <c r="Z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3">
        <f t="shared" si="30"/>
        <v>0</v>
      </c>
      <c r="Y142" s="52"/>
      <c r="Z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3">
        <f t="shared" si="30"/>
        <v>0</v>
      </c>
      <c r="Y143" s="5"/>
      <c r="Z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3">
        <f t="shared" si="30"/>
        <v>0</v>
      </c>
      <c r="Y144" s="5"/>
      <c r="Z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3">
        <f t="shared" si="30"/>
        <v>0</v>
      </c>
      <c r="Y145" s="5"/>
      <c r="Z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3">
        <f t="shared" si="30"/>
        <v>0</v>
      </c>
      <c r="Y146" s="5"/>
      <c r="Z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3">
        <f t="shared" si="30"/>
        <v>0</v>
      </c>
      <c r="Y147" s="5"/>
      <c r="Z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3">
        <f t="shared" si="30"/>
        <v>0</v>
      </c>
      <c r="Y148" s="5"/>
      <c r="Z148" s="5"/>
    </row>
    <row r="149" ht="12.75" customHeight="1">
      <c r="A149" s="18"/>
      <c r="B149" s="71"/>
      <c r="C149" s="72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3">
        <f t="shared" si="30"/>
        <v>0</v>
      </c>
      <c r="Y149" s="5"/>
      <c r="Z149" s="5"/>
    </row>
    <row r="150" ht="12.75" customHeight="1">
      <c r="A150" s="18"/>
      <c r="B150" s="71"/>
      <c r="C150" s="72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3">
        <f t="shared" si="30"/>
        <v>0</v>
      </c>
      <c r="Y150" s="5"/>
      <c r="Z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W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0"/>
        <v>0</v>
      </c>
      <c r="Y151" s="1"/>
      <c r="Z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13"/>
      <c r="Y152" s="52"/>
      <c r="Z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1.0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1.0</v>
      </c>
      <c r="X153" s="13">
        <f t="shared" ref="X153:X163" si="32">SUM(E153:W153)</f>
        <v>2</v>
      </c>
      <c r="Y153" s="5"/>
      <c r="Z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1.0</v>
      </c>
      <c r="V154" s="19">
        <v>0.0</v>
      </c>
      <c r="W154" s="19">
        <v>0.0</v>
      </c>
      <c r="X154" s="13">
        <f t="shared" si="32"/>
        <v>1</v>
      </c>
      <c r="Y154" s="5"/>
      <c r="Z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3">
        <f t="shared" si="32"/>
        <v>0</v>
      </c>
      <c r="Y155" s="5"/>
      <c r="Z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3">
        <f t="shared" si="32"/>
        <v>0</v>
      </c>
      <c r="Y156" s="5"/>
      <c r="Z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3">
        <f t="shared" si="32"/>
        <v>0</v>
      </c>
      <c r="Y157" s="5"/>
      <c r="Z157" s="5"/>
    </row>
    <row r="158" ht="12.75" customHeight="1">
      <c r="A158" s="18"/>
      <c r="B158" s="71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3">
        <f t="shared" si="32"/>
        <v>0</v>
      </c>
      <c r="Y158" s="5"/>
      <c r="Z158" s="5"/>
    </row>
    <row r="159" ht="12.75" customHeight="1">
      <c r="A159" s="18"/>
      <c r="B159" s="71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3">
        <f t="shared" si="32"/>
        <v>0</v>
      </c>
      <c r="Y159" s="5"/>
      <c r="Z159" s="5"/>
    </row>
    <row r="160" ht="12.75" customHeight="1">
      <c r="A160" s="18"/>
      <c r="B160" s="71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3">
        <f t="shared" si="32"/>
        <v>0</v>
      </c>
      <c r="Y160" s="5"/>
      <c r="Z160" s="5"/>
    </row>
    <row r="161" ht="12.75" customHeight="1">
      <c r="A161" s="18"/>
      <c r="B161" s="71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3">
        <f t="shared" si="32"/>
        <v>0</v>
      </c>
      <c r="Y161" s="5"/>
      <c r="Z161" s="5"/>
    </row>
    <row r="162" ht="12.75" customHeight="1">
      <c r="A162" s="18"/>
      <c r="B162" s="71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3">
        <f t="shared" si="32"/>
        <v>0</v>
      </c>
      <c r="Y162" s="5"/>
      <c r="Z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W163" si="33">SUM(E153:E157)</f>
        <v>1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1</v>
      </c>
      <c r="V163" s="13">
        <f t="shared" si="33"/>
        <v>0</v>
      </c>
      <c r="W163" s="13">
        <f t="shared" si="33"/>
        <v>1</v>
      </c>
      <c r="X163" s="13">
        <f t="shared" si="32"/>
        <v>3</v>
      </c>
      <c r="Y163" s="5"/>
      <c r="Z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5"/>
      <c r="Z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1.0</v>
      </c>
      <c r="L165" s="19">
        <v>0.0</v>
      </c>
      <c r="M165" s="19">
        <v>0.0</v>
      </c>
      <c r="N165" s="19">
        <v>0.0</v>
      </c>
      <c r="O165" s="19">
        <v>1.0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3">
        <f t="shared" ref="X165:X175" si="34">SUM(E165:W165)</f>
        <v>2</v>
      </c>
      <c r="Y165" s="1"/>
      <c r="Z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1.0</v>
      </c>
      <c r="S166" s="19">
        <v>1.0</v>
      </c>
      <c r="T166" s="19">
        <v>0.0</v>
      </c>
      <c r="U166" s="19">
        <v>0.0</v>
      </c>
      <c r="V166" s="19">
        <v>0.0</v>
      </c>
      <c r="W166" s="19">
        <v>0.0</v>
      </c>
      <c r="X166" s="13">
        <f t="shared" si="34"/>
        <v>2</v>
      </c>
      <c r="Y166" s="52"/>
      <c r="Z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1.0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1.0</v>
      </c>
      <c r="N167" s="19">
        <v>0.0</v>
      </c>
      <c r="O167" s="69">
        <v>0.0</v>
      </c>
      <c r="P167" s="69">
        <v>1.0</v>
      </c>
      <c r="Q167" s="19">
        <v>0.0</v>
      </c>
      <c r="R167" s="19">
        <v>0.0</v>
      </c>
      <c r="S167" s="69">
        <v>1.0</v>
      </c>
      <c r="T167" s="19">
        <v>0.0</v>
      </c>
      <c r="U167" s="19">
        <v>0.0</v>
      </c>
      <c r="V167" s="19">
        <v>0.0</v>
      </c>
      <c r="W167" s="19">
        <v>0.0</v>
      </c>
      <c r="X167" s="13">
        <f t="shared" si="34"/>
        <v>4</v>
      </c>
      <c r="Y167" s="5"/>
      <c r="Z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3">
        <f t="shared" si="34"/>
        <v>0</v>
      </c>
      <c r="Y168" s="5"/>
      <c r="Z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3">
        <f t="shared" si="34"/>
        <v>0</v>
      </c>
      <c r="Y169" s="5"/>
      <c r="Z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1.0</v>
      </c>
      <c r="T170" s="19">
        <v>0.0</v>
      </c>
      <c r="U170" s="19">
        <v>1.0</v>
      </c>
      <c r="V170" s="19">
        <v>0.0</v>
      </c>
      <c r="W170" s="19">
        <v>0.0</v>
      </c>
      <c r="X170" s="13">
        <f t="shared" si="34"/>
        <v>2</v>
      </c>
      <c r="Y170" s="5"/>
      <c r="Z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3">
        <f t="shared" si="34"/>
        <v>0</v>
      </c>
      <c r="Y171" s="5"/>
      <c r="Z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1.0</v>
      </c>
      <c r="T172" s="19">
        <v>0.0</v>
      </c>
      <c r="U172" s="19">
        <v>0.0</v>
      </c>
      <c r="V172" s="19">
        <v>0.0</v>
      </c>
      <c r="W172" s="19">
        <v>0.0</v>
      </c>
      <c r="X172" s="13">
        <f t="shared" si="34"/>
        <v>1</v>
      </c>
      <c r="Y172" s="5"/>
      <c r="Z172" s="5"/>
    </row>
    <row r="173" ht="12.75" customHeight="1">
      <c r="A173" s="18"/>
      <c r="B173" s="71"/>
      <c r="C173" s="72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3">
        <f t="shared" si="34"/>
        <v>0</v>
      </c>
      <c r="Y173" s="5"/>
      <c r="Z173" s="5"/>
    </row>
    <row r="174" ht="12.75" customHeight="1">
      <c r="A174" s="18"/>
      <c r="B174" s="71"/>
      <c r="C174" s="72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3">
        <f t="shared" si="34"/>
        <v>0</v>
      </c>
      <c r="Y174" s="5"/>
      <c r="Z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W175" si="35">SUM(E165:E172)</f>
        <v>1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1</v>
      </c>
      <c r="N175" s="13">
        <f t="shared" si="35"/>
        <v>0</v>
      </c>
      <c r="O175" s="13">
        <f t="shared" si="35"/>
        <v>1</v>
      </c>
      <c r="P175" s="13">
        <f t="shared" si="35"/>
        <v>1</v>
      </c>
      <c r="Q175" s="13">
        <f t="shared" si="35"/>
        <v>0</v>
      </c>
      <c r="R175" s="13">
        <f t="shared" si="35"/>
        <v>1</v>
      </c>
      <c r="S175" s="13">
        <f t="shared" si="35"/>
        <v>4</v>
      </c>
      <c r="T175" s="13">
        <f t="shared" si="35"/>
        <v>0</v>
      </c>
      <c r="U175" s="13">
        <f t="shared" si="35"/>
        <v>1</v>
      </c>
      <c r="V175" s="13">
        <f t="shared" si="35"/>
        <v>0</v>
      </c>
      <c r="W175" s="13">
        <f t="shared" si="35"/>
        <v>0</v>
      </c>
      <c r="X175" s="13">
        <f t="shared" si="34"/>
        <v>11</v>
      </c>
      <c r="Y175" s="5"/>
      <c r="Z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1"/>
      <c r="Z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3.0</v>
      </c>
      <c r="F177" s="19">
        <v>6.0</v>
      </c>
      <c r="G177" s="19">
        <v>1.0</v>
      </c>
      <c r="H177" s="19">
        <v>2.0</v>
      </c>
      <c r="I177" s="19">
        <v>0.0</v>
      </c>
      <c r="J177" s="19">
        <v>0.0</v>
      </c>
      <c r="K177" s="19">
        <v>0.0</v>
      </c>
      <c r="L177" s="19">
        <v>3.0</v>
      </c>
      <c r="M177" s="19">
        <v>3.0</v>
      </c>
      <c r="N177" s="19">
        <v>0.0</v>
      </c>
      <c r="O177" s="19">
        <v>1.0</v>
      </c>
      <c r="P177" s="19">
        <v>0.0</v>
      </c>
      <c r="Q177" s="19">
        <v>2.0</v>
      </c>
      <c r="R177" s="19">
        <v>0.0</v>
      </c>
      <c r="S177" s="19">
        <v>0.0</v>
      </c>
      <c r="T177" s="19">
        <v>0.0</v>
      </c>
      <c r="U177" s="19">
        <v>1.0</v>
      </c>
      <c r="V177" s="19">
        <v>1.0</v>
      </c>
      <c r="W177" s="19">
        <v>0.0</v>
      </c>
      <c r="X177" s="13">
        <f t="shared" ref="X177:X187" si="36">SUM(E177:W177)</f>
        <v>23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2.0</v>
      </c>
      <c r="F178" s="19">
        <v>4.0</v>
      </c>
      <c r="G178" s="19">
        <v>0.0</v>
      </c>
      <c r="H178" s="19">
        <v>0.0</v>
      </c>
      <c r="I178" s="19">
        <v>0.0</v>
      </c>
      <c r="J178" s="19">
        <v>0.0</v>
      </c>
      <c r="K178" s="19">
        <v>2.0</v>
      </c>
      <c r="L178" s="19">
        <v>1.0</v>
      </c>
      <c r="M178" s="19">
        <v>2.0</v>
      </c>
      <c r="N178" s="19">
        <v>1.0</v>
      </c>
      <c r="O178" s="19">
        <v>0.0</v>
      </c>
      <c r="P178" s="19">
        <v>0.0</v>
      </c>
      <c r="Q178" s="19">
        <v>2.0</v>
      </c>
      <c r="R178" s="19">
        <v>0.0</v>
      </c>
      <c r="S178" s="19">
        <v>0.0</v>
      </c>
      <c r="T178" s="19">
        <v>0.0</v>
      </c>
      <c r="U178" s="19">
        <v>1.0</v>
      </c>
      <c r="V178" s="19">
        <v>0.0</v>
      </c>
      <c r="W178" s="19">
        <v>0.0</v>
      </c>
      <c r="X178" s="13">
        <f t="shared" si="36"/>
        <v>15</v>
      </c>
      <c r="Y178" s="5"/>
      <c r="Z178" s="5"/>
    </row>
    <row r="179" ht="12.75" customHeight="1">
      <c r="A179" s="18"/>
      <c r="B179" s="55">
        <v>2.0</v>
      </c>
      <c r="C179" s="50" t="s">
        <v>131</v>
      </c>
      <c r="D179" s="57"/>
      <c r="E179" s="19">
        <v>3.0</v>
      </c>
      <c r="F179" s="19">
        <v>1.0</v>
      </c>
      <c r="G179" s="19">
        <v>2.0</v>
      </c>
      <c r="H179" s="19">
        <v>0.0</v>
      </c>
      <c r="I179" s="19">
        <v>0.0</v>
      </c>
      <c r="J179" s="19">
        <v>0.0</v>
      </c>
      <c r="K179" s="19">
        <v>1.0</v>
      </c>
      <c r="L179" s="19">
        <v>0.0</v>
      </c>
      <c r="M179" s="19">
        <v>5.0</v>
      </c>
      <c r="N179" s="19">
        <v>0.0</v>
      </c>
      <c r="O179" s="19">
        <v>0.0</v>
      </c>
      <c r="P179" s="19">
        <v>0.0</v>
      </c>
      <c r="Q179" s="19">
        <v>1.0</v>
      </c>
      <c r="R179" s="19">
        <v>4.0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3">
        <f t="shared" si="36"/>
        <v>17</v>
      </c>
      <c r="Y179" s="5"/>
      <c r="Z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1.0</v>
      </c>
      <c r="I180" s="19">
        <v>0.0</v>
      </c>
      <c r="J180" s="19">
        <v>0.0</v>
      </c>
      <c r="K180" s="19">
        <v>0.0</v>
      </c>
      <c r="L180" s="19">
        <v>1.0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1.0</v>
      </c>
      <c r="V180" s="19">
        <v>0.0</v>
      </c>
      <c r="W180" s="19">
        <v>0.0</v>
      </c>
      <c r="X180" s="13">
        <f t="shared" si="36"/>
        <v>3</v>
      </c>
      <c r="Y180" s="5"/>
      <c r="Z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2.0</v>
      </c>
      <c r="M181" s="19">
        <v>0.0</v>
      </c>
      <c r="N181" s="19">
        <v>0.0</v>
      </c>
      <c r="O181" s="19">
        <v>1.0</v>
      </c>
      <c r="P181" s="19">
        <v>0.0</v>
      </c>
      <c r="Q181" s="19">
        <v>0.0</v>
      </c>
      <c r="R181" s="19">
        <v>1.0</v>
      </c>
      <c r="S181" s="19">
        <v>0.0</v>
      </c>
      <c r="T181" s="19">
        <v>0.0</v>
      </c>
      <c r="U181" s="19">
        <v>0.0</v>
      </c>
      <c r="V181" s="19">
        <v>1.0</v>
      </c>
      <c r="W181" s="19">
        <v>0.0</v>
      </c>
      <c r="X181" s="13">
        <f t="shared" si="36"/>
        <v>5</v>
      </c>
      <c r="Y181" s="5"/>
      <c r="Z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1.0</v>
      </c>
      <c r="N182" s="19">
        <v>0.0</v>
      </c>
      <c r="O182" s="19">
        <v>0.0</v>
      </c>
      <c r="P182" s="19">
        <v>0.0</v>
      </c>
      <c r="Q182" s="19">
        <v>0.0</v>
      </c>
      <c r="R182" s="19">
        <v>1.0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3">
        <f t="shared" si="36"/>
        <v>2</v>
      </c>
      <c r="Y182" s="5"/>
      <c r="Z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1.0</v>
      </c>
      <c r="G183" s="19">
        <v>0.0</v>
      </c>
      <c r="H183" s="19">
        <v>0.0</v>
      </c>
      <c r="I183" s="19">
        <v>0.0</v>
      </c>
      <c r="J183" s="19">
        <v>0.0</v>
      </c>
      <c r="K183" s="19">
        <v>1.0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1.0</v>
      </c>
      <c r="W183" s="19">
        <v>0.0</v>
      </c>
      <c r="X183" s="13">
        <f t="shared" si="36"/>
        <v>3</v>
      </c>
      <c r="Y183" s="5"/>
      <c r="Z183" s="5"/>
    </row>
    <row r="184" ht="12.75" customHeight="1">
      <c r="A184" s="18"/>
      <c r="B184" s="55">
        <v>7.0</v>
      </c>
      <c r="C184" s="50" t="s">
        <v>136</v>
      </c>
      <c r="D184" s="57"/>
      <c r="E184" s="19">
        <v>1.0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2.0</v>
      </c>
      <c r="M184" s="19">
        <v>0.0</v>
      </c>
      <c r="N184" s="19">
        <v>0.0</v>
      </c>
      <c r="O184" s="19">
        <v>0.0</v>
      </c>
      <c r="P184" s="19">
        <v>0.0</v>
      </c>
      <c r="Q184" s="19">
        <v>2.0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3">
        <f t="shared" si="36"/>
        <v>5</v>
      </c>
      <c r="Y184" s="5"/>
      <c r="Z184" s="5"/>
    </row>
    <row r="185" ht="12.75" customHeight="1">
      <c r="A185" s="18"/>
      <c r="B185" s="71"/>
      <c r="C185" s="72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3">
        <f t="shared" si="36"/>
        <v>0</v>
      </c>
      <c r="Y185" s="5"/>
      <c r="Z185" s="5"/>
    </row>
    <row r="186" ht="12.75" customHeight="1">
      <c r="A186" s="18"/>
      <c r="B186" s="71"/>
      <c r="C186" s="72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3">
        <f t="shared" si="36"/>
        <v>0</v>
      </c>
      <c r="Y186" s="5"/>
      <c r="Z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W187" si="37">SUM(E177:E184)</f>
        <v>9</v>
      </c>
      <c r="F187" s="13">
        <f t="shared" si="37"/>
        <v>12</v>
      </c>
      <c r="G187" s="13">
        <f t="shared" si="37"/>
        <v>3</v>
      </c>
      <c r="H187" s="13">
        <f t="shared" si="37"/>
        <v>3</v>
      </c>
      <c r="I187" s="13">
        <f t="shared" si="37"/>
        <v>0</v>
      </c>
      <c r="J187" s="13">
        <f t="shared" si="37"/>
        <v>0</v>
      </c>
      <c r="K187" s="13">
        <f t="shared" si="37"/>
        <v>4</v>
      </c>
      <c r="L187" s="13">
        <f t="shared" si="37"/>
        <v>9</v>
      </c>
      <c r="M187" s="13">
        <f t="shared" si="37"/>
        <v>11</v>
      </c>
      <c r="N187" s="13">
        <f t="shared" si="37"/>
        <v>1</v>
      </c>
      <c r="O187" s="13">
        <f t="shared" si="37"/>
        <v>2</v>
      </c>
      <c r="P187" s="13">
        <f t="shared" si="37"/>
        <v>0</v>
      </c>
      <c r="Q187" s="13">
        <f t="shared" si="37"/>
        <v>7</v>
      </c>
      <c r="R187" s="13">
        <f t="shared" si="37"/>
        <v>6</v>
      </c>
      <c r="S187" s="13">
        <f t="shared" si="37"/>
        <v>0</v>
      </c>
      <c r="T187" s="13">
        <f t="shared" si="37"/>
        <v>0</v>
      </c>
      <c r="U187" s="13">
        <f t="shared" si="37"/>
        <v>3</v>
      </c>
      <c r="V187" s="13">
        <f t="shared" si="37"/>
        <v>3</v>
      </c>
      <c r="W187" s="13">
        <f t="shared" si="37"/>
        <v>0</v>
      </c>
      <c r="X187" s="13">
        <f t="shared" si="36"/>
        <v>73</v>
      </c>
      <c r="Y187" s="1"/>
      <c r="Z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3">
        <f t="shared" ref="X189:X199" si="38">SUM(E189:W189)</f>
        <v>0</v>
      </c>
      <c r="Y189" s="5"/>
      <c r="Z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1.0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3">
        <f t="shared" si="38"/>
        <v>1</v>
      </c>
      <c r="Y190" s="5"/>
      <c r="Z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3">
        <f t="shared" si="38"/>
        <v>0</v>
      </c>
      <c r="Y191" s="5"/>
      <c r="Z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3">
        <f t="shared" si="38"/>
        <v>0</v>
      </c>
      <c r="Y192" s="5"/>
      <c r="Z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3">
        <f t="shared" si="38"/>
        <v>0</v>
      </c>
      <c r="Y193" s="5"/>
      <c r="Z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3">
        <f t="shared" si="38"/>
        <v>0</v>
      </c>
      <c r="Y194" s="5"/>
      <c r="Z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3">
        <f t="shared" si="38"/>
        <v>0</v>
      </c>
      <c r="Y195" s="5"/>
      <c r="Z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69">
        <v>1.0</v>
      </c>
      <c r="W196" s="19">
        <v>0.0</v>
      </c>
      <c r="X196" s="13">
        <f t="shared" si="38"/>
        <v>1</v>
      </c>
      <c r="Y196" s="1"/>
      <c r="Z196" s="1"/>
    </row>
    <row r="197" ht="12.75" customHeight="1">
      <c r="A197" s="18"/>
      <c r="B197" s="71"/>
      <c r="C197" s="72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3">
        <f t="shared" si="38"/>
        <v>0</v>
      </c>
      <c r="Y197" s="1"/>
      <c r="Z197" s="1"/>
    </row>
    <row r="198" ht="12.75" customHeight="1">
      <c r="A198" s="18"/>
      <c r="B198" s="71"/>
      <c r="C198" s="72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3">
        <f t="shared" si="38"/>
        <v>0</v>
      </c>
      <c r="Y198" s="1"/>
      <c r="Z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W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1</v>
      </c>
      <c r="W199" s="13">
        <f t="shared" si="39"/>
        <v>0</v>
      </c>
      <c r="X199" s="13">
        <f t="shared" si="38"/>
        <v>2</v>
      </c>
      <c r="Y199" s="52"/>
      <c r="Z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5"/>
      <c r="Z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4.0</v>
      </c>
      <c r="F201" s="19">
        <v>5.0</v>
      </c>
      <c r="G201" s="19">
        <v>5.0</v>
      </c>
      <c r="H201" s="19">
        <v>1.0</v>
      </c>
      <c r="I201" s="19">
        <v>0.0</v>
      </c>
      <c r="J201" s="19">
        <v>3.0</v>
      </c>
      <c r="K201" s="19">
        <v>3.0</v>
      </c>
      <c r="L201" s="19">
        <v>4.0</v>
      </c>
      <c r="M201" s="19">
        <v>5.0</v>
      </c>
      <c r="N201" s="19">
        <v>7.0</v>
      </c>
      <c r="O201" s="19">
        <v>8.0</v>
      </c>
      <c r="P201" s="19">
        <v>5.0</v>
      </c>
      <c r="Q201" s="19">
        <v>6.0</v>
      </c>
      <c r="R201" s="19">
        <v>1.0</v>
      </c>
      <c r="S201" s="19">
        <v>1.0</v>
      </c>
      <c r="T201" s="19">
        <v>14.0</v>
      </c>
      <c r="U201" s="19">
        <v>4.0</v>
      </c>
      <c r="V201" s="19">
        <v>4.0</v>
      </c>
      <c r="W201" s="19">
        <v>6.0</v>
      </c>
      <c r="X201" s="13">
        <f t="shared" ref="X201:X211" si="40">SUM(E201:W201)</f>
        <v>86</v>
      </c>
      <c r="Y201" s="5"/>
      <c r="Z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5.0</v>
      </c>
      <c r="F202" s="19">
        <v>5.0</v>
      </c>
      <c r="G202" s="19">
        <v>6.0</v>
      </c>
      <c r="H202" s="19">
        <v>7.0</v>
      </c>
      <c r="I202" s="19">
        <v>3.0</v>
      </c>
      <c r="J202" s="19">
        <v>2.0</v>
      </c>
      <c r="K202" s="19">
        <v>3.0</v>
      </c>
      <c r="L202" s="19">
        <v>4.0</v>
      </c>
      <c r="M202" s="19">
        <v>8.0</v>
      </c>
      <c r="N202" s="19">
        <v>4.0</v>
      </c>
      <c r="O202" s="19">
        <v>3.0</v>
      </c>
      <c r="P202" s="19">
        <v>3.0</v>
      </c>
      <c r="Q202" s="19">
        <v>3.0</v>
      </c>
      <c r="R202" s="19">
        <v>6.0</v>
      </c>
      <c r="S202" s="19">
        <v>0.0</v>
      </c>
      <c r="T202" s="19">
        <v>6.0</v>
      </c>
      <c r="U202" s="19">
        <v>2.0</v>
      </c>
      <c r="V202" s="19">
        <v>3.0</v>
      </c>
      <c r="W202" s="19">
        <v>9.0</v>
      </c>
      <c r="X202" s="13">
        <f t="shared" si="40"/>
        <v>82</v>
      </c>
      <c r="Y202" s="5"/>
      <c r="Z202" s="5"/>
    </row>
    <row r="203" ht="12.75" customHeight="1">
      <c r="A203" s="18"/>
      <c r="B203" s="55">
        <v>2.0</v>
      </c>
      <c r="C203" s="50" t="s">
        <v>149</v>
      </c>
      <c r="D203" s="57"/>
      <c r="E203" s="19">
        <v>1.0</v>
      </c>
      <c r="F203" s="19">
        <v>2.0</v>
      </c>
      <c r="G203" s="19">
        <v>1.0</v>
      </c>
      <c r="H203" s="19">
        <v>2.0</v>
      </c>
      <c r="I203" s="19">
        <v>3.0</v>
      </c>
      <c r="J203" s="19">
        <v>1.0</v>
      </c>
      <c r="K203" s="19">
        <v>0.0</v>
      </c>
      <c r="L203" s="19">
        <v>0.0</v>
      </c>
      <c r="M203" s="19">
        <v>1.0</v>
      </c>
      <c r="N203" s="19">
        <v>2.0</v>
      </c>
      <c r="O203" s="19">
        <v>2.0</v>
      </c>
      <c r="P203" s="19">
        <v>1.0</v>
      </c>
      <c r="Q203" s="19">
        <v>2.0</v>
      </c>
      <c r="R203" s="19">
        <v>3.0</v>
      </c>
      <c r="S203" s="19">
        <v>3.0</v>
      </c>
      <c r="T203" s="19">
        <v>2.0</v>
      </c>
      <c r="U203" s="19">
        <v>3.0</v>
      </c>
      <c r="V203" s="19">
        <v>2.0</v>
      </c>
      <c r="W203" s="19">
        <v>8.0</v>
      </c>
      <c r="X203" s="13">
        <f t="shared" si="40"/>
        <v>39</v>
      </c>
      <c r="Y203" s="5"/>
      <c r="Z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2.0</v>
      </c>
      <c r="P204" s="19">
        <v>0.0</v>
      </c>
      <c r="Q204" s="19">
        <v>0.0</v>
      </c>
      <c r="R204" s="19">
        <v>1.0</v>
      </c>
      <c r="S204" s="19">
        <v>0.0</v>
      </c>
      <c r="T204" s="19">
        <v>0.0</v>
      </c>
      <c r="U204" s="19">
        <v>2.0</v>
      </c>
      <c r="V204" s="19">
        <v>3.0</v>
      </c>
      <c r="W204" s="19">
        <v>0.0</v>
      </c>
      <c r="X204" s="13">
        <f t="shared" si="40"/>
        <v>8</v>
      </c>
      <c r="Y204" s="5"/>
      <c r="Z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0.0</v>
      </c>
      <c r="H205" s="19">
        <v>1.0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1.0</v>
      </c>
      <c r="S205" s="19">
        <v>0.0</v>
      </c>
      <c r="T205" s="19">
        <v>2.0</v>
      </c>
      <c r="U205" s="19">
        <v>0.0</v>
      </c>
      <c r="V205" s="19">
        <v>1.0</v>
      </c>
      <c r="W205" s="19">
        <v>0.0</v>
      </c>
      <c r="X205" s="13">
        <f t="shared" si="40"/>
        <v>5</v>
      </c>
      <c r="Y205" s="5"/>
      <c r="Z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1.0</v>
      </c>
      <c r="G206" s="19">
        <v>0.0</v>
      </c>
      <c r="H206" s="19">
        <v>0.0</v>
      </c>
      <c r="I206" s="19">
        <v>0.0</v>
      </c>
      <c r="J206" s="19">
        <v>0.0</v>
      </c>
      <c r="K206" s="19">
        <v>1.0</v>
      </c>
      <c r="L206" s="19">
        <v>0.0</v>
      </c>
      <c r="M206" s="19">
        <v>1.0</v>
      </c>
      <c r="N206" s="19">
        <v>0.0</v>
      </c>
      <c r="O206" s="19">
        <v>0.0</v>
      </c>
      <c r="P206" s="19">
        <v>1.0</v>
      </c>
      <c r="Q206" s="19">
        <v>1.0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1.0</v>
      </c>
      <c r="X206" s="13">
        <f t="shared" si="40"/>
        <v>6</v>
      </c>
      <c r="Y206" s="5"/>
      <c r="Z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1.0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3">
        <f t="shared" si="40"/>
        <v>1</v>
      </c>
      <c r="Y207" s="1"/>
      <c r="Z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1.0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2.0</v>
      </c>
      <c r="O208" s="19">
        <v>3.0</v>
      </c>
      <c r="P208" s="19">
        <v>2.0</v>
      </c>
      <c r="Q208" s="19">
        <v>2.0</v>
      </c>
      <c r="R208" s="19">
        <v>1.0</v>
      </c>
      <c r="S208" s="19">
        <v>0.0</v>
      </c>
      <c r="T208" s="19">
        <v>4.0</v>
      </c>
      <c r="U208" s="19">
        <v>0.0</v>
      </c>
      <c r="V208" s="19">
        <v>1.0</v>
      </c>
      <c r="W208" s="19">
        <v>1.0</v>
      </c>
      <c r="X208" s="13">
        <f t="shared" si="40"/>
        <v>17</v>
      </c>
      <c r="Y208" s="52"/>
      <c r="Z208" s="52"/>
    </row>
    <row r="209" ht="12.75" customHeight="1">
      <c r="A209" s="18"/>
      <c r="B209" s="71"/>
      <c r="C209" s="72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3">
        <f t="shared" si="40"/>
        <v>0</v>
      </c>
      <c r="Y209" s="52"/>
      <c r="Z209" s="52"/>
    </row>
    <row r="210" ht="12.75" customHeight="1">
      <c r="A210" s="18"/>
      <c r="B210" s="71"/>
      <c r="C210" s="72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3">
        <f t="shared" si="40"/>
        <v>0</v>
      </c>
      <c r="Y210" s="52"/>
      <c r="Z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W211" si="41">SUM(E201:E208)</f>
        <v>10</v>
      </c>
      <c r="F211" s="13">
        <f t="shared" si="41"/>
        <v>13</v>
      </c>
      <c r="G211" s="13">
        <f t="shared" si="41"/>
        <v>12</v>
      </c>
      <c r="H211" s="13">
        <f t="shared" si="41"/>
        <v>12</v>
      </c>
      <c r="I211" s="13">
        <f t="shared" si="41"/>
        <v>6</v>
      </c>
      <c r="J211" s="13">
        <f t="shared" si="41"/>
        <v>6</v>
      </c>
      <c r="K211" s="13">
        <f t="shared" si="41"/>
        <v>7</v>
      </c>
      <c r="L211" s="13">
        <f t="shared" si="41"/>
        <v>8</v>
      </c>
      <c r="M211" s="13">
        <f t="shared" si="41"/>
        <v>15</v>
      </c>
      <c r="N211" s="13">
        <f t="shared" si="41"/>
        <v>15</v>
      </c>
      <c r="O211" s="13">
        <f t="shared" si="41"/>
        <v>19</v>
      </c>
      <c r="P211" s="13">
        <f t="shared" si="41"/>
        <v>12</v>
      </c>
      <c r="Q211" s="13">
        <f t="shared" si="41"/>
        <v>14</v>
      </c>
      <c r="R211" s="13">
        <f t="shared" si="41"/>
        <v>13</v>
      </c>
      <c r="S211" s="13">
        <f t="shared" si="41"/>
        <v>4</v>
      </c>
      <c r="T211" s="13">
        <f t="shared" si="41"/>
        <v>28</v>
      </c>
      <c r="U211" s="13">
        <f t="shared" si="41"/>
        <v>11</v>
      </c>
      <c r="V211" s="13">
        <f t="shared" si="41"/>
        <v>14</v>
      </c>
      <c r="W211" s="13">
        <f t="shared" si="41"/>
        <v>25</v>
      </c>
      <c r="X211" s="13">
        <f t="shared" si="40"/>
        <v>244</v>
      </c>
      <c r="Y211" s="5"/>
      <c r="Z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5"/>
      <c r="Z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4.0</v>
      </c>
      <c r="G213" s="19">
        <v>0.0</v>
      </c>
      <c r="H213" s="19">
        <v>0.0</v>
      </c>
      <c r="I213" s="19">
        <v>0.0</v>
      </c>
      <c r="J213" s="19">
        <v>1.0</v>
      </c>
      <c r="K213" s="19">
        <v>0.0</v>
      </c>
      <c r="L213" s="19">
        <v>2.0</v>
      </c>
      <c r="M213" s="19">
        <v>0.0</v>
      </c>
      <c r="N213" s="19">
        <v>2.0</v>
      </c>
      <c r="O213" s="19">
        <v>2.0</v>
      </c>
      <c r="P213" s="19">
        <v>1.0</v>
      </c>
      <c r="Q213" s="19">
        <v>2.0</v>
      </c>
      <c r="R213" s="19">
        <v>1.0</v>
      </c>
      <c r="S213" s="19">
        <v>3.0</v>
      </c>
      <c r="T213" s="19">
        <v>0.0</v>
      </c>
      <c r="U213" s="19">
        <v>0.0</v>
      </c>
      <c r="V213" s="19">
        <v>1.0</v>
      </c>
      <c r="W213" s="19">
        <v>0.0</v>
      </c>
      <c r="X213" s="13">
        <f t="shared" ref="X213:X223" si="42">SUM(E213:W213)</f>
        <v>19</v>
      </c>
      <c r="Y213" s="5"/>
      <c r="Z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0.0</v>
      </c>
      <c r="G214" s="19">
        <v>1.0</v>
      </c>
      <c r="H214" s="19">
        <v>0.0</v>
      </c>
      <c r="I214" s="19">
        <v>2.0</v>
      </c>
      <c r="J214" s="19">
        <v>0.0</v>
      </c>
      <c r="K214" s="19">
        <v>0.0</v>
      </c>
      <c r="L214" s="19">
        <v>1.0</v>
      </c>
      <c r="M214" s="19">
        <v>0.0</v>
      </c>
      <c r="N214" s="19">
        <v>0.0</v>
      </c>
      <c r="O214" s="19">
        <v>0.0</v>
      </c>
      <c r="P214" s="19">
        <v>0.0</v>
      </c>
      <c r="Q214" s="19">
        <v>0.0</v>
      </c>
      <c r="R214" s="19">
        <v>2.0</v>
      </c>
      <c r="S214" s="19">
        <v>0.0</v>
      </c>
      <c r="T214" s="19">
        <v>0.0</v>
      </c>
      <c r="U214" s="19">
        <v>1.0</v>
      </c>
      <c r="V214" s="19">
        <v>0.0</v>
      </c>
      <c r="W214" s="19">
        <v>1.0</v>
      </c>
      <c r="X214" s="13">
        <f t="shared" si="42"/>
        <v>8</v>
      </c>
      <c r="Y214" s="5"/>
      <c r="Z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1.0</v>
      </c>
      <c r="G215" s="19">
        <v>0.0</v>
      </c>
      <c r="H215" s="19">
        <v>0.0</v>
      </c>
      <c r="I215" s="19">
        <v>1.0</v>
      </c>
      <c r="J215" s="19">
        <v>0.0</v>
      </c>
      <c r="K215" s="19">
        <v>0.0</v>
      </c>
      <c r="L215" s="19">
        <v>0.0</v>
      </c>
      <c r="M215" s="19">
        <v>2.0</v>
      </c>
      <c r="N215" s="19">
        <v>1.0</v>
      </c>
      <c r="O215" s="19">
        <v>0.0</v>
      </c>
      <c r="P215" s="19">
        <v>0.0</v>
      </c>
      <c r="Q215" s="19">
        <v>0.0</v>
      </c>
      <c r="R215" s="19">
        <v>5.0</v>
      </c>
      <c r="S215" s="19">
        <v>1.0</v>
      </c>
      <c r="T215" s="19">
        <v>0.0</v>
      </c>
      <c r="U215" s="19">
        <v>3.0</v>
      </c>
      <c r="V215" s="19">
        <v>0.0</v>
      </c>
      <c r="W215" s="19">
        <v>4.0</v>
      </c>
      <c r="X215" s="13">
        <f t="shared" si="42"/>
        <v>18</v>
      </c>
      <c r="Y215" s="5"/>
      <c r="Z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1.0</v>
      </c>
      <c r="N216" s="19">
        <v>0.0</v>
      </c>
      <c r="O216" s="19">
        <v>0.0</v>
      </c>
      <c r="P216" s="19">
        <v>0.0</v>
      </c>
      <c r="Q216" s="19">
        <v>0.0</v>
      </c>
      <c r="R216" s="19">
        <v>1.0</v>
      </c>
      <c r="S216" s="19">
        <v>1.0</v>
      </c>
      <c r="T216" s="19">
        <v>0.0</v>
      </c>
      <c r="U216" s="19">
        <v>0.0</v>
      </c>
      <c r="V216" s="19">
        <v>0.0</v>
      </c>
      <c r="W216" s="19">
        <v>0.0</v>
      </c>
      <c r="X216" s="13">
        <f t="shared" si="42"/>
        <v>3</v>
      </c>
      <c r="Y216" s="5"/>
      <c r="Z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3">
        <f t="shared" si="42"/>
        <v>0</v>
      </c>
      <c r="Y217" s="5"/>
      <c r="Z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1.0</v>
      </c>
      <c r="N218" s="19">
        <v>0.0</v>
      </c>
      <c r="O218" s="19">
        <v>0.0</v>
      </c>
      <c r="P218" s="19">
        <v>1.0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3">
        <f t="shared" si="42"/>
        <v>2</v>
      </c>
      <c r="Y218" s="1"/>
      <c r="Z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1.0</v>
      </c>
      <c r="G219" s="19">
        <v>0.0</v>
      </c>
      <c r="H219" s="19">
        <v>0.0</v>
      </c>
      <c r="I219" s="19">
        <v>1.0</v>
      </c>
      <c r="J219" s="19">
        <v>0.0</v>
      </c>
      <c r="K219" s="19">
        <v>0.0</v>
      </c>
      <c r="L219" s="19">
        <v>0.0</v>
      </c>
      <c r="M219" s="19">
        <v>1.0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3">
        <f t="shared" si="42"/>
        <v>3</v>
      </c>
      <c r="Y219" s="52"/>
      <c r="Z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69">
        <v>0.0</v>
      </c>
      <c r="O220" s="69">
        <v>1.0</v>
      </c>
      <c r="P220" s="19">
        <v>0.0</v>
      </c>
      <c r="Q220" s="19">
        <v>0.0</v>
      </c>
      <c r="R220" s="19">
        <v>0.0</v>
      </c>
      <c r="S220" s="19">
        <v>0.0</v>
      </c>
      <c r="T220" s="19">
        <v>1.0</v>
      </c>
      <c r="U220" s="19">
        <v>0.0</v>
      </c>
      <c r="V220" s="19">
        <v>1.0</v>
      </c>
      <c r="W220" s="19">
        <v>0.0</v>
      </c>
      <c r="X220" s="13">
        <f t="shared" si="42"/>
        <v>3</v>
      </c>
      <c r="Y220" s="5"/>
      <c r="Z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3">
        <f t="shared" si="42"/>
        <v>0</v>
      </c>
      <c r="Y221" s="5"/>
      <c r="Z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3">
        <f t="shared" si="42"/>
        <v>0</v>
      </c>
      <c r="Y222" s="5"/>
      <c r="Z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W223" si="43">SUM(E213:E220)</f>
        <v>0</v>
      </c>
      <c r="F223" s="13">
        <f t="shared" si="43"/>
        <v>6</v>
      </c>
      <c r="G223" s="13">
        <f t="shared" si="43"/>
        <v>1</v>
      </c>
      <c r="H223" s="13">
        <f t="shared" si="43"/>
        <v>0</v>
      </c>
      <c r="I223" s="13">
        <f t="shared" si="43"/>
        <v>4</v>
      </c>
      <c r="J223" s="13">
        <f t="shared" si="43"/>
        <v>1</v>
      </c>
      <c r="K223" s="13">
        <f t="shared" si="43"/>
        <v>0</v>
      </c>
      <c r="L223" s="13">
        <f t="shared" si="43"/>
        <v>3</v>
      </c>
      <c r="M223" s="13">
        <f t="shared" si="43"/>
        <v>5</v>
      </c>
      <c r="N223" s="13">
        <f t="shared" si="43"/>
        <v>3</v>
      </c>
      <c r="O223" s="13">
        <f t="shared" si="43"/>
        <v>3</v>
      </c>
      <c r="P223" s="13">
        <f t="shared" si="43"/>
        <v>2</v>
      </c>
      <c r="Q223" s="13">
        <f t="shared" si="43"/>
        <v>2</v>
      </c>
      <c r="R223" s="13">
        <f t="shared" si="43"/>
        <v>9</v>
      </c>
      <c r="S223" s="13">
        <f t="shared" si="43"/>
        <v>5</v>
      </c>
      <c r="T223" s="13">
        <f t="shared" si="43"/>
        <v>1</v>
      </c>
      <c r="U223" s="13">
        <f t="shared" si="43"/>
        <v>4</v>
      </c>
      <c r="V223" s="13">
        <f t="shared" si="43"/>
        <v>2</v>
      </c>
      <c r="W223" s="13">
        <f t="shared" si="43"/>
        <v>5</v>
      </c>
      <c r="X223" s="13">
        <f t="shared" si="42"/>
        <v>56</v>
      </c>
      <c r="Y223" s="5"/>
      <c r="Z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5"/>
      <c r="Z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1.0</v>
      </c>
      <c r="R225" s="19">
        <v>0.0</v>
      </c>
      <c r="S225" s="19">
        <v>0.0</v>
      </c>
      <c r="T225" s="19">
        <v>0.0</v>
      </c>
      <c r="U225" s="19">
        <v>1.0</v>
      </c>
      <c r="V225" s="19">
        <v>0.0</v>
      </c>
      <c r="W225" s="19">
        <v>0.0</v>
      </c>
      <c r="X225" s="13">
        <f t="shared" ref="X225:X235" si="44">SUM(E225:W225)</f>
        <v>2</v>
      </c>
      <c r="Y225" s="5"/>
      <c r="Z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69">
        <v>0.0</v>
      </c>
      <c r="P226" s="19">
        <v>1.0</v>
      </c>
      <c r="Q226" s="19">
        <v>1.0</v>
      </c>
      <c r="R226" s="69">
        <v>1.0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3">
        <f t="shared" si="44"/>
        <v>3</v>
      </c>
      <c r="Y226" s="5"/>
      <c r="Z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3">
        <f t="shared" si="44"/>
        <v>0</v>
      </c>
      <c r="Y227" s="5"/>
      <c r="Z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3">
        <f t="shared" si="44"/>
        <v>0</v>
      </c>
      <c r="Y228" s="5"/>
      <c r="Z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3">
        <f t="shared" si="44"/>
        <v>0</v>
      </c>
      <c r="Y229" s="1"/>
      <c r="Z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1.0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3">
        <f t="shared" si="44"/>
        <v>1</v>
      </c>
      <c r="Y230" s="52"/>
      <c r="Z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3">
        <f t="shared" si="44"/>
        <v>0</v>
      </c>
      <c r="Y231" s="5"/>
      <c r="Z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3">
        <f t="shared" si="44"/>
        <v>0</v>
      </c>
      <c r="Y232" s="5"/>
      <c r="Z232" s="5"/>
    </row>
    <row r="233" ht="12.75" customHeight="1">
      <c r="A233" s="18"/>
      <c r="B233" s="71"/>
      <c r="C233" s="72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3">
        <f t="shared" si="44"/>
        <v>0</v>
      </c>
      <c r="Y233" s="5"/>
      <c r="Z233" s="5"/>
    </row>
    <row r="234" ht="12.75" customHeight="1">
      <c r="A234" s="18"/>
      <c r="B234" s="71"/>
      <c r="C234" s="72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3">
        <f t="shared" si="44"/>
        <v>0</v>
      </c>
      <c r="Y234" s="5"/>
      <c r="Z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W235" si="45">SUM(E225:E232)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1</v>
      </c>
      <c r="O235" s="13">
        <f t="shared" si="45"/>
        <v>0</v>
      </c>
      <c r="P235" s="13">
        <f t="shared" si="45"/>
        <v>1</v>
      </c>
      <c r="Q235" s="13">
        <f t="shared" si="45"/>
        <v>2</v>
      </c>
      <c r="R235" s="13">
        <f t="shared" si="45"/>
        <v>1</v>
      </c>
      <c r="S235" s="13">
        <f t="shared" si="45"/>
        <v>0</v>
      </c>
      <c r="T235" s="13">
        <f t="shared" si="45"/>
        <v>0</v>
      </c>
      <c r="U235" s="13">
        <f t="shared" si="45"/>
        <v>1</v>
      </c>
      <c r="V235" s="13">
        <f t="shared" si="45"/>
        <v>0</v>
      </c>
      <c r="W235" s="13">
        <f t="shared" si="45"/>
        <v>0</v>
      </c>
      <c r="X235" s="13">
        <f t="shared" si="44"/>
        <v>6</v>
      </c>
      <c r="Y235" s="5"/>
      <c r="Z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5"/>
      <c r="Z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1.0</v>
      </c>
      <c r="G237" s="19">
        <v>1.0</v>
      </c>
      <c r="H237" s="19">
        <v>1.0</v>
      </c>
      <c r="I237" s="19">
        <v>2.0</v>
      </c>
      <c r="J237" s="19">
        <v>1.0</v>
      </c>
      <c r="K237" s="19">
        <v>0.0</v>
      </c>
      <c r="L237" s="19">
        <v>0.0</v>
      </c>
      <c r="M237" s="19">
        <v>0.0</v>
      </c>
      <c r="N237" s="19">
        <v>0.0</v>
      </c>
      <c r="O237" s="19">
        <v>2.0</v>
      </c>
      <c r="P237" s="19">
        <v>0.0</v>
      </c>
      <c r="Q237" s="19">
        <v>0.0</v>
      </c>
      <c r="R237" s="19">
        <v>1.0</v>
      </c>
      <c r="S237" s="19">
        <v>1.0</v>
      </c>
      <c r="T237" s="19">
        <v>1.0</v>
      </c>
      <c r="U237" s="19">
        <v>0.0</v>
      </c>
      <c r="V237" s="19">
        <v>1.0</v>
      </c>
      <c r="W237" s="19">
        <v>0.0</v>
      </c>
      <c r="X237" s="13">
        <f t="shared" ref="X237:X247" si="46">SUM(E237:W237)</f>
        <v>12</v>
      </c>
      <c r="Y237" s="5"/>
      <c r="Z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1.0</v>
      </c>
      <c r="F238" s="19">
        <v>1.0</v>
      </c>
      <c r="G238" s="19">
        <v>2.0</v>
      </c>
      <c r="H238" s="19">
        <v>2.0</v>
      </c>
      <c r="I238" s="19">
        <v>1.0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1.0</v>
      </c>
      <c r="T238" s="19">
        <v>0.0</v>
      </c>
      <c r="U238" s="19">
        <v>0.0</v>
      </c>
      <c r="V238" s="19">
        <v>0.0</v>
      </c>
      <c r="W238" s="19">
        <v>0.0</v>
      </c>
      <c r="X238" s="13">
        <f t="shared" si="46"/>
        <v>8</v>
      </c>
      <c r="Y238" s="5"/>
      <c r="Z238" s="5"/>
    </row>
    <row r="239" ht="12.75" customHeight="1">
      <c r="A239" s="18"/>
      <c r="B239" s="55">
        <v>2.0</v>
      </c>
      <c r="C239" s="50" t="s">
        <v>176</v>
      </c>
      <c r="D239" s="57"/>
      <c r="E239" s="19">
        <v>1.0</v>
      </c>
      <c r="F239" s="19">
        <v>0.0</v>
      </c>
      <c r="G239" s="19">
        <v>0.0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0.0</v>
      </c>
      <c r="S239" s="19">
        <v>0.0</v>
      </c>
      <c r="T239" s="19">
        <v>0.0</v>
      </c>
      <c r="U239" s="19">
        <v>0.0</v>
      </c>
      <c r="V239" s="19">
        <v>0.0</v>
      </c>
      <c r="W239" s="19">
        <v>0.0</v>
      </c>
      <c r="X239" s="13">
        <f t="shared" si="46"/>
        <v>1</v>
      </c>
      <c r="Y239" s="5"/>
      <c r="Z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1.0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6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3">
        <f t="shared" si="46"/>
        <v>1</v>
      </c>
      <c r="Y240" s="1"/>
      <c r="Z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1.0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1.0</v>
      </c>
      <c r="T241" s="19">
        <v>0.0</v>
      </c>
      <c r="U241" s="19">
        <v>0.0</v>
      </c>
      <c r="V241" s="19">
        <v>0.0</v>
      </c>
      <c r="W241" s="19">
        <v>0.0</v>
      </c>
      <c r="X241" s="13">
        <f t="shared" si="46"/>
        <v>2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1.0</v>
      </c>
      <c r="V242" s="19">
        <v>0.0</v>
      </c>
      <c r="W242" s="19">
        <v>0.0</v>
      </c>
      <c r="X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1.0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3">
        <f t="shared" si="46"/>
        <v>1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12.0</v>
      </c>
      <c r="F244" s="19">
        <v>28.0</v>
      </c>
      <c r="G244" s="19">
        <v>34.0</v>
      </c>
      <c r="H244" s="19">
        <v>70.0</v>
      </c>
      <c r="I244" s="19">
        <v>27.0</v>
      </c>
      <c r="J244" s="19">
        <v>7.0</v>
      </c>
      <c r="K244" s="19">
        <v>1.0</v>
      </c>
      <c r="L244" s="19">
        <v>2.0</v>
      </c>
      <c r="M244" s="19">
        <v>14.0</v>
      </c>
      <c r="N244" s="19">
        <v>3.0</v>
      </c>
      <c r="O244" s="19">
        <v>6.0</v>
      </c>
      <c r="P244" s="19">
        <v>8.0</v>
      </c>
      <c r="Q244" s="19">
        <v>1.0</v>
      </c>
      <c r="R244" s="19">
        <v>4.0</v>
      </c>
      <c r="S244" s="19">
        <v>8.0</v>
      </c>
      <c r="T244" s="19">
        <v>0.0</v>
      </c>
      <c r="U244" s="19">
        <v>0.0</v>
      </c>
      <c r="V244" s="19">
        <v>2.0</v>
      </c>
      <c r="W244" s="19">
        <v>1.0</v>
      </c>
      <c r="X244" s="13">
        <f t="shared" si="46"/>
        <v>228</v>
      </c>
    </row>
    <row r="245" ht="12.75" customHeight="1">
      <c r="A245" s="18"/>
      <c r="B245" s="71"/>
      <c r="C245" s="72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3">
        <f t="shared" si="46"/>
        <v>0</v>
      </c>
    </row>
    <row r="246" ht="12.75" customHeight="1">
      <c r="A246" s="18"/>
      <c r="B246" s="71"/>
      <c r="C246" s="72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W247" si="47">SUM(E237:E244)</f>
        <v>15</v>
      </c>
      <c r="F247" s="13">
        <f t="shared" si="47"/>
        <v>30</v>
      </c>
      <c r="G247" s="13">
        <f t="shared" si="47"/>
        <v>37</v>
      </c>
      <c r="H247" s="13">
        <f t="shared" si="47"/>
        <v>74</v>
      </c>
      <c r="I247" s="13">
        <f t="shared" si="47"/>
        <v>30</v>
      </c>
      <c r="J247" s="13">
        <f t="shared" si="47"/>
        <v>8</v>
      </c>
      <c r="K247" s="13">
        <f t="shared" si="47"/>
        <v>2</v>
      </c>
      <c r="L247" s="13">
        <f t="shared" si="47"/>
        <v>2</v>
      </c>
      <c r="M247" s="13">
        <f t="shared" si="47"/>
        <v>14</v>
      </c>
      <c r="N247" s="13">
        <f t="shared" si="47"/>
        <v>3</v>
      </c>
      <c r="O247" s="13">
        <f t="shared" si="47"/>
        <v>8</v>
      </c>
      <c r="P247" s="13">
        <f t="shared" si="47"/>
        <v>8</v>
      </c>
      <c r="Q247" s="13">
        <f t="shared" si="47"/>
        <v>1</v>
      </c>
      <c r="R247" s="13">
        <f t="shared" si="47"/>
        <v>5</v>
      </c>
      <c r="S247" s="13">
        <f t="shared" si="47"/>
        <v>11</v>
      </c>
      <c r="T247" s="13">
        <f t="shared" si="47"/>
        <v>1</v>
      </c>
      <c r="U247" s="13">
        <f t="shared" si="47"/>
        <v>1</v>
      </c>
      <c r="V247" s="13">
        <f t="shared" si="47"/>
        <v>3</v>
      </c>
      <c r="W247" s="13">
        <f t="shared" si="47"/>
        <v>1</v>
      </c>
      <c r="X247" s="13">
        <f t="shared" si="46"/>
        <v>254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5.0</v>
      </c>
      <c r="F249" s="19">
        <v>0.0</v>
      </c>
      <c r="G249" s="19">
        <v>1.0</v>
      </c>
      <c r="H249" s="19">
        <v>5.0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7.0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3">
        <f t="shared" ref="X249:X259" si="48">SUM(E249:W249)</f>
        <v>18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2.0</v>
      </c>
      <c r="F250" s="19">
        <v>2.0</v>
      </c>
      <c r="G250" s="19">
        <v>3.0</v>
      </c>
      <c r="H250" s="19">
        <v>3.0</v>
      </c>
      <c r="I250" s="19">
        <v>0.0</v>
      </c>
      <c r="J250" s="19">
        <v>0.0</v>
      </c>
      <c r="K250" s="19">
        <v>0.0</v>
      </c>
      <c r="L250" s="19">
        <v>1.0</v>
      </c>
      <c r="M250" s="19">
        <v>0.0</v>
      </c>
      <c r="N250" s="19">
        <v>0.0</v>
      </c>
      <c r="O250" s="19">
        <v>0.0</v>
      </c>
      <c r="P250" s="19">
        <v>0.0</v>
      </c>
      <c r="Q250" s="19">
        <v>3.0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3">
        <f t="shared" si="48"/>
        <v>14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3.0</v>
      </c>
      <c r="F251" s="19">
        <v>0.0</v>
      </c>
      <c r="G251" s="19">
        <v>0.0</v>
      </c>
      <c r="H251" s="19">
        <v>1.0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1.0</v>
      </c>
      <c r="Q251" s="19">
        <v>2.0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3">
        <f t="shared" si="48"/>
        <v>7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1.0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1.0</v>
      </c>
      <c r="V252" s="19">
        <v>0.0</v>
      </c>
      <c r="W252" s="19">
        <v>0.0</v>
      </c>
      <c r="X252" s="13">
        <f t="shared" si="48"/>
        <v>2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3">
        <f t="shared" si="48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3">
        <f t="shared" si="48"/>
        <v>0</v>
      </c>
    </row>
    <row r="256" ht="12.75" customHeight="1">
      <c r="A256" s="18"/>
      <c r="B256" s="71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3">
        <f t="shared" si="48"/>
        <v>0</v>
      </c>
    </row>
    <row r="257" ht="12.75" customHeight="1">
      <c r="A257" s="18"/>
      <c r="B257" s="71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3">
        <f t="shared" si="48"/>
        <v>0</v>
      </c>
    </row>
    <row r="258" ht="12.75" customHeight="1">
      <c r="A258" s="18"/>
      <c r="B258" s="71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3">
        <f t="shared" si="48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W259" si="49">SUM(E249:E255)</f>
        <v>10</v>
      </c>
      <c r="F259" s="13">
        <f t="shared" si="49"/>
        <v>2</v>
      </c>
      <c r="G259" s="13">
        <f t="shared" si="49"/>
        <v>4</v>
      </c>
      <c r="H259" s="13">
        <f t="shared" si="49"/>
        <v>10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1</v>
      </c>
      <c r="Q259" s="13">
        <f t="shared" si="49"/>
        <v>12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1</v>
      </c>
      <c r="V259" s="13">
        <f t="shared" si="49"/>
        <v>0</v>
      </c>
      <c r="W259" s="13">
        <f t="shared" si="49"/>
        <v>0</v>
      </c>
      <c r="X259" s="13">
        <f t="shared" si="48"/>
        <v>41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0"/>
      <c r="O261" s="13"/>
      <c r="P261" s="13"/>
      <c r="Q261" s="13"/>
      <c r="R261" s="13"/>
      <c r="S261" s="70"/>
      <c r="T261" s="13"/>
      <c r="U261" s="13"/>
      <c r="V261" s="13"/>
      <c r="W261" s="13"/>
      <c r="X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W262" si="50">E55+E67+E79+E91+E103+E115+E127+E139+E151+E163+E175+E187+E199+E211+E223+E235+E247+E259</f>
        <v>204</v>
      </c>
      <c r="F262" s="19">
        <f t="shared" si="50"/>
        <v>187</v>
      </c>
      <c r="G262" s="19">
        <f t="shared" si="50"/>
        <v>198</v>
      </c>
      <c r="H262" s="19">
        <f t="shared" si="50"/>
        <v>214</v>
      </c>
      <c r="I262" s="19">
        <f t="shared" si="50"/>
        <v>219</v>
      </c>
      <c r="J262" s="19">
        <f t="shared" si="50"/>
        <v>209</v>
      </c>
      <c r="K262" s="19">
        <f t="shared" si="50"/>
        <v>168</v>
      </c>
      <c r="L262" s="19">
        <f t="shared" si="50"/>
        <v>207</v>
      </c>
      <c r="M262" s="19">
        <f t="shared" si="50"/>
        <v>206</v>
      </c>
      <c r="N262" s="19">
        <f t="shared" si="50"/>
        <v>179</v>
      </c>
      <c r="O262" s="19">
        <f t="shared" si="50"/>
        <v>200</v>
      </c>
      <c r="P262" s="19">
        <f t="shared" si="50"/>
        <v>203</v>
      </c>
      <c r="Q262" s="19">
        <f t="shared" si="50"/>
        <v>192</v>
      </c>
      <c r="R262" s="19">
        <f t="shared" si="50"/>
        <v>159</v>
      </c>
      <c r="S262" s="19">
        <f t="shared" si="50"/>
        <v>180</v>
      </c>
      <c r="T262" s="19">
        <f t="shared" si="50"/>
        <v>212</v>
      </c>
      <c r="U262" s="19">
        <f t="shared" si="50"/>
        <v>193</v>
      </c>
      <c r="V262" s="19">
        <f t="shared" si="50"/>
        <v>238</v>
      </c>
      <c r="W262" s="19">
        <f t="shared" si="50"/>
        <v>258</v>
      </c>
      <c r="X262" s="13">
        <f t="shared" ref="X262:X264" si="51">SUM(E262:W262)</f>
        <v>3826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25.0</v>
      </c>
      <c r="F263" s="19">
        <v>20.0</v>
      </c>
      <c r="G263" s="19">
        <v>13.0</v>
      </c>
      <c r="H263" s="19">
        <v>13.0</v>
      </c>
      <c r="I263" s="19">
        <v>10.0</v>
      </c>
      <c r="J263" s="19">
        <v>19.0</v>
      </c>
      <c r="K263" s="19">
        <v>19.0</v>
      </c>
      <c r="L263" s="19">
        <v>8.0</v>
      </c>
      <c r="M263" s="19">
        <v>38.0</v>
      </c>
      <c r="N263" s="19">
        <v>52.0</v>
      </c>
      <c r="O263" s="19">
        <v>35.0</v>
      </c>
      <c r="P263" s="19">
        <v>34.0</v>
      </c>
      <c r="Q263" s="19">
        <v>43.0</v>
      </c>
      <c r="R263" s="19">
        <v>11.0</v>
      </c>
      <c r="S263" s="19">
        <v>4.0</v>
      </c>
      <c r="T263" s="19">
        <v>23.0</v>
      </c>
      <c r="U263" s="19">
        <v>33.0</v>
      </c>
      <c r="V263" s="19">
        <v>8.0</v>
      </c>
      <c r="W263" s="19">
        <v>18.0</v>
      </c>
      <c r="X263" s="13">
        <f t="shared" si="51"/>
        <v>426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W264" si="52">SUM(E262:E263)</f>
        <v>229</v>
      </c>
      <c r="F264" s="13">
        <f t="shared" si="52"/>
        <v>207</v>
      </c>
      <c r="G264" s="13">
        <f t="shared" si="52"/>
        <v>211</v>
      </c>
      <c r="H264" s="13">
        <f t="shared" si="52"/>
        <v>227</v>
      </c>
      <c r="I264" s="13">
        <f t="shared" si="52"/>
        <v>229</v>
      </c>
      <c r="J264" s="13">
        <f t="shared" si="52"/>
        <v>228</v>
      </c>
      <c r="K264" s="13">
        <f t="shared" si="52"/>
        <v>187</v>
      </c>
      <c r="L264" s="13">
        <f t="shared" si="52"/>
        <v>215</v>
      </c>
      <c r="M264" s="13">
        <f t="shared" si="52"/>
        <v>244</v>
      </c>
      <c r="N264" s="13">
        <f t="shared" si="52"/>
        <v>231</v>
      </c>
      <c r="O264" s="13">
        <f t="shared" si="52"/>
        <v>235</v>
      </c>
      <c r="P264" s="13">
        <f t="shared" si="52"/>
        <v>237</v>
      </c>
      <c r="Q264" s="13">
        <f t="shared" si="52"/>
        <v>235</v>
      </c>
      <c r="R264" s="13">
        <f t="shared" si="52"/>
        <v>170</v>
      </c>
      <c r="S264" s="13">
        <f t="shared" si="52"/>
        <v>184</v>
      </c>
      <c r="T264" s="13">
        <f t="shared" si="52"/>
        <v>235</v>
      </c>
      <c r="U264" s="13">
        <f t="shared" si="52"/>
        <v>226</v>
      </c>
      <c r="V264" s="13">
        <f t="shared" si="52"/>
        <v>246</v>
      </c>
      <c r="W264" s="13">
        <f t="shared" si="52"/>
        <v>276</v>
      </c>
      <c r="X264" s="13">
        <f t="shared" si="51"/>
        <v>4252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W34">
    <cfRule type="expression" dxfId="0" priority="1">
      <formula>E34&lt;&gt;E64</formula>
    </cfRule>
  </conditionalFormatting>
  <conditionalFormatting sqref="E14:W15">
    <cfRule type="containsBlanks" dxfId="1" priority="2">
      <formula>LEN(TRIM(E14))=0</formula>
    </cfRule>
  </conditionalFormatting>
  <conditionalFormatting sqref="E19:W20">
    <cfRule type="containsBlanks" dxfId="1" priority="3">
      <formula>LEN(TRIM(E19))=0</formula>
    </cfRule>
  </conditionalFormatting>
  <conditionalFormatting sqref="E22:W23 E25:W26 E33:W33 E35:W35 E39:W40">
    <cfRule type="containsBlanks" dxfId="1" priority="4">
      <formula>LEN(TRIM(E22))=0</formula>
    </cfRule>
  </conditionalFormatting>
  <conditionalFormatting sqref="E30:W30">
    <cfRule type="expression" dxfId="0" priority="5">
      <formula>E30&lt;&gt;E47</formula>
    </cfRule>
  </conditionalFormatting>
  <conditionalFormatting sqref="E30:W30">
    <cfRule type="expression" dxfId="0" priority="6">
      <formula>E30&lt;&gt;E34</formula>
    </cfRule>
  </conditionalFormatting>
  <conditionalFormatting sqref="E34:W34">
    <cfRule type="expression" dxfId="2" priority="7">
      <formula>E30&lt;&gt;E34</formula>
    </cfRule>
  </conditionalFormatting>
  <conditionalFormatting sqref="E34:W34">
    <cfRule type="expression" dxfId="3" priority="8">
      <formula>E30=E34</formula>
    </cfRule>
  </conditionalFormatting>
  <conditionalFormatting sqref="E34:W34">
    <cfRule type="expression" dxfId="0" priority="9">
      <formula>E34&lt;&gt;E30</formula>
    </cfRule>
  </conditionalFormatting>
  <conditionalFormatting sqref="F45:W54">
    <cfRule type="containsBlanks" dxfId="1" priority="10">
      <formula>LEN(TRIM(F45))=0</formula>
    </cfRule>
  </conditionalFormatting>
  <conditionalFormatting sqref="F57:W66">
    <cfRule type="containsBlanks" dxfId="1" priority="11">
      <formula>LEN(TRIM(F57))=0</formula>
    </cfRule>
  </conditionalFormatting>
  <conditionalFormatting sqref="F69:W78">
    <cfRule type="containsBlanks" dxfId="1" priority="12">
      <formula>LEN(TRIM(F69))=0</formula>
    </cfRule>
  </conditionalFormatting>
  <conditionalFormatting sqref="F81:W90">
    <cfRule type="containsBlanks" dxfId="1" priority="13">
      <formula>LEN(TRIM(F81))=0</formula>
    </cfRule>
  </conditionalFormatting>
  <conditionalFormatting sqref="F93:W102">
    <cfRule type="containsBlanks" dxfId="1" priority="14">
      <formula>LEN(TRIM(F93))=0</formula>
    </cfRule>
  </conditionalFormatting>
  <conditionalFormatting sqref="F105:W114">
    <cfRule type="containsBlanks" dxfId="1" priority="15">
      <formula>LEN(TRIM(F105))=0</formula>
    </cfRule>
  </conditionalFormatting>
  <conditionalFormatting sqref="F117:W126">
    <cfRule type="containsBlanks" dxfId="1" priority="16">
      <formula>LEN(TRIM(F117))=0</formula>
    </cfRule>
  </conditionalFormatting>
  <conditionalFormatting sqref="F129:W138">
    <cfRule type="containsBlanks" dxfId="1" priority="17">
      <formula>LEN(TRIM(F129))=0</formula>
    </cfRule>
  </conditionalFormatting>
  <conditionalFormatting sqref="F141:W150">
    <cfRule type="containsBlanks" dxfId="1" priority="18">
      <formula>LEN(TRIM(F141))=0</formula>
    </cfRule>
  </conditionalFormatting>
  <conditionalFormatting sqref="F153:W162">
    <cfRule type="containsBlanks" dxfId="1" priority="19">
      <formula>LEN(TRIM(F153))=0</formula>
    </cfRule>
  </conditionalFormatting>
  <conditionalFormatting sqref="F165:W174">
    <cfRule type="containsBlanks" dxfId="1" priority="20">
      <formula>LEN(TRIM(F165))=0</formula>
    </cfRule>
  </conditionalFormatting>
  <conditionalFormatting sqref="F177:W186">
    <cfRule type="containsBlanks" dxfId="1" priority="21">
      <formula>LEN(TRIM(F177))=0</formula>
    </cfRule>
  </conditionalFormatting>
  <conditionalFormatting sqref="F189:W198">
    <cfRule type="containsBlanks" dxfId="1" priority="22">
      <formula>LEN(TRIM(F189))=0</formula>
    </cfRule>
  </conditionalFormatting>
  <conditionalFormatting sqref="F201:W210">
    <cfRule type="containsBlanks" dxfId="1" priority="23">
      <formula>LEN(TRIM(F201))=0</formula>
    </cfRule>
  </conditionalFormatting>
  <conditionalFormatting sqref="F213:W222">
    <cfRule type="containsBlanks" dxfId="1" priority="24">
      <formula>LEN(TRIM(F213))=0</formula>
    </cfRule>
  </conditionalFormatting>
  <conditionalFormatting sqref="F225:W234">
    <cfRule type="containsBlanks" dxfId="1" priority="25">
      <formula>LEN(TRIM(F225))=0</formula>
    </cfRule>
  </conditionalFormatting>
  <conditionalFormatting sqref="F237:W246">
    <cfRule type="containsBlanks" dxfId="1" priority="26">
      <formula>LEN(TRIM(F237))=0</formula>
    </cfRule>
  </conditionalFormatting>
  <conditionalFormatting sqref="F249:W259">
    <cfRule type="containsBlanks" dxfId="1" priority="27">
      <formula>LEN(TRIM(F249))=0</formula>
    </cfRule>
  </conditionalFormatting>
  <conditionalFormatting sqref="F262:W263">
    <cfRule type="containsBlanks" dxfId="1" priority="28">
      <formula>LEN(TRIM(F262))=0</formula>
    </cfRule>
  </conditionalFormatting>
  <conditionalFormatting sqref="E45:E54">
    <cfRule type="containsBlanks" dxfId="1" priority="29">
      <formula>LEN(TRIM(E45))=0</formula>
    </cfRule>
  </conditionalFormatting>
  <conditionalFormatting sqref="E57:E66">
    <cfRule type="containsBlanks" dxfId="1" priority="30">
      <formula>LEN(TRIM(E57))=0</formula>
    </cfRule>
  </conditionalFormatting>
  <conditionalFormatting sqref="E69:E78">
    <cfRule type="containsBlanks" dxfId="1" priority="31">
      <formula>LEN(TRIM(E69))=0</formula>
    </cfRule>
  </conditionalFormatting>
  <conditionalFormatting sqref="E81:E90">
    <cfRule type="containsBlanks" dxfId="1" priority="32">
      <formula>LEN(TRIM(E81))=0</formula>
    </cfRule>
  </conditionalFormatting>
  <conditionalFormatting sqref="E93:E102">
    <cfRule type="containsBlanks" dxfId="1" priority="33">
      <formula>LEN(TRIM(E93))=0</formula>
    </cfRule>
  </conditionalFormatting>
  <conditionalFormatting sqref="E105:E114">
    <cfRule type="containsBlanks" dxfId="1" priority="34">
      <formula>LEN(TRIM(E105))=0</formula>
    </cfRule>
  </conditionalFormatting>
  <conditionalFormatting sqref="E117:E126">
    <cfRule type="containsBlanks" dxfId="1" priority="35">
      <formula>LEN(TRIM(E117))=0</formula>
    </cfRule>
  </conditionalFormatting>
  <conditionalFormatting sqref="E129:E138">
    <cfRule type="containsBlanks" dxfId="1" priority="36">
      <formula>LEN(TRIM(E129))=0</formula>
    </cfRule>
  </conditionalFormatting>
  <conditionalFormatting sqref="E141:E150">
    <cfRule type="containsBlanks" dxfId="1" priority="37">
      <formula>LEN(TRIM(E141))=0</formula>
    </cfRule>
  </conditionalFormatting>
  <conditionalFormatting sqref="E153:E162">
    <cfRule type="containsBlanks" dxfId="1" priority="38">
      <formula>LEN(TRIM(E153))=0</formula>
    </cfRule>
  </conditionalFormatting>
  <conditionalFormatting sqref="E165:E174">
    <cfRule type="containsBlanks" dxfId="1" priority="39">
      <formula>LEN(TRIM(E165))=0</formula>
    </cfRule>
  </conditionalFormatting>
  <conditionalFormatting sqref="E177:E186">
    <cfRule type="containsBlanks" dxfId="1" priority="40">
      <formula>LEN(TRIM(E177))=0</formula>
    </cfRule>
  </conditionalFormatting>
  <conditionalFormatting sqref="E189:E198">
    <cfRule type="containsBlanks" dxfId="1" priority="41">
      <formula>LEN(TRIM(E189))=0</formula>
    </cfRule>
  </conditionalFormatting>
  <conditionalFormatting sqref="E201:E210">
    <cfRule type="containsBlanks" dxfId="1" priority="42">
      <formula>LEN(TRIM(E201))=0</formula>
    </cfRule>
  </conditionalFormatting>
  <conditionalFormatting sqref="E213:E222">
    <cfRule type="containsBlanks" dxfId="1" priority="43">
      <formula>LEN(TRIM(E213))=0</formula>
    </cfRule>
  </conditionalFormatting>
  <conditionalFormatting sqref="E225:E234">
    <cfRule type="containsBlanks" dxfId="1" priority="44">
      <formula>LEN(TRIM(E225))=0</formula>
    </cfRule>
  </conditionalFormatting>
  <conditionalFormatting sqref="E237:E246">
    <cfRule type="containsBlanks" dxfId="1" priority="45">
      <formula>LEN(TRIM(E237))=0</formula>
    </cfRule>
  </conditionalFormatting>
  <conditionalFormatting sqref="E249:E259">
    <cfRule type="containsBlanks" dxfId="1" priority="46">
      <formula>LEN(TRIM(E249))=0</formula>
    </cfRule>
  </conditionalFormatting>
  <conditionalFormatting sqref="E262:E263">
    <cfRule type="containsBlanks" dxfId="1" priority="47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  <col customWidth="1" min="28" max="2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78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19">
        <v>142.0</v>
      </c>
      <c r="F14" s="19">
        <v>147.0</v>
      </c>
      <c r="G14" s="19">
        <v>140.0</v>
      </c>
      <c r="H14" s="19">
        <v>141.0</v>
      </c>
      <c r="I14" s="19">
        <v>141.0</v>
      </c>
      <c r="J14" s="19">
        <v>142.0</v>
      </c>
      <c r="K14" s="19">
        <v>122.0</v>
      </c>
      <c r="L14" s="19">
        <v>153.0</v>
      </c>
      <c r="M14" s="19">
        <v>154.0</v>
      </c>
      <c r="N14" s="19">
        <v>113.0</v>
      </c>
      <c r="O14" s="19">
        <v>131.0</v>
      </c>
      <c r="P14" s="19">
        <v>136.0</v>
      </c>
      <c r="Q14" s="19">
        <v>146.0</v>
      </c>
      <c r="R14" s="19">
        <v>138.0</v>
      </c>
      <c r="S14" s="19">
        <v>147.0</v>
      </c>
      <c r="T14" s="19">
        <v>127.0</v>
      </c>
      <c r="U14" s="19">
        <v>136.0</v>
      </c>
      <c r="V14" s="19">
        <v>142.0</v>
      </c>
      <c r="W14" s="19">
        <v>132.0</v>
      </c>
      <c r="X14" s="19">
        <v>133.0</v>
      </c>
      <c r="Y14" s="19">
        <v>134.0</v>
      </c>
      <c r="Z14" s="19">
        <v>148.0</v>
      </c>
      <c r="AA14" s="13">
        <f t="shared" ref="AA14:AA16" si="1">SUM(E14:Z14)</f>
        <v>3045</v>
      </c>
    </row>
    <row r="15" ht="12.75" customHeight="1">
      <c r="A15" s="18"/>
      <c r="B15" s="26"/>
      <c r="C15" s="27"/>
      <c r="D15" s="19" t="s">
        <v>13</v>
      </c>
      <c r="E15" s="19">
        <v>153.0</v>
      </c>
      <c r="F15" s="19">
        <v>130.0</v>
      </c>
      <c r="G15" s="19">
        <v>144.0</v>
      </c>
      <c r="H15" s="19">
        <v>149.0</v>
      </c>
      <c r="I15" s="19">
        <v>141.0</v>
      </c>
      <c r="J15" s="19">
        <v>129.0</v>
      </c>
      <c r="K15" s="19">
        <v>122.0</v>
      </c>
      <c r="L15" s="19">
        <v>125.0</v>
      </c>
      <c r="M15" s="19">
        <v>139.0</v>
      </c>
      <c r="N15" s="19">
        <v>115.0</v>
      </c>
      <c r="O15" s="19">
        <v>144.0</v>
      </c>
      <c r="P15" s="19">
        <v>150.0</v>
      </c>
      <c r="Q15" s="19">
        <v>135.0</v>
      </c>
      <c r="R15" s="19">
        <v>135.0</v>
      </c>
      <c r="S15" s="19">
        <v>148.0</v>
      </c>
      <c r="T15" s="19">
        <v>117.0</v>
      </c>
      <c r="U15" s="19">
        <v>142.0</v>
      </c>
      <c r="V15" s="19">
        <v>138.0</v>
      </c>
      <c r="W15" s="19">
        <v>141.0</v>
      </c>
      <c r="X15" s="19">
        <v>130.0</v>
      </c>
      <c r="Y15" s="19">
        <v>148.0</v>
      </c>
      <c r="Z15" s="19">
        <v>147.0</v>
      </c>
      <c r="AA15" s="13">
        <f t="shared" si="1"/>
        <v>3022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295</v>
      </c>
      <c r="F16" s="13">
        <f t="shared" si="2"/>
        <v>277</v>
      </c>
      <c r="G16" s="13">
        <f t="shared" si="2"/>
        <v>284</v>
      </c>
      <c r="H16" s="13">
        <f t="shared" si="2"/>
        <v>290</v>
      </c>
      <c r="I16" s="13">
        <f t="shared" si="2"/>
        <v>282</v>
      </c>
      <c r="J16" s="13">
        <f t="shared" si="2"/>
        <v>271</v>
      </c>
      <c r="K16" s="13">
        <f t="shared" si="2"/>
        <v>244</v>
      </c>
      <c r="L16" s="13">
        <f t="shared" si="2"/>
        <v>278</v>
      </c>
      <c r="M16" s="13">
        <f t="shared" si="2"/>
        <v>293</v>
      </c>
      <c r="N16" s="13">
        <f t="shared" si="2"/>
        <v>228</v>
      </c>
      <c r="O16" s="13">
        <f t="shared" si="2"/>
        <v>275</v>
      </c>
      <c r="P16" s="13">
        <f t="shared" si="2"/>
        <v>286</v>
      </c>
      <c r="Q16" s="13">
        <f t="shared" si="2"/>
        <v>281</v>
      </c>
      <c r="R16" s="13">
        <f t="shared" si="2"/>
        <v>273</v>
      </c>
      <c r="S16" s="13">
        <f t="shared" si="2"/>
        <v>295</v>
      </c>
      <c r="T16" s="13">
        <f t="shared" si="2"/>
        <v>244</v>
      </c>
      <c r="U16" s="13">
        <f t="shared" si="2"/>
        <v>278</v>
      </c>
      <c r="V16" s="13">
        <f t="shared" si="2"/>
        <v>280</v>
      </c>
      <c r="W16" s="13">
        <f t="shared" si="2"/>
        <v>273</v>
      </c>
      <c r="X16" s="13">
        <f t="shared" si="2"/>
        <v>263</v>
      </c>
      <c r="Y16" s="13">
        <f t="shared" si="2"/>
        <v>282</v>
      </c>
      <c r="Z16" s="13">
        <f t="shared" si="2"/>
        <v>295</v>
      </c>
      <c r="AA16" s="13">
        <f t="shared" si="1"/>
        <v>6067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102.0</v>
      </c>
      <c r="F19" s="19">
        <v>119.0</v>
      </c>
      <c r="G19" s="19">
        <v>113.0</v>
      </c>
      <c r="H19" s="19">
        <v>114.0</v>
      </c>
      <c r="I19" s="19">
        <v>112.0</v>
      </c>
      <c r="J19" s="19">
        <v>109.0</v>
      </c>
      <c r="K19" s="19">
        <v>100.0</v>
      </c>
      <c r="L19" s="19">
        <v>100.0</v>
      </c>
      <c r="M19" s="19">
        <v>118.0</v>
      </c>
      <c r="N19" s="19">
        <v>93.0</v>
      </c>
      <c r="O19" s="19">
        <v>111.0</v>
      </c>
      <c r="P19" s="19">
        <v>104.0</v>
      </c>
      <c r="Q19" s="19">
        <v>111.0</v>
      </c>
      <c r="R19" s="19">
        <v>111.0</v>
      </c>
      <c r="S19" s="19">
        <v>110.0</v>
      </c>
      <c r="T19" s="19">
        <v>102.0</v>
      </c>
      <c r="U19" s="19">
        <v>107.0</v>
      </c>
      <c r="V19" s="19">
        <v>118.0</v>
      </c>
      <c r="W19" s="19">
        <v>99.0</v>
      </c>
      <c r="X19" s="19">
        <v>100.0</v>
      </c>
      <c r="Y19" s="19">
        <v>106.0</v>
      </c>
      <c r="Z19" s="19">
        <v>129.0</v>
      </c>
      <c r="AA19" s="13">
        <f t="shared" ref="AA19:AA30" si="3">SUM(E19:Z19)</f>
        <v>2388</v>
      </c>
    </row>
    <row r="20" ht="12.75" customHeight="1">
      <c r="A20" s="33"/>
      <c r="B20" s="27"/>
      <c r="C20" s="34"/>
      <c r="D20" s="19" t="s">
        <v>13</v>
      </c>
      <c r="E20" s="19">
        <v>116.0</v>
      </c>
      <c r="F20" s="19">
        <v>106.0</v>
      </c>
      <c r="G20" s="19">
        <v>117.0</v>
      </c>
      <c r="H20" s="19">
        <v>115.0</v>
      </c>
      <c r="I20" s="19">
        <v>125.0</v>
      </c>
      <c r="J20" s="19">
        <v>99.0</v>
      </c>
      <c r="K20" s="19">
        <v>101.0</v>
      </c>
      <c r="L20" s="19">
        <v>96.0</v>
      </c>
      <c r="M20" s="19">
        <v>109.0</v>
      </c>
      <c r="N20" s="19">
        <v>101.0</v>
      </c>
      <c r="O20" s="19">
        <v>132.0</v>
      </c>
      <c r="P20" s="19">
        <v>134.0</v>
      </c>
      <c r="Q20" s="19">
        <v>120.0</v>
      </c>
      <c r="R20" s="19">
        <v>104.0</v>
      </c>
      <c r="S20" s="19">
        <v>107.0</v>
      </c>
      <c r="T20" s="19">
        <v>107.0</v>
      </c>
      <c r="U20" s="19">
        <v>121.0</v>
      </c>
      <c r="V20" s="19">
        <v>125.0</v>
      </c>
      <c r="W20" s="19">
        <v>111.0</v>
      </c>
      <c r="X20" s="19">
        <v>103.0</v>
      </c>
      <c r="Y20" s="19">
        <v>129.0</v>
      </c>
      <c r="Z20" s="19">
        <v>129.0</v>
      </c>
      <c r="AA20" s="13">
        <f t="shared" si="3"/>
        <v>2507</v>
      </c>
    </row>
    <row r="21" ht="12.75" customHeight="1">
      <c r="A21" s="35"/>
      <c r="B21" s="28"/>
      <c r="C21" s="36"/>
      <c r="D21" s="13" t="s">
        <v>14</v>
      </c>
      <c r="E21" s="13">
        <f t="shared" ref="E21:Z21" si="4">SUM(E19:E20)</f>
        <v>218</v>
      </c>
      <c r="F21" s="13">
        <f t="shared" si="4"/>
        <v>225</v>
      </c>
      <c r="G21" s="13">
        <f t="shared" si="4"/>
        <v>230</v>
      </c>
      <c r="H21" s="13">
        <f t="shared" si="4"/>
        <v>229</v>
      </c>
      <c r="I21" s="13">
        <f t="shared" si="4"/>
        <v>237</v>
      </c>
      <c r="J21" s="13">
        <f t="shared" si="4"/>
        <v>208</v>
      </c>
      <c r="K21" s="13">
        <f t="shared" si="4"/>
        <v>201</v>
      </c>
      <c r="L21" s="13">
        <f t="shared" si="4"/>
        <v>196</v>
      </c>
      <c r="M21" s="13">
        <f t="shared" si="4"/>
        <v>227</v>
      </c>
      <c r="N21" s="13">
        <f t="shared" si="4"/>
        <v>194</v>
      </c>
      <c r="O21" s="13">
        <f t="shared" si="4"/>
        <v>243</v>
      </c>
      <c r="P21" s="13">
        <f t="shared" si="4"/>
        <v>238</v>
      </c>
      <c r="Q21" s="13">
        <f t="shared" si="4"/>
        <v>231</v>
      </c>
      <c r="R21" s="13">
        <f t="shared" si="4"/>
        <v>215</v>
      </c>
      <c r="S21" s="13">
        <f t="shared" si="4"/>
        <v>217</v>
      </c>
      <c r="T21" s="13">
        <f t="shared" si="4"/>
        <v>209</v>
      </c>
      <c r="U21" s="13">
        <f t="shared" si="4"/>
        <v>228</v>
      </c>
      <c r="V21" s="13">
        <f t="shared" si="4"/>
        <v>243</v>
      </c>
      <c r="W21" s="13">
        <f t="shared" si="4"/>
        <v>210</v>
      </c>
      <c r="X21" s="13">
        <f t="shared" si="4"/>
        <v>203</v>
      </c>
      <c r="Y21" s="13">
        <f t="shared" si="4"/>
        <v>235</v>
      </c>
      <c r="Z21" s="13">
        <f t="shared" si="4"/>
        <v>258</v>
      </c>
      <c r="AA21" s="13">
        <f t="shared" si="3"/>
        <v>4895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1.0</v>
      </c>
      <c r="M22" s="19">
        <v>1.0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9">
        <v>1.0</v>
      </c>
      <c r="X22" s="19">
        <v>0.0</v>
      </c>
      <c r="Y22" s="19">
        <v>0.0</v>
      </c>
      <c r="Z22" s="19">
        <v>0.0</v>
      </c>
      <c r="AA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1.0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Z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0</v>
      </c>
      <c r="W24" s="13">
        <f t="shared" si="5"/>
        <v>1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1.0</v>
      </c>
      <c r="J25" s="19">
        <v>1.0</v>
      </c>
      <c r="K25" s="19">
        <v>1.0</v>
      </c>
      <c r="L25" s="19">
        <v>1.0</v>
      </c>
      <c r="M25" s="19">
        <v>2.0</v>
      </c>
      <c r="N25" s="19">
        <v>1.0</v>
      </c>
      <c r="O25" s="19">
        <v>0.0</v>
      </c>
      <c r="P25" s="19">
        <v>0.0</v>
      </c>
      <c r="Q25" s="19">
        <v>0.0</v>
      </c>
      <c r="R25" s="19">
        <v>3.0</v>
      </c>
      <c r="S25" s="19">
        <v>0.0</v>
      </c>
      <c r="T25" s="19">
        <v>1.0</v>
      </c>
      <c r="U25" s="19">
        <v>2.0</v>
      </c>
      <c r="V25" s="19">
        <v>0.0</v>
      </c>
      <c r="W25" s="19">
        <v>0.0</v>
      </c>
      <c r="X25" s="19">
        <v>2.0</v>
      </c>
      <c r="Y25" s="19">
        <v>1.0</v>
      </c>
      <c r="Z25" s="19">
        <v>0.0</v>
      </c>
      <c r="AA25" s="13">
        <f t="shared" si="3"/>
        <v>17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1.0</v>
      </c>
      <c r="G26" s="19">
        <v>3.0</v>
      </c>
      <c r="H26" s="19">
        <v>1.0</v>
      </c>
      <c r="I26" s="19">
        <v>2.0</v>
      </c>
      <c r="J26" s="19">
        <v>1.0</v>
      </c>
      <c r="K26" s="19">
        <v>1.0</v>
      </c>
      <c r="L26" s="19">
        <v>2.0</v>
      </c>
      <c r="M26" s="19">
        <v>2.0</v>
      </c>
      <c r="N26" s="19">
        <v>4.0</v>
      </c>
      <c r="O26" s="19">
        <v>0.0</v>
      </c>
      <c r="P26" s="19">
        <v>0.0</v>
      </c>
      <c r="Q26" s="19">
        <v>0.0</v>
      </c>
      <c r="R26" s="19">
        <v>1.0</v>
      </c>
      <c r="S26" s="19">
        <v>2.0</v>
      </c>
      <c r="T26" s="19">
        <v>1.0</v>
      </c>
      <c r="U26" s="19">
        <v>0.0</v>
      </c>
      <c r="V26" s="19">
        <v>0.0</v>
      </c>
      <c r="W26" s="19">
        <v>0.0</v>
      </c>
      <c r="X26" s="19">
        <v>1.0</v>
      </c>
      <c r="Y26" s="19">
        <v>1.0</v>
      </c>
      <c r="Z26" s="19">
        <v>0.0</v>
      </c>
      <c r="AA26" s="13">
        <f t="shared" si="3"/>
        <v>24</v>
      </c>
    </row>
    <row r="27" ht="12.75" customHeight="1">
      <c r="A27" s="35"/>
      <c r="B27" s="28"/>
      <c r="C27" s="36"/>
      <c r="D27" s="13" t="s">
        <v>14</v>
      </c>
      <c r="E27" s="13">
        <f t="shared" ref="E27:Z27" si="6">SUM(E25:E26)</f>
        <v>1</v>
      </c>
      <c r="F27" s="13">
        <f t="shared" si="6"/>
        <v>2</v>
      </c>
      <c r="G27" s="13">
        <f t="shared" si="6"/>
        <v>3</v>
      </c>
      <c r="H27" s="13">
        <f t="shared" si="6"/>
        <v>1</v>
      </c>
      <c r="I27" s="13">
        <f t="shared" si="6"/>
        <v>3</v>
      </c>
      <c r="J27" s="13">
        <f t="shared" si="6"/>
        <v>2</v>
      </c>
      <c r="K27" s="13">
        <f t="shared" si="6"/>
        <v>2</v>
      </c>
      <c r="L27" s="13">
        <f t="shared" si="6"/>
        <v>3</v>
      </c>
      <c r="M27" s="13">
        <f t="shared" si="6"/>
        <v>4</v>
      </c>
      <c r="N27" s="13">
        <f t="shared" si="6"/>
        <v>5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4</v>
      </c>
      <c r="S27" s="13">
        <f t="shared" si="6"/>
        <v>2</v>
      </c>
      <c r="T27" s="13">
        <f t="shared" si="6"/>
        <v>2</v>
      </c>
      <c r="U27" s="13">
        <f t="shared" si="6"/>
        <v>2</v>
      </c>
      <c r="V27" s="13">
        <f t="shared" si="6"/>
        <v>0</v>
      </c>
      <c r="W27" s="13">
        <f t="shared" si="6"/>
        <v>0</v>
      </c>
      <c r="X27" s="13">
        <f t="shared" si="6"/>
        <v>3</v>
      </c>
      <c r="Y27" s="13">
        <f t="shared" si="6"/>
        <v>2</v>
      </c>
      <c r="Z27" s="13">
        <f t="shared" si="6"/>
        <v>0</v>
      </c>
      <c r="AA27" s="13">
        <f t="shared" si="3"/>
        <v>41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Z28" si="7">SUM(E19,E22,E25)</f>
        <v>102</v>
      </c>
      <c r="F28" s="13">
        <f t="shared" si="7"/>
        <v>120</v>
      </c>
      <c r="G28" s="13">
        <f t="shared" si="7"/>
        <v>113</v>
      </c>
      <c r="H28" s="13">
        <f t="shared" si="7"/>
        <v>114</v>
      </c>
      <c r="I28" s="13">
        <f t="shared" si="7"/>
        <v>113</v>
      </c>
      <c r="J28" s="13">
        <f t="shared" si="7"/>
        <v>111</v>
      </c>
      <c r="K28" s="13">
        <f t="shared" si="7"/>
        <v>101</v>
      </c>
      <c r="L28" s="13">
        <f t="shared" si="7"/>
        <v>102</v>
      </c>
      <c r="M28" s="13">
        <f t="shared" si="7"/>
        <v>121</v>
      </c>
      <c r="N28" s="13">
        <f t="shared" si="7"/>
        <v>94</v>
      </c>
      <c r="O28" s="13">
        <f t="shared" si="7"/>
        <v>111</v>
      </c>
      <c r="P28" s="13">
        <f t="shared" si="7"/>
        <v>104</v>
      </c>
      <c r="Q28" s="13">
        <f t="shared" si="7"/>
        <v>111</v>
      </c>
      <c r="R28" s="13">
        <f t="shared" si="7"/>
        <v>114</v>
      </c>
      <c r="S28" s="13">
        <f t="shared" si="7"/>
        <v>110</v>
      </c>
      <c r="T28" s="13">
        <f t="shared" si="7"/>
        <v>104</v>
      </c>
      <c r="U28" s="13">
        <f t="shared" si="7"/>
        <v>109</v>
      </c>
      <c r="V28" s="13">
        <f t="shared" si="7"/>
        <v>118</v>
      </c>
      <c r="W28" s="13">
        <f t="shared" si="7"/>
        <v>100</v>
      </c>
      <c r="X28" s="13">
        <f t="shared" si="7"/>
        <v>102</v>
      </c>
      <c r="Y28" s="13">
        <f t="shared" si="7"/>
        <v>107</v>
      </c>
      <c r="Z28" s="13">
        <f t="shared" si="7"/>
        <v>129</v>
      </c>
      <c r="AA28" s="13">
        <f t="shared" si="3"/>
        <v>2410</v>
      </c>
    </row>
    <row r="29" ht="12.75" customHeight="1">
      <c r="A29" s="35"/>
      <c r="B29" s="27"/>
      <c r="C29" s="34"/>
      <c r="D29" s="13" t="s">
        <v>13</v>
      </c>
      <c r="E29" s="13">
        <f t="shared" ref="E29:Z29" si="8">SUM(E20,E23,E26)</f>
        <v>117</v>
      </c>
      <c r="F29" s="13">
        <f t="shared" si="8"/>
        <v>107</v>
      </c>
      <c r="G29" s="13">
        <f t="shared" si="8"/>
        <v>120</v>
      </c>
      <c r="H29" s="13">
        <f t="shared" si="8"/>
        <v>116</v>
      </c>
      <c r="I29" s="13">
        <f t="shared" si="8"/>
        <v>127</v>
      </c>
      <c r="J29" s="13">
        <f t="shared" si="8"/>
        <v>101</v>
      </c>
      <c r="K29" s="13">
        <f t="shared" si="8"/>
        <v>102</v>
      </c>
      <c r="L29" s="13">
        <f t="shared" si="8"/>
        <v>98</v>
      </c>
      <c r="M29" s="13">
        <f t="shared" si="8"/>
        <v>111</v>
      </c>
      <c r="N29" s="13">
        <f t="shared" si="8"/>
        <v>105</v>
      </c>
      <c r="O29" s="13">
        <f t="shared" si="8"/>
        <v>132</v>
      </c>
      <c r="P29" s="13">
        <f t="shared" si="8"/>
        <v>134</v>
      </c>
      <c r="Q29" s="13">
        <f t="shared" si="8"/>
        <v>121</v>
      </c>
      <c r="R29" s="13">
        <f t="shared" si="8"/>
        <v>105</v>
      </c>
      <c r="S29" s="13">
        <f t="shared" si="8"/>
        <v>109</v>
      </c>
      <c r="T29" s="13">
        <f t="shared" si="8"/>
        <v>108</v>
      </c>
      <c r="U29" s="13">
        <f t="shared" si="8"/>
        <v>121</v>
      </c>
      <c r="V29" s="13">
        <f t="shared" si="8"/>
        <v>125</v>
      </c>
      <c r="W29" s="13">
        <f t="shared" si="8"/>
        <v>111</v>
      </c>
      <c r="X29" s="13">
        <f t="shared" si="8"/>
        <v>104</v>
      </c>
      <c r="Y29" s="13">
        <f t="shared" si="8"/>
        <v>130</v>
      </c>
      <c r="Z29" s="13">
        <f t="shared" si="8"/>
        <v>129</v>
      </c>
      <c r="AA29" s="13">
        <f t="shared" si="3"/>
        <v>2533</v>
      </c>
    </row>
    <row r="30" ht="12.75" customHeight="1">
      <c r="A30" s="35"/>
      <c r="B30" s="28"/>
      <c r="C30" s="36"/>
      <c r="D30" s="13" t="s">
        <v>14</v>
      </c>
      <c r="E30" s="13">
        <f t="shared" ref="E30:Z30" si="9">SUM(E28:E29)</f>
        <v>219</v>
      </c>
      <c r="F30" s="13">
        <f t="shared" si="9"/>
        <v>227</v>
      </c>
      <c r="G30" s="13">
        <f t="shared" si="9"/>
        <v>233</v>
      </c>
      <c r="H30" s="13">
        <f t="shared" si="9"/>
        <v>230</v>
      </c>
      <c r="I30" s="13">
        <f t="shared" si="9"/>
        <v>240</v>
      </c>
      <c r="J30" s="13">
        <f t="shared" si="9"/>
        <v>212</v>
      </c>
      <c r="K30" s="13">
        <f t="shared" si="9"/>
        <v>203</v>
      </c>
      <c r="L30" s="13">
        <f t="shared" si="9"/>
        <v>200</v>
      </c>
      <c r="M30" s="13">
        <f t="shared" si="9"/>
        <v>232</v>
      </c>
      <c r="N30" s="13">
        <f t="shared" si="9"/>
        <v>199</v>
      </c>
      <c r="O30" s="13">
        <f t="shared" si="9"/>
        <v>243</v>
      </c>
      <c r="P30" s="13">
        <f t="shared" si="9"/>
        <v>238</v>
      </c>
      <c r="Q30" s="13">
        <f t="shared" si="9"/>
        <v>232</v>
      </c>
      <c r="R30" s="13">
        <f t="shared" si="9"/>
        <v>219</v>
      </c>
      <c r="S30" s="13">
        <f t="shared" si="9"/>
        <v>219</v>
      </c>
      <c r="T30" s="13">
        <f t="shared" si="9"/>
        <v>212</v>
      </c>
      <c r="U30" s="13">
        <f t="shared" si="9"/>
        <v>230</v>
      </c>
      <c r="V30" s="13">
        <f t="shared" si="9"/>
        <v>243</v>
      </c>
      <c r="W30" s="13">
        <f t="shared" si="9"/>
        <v>211</v>
      </c>
      <c r="X30" s="13">
        <f t="shared" si="9"/>
        <v>206</v>
      </c>
      <c r="Y30" s="13">
        <f t="shared" si="9"/>
        <v>237</v>
      </c>
      <c r="Z30" s="13">
        <f t="shared" si="9"/>
        <v>258</v>
      </c>
      <c r="AA30" s="13">
        <f t="shared" si="3"/>
        <v>4943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0"/>
      <c r="O32" s="13"/>
      <c r="P32" s="13"/>
      <c r="Q32" s="13"/>
      <c r="R32" s="13"/>
      <c r="S32" s="70"/>
      <c r="T32" s="13"/>
      <c r="U32" s="13"/>
      <c r="V32" s="13"/>
      <c r="W32" s="13"/>
      <c r="X32" s="70"/>
      <c r="Y32" s="13"/>
      <c r="Z32" s="13"/>
      <c r="AA32" s="68"/>
    </row>
    <row r="33" ht="12.75" customHeight="1">
      <c r="A33" s="19">
        <v>1.0</v>
      </c>
      <c r="B33" s="20" t="s">
        <v>27</v>
      </c>
      <c r="C33" s="15"/>
      <c r="D33" s="16"/>
      <c r="E33" s="19">
        <v>301.0</v>
      </c>
      <c r="F33" s="19">
        <v>284.0</v>
      </c>
      <c r="G33" s="19">
        <v>290.0</v>
      </c>
      <c r="H33" s="19">
        <v>297.0</v>
      </c>
      <c r="I33" s="19">
        <v>286.0</v>
      </c>
      <c r="J33" s="19">
        <v>277.0</v>
      </c>
      <c r="K33" s="19">
        <v>249.0</v>
      </c>
      <c r="L33" s="19">
        <v>284.0</v>
      </c>
      <c r="M33" s="19">
        <v>299.0</v>
      </c>
      <c r="N33" s="19">
        <v>233.0</v>
      </c>
      <c r="O33" s="19">
        <v>281.0</v>
      </c>
      <c r="P33" s="19">
        <v>292.0</v>
      </c>
      <c r="Q33" s="19">
        <v>294.0</v>
      </c>
      <c r="R33" s="19">
        <v>279.0</v>
      </c>
      <c r="S33" s="19">
        <v>301.0</v>
      </c>
      <c r="T33" s="19">
        <v>249.0</v>
      </c>
      <c r="U33" s="19">
        <v>284.0</v>
      </c>
      <c r="V33" s="19">
        <v>286.0</v>
      </c>
      <c r="W33" s="19">
        <v>279.0</v>
      </c>
      <c r="X33" s="19">
        <v>270.0</v>
      </c>
      <c r="Y33" s="19">
        <v>288.0</v>
      </c>
      <c r="Z33" s="19">
        <v>301.0</v>
      </c>
      <c r="AA33" s="13">
        <f t="shared" ref="AA33:AA36" si="10">SUM(E33:Z33)</f>
        <v>6204</v>
      </c>
    </row>
    <row r="34" ht="12.75" customHeight="1">
      <c r="A34" s="19">
        <v>2.0</v>
      </c>
      <c r="B34" s="20" t="s">
        <v>28</v>
      </c>
      <c r="C34" s="15"/>
      <c r="D34" s="16"/>
      <c r="E34" s="13">
        <v>219.0</v>
      </c>
      <c r="F34" s="13">
        <v>227.0</v>
      </c>
      <c r="G34" s="13">
        <v>233.0</v>
      </c>
      <c r="H34" s="13">
        <v>230.0</v>
      </c>
      <c r="I34" s="13">
        <v>240.0</v>
      </c>
      <c r="J34" s="13">
        <v>212.0</v>
      </c>
      <c r="K34" s="13">
        <v>203.0</v>
      </c>
      <c r="L34" s="13">
        <v>200.0</v>
      </c>
      <c r="M34" s="13">
        <v>232.0</v>
      </c>
      <c r="N34" s="13">
        <v>199.0</v>
      </c>
      <c r="O34" s="13">
        <v>243.0</v>
      </c>
      <c r="P34" s="13">
        <v>238.0</v>
      </c>
      <c r="Q34" s="13">
        <v>232.0</v>
      </c>
      <c r="R34" s="13">
        <v>219.0</v>
      </c>
      <c r="S34" s="13">
        <v>219.0</v>
      </c>
      <c r="T34" s="13">
        <v>212.0</v>
      </c>
      <c r="U34" s="13">
        <v>230.0</v>
      </c>
      <c r="V34" s="13">
        <v>243.0</v>
      </c>
      <c r="W34" s="13">
        <v>211.0</v>
      </c>
      <c r="X34" s="13">
        <v>206.0</v>
      </c>
      <c r="Y34" s="13">
        <v>237.0</v>
      </c>
      <c r="Z34" s="13">
        <v>258.0</v>
      </c>
      <c r="AA34" s="13">
        <f t="shared" si="10"/>
        <v>4943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3.0</v>
      </c>
      <c r="J35" s="19">
        <v>0.0</v>
      </c>
      <c r="K35" s="19">
        <v>0.0</v>
      </c>
      <c r="L35" s="19">
        <v>0.0</v>
      </c>
      <c r="M35" s="19">
        <v>0.0</v>
      </c>
      <c r="N35" s="19">
        <v>1.0</v>
      </c>
      <c r="O35" s="19">
        <v>0.0</v>
      </c>
      <c r="P35" s="19">
        <v>2.0</v>
      </c>
      <c r="Q35" s="19">
        <v>2.0</v>
      </c>
      <c r="R35" s="19">
        <v>1.0</v>
      </c>
      <c r="S35" s="19">
        <v>0.0</v>
      </c>
      <c r="T35" s="19">
        <v>0.0</v>
      </c>
      <c r="U35" s="19">
        <v>0.0</v>
      </c>
      <c r="V35" s="19">
        <v>2.0</v>
      </c>
      <c r="W35" s="19">
        <v>0.0</v>
      </c>
      <c r="X35" s="19">
        <v>0.0</v>
      </c>
      <c r="Y35" s="19">
        <v>1.0</v>
      </c>
      <c r="Z35" s="19">
        <v>0.0</v>
      </c>
      <c r="AA35" s="13">
        <f t="shared" si="10"/>
        <v>13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82</v>
      </c>
      <c r="F36" s="13">
        <f t="shared" si="11"/>
        <v>56</v>
      </c>
      <c r="G36" s="13">
        <f t="shared" si="11"/>
        <v>57</v>
      </c>
      <c r="H36" s="13">
        <f t="shared" si="11"/>
        <v>67</v>
      </c>
      <c r="I36" s="13">
        <f t="shared" si="11"/>
        <v>43</v>
      </c>
      <c r="J36" s="13">
        <f t="shared" si="11"/>
        <v>65</v>
      </c>
      <c r="K36" s="13">
        <f t="shared" si="11"/>
        <v>46</v>
      </c>
      <c r="L36" s="13">
        <f t="shared" si="11"/>
        <v>84</v>
      </c>
      <c r="M36" s="13">
        <f t="shared" si="11"/>
        <v>67</v>
      </c>
      <c r="N36" s="13">
        <f t="shared" si="11"/>
        <v>33</v>
      </c>
      <c r="O36" s="13">
        <f t="shared" si="11"/>
        <v>38</v>
      </c>
      <c r="P36" s="13">
        <f t="shared" si="11"/>
        <v>52</v>
      </c>
      <c r="Q36" s="13">
        <f t="shared" si="11"/>
        <v>60</v>
      </c>
      <c r="R36" s="13">
        <f t="shared" si="11"/>
        <v>59</v>
      </c>
      <c r="S36" s="13">
        <f t="shared" si="11"/>
        <v>82</v>
      </c>
      <c r="T36" s="13">
        <f t="shared" si="11"/>
        <v>37</v>
      </c>
      <c r="U36" s="13">
        <f t="shared" si="11"/>
        <v>54</v>
      </c>
      <c r="V36" s="13">
        <f t="shared" si="11"/>
        <v>41</v>
      </c>
      <c r="W36" s="13">
        <f t="shared" si="11"/>
        <v>68</v>
      </c>
      <c r="X36" s="13">
        <f t="shared" si="11"/>
        <v>64</v>
      </c>
      <c r="Y36" s="13">
        <f t="shared" si="11"/>
        <v>50</v>
      </c>
      <c r="Z36" s="13">
        <f t="shared" si="11"/>
        <v>43</v>
      </c>
      <c r="AA36" s="13">
        <f t="shared" si="10"/>
        <v>1248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0"/>
      <c r="O38" s="13"/>
      <c r="P38" s="13"/>
      <c r="Q38" s="13"/>
      <c r="R38" s="13"/>
      <c r="S38" s="70"/>
      <c r="T38" s="13"/>
      <c r="U38" s="13"/>
      <c r="V38" s="13"/>
      <c r="W38" s="13"/>
      <c r="X38" s="70"/>
      <c r="Y38" s="13"/>
      <c r="Z38" s="13"/>
      <c r="AA38" s="68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2.0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3">
        <f t="shared" ref="AA39:AA41" si="12">SUM(E39:Z39)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1.0</v>
      </c>
      <c r="T40" s="19">
        <v>0.0</v>
      </c>
      <c r="U40" s="19">
        <v>1.0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Z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3</v>
      </c>
      <c r="T41" s="13">
        <f t="shared" si="13"/>
        <v>0</v>
      </c>
      <c r="U41" s="13">
        <f t="shared" si="13"/>
        <v>1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0"/>
      <c r="O43" s="13"/>
      <c r="P43" s="13"/>
      <c r="Q43" s="13"/>
      <c r="R43" s="13"/>
      <c r="S43" s="70"/>
      <c r="T43" s="13"/>
      <c r="U43" s="13"/>
      <c r="V43" s="13"/>
      <c r="W43" s="13"/>
      <c r="X43" s="70"/>
      <c r="Y43" s="13"/>
      <c r="Z43" s="13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4.0</v>
      </c>
      <c r="F45" s="19">
        <v>15.0</v>
      </c>
      <c r="G45" s="19">
        <v>9.0</v>
      </c>
      <c r="H45" s="19">
        <v>4.0</v>
      </c>
      <c r="I45" s="19">
        <v>7.0</v>
      </c>
      <c r="J45" s="19">
        <v>13.0</v>
      </c>
      <c r="K45" s="19">
        <v>7.0</v>
      </c>
      <c r="L45" s="19">
        <v>3.0</v>
      </c>
      <c r="M45" s="19">
        <v>9.0</v>
      </c>
      <c r="N45" s="19">
        <v>0.0</v>
      </c>
      <c r="O45" s="19">
        <v>5.0</v>
      </c>
      <c r="P45" s="19">
        <v>5.0</v>
      </c>
      <c r="Q45" s="19">
        <v>10.0</v>
      </c>
      <c r="R45" s="19">
        <v>13.0</v>
      </c>
      <c r="S45" s="19">
        <v>7.0</v>
      </c>
      <c r="T45" s="19">
        <v>5.0</v>
      </c>
      <c r="U45" s="19">
        <v>2.0</v>
      </c>
      <c r="V45" s="19">
        <v>3.0</v>
      </c>
      <c r="W45" s="19">
        <v>5.0</v>
      </c>
      <c r="X45" s="19">
        <v>3.0</v>
      </c>
      <c r="Y45" s="19">
        <v>9.0</v>
      </c>
      <c r="Z45" s="19">
        <v>13.0</v>
      </c>
      <c r="AA45" s="13">
        <f t="shared" ref="AA45:AA55" si="14">SUM(E45:Z45)</f>
        <v>151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30.0</v>
      </c>
      <c r="F46" s="19">
        <v>56.0</v>
      </c>
      <c r="G46" s="19">
        <v>26.0</v>
      </c>
      <c r="H46" s="19">
        <v>34.0</v>
      </c>
      <c r="I46" s="19">
        <v>70.0</v>
      </c>
      <c r="J46" s="19">
        <v>34.0</v>
      </c>
      <c r="K46" s="19">
        <v>22.0</v>
      </c>
      <c r="L46" s="19">
        <v>21.0</v>
      </c>
      <c r="M46" s="19">
        <v>48.0</v>
      </c>
      <c r="N46" s="19">
        <v>16.0</v>
      </c>
      <c r="O46" s="19">
        <v>6.0</v>
      </c>
      <c r="P46" s="19">
        <v>11.0</v>
      </c>
      <c r="Q46" s="19">
        <v>10.0</v>
      </c>
      <c r="R46" s="19">
        <v>26.0</v>
      </c>
      <c r="S46" s="19">
        <v>2.0</v>
      </c>
      <c r="T46" s="19">
        <v>5.0</v>
      </c>
      <c r="U46" s="19">
        <v>2.0</v>
      </c>
      <c r="V46" s="19">
        <v>3.0</v>
      </c>
      <c r="W46" s="19">
        <v>7.0</v>
      </c>
      <c r="X46" s="19">
        <v>9.0</v>
      </c>
      <c r="Y46" s="19">
        <v>16.0</v>
      </c>
      <c r="Z46" s="19">
        <v>63.0</v>
      </c>
      <c r="AA46" s="13">
        <f t="shared" si="14"/>
        <v>517</v>
      </c>
    </row>
    <row r="47" ht="12.75" customHeight="1">
      <c r="A47" s="18"/>
      <c r="B47" s="55">
        <v>2.0</v>
      </c>
      <c r="C47" s="50" t="s">
        <v>41</v>
      </c>
      <c r="D47" s="16"/>
      <c r="E47" s="19">
        <v>4.0</v>
      </c>
      <c r="F47" s="19">
        <v>3.0</v>
      </c>
      <c r="G47" s="19">
        <v>8.0</v>
      </c>
      <c r="H47" s="19">
        <v>3.0</v>
      </c>
      <c r="I47" s="19">
        <v>4.0</v>
      </c>
      <c r="J47" s="19">
        <v>2.0</v>
      </c>
      <c r="K47" s="19">
        <v>1.0</v>
      </c>
      <c r="L47" s="19">
        <v>2.0</v>
      </c>
      <c r="M47" s="19">
        <v>3.0</v>
      </c>
      <c r="N47" s="19">
        <v>0.0</v>
      </c>
      <c r="O47" s="19">
        <v>2.0</v>
      </c>
      <c r="P47" s="19">
        <v>1.0</v>
      </c>
      <c r="Q47" s="19">
        <v>1.0</v>
      </c>
      <c r="R47" s="19">
        <v>1.0</v>
      </c>
      <c r="S47" s="19">
        <v>1.0</v>
      </c>
      <c r="T47" s="19">
        <v>1.0</v>
      </c>
      <c r="U47" s="19">
        <v>3.0</v>
      </c>
      <c r="V47" s="19">
        <v>0.0</v>
      </c>
      <c r="W47" s="19">
        <v>0.0</v>
      </c>
      <c r="X47" s="19">
        <v>0.0</v>
      </c>
      <c r="Y47" s="19">
        <v>1.0</v>
      </c>
      <c r="Z47" s="19">
        <v>4.0</v>
      </c>
      <c r="AA47" s="13">
        <f t="shared" si="14"/>
        <v>45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1.0</v>
      </c>
      <c r="I48" s="19">
        <v>2.0</v>
      </c>
      <c r="J48" s="19">
        <v>0.0</v>
      </c>
      <c r="K48" s="19">
        <v>0.0</v>
      </c>
      <c r="L48" s="19">
        <v>0.0</v>
      </c>
      <c r="M48" s="19">
        <v>1.0</v>
      </c>
      <c r="N48" s="19">
        <v>0.0</v>
      </c>
      <c r="O48" s="19">
        <v>0.0</v>
      </c>
      <c r="P48" s="19">
        <v>0.0</v>
      </c>
      <c r="Q48" s="19">
        <v>0.0</v>
      </c>
      <c r="R48" s="19">
        <v>1.0</v>
      </c>
      <c r="S48" s="19">
        <v>0.0</v>
      </c>
      <c r="T48" s="19">
        <v>0.0</v>
      </c>
      <c r="U48" s="19">
        <v>1.0</v>
      </c>
      <c r="V48" s="19">
        <v>0.0</v>
      </c>
      <c r="W48" s="19">
        <v>2.0</v>
      </c>
      <c r="X48" s="19">
        <v>0.0</v>
      </c>
      <c r="Y48" s="19">
        <v>2.0</v>
      </c>
      <c r="Z48" s="19">
        <v>0.0</v>
      </c>
      <c r="AA48" s="13">
        <f t="shared" si="14"/>
        <v>10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1.0</v>
      </c>
      <c r="G49" s="19">
        <v>0.0</v>
      </c>
      <c r="H49" s="19">
        <v>0.0</v>
      </c>
      <c r="I49" s="19">
        <v>0.0</v>
      </c>
      <c r="J49" s="19">
        <v>2.0</v>
      </c>
      <c r="K49" s="19">
        <v>2.0</v>
      </c>
      <c r="L49" s="19">
        <v>0.0</v>
      </c>
      <c r="M49" s="19">
        <v>1.0</v>
      </c>
      <c r="N49" s="19">
        <v>0.0</v>
      </c>
      <c r="O49" s="19">
        <v>1.0</v>
      </c>
      <c r="P49" s="19">
        <v>0.0</v>
      </c>
      <c r="Q49" s="19">
        <v>0.0</v>
      </c>
      <c r="R49" s="19">
        <v>0.0</v>
      </c>
      <c r="S49" s="19">
        <v>1.0</v>
      </c>
      <c r="T49" s="19">
        <v>0.0</v>
      </c>
      <c r="U49" s="19">
        <v>1.0</v>
      </c>
      <c r="V49" s="19">
        <v>0.0</v>
      </c>
      <c r="W49" s="19">
        <v>0.0</v>
      </c>
      <c r="X49" s="19">
        <v>0.0</v>
      </c>
      <c r="Y49" s="19">
        <v>0.0</v>
      </c>
      <c r="Z49" s="19">
        <v>1.0</v>
      </c>
      <c r="AA49" s="13">
        <f t="shared" si="14"/>
        <v>10</v>
      </c>
    </row>
    <row r="50" ht="12.75" customHeight="1">
      <c r="A50" s="18"/>
      <c r="B50" s="55">
        <v>5.0</v>
      </c>
      <c r="C50" s="50" t="s">
        <v>44</v>
      </c>
      <c r="D50" s="16"/>
      <c r="E50" s="19">
        <v>2.0</v>
      </c>
      <c r="F50" s="19">
        <v>1.0</v>
      </c>
      <c r="G50" s="19">
        <v>0.0</v>
      </c>
      <c r="H50" s="19">
        <v>0.0</v>
      </c>
      <c r="I50" s="19">
        <v>2.0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1.0</v>
      </c>
      <c r="S50" s="19">
        <v>0.0</v>
      </c>
      <c r="T50" s="19">
        <v>1.0</v>
      </c>
      <c r="U50" s="19">
        <v>0.0</v>
      </c>
      <c r="V50" s="19">
        <v>0.0</v>
      </c>
      <c r="W50" s="19">
        <v>0.0</v>
      </c>
      <c r="X50" s="19">
        <v>0.0</v>
      </c>
      <c r="Y50" s="19">
        <v>0.0</v>
      </c>
      <c r="Z50" s="19">
        <v>0.0</v>
      </c>
      <c r="AA50" s="13">
        <f t="shared" si="14"/>
        <v>7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1.0</v>
      </c>
      <c r="G51" s="19">
        <v>1.0</v>
      </c>
      <c r="H51" s="19">
        <v>1.0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1.0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9">
        <v>1.0</v>
      </c>
      <c r="AA51" s="13">
        <f t="shared" si="14"/>
        <v>5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1.0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1.0</v>
      </c>
      <c r="Y52" s="19">
        <v>0.0</v>
      </c>
      <c r="Z52" s="19">
        <v>1.0</v>
      </c>
      <c r="AA52" s="13">
        <f t="shared" si="14"/>
        <v>3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3">
        <f t="shared" si="14"/>
        <v>0</v>
      </c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Z55" si="15">SUM(E45:E52)</f>
        <v>40</v>
      </c>
      <c r="F55" s="13">
        <f t="shared" si="15"/>
        <v>77</v>
      </c>
      <c r="G55" s="13">
        <f t="shared" si="15"/>
        <v>44</v>
      </c>
      <c r="H55" s="13">
        <f t="shared" si="15"/>
        <v>43</v>
      </c>
      <c r="I55" s="13">
        <f t="shared" si="15"/>
        <v>85</v>
      </c>
      <c r="J55" s="13">
        <f t="shared" si="15"/>
        <v>51</v>
      </c>
      <c r="K55" s="13">
        <f t="shared" si="15"/>
        <v>32</v>
      </c>
      <c r="L55" s="13">
        <f t="shared" si="15"/>
        <v>26</v>
      </c>
      <c r="M55" s="13">
        <f t="shared" si="15"/>
        <v>62</v>
      </c>
      <c r="N55" s="13">
        <f t="shared" si="15"/>
        <v>17</v>
      </c>
      <c r="O55" s="13">
        <f t="shared" si="15"/>
        <v>14</v>
      </c>
      <c r="P55" s="13">
        <f t="shared" si="15"/>
        <v>18</v>
      </c>
      <c r="Q55" s="13">
        <f t="shared" si="15"/>
        <v>21</v>
      </c>
      <c r="R55" s="13">
        <f t="shared" si="15"/>
        <v>42</v>
      </c>
      <c r="S55" s="13">
        <f t="shared" si="15"/>
        <v>11</v>
      </c>
      <c r="T55" s="13">
        <f t="shared" si="15"/>
        <v>12</v>
      </c>
      <c r="U55" s="13">
        <f t="shared" si="15"/>
        <v>9</v>
      </c>
      <c r="V55" s="13">
        <f t="shared" si="15"/>
        <v>6</v>
      </c>
      <c r="W55" s="13">
        <f t="shared" si="15"/>
        <v>14</v>
      </c>
      <c r="X55" s="13">
        <f t="shared" si="15"/>
        <v>13</v>
      </c>
      <c r="Y55" s="13">
        <f t="shared" si="15"/>
        <v>28</v>
      </c>
      <c r="Z55" s="13">
        <f t="shared" si="15"/>
        <v>83</v>
      </c>
      <c r="AA55" s="13">
        <f t="shared" si="14"/>
        <v>748</v>
      </c>
    </row>
    <row r="56" ht="12.75" customHeight="1">
      <c r="A56" s="45"/>
      <c r="B56" s="44"/>
      <c r="C56" s="44"/>
      <c r="D56" s="44"/>
      <c r="E56" s="44"/>
      <c r="AA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8.0</v>
      </c>
      <c r="F57" s="19">
        <v>5.0</v>
      </c>
      <c r="G57" s="19">
        <v>27.0</v>
      </c>
      <c r="H57" s="19">
        <v>13.0</v>
      </c>
      <c r="I57" s="19">
        <v>8.0</v>
      </c>
      <c r="J57" s="19">
        <v>13.0</v>
      </c>
      <c r="K57" s="19">
        <v>6.0</v>
      </c>
      <c r="L57" s="19">
        <v>9.0</v>
      </c>
      <c r="M57" s="19">
        <v>16.0</v>
      </c>
      <c r="N57" s="19">
        <v>9.0</v>
      </c>
      <c r="O57" s="19">
        <v>7.0</v>
      </c>
      <c r="P57" s="19">
        <v>13.0</v>
      </c>
      <c r="Q57" s="19">
        <v>15.0</v>
      </c>
      <c r="R57" s="19">
        <v>15.0</v>
      </c>
      <c r="S57" s="19">
        <v>31.0</v>
      </c>
      <c r="T57" s="19">
        <v>8.0</v>
      </c>
      <c r="U57" s="19">
        <v>6.0</v>
      </c>
      <c r="V57" s="19">
        <v>19.0</v>
      </c>
      <c r="W57" s="19">
        <v>14.0</v>
      </c>
      <c r="X57" s="19">
        <v>10.0</v>
      </c>
      <c r="Y57" s="19">
        <v>12.0</v>
      </c>
      <c r="Z57" s="19">
        <v>14.0</v>
      </c>
      <c r="AA57" s="13">
        <f t="shared" ref="AA57:AA67" si="16">SUM(E57:Z57)</f>
        <v>278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9.0</v>
      </c>
      <c r="F58" s="19">
        <v>7.0</v>
      </c>
      <c r="G58" s="19">
        <v>14.0</v>
      </c>
      <c r="H58" s="19">
        <v>7.0</v>
      </c>
      <c r="I58" s="19">
        <v>7.0</v>
      </c>
      <c r="J58" s="19">
        <v>8.0</v>
      </c>
      <c r="K58" s="19">
        <v>9.0</v>
      </c>
      <c r="L58" s="19">
        <v>7.0</v>
      </c>
      <c r="M58" s="19">
        <v>9.0</v>
      </c>
      <c r="N58" s="19">
        <v>9.0</v>
      </c>
      <c r="O58" s="19">
        <v>12.0</v>
      </c>
      <c r="P58" s="19">
        <v>6.0</v>
      </c>
      <c r="Q58" s="19">
        <v>11.0</v>
      </c>
      <c r="R58" s="19">
        <v>21.0</v>
      </c>
      <c r="S58" s="19">
        <v>17.0</v>
      </c>
      <c r="T58" s="19">
        <v>8.0</v>
      </c>
      <c r="U58" s="19">
        <v>10.0</v>
      </c>
      <c r="V58" s="19">
        <v>9.0</v>
      </c>
      <c r="W58" s="19">
        <v>4.0</v>
      </c>
      <c r="X58" s="19">
        <v>5.0</v>
      </c>
      <c r="Y58" s="19">
        <v>10.0</v>
      </c>
      <c r="Z58" s="19">
        <v>9.0</v>
      </c>
      <c r="AA58" s="13">
        <f t="shared" si="16"/>
        <v>208</v>
      </c>
    </row>
    <row r="59" ht="12.75" customHeight="1">
      <c r="A59" s="18"/>
      <c r="B59" s="55">
        <v>2.0</v>
      </c>
      <c r="C59" s="50" t="s">
        <v>50</v>
      </c>
      <c r="D59" s="56"/>
      <c r="E59" s="19">
        <v>9.0</v>
      </c>
      <c r="F59" s="19">
        <v>15.0</v>
      </c>
      <c r="G59" s="19">
        <v>17.0</v>
      </c>
      <c r="H59" s="19">
        <v>17.0</v>
      </c>
      <c r="I59" s="19">
        <v>7.0</v>
      </c>
      <c r="J59" s="19">
        <v>19.0</v>
      </c>
      <c r="K59" s="19">
        <v>9.0</v>
      </c>
      <c r="L59" s="19">
        <v>4.0</v>
      </c>
      <c r="M59" s="19">
        <v>25.0</v>
      </c>
      <c r="N59" s="19">
        <v>28.0</v>
      </c>
      <c r="O59" s="19">
        <v>40.0</v>
      </c>
      <c r="P59" s="19">
        <v>12.0</v>
      </c>
      <c r="Q59" s="19">
        <v>25.0</v>
      </c>
      <c r="R59" s="19">
        <v>27.0</v>
      </c>
      <c r="S59" s="19">
        <v>10.0</v>
      </c>
      <c r="T59" s="19">
        <v>6.0</v>
      </c>
      <c r="U59" s="19">
        <v>21.0</v>
      </c>
      <c r="V59" s="19">
        <v>48.0</v>
      </c>
      <c r="W59" s="19">
        <v>41.0</v>
      </c>
      <c r="X59" s="19">
        <v>6.0</v>
      </c>
      <c r="Y59" s="19">
        <v>25.0</v>
      </c>
      <c r="Z59" s="19">
        <v>16.0</v>
      </c>
      <c r="AA59" s="13">
        <f t="shared" si="16"/>
        <v>427</v>
      </c>
    </row>
    <row r="60" ht="12.75" customHeight="1">
      <c r="A60" s="18"/>
      <c r="B60" s="55">
        <v>3.0</v>
      </c>
      <c r="C60" s="50" t="s">
        <v>51</v>
      </c>
      <c r="D60" s="56"/>
      <c r="E60" s="19">
        <v>1.0</v>
      </c>
      <c r="F60" s="19">
        <v>2.0</v>
      </c>
      <c r="G60" s="19">
        <v>2.0</v>
      </c>
      <c r="H60" s="19">
        <v>1.0</v>
      </c>
      <c r="I60" s="19">
        <v>2.0</v>
      </c>
      <c r="J60" s="19">
        <v>1.0</v>
      </c>
      <c r="K60" s="19">
        <v>1.0</v>
      </c>
      <c r="L60" s="19">
        <v>1.0</v>
      </c>
      <c r="M60" s="19">
        <v>1.0</v>
      </c>
      <c r="N60" s="19">
        <v>0.0</v>
      </c>
      <c r="O60" s="19">
        <v>1.0</v>
      </c>
      <c r="P60" s="19">
        <v>1.0</v>
      </c>
      <c r="Q60" s="19">
        <v>0.0</v>
      </c>
      <c r="R60" s="19">
        <v>1.0</v>
      </c>
      <c r="S60" s="19">
        <v>2.0</v>
      </c>
      <c r="T60" s="19">
        <v>2.0</v>
      </c>
      <c r="U60" s="19">
        <v>1.0</v>
      </c>
      <c r="V60" s="19">
        <v>0.0</v>
      </c>
      <c r="W60" s="19">
        <v>2.0</v>
      </c>
      <c r="X60" s="19">
        <v>5.0</v>
      </c>
      <c r="Y60" s="19">
        <v>1.0</v>
      </c>
      <c r="Z60" s="19">
        <v>2.0</v>
      </c>
      <c r="AA60" s="13">
        <f t="shared" si="16"/>
        <v>30</v>
      </c>
    </row>
    <row r="61" ht="12.75" customHeight="1">
      <c r="A61" s="18"/>
      <c r="B61" s="55">
        <v>4.0</v>
      </c>
      <c r="C61" s="50" t="s">
        <v>52</v>
      </c>
      <c r="D61" s="56"/>
      <c r="E61" s="19">
        <v>0.0</v>
      </c>
      <c r="F61" s="19">
        <v>0.0</v>
      </c>
      <c r="G61" s="19">
        <v>0.0</v>
      </c>
      <c r="H61" s="19">
        <v>2.0</v>
      </c>
      <c r="I61" s="19">
        <v>0.0</v>
      </c>
      <c r="J61" s="19">
        <v>2.0</v>
      </c>
      <c r="K61" s="19">
        <v>5.0</v>
      </c>
      <c r="L61" s="19">
        <v>2.0</v>
      </c>
      <c r="M61" s="19">
        <v>2.0</v>
      </c>
      <c r="N61" s="19">
        <v>1.0</v>
      </c>
      <c r="O61" s="19">
        <v>3.0</v>
      </c>
      <c r="P61" s="19">
        <v>2.0</v>
      </c>
      <c r="Q61" s="19">
        <v>4.0</v>
      </c>
      <c r="R61" s="19">
        <v>2.0</v>
      </c>
      <c r="S61" s="19">
        <v>3.0</v>
      </c>
      <c r="T61" s="19">
        <v>2.0</v>
      </c>
      <c r="U61" s="19">
        <v>8.0</v>
      </c>
      <c r="V61" s="19">
        <v>2.0</v>
      </c>
      <c r="W61" s="19">
        <v>8.0</v>
      </c>
      <c r="X61" s="19">
        <v>1.0</v>
      </c>
      <c r="Y61" s="19">
        <v>5.0</v>
      </c>
      <c r="Z61" s="19">
        <v>2.0</v>
      </c>
      <c r="AA61" s="13">
        <f t="shared" si="16"/>
        <v>56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1.0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1.0</v>
      </c>
      <c r="T62" s="19">
        <v>3.0</v>
      </c>
      <c r="U62" s="19">
        <v>0.0</v>
      </c>
      <c r="V62" s="19">
        <v>2.0</v>
      </c>
      <c r="W62" s="19">
        <v>1.0</v>
      </c>
      <c r="X62" s="19">
        <v>0.0</v>
      </c>
      <c r="Y62" s="19">
        <v>1.0</v>
      </c>
      <c r="Z62" s="19">
        <v>1.0</v>
      </c>
      <c r="AA62" s="13">
        <f t="shared" si="16"/>
        <v>10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1.0</v>
      </c>
      <c r="G63" s="19">
        <v>1.0</v>
      </c>
      <c r="H63" s="19">
        <v>1.0</v>
      </c>
      <c r="I63" s="19">
        <v>2.0</v>
      </c>
      <c r="J63" s="19">
        <v>4.0</v>
      </c>
      <c r="K63" s="19">
        <v>1.0</v>
      </c>
      <c r="L63" s="19">
        <v>1.0</v>
      </c>
      <c r="M63" s="19">
        <v>2.0</v>
      </c>
      <c r="N63" s="19">
        <v>1.0</v>
      </c>
      <c r="O63" s="19">
        <v>1.0</v>
      </c>
      <c r="P63" s="19">
        <v>1.0</v>
      </c>
      <c r="Q63" s="19">
        <v>0.0</v>
      </c>
      <c r="R63" s="19">
        <v>1.0</v>
      </c>
      <c r="S63" s="19">
        <v>0.0</v>
      </c>
      <c r="T63" s="19">
        <v>1.0</v>
      </c>
      <c r="U63" s="19">
        <v>3.0</v>
      </c>
      <c r="V63" s="19">
        <v>0.0</v>
      </c>
      <c r="W63" s="19">
        <v>1.0</v>
      </c>
      <c r="X63" s="19">
        <v>1.0</v>
      </c>
      <c r="Y63" s="19">
        <v>1.0</v>
      </c>
      <c r="Z63" s="19">
        <v>1.0</v>
      </c>
      <c r="AA63" s="13">
        <f t="shared" si="16"/>
        <v>25</v>
      </c>
    </row>
    <row r="64" ht="12.75" customHeight="1">
      <c r="A64" s="18"/>
      <c r="B64" s="55">
        <v>7.0</v>
      </c>
      <c r="C64" s="50" t="s">
        <v>55</v>
      </c>
      <c r="D64" s="56"/>
      <c r="E64" s="19">
        <v>1.0</v>
      </c>
      <c r="F64" s="19">
        <v>0.0</v>
      </c>
      <c r="G64" s="19">
        <v>1.0</v>
      </c>
      <c r="H64" s="19">
        <v>0.0</v>
      </c>
      <c r="I64" s="19">
        <v>1.0</v>
      </c>
      <c r="J64" s="19">
        <v>0.0</v>
      </c>
      <c r="K64" s="19">
        <v>0.0</v>
      </c>
      <c r="L64" s="19">
        <v>1.0</v>
      </c>
      <c r="M64" s="19">
        <v>1.0</v>
      </c>
      <c r="N64" s="19">
        <v>0.0</v>
      </c>
      <c r="O64" s="19">
        <v>0.0</v>
      </c>
      <c r="P64" s="19">
        <v>0.0</v>
      </c>
      <c r="Q64" s="19">
        <v>1.0</v>
      </c>
      <c r="R64" s="19">
        <v>0.0</v>
      </c>
      <c r="S64" s="19">
        <v>0.0</v>
      </c>
      <c r="T64" s="19">
        <v>0.0</v>
      </c>
      <c r="U64" s="19">
        <v>0.0</v>
      </c>
      <c r="V64" s="19">
        <v>2.0</v>
      </c>
      <c r="W64" s="19">
        <v>1.0</v>
      </c>
      <c r="X64" s="19">
        <v>0.0</v>
      </c>
      <c r="Y64" s="19">
        <v>0.0</v>
      </c>
      <c r="Z64" s="19">
        <v>0.0</v>
      </c>
      <c r="AA64" s="13">
        <f t="shared" si="16"/>
        <v>9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3">
        <f t="shared" si="16"/>
        <v>0</v>
      </c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Z67" si="17">SUM(E57:E64)</f>
        <v>28</v>
      </c>
      <c r="F67" s="13">
        <f t="shared" si="17"/>
        <v>30</v>
      </c>
      <c r="G67" s="13">
        <f t="shared" si="17"/>
        <v>62</v>
      </c>
      <c r="H67" s="13">
        <f t="shared" si="17"/>
        <v>41</v>
      </c>
      <c r="I67" s="13">
        <f t="shared" si="17"/>
        <v>27</v>
      </c>
      <c r="J67" s="13">
        <f t="shared" si="17"/>
        <v>47</v>
      </c>
      <c r="K67" s="13">
        <f t="shared" si="17"/>
        <v>31</v>
      </c>
      <c r="L67" s="13">
        <f t="shared" si="17"/>
        <v>26</v>
      </c>
      <c r="M67" s="13">
        <f t="shared" si="17"/>
        <v>56</v>
      </c>
      <c r="N67" s="13">
        <f t="shared" si="17"/>
        <v>48</v>
      </c>
      <c r="O67" s="13">
        <f t="shared" si="17"/>
        <v>64</v>
      </c>
      <c r="P67" s="13">
        <f t="shared" si="17"/>
        <v>35</v>
      </c>
      <c r="Q67" s="13">
        <f t="shared" si="17"/>
        <v>56</v>
      </c>
      <c r="R67" s="13">
        <f t="shared" si="17"/>
        <v>67</v>
      </c>
      <c r="S67" s="13">
        <f t="shared" si="17"/>
        <v>64</v>
      </c>
      <c r="T67" s="13">
        <f t="shared" si="17"/>
        <v>30</v>
      </c>
      <c r="U67" s="13">
        <f t="shared" si="17"/>
        <v>49</v>
      </c>
      <c r="V67" s="13">
        <f t="shared" si="17"/>
        <v>82</v>
      </c>
      <c r="W67" s="13">
        <f t="shared" si="17"/>
        <v>72</v>
      </c>
      <c r="X67" s="13">
        <f t="shared" si="17"/>
        <v>28</v>
      </c>
      <c r="Y67" s="13">
        <f t="shared" si="17"/>
        <v>55</v>
      </c>
      <c r="Z67" s="13">
        <f t="shared" si="17"/>
        <v>45</v>
      </c>
      <c r="AA67" s="13">
        <f t="shared" si="16"/>
        <v>1043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9.0</v>
      </c>
      <c r="F69" s="19">
        <v>5.0</v>
      </c>
      <c r="G69" s="19">
        <v>10.0</v>
      </c>
      <c r="H69" s="19">
        <v>3.0</v>
      </c>
      <c r="I69" s="19">
        <v>5.0</v>
      </c>
      <c r="J69" s="19">
        <v>2.0</v>
      </c>
      <c r="K69" s="19">
        <v>4.0</v>
      </c>
      <c r="L69" s="19">
        <v>6.0</v>
      </c>
      <c r="M69" s="19">
        <v>2.0</v>
      </c>
      <c r="N69" s="19">
        <v>5.0</v>
      </c>
      <c r="O69" s="19">
        <v>2.0</v>
      </c>
      <c r="P69" s="19">
        <v>5.0</v>
      </c>
      <c r="Q69" s="19">
        <v>3.0</v>
      </c>
      <c r="R69" s="19">
        <v>10.0</v>
      </c>
      <c r="S69" s="19">
        <v>12.0</v>
      </c>
      <c r="T69" s="19">
        <v>1.0</v>
      </c>
      <c r="U69" s="19">
        <v>8.0</v>
      </c>
      <c r="V69" s="19">
        <v>1.0</v>
      </c>
      <c r="W69" s="19">
        <v>2.0</v>
      </c>
      <c r="X69" s="19">
        <v>3.0</v>
      </c>
      <c r="Y69" s="19">
        <v>5.0</v>
      </c>
      <c r="Z69" s="19">
        <v>6.0</v>
      </c>
      <c r="AA69" s="13">
        <f t="shared" ref="AA69:AA79" si="18">SUM(E69:Z69)</f>
        <v>109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24.0</v>
      </c>
      <c r="F70" s="19">
        <v>6.0</v>
      </c>
      <c r="G70" s="19">
        <v>4.0</v>
      </c>
      <c r="H70" s="19">
        <v>8.0</v>
      </c>
      <c r="I70" s="19">
        <v>1.0</v>
      </c>
      <c r="J70" s="19">
        <v>3.0</v>
      </c>
      <c r="K70" s="19">
        <v>4.0</v>
      </c>
      <c r="L70" s="19">
        <v>4.0</v>
      </c>
      <c r="M70" s="19">
        <v>5.0</v>
      </c>
      <c r="N70" s="19">
        <v>4.0</v>
      </c>
      <c r="O70" s="19">
        <v>4.0</v>
      </c>
      <c r="P70" s="19">
        <v>2.0</v>
      </c>
      <c r="Q70" s="19">
        <v>6.0</v>
      </c>
      <c r="R70" s="19">
        <v>7.0</v>
      </c>
      <c r="S70" s="19">
        <v>4.0</v>
      </c>
      <c r="T70" s="19">
        <v>1.0</v>
      </c>
      <c r="U70" s="19">
        <v>4.0</v>
      </c>
      <c r="V70" s="19">
        <v>2.0</v>
      </c>
      <c r="W70" s="19">
        <v>1.0</v>
      </c>
      <c r="X70" s="19">
        <v>10.0</v>
      </c>
      <c r="Y70" s="19">
        <v>13.0</v>
      </c>
      <c r="Z70" s="19">
        <v>2.0</v>
      </c>
      <c r="AA70" s="13">
        <f t="shared" si="18"/>
        <v>119</v>
      </c>
    </row>
    <row r="71" ht="12.75" customHeight="1">
      <c r="A71" s="18"/>
      <c r="B71" s="55">
        <v>2.0</v>
      </c>
      <c r="C71" s="50" t="s">
        <v>58</v>
      </c>
      <c r="D71" s="57"/>
      <c r="E71" s="19">
        <v>13.0</v>
      </c>
      <c r="F71" s="19">
        <v>2.0</v>
      </c>
      <c r="G71" s="19">
        <v>3.0</v>
      </c>
      <c r="H71" s="19">
        <v>2.0</v>
      </c>
      <c r="I71" s="19">
        <v>0.0</v>
      </c>
      <c r="J71" s="19">
        <v>2.0</v>
      </c>
      <c r="K71" s="19">
        <v>5.0</v>
      </c>
      <c r="L71" s="19">
        <v>6.0</v>
      </c>
      <c r="M71" s="19">
        <v>3.0</v>
      </c>
      <c r="N71" s="19">
        <v>1.0</v>
      </c>
      <c r="O71" s="19">
        <v>1.0</v>
      </c>
      <c r="P71" s="19">
        <v>2.0</v>
      </c>
      <c r="Q71" s="19">
        <v>1.0</v>
      </c>
      <c r="R71" s="19">
        <v>4.0</v>
      </c>
      <c r="S71" s="19">
        <v>6.0</v>
      </c>
      <c r="T71" s="19">
        <v>1.0</v>
      </c>
      <c r="U71" s="19">
        <v>2.0</v>
      </c>
      <c r="V71" s="19">
        <v>0.0</v>
      </c>
      <c r="W71" s="19">
        <v>1.0</v>
      </c>
      <c r="X71" s="19">
        <v>3.0</v>
      </c>
      <c r="Y71" s="19">
        <v>2.0</v>
      </c>
      <c r="Z71" s="19">
        <v>3.0</v>
      </c>
      <c r="AA71" s="13">
        <f t="shared" si="18"/>
        <v>63</v>
      </c>
    </row>
    <row r="72" ht="12.75" customHeight="1">
      <c r="A72" s="18"/>
      <c r="B72" s="55">
        <v>3.0</v>
      </c>
      <c r="C72" s="50" t="s">
        <v>59</v>
      </c>
      <c r="D72" s="57"/>
      <c r="E72" s="19">
        <v>2.0</v>
      </c>
      <c r="F72" s="19">
        <v>2.0</v>
      </c>
      <c r="G72" s="19">
        <v>1.0</v>
      </c>
      <c r="H72" s="19">
        <v>2.0</v>
      </c>
      <c r="I72" s="19">
        <v>1.0</v>
      </c>
      <c r="J72" s="19">
        <v>2.0</v>
      </c>
      <c r="K72" s="19">
        <v>1.0</v>
      </c>
      <c r="L72" s="19">
        <v>0.0</v>
      </c>
      <c r="M72" s="19">
        <v>2.0</v>
      </c>
      <c r="N72" s="19">
        <v>0.0</v>
      </c>
      <c r="O72" s="19">
        <v>2.0</v>
      </c>
      <c r="P72" s="19">
        <v>1.0</v>
      </c>
      <c r="Q72" s="19">
        <v>1.0</v>
      </c>
      <c r="R72" s="19">
        <v>1.0</v>
      </c>
      <c r="S72" s="19">
        <v>5.0</v>
      </c>
      <c r="T72" s="19">
        <v>2.0</v>
      </c>
      <c r="U72" s="19">
        <v>3.0</v>
      </c>
      <c r="V72" s="19">
        <v>3.0</v>
      </c>
      <c r="W72" s="19">
        <v>1.0</v>
      </c>
      <c r="X72" s="19">
        <v>0.0</v>
      </c>
      <c r="Y72" s="19">
        <v>0.0</v>
      </c>
      <c r="Z72" s="19">
        <v>0.0</v>
      </c>
      <c r="AA72" s="13">
        <f t="shared" si="18"/>
        <v>32</v>
      </c>
    </row>
    <row r="73" ht="12.75" customHeight="1">
      <c r="A73" s="18"/>
      <c r="B73" s="55">
        <v>4.0</v>
      </c>
      <c r="C73" s="50" t="s">
        <v>60</v>
      </c>
      <c r="D73" s="57"/>
      <c r="E73" s="19">
        <v>1.0</v>
      </c>
      <c r="F73" s="19">
        <v>0.0</v>
      </c>
      <c r="G73" s="19">
        <v>0.0</v>
      </c>
      <c r="H73" s="19">
        <v>0.0</v>
      </c>
      <c r="I73" s="19">
        <v>1.0</v>
      </c>
      <c r="J73" s="19">
        <v>1.0</v>
      </c>
      <c r="K73" s="19">
        <v>0.0</v>
      </c>
      <c r="L73" s="19">
        <v>0.0</v>
      </c>
      <c r="M73" s="19">
        <v>0.0</v>
      </c>
      <c r="N73" s="19">
        <v>0.0</v>
      </c>
      <c r="O73" s="19">
        <v>0.0</v>
      </c>
      <c r="P73" s="19">
        <v>0.0</v>
      </c>
      <c r="Q73" s="19">
        <v>2.0</v>
      </c>
      <c r="R73" s="19">
        <v>1.0</v>
      </c>
      <c r="S73" s="19">
        <v>0.0</v>
      </c>
      <c r="T73" s="19">
        <v>0.0</v>
      </c>
      <c r="U73" s="19">
        <v>0.0</v>
      </c>
      <c r="V73" s="19">
        <v>1.0</v>
      </c>
      <c r="W73" s="19">
        <v>0.0</v>
      </c>
      <c r="X73" s="19">
        <v>0.0</v>
      </c>
      <c r="Y73" s="19">
        <v>0.0</v>
      </c>
      <c r="Z73" s="19">
        <v>0.0</v>
      </c>
      <c r="AA73" s="13">
        <f t="shared" si="18"/>
        <v>7</v>
      </c>
    </row>
    <row r="74" ht="12.75" customHeight="1">
      <c r="A74" s="18"/>
      <c r="B74" s="55">
        <v>5.0</v>
      </c>
      <c r="C74" s="50" t="s">
        <v>61</v>
      </c>
      <c r="D74" s="57"/>
      <c r="E74" s="19">
        <v>1.0</v>
      </c>
      <c r="F74" s="19">
        <v>3.0</v>
      </c>
      <c r="G74" s="19">
        <v>1.0</v>
      </c>
      <c r="H74" s="19">
        <v>2.0</v>
      </c>
      <c r="I74" s="19">
        <v>1.0</v>
      </c>
      <c r="J74" s="19">
        <v>1.0</v>
      </c>
      <c r="K74" s="19">
        <v>1.0</v>
      </c>
      <c r="L74" s="19">
        <v>4.0</v>
      </c>
      <c r="M74" s="19">
        <v>1.0</v>
      </c>
      <c r="N74" s="19">
        <v>1.0</v>
      </c>
      <c r="O74" s="19">
        <v>0.0</v>
      </c>
      <c r="P74" s="19">
        <v>0.0</v>
      </c>
      <c r="Q74" s="19">
        <v>2.0</v>
      </c>
      <c r="R74" s="19">
        <v>1.0</v>
      </c>
      <c r="S74" s="19">
        <v>1.0</v>
      </c>
      <c r="T74" s="19">
        <v>0.0</v>
      </c>
      <c r="U74" s="19">
        <v>4.0</v>
      </c>
      <c r="V74" s="19">
        <v>0.0</v>
      </c>
      <c r="W74" s="19">
        <v>4.0</v>
      </c>
      <c r="X74" s="19">
        <v>6.0</v>
      </c>
      <c r="Y74" s="19">
        <v>1.0</v>
      </c>
      <c r="Z74" s="19">
        <v>1.0</v>
      </c>
      <c r="AA74" s="13">
        <f t="shared" si="18"/>
        <v>36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2.0</v>
      </c>
      <c r="G75" s="19">
        <v>0.0</v>
      </c>
      <c r="H75" s="19">
        <v>3.0</v>
      </c>
      <c r="I75" s="19">
        <v>0.0</v>
      </c>
      <c r="J75" s="19">
        <v>2.0</v>
      </c>
      <c r="K75" s="19">
        <v>2.0</v>
      </c>
      <c r="L75" s="19">
        <v>3.0</v>
      </c>
      <c r="M75" s="19">
        <v>1.0</v>
      </c>
      <c r="N75" s="19">
        <v>0.0</v>
      </c>
      <c r="O75" s="19">
        <v>1.0</v>
      </c>
      <c r="P75" s="19">
        <v>1.0</v>
      </c>
      <c r="Q75" s="19">
        <v>0.0</v>
      </c>
      <c r="R75" s="19">
        <v>0.0</v>
      </c>
      <c r="S75" s="19">
        <v>3.0</v>
      </c>
      <c r="T75" s="19">
        <v>2.0</v>
      </c>
      <c r="U75" s="19">
        <v>2.0</v>
      </c>
      <c r="V75" s="19">
        <v>1.0</v>
      </c>
      <c r="W75" s="19">
        <v>1.0</v>
      </c>
      <c r="X75" s="19">
        <v>0.0</v>
      </c>
      <c r="Y75" s="19">
        <v>1.0</v>
      </c>
      <c r="Z75" s="19">
        <v>1.0</v>
      </c>
      <c r="AA75" s="13">
        <f t="shared" si="18"/>
        <v>26</v>
      </c>
    </row>
    <row r="76" ht="12.75" customHeight="1">
      <c r="A76" s="18"/>
      <c r="B76" s="55">
        <v>7.0</v>
      </c>
      <c r="C76" s="50" t="s">
        <v>63</v>
      </c>
      <c r="D76" s="57"/>
      <c r="E76" s="19">
        <v>2.0</v>
      </c>
      <c r="F76" s="19">
        <v>0.0</v>
      </c>
      <c r="G76" s="19">
        <v>0.0</v>
      </c>
      <c r="H76" s="19">
        <v>7.0</v>
      </c>
      <c r="I76" s="19">
        <v>0.0</v>
      </c>
      <c r="J76" s="19">
        <v>1.0</v>
      </c>
      <c r="K76" s="19">
        <v>0.0</v>
      </c>
      <c r="L76" s="19">
        <v>3.0</v>
      </c>
      <c r="M76" s="19">
        <v>1.0</v>
      </c>
      <c r="N76" s="19">
        <v>0.0</v>
      </c>
      <c r="O76" s="19">
        <v>0.0</v>
      </c>
      <c r="P76" s="19">
        <v>0.0</v>
      </c>
      <c r="Q76" s="19">
        <v>2.0</v>
      </c>
      <c r="R76" s="19">
        <v>0.0</v>
      </c>
      <c r="S76" s="19">
        <v>0.0</v>
      </c>
      <c r="T76" s="19">
        <v>0.0</v>
      </c>
      <c r="U76" s="19">
        <v>1.0</v>
      </c>
      <c r="V76" s="19">
        <v>2.0</v>
      </c>
      <c r="W76" s="19">
        <v>2.0</v>
      </c>
      <c r="X76" s="19">
        <v>3.0</v>
      </c>
      <c r="Y76" s="19">
        <v>3.0</v>
      </c>
      <c r="Z76" s="19">
        <v>0.0</v>
      </c>
      <c r="AA76" s="13">
        <f t="shared" si="18"/>
        <v>27</v>
      </c>
    </row>
    <row r="77" ht="12.75" customHeight="1">
      <c r="A77" s="18"/>
      <c r="B77" s="71"/>
      <c r="C77" s="72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3">
        <f t="shared" si="18"/>
        <v>0</v>
      </c>
    </row>
    <row r="78" ht="12.75" customHeight="1">
      <c r="A78" s="18"/>
      <c r="B78" s="71"/>
      <c r="C78" s="72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Z79" si="19">SUM(E69:E76)</f>
        <v>52</v>
      </c>
      <c r="F79" s="13">
        <f t="shared" si="19"/>
        <v>20</v>
      </c>
      <c r="G79" s="13">
        <f t="shared" si="19"/>
        <v>19</v>
      </c>
      <c r="H79" s="13">
        <f t="shared" si="19"/>
        <v>27</v>
      </c>
      <c r="I79" s="13">
        <f t="shared" si="19"/>
        <v>9</v>
      </c>
      <c r="J79" s="13">
        <f t="shared" si="19"/>
        <v>14</v>
      </c>
      <c r="K79" s="13">
        <f t="shared" si="19"/>
        <v>17</v>
      </c>
      <c r="L79" s="13">
        <f t="shared" si="19"/>
        <v>26</v>
      </c>
      <c r="M79" s="13">
        <f t="shared" si="19"/>
        <v>15</v>
      </c>
      <c r="N79" s="13">
        <f t="shared" si="19"/>
        <v>11</v>
      </c>
      <c r="O79" s="13">
        <f t="shared" si="19"/>
        <v>10</v>
      </c>
      <c r="P79" s="13">
        <f t="shared" si="19"/>
        <v>11</v>
      </c>
      <c r="Q79" s="13">
        <f t="shared" si="19"/>
        <v>17</v>
      </c>
      <c r="R79" s="13">
        <f t="shared" si="19"/>
        <v>24</v>
      </c>
      <c r="S79" s="13">
        <f t="shared" si="19"/>
        <v>31</v>
      </c>
      <c r="T79" s="13">
        <f t="shared" si="19"/>
        <v>7</v>
      </c>
      <c r="U79" s="13">
        <f t="shared" si="19"/>
        <v>24</v>
      </c>
      <c r="V79" s="13">
        <f t="shared" si="19"/>
        <v>10</v>
      </c>
      <c r="W79" s="13">
        <f t="shared" si="19"/>
        <v>12</v>
      </c>
      <c r="X79" s="13">
        <f t="shared" si="19"/>
        <v>25</v>
      </c>
      <c r="Y79" s="13">
        <f t="shared" si="19"/>
        <v>25</v>
      </c>
      <c r="Z79" s="13">
        <f t="shared" si="19"/>
        <v>13</v>
      </c>
      <c r="AA79" s="13">
        <f t="shared" si="18"/>
        <v>419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0.0</v>
      </c>
      <c r="F81" s="19">
        <v>2.0</v>
      </c>
      <c r="G81" s="19">
        <v>2.0</v>
      </c>
      <c r="H81" s="19">
        <v>4.0</v>
      </c>
      <c r="I81" s="19">
        <v>3.0</v>
      </c>
      <c r="J81" s="19">
        <v>5.0</v>
      </c>
      <c r="K81" s="19">
        <v>6.0</v>
      </c>
      <c r="L81" s="19">
        <v>2.0</v>
      </c>
      <c r="M81" s="19">
        <v>1.0</v>
      </c>
      <c r="N81" s="19">
        <v>4.0</v>
      </c>
      <c r="O81" s="19">
        <v>0.0</v>
      </c>
      <c r="P81" s="19">
        <v>6.0</v>
      </c>
      <c r="Q81" s="19">
        <v>8.0</v>
      </c>
      <c r="R81" s="19">
        <v>4.0</v>
      </c>
      <c r="S81" s="19">
        <v>7.0</v>
      </c>
      <c r="T81" s="19">
        <v>4.0</v>
      </c>
      <c r="U81" s="19">
        <v>5.0</v>
      </c>
      <c r="V81" s="19">
        <v>6.0</v>
      </c>
      <c r="W81" s="19">
        <v>4.0</v>
      </c>
      <c r="X81" s="19">
        <v>5.0</v>
      </c>
      <c r="Y81" s="19">
        <v>3.0</v>
      </c>
      <c r="Z81" s="19">
        <v>1.0</v>
      </c>
      <c r="AA81" s="13">
        <f t="shared" ref="AA81:AA91" si="20">SUM(E81:Z81)</f>
        <v>82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13.0</v>
      </c>
      <c r="F82" s="19">
        <v>12.0</v>
      </c>
      <c r="G82" s="19">
        <v>20.0</v>
      </c>
      <c r="H82" s="19">
        <v>24.0</v>
      </c>
      <c r="I82" s="19">
        <v>18.0</v>
      </c>
      <c r="J82" s="19">
        <v>25.0</v>
      </c>
      <c r="K82" s="19">
        <v>23.0</v>
      </c>
      <c r="L82" s="19">
        <v>8.0</v>
      </c>
      <c r="M82" s="19">
        <v>12.0</v>
      </c>
      <c r="N82" s="19">
        <v>6.0</v>
      </c>
      <c r="O82" s="19">
        <v>34.0</v>
      </c>
      <c r="P82" s="19">
        <v>42.0</v>
      </c>
      <c r="Q82" s="19">
        <v>45.0</v>
      </c>
      <c r="R82" s="19">
        <v>11.0</v>
      </c>
      <c r="S82" s="19">
        <v>25.0</v>
      </c>
      <c r="T82" s="19">
        <v>49.0</v>
      </c>
      <c r="U82" s="19">
        <v>25.0</v>
      </c>
      <c r="V82" s="19">
        <v>37.0</v>
      </c>
      <c r="W82" s="19">
        <v>10.0</v>
      </c>
      <c r="X82" s="19">
        <v>18.0</v>
      </c>
      <c r="Y82" s="19">
        <v>20.0</v>
      </c>
      <c r="Z82" s="19">
        <v>3.0</v>
      </c>
      <c r="AA82" s="13">
        <f t="shared" si="20"/>
        <v>480</v>
      </c>
    </row>
    <row r="83" ht="12.75" customHeight="1">
      <c r="A83" s="18"/>
      <c r="B83" s="55">
        <v>2.0</v>
      </c>
      <c r="C83" s="50" t="s">
        <v>66</v>
      </c>
      <c r="D83" s="57"/>
      <c r="E83" s="19">
        <v>8.0</v>
      </c>
      <c r="F83" s="19">
        <v>5.0</v>
      </c>
      <c r="G83" s="19">
        <v>5.0</v>
      </c>
      <c r="H83" s="19">
        <v>0.0</v>
      </c>
      <c r="I83" s="19">
        <v>24.0</v>
      </c>
      <c r="J83" s="19">
        <v>11.0</v>
      </c>
      <c r="K83" s="19">
        <v>12.0</v>
      </c>
      <c r="L83" s="19">
        <v>8.0</v>
      </c>
      <c r="M83" s="19">
        <v>11.0</v>
      </c>
      <c r="N83" s="19">
        <v>9.0</v>
      </c>
      <c r="O83" s="19">
        <v>4.0</v>
      </c>
      <c r="P83" s="19">
        <v>3.0</v>
      </c>
      <c r="Q83" s="19">
        <v>4.0</v>
      </c>
      <c r="R83" s="19">
        <v>3.0</v>
      </c>
      <c r="S83" s="19">
        <v>13.0</v>
      </c>
      <c r="T83" s="19">
        <v>6.0</v>
      </c>
      <c r="U83" s="19">
        <v>5.0</v>
      </c>
      <c r="V83" s="19">
        <v>7.0</v>
      </c>
      <c r="W83" s="19">
        <v>4.0</v>
      </c>
      <c r="X83" s="19">
        <v>11.0</v>
      </c>
      <c r="Y83" s="19">
        <v>12.0</v>
      </c>
      <c r="Z83" s="19">
        <v>18.0</v>
      </c>
      <c r="AA83" s="13">
        <f t="shared" si="20"/>
        <v>183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0.0</v>
      </c>
      <c r="H84" s="19">
        <v>1.0</v>
      </c>
      <c r="I84" s="19">
        <v>0.0</v>
      </c>
      <c r="J84" s="19">
        <v>1.0</v>
      </c>
      <c r="K84" s="19">
        <v>0.0</v>
      </c>
      <c r="L84" s="19">
        <v>1.0</v>
      </c>
      <c r="M84" s="19">
        <v>1.0</v>
      </c>
      <c r="N84" s="19">
        <v>0.0</v>
      </c>
      <c r="O84" s="19">
        <v>0.0</v>
      </c>
      <c r="P84" s="19">
        <v>0.0</v>
      </c>
      <c r="Q84" s="19">
        <v>0.0</v>
      </c>
      <c r="R84" s="19">
        <v>1.0</v>
      </c>
      <c r="S84" s="19">
        <v>0.0</v>
      </c>
      <c r="T84" s="19">
        <v>0.0</v>
      </c>
      <c r="U84" s="19">
        <v>0.0</v>
      </c>
      <c r="V84" s="19">
        <v>0.0</v>
      </c>
      <c r="W84" s="19">
        <v>0.0</v>
      </c>
      <c r="X84" s="19">
        <v>0.0</v>
      </c>
      <c r="Y84" s="19">
        <v>0.0</v>
      </c>
      <c r="Z84" s="19">
        <v>0.0</v>
      </c>
      <c r="AA84" s="13">
        <f t="shared" si="20"/>
        <v>5</v>
      </c>
    </row>
    <row r="85" ht="12.75" customHeight="1">
      <c r="A85" s="18"/>
      <c r="B85" s="55">
        <v>4.0</v>
      </c>
      <c r="C85" s="50" t="s">
        <v>68</v>
      </c>
      <c r="D85" s="57"/>
      <c r="E85" s="19">
        <v>1.0</v>
      </c>
      <c r="F85" s="19">
        <v>1.0</v>
      </c>
      <c r="G85" s="19">
        <v>0.0</v>
      </c>
      <c r="H85" s="19">
        <v>0.0</v>
      </c>
      <c r="I85" s="19">
        <v>0.0</v>
      </c>
      <c r="J85" s="19">
        <v>2.0</v>
      </c>
      <c r="K85" s="19">
        <v>0.0</v>
      </c>
      <c r="L85" s="19">
        <v>1.0</v>
      </c>
      <c r="M85" s="19">
        <v>0.0</v>
      </c>
      <c r="N85" s="19">
        <v>0.0</v>
      </c>
      <c r="O85" s="19">
        <v>1.0</v>
      </c>
      <c r="P85" s="19">
        <v>1.0</v>
      </c>
      <c r="Q85" s="19">
        <v>0.0</v>
      </c>
      <c r="R85" s="19">
        <v>0.0</v>
      </c>
      <c r="S85" s="19">
        <v>0.0</v>
      </c>
      <c r="T85" s="19">
        <v>0.0</v>
      </c>
      <c r="U85" s="19">
        <v>4.0</v>
      </c>
      <c r="V85" s="19">
        <v>2.0</v>
      </c>
      <c r="W85" s="19">
        <v>0.0</v>
      </c>
      <c r="X85" s="19">
        <v>1.0</v>
      </c>
      <c r="Y85" s="19">
        <v>1.0</v>
      </c>
      <c r="Z85" s="19">
        <v>0.0</v>
      </c>
      <c r="AA85" s="13">
        <f t="shared" si="20"/>
        <v>15</v>
      </c>
    </row>
    <row r="86" ht="12.75" customHeight="1">
      <c r="A86" s="18"/>
      <c r="B86" s="55">
        <v>5.0</v>
      </c>
      <c r="C86" s="50" t="s">
        <v>69</v>
      </c>
      <c r="D86" s="57"/>
      <c r="E86" s="19">
        <v>1.0</v>
      </c>
      <c r="F86" s="19">
        <v>0.0</v>
      </c>
      <c r="G86" s="19">
        <v>3.0</v>
      </c>
      <c r="H86" s="19">
        <v>1.0</v>
      </c>
      <c r="I86" s="19">
        <v>0.0</v>
      </c>
      <c r="J86" s="19">
        <v>0.0</v>
      </c>
      <c r="K86" s="19">
        <v>0.0</v>
      </c>
      <c r="L86" s="19">
        <v>2.0</v>
      </c>
      <c r="M86" s="19">
        <v>0.0</v>
      </c>
      <c r="N86" s="19">
        <v>0.0</v>
      </c>
      <c r="O86" s="19">
        <v>0.0</v>
      </c>
      <c r="P86" s="19">
        <v>4.0</v>
      </c>
      <c r="Q86" s="19">
        <v>3.0</v>
      </c>
      <c r="R86" s="19">
        <v>1.0</v>
      </c>
      <c r="S86" s="19">
        <v>3.0</v>
      </c>
      <c r="T86" s="19">
        <v>32.0</v>
      </c>
      <c r="U86" s="19">
        <v>6.0</v>
      </c>
      <c r="V86" s="19">
        <v>1.0</v>
      </c>
      <c r="W86" s="19">
        <v>0.0</v>
      </c>
      <c r="X86" s="19">
        <v>4.0</v>
      </c>
      <c r="Y86" s="19">
        <v>1.0</v>
      </c>
      <c r="Z86" s="19">
        <v>1.0</v>
      </c>
      <c r="AA86" s="13">
        <f t="shared" si="20"/>
        <v>63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1.0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1.0</v>
      </c>
      <c r="AA87" s="13">
        <f t="shared" si="20"/>
        <v>2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1.0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3">
        <f t="shared" si="20"/>
        <v>1</v>
      </c>
    </row>
    <row r="89" ht="12.75" customHeight="1">
      <c r="A89" s="18"/>
      <c r="B89" s="71"/>
      <c r="C89" s="72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3">
        <f t="shared" si="20"/>
        <v>0</v>
      </c>
    </row>
    <row r="90" ht="12.75" customHeight="1">
      <c r="A90" s="18"/>
      <c r="B90" s="71"/>
      <c r="C90" s="72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Z91" si="21">SUM(E81:E88)</f>
        <v>23</v>
      </c>
      <c r="F91" s="13">
        <f t="shared" si="21"/>
        <v>20</v>
      </c>
      <c r="G91" s="13">
        <f t="shared" si="21"/>
        <v>30</v>
      </c>
      <c r="H91" s="13">
        <f t="shared" si="21"/>
        <v>30</v>
      </c>
      <c r="I91" s="13">
        <f t="shared" si="21"/>
        <v>45</v>
      </c>
      <c r="J91" s="13">
        <f t="shared" si="21"/>
        <v>44</v>
      </c>
      <c r="K91" s="13">
        <f t="shared" si="21"/>
        <v>41</v>
      </c>
      <c r="L91" s="13">
        <f t="shared" si="21"/>
        <v>23</v>
      </c>
      <c r="M91" s="13">
        <f t="shared" si="21"/>
        <v>25</v>
      </c>
      <c r="N91" s="13">
        <f t="shared" si="21"/>
        <v>19</v>
      </c>
      <c r="O91" s="13">
        <f t="shared" si="21"/>
        <v>39</v>
      </c>
      <c r="P91" s="13">
        <f t="shared" si="21"/>
        <v>56</v>
      </c>
      <c r="Q91" s="13">
        <f t="shared" si="21"/>
        <v>61</v>
      </c>
      <c r="R91" s="13">
        <f t="shared" si="21"/>
        <v>20</v>
      </c>
      <c r="S91" s="13">
        <f t="shared" si="21"/>
        <v>48</v>
      </c>
      <c r="T91" s="13">
        <f t="shared" si="21"/>
        <v>91</v>
      </c>
      <c r="U91" s="13">
        <f t="shared" si="21"/>
        <v>45</v>
      </c>
      <c r="V91" s="13">
        <f t="shared" si="21"/>
        <v>53</v>
      </c>
      <c r="W91" s="13">
        <f t="shared" si="21"/>
        <v>18</v>
      </c>
      <c r="X91" s="13">
        <f t="shared" si="21"/>
        <v>39</v>
      </c>
      <c r="Y91" s="13">
        <f t="shared" si="21"/>
        <v>37</v>
      </c>
      <c r="Z91" s="13">
        <f t="shared" si="21"/>
        <v>24</v>
      </c>
      <c r="AA91" s="13">
        <f t="shared" si="20"/>
        <v>831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0.0</v>
      </c>
      <c r="H93" s="19">
        <v>1.0</v>
      </c>
      <c r="I93" s="19">
        <v>0.0</v>
      </c>
      <c r="J93" s="19">
        <v>0.0</v>
      </c>
      <c r="K93" s="19">
        <v>0.0</v>
      </c>
      <c r="L93" s="19">
        <v>2.0</v>
      </c>
      <c r="M93" s="19">
        <v>1.0</v>
      </c>
      <c r="N93" s="19">
        <v>0.0</v>
      </c>
      <c r="O93" s="19">
        <v>2.0</v>
      </c>
      <c r="P93" s="19">
        <v>6.0</v>
      </c>
      <c r="Q93" s="19">
        <v>2.0</v>
      </c>
      <c r="R93" s="19">
        <v>1.0</v>
      </c>
      <c r="S93" s="19">
        <v>1.0</v>
      </c>
      <c r="T93" s="19">
        <v>4.0</v>
      </c>
      <c r="U93" s="19">
        <v>0.0</v>
      </c>
      <c r="V93" s="19">
        <v>0.0</v>
      </c>
      <c r="W93" s="19">
        <v>0.0</v>
      </c>
      <c r="X93" s="19">
        <v>1.0</v>
      </c>
      <c r="Y93" s="19">
        <v>0.0</v>
      </c>
      <c r="Z93" s="19">
        <v>0.0</v>
      </c>
      <c r="AA93" s="13">
        <f t="shared" ref="AA93:AA103" si="22">SUM(E93:Z93)</f>
        <v>21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1.0</v>
      </c>
      <c r="F94" s="19">
        <v>0.0</v>
      </c>
      <c r="G94" s="19">
        <v>0.0</v>
      </c>
      <c r="H94" s="19">
        <v>0.0</v>
      </c>
      <c r="I94" s="19">
        <v>0.0</v>
      </c>
      <c r="J94" s="19">
        <v>1.0</v>
      </c>
      <c r="K94" s="19">
        <v>0.0</v>
      </c>
      <c r="L94" s="19">
        <v>0.0</v>
      </c>
      <c r="M94" s="19">
        <v>0.0</v>
      </c>
      <c r="N94" s="19">
        <v>0.0</v>
      </c>
      <c r="O94" s="19">
        <v>0.0</v>
      </c>
      <c r="P94" s="19">
        <v>0.0</v>
      </c>
      <c r="Q94" s="19">
        <v>1.0</v>
      </c>
      <c r="R94" s="19">
        <v>2.0</v>
      </c>
      <c r="S94" s="19">
        <v>0.0</v>
      </c>
      <c r="T94" s="19">
        <v>1.0</v>
      </c>
      <c r="U94" s="19">
        <v>0.0</v>
      </c>
      <c r="V94" s="19">
        <v>1.0</v>
      </c>
      <c r="W94" s="19">
        <v>0.0</v>
      </c>
      <c r="X94" s="19">
        <v>1.0</v>
      </c>
      <c r="Y94" s="19">
        <v>0.0</v>
      </c>
      <c r="Z94" s="19">
        <v>0.0</v>
      </c>
      <c r="AA94" s="13">
        <f t="shared" si="22"/>
        <v>8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1.0</v>
      </c>
      <c r="N95" s="19">
        <v>1.0</v>
      </c>
      <c r="O95" s="19">
        <v>0.0</v>
      </c>
      <c r="P95" s="19">
        <v>0.0</v>
      </c>
      <c r="Q95" s="19">
        <v>0.0</v>
      </c>
      <c r="R95" s="19">
        <v>2.0</v>
      </c>
      <c r="S95" s="19">
        <v>0.0</v>
      </c>
      <c r="T95" s="19">
        <v>0.0</v>
      </c>
      <c r="U95" s="19">
        <v>0.0</v>
      </c>
      <c r="V95" s="19">
        <v>0.0</v>
      </c>
      <c r="W95" s="19">
        <v>1.0</v>
      </c>
      <c r="X95" s="19">
        <v>2.0</v>
      </c>
      <c r="Y95" s="19">
        <v>1.0</v>
      </c>
      <c r="Z95" s="19">
        <v>1.0</v>
      </c>
      <c r="AA95" s="13">
        <f t="shared" si="22"/>
        <v>9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1.0</v>
      </c>
      <c r="N96" s="19">
        <v>1.0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3">
        <f t="shared" si="22"/>
        <v>2</v>
      </c>
    </row>
    <row r="97" ht="12.75" customHeight="1">
      <c r="A97" s="18"/>
      <c r="B97" s="55">
        <v>4.0</v>
      </c>
      <c r="C97" s="50" t="s">
        <v>77</v>
      </c>
      <c r="D97" s="57"/>
      <c r="E97" s="19">
        <v>2.0</v>
      </c>
      <c r="F97" s="19">
        <v>0.0</v>
      </c>
      <c r="G97" s="19">
        <v>0.0</v>
      </c>
      <c r="H97" s="19">
        <v>4.0</v>
      </c>
      <c r="I97" s="19">
        <v>0.0</v>
      </c>
      <c r="J97" s="19">
        <v>1.0</v>
      </c>
      <c r="K97" s="19">
        <v>0.0</v>
      </c>
      <c r="L97" s="19">
        <v>1.0</v>
      </c>
      <c r="M97" s="19">
        <v>1.0</v>
      </c>
      <c r="N97" s="19">
        <v>1.0</v>
      </c>
      <c r="O97" s="19">
        <v>0.0</v>
      </c>
      <c r="P97" s="19">
        <v>1.0</v>
      </c>
      <c r="Q97" s="19">
        <v>1.0</v>
      </c>
      <c r="R97" s="19">
        <v>2.0</v>
      </c>
      <c r="S97" s="19">
        <v>0.0</v>
      </c>
      <c r="T97" s="19">
        <v>0.0</v>
      </c>
      <c r="U97" s="19">
        <v>0.0</v>
      </c>
      <c r="V97" s="19">
        <v>11.0</v>
      </c>
      <c r="W97" s="19">
        <v>0.0</v>
      </c>
      <c r="X97" s="19">
        <v>2.0</v>
      </c>
      <c r="Y97" s="19">
        <v>0.0</v>
      </c>
      <c r="Z97" s="19">
        <v>0.0</v>
      </c>
      <c r="AA97" s="13">
        <f t="shared" si="22"/>
        <v>27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2.0</v>
      </c>
      <c r="Q98" s="19">
        <v>0.0</v>
      </c>
      <c r="R98" s="19">
        <v>0.0</v>
      </c>
      <c r="S98" s="19">
        <v>0.0</v>
      </c>
      <c r="T98" s="19">
        <v>1.0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3">
        <f t="shared" si="22"/>
        <v>3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1.0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3">
        <f t="shared" si="22"/>
        <v>1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1.0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3">
        <f t="shared" si="22"/>
        <v>1</v>
      </c>
    </row>
    <row r="101" ht="12.75" customHeight="1">
      <c r="A101" s="18"/>
      <c r="B101" s="71"/>
      <c r="C101" s="72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3">
        <f t="shared" si="22"/>
        <v>0</v>
      </c>
    </row>
    <row r="102" ht="12.75" customHeight="1">
      <c r="A102" s="18"/>
      <c r="B102" s="71"/>
      <c r="C102" s="72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Z103" si="23">SUM(E93:E100)</f>
        <v>3</v>
      </c>
      <c r="F103" s="13">
        <f t="shared" si="23"/>
        <v>0</v>
      </c>
      <c r="G103" s="13">
        <f t="shared" si="23"/>
        <v>0</v>
      </c>
      <c r="H103" s="13">
        <f t="shared" si="23"/>
        <v>5</v>
      </c>
      <c r="I103" s="13">
        <f t="shared" si="23"/>
        <v>0</v>
      </c>
      <c r="J103" s="13">
        <f t="shared" si="23"/>
        <v>2</v>
      </c>
      <c r="K103" s="13">
        <f t="shared" si="23"/>
        <v>0</v>
      </c>
      <c r="L103" s="13">
        <f t="shared" si="23"/>
        <v>3</v>
      </c>
      <c r="M103" s="13">
        <f t="shared" si="23"/>
        <v>4</v>
      </c>
      <c r="N103" s="13">
        <f t="shared" si="23"/>
        <v>3</v>
      </c>
      <c r="O103" s="13">
        <f t="shared" si="23"/>
        <v>2</v>
      </c>
      <c r="P103" s="13">
        <f t="shared" si="23"/>
        <v>10</v>
      </c>
      <c r="Q103" s="13">
        <f t="shared" si="23"/>
        <v>4</v>
      </c>
      <c r="R103" s="13">
        <f t="shared" si="23"/>
        <v>8</v>
      </c>
      <c r="S103" s="13">
        <f t="shared" si="23"/>
        <v>1</v>
      </c>
      <c r="T103" s="13">
        <f t="shared" si="23"/>
        <v>6</v>
      </c>
      <c r="U103" s="13">
        <f t="shared" si="23"/>
        <v>0</v>
      </c>
      <c r="V103" s="13">
        <f t="shared" si="23"/>
        <v>12</v>
      </c>
      <c r="W103" s="13">
        <f t="shared" si="23"/>
        <v>1</v>
      </c>
      <c r="X103" s="13">
        <f t="shared" si="23"/>
        <v>6</v>
      </c>
      <c r="Y103" s="13">
        <f t="shared" si="23"/>
        <v>1</v>
      </c>
      <c r="Z103" s="13">
        <f t="shared" si="23"/>
        <v>1</v>
      </c>
      <c r="AA103" s="13">
        <f t="shared" si="22"/>
        <v>72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1.0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1.0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1.0</v>
      </c>
      <c r="X105" s="19">
        <v>0.0</v>
      </c>
      <c r="Y105" s="19">
        <v>1.0</v>
      </c>
      <c r="Z105" s="19">
        <v>1.0</v>
      </c>
      <c r="AA105" s="13">
        <f t="shared" ref="AA105:AA115" si="24">SUM(E105:Z105)</f>
        <v>5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1.0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1.0</v>
      </c>
      <c r="N106" s="19">
        <v>2.0</v>
      </c>
      <c r="O106" s="19">
        <v>0.0</v>
      </c>
      <c r="P106" s="19">
        <v>0.0</v>
      </c>
      <c r="Q106" s="19">
        <v>1.0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3">
        <f t="shared" si="24"/>
        <v>5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1.0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1.0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1.0</v>
      </c>
      <c r="Y107" s="19">
        <v>0.0</v>
      </c>
      <c r="Z107" s="19">
        <v>0.0</v>
      </c>
      <c r="AA107" s="13">
        <f t="shared" si="24"/>
        <v>3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1.0</v>
      </c>
      <c r="T108" s="19">
        <v>1.0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3">
        <f t="shared" si="24"/>
        <v>2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1.0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1.0</v>
      </c>
      <c r="Z111" s="19">
        <v>0.0</v>
      </c>
      <c r="AA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1.0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3">
        <f t="shared" si="24"/>
        <v>1</v>
      </c>
    </row>
    <row r="113" ht="12.75" customHeight="1">
      <c r="A113" s="18"/>
      <c r="B113" s="71"/>
      <c r="C113" s="72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3">
        <f t="shared" si="24"/>
        <v>0</v>
      </c>
    </row>
    <row r="114" ht="12.75" customHeight="1">
      <c r="A114" s="18"/>
      <c r="B114" s="71"/>
      <c r="C114" s="72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Z115" si="25">SUM(E105:E112)</f>
        <v>2</v>
      </c>
      <c r="F115" s="13">
        <f t="shared" si="25"/>
        <v>0</v>
      </c>
      <c r="G115" s="13">
        <f t="shared" si="25"/>
        <v>0</v>
      </c>
      <c r="H115" s="13">
        <f t="shared" si="25"/>
        <v>1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1</v>
      </c>
      <c r="M115" s="13">
        <f t="shared" si="25"/>
        <v>1</v>
      </c>
      <c r="N115" s="13">
        <f t="shared" si="25"/>
        <v>2</v>
      </c>
      <c r="O115" s="13">
        <f t="shared" si="25"/>
        <v>1</v>
      </c>
      <c r="P115" s="13">
        <f t="shared" si="25"/>
        <v>1</v>
      </c>
      <c r="Q115" s="13">
        <f t="shared" si="25"/>
        <v>2</v>
      </c>
      <c r="R115" s="13">
        <f t="shared" si="25"/>
        <v>0</v>
      </c>
      <c r="S115" s="13">
        <f t="shared" si="25"/>
        <v>1</v>
      </c>
      <c r="T115" s="13">
        <f t="shared" si="25"/>
        <v>1</v>
      </c>
      <c r="U115" s="13">
        <f t="shared" si="25"/>
        <v>0</v>
      </c>
      <c r="V115" s="13">
        <f t="shared" si="25"/>
        <v>0</v>
      </c>
      <c r="W115" s="13">
        <f t="shared" si="25"/>
        <v>1</v>
      </c>
      <c r="X115" s="13">
        <f t="shared" si="25"/>
        <v>1</v>
      </c>
      <c r="Y115" s="13">
        <f t="shared" si="25"/>
        <v>2</v>
      </c>
      <c r="Z115" s="13">
        <f t="shared" si="25"/>
        <v>1</v>
      </c>
      <c r="AA115" s="13">
        <f t="shared" si="24"/>
        <v>18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0.0</v>
      </c>
      <c r="G117" s="19">
        <v>3.0</v>
      </c>
      <c r="H117" s="19">
        <v>3.0</v>
      </c>
      <c r="I117" s="19">
        <v>0.0</v>
      </c>
      <c r="J117" s="19">
        <v>0.0</v>
      </c>
      <c r="K117" s="19">
        <v>0.0</v>
      </c>
      <c r="L117" s="19">
        <v>3.0</v>
      </c>
      <c r="M117" s="19">
        <v>1.0</v>
      </c>
      <c r="N117" s="19">
        <v>1.0</v>
      </c>
      <c r="O117" s="19">
        <v>1.0</v>
      </c>
      <c r="P117" s="19">
        <v>1.0</v>
      </c>
      <c r="Q117" s="19">
        <v>0.0</v>
      </c>
      <c r="R117" s="19">
        <v>1.0</v>
      </c>
      <c r="S117" s="19">
        <v>5.0</v>
      </c>
      <c r="T117" s="19">
        <v>1.0</v>
      </c>
      <c r="U117" s="19">
        <v>4.0</v>
      </c>
      <c r="V117" s="19">
        <v>0.0</v>
      </c>
      <c r="W117" s="19">
        <v>0.0</v>
      </c>
      <c r="X117" s="19">
        <v>4.0</v>
      </c>
      <c r="Y117" s="19">
        <v>2.0</v>
      </c>
      <c r="Z117" s="19">
        <v>0.0</v>
      </c>
      <c r="AA117" s="13">
        <f t="shared" ref="AA117:AA127" si="26">SUM(E117:Z117)</f>
        <v>31</v>
      </c>
      <c r="AB117" s="5"/>
      <c r="AC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1.0</v>
      </c>
      <c r="N118" s="19">
        <v>0.0</v>
      </c>
      <c r="O118" s="19">
        <v>1.0</v>
      </c>
      <c r="P118" s="19">
        <v>0.0</v>
      </c>
      <c r="Q118" s="19">
        <v>0.0</v>
      </c>
      <c r="R118" s="19">
        <v>1.0</v>
      </c>
      <c r="S118" s="19">
        <v>0.0</v>
      </c>
      <c r="T118" s="19">
        <v>1.0</v>
      </c>
      <c r="U118" s="19">
        <v>0.0</v>
      </c>
      <c r="V118" s="19">
        <v>0.0</v>
      </c>
      <c r="W118" s="19">
        <v>0.0</v>
      </c>
      <c r="X118" s="19">
        <v>0.0</v>
      </c>
      <c r="Y118" s="19">
        <v>1.0</v>
      </c>
      <c r="Z118" s="19">
        <v>0.0</v>
      </c>
      <c r="AA118" s="13">
        <f t="shared" si="26"/>
        <v>5</v>
      </c>
      <c r="AB118" s="5"/>
      <c r="AC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1.0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1.0</v>
      </c>
      <c r="Y119" s="19">
        <v>0.0</v>
      </c>
      <c r="Z119" s="19">
        <v>0.0</v>
      </c>
      <c r="AA119" s="13">
        <f t="shared" si="26"/>
        <v>2</v>
      </c>
      <c r="AB119" s="5"/>
      <c r="AC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1.0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1.0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3">
        <f t="shared" si="26"/>
        <v>2</v>
      </c>
      <c r="AB120" s="5"/>
      <c r="AC120" s="5"/>
    </row>
    <row r="121" ht="12.75" customHeight="1">
      <c r="A121" s="18"/>
      <c r="B121" s="71"/>
      <c r="C121" s="72"/>
      <c r="D121" s="74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3">
        <f t="shared" si="26"/>
        <v>0</v>
      </c>
      <c r="AB121" s="5"/>
      <c r="AC121" s="5"/>
    </row>
    <row r="122" ht="12.75" customHeight="1">
      <c r="A122" s="18"/>
      <c r="B122" s="71"/>
      <c r="C122" s="72"/>
      <c r="D122" s="74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3">
        <f t="shared" si="26"/>
        <v>0</v>
      </c>
      <c r="AB122" s="5"/>
      <c r="AC122" s="5"/>
    </row>
    <row r="123" ht="12.75" customHeight="1">
      <c r="A123" s="18"/>
      <c r="B123" s="71"/>
      <c r="C123" s="72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13">
        <f t="shared" si="26"/>
        <v>0</v>
      </c>
      <c r="AB123" s="5"/>
      <c r="AC123" s="5"/>
    </row>
    <row r="124" ht="12.75" customHeight="1">
      <c r="A124" s="18"/>
      <c r="B124" s="71"/>
      <c r="C124" s="72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13">
        <f t="shared" si="26"/>
        <v>0</v>
      </c>
      <c r="AB124" s="5"/>
      <c r="AC124" s="5"/>
    </row>
    <row r="125" ht="12.75" customHeight="1">
      <c r="A125" s="18"/>
      <c r="B125" s="71"/>
      <c r="C125" s="72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13">
        <f t="shared" si="26"/>
        <v>0</v>
      </c>
      <c r="AB125" s="5"/>
      <c r="AC125" s="5"/>
    </row>
    <row r="126" ht="12.75" customHeight="1">
      <c r="A126" s="18"/>
      <c r="B126" s="71"/>
      <c r="C126" s="72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13">
        <f t="shared" si="26"/>
        <v>0</v>
      </c>
      <c r="AB126" s="5"/>
      <c r="AC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Z127" si="27">SUM(E117:E120)</f>
        <v>1</v>
      </c>
      <c r="F127" s="58">
        <f t="shared" si="27"/>
        <v>0</v>
      </c>
      <c r="G127" s="58">
        <f t="shared" si="27"/>
        <v>4</v>
      </c>
      <c r="H127" s="58">
        <f t="shared" si="27"/>
        <v>4</v>
      </c>
      <c r="I127" s="58">
        <f t="shared" si="27"/>
        <v>0</v>
      </c>
      <c r="J127" s="58">
        <f t="shared" si="27"/>
        <v>0</v>
      </c>
      <c r="K127" s="58">
        <f t="shared" si="27"/>
        <v>0</v>
      </c>
      <c r="L127" s="58">
        <f t="shared" si="27"/>
        <v>3</v>
      </c>
      <c r="M127" s="58">
        <f t="shared" si="27"/>
        <v>2</v>
      </c>
      <c r="N127" s="58">
        <f t="shared" si="27"/>
        <v>1</v>
      </c>
      <c r="O127" s="58">
        <f t="shared" si="27"/>
        <v>2</v>
      </c>
      <c r="P127" s="58">
        <f t="shared" si="27"/>
        <v>1</v>
      </c>
      <c r="Q127" s="58">
        <f t="shared" si="27"/>
        <v>0</v>
      </c>
      <c r="R127" s="58">
        <f t="shared" si="27"/>
        <v>2</v>
      </c>
      <c r="S127" s="58">
        <f t="shared" si="27"/>
        <v>6</v>
      </c>
      <c r="T127" s="58">
        <f t="shared" si="27"/>
        <v>2</v>
      </c>
      <c r="U127" s="58">
        <f t="shared" si="27"/>
        <v>4</v>
      </c>
      <c r="V127" s="58">
        <f t="shared" si="27"/>
        <v>0</v>
      </c>
      <c r="W127" s="58">
        <f t="shared" si="27"/>
        <v>0</v>
      </c>
      <c r="X127" s="58">
        <f t="shared" si="27"/>
        <v>5</v>
      </c>
      <c r="Y127" s="58">
        <f t="shared" si="27"/>
        <v>3</v>
      </c>
      <c r="Z127" s="58">
        <f t="shared" si="27"/>
        <v>0</v>
      </c>
      <c r="AA127" s="13">
        <f t="shared" si="26"/>
        <v>40</v>
      </c>
      <c r="AB127" s="5"/>
      <c r="AC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5"/>
      <c r="AC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0.0</v>
      </c>
      <c r="G129" s="19">
        <v>2.0</v>
      </c>
      <c r="H129" s="19">
        <v>0.0</v>
      </c>
      <c r="I129" s="19">
        <v>2.0</v>
      </c>
      <c r="J129" s="19">
        <v>0.0</v>
      </c>
      <c r="K129" s="19">
        <v>1.0</v>
      </c>
      <c r="L129" s="19">
        <v>0.0</v>
      </c>
      <c r="M129" s="19">
        <v>0.0</v>
      </c>
      <c r="N129" s="19">
        <v>0.0</v>
      </c>
      <c r="O129" s="19">
        <v>0.0</v>
      </c>
      <c r="P129" s="19">
        <v>7.0</v>
      </c>
      <c r="Q129" s="19">
        <v>5.0</v>
      </c>
      <c r="R129" s="19">
        <v>2.0</v>
      </c>
      <c r="S129" s="19">
        <v>0.0</v>
      </c>
      <c r="T129" s="19">
        <v>2.0</v>
      </c>
      <c r="U129" s="19">
        <v>4.0</v>
      </c>
      <c r="V129" s="19">
        <v>3.0</v>
      </c>
      <c r="W129" s="19">
        <v>6.0</v>
      </c>
      <c r="X129" s="19">
        <v>0.0</v>
      </c>
      <c r="Y129" s="19">
        <v>0.0</v>
      </c>
      <c r="Z129" s="19">
        <v>0.0</v>
      </c>
      <c r="AA129" s="13">
        <f t="shared" ref="AA129:AA139" si="28">SUM(E129:Z129)</f>
        <v>35</v>
      </c>
      <c r="AB129" s="5"/>
      <c r="AC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0.0</v>
      </c>
      <c r="G130" s="19">
        <v>4.0</v>
      </c>
      <c r="H130" s="19">
        <v>2.0</v>
      </c>
      <c r="I130" s="19">
        <v>0.0</v>
      </c>
      <c r="J130" s="19">
        <v>0.0</v>
      </c>
      <c r="K130" s="19">
        <v>0.0</v>
      </c>
      <c r="L130" s="19">
        <v>0.0</v>
      </c>
      <c r="M130" s="19">
        <v>0.0</v>
      </c>
      <c r="N130" s="19">
        <v>2.0</v>
      </c>
      <c r="O130" s="19">
        <v>3.0</v>
      </c>
      <c r="P130" s="19">
        <v>10.0</v>
      </c>
      <c r="Q130" s="19">
        <v>5.0</v>
      </c>
      <c r="R130" s="19">
        <v>4.0</v>
      </c>
      <c r="S130" s="19">
        <v>1.0</v>
      </c>
      <c r="T130" s="19">
        <v>15.0</v>
      </c>
      <c r="U130" s="19">
        <v>13.0</v>
      </c>
      <c r="V130" s="19">
        <v>17.0</v>
      </c>
      <c r="W130" s="19">
        <v>17.0</v>
      </c>
      <c r="X130" s="19">
        <v>8.0</v>
      </c>
      <c r="Y130" s="19">
        <v>3.0</v>
      </c>
      <c r="Z130" s="19">
        <v>2.0</v>
      </c>
      <c r="AA130" s="13">
        <f t="shared" si="28"/>
        <v>106</v>
      </c>
      <c r="AB130" s="1"/>
      <c r="AC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2.0</v>
      </c>
      <c r="G131" s="19">
        <v>0.0</v>
      </c>
      <c r="H131" s="19">
        <v>2.0</v>
      </c>
      <c r="I131" s="19">
        <v>0.0</v>
      </c>
      <c r="J131" s="19">
        <v>1.0</v>
      </c>
      <c r="K131" s="19">
        <v>1.0</v>
      </c>
      <c r="L131" s="19">
        <v>0.0</v>
      </c>
      <c r="M131" s="19">
        <v>0.0</v>
      </c>
      <c r="N131" s="19">
        <v>0.0</v>
      </c>
      <c r="O131" s="19">
        <v>2.0</v>
      </c>
      <c r="P131" s="19">
        <v>3.0</v>
      </c>
      <c r="Q131" s="19">
        <v>5.0</v>
      </c>
      <c r="R131" s="19">
        <v>0.0</v>
      </c>
      <c r="S131" s="19">
        <v>0.0</v>
      </c>
      <c r="T131" s="19">
        <v>1.0</v>
      </c>
      <c r="U131" s="19">
        <v>0.0</v>
      </c>
      <c r="V131" s="19">
        <v>5.0</v>
      </c>
      <c r="W131" s="19">
        <v>3.0</v>
      </c>
      <c r="X131" s="19">
        <v>2.0</v>
      </c>
      <c r="Y131" s="19">
        <v>1.0</v>
      </c>
      <c r="Z131" s="19">
        <v>1.0</v>
      </c>
      <c r="AA131" s="13">
        <f t="shared" si="28"/>
        <v>29</v>
      </c>
      <c r="AB131" s="52"/>
      <c r="AC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1.0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1.0</v>
      </c>
      <c r="Z132" s="19">
        <v>0.0</v>
      </c>
      <c r="AA132" s="13">
        <f t="shared" si="28"/>
        <v>2</v>
      </c>
      <c r="AB132" s="5"/>
      <c r="AC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1.0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1.0</v>
      </c>
      <c r="X133" s="19">
        <v>0.0</v>
      </c>
      <c r="Y133" s="19">
        <v>0.0</v>
      </c>
      <c r="Z133" s="19">
        <v>0.0</v>
      </c>
      <c r="AA133" s="13">
        <f t="shared" si="28"/>
        <v>2</v>
      </c>
      <c r="AB133" s="5"/>
      <c r="AC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1.0</v>
      </c>
      <c r="V134" s="19">
        <v>0.0</v>
      </c>
      <c r="W134" s="19">
        <v>0.0</v>
      </c>
      <c r="X134" s="19">
        <v>0.0</v>
      </c>
      <c r="Y134" s="19">
        <v>1.0</v>
      </c>
      <c r="Z134" s="19">
        <v>0.0</v>
      </c>
      <c r="AA134" s="13">
        <f t="shared" si="28"/>
        <v>2</v>
      </c>
      <c r="AB134" s="5"/>
      <c r="AC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1.0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1.0</v>
      </c>
      <c r="Z135" s="19">
        <v>0.0</v>
      </c>
      <c r="AA135" s="13">
        <f t="shared" si="28"/>
        <v>2</v>
      </c>
      <c r="AB135" s="5"/>
      <c r="AC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1.0</v>
      </c>
      <c r="W136" s="19">
        <v>0.0</v>
      </c>
      <c r="X136" s="19">
        <v>0.0</v>
      </c>
      <c r="Y136" s="19">
        <v>0.0</v>
      </c>
      <c r="Z136" s="19">
        <v>0.0</v>
      </c>
      <c r="AA136" s="13">
        <f t="shared" si="28"/>
        <v>1</v>
      </c>
      <c r="AB136" s="5"/>
      <c r="AC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3">
        <f t="shared" si="28"/>
        <v>0</v>
      </c>
      <c r="AB137" s="5"/>
      <c r="AC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3">
        <f t="shared" si="28"/>
        <v>0</v>
      </c>
      <c r="AB138" s="5"/>
      <c r="AC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Z139" si="29">SUM(E129:E136)</f>
        <v>1</v>
      </c>
      <c r="F139" s="13">
        <f t="shared" si="29"/>
        <v>2</v>
      </c>
      <c r="G139" s="13">
        <f t="shared" si="29"/>
        <v>6</v>
      </c>
      <c r="H139" s="13">
        <f t="shared" si="29"/>
        <v>4</v>
      </c>
      <c r="I139" s="13">
        <f t="shared" si="29"/>
        <v>2</v>
      </c>
      <c r="J139" s="13">
        <f t="shared" si="29"/>
        <v>1</v>
      </c>
      <c r="K139" s="13">
        <f t="shared" si="29"/>
        <v>3</v>
      </c>
      <c r="L139" s="13">
        <f t="shared" si="29"/>
        <v>0</v>
      </c>
      <c r="M139" s="13">
        <f t="shared" si="29"/>
        <v>0</v>
      </c>
      <c r="N139" s="13">
        <f t="shared" si="29"/>
        <v>2</v>
      </c>
      <c r="O139" s="13">
        <f t="shared" si="29"/>
        <v>7</v>
      </c>
      <c r="P139" s="13">
        <f t="shared" si="29"/>
        <v>20</v>
      </c>
      <c r="Q139" s="13">
        <f t="shared" si="29"/>
        <v>15</v>
      </c>
      <c r="R139" s="13">
        <f t="shared" si="29"/>
        <v>6</v>
      </c>
      <c r="S139" s="13">
        <f t="shared" si="29"/>
        <v>1</v>
      </c>
      <c r="T139" s="13">
        <f t="shared" si="29"/>
        <v>18</v>
      </c>
      <c r="U139" s="13">
        <f t="shared" si="29"/>
        <v>18</v>
      </c>
      <c r="V139" s="13">
        <f t="shared" si="29"/>
        <v>26</v>
      </c>
      <c r="W139" s="13">
        <f t="shared" si="29"/>
        <v>27</v>
      </c>
      <c r="X139" s="13">
        <f t="shared" si="29"/>
        <v>10</v>
      </c>
      <c r="Y139" s="13">
        <f t="shared" si="29"/>
        <v>7</v>
      </c>
      <c r="Z139" s="13">
        <f t="shared" si="29"/>
        <v>3</v>
      </c>
      <c r="AA139" s="13">
        <f t="shared" si="28"/>
        <v>179</v>
      </c>
      <c r="AB139" s="5"/>
      <c r="AC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5"/>
      <c r="AC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1.0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3">
        <f t="shared" ref="AA141:AA151" si="30">SUM(E141:Z141)</f>
        <v>1</v>
      </c>
      <c r="AB141" s="1"/>
      <c r="AC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1.0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3">
        <f t="shared" si="30"/>
        <v>1</v>
      </c>
      <c r="AB142" s="52"/>
      <c r="AC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3">
        <f t="shared" si="30"/>
        <v>0</v>
      </c>
      <c r="AB143" s="5"/>
      <c r="AC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3">
        <f t="shared" si="30"/>
        <v>0</v>
      </c>
      <c r="AB144" s="5"/>
      <c r="AC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1.0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3">
        <f t="shared" si="30"/>
        <v>1</v>
      </c>
      <c r="AB145" s="5"/>
      <c r="AC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3">
        <f t="shared" si="30"/>
        <v>0</v>
      </c>
      <c r="AB146" s="5"/>
      <c r="AC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3">
        <f t="shared" si="30"/>
        <v>0</v>
      </c>
      <c r="AB147" s="5"/>
      <c r="AC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3">
        <f t="shared" si="30"/>
        <v>0</v>
      </c>
      <c r="AB148" s="5"/>
      <c r="AC148" s="5"/>
    </row>
    <row r="149" ht="12.75" customHeight="1">
      <c r="A149" s="18"/>
      <c r="B149" s="71"/>
      <c r="C149" s="72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3">
        <f t="shared" si="30"/>
        <v>0</v>
      </c>
      <c r="AB149" s="5"/>
      <c r="AC149" s="5"/>
    </row>
    <row r="150" ht="12.75" customHeight="1">
      <c r="A150" s="18"/>
      <c r="B150" s="71"/>
      <c r="C150" s="72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3">
        <f t="shared" si="30"/>
        <v>0</v>
      </c>
      <c r="AB150" s="5"/>
      <c r="AC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Z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2</v>
      </c>
      <c r="R151" s="13">
        <f t="shared" si="31"/>
        <v>0</v>
      </c>
      <c r="S151" s="13">
        <f t="shared" si="31"/>
        <v>1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0"/>
        <v>3</v>
      </c>
      <c r="AB151" s="1"/>
      <c r="AC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13"/>
      <c r="AB152" s="52"/>
      <c r="AC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1.0</v>
      </c>
      <c r="J153" s="19">
        <v>0.0</v>
      </c>
      <c r="K153" s="19">
        <v>0.0</v>
      </c>
      <c r="L153" s="19">
        <v>0.0</v>
      </c>
      <c r="M153" s="19">
        <v>0.0</v>
      </c>
      <c r="N153" s="19">
        <v>1.0</v>
      </c>
      <c r="O153" s="19">
        <v>2.0</v>
      </c>
      <c r="P153" s="19">
        <v>0.0</v>
      </c>
      <c r="Q153" s="19">
        <v>0.0</v>
      </c>
      <c r="R153" s="19">
        <v>0.0</v>
      </c>
      <c r="S153" s="19">
        <v>0.0</v>
      </c>
      <c r="T153" s="19">
        <v>1.0</v>
      </c>
      <c r="U153" s="19">
        <v>0.0</v>
      </c>
      <c r="V153" s="19">
        <v>0.0</v>
      </c>
      <c r="W153" s="19">
        <v>1.0</v>
      </c>
      <c r="X153" s="19">
        <v>0.0</v>
      </c>
      <c r="Y153" s="19">
        <v>0.0</v>
      </c>
      <c r="Z153" s="19">
        <v>0.0</v>
      </c>
      <c r="AA153" s="13">
        <f t="shared" ref="AA153:AA163" si="32">SUM(E153:Z153)</f>
        <v>6</v>
      </c>
      <c r="AB153" s="5"/>
      <c r="AC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1.0</v>
      </c>
      <c r="H154" s="19">
        <v>1.0</v>
      </c>
      <c r="I154" s="19">
        <v>0.0</v>
      </c>
      <c r="J154" s="19">
        <v>0.0</v>
      </c>
      <c r="K154" s="19">
        <v>0.0</v>
      </c>
      <c r="L154" s="19">
        <v>1.0</v>
      </c>
      <c r="M154" s="19">
        <v>0.0</v>
      </c>
      <c r="N154" s="19">
        <v>0.0</v>
      </c>
      <c r="O154" s="19">
        <v>1.0</v>
      </c>
      <c r="P154" s="19">
        <v>1.0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2.0</v>
      </c>
      <c r="Z154" s="19">
        <v>0.0</v>
      </c>
      <c r="AA154" s="13">
        <f t="shared" si="32"/>
        <v>7</v>
      </c>
      <c r="AB154" s="5"/>
      <c r="AC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3">
        <f t="shared" si="32"/>
        <v>0</v>
      </c>
      <c r="AB155" s="5"/>
      <c r="AC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1.0</v>
      </c>
      <c r="AA156" s="13">
        <f t="shared" si="32"/>
        <v>1</v>
      </c>
      <c r="AB156" s="5"/>
      <c r="AC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1.0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3">
        <f t="shared" si="32"/>
        <v>1</v>
      </c>
      <c r="AB157" s="5"/>
      <c r="AC157" s="5"/>
    </row>
    <row r="158" ht="12.75" customHeight="1">
      <c r="A158" s="18"/>
      <c r="B158" s="71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3">
        <f t="shared" si="32"/>
        <v>0</v>
      </c>
      <c r="AB158" s="5"/>
      <c r="AC158" s="5"/>
    </row>
    <row r="159" ht="12.75" customHeight="1">
      <c r="A159" s="18"/>
      <c r="B159" s="71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3">
        <f t="shared" si="32"/>
        <v>0</v>
      </c>
      <c r="AB159" s="5"/>
      <c r="AC159" s="5"/>
    </row>
    <row r="160" ht="12.75" customHeight="1">
      <c r="A160" s="18"/>
      <c r="B160" s="71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3">
        <f t="shared" si="32"/>
        <v>0</v>
      </c>
      <c r="AB160" s="5"/>
      <c r="AC160" s="5"/>
    </row>
    <row r="161" ht="12.75" customHeight="1">
      <c r="A161" s="18"/>
      <c r="B161" s="71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3">
        <f t="shared" si="32"/>
        <v>0</v>
      </c>
      <c r="AB161" s="5"/>
      <c r="AC161" s="5"/>
    </row>
    <row r="162" ht="12.75" customHeight="1">
      <c r="A162" s="18"/>
      <c r="B162" s="71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3">
        <f t="shared" si="32"/>
        <v>0</v>
      </c>
      <c r="AB162" s="5"/>
      <c r="AC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Z163" si="33">SUM(E153:E157)</f>
        <v>0</v>
      </c>
      <c r="F163" s="13">
        <f t="shared" si="33"/>
        <v>0</v>
      </c>
      <c r="G163" s="13">
        <f t="shared" si="33"/>
        <v>1</v>
      </c>
      <c r="H163" s="13">
        <f t="shared" si="33"/>
        <v>1</v>
      </c>
      <c r="I163" s="13">
        <f t="shared" si="33"/>
        <v>1</v>
      </c>
      <c r="J163" s="13">
        <f t="shared" si="33"/>
        <v>0</v>
      </c>
      <c r="K163" s="13">
        <f t="shared" si="33"/>
        <v>0</v>
      </c>
      <c r="L163" s="13">
        <f t="shared" si="33"/>
        <v>1</v>
      </c>
      <c r="M163" s="13">
        <f t="shared" si="33"/>
        <v>0</v>
      </c>
      <c r="N163" s="13">
        <f t="shared" si="33"/>
        <v>1</v>
      </c>
      <c r="O163" s="13">
        <f t="shared" si="33"/>
        <v>3</v>
      </c>
      <c r="P163" s="13">
        <f t="shared" si="33"/>
        <v>1</v>
      </c>
      <c r="Q163" s="13">
        <f t="shared" si="33"/>
        <v>0</v>
      </c>
      <c r="R163" s="13">
        <f t="shared" si="33"/>
        <v>0</v>
      </c>
      <c r="S163" s="13">
        <f t="shared" si="33"/>
        <v>1</v>
      </c>
      <c r="T163" s="13">
        <f t="shared" si="33"/>
        <v>1</v>
      </c>
      <c r="U163" s="13">
        <f t="shared" si="33"/>
        <v>0</v>
      </c>
      <c r="V163" s="13">
        <f t="shared" si="33"/>
        <v>0</v>
      </c>
      <c r="W163" s="13">
        <f t="shared" si="33"/>
        <v>1</v>
      </c>
      <c r="X163" s="13">
        <f t="shared" si="33"/>
        <v>0</v>
      </c>
      <c r="Y163" s="13">
        <f t="shared" si="33"/>
        <v>2</v>
      </c>
      <c r="Z163" s="13">
        <f t="shared" si="33"/>
        <v>1</v>
      </c>
      <c r="AA163" s="13">
        <f t="shared" si="32"/>
        <v>15</v>
      </c>
      <c r="AB163" s="5"/>
      <c r="AC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5"/>
      <c r="AC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1.0</v>
      </c>
      <c r="G165" s="19">
        <v>1.0</v>
      </c>
      <c r="H165" s="19">
        <v>2.0</v>
      </c>
      <c r="I165" s="19">
        <v>1.0</v>
      </c>
      <c r="J165" s="19">
        <v>0.0</v>
      </c>
      <c r="K165" s="19">
        <v>0.0</v>
      </c>
      <c r="L165" s="19">
        <v>0.0</v>
      </c>
      <c r="M165" s="19">
        <v>0.0</v>
      </c>
      <c r="N165" s="19">
        <v>1.0</v>
      </c>
      <c r="O165" s="19">
        <v>3.0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1.0</v>
      </c>
      <c r="X165" s="19">
        <v>1.0</v>
      </c>
      <c r="Y165" s="19">
        <v>0.0</v>
      </c>
      <c r="Z165" s="19">
        <v>1.0</v>
      </c>
      <c r="AA165" s="13">
        <f t="shared" ref="AA165:AA175" si="34">SUM(E165:Z165)</f>
        <v>12</v>
      </c>
      <c r="AB165" s="1"/>
      <c r="AC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1.0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2.0</v>
      </c>
      <c r="X166" s="19">
        <v>0.0</v>
      </c>
      <c r="Y166" s="19">
        <v>0.0</v>
      </c>
      <c r="Z166" s="19">
        <v>1.0</v>
      </c>
      <c r="AA166" s="13">
        <f t="shared" si="34"/>
        <v>4</v>
      </c>
      <c r="AB166" s="52"/>
      <c r="AC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3">
        <f t="shared" si="34"/>
        <v>0</v>
      </c>
      <c r="AB167" s="5"/>
      <c r="AC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3">
        <f t="shared" si="34"/>
        <v>0</v>
      </c>
      <c r="AB168" s="5"/>
      <c r="AC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3">
        <f t="shared" si="34"/>
        <v>0</v>
      </c>
      <c r="AB169" s="5"/>
      <c r="AC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3">
        <f t="shared" si="34"/>
        <v>0</v>
      </c>
      <c r="AB170" s="5"/>
      <c r="AC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3">
        <f t="shared" si="34"/>
        <v>0</v>
      </c>
      <c r="AB171" s="5"/>
      <c r="AC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1.0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3">
        <f t="shared" si="34"/>
        <v>1</v>
      </c>
      <c r="AB172" s="5"/>
      <c r="AC172" s="5"/>
    </row>
    <row r="173" ht="12.75" customHeight="1">
      <c r="A173" s="18"/>
      <c r="B173" s="71"/>
      <c r="C173" s="72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3">
        <f t="shared" si="34"/>
        <v>0</v>
      </c>
      <c r="AB173" s="5"/>
      <c r="AC173" s="5"/>
    </row>
    <row r="174" ht="12.75" customHeight="1">
      <c r="A174" s="18"/>
      <c r="B174" s="71"/>
      <c r="C174" s="72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3">
        <f t="shared" si="34"/>
        <v>0</v>
      </c>
      <c r="AB174" s="5"/>
      <c r="AC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Z175" si="35">SUM(E165:E172)</f>
        <v>0</v>
      </c>
      <c r="F175" s="13">
        <f t="shared" si="35"/>
        <v>1</v>
      </c>
      <c r="G175" s="13">
        <f t="shared" si="35"/>
        <v>1</v>
      </c>
      <c r="H175" s="13">
        <f t="shared" si="35"/>
        <v>2</v>
      </c>
      <c r="I175" s="13">
        <f t="shared" si="35"/>
        <v>1</v>
      </c>
      <c r="J175" s="13">
        <f t="shared" si="35"/>
        <v>1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2</v>
      </c>
      <c r="O175" s="13">
        <f t="shared" si="35"/>
        <v>3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3</v>
      </c>
      <c r="X175" s="13">
        <f t="shared" si="35"/>
        <v>1</v>
      </c>
      <c r="Y175" s="13">
        <f t="shared" si="35"/>
        <v>0</v>
      </c>
      <c r="Z175" s="13">
        <f t="shared" si="35"/>
        <v>2</v>
      </c>
      <c r="AA175" s="13">
        <f t="shared" si="34"/>
        <v>17</v>
      </c>
      <c r="AB175" s="5"/>
      <c r="AC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1"/>
      <c r="AC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2.0</v>
      </c>
      <c r="G177" s="19">
        <v>1.0</v>
      </c>
      <c r="H177" s="19">
        <v>1.0</v>
      </c>
      <c r="I177" s="19">
        <v>0.0</v>
      </c>
      <c r="J177" s="19">
        <v>2.0</v>
      </c>
      <c r="K177" s="19">
        <v>7.0</v>
      </c>
      <c r="L177" s="19">
        <v>4.0</v>
      </c>
      <c r="M177" s="19">
        <v>1.0</v>
      </c>
      <c r="N177" s="19">
        <v>5.0</v>
      </c>
      <c r="O177" s="19">
        <v>9.0</v>
      </c>
      <c r="P177" s="19">
        <v>6.0</v>
      </c>
      <c r="Q177" s="19">
        <v>9.0</v>
      </c>
      <c r="R177" s="19">
        <v>1.0</v>
      </c>
      <c r="S177" s="19">
        <v>3.0</v>
      </c>
      <c r="T177" s="19">
        <v>1.0</v>
      </c>
      <c r="U177" s="19">
        <v>4.0</v>
      </c>
      <c r="V177" s="19">
        <v>7.0</v>
      </c>
      <c r="W177" s="19">
        <v>0.0</v>
      </c>
      <c r="X177" s="19">
        <v>6.0</v>
      </c>
      <c r="Y177" s="19">
        <v>0.0</v>
      </c>
      <c r="Z177" s="19">
        <v>11.0</v>
      </c>
      <c r="AA177" s="13">
        <f t="shared" ref="AA177:AA187" si="36">SUM(E177:Z177)</f>
        <v>80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2.0</v>
      </c>
      <c r="F178" s="19">
        <v>3.0</v>
      </c>
      <c r="G178" s="19">
        <v>0.0</v>
      </c>
      <c r="H178" s="19">
        <v>1.0</v>
      </c>
      <c r="I178" s="19">
        <v>0.0</v>
      </c>
      <c r="J178" s="19">
        <v>2.0</v>
      </c>
      <c r="K178" s="19">
        <v>0.0</v>
      </c>
      <c r="L178" s="19">
        <v>4.0</v>
      </c>
      <c r="M178" s="19">
        <v>2.0</v>
      </c>
      <c r="N178" s="19">
        <v>4.0</v>
      </c>
      <c r="O178" s="19">
        <v>7.0</v>
      </c>
      <c r="P178" s="19">
        <v>8.0</v>
      </c>
      <c r="Q178" s="19">
        <v>3.0</v>
      </c>
      <c r="R178" s="19">
        <v>2.0</v>
      </c>
      <c r="S178" s="19">
        <v>1.0</v>
      </c>
      <c r="T178" s="19">
        <v>2.0</v>
      </c>
      <c r="U178" s="19">
        <v>0.0</v>
      </c>
      <c r="V178" s="19">
        <v>7.0</v>
      </c>
      <c r="W178" s="19">
        <v>3.0</v>
      </c>
      <c r="X178" s="19">
        <v>1.0</v>
      </c>
      <c r="Y178" s="19">
        <v>0.0</v>
      </c>
      <c r="Z178" s="19">
        <v>6.0</v>
      </c>
      <c r="AA178" s="13">
        <f t="shared" si="36"/>
        <v>58</v>
      </c>
      <c r="AB178" s="5"/>
      <c r="AC178" s="5"/>
    </row>
    <row r="179" ht="12.75" customHeight="1">
      <c r="A179" s="18"/>
      <c r="B179" s="55">
        <v>2.0</v>
      </c>
      <c r="C179" s="50" t="s">
        <v>131</v>
      </c>
      <c r="D179" s="57"/>
      <c r="E179" s="19">
        <v>1.0</v>
      </c>
      <c r="F179" s="19">
        <v>0.0</v>
      </c>
      <c r="G179" s="19">
        <v>1.0</v>
      </c>
      <c r="H179" s="19">
        <v>0.0</v>
      </c>
      <c r="I179" s="19">
        <v>1.0</v>
      </c>
      <c r="J179" s="19">
        <v>3.0</v>
      </c>
      <c r="K179" s="19">
        <v>3.0</v>
      </c>
      <c r="L179" s="19">
        <v>0.0</v>
      </c>
      <c r="M179" s="19">
        <v>0.0</v>
      </c>
      <c r="N179" s="19">
        <v>3.0</v>
      </c>
      <c r="O179" s="19">
        <v>5.0</v>
      </c>
      <c r="P179" s="19">
        <v>8.0</v>
      </c>
      <c r="Q179" s="19">
        <v>0.0</v>
      </c>
      <c r="R179" s="19">
        <v>1.0</v>
      </c>
      <c r="S179" s="19">
        <v>1.0</v>
      </c>
      <c r="T179" s="19">
        <v>1.0</v>
      </c>
      <c r="U179" s="19">
        <v>3.0</v>
      </c>
      <c r="V179" s="19">
        <v>0.0</v>
      </c>
      <c r="W179" s="19">
        <v>0.0</v>
      </c>
      <c r="X179" s="19">
        <v>4.0</v>
      </c>
      <c r="Y179" s="19">
        <v>0.0</v>
      </c>
      <c r="Z179" s="19">
        <v>0.0</v>
      </c>
      <c r="AA179" s="13">
        <f t="shared" si="36"/>
        <v>35</v>
      </c>
      <c r="AB179" s="5"/>
      <c r="AC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1.0</v>
      </c>
      <c r="J180" s="19">
        <v>0.0</v>
      </c>
      <c r="K180" s="19">
        <v>2.0</v>
      </c>
      <c r="L180" s="19">
        <v>0.0</v>
      </c>
      <c r="M180" s="19">
        <v>3.0</v>
      </c>
      <c r="N180" s="19">
        <v>1.0</v>
      </c>
      <c r="O180" s="19">
        <v>7.0</v>
      </c>
      <c r="P180" s="19">
        <v>0.0</v>
      </c>
      <c r="Q180" s="19">
        <v>0.0</v>
      </c>
      <c r="R180" s="19">
        <v>0.0</v>
      </c>
      <c r="S180" s="19">
        <v>0.0</v>
      </c>
      <c r="T180" s="19">
        <v>1.0</v>
      </c>
      <c r="U180" s="19">
        <v>1.0</v>
      </c>
      <c r="V180" s="19">
        <v>3.0</v>
      </c>
      <c r="W180" s="19">
        <v>1.0</v>
      </c>
      <c r="X180" s="19">
        <v>1.0</v>
      </c>
      <c r="Y180" s="19">
        <v>0.0</v>
      </c>
      <c r="Z180" s="19">
        <v>0.0</v>
      </c>
      <c r="AA180" s="13">
        <f t="shared" si="36"/>
        <v>21</v>
      </c>
      <c r="AB180" s="5"/>
      <c r="AC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1.0</v>
      </c>
      <c r="N181" s="19">
        <v>1.0</v>
      </c>
      <c r="O181" s="19">
        <v>3.0</v>
      </c>
      <c r="P181" s="19">
        <v>2.0</v>
      </c>
      <c r="Q181" s="19">
        <v>1.0</v>
      </c>
      <c r="R181" s="19">
        <v>1.0</v>
      </c>
      <c r="S181" s="19">
        <v>0.0</v>
      </c>
      <c r="T181" s="19">
        <v>1.0</v>
      </c>
      <c r="U181" s="19">
        <v>2.0</v>
      </c>
      <c r="V181" s="19">
        <v>1.0</v>
      </c>
      <c r="W181" s="19">
        <v>1.0</v>
      </c>
      <c r="X181" s="19">
        <v>0.0</v>
      </c>
      <c r="Y181" s="19">
        <v>0.0</v>
      </c>
      <c r="Z181" s="19">
        <v>1.0</v>
      </c>
      <c r="AA181" s="13">
        <f t="shared" si="36"/>
        <v>15</v>
      </c>
      <c r="AB181" s="5"/>
      <c r="AC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2.0</v>
      </c>
      <c r="P182" s="19">
        <v>0.0</v>
      </c>
      <c r="Q182" s="19">
        <v>0.0</v>
      </c>
      <c r="R182" s="19">
        <v>1.0</v>
      </c>
      <c r="S182" s="19">
        <v>0.0</v>
      </c>
      <c r="T182" s="19">
        <v>1.0</v>
      </c>
      <c r="U182" s="19">
        <v>0.0</v>
      </c>
      <c r="V182" s="19">
        <v>0.0</v>
      </c>
      <c r="W182" s="19">
        <v>1.0</v>
      </c>
      <c r="X182" s="19">
        <v>0.0</v>
      </c>
      <c r="Y182" s="19">
        <v>0.0</v>
      </c>
      <c r="Z182" s="19">
        <v>0.0</v>
      </c>
      <c r="AA182" s="13">
        <f t="shared" si="36"/>
        <v>5</v>
      </c>
      <c r="AB182" s="5"/>
      <c r="AC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1.0</v>
      </c>
      <c r="O183" s="19">
        <v>1.0</v>
      </c>
      <c r="P183" s="19">
        <v>0.0</v>
      </c>
      <c r="Q183" s="19">
        <v>0.0</v>
      </c>
      <c r="R183" s="19">
        <v>1.0</v>
      </c>
      <c r="S183" s="19">
        <v>1.0</v>
      </c>
      <c r="T183" s="19">
        <v>2.0</v>
      </c>
      <c r="U183" s="19">
        <v>0.0</v>
      </c>
      <c r="V183" s="19">
        <v>0.0</v>
      </c>
      <c r="W183" s="19">
        <v>0.0</v>
      </c>
      <c r="X183" s="19">
        <v>0.0</v>
      </c>
      <c r="Y183" s="19">
        <v>2.0</v>
      </c>
      <c r="Z183" s="19">
        <v>0.0</v>
      </c>
      <c r="AA183" s="13">
        <f t="shared" si="36"/>
        <v>8</v>
      </c>
      <c r="AB183" s="5"/>
      <c r="AC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1.0</v>
      </c>
      <c r="O184" s="19">
        <v>3.0</v>
      </c>
      <c r="P184" s="19">
        <v>0.0</v>
      </c>
      <c r="Q184" s="19">
        <v>0.0</v>
      </c>
      <c r="R184" s="19">
        <v>0.0</v>
      </c>
      <c r="S184" s="19">
        <v>1.0</v>
      </c>
      <c r="T184" s="19">
        <v>1.0</v>
      </c>
      <c r="U184" s="19">
        <v>1.0</v>
      </c>
      <c r="V184" s="19">
        <v>1.0</v>
      </c>
      <c r="W184" s="19">
        <v>0.0</v>
      </c>
      <c r="X184" s="19">
        <v>0.0</v>
      </c>
      <c r="Y184" s="19">
        <v>1.0</v>
      </c>
      <c r="Z184" s="19">
        <v>0.0</v>
      </c>
      <c r="AA184" s="13">
        <f t="shared" si="36"/>
        <v>9</v>
      </c>
      <c r="AB184" s="5"/>
      <c r="AC184" s="5"/>
    </row>
    <row r="185" ht="12.75" customHeight="1">
      <c r="A185" s="18"/>
      <c r="B185" s="71"/>
      <c r="C185" s="72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3">
        <f t="shared" si="36"/>
        <v>0</v>
      </c>
      <c r="AB185" s="5"/>
      <c r="AC185" s="5"/>
    </row>
    <row r="186" ht="12.75" customHeight="1">
      <c r="A186" s="18"/>
      <c r="B186" s="71"/>
      <c r="C186" s="72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3">
        <f t="shared" si="36"/>
        <v>0</v>
      </c>
      <c r="AB186" s="5"/>
      <c r="AC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Z187" si="37">SUM(E177:E184)</f>
        <v>3</v>
      </c>
      <c r="F187" s="13">
        <f t="shared" si="37"/>
        <v>5</v>
      </c>
      <c r="G187" s="13">
        <f t="shared" si="37"/>
        <v>2</v>
      </c>
      <c r="H187" s="13">
        <f t="shared" si="37"/>
        <v>2</v>
      </c>
      <c r="I187" s="13">
        <f t="shared" si="37"/>
        <v>2</v>
      </c>
      <c r="J187" s="13">
        <f t="shared" si="37"/>
        <v>7</v>
      </c>
      <c r="K187" s="13">
        <f t="shared" si="37"/>
        <v>12</v>
      </c>
      <c r="L187" s="13">
        <f t="shared" si="37"/>
        <v>8</v>
      </c>
      <c r="M187" s="13">
        <f t="shared" si="37"/>
        <v>7</v>
      </c>
      <c r="N187" s="13">
        <f t="shared" si="37"/>
        <v>16</v>
      </c>
      <c r="O187" s="13">
        <f t="shared" si="37"/>
        <v>37</v>
      </c>
      <c r="P187" s="13">
        <f t="shared" si="37"/>
        <v>24</v>
      </c>
      <c r="Q187" s="13">
        <f t="shared" si="37"/>
        <v>13</v>
      </c>
      <c r="R187" s="13">
        <f t="shared" si="37"/>
        <v>7</v>
      </c>
      <c r="S187" s="13">
        <f t="shared" si="37"/>
        <v>7</v>
      </c>
      <c r="T187" s="13">
        <f t="shared" si="37"/>
        <v>10</v>
      </c>
      <c r="U187" s="13">
        <f t="shared" si="37"/>
        <v>11</v>
      </c>
      <c r="V187" s="13">
        <f t="shared" si="37"/>
        <v>19</v>
      </c>
      <c r="W187" s="13">
        <f t="shared" si="37"/>
        <v>6</v>
      </c>
      <c r="X187" s="13">
        <f t="shared" si="37"/>
        <v>12</v>
      </c>
      <c r="Y187" s="13">
        <f t="shared" si="37"/>
        <v>3</v>
      </c>
      <c r="Z187" s="13">
        <f t="shared" si="37"/>
        <v>18</v>
      </c>
      <c r="AA187" s="13">
        <f t="shared" si="36"/>
        <v>231</v>
      </c>
      <c r="AB187" s="1"/>
      <c r="AC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1.0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1.0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3">
        <f t="shared" ref="AA189:AA199" si="38">SUM(E189:Z189)</f>
        <v>2</v>
      </c>
      <c r="AB189" s="5"/>
      <c r="AC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1.0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1.0</v>
      </c>
      <c r="W190" s="19">
        <v>0.0</v>
      </c>
      <c r="X190" s="19">
        <v>0.0</v>
      </c>
      <c r="Y190" s="19">
        <v>0.0</v>
      </c>
      <c r="Z190" s="19">
        <v>0.0</v>
      </c>
      <c r="AA190" s="13">
        <f t="shared" si="38"/>
        <v>2</v>
      </c>
      <c r="AB190" s="5"/>
      <c r="AC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1.0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3">
        <f t="shared" si="38"/>
        <v>1</v>
      </c>
      <c r="AB191" s="5"/>
      <c r="AC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1.0</v>
      </c>
      <c r="Y192" s="19">
        <v>0.0</v>
      </c>
      <c r="Z192" s="19">
        <v>0.0</v>
      </c>
      <c r="AA192" s="13">
        <f t="shared" si="38"/>
        <v>1</v>
      </c>
      <c r="AB192" s="5"/>
      <c r="AC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3">
        <f t="shared" si="38"/>
        <v>0</v>
      </c>
      <c r="AB193" s="5"/>
      <c r="AC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1.0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3">
        <f t="shared" si="38"/>
        <v>1</v>
      </c>
      <c r="AB194" s="5"/>
      <c r="AC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3">
        <f t="shared" si="38"/>
        <v>0</v>
      </c>
      <c r="AB195" s="5"/>
      <c r="AC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3">
        <f t="shared" si="38"/>
        <v>0</v>
      </c>
      <c r="AB196" s="1"/>
      <c r="AC196" s="1"/>
    </row>
    <row r="197" ht="12.75" customHeight="1">
      <c r="A197" s="18"/>
      <c r="B197" s="71"/>
      <c r="C197" s="72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3">
        <f t="shared" si="38"/>
        <v>0</v>
      </c>
      <c r="AB197" s="1"/>
      <c r="AC197" s="1"/>
    </row>
    <row r="198" ht="12.75" customHeight="1">
      <c r="A198" s="18"/>
      <c r="B198" s="71"/>
      <c r="C198" s="72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3">
        <f t="shared" si="38"/>
        <v>0</v>
      </c>
      <c r="AB198" s="1"/>
      <c r="AC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Z199" si="39">SUM(E189:E196)</f>
        <v>0</v>
      </c>
      <c r="F199" s="13">
        <f t="shared" si="39"/>
        <v>1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1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1</v>
      </c>
      <c r="T199" s="13">
        <f t="shared" si="39"/>
        <v>1</v>
      </c>
      <c r="U199" s="13">
        <f t="shared" si="39"/>
        <v>0</v>
      </c>
      <c r="V199" s="13">
        <f t="shared" si="39"/>
        <v>1</v>
      </c>
      <c r="W199" s="13">
        <f t="shared" si="39"/>
        <v>0</v>
      </c>
      <c r="X199" s="13">
        <f t="shared" si="39"/>
        <v>1</v>
      </c>
      <c r="Y199" s="13">
        <f t="shared" si="39"/>
        <v>0</v>
      </c>
      <c r="Z199" s="13">
        <f t="shared" si="39"/>
        <v>0</v>
      </c>
      <c r="AA199" s="13">
        <f t="shared" si="38"/>
        <v>7</v>
      </c>
      <c r="AB199" s="52"/>
      <c r="AC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5"/>
      <c r="AC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12.0</v>
      </c>
      <c r="F201" s="19">
        <v>7.0</v>
      </c>
      <c r="G201" s="19">
        <v>12.0</v>
      </c>
      <c r="H201" s="19">
        <v>12.0</v>
      </c>
      <c r="I201" s="19">
        <v>7.0</v>
      </c>
      <c r="J201" s="19">
        <v>1.0</v>
      </c>
      <c r="K201" s="19">
        <v>6.0</v>
      </c>
      <c r="L201" s="19">
        <v>14.0</v>
      </c>
      <c r="M201" s="19">
        <v>6.0</v>
      </c>
      <c r="N201" s="19">
        <v>7.0</v>
      </c>
      <c r="O201" s="19">
        <v>12.0</v>
      </c>
      <c r="P201" s="19">
        <v>3.0</v>
      </c>
      <c r="Q201" s="19">
        <v>3.0</v>
      </c>
      <c r="R201" s="19">
        <v>5.0</v>
      </c>
      <c r="S201" s="19">
        <v>4.0</v>
      </c>
      <c r="T201" s="19">
        <v>2.0</v>
      </c>
      <c r="U201" s="19">
        <v>7.0</v>
      </c>
      <c r="V201" s="19">
        <v>5.0</v>
      </c>
      <c r="W201" s="19">
        <v>11.0</v>
      </c>
      <c r="X201" s="19">
        <v>6.0</v>
      </c>
      <c r="Y201" s="19">
        <v>11.0</v>
      </c>
      <c r="Z201" s="19">
        <v>5.0</v>
      </c>
      <c r="AA201" s="13">
        <f t="shared" ref="AA201:AA211" si="40">SUM(E201:Z201)</f>
        <v>158</v>
      </c>
      <c r="AB201" s="5"/>
      <c r="AC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10.0</v>
      </c>
      <c r="F202" s="19">
        <v>5.0</v>
      </c>
      <c r="G202" s="19">
        <v>12.0</v>
      </c>
      <c r="H202" s="19">
        <v>5.0</v>
      </c>
      <c r="I202" s="19">
        <v>4.0</v>
      </c>
      <c r="J202" s="19">
        <v>2.0</v>
      </c>
      <c r="K202" s="19">
        <v>11.0</v>
      </c>
      <c r="L202" s="19">
        <v>14.0</v>
      </c>
      <c r="M202" s="19">
        <v>7.0</v>
      </c>
      <c r="N202" s="19">
        <v>25.0</v>
      </c>
      <c r="O202" s="19">
        <v>2.0</v>
      </c>
      <c r="P202" s="19">
        <v>3.0</v>
      </c>
      <c r="Q202" s="19">
        <v>5.0</v>
      </c>
      <c r="R202" s="19">
        <v>5.0</v>
      </c>
      <c r="S202" s="19">
        <v>6.0</v>
      </c>
      <c r="T202" s="19">
        <v>10.0</v>
      </c>
      <c r="U202" s="19">
        <v>13.0</v>
      </c>
      <c r="V202" s="19">
        <v>5.0</v>
      </c>
      <c r="W202" s="19">
        <v>5.0</v>
      </c>
      <c r="X202" s="19">
        <v>15.0</v>
      </c>
      <c r="Y202" s="19">
        <v>13.0</v>
      </c>
      <c r="Z202" s="19">
        <v>8.0</v>
      </c>
      <c r="AA202" s="13">
        <f t="shared" si="40"/>
        <v>185</v>
      </c>
      <c r="AB202" s="5"/>
      <c r="AC202" s="5"/>
    </row>
    <row r="203" ht="12.75" customHeight="1">
      <c r="A203" s="18"/>
      <c r="B203" s="55">
        <v>2.0</v>
      </c>
      <c r="C203" s="50" t="s">
        <v>149</v>
      </c>
      <c r="D203" s="57"/>
      <c r="E203" s="19">
        <v>16.0</v>
      </c>
      <c r="F203" s="19">
        <v>11.0</v>
      </c>
      <c r="G203" s="19">
        <v>11.0</v>
      </c>
      <c r="H203" s="19">
        <v>9.0</v>
      </c>
      <c r="I203" s="19">
        <v>4.0</v>
      </c>
      <c r="J203" s="19">
        <v>4.0</v>
      </c>
      <c r="K203" s="19">
        <v>6.0</v>
      </c>
      <c r="L203" s="19">
        <v>7.0</v>
      </c>
      <c r="M203" s="19">
        <v>4.0</v>
      </c>
      <c r="N203" s="19">
        <v>12.0</v>
      </c>
      <c r="O203" s="19">
        <v>1.0</v>
      </c>
      <c r="P203" s="19">
        <v>2.0</v>
      </c>
      <c r="Q203" s="19">
        <v>3.0</v>
      </c>
      <c r="R203" s="19">
        <v>1.0</v>
      </c>
      <c r="S203" s="19">
        <v>2.0</v>
      </c>
      <c r="T203" s="19">
        <v>0.0</v>
      </c>
      <c r="U203" s="19">
        <v>6.0</v>
      </c>
      <c r="V203" s="19">
        <v>5.0</v>
      </c>
      <c r="W203" s="19">
        <v>10.0</v>
      </c>
      <c r="X203" s="19">
        <v>8.0</v>
      </c>
      <c r="Y203" s="19">
        <v>19.0</v>
      </c>
      <c r="Z203" s="19">
        <v>3.0</v>
      </c>
      <c r="AA203" s="13">
        <f t="shared" si="40"/>
        <v>144</v>
      </c>
      <c r="AB203" s="5"/>
      <c r="AC203" s="5"/>
    </row>
    <row r="204" ht="12.75" customHeight="1">
      <c r="A204" s="18"/>
      <c r="B204" s="55">
        <v>3.0</v>
      </c>
      <c r="C204" s="50" t="s">
        <v>150</v>
      </c>
      <c r="D204" s="57"/>
      <c r="E204" s="19">
        <v>2.0</v>
      </c>
      <c r="F204" s="19">
        <v>2.0</v>
      </c>
      <c r="G204" s="19">
        <v>2.0</v>
      </c>
      <c r="H204" s="19">
        <v>4.0</v>
      </c>
      <c r="I204" s="19">
        <v>1.0</v>
      </c>
      <c r="J204" s="19">
        <v>0.0</v>
      </c>
      <c r="K204" s="19">
        <v>1.0</v>
      </c>
      <c r="L204" s="19">
        <v>3.0</v>
      </c>
      <c r="M204" s="19">
        <v>1.0</v>
      </c>
      <c r="N204" s="19">
        <v>0.0</v>
      </c>
      <c r="O204" s="19">
        <v>1.0</v>
      </c>
      <c r="P204" s="19">
        <v>2.0</v>
      </c>
      <c r="Q204" s="19">
        <v>0.0</v>
      </c>
      <c r="R204" s="19">
        <v>0.0</v>
      </c>
      <c r="S204" s="19">
        <v>0.0</v>
      </c>
      <c r="T204" s="19">
        <v>0.0</v>
      </c>
      <c r="U204" s="19">
        <v>1.0</v>
      </c>
      <c r="V204" s="19">
        <v>0.0</v>
      </c>
      <c r="W204" s="19">
        <v>2.0</v>
      </c>
      <c r="X204" s="19">
        <v>1.0</v>
      </c>
      <c r="Y204" s="19">
        <v>0.0</v>
      </c>
      <c r="Z204" s="19">
        <v>2.0</v>
      </c>
      <c r="AA204" s="13">
        <f t="shared" si="40"/>
        <v>25</v>
      </c>
      <c r="AB204" s="5"/>
      <c r="AC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1.0</v>
      </c>
      <c r="H205" s="19">
        <v>0.0</v>
      </c>
      <c r="I205" s="19">
        <v>0.0</v>
      </c>
      <c r="J205" s="19">
        <v>2.0</v>
      </c>
      <c r="K205" s="19">
        <v>1.0</v>
      </c>
      <c r="L205" s="19">
        <v>0.0</v>
      </c>
      <c r="M205" s="19">
        <v>0.0</v>
      </c>
      <c r="N205" s="19">
        <v>0.0</v>
      </c>
      <c r="O205" s="19">
        <v>1.0</v>
      </c>
      <c r="P205" s="19">
        <v>1.0</v>
      </c>
      <c r="Q205" s="19">
        <v>0.0</v>
      </c>
      <c r="R205" s="19">
        <v>1.0</v>
      </c>
      <c r="S205" s="19">
        <v>0.0</v>
      </c>
      <c r="T205" s="19">
        <v>0.0</v>
      </c>
      <c r="U205" s="19">
        <v>1.0</v>
      </c>
      <c r="V205" s="19">
        <v>0.0</v>
      </c>
      <c r="W205" s="19">
        <v>1.0</v>
      </c>
      <c r="X205" s="19">
        <v>2.0</v>
      </c>
      <c r="Y205" s="19">
        <v>0.0</v>
      </c>
      <c r="Z205" s="19">
        <v>0.0</v>
      </c>
      <c r="AA205" s="13">
        <f t="shared" si="40"/>
        <v>11</v>
      </c>
      <c r="AB205" s="5"/>
      <c r="AC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2.0</v>
      </c>
      <c r="G206" s="19">
        <v>0.0</v>
      </c>
      <c r="H206" s="19">
        <v>1.0</v>
      </c>
      <c r="I206" s="19">
        <v>0.0</v>
      </c>
      <c r="J206" s="19">
        <v>0.0</v>
      </c>
      <c r="K206" s="19">
        <v>0.0</v>
      </c>
      <c r="L206" s="19">
        <v>0.0</v>
      </c>
      <c r="M206" s="19">
        <v>1.0</v>
      </c>
      <c r="N206" s="19">
        <v>0.0</v>
      </c>
      <c r="O206" s="19">
        <v>1.0</v>
      </c>
      <c r="P206" s="19">
        <v>0.0</v>
      </c>
      <c r="Q206" s="19">
        <v>0.0</v>
      </c>
      <c r="R206" s="19">
        <v>0.0</v>
      </c>
      <c r="S206" s="19">
        <v>2.0</v>
      </c>
      <c r="T206" s="19">
        <v>0.0</v>
      </c>
      <c r="U206" s="19">
        <v>0.0</v>
      </c>
      <c r="V206" s="19">
        <v>0.0</v>
      </c>
      <c r="W206" s="19">
        <v>1.0</v>
      </c>
      <c r="X206" s="19">
        <v>0.0</v>
      </c>
      <c r="Y206" s="19">
        <v>0.0</v>
      </c>
      <c r="Z206" s="19">
        <v>0.0</v>
      </c>
      <c r="AA206" s="13">
        <f t="shared" si="40"/>
        <v>8</v>
      </c>
      <c r="AB206" s="5"/>
      <c r="AC206" s="5"/>
    </row>
    <row r="207" ht="12.75" customHeight="1">
      <c r="A207" s="18"/>
      <c r="B207" s="55">
        <v>6.0</v>
      </c>
      <c r="C207" s="50" t="s">
        <v>153</v>
      </c>
      <c r="D207" s="57"/>
      <c r="E207" s="19">
        <v>1.0</v>
      </c>
      <c r="F207" s="19">
        <v>1.0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1.0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1.0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1.0</v>
      </c>
      <c r="Y207" s="19">
        <v>0.0</v>
      </c>
      <c r="Z207" s="19">
        <v>0.0</v>
      </c>
      <c r="AA207" s="13">
        <f t="shared" si="40"/>
        <v>5</v>
      </c>
      <c r="AB207" s="1"/>
      <c r="AC207" s="1"/>
    </row>
    <row r="208" ht="12.75" customHeight="1">
      <c r="A208" s="18"/>
      <c r="B208" s="55">
        <v>7.0</v>
      </c>
      <c r="C208" s="50" t="s">
        <v>154</v>
      </c>
      <c r="D208" s="57"/>
      <c r="E208" s="19">
        <v>3.0</v>
      </c>
      <c r="F208" s="19">
        <v>0.0</v>
      </c>
      <c r="G208" s="19">
        <v>2.0</v>
      </c>
      <c r="H208" s="19">
        <v>2.0</v>
      </c>
      <c r="I208" s="19">
        <v>1.0</v>
      </c>
      <c r="J208" s="19">
        <v>1.0</v>
      </c>
      <c r="K208" s="19">
        <v>2.0</v>
      </c>
      <c r="L208" s="19">
        <v>1.0</v>
      </c>
      <c r="M208" s="19">
        <v>4.0</v>
      </c>
      <c r="N208" s="19">
        <v>2.0</v>
      </c>
      <c r="O208" s="19">
        <v>0.0</v>
      </c>
      <c r="P208" s="19">
        <v>1.0</v>
      </c>
      <c r="Q208" s="19">
        <v>0.0</v>
      </c>
      <c r="R208" s="19">
        <v>0.0</v>
      </c>
      <c r="S208" s="19">
        <v>0.0</v>
      </c>
      <c r="T208" s="19">
        <v>1.0</v>
      </c>
      <c r="U208" s="19">
        <v>2.0</v>
      </c>
      <c r="V208" s="19">
        <v>1.0</v>
      </c>
      <c r="W208" s="19">
        <v>5.0</v>
      </c>
      <c r="X208" s="19">
        <v>3.0</v>
      </c>
      <c r="Y208" s="19">
        <v>1.0</v>
      </c>
      <c r="Z208" s="19">
        <v>4.0</v>
      </c>
      <c r="AA208" s="13">
        <f t="shared" si="40"/>
        <v>36</v>
      </c>
      <c r="AB208" s="52"/>
      <c r="AC208" s="52"/>
    </row>
    <row r="209" ht="12.75" customHeight="1">
      <c r="A209" s="18"/>
      <c r="B209" s="71"/>
      <c r="C209" s="72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3">
        <f t="shared" si="40"/>
        <v>0</v>
      </c>
      <c r="AB209" s="52"/>
      <c r="AC209" s="52"/>
    </row>
    <row r="210" ht="12.75" customHeight="1">
      <c r="A210" s="18"/>
      <c r="B210" s="71"/>
      <c r="C210" s="72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3">
        <f t="shared" si="40"/>
        <v>0</v>
      </c>
      <c r="AB210" s="52"/>
      <c r="AC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Z211" si="41">SUM(E201:E208)</f>
        <v>44</v>
      </c>
      <c r="F211" s="13">
        <f t="shared" si="41"/>
        <v>28</v>
      </c>
      <c r="G211" s="13">
        <f t="shared" si="41"/>
        <v>40</v>
      </c>
      <c r="H211" s="13">
        <f t="shared" si="41"/>
        <v>33</v>
      </c>
      <c r="I211" s="13">
        <f t="shared" si="41"/>
        <v>17</v>
      </c>
      <c r="J211" s="13">
        <f t="shared" si="41"/>
        <v>10</v>
      </c>
      <c r="K211" s="13">
        <f t="shared" si="41"/>
        <v>27</v>
      </c>
      <c r="L211" s="13">
        <f t="shared" si="41"/>
        <v>40</v>
      </c>
      <c r="M211" s="13">
        <f t="shared" si="41"/>
        <v>23</v>
      </c>
      <c r="N211" s="13">
        <f t="shared" si="41"/>
        <v>46</v>
      </c>
      <c r="O211" s="13">
        <f t="shared" si="41"/>
        <v>18</v>
      </c>
      <c r="P211" s="13">
        <f t="shared" si="41"/>
        <v>12</v>
      </c>
      <c r="Q211" s="13">
        <f t="shared" si="41"/>
        <v>11</v>
      </c>
      <c r="R211" s="13">
        <f t="shared" si="41"/>
        <v>13</v>
      </c>
      <c r="S211" s="13">
        <f t="shared" si="41"/>
        <v>14</v>
      </c>
      <c r="T211" s="13">
        <f t="shared" si="41"/>
        <v>13</v>
      </c>
      <c r="U211" s="13">
        <f t="shared" si="41"/>
        <v>30</v>
      </c>
      <c r="V211" s="13">
        <f t="shared" si="41"/>
        <v>16</v>
      </c>
      <c r="W211" s="13">
        <f t="shared" si="41"/>
        <v>35</v>
      </c>
      <c r="X211" s="13">
        <f t="shared" si="41"/>
        <v>36</v>
      </c>
      <c r="Y211" s="13">
        <f t="shared" si="41"/>
        <v>44</v>
      </c>
      <c r="Z211" s="13">
        <f t="shared" si="41"/>
        <v>22</v>
      </c>
      <c r="AA211" s="13">
        <f t="shared" si="40"/>
        <v>572</v>
      </c>
      <c r="AB211" s="5"/>
      <c r="AC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5"/>
      <c r="AC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2.0</v>
      </c>
      <c r="G213" s="19">
        <v>0.0</v>
      </c>
      <c r="H213" s="19">
        <v>3.0</v>
      </c>
      <c r="I213" s="19">
        <v>1.0</v>
      </c>
      <c r="J213" s="19">
        <v>0.0</v>
      </c>
      <c r="K213" s="19">
        <v>1.0</v>
      </c>
      <c r="L213" s="19">
        <v>3.0</v>
      </c>
      <c r="M213" s="19">
        <v>0.0</v>
      </c>
      <c r="N213" s="19">
        <v>0.0</v>
      </c>
      <c r="O213" s="19">
        <v>0.0</v>
      </c>
      <c r="P213" s="19">
        <v>3.0</v>
      </c>
      <c r="Q213" s="19">
        <v>1.0</v>
      </c>
      <c r="R213" s="19">
        <v>1.0</v>
      </c>
      <c r="S213" s="19">
        <v>2.0</v>
      </c>
      <c r="T213" s="19">
        <v>0.0</v>
      </c>
      <c r="U213" s="19">
        <v>2.0</v>
      </c>
      <c r="V213" s="19">
        <v>0.0</v>
      </c>
      <c r="W213" s="19">
        <v>0.0</v>
      </c>
      <c r="X213" s="19">
        <v>1.0</v>
      </c>
      <c r="Y213" s="19">
        <v>3.0</v>
      </c>
      <c r="Z213" s="19">
        <v>0.0</v>
      </c>
      <c r="AA213" s="13">
        <f t="shared" ref="AA213:AA223" si="42">SUM(E213:Z213)</f>
        <v>23</v>
      </c>
      <c r="AB213" s="5"/>
      <c r="AC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6.0</v>
      </c>
      <c r="G214" s="19">
        <v>0.0</v>
      </c>
      <c r="H214" s="19">
        <v>2.0</v>
      </c>
      <c r="I214" s="19">
        <v>5.0</v>
      </c>
      <c r="J214" s="19">
        <v>8.0</v>
      </c>
      <c r="K214" s="19">
        <v>2.0</v>
      </c>
      <c r="L214" s="19">
        <v>5.0</v>
      </c>
      <c r="M214" s="19">
        <v>8.0</v>
      </c>
      <c r="N214" s="19">
        <v>1.0</v>
      </c>
      <c r="O214" s="19">
        <v>0.0</v>
      </c>
      <c r="P214" s="19">
        <v>0.0</v>
      </c>
      <c r="Q214" s="19">
        <v>1.0</v>
      </c>
      <c r="R214" s="19">
        <v>2.0</v>
      </c>
      <c r="S214" s="19">
        <v>0.0</v>
      </c>
      <c r="T214" s="19">
        <v>0.0</v>
      </c>
      <c r="U214" s="19">
        <v>0.0</v>
      </c>
      <c r="V214" s="19">
        <v>0.0</v>
      </c>
      <c r="W214" s="19">
        <v>1.0</v>
      </c>
      <c r="X214" s="19">
        <v>0.0</v>
      </c>
      <c r="Y214" s="19">
        <v>1.0</v>
      </c>
      <c r="Z214" s="19">
        <v>2.0</v>
      </c>
      <c r="AA214" s="13">
        <f t="shared" si="42"/>
        <v>44</v>
      </c>
      <c r="AB214" s="5"/>
      <c r="AC214" s="5"/>
    </row>
    <row r="215" ht="12.75" customHeight="1">
      <c r="A215" s="18"/>
      <c r="B215" s="55">
        <v>2.0</v>
      </c>
      <c r="C215" s="50" t="s">
        <v>158</v>
      </c>
      <c r="D215" s="56"/>
      <c r="E215" s="19">
        <v>1.0</v>
      </c>
      <c r="F215" s="19">
        <v>0.0</v>
      </c>
      <c r="G215" s="19">
        <v>0.0</v>
      </c>
      <c r="H215" s="19">
        <v>4.0</v>
      </c>
      <c r="I215" s="19">
        <v>1.0</v>
      </c>
      <c r="J215" s="19">
        <v>0.0</v>
      </c>
      <c r="K215" s="19">
        <v>0.0</v>
      </c>
      <c r="L215" s="19">
        <v>1.0</v>
      </c>
      <c r="M215" s="19">
        <v>0.0</v>
      </c>
      <c r="N215" s="19">
        <v>1.0</v>
      </c>
      <c r="O215" s="19">
        <v>0.0</v>
      </c>
      <c r="P215" s="19">
        <v>0.0</v>
      </c>
      <c r="Q215" s="19">
        <v>0.0</v>
      </c>
      <c r="R215" s="19">
        <v>1.0</v>
      </c>
      <c r="S215" s="19">
        <v>0.0</v>
      </c>
      <c r="T215" s="19">
        <v>4.0</v>
      </c>
      <c r="U215" s="19">
        <v>0.0</v>
      </c>
      <c r="V215" s="19">
        <v>0.0</v>
      </c>
      <c r="W215" s="19">
        <v>1.0</v>
      </c>
      <c r="X215" s="19">
        <v>2.0</v>
      </c>
      <c r="Y215" s="19">
        <v>1.0</v>
      </c>
      <c r="Z215" s="19">
        <v>1.0</v>
      </c>
      <c r="AA215" s="13">
        <f t="shared" si="42"/>
        <v>18</v>
      </c>
      <c r="AB215" s="5"/>
      <c r="AC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1.0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1.0</v>
      </c>
      <c r="N216" s="19">
        <v>1.0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2.0</v>
      </c>
      <c r="Z216" s="19">
        <v>0.0</v>
      </c>
      <c r="AA216" s="13">
        <f t="shared" si="42"/>
        <v>5</v>
      </c>
      <c r="AB216" s="5"/>
      <c r="AC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1.0</v>
      </c>
      <c r="M217" s="19">
        <v>0.0</v>
      </c>
      <c r="N217" s="19">
        <v>0.0</v>
      </c>
      <c r="O217" s="19">
        <v>0.0</v>
      </c>
      <c r="P217" s="19">
        <v>1.0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3">
        <f t="shared" si="42"/>
        <v>2</v>
      </c>
      <c r="AB217" s="5"/>
      <c r="AC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1.0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1.0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3">
        <f t="shared" si="42"/>
        <v>2</v>
      </c>
      <c r="AB218" s="1"/>
      <c r="AC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1.0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1.0</v>
      </c>
      <c r="Y219" s="19">
        <v>1.0</v>
      </c>
      <c r="Z219" s="19">
        <v>0.0</v>
      </c>
      <c r="AA219" s="13">
        <f t="shared" si="42"/>
        <v>3</v>
      </c>
      <c r="AB219" s="52"/>
      <c r="AC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1.0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1.0</v>
      </c>
      <c r="R220" s="19">
        <v>0.0</v>
      </c>
      <c r="S220" s="19">
        <v>1.0</v>
      </c>
      <c r="T220" s="19">
        <v>0.0</v>
      </c>
      <c r="U220" s="19">
        <v>0.0</v>
      </c>
      <c r="V220" s="19">
        <v>0.0</v>
      </c>
      <c r="W220" s="19">
        <v>1.0</v>
      </c>
      <c r="X220" s="19">
        <v>0.0</v>
      </c>
      <c r="Y220" s="19">
        <v>0.0</v>
      </c>
      <c r="Z220" s="19">
        <v>0.0</v>
      </c>
      <c r="AA220" s="13">
        <f t="shared" si="42"/>
        <v>4</v>
      </c>
      <c r="AB220" s="5"/>
      <c r="AC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3">
        <f t="shared" si="42"/>
        <v>0</v>
      </c>
      <c r="AB221" s="5"/>
      <c r="AC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3">
        <f t="shared" si="42"/>
        <v>0</v>
      </c>
      <c r="AB222" s="5"/>
      <c r="AC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Z223" si="43">SUM(E213:E220)</f>
        <v>1</v>
      </c>
      <c r="F223" s="13">
        <f t="shared" si="43"/>
        <v>8</v>
      </c>
      <c r="G223" s="13">
        <f t="shared" si="43"/>
        <v>1</v>
      </c>
      <c r="H223" s="13">
        <f t="shared" si="43"/>
        <v>10</v>
      </c>
      <c r="I223" s="13">
        <f t="shared" si="43"/>
        <v>7</v>
      </c>
      <c r="J223" s="13">
        <f t="shared" si="43"/>
        <v>9</v>
      </c>
      <c r="K223" s="13">
        <f t="shared" si="43"/>
        <v>3</v>
      </c>
      <c r="L223" s="13">
        <f t="shared" si="43"/>
        <v>11</v>
      </c>
      <c r="M223" s="13">
        <f t="shared" si="43"/>
        <v>9</v>
      </c>
      <c r="N223" s="13">
        <f t="shared" si="43"/>
        <v>3</v>
      </c>
      <c r="O223" s="13">
        <f t="shared" si="43"/>
        <v>1</v>
      </c>
      <c r="P223" s="13">
        <f t="shared" si="43"/>
        <v>4</v>
      </c>
      <c r="Q223" s="13">
        <f t="shared" si="43"/>
        <v>3</v>
      </c>
      <c r="R223" s="13">
        <f t="shared" si="43"/>
        <v>4</v>
      </c>
      <c r="S223" s="13">
        <f t="shared" si="43"/>
        <v>3</v>
      </c>
      <c r="T223" s="13">
        <f t="shared" si="43"/>
        <v>4</v>
      </c>
      <c r="U223" s="13">
        <f t="shared" si="43"/>
        <v>2</v>
      </c>
      <c r="V223" s="13">
        <f t="shared" si="43"/>
        <v>0</v>
      </c>
      <c r="W223" s="13">
        <f t="shared" si="43"/>
        <v>3</v>
      </c>
      <c r="X223" s="13">
        <f t="shared" si="43"/>
        <v>4</v>
      </c>
      <c r="Y223" s="13">
        <f t="shared" si="43"/>
        <v>8</v>
      </c>
      <c r="Z223" s="13">
        <f t="shared" si="43"/>
        <v>3</v>
      </c>
      <c r="AA223" s="13">
        <f t="shared" si="42"/>
        <v>101</v>
      </c>
      <c r="AB223" s="5"/>
      <c r="AC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5"/>
      <c r="AC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1.0</v>
      </c>
      <c r="G225" s="19">
        <v>0.0</v>
      </c>
      <c r="H225" s="19">
        <v>1.0</v>
      </c>
      <c r="I225" s="19">
        <v>0.0</v>
      </c>
      <c r="J225" s="19">
        <v>2.0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3">
        <f t="shared" ref="AA225:AA235" si="44">SUM(E225:Z225)</f>
        <v>4</v>
      </c>
      <c r="AB225" s="5"/>
      <c r="AC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5.0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9.0</v>
      </c>
      <c r="P226" s="19">
        <v>5.0</v>
      </c>
      <c r="Q226" s="19">
        <v>1.0</v>
      </c>
      <c r="R226" s="19">
        <v>0.0</v>
      </c>
      <c r="S226" s="19">
        <v>0.0</v>
      </c>
      <c r="T226" s="19">
        <v>0.0</v>
      </c>
      <c r="U226" s="19">
        <v>0.0</v>
      </c>
      <c r="V226" s="19">
        <v>3.0</v>
      </c>
      <c r="W226" s="19">
        <v>0.0</v>
      </c>
      <c r="X226" s="19">
        <v>0.0</v>
      </c>
      <c r="Y226" s="19">
        <v>0.0</v>
      </c>
      <c r="Z226" s="19">
        <v>0.0</v>
      </c>
      <c r="AA226" s="13">
        <f t="shared" si="44"/>
        <v>23</v>
      </c>
      <c r="AB226" s="5"/>
      <c r="AC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3">
        <f t="shared" si="44"/>
        <v>0</v>
      </c>
      <c r="AB227" s="5"/>
      <c r="AC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3">
        <f t="shared" si="44"/>
        <v>0</v>
      </c>
      <c r="AB228" s="5"/>
      <c r="AC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3">
        <f t="shared" si="44"/>
        <v>0</v>
      </c>
      <c r="AB229" s="1"/>
      <c r="AC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1.0</v>
      </c>
      <c r="W230" s="19">
        <v>0.0</v>
      </c>
      <c r="X230" s="19">
        <v>0.0</v>
      </c>
      <c r="Y230" s="19">
        <v>0.0</v>
      </c>
      <c r="Z230" s="19">
        <v>0.0</v>
      </c>
      <c r="AA230" s="13">
        <f t="shared" si="44"/>
        <v>1</v>
      </c>
      <c r="AB230" s="52"/>
      <c r="AC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3">
        <f t="shared" si="44"/>
        <v>0</v>
      </c>
      <c r="AB231" s="5"/>
      <c r="AC231" s="5"/>
    </row>
    <row r="232" ht="12.75" customHeight="1">
      <c r="A232" s="18"/>
      <c r="B232" s="55">
        <v>7.0</v>
      </c>
      <c r="C232" s="50" t="s">
        <v>172</v>
      </c>
      <c r="D232" s="57"/>
      <c r="E232" s="19">
        <v>2.0</v>
      </c>
      <c r="F232" s="19">
        <v>0.0</v>
      </c>
      <c r="G232" s="19">
        <v>0.0</v>
      </c>
      <c r="H232" s="19">
        <v>0.0</v>
      </c>
      <c r="I232" s="19">
        <v>0.0</v>
      </c>
      <c r="J232" s="19">
        <v>1.0</v>
      </c>
      <c r="K232" s="19">
        <v>1.0</v>
      </c>
      <c r="L232" s="19">
        <v>1.0</v>
      </c>
      <c r="M232" s="19">
        <v>0.0</v>
      </c>
      <c r="N232" s="19">
        <v>0.0</v>
      </c>
      <c r="O232" s="19">
        <v>0.0</v>
      </c>
      <c r="P232" s="19">
        <v>0.0</v>
      </c>
      <c r="Q232" s="19">
        <v>1.0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2.0</v>
      </c>
      <c r="Y232" s="19">
        <v>0.0</v>
      </c>
      <c r="Z232" s="19">
        <v>0.0</v>
      </c>
      <c r="AA232" s="13">
        <f t="shared" si="44"/>
        <v>8</v>
      </c>
      <c r="AB232" s="5"/>
      <c r="AC232" s="5"/>
    </row>
    <row r="233" ht="12.75" customHeight="1">
      <c r="A233" s="18"/>
      <c r="B233" s="71"/>
      <c r="C233" s="72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3">
        <f t="shared" si="44"/>
        <v>0</v>
      </c>
      <c r="AB233" s="5"/>
      <c r="AC233" s="5"/>
    </row>
    <row r="234" ht="12.75" customHeight="1">
      <c r="A234" s="18"/>
      <c r="B234" s="71"/>
      <c r="C234" s="72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3">
        <f t="shared" si="44"/>
        <v>0</v>
      </c>
      <c r="AB234" s="5"/>
      <c r="AC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Z235" si="45">SUM(E225:E232)</f>
        <v>2</v>
      </c>
      <c r="F235" s="13">
        <f t="shared" si="45"/>
        <v>1</v>
      </c>
      <c r="G235" s="13">
        <f t="shared" si="45"/>
        <v>0</v>
      </c>
      <c r="H235" s="13">
        <f t="shared" si="45"/>
        <v>1</v>
      </c>
      <c r="I235" s="13">
        <f t="shared" si="45"/>
        <v>5</v>
      </c>
      <c r="J235" s="13">
        <f t="shared" si="45"/>
        <v>3</v>
      </c>
      <c r="K235" s="13">
        <f t="shared" si="45"/>
        <v>1</v>
      </c>
      <c r="L235" s="13">
        <f t="shared" si="45"/>
        <v>1</v>
      </c>
      <c r="M235" s="13">
        <f t="shared" si="45"/>
        <v>0</v>
      </c>
      <c r="N235" s="13">
        <f t="shared" si="45"/>
        <v>0</v>
      </c>
      <c r="O235" s="13">
        <f t="shared" si="45"/>
        <v>9</v>
      </c>
      <c r="P235" s="13">
        <f t="shared" si="45"/>
        <v>5</v>
      </c>
      <c r="Q235" s="13">
        <f t="shared" si="45"/>
        <v>2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0</v>
      </c>
      <c r="V235" s="13">
        <f t="shared" si="45"/>
        <v>4</v>
      </c>
      <c r="W235" s="13">
        <f t="shared" si="45"/>
        <v>0</v>
      </c>
      <c r="X235" s="13">
        <f t="shared" si="45"/>
        <v>2</v>
      </c>
      <c r="Y235" s="13">
        <f t="shared" si="45"/>
        <v>0</v>
      </c>
      <c r="Z235" s="13">
        <f t="shared" si="45"/>
        <v>0</v>
      </c>
      <c r="AA235" s="13">
        <f t="shared" si="44"/>
        <v>36</v>
      </c>
      <c r="AB235" s="5"/>
      <c r="AC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5"/>
      <c r="AC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1.0</v>
      </c>
      <c r="G237" s="19">
        <v>0.0</v>
      </c>
      <c r="H237" s="19">
        <v>0.0</v>
      </c>
      <c r="I237" s="19">
        <v>1.0</v>
      </c>
      <c r="J237" s="19">
        <v>0.0</v>
      </c>
      <c r="K237" s="19">
        <v>0.0</v>
      </c>
      <c r="L237" s="19">
        <v>2.0</v>
      </c>
      <c r="M237" s="19">
        <v>0.0</v>
      </c>
      <c r="N237" s="19">
        <v>0.0</v>
      </c>
      <c r="O237" s="19">
        <v>2.0</v>
      </c>
      <c r="P237" s="19">
        <v>0.0</v>
      </c>
      <c r="Q237" s="19">
        <v>0.0</v>
      </c>
      <c r="R237" s="19">
        <v>1.0</v>
      </c>
      <c r="S237" s="19">
        <v>1.0</v>
      </c>
      <c r="T237" s="19">
        <v>0.0</v>
      </c>
      <c r="U237" s="19">
        <v>3.0</v>
      </c>
      <c r="V237" s="19">
        <v>1.0</v>
      </c>
      <c r="W237" s="19">
        <v>0.0</v>
      </c>
      <c r="X237" s="19">
        <v>0.0</v>
      </c>
      <c r="Y237" s="19">
        <v>0.0</v>
      </c>
      <c r="Z237" s="19">
        <v>0.0</v>
      </c>
      <c r="AA237" s="13">
        <f t="shared" ref="AA237:AA247" si="46">SUM(E237:Z237)</f>
        <v>12</v>
      </c>
      <c r="AB237" s="5"/>
      <c r="AC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1.0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1.0</v>
      </c>
      <c r="T238" s="19">
        <v>0.0</v>
      </c>
      <c r="U238" s="19">
        <v>1.0</v>
      </c>
      <c r="V238" s="19">
        <v>0.0</v>
      </c>
      <c r="W238" s="19">
        <v>0.0</v>
      </c>
      <c r="X238" s="19">
        <v>0.0</v>
      </c>
      <c r="Y238" s="19">
        <v>0.0</v>
      </c>
      <c r="Z238" s="19">
        <v>0.0</v>
      </c>
      <c r="AA238" s="13">
        <f t="shared" si="46"/>
        <v>3</v>
      </c>
      <c r="AB238" s="5"/>
      <c r="AC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0.0</v>
      </c>
      <c r="H239" s="19">
        <v>0.0</v>
      </c>
      <c r="I239" s="19">
        <v>2.0</v>
      </c>
      <c r="J239" s="19">
        <v>1.0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1.0</v>
      </c>
      <c r="S239" s="19">
        <v>0.0</v>
      </c>
      <c r="T239" s="19">
        <v>0.0</v>
      </c>
      <c r="U239" s="19">
        <v>1.0</v>
      </c>
      <c r="V239" s="19">
        <v>0.0</v>
      </c>
      <c r="W239" s="19">
        <v>0.0</v>
      </c>
      <c r="X239" s="19">
        <v>0.0</v>
      </c>
      <c r="Y239" s="19">
        <v>0.0</v>
      </c>
      <c r="Z239" s="19">
        <v>0.0</v>
      </c>
      <c r="AA239" s="13">
        <f t="shared" si="46"/>
        <v>5</v>
      </c>
      <c r="AB239" s="5"/>
      <c r="AC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3">
        <f t="shared" si="46"/>
        <v>0</v>
      </c>
      <c r="AB240" s="1"/>
      <c r="AC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1.0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1.0</v>
      </c>
      <c r="Y241" s="19">
        <v>0.0</v>
      </c>
      <c r="Z241" s="19">
        <v>0.0</v>
      </c>
      <c r="AA241" s="13">
        <f t="shared" si="46"/>
        <v>2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1.0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1.0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3">
        <f t="shared" si="46"/>
        <v>2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8.0</v>
      </c>
      <c r="G244" s="19">
        <v>2.0</v>
      </c>
      <c r="H244" s="19">
        <v>5.0</v>
      </c>
      <c r="I244" s="19">
        <v>0.0</v>
      </c>
      <c r="J244" s="19">
        <v>3.0</v>
      </c>
      <c r="K244" s="19">
        <v>0.0</v>
      </c>
      <c r="L244" s="19">
        <v>2.0</v>
      </c>
      <c r="M244" s="19">
        <v>0.0</v>
      </c>
      <c r="N244" s="19">
        <v>0.0</v>
      </c>
      <c r="O244" s="19">
        <v>0.0</v>
      </c>
      <c r="P244" s="19">
        <v>1.0</v>
      </c>
      <c r="Q244" s="19">
        <v>0.0</v>
      </c>
      <c r="R244" s="19">
        <v>1.0</v>
      </c>
      <c r="S244" s="19">
        <v>4.0</v>
      </c>
      <c r="T244" s="19">
        <v>4.0</v>
      </c>
      <c r="U244" s="19">
        <v>10.0</v>
      </c>
      <c r="V244" s="19">
        <v>0.0</v>
      </c>
      <c r="W244" s="19">
        <v>0.0</v>
      </c>
      <c r="X244" s="19">
        <v>0.0</v>
      </c>
      <c r="Y244" s="19">
        <v>1.0</v>
      </c>
      <c r="Z244" s="19">
        <v>1.0</v>
      </c>
      <c r="AA244" s="13">
        <f t="shared" si="46"/>
        <v>42</v>
      </c>
    </row>
    <row r="245" ht="12.75" customHeight="1">
      <c r="A245" s="18"/>
      <c r="B245" s="71"/>
      <c r="C245" s="72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3">
        <f t="shared" si="46"/>
        <v>0</v>
      </c>
    </row>
    <row r="246" ht="12.75" customHeight="1">
      <c r="A246" s="18"/>
      <c r="B246" s="71"/>
      <c r="C246" s="72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Z247" si="47">SUM(E237:E244)</f>
        <v>0</v>
      </c>
      <c r="F247" s="13">
        <f t="shared" si="47"/>
        <v>10</v>
      </c>
      <c r="G247" s="13">
        <f t="shared" si="47"/>
        <v>2</v>
      </c>
      <c r="H247" s="13">
        <f t="shared" si="47"/>
        <v>5</v>
      </c>
      <c r="I247" s="13">
        <f t="shared" si="47"/>
        <v>3</v>
      </c>
      <c r="J247" s="13">
        <f t="shared" si="47"/>
        <v>5</v>
      </c>
      <c r="K247" s="13">
        <f t="shared" si="47"/>
        <v>0</v>
      </c>
      <c r="L247" s="13">
        <f t="shared" si="47"/>
        <v>4</v>
      </c>
      <c r="M247" s="13">
        <f t="shared" si="47"/>
        <v>0</v>
      </c>
      <c r="N247" s="13">
        <f t="shared" si="47"/>
        <v>0</v>
      </c>
      <c r="O247" s="13">
        <f t="shared" si="47"/>
        <v>3</v>
      </c>
      <c r="P247" s="13">
        <f t="shared" si="47"/>
        <v>1</v>
      </c>
      <c r="Q247" s="13">
        <f t="shared" si="47"/>
        <v>0</v>
      </c>
      <c r="R247" s="13">
        <f t="shared" si="47"/>
        <v>3</v>
      </c>
      <c r="S247" s="13">
        <f t="shared" si="47"/>
        <v>6</v>
      </c>
      <c r="T247" s="13">
        <f t="shared" si="47"/>
        <v>4</v>
      </c>
      <c r="U247" s="13">
        <f t="shared" si="47"/>
        <v>16</v>
      </c>
      <c r="V247" s="13">
        <f t="shared" si="47"/>
        <v>1</v>
      </c>
      <c r="W247" s="13">
        <f t="shared" si="47"/>
        <v>0</v>
      </c>
      <c r="X247" s="13">
        <f t="shared" si="47"/>
        <v>1</v>
      </c>
      <c r="Y247" s="13">
        <f t="shared" si="47"/>
        <v>1</v>
      </c>
      <c r="Z247" s="13">
        <f t="shared" si="47"/>
        <v>1</v>
      </c>
      <c r="AA247" s="13">
        <f t="shared" si="46"/>
        <v>66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2.0</v>
      </c>
      <c r="L249" s="19">
        <v>0.0</v>
      </c>
      <c r="M249" s="19">
        <v>0.0</v>
      </c>
      <c r="N249" s="19">
        <v>0.0</v>
      </c>
      <c r="O249" s="19">
        <v>4.0</v>
      </c>
      <c r="P249" s="19">
        <v>16.0</v>
      </c>
      <c r="Q249" s="19">
        <v>9.0</v>
      </c>
      <c r="R249" s="19">
        <v>2.0</v>
      </c>
      <c r="S249" s="19">
        <v>0.0</v>
      </c>
      <c r="T249" s="19">
        <v>1.0</v>
      </c>
      <c r="U249" s="19">
        <v>1.0</v>
      </c>
      <c r="V249" s="19">
        <v>0.0</v>
      </c>
      <c r="W249" s="19">
        <v>0.0</v>
      </c>
      <c r="X249" s="19">
        <v>2.0</v>
      </c>
      <c r="Y249" s="19">
        <v>0.0</v>
      </c>
      <c r="Z249" s="19">
        <v>1.0</v>
      </c>
      <c r="AA249" s="13">
        <f t="shared" ref="AA249:AA259" si="48">SUM(E249:Z249)</f>
        <v>38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1.0</v>
      </c>
      <c r="G250" s="19">
        <v>1.0</v>
      </c>
      <c r="H250" s="19">
        <v>1.0</v>
      </c>
      <c r="I250" s="19">
        <v>0.0</v>
      </c>
      <c r="J250" s="19">
        <v>2.0</v>
      </c>
      <c r="K250" s="19">
        <v>0.0</v>
      </c>
      <c r="L250" s="19">
        <v>1.0</v>
      </c>
      <c r="M250" s="19">
        <v>2.0</v>
      </c>
      <c r="N250" s="19">
        <v>1.0</v>
      </c>
      <c r="O250" s="19">
        <v>8.0</v>
      </c>
      <c r="P250" s="19">
        <v>12.0</v>
      </c>
      <c r="Q250" s="19">
        <v>3.0</v>
      </c>
      <c r="R250" s="19">
        <v>2.0</v>
      </c>
      <c r="S250" s="19">
        <v>0.0</v>
      </c>
      <c r="T250" s="19">
        <v>0.0</v>
      </c>
      <c r="U250" s="19">
        <v>1.0</v>
      </c>
      <c r="V250" s="19">
        <v>1.0</v>
      </c>
      <c r="W250" s="19">
        <v>2.0</v>
      </c>
      <c r="X250" s="19">
        <v>5.0</v>
      </c>
      <c r="Y250" s="19">
        <v>0.0</v>
      </c>
      <c r="Z250" s="19">
        <v>0.0</v>
      </c>
      <c r="AA250" s="13">
        <f t="shared" si="48"/>
        <v>43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1.0</v>
      </c>
      <c r="G251" s="19">
        <v>0.0</v>
      </c>
      <c r="H251" s="19">
        <v>0.0</v>
      </c>
      <c r="I251" s="19">
        <v>0.0</v>
      </c>
      <c r="J251" s="19">
        <v>2.0</v>
      </c>
      <c r="K251" s="19">
        <v>0.0</v>
      </c>
      <c r="L251" s="19">
        <v>0.0</v>
      </c>
      <c r="M251" s="19">
        <v>0.0</v>
      </c>
      <c r="N251" s="19">
        <v>2.0</v>
      </c>
      <c r="O251" s="19">
        <v>6.0</v>
      </c>
      <c r="P251" s="19">
        <v>2.0</v>
      </c>
      <c r="Q251" s="19">
        <v>0.0</v>
      </c>
      <c r="R251" s="19">
        <v>0.0</v>
      </c>
      <c r="S251" s="19">
        <v>1.0</v>
      </c>
      <c r="T251" s="19">
        <v>0.0</v>
      </c>
      <c r="U251" s="19">
        <v>0.0</v>
      </c>
      <c r="V251" s="19">
        <v>0.0</v>
      </c>
      <c r="W251" s="19">
        <v>0.0</v>
      </c>
      <c r="X251" s="19">
        <v>1.0</v>
      </c>
      <c r="Y251" s="19">
        <v>0.0</v>
      </c>
      <c r="Z251" s="19">
        <v>0.0</v>
      </c>
      <c r="AA251" s="13">
        <f t="shared" si="48"/>
        <v>15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1.0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3">
        <f t="shared" si="48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1.0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3">
        <f t="shared" si="48"/>
        <v>1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1.0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1.0</v>
      </c>
      <c r="Y254" s="19">
        <v>0.0</v>
      </c>
      <c r="Z254" s="19">
        <v>0.0</v>
      </c>
      <c r="AA254" s="13">
        <f t="shared" si="48"/>
        <v>2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1.0</v>
      </c>
      <c r="M255" s="19">
        <v>1.0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3">
        <f t="shared" si="48"/>
        <v>2</v>
      </c>
    </row>
    <row r="256" ht="12.75" customHeight="1">
      <c r="A256" s="18"/>
      <c r="B256" s="71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3">
        <f t="shared" si="48"/>
        <v>0</v>
      </c>
    </row>
    <row r="257" ht="12.75" customHeight="1">
      <c r="A257" s="18"/>
      <c r="B257" s="71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3">
        <f t="shared" si="48"/>
        <v>0</v>
      </c>
    </row>
    <row r="258" ht="12.75" customHeight="1">
      <c r="A258" s="18"/>
      <c r="B258" s="71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3">
        <f t="shared" si="48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Z259" si="49">SUM(E249:E255)</f>
        <v>1</v>
      </c>
      <c r="F259" s="13">
        <f t="shared" si="49"/>
        <v>2</v>
      </c>
      <c r="G259" s="13">
        <f t="shared" si="49"/>
        <v>1</v>
      </c>
      <c r="H259" s="13">
        <f t="shared" si="49"/>
        <v>1</v>
      </c>
      <c r="I259" s="13">
        <f t="shared" si="49"/>
        <v>0</v>
      </c>
      <c r="J259" s="13">
        <f t="shared" si="49"/>
        <v>5</v>
      </c>
      <c r="K259" s="13">
        <f t="shared" si="49"/>
        <v>2</v>
      </c>
      <c r="L259" s="13">
        <f t="shared" si="49"/>
        <v>2</v>
      </c>
      <c r="M259" s="13">
        <f t="shared" si="49"/>
        <v>3</v>
      </c>
      <c r="N259" s="13">
        <f t="shared" si="49"/>
        <v>3</v>
      </c>
      <c r="O259" s="13">
        <f t="shared" si="49"/>
        <v>18</v>
      </c>
      <c r="P259" s="13">
        <f t="shared" si="49"/>
        <v>30</v>
      </c>
      <c r="Q259" s="13">
        <f t="shared" si="49"/>
        <v>13</v>
      </c>
      <c r="R259" s="13">
        <f t="shared" si="49"/>
        <v>4</v>
      </c>
      <c r="S259" s="13">
        <f t="shared" si="49"/>
        <v>1</v>
      </c>
      <c r="T259" s="13">
        <f t="shared" si="49"/>
        <v>1</v>
      </c>
      <c r="U259" s="13">
        <f t="shared" si="49"/>
        <v>2</v>
      </c>
      <c r="V259" s="13">
        <f t="shared" si="49"/>
        <v>1</v>
      </c>
      <c r="W259" s="13">
        <f t="shared" si="49"/>
        <v>2</v>
      </c>
      <c r="X259" s="13">
        <f t="shared" si="49"/>
        <v>9</v>
      </c>
      <c r="Y259" s="13">
        <f t="shared" si="49"/>
        <v>0</v>
      </c>
      <c r="Z259" s="13">
        <f t="shared" si="49"/>
        <v>1</v>
      </c>
      <c r="AA259" s="13">
        <f t="shared" si="48"/>
        <v>102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0"/>
      <c r="O261" s="13"/>
      <c r="P261" s="13"/>
      <c r="Q261" s="13"/>
      <c r="R261" s="13"/>
      <c r="S261" s="70"/>
      <c r="T261" s="13"/>
      <c r="U261" s="13"/>
      <c r="V261" s="13"/>
      <c r="W261" s="13"/>
      <c r="X261" s="70"/>
      <c r="Y261" s="13"/>
      <c r="Z261" s="13"/>
      <c r="AA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Z262" si="50">E55+E67+E79+E91+E103+E115+E127+E139+E151+E163+E175+E187+E199+E211+E223+E235+E247+E259</f>
        <v>201</v>
      </c>
      <c r="F262" s="19">
        <f t="shared" si="50"/>
        <v>205</v>
      </c>
      <c r="G262" s="19">
        <f t="shared" si="50"/>
        <v>213</v>
      </c>
      <c r="H262" s="19">
        <f t="shared" si="50"/>
        <v>211</v>
      </c>
      <c r="I262" s="19">
        <f t="shared" si="50"/>
        <v>204</v>
      </c>
      <c r="J262" s="19">
        <f t="shared" si="50"/>
        <v>199</v>
      </c>
      <c r="K262" s="19">
        <f t="shared" si="50"/>
        <v>169</v>
      </c>
      <c r="L262" s="19">
        <f t="shared" si="50"/>
        <v>175</v>
      </c>
      <c r="M262" s="19">
        <f t="shared" si="50"/>
        <v>207</v>
      </c>
      <c r="N262" s="19">
        <f t="shared" si="50"/>
        <v>174</v>
      </c>
      <c r="O262" s="19">
        <f t="shared" si="50"/>
        <v>232</v>
      </c>
      <c r="P262" s="19">
        <f t="shared" si="50"/>
        <v>229</v>
      </c>
      <c r="Q262" s="19">
        <f t="shared" si="50"/>
        <v>220</v>
      </c>
      <c r="R262" s="19">
        <f t="shared" si="50"/>
        <v>200</v>
      </c>
      <c r="S262" s="19">
        <f t="shared" si="50"/>
        <v>197</v>
      </c>
      <c r="T262" s="19">
        <f t="shared" si="50"/>
        <v>201</v>
      </c>
      <c r="U262" s="19">
        <f t="shared" si="50"/>
        <v>210</v>
      </c>
      <c r="V262" s="19">
        <f t="shared" si="50"/>
        <v>231</v>
      </c>
      <c r="W262" s="19">
        <f t="shared" si="50"/>
        <v>195</v>
      </c>
      <c r="X262" s="19">
        <f t="shared" si="50"/>
        <v>193</v>
      </c>
      <c r="Y262" s="19">
        <f t="shared" si="50"/>
        <v>216</v>
      </c>
      <c r="Z262" s="19">
        <f t="shared" si="50"/>
        <v>218</v>
      </c>
      <c r="AA262" s="13">
        <f t="shared" ref="AA262:AA264" si="51">SUM(E262:Z262)</f>
        <v>4500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18.0</v>
      </c>
      <c r="F263" s="19">
        <v>22.0</v>
      </c>
      <c r="G263" s="19">
        <v>20.0</v>
      </c>
      <c r="H263" s="19">
        <v>19.0</v>
      </c>
      <c r="I263" s="19">
        <v>36.0</v>
      </c>
      <c r="J263" s="19">
        <v>14.0</v>
      </c>
      <c r="K263" s="19">
        <v>33.0</v>
      </c>
      <c r="L263" s="19">
        <v>25.0</v>
      </c>
      <c r="M263" s="19">
        <v>25.0</v>
      </c>
      <c r="N263" s="19">
        <v>25.0</v>
      </c>
      <c r="O263" s="19">
        <v>11.0</v>
      </c>
      <c r="P263" s="19">
        <v>9.0</v>
      </c>
      <c r="Q263" s="19">
        <v>12.0</v>
      </c>
      <c r="R263" s="19">
        <v>19.0</v>
      </c>
      <c r="S263" s="19">
        <v>22.0</v>
      </c>
      <c r="T263" s="19">
        <v>11.0</v>
      </c>
      <c r="U263" s="19">
        <v>20.0</v>
      </c>
      <c r="V263" s="19">
        <v>12.0</v>
      </c>
      <c r="W263" s="19">
        <v>16.0</v>
      </c>
      <c r="X263" s="19">
        <v>13.0</v>
      </c>
      <c r="Y263" s="19">
        <v>21.0</v>
      </c>
      <c r="Z263" s="19">
        <v>40.0</v>
      </c>
      <c r="AA263" s="13">
        <f t="shared" si="51"/>
        <v>443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Z264" si="52">SUM(E262:E263)</f>
        <v>219</v>
      </c>
      <c r="F264" s="13">
        <f t="shared" si="52"/>
        <v>227</v>
      </c>
      <c r="G264" s="13">
        <f t="shared" si="52"/>
        <v>233</v>
      </c>
      <c r="H264" s="13">
        <f t="shared" si="52"/>
        <v>230</v>
      </c>
      <c r="I264" s="13">
        <f t="shared" si="52"/>
        <v>240</v>
      </c>
      <c r="J264" s="13">
        <f t="shared" si="52"/>
        <v>213</v>
      </c>
      <c r="K264" s="13">
        <f t="shared" si="52"/>
        <v>202</v>
      </c>
      <c r="L264" s="13">
        <f t="shared" si="52"/>
        <v>200</v>
      </c>
      <c r="M264" s="13">
        <f t="shared" si="52"/>
        <v>232</v>
      </c>
      <c r="N264" s="13">
        <f t="shared" si="52"/>
        <v>199</v>
      </c>
      <c r="O264" s="13">
        <f t="shared" si="52"/>
        <v>243</v>
      </c>
      <c r="P264" s="13">
        <f t="shared" si="52"/>
        <v>238</v>
      </c>
      <c r="Q264" s="13">
        <f t="shared" si="52"/>
        <v>232</v>
      </c>
      <c r="R264" s="13">
        <f t="shared" si="52"/>
        <v>219</v>
      </c>
      <c r="S264" s="13">
        <f t="shared" si="52"/>
        <v>219</v>
      </c>
      <c r="T264" s="13">
        <f t="shared" si="52"/>
        <v>212</v>
      </c>
      <c r="U264" s="13">
        <f t="shared" si="52"/>
        <v>230</v>
      </c>
      <c r="V264" s="13">
        <f t="shared" si="52"/>
        <v>243</v>
      </c>
      <c r="W264" s="13">
        <f t="shared" si="52"/>
        <v>211</v>
      </c>
      <c r="X264" s="13">
        <f t="shared" si="52"/>
        <v>206</v>
      </c>
      <c r="Y264" s="13">
        <f t="shared" si="52"/>
        <v>237</v>
      </c>
      <c r="Z264" s="13">
        <f t="shared" si="52"/>
        <v>258</v>
      </c>
      <c r="AA264" s="13">
        <f t="shared" si="51"/>
        <v>4943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Z34">
    <cfRule type="expression" dxfId="0" priority="1">
      <formula>E34&lt;&gt;E64</formula>
    </cfRule>
  </conditionalFormatting>
  <conditionalFormatting sqref="E14:Z15">
    <cfRule type="containsBlanks" dxfId="1" priority="2">
      <formula>LEN(TRIM(E14))=0</formula>
    </cfRule>
  </conditionalFormatting>
  <conditionalFormatting sqref="E19:Z20">
    <cfRule type="containsBlanks" dxfId="1" priority="3">
      <formula>LEN(TRIM(E19))=0</formula>
    </cfRule>
  </conditionalFormatting>
  <conditionalFormatting sqref="E22:Z23 E25:Z26 E33:Z33 E35:Z35 E39:Z40">
    <cfRule type="containsBlanks" dxfId="1" priority="4">
      <formula>LEN(TRIM(E22))=0</formula>
    </cfRule>
  </conditionalFormatting>
  <conditionalFormatting sqref="E30:Z30">
    <cfRule type="expression" dxfId="0" priority="5">
      <formula>E30&lt;&gt;E47</formula>
    </cfRule>
  </conditionalFormatting>
  <conditionalFormatting sqref="E30:Z30">
    <cfRule type="expression" dxfId="0" priority="6">
      <formula>E30&lt;&gt;E34</formula>
    </cfRule>
  </conditionalFormatting>
  <conditionalFormatting sqref="E34:Z34">
    <cfRule type="expression" dxfId="2" priority="7">
      <formula>E30&lt;&gt;E34</formula>
    </cfRule>
  </conditionalFormatting>
  <conditionalFormatting sqref="E34:Z34">
    <cfRule type="expression" dxfId="3" priority="8">
      <formula>E30=E34</formula>
    </cfRule>
  </conditionalFormatting>
  <conditionalFormatting sqref="E34:Z34">
    <cfRule type="expression" dxfId="0" priority="9">
      <formula>E34&lt;&gt;E30</formula>
    </cfRule>
  </conditionalFormatting>
  <conditionalFormatting sqref="F45:Z54">
    <cfRule type="containsBlanks" dxfId="1" priority="10">
      <formula>LEN(TRIM(F45))=0</formula>
    </cfRule>
  </conditionalFormatting>
  <conditionalFormatting sqref="F57:Z66">
    <cfRule type="containsBlanks" dxfId="1" priority="11">
      <formula>LEN(TRIM(F57))=0</formula>
    </cfRule>
  </conditionalFormatting>
  <conditionalFormatting sqref="F69:Z78">
    <cfRule type="containsBlanks" dxfId="1" priority="12">
      <formula>LEN(TRIM(F69))=0</formula>
    </cfRule>
  </conditionalFormatting>
  <conditionalFormatting sqref="F81:Z90">
    <cfRule type="containsBlanks" dxfId="1" priority="13">
      <formula>LEN(TRIM(F81))=0</formula>
    </cfRule>
  </conditionalFormatting>
  <conditionalFormatting sqref="F93:Z102">
    <cfRule type="containsBlanks" dxfId="1" priority="14">
      <formula>LEN(TRIM(F93))=0</formula>
    </cfRule>
  </conditionalFormatting>
  <conditionalFormatting sqref="F105:Z114">
    <cfRule type="containsBlanks" dxfId="1" priority="15">
      <formula>LEN(TRIM(F105))=0</formula>
    </cfRule>
  </conditionalFormatting>
  <conditionalFormatting sqref="F117:Z126">
    <cfRule type="containsBlanks" dxfId="1" priority="16">
      <formula>LEN(TRIM(F117))=0</formula>
    </cfRule>
  </conditionalFormatting>
  <conditionalFormatting sqref="F129:Z138">
    <cfRule type="containsBlanks" dxfId="1" priority="17">
      <formula>LEN(TRIM(F129))=0</formula>
    </cfRule>
  </conditionalFormatting>
  <conditionalFormatting sqref="F141:Z150">
    <cfRule type="containsBlanks" dxfId="1" priority="18">
      <formula>LEN(TRIM(F141))=0</formula>
    </cfRule>
  </conditionalFormatting>
  <conditionalFormatting sqref="F153:Z162">
    <cfRule type="containsBlanks" dxfId="1" priority="19">
      <formula>LEN(TRIM(F153))=0</formula>
    </cfRule>
  </conditionalFormatting>
  <conditionalFormatting sqref="F165:Z174">
    <cfRule type="containsBlanks" dxfId="1" priority="20">
      <formula>LEN(TRIM(F165))=0</formula>
    </cfRule>
  </conditionalFormatting>
  <conditionalFormatting sqref="F177:Z186">
    <cfRule type="containsBlanks" dxfId="1" priority="21">
      <formula>LEN(TRIM(F177))=0</formula>
    </cfRule>
  </conditionalFormatting>
  <conditionalFormatting sqref="F189:Z198">
    <cfRule type="containsBlanks" dxfId="1" priority="22">
      <formula>LEN(TRIM(F189))=0</formula>
    </cfRule>
  </conditionalFormatting>
  <conditionalFormatting sqref="F201:Z210">
    <cfRule type="containsBlanks" dxfId="1" priority="23">
      <formula>LEN(TRIM(F201))=0</formula>
    </cfRule>
  </conditionalFormatting>
  <conditionalFormatting sqref="F213:Z222">
    <cfRule type="containsBlanks" dxfId="1" priority="24">
      <formula>LEN(TRIM(F213))=0</formula>
    </cfRule>
  </conditionalFormatting>
  <conditionalFormatting sqref="F225:Z234">
    <cfRule type="containsBlanks" dxfId="1" priority="25">
      <formula>LEN(TRIM(F225))=0</formula>
    </cfRule>
  </conditionalFormatting>
  <conditionalFormatting sqref="F237:Z246">
    <cfRule type="containsBlanks" dxfId="1" priority="26">
      <formula>LEN(TRIM(F237))=0</formula>
    </cfRule>
  </conditionalFormatting>
  <conditionalFormatting sqref="F249:Z259">
    <cfRule type="containsBlanks" dxfId="1" priority="27">
      <formula>LEN(TRIM(F249))=0</formula>
    </cfRule>
  </conditionalFormatting>
  <conditionalFormatting sqref="F262:Z263">
    <cfRule type="containsBlanks" dxfId="1" priority="28">
      <formula>LEN(TRIM(F262))=0</formula>
    </cfRule>
  </conditionalFormatting>
  <conditionalFormatting sqref="E45:E54">
    <cfRule type="containsBlanks" dxfId="1" priority="29">
      <formula>LEN(TRIM(E45))=0</formula>
    </cfRule>
  </conditionalFormatting>
  <conditionalFormatting sqref="E57:E66">
    <cfRule type="containsBlanks" dxfId="1" priority="30">
      <formula>LEN(TRIM(E57))=0</formula>
    </cfRule>
  </conditionalFormatting>
  <conditionalFormatting sqref="E69:E78">
    <cfRule type="containsBlanks" dxfId="1" priority="31">
      <formula>LEN(TRIM(E69))=0</formula>
    </cfRule>
  </conditionalFormatting>
  <conditionalFormatting sqref="E81:E90">
    <cfRule type="containsBlanks" dxfId="1" priority="32">
      <formula>LEN(TRIM(E81))=0</formula>
    </cfRule>
  </conditionalFormatting>
  <conditionalFormatting sqref="E93:E102">
    <cfRule type="containsBlanks" dxfId="1" priority="33">
      <formula>LEN(TRIM(E93))=0</formula>
    </cfRule>
  </conditionalFormatting>
  <conditionalFormatting sqref="E105:E114">
    <cfRule type="containsBlanks" dxfId="1" priority="34">
      <formula>LEN(TRIM(E105))=0</formula>
    </cfRule>
  </conditionalFormatting>
  <conditionalFormatting sqref="E117:E126">
    <cfRule type="containsBlanks" dxfId="1" priority="35">
      <formula>LEN(TRIM(E117))=0</formula>
    </cfRule>
  </conditionalFormatting>
  <conditionalFormatting sqref="E129:E138">
    <cfRule type="containsBlanks" dxfId="1" priority="36">
      <formula>LEN(TRIM(E129))=0</formula>
    </cfRule>
  </conditionalFormatting>
  <conditionalFormatting sqref="E141:E150">
    <cfRule type="containsBlanks" dxfId="1" priority="37">
      <formula>LEN(TRIM(E141))=0</formula>
    </cfRule>
  </conditionalFormatting>
  <conditionalFormatting sqref="E153:E162">
    <cfRule type="containsBlanks" dxfId="1" priority="38">
      <formula>LEN(TRIM(E153))=0</formula>
    </cfRule>
  </conditionalFormatting>
  <conditionalFormatting sqref="E165:E174">
    <cfRule type="containsBlanks" dxfId="1" priority="39">
      <formula>LEN(TRIM(E165))=0</formula>
    </cfRule>
  </conditionalFormatting>
  <conditionalFormatting sqref="E177:E186">
    <cfRule type="containsBlanks" dxfId="1" priority="40">
      <formula>LEN(TRIM(E177))=0</formula>
    </cfRule>
  </conditionalFormatting>
  <conditionalFormatting sqref="E189:E198">
    <cfRule type="containsBlanks" dxfId="1" priority="41">
      <formula>LEN(TRIM(E189))=0</formula>
    </cfRule>
  </conditionalFormatting>
  <conditionalFormatting sqref="E201:E210">
    <cfRule type="containsBlanks" dxfId="1" priority="42">
      <formula>LEN(TRIM(E201))=0</formula>
    </cfRule>
  </conditionalFormatting>
  <conditionalFormatting sqref="E213:E222">
    <cfRule type="containsBlanks" dxfId="1" priority="43">
      <formula>LEN(TRIM(E213))=0</formula>
    </cfRule>
  </conditionalFormatting>
  <conditionalFormatting sqref="E225:E234">
    <cfRule type="containsBlanks" dxfId="1" priority="44">
      <formula>LEN(TRIM(E225))=0</formula>
    </cfRule>
  </conditionalFormatting>
  <conditionalFormatting sqref="E237:E246">
    <cfRule type="containsBlanks" dxfId="1" priority="45">
      <formula>LEN(TRIM(E237))=0</formula>
    </cfRule>
  </conditionalFormatting>
  <conditionalFormatting sqref="E249:E259">
    <cfRule type="containsBlanks" dxfId="1" priority="46">
      <formula>LEN(TRIM(E249))=0</formula>
    </cfRule>
  </conditionalFormatting>
  <conditionalFormatting sqref="E262:E263">
    <cfRule type="containsBlanks" dxfId="1" priority="47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  <col customWidth="1" min="28" max="2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19">
        <v>131.0</v>
      </c>
      <c r="F14" s="19">
        <v>134.0</v>
      </c>
      <c r="G14" s="19">
        <v>136.0</v>
      </c>
      <c r="H14" s="19">
        <v>143.0</v>
      </c>
      <c r="I14" s="19">
        <v>134.0</v>
      </c>
      <c r="J14" s="19">
        <v>129.0</v>
      </c>
      <c r="K14" s="19">
        <v>142.0</v>
      </c>
      <c r="L14" s="19">
        <v>141.0</v>
      </c>
      <c r="M14" s="19">
        <v>138.0</v>
      </c>
      <c r="N14" s="19">
        <v>150.0</v>
      </c>
      <c r="O14" s="19">
        <v>141.0</v>
      </c>
      <c r="P14" s="19">
        <v>147.0</v>
      </c>
      <c r="Q14" s="19">
        <v>156.0</v>
      </c>
      <c r="R14" s="19">
        <v>137.0</v>
      </c>
      <c r="S14" s="19">
        <v>123.0</v>
      </c>
      <c r="T14" s="19">
        <v>139.0</v>
      </c>
      <c r="U14" s="19">
        <v>132.0</v>
      </c>
      <c r="V14" s="19">
        <v>132.0</v>
      </c>
      <c r="W14" s="19">
        <v>133.0</v>
      </c>
      <c r="X14" s="19">
        <v>137.0</v>
      </c>
      <c r="Y14" s="19">
        <v>125.0</v>
      </c>
      <c r="Z14" s="19">
        <v>139.0</v>
      </c>
      <c r="AA14" s="13">
        <f t="shared" ref="AA14:AA16" si="1">SUM(E14:Z14)</f>
        <v>3019</v>
      </c>
    </row>
    <row r="15" ht="12.75" customHeight="1">
      <c r="A15" s="18"/>
      <c r="B15" s="26"/>
      <c r="C15" s="27"/>
      <c r="D15" s="19" t="s">
        <v>13</v>
      </c>
      <c r="E15" s="19">
        <v>144.0</v>
      </c>
      <c r="F15" s="19">
        <v>132.0</v>
      </c>
      <c r="G15" s="19">
        <v>137.0</v>
      </c>
      <c r="H15" s="19">
        <v>144.0</v>
      </c>
      <c r="I15" s="19">
        <v>136.0</v>
      </c>
      <c r="J15" s="19">
        <v>145.0</v>
      </c>
      <c r="K15" s="19">
        <v>134.0</v>
      </c>
      <c r="L15" s="19">
        <v>136.0</v>
      </c>
      <c r="M15" s="19">
        <v>148.0</v>
      </c>
      <c r="N15" s="19">
        <v>145.0</v>
      </c>
      <c r="O15" s="19">
        <v>140.0</v>
      </c>
      <c r="P15" s="19">
        <v>146.0</v>
      </c>
      <c r="Q15" s="19">
        <v>141.0</v>
      </c>
      <c r="R15" s="19">
        <v>124.0</v>
      </c>
      <c r="S15" s="19">
        <v>129.0</v>
      </c>
      <c r="T15" s="19">
        <v>125.0</v>
      </c>
      <c r="U15" s="19">
        <v>133.0</v>
      </c>
      <c r="V15" s="19">
        <v>137.0</v>
      </c>
      <c r="W15" s="19">
        <v>133.0</v>
      </c>
      <c r="X15" s="19">
        <v>137.0</v>
      </c>
      <c r="Y15" s="19">
        <v>133.0</v>
      </c>
      <c r="Z15" s="19">
        <v>133.0</v>
      </c>
      <c r="AA15" s="13">
        <f t="shared" si="1"/>
        <v>3012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275</v>
      </c>
      <c r="F16" s="13">
        <f t="shared" si="2"/>
        <v>266</v>
      </c>
      <c r="G16" s="13">
        <f t="shared" si="2"/>
        <v>273</v>
      </c>
      <c r="H16" s="13">
        <f t="shared" si="2"/>
        <v>287</v>
      </c>
      <c r="I16" s="13">
        <f t="shared" si="2"/>
        <v>270</v>
      </c>
      <c r="J16" s="13">
        <f t="shared" si="2"/>
        <v>274</v>
      </c>
      <c r="K16" s="13">
        <f t="shared" si="2"/>
        <v>276</v>
      </c>
      <c r="L16" s="13">
        <f t="shared" si="2"/>
        <v>277</v>
      </c>
      <c r="M16" s="13">
        <f t="shared" si="2"/>
        <v>286</v>
      </c>
      <c r="N16" s="13">
        <f t="shared" si="2"/>
        <v>295</v>
      </c>
      <c r="O16" s="13">
        <f t="shared" si="2"/>
        <v>281</v>
      </c>
      <c r="P16" s="13">
        <f t="shared" si="2"/>
        <v>293</v>
      </c>
      <c r="Q16" s="13">
        <f t="shared" si="2"/>
        <v>297</v>
      </c>
      <c r="R16" s="13">
        <f t="shared" si="2"/>
        <v>261</v>
      </c>
      <c r="S16" s="13">
        <f t="shared" si="2"/>
        <v>252</v>
      </c>
      <c r="T16" s="13">
        <f t="shared" si="2"/>
        <v>264</v>
      </c>
      <c r="U16" s="13">
        <f t="shared" si="2"/>
        <v>265</v>
      </c>
      <c r="V16" s="13">
        <f t="shared" si="2"/>
        <v>269</v>
      </c>
      <c r="W16" s="13">
        <f t="shared" si="2"/>
        <v>266</v>
      </c>
      <c r="X16" s="13">
        <f t="shared" si="2"/>
        <v>274</v>
      </c>
      <c r="Y16" s="13">
        <f t="shared" si="2"/>
        <v>258</v>
      </c>
      <c r="Z16" s="13">
        <f t="shared" si="2"/>
        <v>272</v>
      </c>
      <c r="AA16" s="13">
        <f t="shared" si="1"/>
        <v>6031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102.0</v>
      </c>
      <c r="F19" s="19">
        <v>99.0</v>
      </c>
      <c r="G19" s="19">
        <v>104.0</v>
      </c>
      <c r="H19" s="19">
        <v>112.0</v>
      </c>
      <c r="I19" s="19">
        <v>106.0</v>
      </c>
      <c r="J19" s="19">
        <v>100.0</v>
      </c>
      <c r="K19" s="19">
        <v>106.0</v>
      </c>
      <c r="L19" s="19">
        <v>113.0</v>
      </c>
      <c r="M19" s="19">
        <v>101.0</v>
      </c>
      <c r="N19" s="19">
        <v>111.0</v>
      </c>
      <c r="O19" s="19">
        <v>108.0</v>
      </c>
      <c r="P19" s="19">
        <v>122.0</v>
      </c>
      <c r="Q19" s="19">
        <v>121.0</v>
      </c>
      <c r="R19" s="19">
        <v>111.0</v>
      </c>
      <c r="S19" s="19">
        <v>102.0</v>
      </c>
      <c r="T19" s="19">
        <v>110.0</v>
      </c>
      <c r="U19" s="19">
        <v>103.0</v>
      </c>
      <c r="V19" s="19">
        <v>94.0</v>
      </c>
      <c r="W19" s="19">
        <v>110.0</v>
      </c>
      <c r="X19" s="19">
        <v>100.0</v>
      </c>
      <c r="Y19" s="19">
        <v>99.0</v>
      </c>
      <c r="Z19" s="19">
        <v>108.0</v>
      </c>
      <c r="AA19" s="13">
        <f t="shared" ref="AA19:AA30" si="3">SUM(E19:Z19)</f>
        <v>2342</v>
      </c>
    </row>
    <row r="20" ht="12.75" customHeight="1">
      <c r="A20" s="33"/>
      <c r="B20" s="27"/>
      <c r="C20" s="34"/>
      <c r="D20" s="19" t="s">
        <v>13</v>
      </c>
      <c r="E20" s="19">
        <v>123.0</v>
      </c>
      <c r="F20" s="19">
        <v>109.0</v>
      </c>
      <c r="G20" s="19">
        <v>107.0</v>
      </c>
      <c r="H20" s="19">
        <v>111.0</v>
      </c>
      <c r="I20" s="19">
        <v>113.0</v>
      </c>
      <c r="J20" s="19">
        <v>117.0</v>
      </c>
      <c r="K20" s="19">
        <v>113.0</v>
      </c>
      <c r="L20" s="19">
        <v>108.0</v>
      </c>
      <c r="M20" s="19">
        <v>125.0</v>
      </c>
      <c r="N20" s="19">
        <v>113.0</v>
      </c>
      <c r="O20" s="19">
        <v>113.0</v>
      </c>
      <c r="P20" s="19">
        <v>118.0</v>
      </c>
      <c r="Q20" s="19">
        <v>110.0</v>
      </c>
      <c r="R20" s="19">
        <v>105.0</v>
      </c>
      <c r="S20" s="19">
        <v>115.0</v>
      </c>
      <c r="T20" s="19">
        <v>104.0</v>
      </c>
      <c r="U20" s="19">
        <v>95.0</v>
      </c>
      <c r="V20" s="19">
        <v>105.0</v>
      </c>
      <c r="W20" s="19">
        <v>105.0</v>
      </c>
      <c r="X20" s="19">
        <v>107.0</v>
      </c>
      <c r="Y20" s="19">
        <v>102.0</v>
      </c>
      <c r="Z20" s="19">
        <v>109.0</v>
      </c>
      <c r="AA20" s="13">
        <f t="shared" si="3"/>
        <v>2427</v>
      </c>
    </row>
    <row r="21" ht="12.75" customHeight="1">
      <c r="A21" s="35"/>
      <c r="B21" s="28"/>
      <c r="C21" s="36"/>
      <c r="D21" s="13" t="s">
        <v>14</v>
      </c>
      <c r="E21" s="13">
        <f t="shared" ref="E21:Z21" si="4">SUM(E19:E20)</f>
        <v>225</v>
      </c>
      <c r="F21" s="13">
        <f t="shared" si="4"/>
        <v>208</v>
      </c>
      <c r="G21" s="13">
        <f t="shared" si="4"/>
        <v>211</v>
      </c>
      <c r="H21" s="13">
        <f t="shared" si="4"/>
        <v>223</v>
      </c>
      <c r="I21" s="13">
        <f t="shared" si="4"/>
        <v>219</v>
      </c>
      <c r="J21" s="13">
        <f t="shared" si="4"/>
        <v>217</v>
      </c>
      <c r="K21" s="13">
        <f t="shared" si="4"/>
        <v>219</v>
      </c>
      <c r="L21" s="13">
        <f t="shared" si="4"/>
        <v>221</v>
      </c>
      <c r="M21" s="13">
        <f t="shared" si="4"/>
        <v>226</v>
      </c>
      <c r="N21" s="13">
        <f t="shared" si="4"/>
        <v>224</v>
      </c>
      <c r="O21" s="13">
        <f t="shared" si="4"/>
        <v>221</v>
      </c>
      <c r="P21" s="13">
        <f t="shared" si="4"/>
        <v>240</v>
      </c>
      <c r="Q21" s="13">
        <f t="shared" si="4"/>
        <v>231</v>
      </c>
      <c r="R21" s="13">
        <f t="shared" si="4"/>
        <v>216</v>
      </c>
      <c r="S21" s="13">
        <f t="shared" si="4"/>
        <v>217</v>
      </c>
      <c r="T21" s="13">
        <f t="shared" si="4"/>
        <v>214</v>
      </c>
      <c r="U21" s="13">
        <f t="shared" si="4"/>
        <v>198</v>
      </c>
      <c r="V21" s="13">
        <f t="shared" si="4"/>
        <v>199</v>
      </c>
      <c r="W21" s="13">
        <f t="shared" si="4"/>
        <v>215</v>
      </c>
      <c r="X21" s="13">
        <f t="shared" si="4"/>
        <v>207</v>
      </c>
      <c r="Y21" s="13">
        <f t="shared" si="4"/>
        <v>201</v>
      </c>
      <c r="Z21" s="13">
        <f t="shared" si="4"/>
        <v>217</v>
      </c>
      <c r="AA21" s="13">
        <f t="shared" si="3"/>
        <v>4769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1.0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Z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1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0.0</v>
      </c>
      <c r="G25" s="19">
        <v>3.0</v>
      </c>
      <c r="H25" s="19">
        <v>0.0</v>
      </c>
      <c r="I25" s="19">
        <v>1.0</v>
      </c>
      <c r="J25" s="19">
        <v>0.0</v>
      </c>
      <c r="K25" s="19">
        <v>1.0</v>
      </c>
      <c r="L25" s="19">
        <v>1.0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2.0</v>
      </c>
      <c r="T25" s="19">
        <v>0.0</v>
      </c>
      <c r="U25" s="19">
        <v>1.0</v>
      </c>
      <c r="V25" s="19">
        <v>1.0</v>
      </c>
      <c r="W25" s="19">
        <v>0.0</v>
      </c>
      <c r="X25" s="19">
        <v>2.0</v>
      </c>
      <c r="Y25" s="19">
        <v>1.0</v>
      </c>
      <c r="Z25" s="19">
        <v>1.0</v>
      </c>
      <c r="AA25" s="13">
        <f t="shared" si="3"/>
        <v>16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1.0</v>
      </c>
      <c r="H26" s="19">
        <v>0.0</v>
      </c>
      <c r="I26" s="19">
        <v>3.0</v>
      </c>
      <c r="J26" s="19">
        <v>2.0</v>
      </c>
      <c r="K26" s="19">
        <v>2.0</v>
      </c>
      <c r="L26" s="19">
        <v>1.0</v>
      </c>
      <c r="M26" s="19">
        <v>0.0</v>
      </c>
      <c r="N26" s="19">
        <v>0.0</v>
      </c>
      <c r="O26" s="19">
        <v>6.0</v>
      </c>
      <c r="P26" s="19">
        <v>2.0</v>
      </c>
      <c r="Q26" s="19">
        <v>0.0</v>
      </c>
      <c r="R26" s="19">
        <v>1.0</v>
      </c>
      <c r="S26" s="19">
        <v>0.0</v>
      </c>
      <c r="T26" s="19">
        <v>0.0</v>
      </c>
      <c r="U26" s="19">
        <v>2.0</v>
      </c>
      <c r="V26" s="19">
        <v>0.0</v>
      </c>
      <c r="W26" s="19">
        <v>0.0</v>
      </c>
      <c r="X26" s="19">
        <v>2.0</v>
      </c>
      <c r="Y26" s="19">
        <v>1.0</v>
      </c>
      <c r="Z26" s="19">
        <v>2.0</v>
      </c>
      <c r="AA26" s="13">
        <f t="shared" si="3"/>
        <v>27</v>
      </c>
    </row>
    <row r="27" ht="12.75" customHeight="1">
      <c r="A27" s="35"/>
      <c r="B27" s="28"/>
      <c r="C27" s="36"/>
      <c r="D27" s="13" t="s">
        <v>14</v>
      </c>
      <c r="E27" s="13">
        <f t="shared" ref="E27:Z27" si="6">SUM(E25:E26)</f>
        <v>4</v>
      </c>
      <c r="F27" s="13">
        <f t="shared" si="6"/>
        <v>0</v>
      </c>
      <c r="G27" s="13">
        <f t="shared" si="6"/>
        <v>4</v>
      </c>
      <c r="H27" s="13">
        <f t="shared" si="6"/>
        <v>0</v>
      </c>
      <c r="I27" s="13">
        <f t="shared" si="6"/>
        <v>4</v>
      </c>
      <c r="J27" s="13">
        <f t="shared" si="6"/>
        <v>2</v>
      </c>
      <c r="K27" s="13">
        <f t="shared" si="6"/>
        <v>3</v>
      </c>
      <c r="L27" s="13">
        <f t="shared" si="6"/>
        <v>2</v>
      </c>
      <c r="M27" s="13">
        <f t="shared" si="6"/>
        <v>0</v>
      </c>
      <c r="N27" s="13">
        <f t="shared" si="6"/>
        <v>0</v>
      </c>
      <c r="O27" s="13">
        <f t="shared" si="6"/>
        <v>6</v>
      </c>
      <c r="P27" s="13">
        <f t="shared" si="6"/>
        <v>2</v>
      </c>
      <c r="Q27" s="13">
        <f t="shared" si="6"/>
        <v>0</v>
      </c>
      <c r="R27" s="13">
        <f t="shared" si="6"/>
        <v>1</v>
      </c>
      <c r="S27" s="13">
        <f t="shared" si="6"/>
        <v>2</v>
      </c>
      <c r="T27" s="13">
        <f t="shared" si="6"/>
        <v>0</v>
      </c>
      <c r="U27" s="13">
        <f t="shared" si="6"/>
        <v>3</v>
      </c>
      <c r="V27" s="13">
        <f t="shared" si="6"/>
        <v>1</v>
      </c>
      <c r="W27" s="13">
        <f t="shared" si="6"/>
        <v>0</v>
      </c>
      <c r="X27" s="13">
        <f t="shared" si="6"/>
        <v>4</v>
      </c>
      <c r="Y27" s="13">
        <f t="shared" si="6"/>
        <v>2</v>
      </c>
      <c r="Z27" s="13">
        <f t="shared" si="6"/>
        <v>3</v>
      </c>
      <c r="AA27" s="13">
        <f t="shared" si="3"/>
        <v>43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Z28" si="7">SUM(E19,E22,E25)</f>
        <v>105</v>
      </c>
      <c r="F28" s="13">
        <f t="shared" si="7"/>
        <v>99</v>
      </c>
      <c r="G28" s="13">
        <f t="shared" si="7"/>
        <v>107</v>
      </c>
      <c r="H28" s="13">
        <f t="shared" si="7"/>
        <v>112</v>
      </c>
      <c r="I28" s="13">
        <f t="shared" si="7"/>
        <v>107</v>
      </c>
      <c r="J28" s="13">
        <f t="shared" si="7"/>
        <v>100</v>
      </c>
      <c r="K28" s="13">
        <f t="shared" si="7"/>
        <v>107</v>
      </c>
      <c r="L28" s="13">
        <f t="shared" si="7"/>
        <v>114</v>
      </c>
      <c r="M28" s="13">
        <f t="shared" si="7"/>
        <v>101</v>
      </c>
      <c r="N28" s="13">
        <f t="shared" si="7"/>
        <v>111</v>
      </c>
      <c r="O28" s="13">
        <f t="shared" si="7"/>
        <v>108</v>
      </c>
      <c r="P28" s="13">
        <f t="shared" si="7"/>
        <v>122</v>
      </c>
      <c r="Q28" s="13">
        <f t="shared" si="7"/>
        <v>121</v>
      </c>
      <c r="R28" s="13">
        <f t="shared" si="7"/>
        <v>111</v>
      </c>
      <c r="S28" s="13">
        <f t="shared" si="7"/>
        <v>104</v>
      </c>
      <c r="T28" s="13">
        <f t="shared" si="7"/>
        <v>110</v>
      </c>
      <c r="U28" s="13">
        <f t="shared" si="7"/>
        <v>104</v>
      </c>
      <c r="V28" s="13">
        <f t="shared" si="7"/>
        <v>95</v>
      </c>
      <c r="W28" s="13">
        <f t="shared" si="7"/>
        <v>110</v>
      </c>
      <c r="X28" s="13">
        <f t="shared" si="7"/>
        <v>102</v>
      </c>
      <c r="Y28" s="13">
        <f t="shared" si="7"/>
        <v>100</v>
      </c>
      <c r="Z28" s="13">
        <f t="shared" si="7"/>
        <v>109</v>
      </c>
      <c r="AA28" s="13">
        <f t="shared" si="3"/>
        <v>2359</v>
      </c>
    </row>
    <row r="29" ht="12.75" customHeight="1">
      <c r="A29" s="35"/>
      <c r="B29" s="27"/>
      <c r="C29" s="34"/>
      <c r="D29" s="13" t="s">
        <v>13</v>
      </c>
      <c r="E29" s="13">
        <f t="shared" ref="E29:Z29" si="8">SUM(E20,E23,E26)</f>
        <v>125</v>
      </c>
      <c r="F29" s="13">
        <f t="shared" si="8"/>
        <v>109</v>
      </c>
      <c r="G29" s="13">
        <f t="shared" si="8"/>
        <v>108</v>
      </c>
      <c r="H29" s="13">
        <f t="shared" si="8"/>
        <v>111</v>
      </c>
      <c r="I29" s="13">
        <f t="shared" si="8"/>
        <v>116</v>
      </c>
      <c r="J29" s="13">
        <f t="shared" si="8"/>
        <v>119</v>
      </c>
      <c r="K29" s="13">
        <f t="shared" si="8"/>
        <v>115</v>
      </c>
      <c r="L29" s="13">
        <f t="shared" si="8"/>
        <v>109</v>
      </c>
      <c r="M29" s="13">
        <f t="shared" si="8"/>
        <v>125</v>
      </c>
      <c r="N29" s="13">
        <f t="shared" si="8"/>
        <v>113</v>
      </c>
      <c r="O29" s="13">
        <f t="shared" si="8"/>
        <v>119</v>
      </c>
      <c r="P29" s="13">
        <f t="shared" si="8"/>
        <v>120</v>
      </c>
      <c r="Q29" s="13">
        <f t="shared" si="8"/>
        <v>110</v>
      </c>
      <c r="R29" s="13">
        <f t="shared" si="8"/>
        <v>106</v>
      </c>
      <c r="S29" s="13">
        <f t="shared" si="8"/>
        <v>115</v>
      </c>
      <c r="T29" s="13">
        <f t="shared" si="8"/>
        <v>104</v>
      </c>
      <c r="U29" s="13">
        <f t="shared" si="8"/>
        <v>98</v>
      </c>
      <c r="V29" s="13">
        <f t="shared" si="8"/>
        <v>105</v>
      </c>
      <c r="W29" s="13">
        <f t="shared" si="8"/>
        <v>105</v>
      </c>
      <c r="X29" s="13">
        <f t="shared" si="8"/>
        <v>109</v>
      </c>
      <c r="Y29" s="13">
        <f t="shared" si="8"/>
        <v>103</v>
      </c>
      <c r="Z29" s="13">
        <f t="shared" si="8"/>
        <v>111</v>
      </c>
      <c r="AA29" s="13">
        <f t="shared" si="3"/>
        <v>2455</v>
      </c>
    </row>
    <row r="30" ht="12.75" customHeight="1">
      <c r="A30" s="35"/>
      <c r="B30" s="28"/>
      <c r="C30" s="36"/>
      <c r="D30" s="13" t="s">
        <v>14</v>
      </c>
      <c r="E30" s="13">
        <f t="shared" ref="E30:Z30" si="9">SUM(E28:E29)</f>
        <v>230</v>
      </c>
      <c r="F30" s="13">
        <f t="shared" si="9"/>
        <v>208</v>
      </c>
      <c r="G30" s="13">
        <f t="shared" si="9"/>
        <v>215</v>
      </c>
      <c r="H30" s="13">
        <f t="shared" si="9"/>
        <v>223</v>
      </c>
      <c r="I30" s="13">
        <f t="shared" si="9"/>
        <v>223</v>
      </c>
      <c r="J30" s="13">
        <f t="shared" si="9"/>
        <v>219</v>
      </c>
      <c r="K30" s="13">
        <f t="shared" si="9"/>
        <v>222</v>
      </c>
      <c r="L30" s="13">
        <f t="shared" si="9"/>
        <v>223</v>
      </c>
      <c r="M30" s="13">
        <f t="shared" si="9"/>
        <v>226</v>
      </c>
      <c r="N30" s="13">
        <f t="shared" si="9"/>
        <v>224</v>
      </c>
      <c r="O30" s="13">
        <f t="shared" si="9"/>
        <v>227</v>
      </c>
      <c r="P30" s="13">
        <f t="shared" si="9"/>
        <v>242</v>
      </c>
      <c r="Q30" s="13">
        <f t="shared" si="9"/>
        <v>231</v>
      </c>
      <c r="R30" s="13">
        <f t="shared" si="9"/>
        <v>217</v>
      </c>
      <c r="S30" s="13">
        <f t="shared" si="9"/>
        <v>219</v>
      </c>
      <c r="T30" s="13">
        <f t="shared" si="9"/>
        <v>214</v>
      </c>
      <c r="U30" s="13">
        <f t="shared" si="9"/>
        <v>202</v>
      </c>
      <c r="V30" s="13">
        <f t="shared" si="9"/>
        <v>200</v>
      </c>
      <c r="W30" s="13">
        <f t="shared" si="9"/>
        <v>215</v>
      </c>
      <c r="X30" s="13">
        <f t="shared" si="9"/>
        <v>211</v>
      </c>
      <c r="Y30" s="13">
        <f t="shared" si="9"/>
        <v>203</v>
      </c>
      <c r="Z30" s="13">
        <f t="shared" si="9"/>
        <v>220</v>
      </c>
      <c r="AA30" s="13">
        <f t="shared" si="3"/>
        <v>4814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0"/>
      <c r="O32" s="13"/>
      <c r="P32" s="13"/>
      <c r="Q32" s="13"/>
      <c r="R32" s="13"/>
      <c r="S32" s="70"/>
      <c r="T32" s="13"/>
      <c r="U32" s="13"/>
      <c r="V32" s="13"/>
      <c r="W32" s="13"/>
      <c r="X32" s="70"/>
      <c r="Y32" s="13"/>
      <c r="Z32" s="13"/>
      <c r="AA32" s="68"/>
    </row>
    <row r="33" ht="12.75" customHeight="1">
      <c r="A33" s="19">
        <v>1.0</v>
      </c>
      <c r="B33" s="20" t="s">
        <v>27</v>
      </c>
      <c r="C33" s="15"/>
      <c r="D33" s="16"/>
      <c r="E33" s="19">
        <v>281.0</v>
      </c>
      <c r="F33" s="19">
        <v>272.0</v>
      </c>
      <c r="G33" s="19">
        <v>279.0</v>
      </c>
      <c r="H33" s="19">
        <v>293.0</v>
      </c>
      <c r="I33" s="19">
        <v>276.0</v>
      </c>
      <c r="J33" s="19">
        <v>280.0</v>
      </c>
      <c r="K33" s="19">
        <v>282.0</v>
      </c>
      <c r="L33" s="19">
        <v>284.0</v>
      </c>
      <c r="M33" s="19">
        <v>292.0</v>
      </c>
      <c r="N33" s="19">
        <v>301.0</v>
      </c>
      <c r="O33" s="19">
        <v>287.0</v>
      </c>
      <c r="P33" s="19">
        <v>299.0</v>
      </c>
      <c r="Q33" s="19">
        <v>303.0</v>
      </c>
      <c r="R33" s="19">
        <v>267.0</v>
      </c>
      <c r="S33" s="19">
        <v>258.0</v>
      </c>
      <c r="T33" s="19">
        <v>270.0</v>
      </c>
      <c r="U33" s="19">
        <v>271.0</v>
      </c>
      <c r="V33" s="19">
        <v>275.0</v>
      </c>
      <c r="W33" s="19">
        <v>272.0</v>
      </c>
      <c r="X33" s="19">
        <v>280.0</v>
      </c>
      <c r="Y33" s="19">
        <v>266.0</v>
      </c>
      <c r="Z33" s="19">
        <v>278.0</v>
      </c>
      <c r="AA33" s="13">
        <f t="shared" ref="AA33:AA36" si="10">SUM(E33:Z33)</f>
        <v>6166</v>
      </c>
    </row>
    <row r="34" ht="12.75" customHeight="1">
      <c r="A34" s="19">
        <v>2.0</v>
      </c>
      <c r="B34" s="20" t="s">
        <v>28</v>
      </c>
      <c r="C34" s="15"/>
      <c r="D34" s="16"/>
      <c r="E34" s="13">
        <v>230.0</v>
      </c>
      <c r="F34" s="13">
        <v>208.0</v>
      </c>
      <c r="G34" s="13">
        <v>215.0</v>
      </c>
      <c r="H34" s="13">
        <v>223.0</v>
      </c>
      <c r="I34" s="13">
        <v>223.0</v>
      </c>
      <c r="J34" s="13">
        <v>219.0</v>
      </c>
      <c r="K34" s="13">
        <v>222.0</v>
      </c>
      <c r="L34" s="13">
        <v>223.0</v>
      </c>
      <c r="M34" s="13">
        <v>226.0</v>
      </c>
      <c r="N34" s="13">
        <v>224.0</v>
      </c>
      <c r="O34" s="13">
        <v>227.0</v>
      </c>
      <c r="P34" s="13">
        <v>242.0</v>
      </c>
      <c r="Q34" s="13">
        <v>231.0</v>
      </c>
      <c r="R34" s="13">
        <v>217.0</v>
      </c>
      <c r="S34" s="13">
        <v>219.0</v>
      </c>
      <c r="T34" s="13">
        <v>214.0</v>
      </c>
      <c r="U34" s="13">
        <v>202.0</v>
      </c>
      <c r="V34" s="13">
        <v>200.0</v>
      </c>
      <c r="W34" s="13">
        <v>215.0</v>
      </c>
      <c r="X34" s="13">
        <v>211.0</v>
      </c>
      <c r="Y34" s="13">
        <v>203.0</v>
      </c>
      <c r="Z34" s="13">
        <v>220.0</v>
      </c>
      <c r="AA34" s="13">
        <f t="shared" si="10"/>
        <v>4814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1.0</v>
      </c>
      <c r="M35" s="19">
        <v>0.0</v>
      </c>
      <c r="N35" s="19">
        <v>0.0</v>
      </c>
      <c r="O35" s="19">
        <v>0.0</v>
      </c>
      <c r="P35" s="19">
        <v>1.0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2.0</v>
      </c>
      <c r="X35" s="19">
        <v>0.0</v>
      </c>
      <c r="Y35" s="19">
        <v>0.0</v>
      </c>
      <c r="Z35" s="19">
        <v>2.0</v>
      </c>
      <c r="AA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51</v>
      </c>
      <c r="F36" s="13">
        <f t="shared" si="11"/>
        <v>64</v>
      </c>
      <c r="G36" s="13">
        <f t="shared" si="11"/>
        <v>64</v>
      </c>
      <c r="H36" s="13">
        <f t="shared" si="11"/>
        <v>70</v>
      </c>
      <c r="I36" s="13">
        <f t="shared" si="11"/>
        <v>53</v>
      </c>
      <c r="J36" s="13">
        <f t="shared" si="11"/>
        <v>61</v>
      </c>
      <c r="K36" s="13">
        <f t="shared" si="11"/>
        <v>60</v>
      </c>
      <c r="L36" s="13">
        <f t="shared" si="11"/>
        <v>60</v>
      </c>
      <c r="M36" s="13">
        <f t="shared" si="11"/>
        <v>66</v>
      </c>
      <c r="N36" s="13">
        <f t="shared" si="11"/>
        <v>77</v>
      </c>
      <c r="O36" s="13">
        <f t="shared" si="11"/>
        <v>60</v>
      </c>
      <c r="P36" s="13">
        <f t="shared" si="11"/>
        <v>56</v>
      </c>
      <c r="Q36" s="13">
        <f t="shared" si="11"/>
        <v>72</v>
      </c>
      <c r="R36" s="13">
        <f t="shared" si="11"/>
        <v>50</v>
      </c>
      <c r="S36" s="13">
        <f t="shared" si="11"/>
        <v>39</v>
      </c>
      <c r="T36" s="13">
        <f t="shared" si="11"/>
        <v>56</v>
      </c>
      <c r="U36" s="13">
        <f t="shared" si="11"/>
        <v>69</v>
      </c>
      <c r="V36" s="13">
        <f t="shared" si="11"/>
        <v>75</v>
      </c>
      <c r="W36" s="13">
        <f t="shared" si="11"/>
        <v>55</v>
      </c>
      <c r="X36" s="13">
        <f t="shared" si="11"/>
        <v>69</v>
      </c>
      <c r="Y36" s="13">
        <f t="shared" si="11"/>
        <v>63</v>
      </c>
      <c r="Z36" s="13">
        <f t="shared" si="11"/>
        <v>56</v>
      </c>
      <c r="AA36" s="13">
        <f t="shared" si="10"/>
        <v>1346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0"/>
      <c r="O38" s="13"/>
      <c r="P38" s="13"/>
      <c r="Q38" s="13"/>
      <c r="R38" s="13"/>
      <c r="S38" s="70"/>
      <c r="T38" s="13"/>
      <c r="U38" s="13"/>
      <c r="V38" s="13"/>
      <c r="W38" s="13"/>
      <c r="X38" s="70"/>
      <c r="Y38" s="13"/>
      <c r="Z38" s="13"/>
      <c r="AA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1.0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3">
        <f t="shared" ref="AA39:AA41" si="12">SUM(E39:Z39)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Z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1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0"/>
      <c r="O43" s="13"/>
      <c r="P43" s="13"/>
      <c r="Q43" s="13"/>
      <c r="R43" s="13"/>
      <c r="S43" s="70"/>
      <c r="T43" s="13"/>
      <c r="U43" s="13"/>
      <c r="V43" s="13"/>
      <c r="W43" s="13"/>
      <c r="X43" s="70"/>
      <c r="Y43" s="13"/>
      <c r="Z43" s="13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20.0</v>
      </c>
      <c r="F45" s="19">
        <v>13.0</v>
      </c>
      <c r="G45" s="19">
        <v>5.0</v>
      </c>
      <c r="H45" s="19">
        <v>18.0</v>
      </c>
      <c r="I45" s="19">
        <v>16.0</v>
      </c>
      <c r="J45" s="19">
        <v>6.0</v>
      </c>
      <c r="K45" s="19">
        <v>10.0</v>
      </c>
      <c r="L45" s="19">
        <v>10.0</v>
      </c>
      <c r="M45" s="19">
        <v>10.0</v>
      </c>
      <c r="N45" s="19">
        <v>8.0</v>
      </c>
      <c r="O45" s="19">
        <v>7.0</v>
      </c>
      <c r="P45" s="19">
        <v>16.0</v>
      </c>
      <c r="Q45" s="19">
        <v>1.0</v>
      </c>
      <c r="R45" s="19">
        <v>10.0</v>
      </c>
      <c r="S45" s="19">
        <v>8.0</v>
      </c>
      <c r="T45" s="19">
        <v>13.0</v>
      </c>
      <c r="U45" s="19">
        <v>8.0</v>
      </c>
      <c r="V45" s="19">
        <v>12.0</v>
      </c>
      <c r="W45" s="19">
        <v>5.0</v>
      </c>
      <c r="X45" s="19">
        <v>2.0</v>
      </c>
      <c r="Y45" s="19">
        <v>4.0</v>
      </c>
      <c r="Z45" s="19">
        <v>8.0</v>
      </c>
      <c r="AA45" s="13">
        <f t="shared" ref="AA45:AA55" si="14">SUM(E45:Z45)</f>
        <v>210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103.0</v>
      </c>
      <c r="F46" s="19">
        <v>48.0</v>
      </c>
      <c r="G46" s="19">
        <v>36.0</v>
      </c>
      <c r="H46" s="19">
        <v>50.0</v>
      </c>
      <c r="I46" s="19">
        <v>51.0</v>
      </c>
      <c r="J46" s="19">
        <v>32.0</v>
      </c>
      <c r="K46" s="19">
        <v>42.0</v>
      </c>
      <c r="L46" s="19">
        <v>20.0</v>
      </c>
      <c r="M46" s="19">
        <v>28.0</v>
      </c>
      <c r="N46" s="19">
        <v>50.0</v>
      </c>
      <c r="O46" s="19">
        <v>5.0</v>
      </c>
      <c r="P46" s="19">
        <v>28.0</v>
      </c>
      <c r="Q46" s="19">
        <v>78.0</v>
      </c>
      <c r="R46" s="19">
        <v>38.0</v>
      </c>
      <c r="S46" s="19">
        <v>45.0</v>
      </c>
      <c r="T46" s="19">
        <v>16.0</v>
      </c>
      <c r="U46" s="19">
        <v>23.0</v>
      </c>
      <c r="V46" s="19">
        <v>13.0</v>
      </c>
      <c r="W46" s="19">
        <v>18.0</v>
      </c>
      <c r="X46" s="19">
        <v>26.0</v>
      </c>
      <c r="Y46" s="19">
        <v>14.0</v>
      </c>
      <c r="Z46" s="19">
        <v>30.0</v>
      </c>
      <c r="AA46" s="13">
        <f t="shared" si="14"/>
        <v>794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7.0</v>
      </c>
      <c r="G47" s="19">
        <v>4.0</v>
      </c>
      <c r="H47" s="19">
        <v>17.0</v>
      </c>
      <c r="I47" s="19">
        <v>7.0</v>
      </c>
      <c r="J47" s="19">
        <v>6.0</v>
      </c>
      <c r="K47" s="19">
        <v>10.0</v>
      </c>
      <c r="L47" s="19">
        <v>9.0</v>
      </c>
      <c r="M47" s="19">
        <v>10.0</v>
      </c>
      <c r="N47" s="19">
        <v>7.0</v>
      </c>
      <c r="O47" s="19">
        <v>15.0</v>
      </c>
      <c r="P47" s="19">
        <v>26.0</v>
      </c>
      <c r="Q47" s="19">
        <v>1.0</v>
      </c>
      <c r="R47" s="19">
        <v>3.0</v>
      </c>
      <c r="S47" s="19">
        <v>13.0</v>
      </c>
      <c r="T47" s="19">
        <v>3.0</v>
      </c>
      <c r="U47" s="19">
        <v>7.0</v>
      </c>
      <c r="V47" s="19">
        <v>11.0</v>
      </c>
      <c r="W47" s="19">
        <v>4.0</v>
      </c>
      <c r="X47" s="19">
        <v>0.0</v>
      </c>
      <c r="Y47" s="19">
        <v>8.0</v>
      </c>
      <c r="Z47" s="19">
        <v>8.0</v>
      </c>
      <c r="AA47" s="13">
        <f t="shared" si="14"/>
        <v>178</v>
      </c>
    </row>
    <row r="48" ht="12.75" customHeight="1">
      <c r="A48" s="18"/>
      <c r="B48" s="55">
        <v>3.0</v>
      </c>
      <c r="C48" s="50" t="s">
        <v>42</v>
      </c>
      <c r="D48" s="16"/>
      <c r="E48" s="19">
        <v>2.0</v>
      </c>
      <c r="F48" s="19">
        <v>3.0</v>
      </c>
      <c r="G48" s="19">
        <v>2.0</v>
      </c>
      <c r="H48" s="19">
        <v>0.0</v>
      </c>
      <c r="I48" s="19">
        <v>3.0</v>
      </c>
      <c r="J48" s="19">
        <v>1.0</v>
      </c>
      <c r="K48" s="19">
        <v>2.0</v>
      </c>
      <c r="L48" s="19">
        <v>0.0</v>
      </c>
      <c r="M48" s="19">
        <v>2.0</v>
      </c>
      <c r="N48" s="19">
        <v>0.0</v>
      </c>
      <c r="O48" s="19">
        <v>1.0</v>
      </c>
      <c r="P48" s="19">
        <v>0.0</v>
      </c>
      <c r="Q48" s="19">
        <v>0.0</v>
      </c>
      <c r="R48" s="19">
        <v>1.0</v>
      </c>
      <c r="S48" s="19">
        <v>0.0</v>
      </c>
      <c r="T48" s="19">
        <v>0.0</v>
      </c>
      <c r="U48" s="19">
        <v>2.0</v>
      </c>
      <c r="V48" s="19">
        <v>3.0</v>
      </c>
      <c r="W48" s="19">
        <v>2.0</v>
      </c>
      <c r="X48" s="19">
        <v>0.0</v>
      </c>
      <c r="Y48" s="19">
        <v>0.0</v>
      </c>
      <c r="Z48" s="19">
        <v>2.0</v>
      </c>
      <c r="AA48" s="13">
        <f t="shared" si="14"/>
        <v>26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2.0</v>
      </c>
      <c r="G49" s="19">
        <v>3.0</v>
      </c>
      <c r="H49" s="19">
        <v>1.0</v>
      </c>
      <c r="I49" s="19">
        <v>0.0</v>
      </c>
      <c r="J49" s="19">
        <v>1.0</v>
      </c>
      <c r="K49" s="19">
        <v>0.0</v>
      </c>
      <c r="L49" s="19">
        <v>0.0</v>
      </c>
      <c r="M49" s="19">
        <v>0.0</v>
      </c>
      <c r="N49" s="19">
        <v>2.0</v>
      </c>
      <c r="O49" s="19">
        <v>0.0</v>
      </c>
      <c r="P49" s="19">
        <v>0.0</v>
      </c>
      <c r="Q49" s="19">
        <v>0.0</v>
      </c>
      <c r="R49" s="19">
        <v>0.0</v>
      </c>
      <c r="S49" s="19">
        <v>3.0</v>
      </c>
      <c r="T49" s="19">
        <v>0.0</v>
      </c>
      <c r="U49" s="19">
        <v>1.0</v>
      </c>
      <c r="V49" s="19">
        <v>0.0</v>
      </c>
      <c r="W49" s="19">
        <v>0.0</v>
      </c>
      <c r="X49" s="19">
        <v>1.0</v>
      </c>
      <c r="Y49" s="19">
        <v>2.0</v>
      </c>
      <c r="Z49" s="19">
        <v>2.0</v>
      </c>
      <c r="AA49" s="13">
        <f t="shared" si="14"/>
        <v>19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0.0</v>
      </c>
      <c r="G50" s="19">
        <v>1.0</v>
      </c>
      <c r="H50" s="19">
        <v>0.0</v>
      </c>
      <c r="I50" s="19">
        <v>0.0</v>
      </c>
      <c r="J50" s="19">
        <v>1.0</v>
      </c>
      <c r="K50" s="19">
        <v>2.0</v>
      </c>
      <c r="L50" s="19">
        <v>0.0</v>
      </c>
      <c r="M50" s="19">
        <v>3.0</v>
      </c>
      <c r="N50" s="19">
        <v>1.0</v>
      </c>
      <c r="O50" s="19">
        <v>0.0</v>
      </c>
      <c r="P50" s="19">
        <v>0.0</v>
      </c>
      <c r="Q50" s="19">
        <v>0.0</v>
      </c>
      <c r="R50" s="19">
        <v>1.0</v>
      </c>
      <c r="S50" s="19">
        <v>0.0</v>
      </c>
      <c r="T50" s="19">
        <v>1.0</v>
      </c>
      <c r="U50" s="19">
        <v>0.0</v>
      </c>
      <c r="V50" s="19">
        <v>1.0</v>
      </c>
      <c r="W50" s="19">
        <v>2.0</v>
      </c>
      <c r="X50" s="19">
        <v>0.0</v>
      </c>
      <c r="Y50" s="19">
        <v>0.0</v>
      </c>
      <c r="Z50" s="19">
        <v>0.0</v>
      </c>
      <c r="AA50" s="13">
        <f t="shared" si="14"/>
        <v>14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1.0</v>
      </c>
      <c r="G51" s="19">
        <v>1.0</v>
      </c>
      <c r="H51" s="19">
        <v>2.0</v>
      </c>
      <c r="I51" s="19">
        <v>0.0</v>
      </c>
      <c r="J51" s="19">
        <v>3.0</v>
      </c>
      <c r="K51" s="19">
        <v>1.0</v>
      </c>
      <c r="L51" s="19">
        <v>0.0</v>
      </c>
      <c r="M51" s="19">
        <v>0.0</v>
      </c>
      <c r="N51" s="19">
        <v>2.0</v>
      </c>
      <c r="O51" s="19">
        <v>1.0</v>
      </c>
      <c r="P51" s="19">
        <v>0.0</v>
      </c>
      <c r="Q51" s="19">
        <v>1.0</v>
      </c>
      <c r="R51" s="19">
        <v>1.0</v>
      </c>
      <c r="S51" s="19">
        <v>0.0</v>
      </c>
      <c r="T51" s="19">
        <v>0.0</v>
      </c>
      <c r="U51" s="19">
        <v>1.0</v>
      </c>
      <c r="V51" s="19">
        <v>2.0</v>
      </c>
      <c r="W51" s="19">
        <v>1.0</v>
      </c>
      <c r="X51" s="19">
        <v>1.0</v>
      </c>
      <c r="Y51" s="19">
        <v>0.0</v>
      </c>
      <c r="Z51" s="19">
        <v>1.0</v>
      </c>
      <c r="AA51" s="13">
        <f t="shared" si="14"/>
        <v>19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1.0</v>
      </c>
      <c r="G52" s="19">
        <v>0.0</v>
      </c>
      <c r="H52" s="19">
        <v>0.0</v>
      </c>
      <c r="I52" s="19">
        <v>0.0</v>
      </c>
      <c r="J52" s="19">
        <v>1.0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2.0</v>
      </c>
      <c r="Q52" s="19">
        <v>0.0</v>
      </c>
      <c r="R52" s="19">
        <v>0.0</v>
      </c>
      <c r="S52" s="19">
        <v>0.0</v>
      </c>
      <c r="T52" s="19">
        <v>1.0</v>
      </c>
      <c r="U52" s="19">
        <v>0.0</v>
      </c>
      <c r="V52" s="19">
        <v>0.0</v>
      </c>
      <c r="W52" s="19">
        <v>0.0</v>
      </c>
      <c r="X52" s="19">
        <v>0.0</v>
      </c>
      <c r="Y52" s="19">
        <v>1.0</v>
      </c>
      <c r="Z52" s="19">
        <v>0.0</v>
      </c>
      <c r="AA52" s="13">
        <f t="shared" si="14"/>
        <v>6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3">
        <f t="shared" si="14"/>
        <v>0</v>
      </c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Z55" si="15">SUM(E45:E52)</f>
        <v>129</v>
      </c>
      <c r="F55" s="13">
        <f t="shared" si="15"/>
        <v>75</v>
      </c>
      <c r="G55" s="13">
        <f t="shared" si="15"/>
        <v>52</v>
      </c>
      <c r="H55" s="13">
        <f t="shared" si="15"/>
        <v>88</v>
      </c>
      <c r="I55" s="13">
        <f t="shared" si="15"/>
        <v>77</v>
      </c>
      <c r="J55" s="13">
        <f t="shared" si="15"/>
        <v>51</v>
      </c>
      <c r="K55" s="13">
        <f t="shared" si="15"/>
        <v>67</v>
      </c>
      <c r="L55" s="13">
        <f t="shared" si="15"/>
        <v>39</v>
      </c>
      <c r="M55" s="13">
        <f t="shared" si="15"/>
        <v>53</v>
      </c>
      <c r="N55" s="13">
        <f t="shared" si="15"/>
        <v>70</v>
      </c>
      <c r="O55" s="13">
        <f t="shared" si="15"/>
        <v>29</v>
      </c>
      <c r="P55" s="13">
        <f t="shared" si="15"/>
        <v>72</v>
      </c>
      <c r="Q55" s="13">
        <f t="shared" si="15"/>
        <v>81</v>
      </c>
      <c r="R55" s="13">
        <f t="shared" si="15"/>
        <v>54</v>
      </c>
      <c r="S55" s="13">
        <f t="shared" si="15"/>
        <v>69</v>
      </c>
      <c r="T55" s="13">
        <f t="shared" si="15"/>
        <v>34</v>
      </c>
      <c r="U55" s="13">
        <f t="shared" si="15"/>
        <v>42</v>
      </c>
      <c r="V55" s="13">
        <f t="shared" si="15"/>
        <v>42</v>
      </c>
      <c r="W55" s="13">
        <f t="shared" si="15"/>
        <v>32</v>
      </c>
      <c r="X55" s="13">
        <f t="shared" si="15"/>
        <v>30</v>
      </c>
      <c r="Y55" s="13">
        <f t="shared" si="15"/>
        <v>29</v>
      </c>
      <c r="Z55" s="13">
        <f t="shared" si="15"/>
        <v>51</v>
      </c>
      <c r="AA55" s="13">
        <f t="shared" si="14"/>
        <v>1266</v>
      </c>
    </row>
    <row r="56" ht="12.75" customHeight="1">
      <c r="A56" s="45"/>
      <c r="B56" s="44"/>
      <c r="C56" s="44"/>
      <c r="D56" s="44"/>
      <c r="E56" s="44"/>
      <c r="AA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6.0</v>
      </c>
      <c r="F57" s="19">
        <v>4.0</v>
      </c>
      <c r="G57" s="19">
        <v>9.0</v>
      </c>
      <c r="H57" s="19">
        <v>17.0</v>
      </c>
      <c r="I57" s="19">
        <v>6.0</v>
      </c>
      <c r="J57" s="19">
        <v>13.0</v>
      </c>
      <c r="K57" s="19">
        <v>17.0</v>
      </c>
      <c r="L57" s="19">
        <v>13.0</v>
      </c>
      <c r="M57" s="19">
        <v>6.0</v>
      </c>
      <c r="N57" s="19">
        <v>9.0</v>
      </c>
      <c r="O57" s="19">
        <v>16.0</v>
      </c>
      <c r="P57" s="19">
        <v>10.0</v>
      </c>
      <c r="Q57" s="19">
        <v>2.0</v>
      </c>
      <c r="R57" s="19">
        <v>4.0</v>
      </c>
      <c r="S57" s="19">
        <v>3.0</v>
      </c>
      <c r="T57" s="19">
        <v>16.0</v>
      </c>
      <c r="U57" s="19">
        <v>15.0</v>
      </c>
      <c r="V57" s="19">
        <v>15.0</v>
      </c>
      <c r="W57" s="19">
        <v>6.0</v>
      </c>
      <c r="X57" s="19">
        <v>6.0</v>
      </c>
      <c r="Y57" s="19">
        <v>9.0</v>
      </c>
      <c r="Z57" s="19">
        <v>15.0</v>
      </c>
      <c r="AA57" s="13">
        <f t="shared" ref="AA57:AA67" si="16">SUM(E57:Z57)</f>
        <v>217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5.0</v>
      </c>
      <c r="F58" s="19">
        <v>10.0</v>
      </c>
      <c r="G58" s="19">
        <v>3.0</v>
      </c>
      <c r="H58" s="19">
        <v>2.0</v>
      </c>
      <c r="I58" s="19">
        <v>7.0</v>
      </c>
      <c r="J58" s="19">
        <v>4.0</v>
      </c>
      <c r="K58" s="19">
        <v>2.0</v>
      </c>
      <c r="L58" s="19">
        <v>4.0</v>
      </c>
      <c r="M58" s="19">
        <v>2.0</v>
      </c>
      <c r="N58" s="19">
        <v>5.0</v>
      </c>
      <c r="O58" s="19">
        <v>5.0</v>
      </c>
      <c r="P58" s="19">
        <v>5.0</v>
      </c>
      <c r="Q58" s="19">
        <v>12.0</v>
      </c>
      <c r="R58" s="19">
        <v>2.0</v>
      </c>
      <c r="S58" s="19">
        <v>4.0</v>
      </c>
      <c r="T58" s="19">
        <v>11.0</v>
      </c>
      <c r="U58" s="19">
        <v>8.0</v>
      </c>
      <c r="V58" s="19">
        <v>6.0</v>
      </c>
      <c r="W58" s="19">
        <v>8.0</v>
      </c>
      <c r="X58" s="19">
        <v>12.0</v>
      </c>
      <c r="Y58" s="19">
        <v>3.0</v>
      </c>
      <c r="Z58" s="19">
        <v>8.0</v>
      </c>
      <c r="AA58" s="13">
        <f t="shared" si="16"/>
        <v>128</v>
      </c>
    </row>
    <row r="59" ht="12.75" customHeight="1">
      <c r="A59" s="18"/>
      <c r="B59" s="55">
        <v>2.0</v>
      </c>
      <c r="C59" s="50" t="s">
        <v>50</v>
      </c>
      <c r="D59" s="56"/>
      <c r="E59" s="19">
        <v>5.0</v>
      </c>
      <c r="F59" s="19">
        <v>6.0</v>
      </c>
      <c r="G59" s="19">
        <v>3.0</v>
      </c>
      <c r="H59" s="19">
        <v>6.0</v>
      </c>
      <c r="I59" s="19">
        <v>2.0</v>
      </c>
      <c r="J59" s="19">
        <v>4.0</v>
      </c>
      <c r="K59" s="19">
        <v>5.0</v>
      </c>
      <c r="L59" s="19">
        <v>6.0</v>
      </c>
      <c r="M59" s="19">
        <v>7.0</v>
      </c>
      <c r="N59" s="19">
        <v>3.0</v>
      </c>
      <c r="O59" s="19">
        <v>4.0</v>
      </c>
      <c r="P59" s="19">
        <v>8.0</v>
      </c>
      <c r="Q59" s="19">
        <v>2.0</v>
      </c>
      <c r="R59" s="19">
        <v>0.0</v>
      </c>
      <c r="S59" s="19">
        <v>7.0</v>
      </c>
      <c r="T59" s="19">
        <v>2.0</v>
      </c>
      <c r="U59" s="19">
        <v>4.0</v>
      </c>
      <c r="V59" s="19">
        <v>7.0</v>
      </c>
      <c r="W59" s="19">
        <v>5.0</v>
      </c>
      <c r="X59" s="19">
        <v>4.0</v>
      </c>
      <c r="Y59" s="19">
        <v>4.0</v>
      </c>
      <c r="Z59" s="19">
        <v>3.0</v>
      </c>
      <c r="AA59" s="13">
        <f t="shared" si="16"/>
        <v>97</v>
      </c>
    </row>
    <row r="60" ht="12.75" customHeight="1">
      <c r="A60" s="18"/>
      <c r="B60" s="55">
        <v>3.0</v>
      </c>
      <c r="C60" s="50" t="s">
        <v>51</v>
      </c>
      <c r="D60" s="56"/>
      <c r="E60" s="19">
        <v>5.0</v>
      </c>
      <c r="F60" s="19">
        <v>0.0</v>
      </c>
      <c r="G60" s="19">
        <v>4.0</v>
      </c>
      <c r="H60" s="19">
        <v>4.0</v>
      </c>
      <c r="I60" s="19">
        <v>0.0</v>
      </c>
      <c r="J60" s="19">
        <v>1.0</v>
      </c>
      <c r="K60" s="19">
        <v>1.0</v>
      </c>
      <c r="L60" s="19">
        <v>2.0</v>
      </c>
      <c r="M60" s="19">
        <v>2.0</v>
      </c>
      <c r="N60" s="19">
        <v>2.0</v>
      </c>
      <c r="O60" s="19">
        <v>2.0</v>
      </c>
      <c r="P60" s="19">
        <v>2.0</v>
      </c>
      <c r="Q60" s="19">
        <v>0.0</v>
      </c>
      <c r="R60" s="19">
        <v>0.0</v>
      </c>
      <c r="S60" s="19">
        <v>2.0</v>
      </c>
      <c r="T60" s="19">
        <v>2.0</v>
      </c>
      <c r="U60" s="19">
        <v>0.0</v>
      </c>
      <c r="V60" s="19">
        <v>0.0</v>
      </c>
      <c r="W60" s="19">
        <v>4.0</v>
      </c>
      <c r="X60" s="19">
        <v>1.0</v>
      </c>
      <c r="Y60" s="19">
        <v>1.0</v>
      </c>
      <c r="Z60" s="19">
        <v>3.0</v>
      </c>
      <c r="AA60" s="13">
        <f t="shared" si="16"/>
        <v>38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2.0</v>
      </c>
      <c r="G61" s="19">
        <v>2.0</v>
      </c>
      <c r="H61" s="19">
        <v>4.0</v>
      </c>
      <c r="I61" s="19">
        <v>1.0</v>
      </c>
      <c r="J61" s="19">
        <v>0.0</v>
      </c>
      <c r="K61" s="19">
        <v>3.0</v>
      </c>
      <c r="L61" s="19">
        <v>8.0</v>
      </c>
      <c r="M61" s="19">
        <v>0.0</v>
      </c>
      <c r="N61" s="19">
        <v>0.0</v>
      </c>
      <c r="O61" s="19">
        <v>0.0</v>
      </c>
      <c r="P61" s="19">
        <v>4.0</v>
      </c>
      <c r="Q61" s="19">
        <v>0.0</v>
      </c>
      <c r="R61" s="19">
        <v>4.0</v>
      </c>
      <c r="S61" s="19">
        <v>9.0</v>
      </c>
      <c r="T61" s="19">
        <v>6.0</v>
      </c>
      <c r="U61" s="19">
        <v>4.0</v>
      </c>
      <c r="V61" s="19">
        <v>4.0</v>
      </c>
      <c r="W61" s="19">
        <v>2.0</v>
      </c>
      <c r="X61" s="19">
        <v>3.0</v>
      </c>
      <c r="Y61" s="19">
        <v>8.0</v>
      </c>
      <c r="Z61" s="19">
        <v>6.0</v>
      </c>
      <c r="AA61" s="13">
        <f t="shared" si="16"/>
        <v>71</v>
      </c>
    </row>
    <row r="62" ht="12.75" customHeight="1">
      <c r="A62" s="18"/>
      <c r="B62" s="55">
        <v>5.0</v>
      </c>
      <c r="C62" s="50" t="s">
        <v>53</v>
      </c>
      <c r="D62" s="56"/>
      <c r="E62" s="19">
        <v>1.0</v>
      </c>
      <c r="F62" s="19">
        <v>0.0</v>
      </c>
      <c r="G62" s="19">
        <v>0.0</v>
      </c>
      <c r="H62" s="19">
        <v>1.0</v>
      </c>
      <c r="I62" s="19">
        <v>0.0</v>
      </c>
      <c r="J62" s="19">
        <v>1.0</v>
      </c>
      <c r="K62" s="19">
        <v>0.0</v>
      </c>
      <c r="L62" s="19">
        <v>0.0</v>
      </c>
      <c r="M62" s="19">
        <v>1.0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1.0</v>
      </c>
      <c r="W62" s="19">
        <v>0.0</v>
      </c>
      <c r="X62" s="19">
        <v>0.0</v>
      </c>
      <c r="Y62" s="19">
        <v>0.0</v>
      </c>
      <c r="Z62" s="19">
        <v>0.0</v>
      </c>
      <c r="AA62" s="13">
        <f t="shared" si="16"/>
        <v>5</v>
      </c>
    </row>
    <row r="63" ht="12.75" customHeight="1">
      <c r="A63" s="18"/>
      <c r="B63" s="55">
        <v>6.0</v>
      </c>
      <c r="C63" s="50" t="s">
        <v>54</v>
      </c>
      <c r="D63" s="57"/>
      <c r="E63" s="19">
        <v>1.0</v>
      </c>
      <c r="F63" s="19">
        <v>2.0</v>
      </c>
      <c r="G63" s="19">
        <v>2.0</v>
      </c>
      <c r="H63" s="19">
        <v>2.0</v>
      </c>
      <c r="I63" s="19">
        <v>1.0</v>
      </c>
      <c r="J63" s="19">
        <v>1.0</v>
      </c>
      <c r="K63" s="19">
        <v>0.0</v>
      </c>
      <c r="L63" s="19">
        <v>1.0</v>
      </c>
      <c r="M63" s="19">
        <v>0.0</v>
      </c>
      <c r="N63" s="19">
        <v>1.0</v>
      </c>
      <c r="O63" s="19">
        <v>2.0</v>
      </c>
      <c r="P63" s="19">
        <v>0.0</v>
      </c>
      <c r="Q63" s="19">
        <v>3.0</v>
      </c>
      <c r="R63" s="19">
        <v>1.0</v>
      </c>
      <c r="S63" s="19">
        <v>1.0</v>
      </c>
      <c r="T63" s="19">
        <v>2.0</v>
      </c>
      <c r="U63" s="19">
        <v>0.0</v>
      </c>
      <c r="V63" s="19">
        <v>3.0</v>
      </c>
      <c r="W63" s="19">
        <v>1.0</v>
      </c>
      <c r="X63" s="19">
        <v>3.0</v>
      </c>
      <c r="Y63" s="19">
        <v>2.0</v>
      </c>
      <c r="Z63" s="19">
        <v>1.0</v>
      </c>
      <c r="AA63" s="13">
        <f t="shared" si="16"/>
        <v>30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1.0</v>
      </c>
      <c r="I64" s="19">
        <v>0.0</v>
      </c>
      <c r="J64" s="19">
        <v>1.0</v>
      </c>
      <c r="K64" s="19">
        <v>0.0</v>
      </c>
      <c r="L64" s="19">
        <v>1.0</v>
      </c>
      <c r="M64" s="19">
        <v>0.0</v>
      </c>
      <c r="N64" s="19">
        <v>0.0</v>
      </c>
      <c r="O64" s="19">
        <v>0.0</v>
      </c>
      <c r="P64" s="19">
        <v>0.0</v>
      </c>
      <c r="Q64" s="19">
        <v>1.0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1.0</v>
      </c>
      <c r="X64" s="19">
        <v>1.0</v>
      </c>
      <c r="Y64" s="19">
        <v>0.0</v>
      </c>
      <c r="Z64" s="19">
        <v>0.0</v>
      </c>
      <c r="AA64" s="13">
        <f t="shared" si="16"/>
        <v>6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3">
        <f t="shared" si="16"/>
        <v>0</v>
      </c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Z67" si="17">SUM(E57:E64)</f>
        <v>24</v>
      </c>
      <c r="F67" s="13">
        <f t="shared" si="17"/>
        <v>24</v>
      </c>
      <c r="G67" s="13">
        <f t="shared" si="17"/>
        <v>23</v>
      </c>
      <c r="H67" s="13">
        <f t="shared" si="17"/>
        <v>37</v>
      </c>
      <c r="I67" s="13">
        <f t="shared" si="17"/>
        <v>17</v>
      </c>
      <c r="J67" s="13">
        <f t="shared" si="17"/>
        <v>25</v>
      </c>
      <c r="K67" s="13">
        <f t="shared" si="17"/>
        <v>28</v>
      </c>
      <c r="L67" s="13">
        <f t="shared" si="17"/>
        <v>35</v>
      </c>
      <c r="M67" s="13">
        <f t="shared" si="17"/>
        <v>18</v>
      </c>
      <c r="N67" s="13">
        <f t="shared" si="17"/>
        <v>20</v>
      </c>
      <c r="O67" s="13">
        <f t="shared" si="17"/>
        <v>29</v>
      </c>
      <c r="P67" s="13">
        <f t="shared" si="17"/>
        <v>29</v>
      </c>
      <c r="Q67" s="13">
        <f t="shared" si="17"/>
        <v>20</v>
      </c>
      <c r="R67" s="13">
        <f t="shared" si="17"/>
        <v>11</v>
      </c>
      <c r="S67" s="13">
        <f t="shared" si="17"/>
        <v>26</v>
      </c>
      <c r="T67" s="13">
        <f t="shared" si="17"/>
        <v>39</v>
      </c>
      <c r="U67" s="13">
        <f t="shared" si="17"/>
        <v>31</v>
      </c>
      <c r="V67" s="13">
        <f t="shared" si="17"/>
        <v>36</v>
      </c>
      <c r="W67" s="13">
        <f t="shared" si="17"/>
        <v>27</v>
      </c>
      <c r="X67" s="13">
        <f t="shared" si="17"/>
        <v>30</v>
      </c>
      <c r="Y67" s="13">
        <f t="shared" si="17"/>
        <v>27</v>
      </c>
      <c r="Z67" s="13">
        <f t="shared" si="17"/>
        <v>36</v>
      </c>
      <c r="AA67" s="13">
        <f t="shared" si="16"/>
        <v>592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2.0</v>
      </c>
      <c r="F69" s="19">
        <v>9.0</v>
      </c>
      <c r="G69" s="19">
        <v>13.0</v>
      </c>
      <c r="H69" s="19">
        <v>10.0</v>
      </c>
      <c r="I69" s="19">
        <v>18.0</v>
      </c>
      <c r="J69" s="19">
        <v>4.0</v>
      </c>
      <c r="K69" s="19">
        <v>9.0</v>
      </c>
      <c r="L69" s="19">
        <v>12.0</v>
      </c>
      <c r="M69" s="19">
        <v>11.0</v>
      </c>
      <c r="N69" s="19">
        <v>8.0</v>
      </c>
      <c r="O69" s="19">
        <v>12.0</v>
      </c>
      <c r="P69" s="19">
        <v>14.0</v>
      </c>
      <c r="Q69" s="19">
        <v>6.0</v>
      </c>
      <c r="R69" s="19">
        <v>2.0</v>
      </c>
      <c r="S69" s="19">
        <v>1.0</v>
      </c>
      <c r="T69" s="19">
        <v>6.0</v>
      </c>
      <c r="U69" s="19">
        <v>4.0</v>
      </c>
      <c r="V69" s="19">
        <v>10.0</v>
      </c>
      <c r="W69" s="19">
        <v>11.0</v>
      </c>
      <c r="X69" s="19">
        <v>17.0</v>
      </c>
      <c r="Y69" s="19">
        <v>18.0</v>
      </c>
      <c r="Z69" s="19">
        <v>11.0</v>
      </c>
      <c r="AA69" s="13">
        <f t="shared" ref="AA69:AA79" si="18">SUM(E69:Z69)</f>
        <v>208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1.0</v>
      </c>
      <c r="F70" s="19">
        <v>9.0</v>
      </c>
      <c r="G70" s="19">
        <v>7.0</v>
      </c>
      <c r="H70" s="19">
        <v>4.0</v>
      </c>
      <c r="I70" s="19">
        <v>1.0</v>
      </c>
      <c r="J70" s="19">
        <v>8.0</v>
      </c>
      <c r="K70" s="19">
        <v>5.0</v>
      </c>
      <c r="L70" s="19">
        <v>13.0</v>
      </c>
      <c r="M70" s="19">
        <v>11.0</v>
      </c>
      <c r="N70" s="19">
        <v>7.0</v>
      </c>
      <c r="O70" s="19">
        <v>8.0</v>
      </c>
      <c r="P70" s="19">
        <v>14.0</v>
      </c>
      <c r="Q70" s="19">
        <v>7.0</v>
      </c>
      <c r="R70" s="19">
        <v>1.0</v>
      </c>
      <c r="S70" s="19">
        <v>3.0</v>
      </c>
      <c r="T70" s="19">
        <v>4.0</v>
      </c>
      <c r="U70" s="19">
        <v>7.0</v>
      </c>
      <c r="V70" s="19">
        <v>7.0</v>
      </c>
      <c r="W70" s="19">
        <v>8.0</v>
      </c>
      <c r="X70" s="19">
        <v>6.0</v>
      </c>
      <c r="Y70" s="19">
        <v>15.0</v>
      </c>
      <c r="Z70" s="19">
        <v>9.0</v>
      </c>
      <c r="AA70" s="13">
        <f t="shared" si="18"/>
        <v>155</v>
      </c>
    </row>
    <row r="71" ht="12.75" customHeight="1">
      <c r="A71" s="18"/>
      <c r="B71" s="55">
        <v>2.0</v>
      </c>
      <c r="C71" s="50" t="s">
        <v>58</v>
      </c>
      <c r="D71" s="57"/>
      <c r="E71" s="19">
        <v>4.0</v>
      </c>
      <c r="F71" s="19">
        <v>3.0</v>
      </c>
      <c r="G71" s="19">
        <v>6.0</v>
      </c>
      <c r="H71" s="19">
        <v>4.0</v>
      </c>
      <c r="I71" s="19">
        <v>9.0</v>
      </c>
      <c r="J71" s="19">
        <v>3.0</v>
      </c>
      <c r="K71" s="19">
        <v>3.0</v>
      </c>
      <c r="L71" s="19">
        <v>6.0</v>
      </c>
      <c r="M71" s="19">
        <v>22.0</v>
      </c>
      <c r="N71" s="19">
        <v>17.0</v>
      </c>
      <c r="O71" s="19">
        <v>21.0</v>
      </c>
      <c r="P71" s="19">
        <v>11.0</v>
      </c>
      <c r="Q71" s="19">
        <v>42.0</v>
      </c>
      <c r="R71" s="19">
        <v>1.0</v>
      </c>
      <c r="S71" s="19">
        <v>4.0</v>
      </c>
      <c r="T71" s="19">
        <v>3.0</v>
      </c>
      <c r="U71" s="19">
        <v>10.0</v>
      </c>
      <c r="V71" s="19">
        <v>5.0</v>
      </c>
      <c r="W71" s="19">
        <v>5.0</v>
      </c>
      <c r="X71" s="19">
        <v>26.0</v>
      </c>
      <c r="Y71" s="19">
        <v>8.0</v>
      </c>
      <c r="Z71" s="19">
        <v>6.0</v>
      </c>
      <c r="AA71" s="13">
        <f t="shared" si="18"/>
        <v>219</v>
      </c>
    </row>
    <row r="72" ht="12.75" customHeight="1">
      <c r="A72" s="18"/>
      <c r="B72" s="55">
        <v>3.0</v>
      </c>
      <c r="C72" s="50" t="s">
        <v>59</v>
      </c>
      <c r="D72" s="57"/>
      <c r="E72" s="19">
        <v>5.0</v>
      </c>
      <c r="F72" s="19">
        <v>3.0</v>
      </c>
      <c r="G72" s="19">
        <v>3.0</v>
      </c>
      <c r="H72" s="19">
        <v>1.0</v>
      </c>
      <c r="I72" s="19">
        <v>0.0</v>
      </c>
      <c r="J72" s="19">
        <v>4.0</v>
      </c>
      <c r="K72" s="19">
        <v>2.0</v>
      </c>
      <c r="L72" s="19">
        <v>2.0</v>
      </c>
      <c r="M72" s="19">
        <v>5.0</v>
      </c>
      <c r="N72" s="19">
        <v>2.0</v>
      </c>
      <c r="O72" s="19">
        <v>0.0</v>
      </c>
      <c r="P72" s="19">
        <v>10.0</v>
      </c>
      <c r="Q72" s="19">
        <v>6.0</v>
      </c>
      <c r="R72" s="19">
        <v>0.0</v>
      </c>
      <c r="S72" s="19">
        <v>4.0</v>
      </c>
      <c r="T72" s="19">
        <v>5.0</v>
      </c>
      <c r="U72" s="19">
        <v>1.0</v>
      </c>
      <c r="V72" s="19">
        <v>6.0</v>
      </c>
      <c r="W72" s="19">
        <v>6.0</v>
      </c>
      <c r="X72" s="19">
        <v>3.0</v>
      </c>
      <c r="Y72" s="19">
        <v>5.0</v>
      </c>
      <c r="Z72" s="19">
        <v>5.0</v>
      </c>
      <c r="AA72" s="13">
        <f t="shared" si="18"/>
        <v>78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1.0</v>
      </c>
      <c r="G73" s="19">
        <v>2.0</v>
      </c>
      <c r="H73" s="19">
        <v>0.0</v>
      </c>
      <c r="I73" s="19">
        <v>1.0</v>
      </c>
      <c r="J73" s="19">
        <v>0.0</v>
      </c>
      <c r="K73" s="19">
        <v>1.0</v>
      </c>
      <c r="L73" s="19">
        <v>0.0</v>
      </c>
      <c r="M73" s="19">
        <v>0.0</v>
      </c>
      <c r="N73" s="19">
        <v>1.0</v>
      </c>
      <c r="O73" s="19">
        <v>0.0</v>
      </c>
      <c r="P73" s="19">
        <v>2.0</v>
      </c>
      <c r="Q73" s="19">
        <v>1.0</v>
      </c>
      <c r="R73" s="19">
        <v>1.0</v>
      </c>
      <c r="S73" s="19">
        <v>0.0</v>
      </c>
      <c r="T73" s="19">
        <v>0.0</v>
      </c>
      <c r="U73" s="19">
        <v>1.0</v>
      </c>
      <c r="V73" s="19">
        <v>0.0</v>
      </c>
      <c r="W73" s="19">
        <v>1.0</v>
      </c>
      <c r="X73" s="19">
        <v>0.0</v>
      </c>
      <c r="Y73" s="19">
        <v>1.0</v>
      </c>
      <c r="Z73" s="19">
        <v>0.0</v>
      </c>
      <c r="AA73" s="13">
        <f t="shared" si="18"/>
        <v>13</v>
      </c>
    </row>
    <row r="74" ht="12.75" customHeight="1">
      <c r="A74" s="18"/>
      <c r="B74" s="55">
        <v>5.0</v>
      </c>
      <c r="C74" s="50" t="s">
        <v>61</v>
      </c>
      <c r="D74" s="57"/>
      <c r="E74" s="19">
        <v>0.0</v>
      </c>
      <c r="F74" s="19">
        <v>1.0</v>
      </c>
      <c r="G74" s="19">
        <v>3.0</v>
      </c>
      <c r="H74" s="19">
        <v>0.0</v>
      </c>
      <c r="I74" s="19">
        <v>2.0</v>
      </c>
      <c r="J74" s="19">
        <v>2.0</v>
      </c>
      <c r="K74" s="19">
        <v>1.0</v>
      </c>
      <c r="L74" s="19">
        <v>3.0</v>
      </c>
      <c r="M74" s="19">
        <v>3.0</v>
      </c>
      <c r="N74" s="19">
        <v>2.0</v>
      </c>
      <c r="O74" s="19">
        <v>2.0</v>
      </c>
      <c r="P74" s="19">
        <v>6.0</v>
      </c>
      <c r="Q74" s="19">
        <v>0.0</v>
      </c>
      <c r="R74" s="19">
        <v>0.0</v>
      </c>
      <c r="S74" s="19">
        <v>0.0</v>
      </c>
      <c r="T74" s="19">
        <v>4.0</v>
      </c>
      <c r="U74" s="19">
        <v>6.0</v>
      </c>
      <c r="V74" s="19">
        <v>0.0</v>
      </c>
      <c r="W74" s="19">
        <v>1.0</v>
      </c>
      <c r="X74" s="19">
        <v>4.0</v>
      </c>
      <c r="Y74" s="19">
        <v>5.0</v>
      </c>
      <c r="Z74" s="19">
        <v>2.0</v>
      </c>
      <c r="AA74" s="13">
        <f t="shared" si="18"/>
        <v>47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2.0</v>
      </c>
      <c r="G75" s="19">
        <v>2.0</v>
      </c>
      <c r="H75" s="19">
        <v>1.0</v>
      </c>
      <c r="I75" s="19">
        <v>0.0</v>
      </c>
      <c r="J75" s="19">
        <v>0.0</v>
      </c>
      <c r="K75" s="19">
        <v>2.0</v>
      </c>
      <c r="L75" s="19">
        <v>0.0</v>
      </c>
      <c r="M75" s="19">
        <v>2.0</v>
      </c>
      <c r="N75" s="19">
        <v>0.0</v>
      </c>
      <c r="O75" s="19">
        <v>2.0</v>
      </c>
      <c r="P75" s="19">
        <v>6.0</v>
      </c>
      <c r="Q75" s="19">
        <v>7.0</v>
      </c>
      <c r="R75" s="19">
        <v>0.0</v>
      </c>
      <c r="S75" s="19">
        <v>0.0</v>
      </c>
      <c r="T75" s="19">
        <v>1.0</v>
      </c>
      <c r="U75" s="19">
        <v>3.0</v>
      </c>
      <c r="V75" s="19">
        <v>1.0</v>
      </c>
      <c r="W75" s="19">
        <v>3.0</v>
      </c>
      <c r="X75" s="19">
        <v>11.0</v>
      </c>
      <c r="Y75" s="19">
        <v>3.0</v>
      </c>
      <c r="Z75" s="19">
        <v>5.0</v>
      </c>
      <c r="AA75" s="13">
        <f t="shared" si="18"/>
        <v>51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2.0</v>
      </c>
      <c r="G76" s="19">
        <v>1.0</v>
      </c>
      <c r="H76" s="19">
        <v>0.0</v>
      </c>
      <c r="I76" s="19">
        <v>2.0</v>
      </c>
      <c r="J76" s="19">
        <v>0.0</v>
      </c>
      <c r="K76" s="19">
        <v>2.0</v>
      </c>
      <c r="L76" s="19">
        <v>0.0</v>
      </c>
      <c r="M76" s="19">
        <v>2.0</v>
      </c>
      <c r="N76" s="19">
        <v>0.0</v>
      </c>
      <c r="O76" s="19">
        <v>2.0</v>
      </c>
      <c r="P76" s="19">
        <v>0.0</v>
      </c>
      <c r="Q76" s="19">
        <v>3.0</v>
      </c>
      <c r="R76" s="19">
        <v>1.0</v>
      </c>
      <c r="S76" s="19">
        <v>0.0</v>
      </c>
      <c r="T76" s="19">
        <v>1.0</v>
      </c>
      <c r="U76" s="19">
        <v>6.0</v>
      </c>
      <c r="V76" s="19">
        <v>0.0</v>
      </c>
      <c r="W76" s="19">
        <v>1.0</v>
      </c>
      <c r="X76" s="19">
        <v>2.0</v>
      </c>
      <c r="Y76" s="19">
        <v>3.0</v>
      </c>
      <c r="Z76" s="19">
        <v>0.0</v>
      </c>
      <c r="AA76" s="13">
        <f t="shared" si="18"/>
        <v>28</v>
      </c>
    </row>
    <row r="77" ht="12.75" customHeight="1">
      <c r="A77" s="18"/>
      <c r="B77" s="71"/>
      <c r="C77" s="72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3">
        <f t="shared" si="18"/>
        <v>0</v>
      </c>
    </row>
    <row r="78" ht="12.75" customHeight="1">
      <c r="A78" s="18"/>
      <c r="B78" s="71"/>
      <c r="C78" s="72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Z79" si="19">SUM(E69:E76)</f>
        <v>12</v>
      </c>
      <c r="F79" s="13">
        <f t="shared" si="19"/>
        <v>30</v>
      </c>
      <c r="G79" s="13">
        <f t="shared" si="19"/>
        <v>37</v>
      </c>
      <c r="H79" s="13">
        <f t="shared" si="19"/>
        <v>20</v>
      </c>
      <c r="I79" s="13">
        <f t="shared" si="19"/>
        <v>33</v>
      </c>
      <c r="J79" s="13">
        <f t="shared" si="19"/>
        <v>21</v>
      </c>
      <c r="K79" s="13">
        <f t="shared" si="19"/>
        <v>25</v>
      </c>
      <c r="L79" s="13">
        <f t="shared" si="19"/>
        <v>36</v>
      </c>
      <c r="M79" s="13">
        <f t="shared" si="19"/>
        <v>56</v>
      </c>
      <c r="N79" s="13">
        <f t="shared" si="19"/>
        <v>37</v>
      </c>
      <c r="O79" s="13">
        <f t="shared" si="19"/>
        <v>47</v>
      </c>
      <c r="P79" s="13">
        <f t="shared" si="19"/>
        <v>63</v>
      </c>
      <c r="Q79" s="13">
        <f t="shared" si="19"/>
        <v>72</v>
      </c>
      <c r="R79" s="13">
        <f t="shared" si="19"/>
        <v>6</v>
      </c>
      <c r="S79" s="13">
        <f t="shared" si="19"/>
        <v>12</v>
      </c>
      <c r="T79" s="13">
        <f t="shared" si="19"/>
        <v>24</v>
      </c>
      <c r="U79" s="13">
        <f t="shared" si="19"/>
        <v>38</v>
      </c>
      <c r="V79" s="13">
        <f t="shared" si="19"/>
        <v>29</v>
      </c>
      <c r="W79" s="13">
        <f t="shared" si="19"/>
        <v>36</v>
      </c>
      <c r="X79" s="13">
        <f t="shared" si="19"/>
        <v>69</v>
      </c>
      <c r="Y79" s="13">
        <f t="shared" si="19"/>
        <v>58</v>
      </c>
      <c r="Z79" s="13">
        <f t="shared" si="19"/>
        <v>38</v>
      </c>
      <c r="AA79" s="13">
        <f t="shared" si="18"/>
        <v>799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1.0</v>
      </c>
      <c r="F81" s="19">
        <v>3.0</v>
      </c>
      <c r="G81" s="19">
        <v>9.0</v>
      </c>
      <c r="H81" s="19">
        <v>5.0</v>
      </c>
      <c r="I81" s="19">
        <v>2.0</v>
      </c>
      <c r="J81" s="19">
        <v>2.0</v>
      </c>
      <c r="K81" s="19">
        <v>6.0</v>
      </c>
      <c r="L81" s="19">
        <v>5.0</v>
      </c>
      <c r="M81" s="19">
        <v>1.0</v>
      </c>
      <c r="N81" s="19">
        <v>6.0</v>
      </c>
      <c r="O81" s="19">
        <v>6.0</v>
      </c>
      <c r="P81" s="19">
        <v>2.0</v>
      </c>
      <c r="Q81" s="19">
        <v>1.0</v>
      </c>
      <c r="R81" s="19">
        <v>4.0</v>
      </c>
      <c r="S81" s="19">
        <v>1.0</v>
      </c>
      <c r="T81" s="19">
        <v>3.0</v>
      </c>
      <c r="U81" s="19">
        <v>4.0</v>
      </c>
      <c r="V81" s="19">
        <v>9.0</v>
      </c>
      <c r="W81" s="19">
        <v>4.0</v>
      </c>
      <c r="X81" s="19">
        <v>10.0</v>
      </c>
      <c r="Y81" s="19">
        <v>5.0</v>
      </c>
      <c r="Z81" s="19">
        <v>3.0</v>
      </c>
      <c r="AA81" s="13">
        <f t="shared" ref="AA81:AA91" si="20">SUM(E81:Z81)</f>
        <v>92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1.0</v>
      </c>
      <c r="F82" s="19">
        <v>8.0</v>
      </c>
      <c r="G82" s="19">
        <v>7.0</v>
      </c>
      <c r="H82" s="19">
        <v>0.0</v>
      </c>
      <c r="I82" s="19">
        <v>4.0</v>
      </c>
      <c r="J82" s="19">
        <v>6.0</v>
      </c>
      <c r="K82" s="19">
        <v>1.0</v>
      </c>
      <c r="L82" s="19">
        <v>1.0</v>
      </c>
      <c r="M82" s="19">
        <v>9.0</v>
      </c>
      <c r="N82" s="19">
        <v>40.0</v>
      </c>
      <c r="O82" s="19">
        <v>15.0</v>
      </c>
      <c r="P82" s="19">
        <v>3.0</v>
      </c>
      <c r="Q82" s="19">
        <v>1.0</v>
      </c>
      <c r="R82" s="19">
        <v>19.0</v>
      </c>
      <c r="S82" s="19">
        <v>25.0</v>
      </c>
      <c r="T82" s="19">
        <v>6.0</v>
      </c>
      <c r="U82" s="19">
        <v>10.0</v>
      </c>
      <c r="V82" s="19">
        <v>13.0</v>
      </c>
      <c r="W82" s="19">
        <v>29.0</v>
      </c>
      <c r="X82" s="19">
        <v>18.0</v>
      </c>
      <c r="Y82" s="19">
        <v>12.0</v>
      </c>
      <c r="Z82" s="19">
        <v>9.0</v>
      </c>
      <c r="AA82" s="13">
        <f t="shared" si="20"/>
        <v>237</v>
      </c>
    </row>
    <row r="83" ht="12.75" customHeight="1">
      <c r="A83" s="18"/>
      <c r="B83" s="55">
        <v>2.0</v>
      </c>
      <c r="C83" s="50" t="s">
        <v>66</v>
      </c>
      <c r="D83" s="57"/>
      <c r="E83" s="19">
        <v>17.0</v>
      </c>
      <c r="F83" s="19">
        <v>29.0</v>
      </c>
      <c r="G83" s="19">
        <v>10.0</v>
      </c>
      <c r="H83" s="19">
        <v>4.0</v>
      </c>
      <c r="I83" s="19">
        <v>1.0</v>
      </c>
      <c r="J83" s="19">
        <v>2.0</v>
      </c>
      <c r="K83" s="19">
        <v>3.0</v>
      </c>
      <c r="L83" s="19">
        <v>8.0</v>
      </c>
      <c r="M83" s="19">
        <v>4.0</v>
      </c>
      <c r="N83" s="19">
        <v>3.0</v>
      </c>
      <c r="O83" s="19">
        <v>3.0</v>
      </c>
      <c r="P83" s="19">
        <v>2.0</v>
      </c>
      <c r="Q83" s="19">
        <v>0.0</v>
      </c>
      <c r="R83" s="19">
        <v>4.0</v>
      </c>
      <c r="S83" s="19">
        <v>0.0</v>
      </c>
      <c r="T83" s="19">
        <v>2.0</v>
      </c>
      <c r="U83" s="19">
        <v>3.0</v>
      </c>
      <c r="V83" s="19">
        <v>2.0</v>
      </c>
      <c r="W83" s="19">
        <v>5.0</v>
      </c>
      <c r="X83" s="19">
        <v>2.0</v>
      </c>
      <c r="Y83" s="19">
        <v>7.0</v>
      </c>
      <c r="Z83" s="19">
        <v>2.0</v>
      </c>
      <c r="AA83" s="13">
        <f t="shared" si="20"/>
        <v>113</v>
      </c>
    </row>
    <row r="84" ht="12.75" customHeight="1">
      <c r="A84" s="18"/>
      <c r="B84" s="55">
        <v>3.0</v>
      </c>
      <c r="C84" s="50" t="s">
        <v>67</v>
      </c>
      <c r="D84" s="57"/>
      <c r="E84" s="19">
        <v>1.0</v>
      </c>
      <c r="F84" s="19">
        <v>1.0</v>
      </c>
      <c r="G84" s="19">
        <v>1.0</v>
      </c>
      <c r="H84" s="19">
        <v>0.0</v>
      </c>
      <c r="I84" s="19">
        <v>0.0</v>
      </c>
      <c r="J84" s="19">
        <v>0.0</v>
      </c>
      <c r="K84" s="19">
        <v>0.0</v>
      </c>
      <c r="L84" s="19">
        <v>1.0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1.0</v>
      </c>
      <c r="S84" s="19">
        <v>0.0</v>
      </c>
      <c r="T84" s="19">
        <v>1.0</v>
      </c>
      <c r="U84" s="19">
        <v>0.0</v>
      </c>
      <c r="V84" s="19">
        <v>0.0</v>
      </c>
      <c r="W84" s="19">
        <v>3.0</v>
      </c>
      <c r="X84" s="19">
        <v>0.0</v>
      </c>
      <c r="Y84" s="19">
        <v>3.0</v>
      </c>
      <c r="Z84" s="19">
        <v>0.0</v>
      </c>
      <c r="AA84" s="13">
        <f t="shared" si="20"/>
        <v>12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1.0</v>
      </c>
      <c r="K85" s="19">
        <v>3.0</v>
      </c>
      <c r="L85" s="19">
        <v>1.0</v>
      </c>
      <c r="M85" s="19">
        <v>0.0</v>
      </c>
      <c r="N85" s="19">
        <v>0.0</v>
      </c>
      <c r="O85" s="19">
        <v>0.0</v>
      </c>
      <c r="P85" s="19">
        <v>2.0</v>
      </c>
      <c r="Q85" s="19">
        <v>0.0</v>
      </c>
      <c r="R85" s="19">
        <v>0.0</v>
      </c>
      <c r="S85" s="19">
        <v>1.0</v>
      </c>
      <c r="T85" s="19">
        <v>0.0</v>
      </c>
      <c r="U85" s="19">
        <v>0.0</v>
      </c>
      <c r="V85" s="19">
        <v>1.0</v>
      </c>
      <c r="W85" s="19">
        <v>0.0</v>
      </c>
      <c r="X85" s="19">
        <v>2.0</v>
      </c>
      <c r="Y85" s="19">
        <v>2.0</v>
      </c>
      <c r="Z85" s="19">
        <v>2.0</v>
      </c>
      <c r="AA85" s="13">
        <f t="shared" si="20"/>
        <v>15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1.0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4.0</v>
      </c>
      <c r="M86" s="19">
        <v>0.0</v>
      </c>
      <c r="N86" s="19">
        <v>0.0</v>
      </c>
      <c r="O86" s="19">
        <v>0.0</v>
      </c>
      <c r="P86" s="19">
        <v>0.0</v>
      </c>
      <c r="Q86" s="19">
        <v>2.0</v>
      </c>
      <c r="R86" s="19">
        <v>3.0</v>
      </c>
      <c r="S86" s="19">
        <v>0.0</v>
      </c>
      <c r="T86" s="19">
        <v>5.0</v>
      </c>
      <c r="U86" s="19">
        <v>17.0</v>
      </c>
      <c r="V86" s="19">
        <v>3.0</v>
      </c>
      <c r="W86" s="19">
        <v>1.0</v>
      </c>
      <c r="X86" s="19">
        <v>5.0</v>
      </c>
      <c r="Y86" s="19">
        <v>6.0</v>
      </c>
      <c r="Z86" s="19">
        <v>0.0</v>
      </c>
      <c r="AA86" s="13">
        <f t="shared" si="20"/>
        <v>47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1.0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1.0</v>
      </c>
      <c r="N87" s="19">
        <v>0.0</v>
      </c>
      <c r="O87" s="19">
        <v>1.0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2.0</v>
      </c>
      <c r="Y87" s="19">
        <v>0.0</v>
      </c>
      <c r="Z87" s="19">
        <v>0.0</v>
      </c>
      <c r="AA87" s="13">
        <f t="shared" si="20"/>
        <v>5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1.0</v>
      </c>
      <c r="O88" s="19">
        <v>0.0</v>
      </c>
      <c r="P88" s="19">
        <v>0.0</v>
      </c>
      <c r="Q88" s="19">
        <v>0.0</v>
      </c>
      <c r="R88" s="19">
        <v>0.0</v>
      </c>
      <c r="S88" s="19">
        <v>1.0</v>
      </c>
      <c r="T88" s="19">
        <v>1.0</v>
      </c>
      <c r="U88" s="19">
        <v>1.0</v>
      </c>
      <c r="V88" s="19">
        <v>0.0</v>
      </c>
      <c r="W88" s="19">
        <v>0.0</v>
      </c>
      <c r="X88" s="19">
        <v>0.0</v>
      </c>
      <c r="Y88" s="19">
        <v>0.0</v>
      </c>
      <c r="Z88" s="19">
        <v>1.0</v>
      </c>
      <c r="AA88" s="13">
        <f t="shared" si="20"/>
        <v>5</v>
      </c>
    </row>
    <row r="89" ht="12.75" customHeight="1">
      <c r="A89" s="18"/>
      <c r="B89" s="71"/>
      <c r="C89" s="72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3">
        <f t="shared" si="20"/>
        <v>0</v>
      </c>
    </row>
    <row r="90" ht="12.75" customHeight="1">
      <c r="A90" s="18"/>
      <c r="B90" s="71"/>
      <c r="C90" s="72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Z91" si="21">SUM(E81:E88)</f>
        <v>20</v>
      </c>
      <c r="F91" s="13">
        <f t="shared" si="21"/>
        <v>43</v>
      </c>
      <c r="G91" s="13">
        <f t="shared" si="21"/>
        <v>27</v>
      </c>
      <c r="H91" s="13">
        <f t="shared" si="21"/>
        <v>9</v>
      </c>
      <c r="I91" s="13">
        <f t="shared" si="21"/>
        <v>7</v>
      </c>
      <c r="J91" s="13">
        <f t="shared" si="21"/>
        <v>11</v>
      </c>
      <c r="K91" s="13">
        <f t="shared" si="21"/>
        <v>13</v>
      </c>
      <c r="L91" s="13">
        <f t="shared" si="21"/>
        <v>20</v>
      </c>
      <c r="M91" s="13">
        <f t="shared" si="21"/>
        <v>15</v>
      </c>
      <c r="N91" s="13">
        <f t="shared" si="21"/>
        <v>50</v>
      </c>
      <c r="O91" s="13">
        <f t="shared" si="21"/>
        <v>25</v>
      </c>
      <c r="P91" s="13">
        <f t="shared" si="21"/>
        <v>9</v>
      </c>
      <c r="Q91" s="13">
        <f t="shared" si="21"/>
        <v>4</v>
      </c>
      <c r="R91" s="13">
        <f t="shared" si="21"/>
        <v>31</v>
      </c>
      <c r="S91" s="13">
        <f t="shared" si="21"/>
        <v>28</v>
      </c>
      <c r="T91" s="13">
        <f t="shared" si="21"/>
        <v>18</v>
      </c>
      <c r="U91" s="13">
        <f t="shared" si="21"/>
        <v>35</v>
      </c>
      <c r="V91" s="13">
        <f t="shared" si="21"/>
        <v>28</v>
      </c>
      <c r="W91" s="13">
        <f t="shared" si="21"/>
        <v>42</v>
      </c>
      <c r="X91" s="13">
        <f t="shared" si="21"/>
        <v>39</v>
      </c>
      <c r="Y91" s="13">
        <f t="shared" si="21"/>
        <v>35</v>
      </c>
      <c r="Z91" s="13">
        <f t="shared" si="21"/>
        <v>17</v>
      </c>
      <c r="AA91" s="13">
        <f t="shared" si="20"/>
        <v>526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3.0</v>
      </c>
      <c r="F93" s="19">
        <v>1.0</v>
      </c>
      <c r="G93" s="19">
        <v>1.0</v>
      </c>
      <c r="H93" s="19">
        <v>2.0</v>
      </c>
      <c r="I93" s="19">
        <v>2.0</v>
      </c>
      <c r="J93" s="19">
        <v>1.0</v>
      </c>
      <c r="K93" s="19">
        <v>5.0</v>
      </c>
      <c r="L93" s="19">
        <v>7.0</v>
      </c>
      <c r="M93" s="19">
        <v>3.0</v>
      </c>
      <c r="N93" s="19">
        <v>2.0</v>
      </c>
      <c r="O93" s="19">
        <v>2.0</v>
      </c>
      <c r="P93" s="19">
        <v>2.0</v>
      </c>
      <c r="Q93" s="19">
        <v>0.0</v>
      </c>
      <c r="R93" s="19">
        <v>4.0</v>
      </c>
      <c r="S93" s="19">
        <v>2.0</v>
      </c>
      <c r="T93" s="19">
        <v>7.0</v>
      </c>
      <c r="U93" s="19">
        <v>0.0</v>
      </c>
      <c r="V93" s="19">
        <v>1.0</v>
      </c>
      <c r="W93" s="19">
        <v>3.0</v>
      </c>
      <c r="X93" s="19">
        <v>4.0</v>
      </c>
      <c r="Y93" s="19">
        <v>5.0</v>
      </c>
      <c r="Z93" s="19">
        <v>2.0</v>
      </c>
      <c r="AA93" s="13">
        <f t="shared" ref="AA93:AA103" si="22">SUM(E93:Z93)</f>
        <v>59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0.0</v>
      </c>
      <c r="G94" s="19">
        <v>2.0</v>
      </c>
      <c r="H94" s="19">
        <v>1.0</v>
      </c>
      <c r="I94" s="19">
        <v>0.0</v>
      </c>
      <c r="J94" s="19">
        <v>1.0</v>
      </c>
      <c r="K94" s="19">
        <v>0.0</v>
      </c>
      <c r="L94" s="19">
        <v>3.0</v>
      </c>
      <c r="M94" s="19">
        <v>2.0</v>
      </c>
      <c r="N94" s="19">
        <v>1.0</v>
      </c>
      <c r="O94" s="19">
        <v>3.0</v>
      </c>
      <c r="P94" s="19">
        <v>3.0</v>
      </c>
      <c r="Q94" s="19">
        <v>0.0</v>
      </c>
      <c r="R94" s="19">
        <v>6.0</v>
      </c>
      <c r="S94" s="19">
        <v>12.0</v>
      </c>
      <c r="T94" s="19">
        <v>0.0</v>
      </c>
      <c r="U94" s="19">
        <v>2.0</v>
      </c>
      <c r="V94" s="19">
        <v>1.0</v>
      </c>
      <c r="W94" s="19">
        <v>6.0</v>
      </c>
      <c r="X94" s="19">
        <v>0.0</v>
      </c>
      <c r="Y94" s="19">
        <v>2.0</v>
      </c>
      <c r="Z94" s="19">
        <v>0.0</v>
      </c>
      <c r="AA94" s="13">
        <f t="shared" si="22"/>
        <v>45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7.0</v>
      </c>
      <c r="G95" s="19">
        <v>6.0</v>
      </c>
      <c r="H95" s="19">
        <v>8.0</v>
      </c>
      <c r="I95" s="19">
        <v>16.0</v>
      </c>
      <c r="J95" s="19">
        <v>4.0</v>
      </c>
      <c r="K95" s="19">
        <v>6.0</v>
      </c>
      <c r="L95" s="19">
        <v>3.0</v>
      </c>
      <c r="M95" s="19">
        <v>13.0</v>
      </c>
      <c r="N95" s="19">
        <v>1.0</v>
      </c>
      <c r="O95" s="19">
        <v>48.0</v>
      </c>
      <c r="P95" s="19">
        <v>4.0</v>
      </c>
      <c r="Q95" s="19">
        <v>3.0</v>
      </c>
      <c r="R95" s="19">
        <v>0.0</v>
      </c>
      <c r="S95" s="19">
        <v>6.0</v>
      </c>
      <c r="T95" s="19">
        <v>6.0</v>
      </c>
      <c r="U95" s="19">
        <v>0.0</v>
      </c>
      <c r="V95" s="19">
        <v>1.0</v>
      </c>
      <c r="W95" s="19">
        <v>4.0</v>
      </c>
      <c r="X95" s="19">
        <v>8.0</v>
      </c>
      <c r="Y95" s="19">
        <v>1.0</v>
      </c>
      <c r="Z95" s="19">
        <v>11.0</v>
      </c>
      <c r="AA95" s="13">
        <f t="shared" si="22"/>
        <v>156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1.0</v>
      </c>
      <c r="G96" s="19">
        <v>0.0</v>
      </c>
      <c r="H96" s="19">
        <v>1.0</v>
      </c>
      <c r="I96" s="19">
        <v>0.0</v>
      </c>
      <c r="J96" s="19">
        <v>0.0</v>
      </c>
      <c r="K96" s="19">
        <v>1.0</v>
      </c>
      <c r="L96" s="19">
        <v>2.0</v>
      </c>
      <c r="M96" s="19">
        <v>0.0</v>
      </c>
      <c r="N96" s="19">
        <v>0.0</v>
      </c>
      <c r="O96" s="19">
        <v>0.0</v>
      </c>
      <c r="P96" s="19">
        <v>1.0</v>
      </c>
      <c r="Q96" s="19">
        <v>0.0</v>
      </c>
      <c r="R96" s="19">
        <v>0.0</v>
      </c>
      <c r="S96" s="19">
        <v>1.0</v>
      </c>
      <c r="T96" s="19">
        <v>1.0</v>
      </c>
      <c r="U96" s="19">
        <v>0.0</v>
      </c>
      <c r="V96" s="19">
        <v>0.0</v>
      </c>
      <c r="W96" s="19">
        <v>0.0</v>
      </c>
      <c r="X96" s="19">
        <v>0.0</v>
      </c>
      <c r="Y96" s="19">
        <v>1.0</v>
      </c>
      <c r="Z96" s="19">
        <v>5.0</v>
      </c>
      <c r="AA96" s="13">
        <f t="shared" si="22"/>
        <v>14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1.0</v>
      </c>
      <c r="L97" s="19">
        <v>1.0</v>
      </c>
      <c r="M97" s="19">
        <v>1.0</v>
      </c>
      <c r="N97" s="19">
        <v>0.0</v>
      </c>
      <c r="O97" s="19">
        <v>3.0</v>
      </c>
      <c r="P97" s="19">
        <v>2.0</v>
      </c>
      <c r="Q97" s="19">
        <v>0.0</v>
      </c>
      <c r="R97" s="19">
        <v>1.0</v>
      </c>
      <c r="S97" s="19">
        <v>2.0</v>
      </c>
      <c r="T97" s="19">
        <v>1.0</v>
      </c>
      <c r="U97" s="19">
        <v>0.0</v>
      </c>
      <c r="V97" s="19">
        <v>0.0</v>
      </c>
      <c r="W97" s="19">
        <v>2.0</v>
      </c>
      <c r="X97" s="19">
        <v>0.0</v>
      </c>
      <c r="Y97" s="19">
        <v>1.0</v>
      </c>
      <c r="Z97" s="19">
        <v>1.0</v>
      </c>
      <c r="AA97" s="13">
        <f t="shared" si="22"/>
        <v>16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1.0</v>
      </c>
      <c r="K98" s="19">
        <v>2.0</v>
      </c>
      <c r="L98" s="19">
        <v>2.0</v>
      </c>
      <c r="M98" s="19">
        <v>1.0</v>
      </c>
      <c r="N98" s="19">
        <v>0.0</v>
      </c>
      <c r="O98" s="19">
        <v>1.0</v>
      </c>
      <c r="P98" s="19">
        <v>0.0</v>
      </c>
      <c r="Q98" s="19">
        <v>0.0</v>
      </c>
      <c r="R98" s="19">
        <v>0.0</v>
      </c>
      <c r="S98" s="19">
        <v>14.0</v>
      </c>
      <c r="T98" s="19">
        <v>43.0</v>
      </c>
      <c r="U98" s="19">
        <v>6.0</v>
      </c>
      <c r="V98" s="19">
        <v>12.0</v>
      </c>
      <c r="W98" s="19">
        <v>1.0</v>
      </c>
      <c r="X98" s="19">
        <v>0.0</v>
      </c>
      <c r="Y98" s="19">
        <v>0.0</v>
      </c>
      <c r="Z98" s="19">
        <v>0.0</v>
      </c>
      <c r="AA98" s="13">
        <f t="shared" si="22"/>
        <v>83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1.0</v>
      </c>
      <c r="K99" s="19">
        <v>0.0</v>
      </c>
      <c r="L99" s="19">
        <v>0.0</v>
      </c>
      <c r="M99" s="19">
        <v>0.0</v>
      </c>
      <c r="N99" s="19">
        <v>1.0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1.0</v>
      </c>
      <c r="Z99" s="19">
        <v>0.0</v>
      </c>
      <c r="AA99" s="13">
        <f t="shared" si="22"/>
        <v>3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3">
        <f t="shared" si="22"/>
        <v>0</v>
      </c>
    </row>
    <row r="101" ht="12.75" customHeight="1">
      <c r="A101" s="18"/>
      <c r="B101" s="71"/>
      <c r="C101" s="72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3">
        <f t="shared" si="22"/>
        <v>0</v>
      </c>
    </row>
    <row r="102" ht="12.75" customHeight="1">
      <c r="A102" s="18"/>
      <c r="B102" s="71"/>
      <c r="C102" s="72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Z103" si="23">SUM(E93:E100)</f>
        <v>3</v>
      </c>
      <c r="F103" s="13">
        <f t="shared" si="23"/>
        <v>9</v>
      </c>
      <c r="G103" s="13">
        <f t="shared" si="23"/>
        <v>9</v>
      </c>
      <c r="H103" s="13">
        <f t="shared" si="23"/>
        <v>12</v>
      </c>
      <c r="I103" s="13">
        <f t="shared" si="23"/>
        <v>18</v>
      </c>
      <c r="J103" s="13">
        <f t="shared" si="23"/>
        <v>8</v>
      </c>
      <c r="K103" s="13">
        <f t="shared" si="23"/>
        <v>15</v>
      </c>
      <c r="L103" s="13">
        <f t="shared" si="23"/>
        <v>18</v>
      </c>
      <c r="M103" s="13">
        <f t="shared" si="23"/>
        <v>20</v>
      </c>
      <c r="N103" s="13">
        <f t="shared" si="23"/>
        <v>5</v>
      </c>
      <c r="O103" s="13">
        <f t="shared" si="23"/>
        <v>57</v>
      </c>
      <c r="P103" s="13">
        <f t="shared" si="23"/>
        <v>12</v>
      </c>
      <c r="Q103" s="13">
        <f t="shared" si="23"/>
        <v>3</v>
      </c>
      <c r="R103" s="13">
        <f t="shared" si="23"/>
        <v>11</v>
      </c>
      <c r="S103" s="13">
        <f t="shared" si="23"/>
        <v>37</v>
      </c>
      <c r="T103" s="13">
        <f t="shared" si="23"/>
        <v>58</v>
      </c>
      <c r="U103" s="13">
        <f t="shared" si="23"/>
        <v>8</v>
      </c>
      <c r="V103" s="13">
        <f t="shared" si="23"/>
        <v>15</v>
      </c>
      <c r="W103" s="13">
        <f t="shared" si="23"/>
        <v>16</v>
      </c>
      <c r="X103" s="13">
        <f t="shared" si="23"/>
        <v>12</v>
      </c>
      <c r="Y103" s="13">
        <f t="shared" si="23"/>
        <v>11</v>
      </c>
      <c r="Z103" s="13">
        <f t="shared" si="23"/>
        <v>19</v>
      </c>
      <c r="AA103" s="13">
        <f t="shared" si="22"/>
        <v>376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1.0</v>
      </c>
      <c r="I105" s="19">
        <v>1.0</v>
      </c>
      <c r="J105" s="19">
        <v>1.0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2.0</v>
      </c>
      <c r="Q105" s="19">
        <v>1.0</v>
      </c>
      <c r="R105" s="19">
        <v>0.0</v>
      </c>
      <c r="S105" s="19">
        <v>0.0</v>
      </c>
      <c r="T105" s="19">
        <v>2.0</v>
      </c>
      <c r="U105" s="19">
        <v>0.0</v>
      </c>
      <c r="V105" s="19">
        <v>2.0</v>
      </c>
      <c r="W105" s="19">
        <v>1.0</v>
      </c>
      <c r="X105" s="19">
        <v>1.0</v>
      </c>
      <c r="Y105" s="19">
        <v>2.0</v>
      </c>
      <c r="Z105" s="19">
        <v>0.0</v>
      </c>
      <c r="AA105" s="13">
        <f t="shared" ref="AA105:AA115" si="24">SUM(E105:Z105)</f>
        <v>14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2.0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1.0</v>
      </c>
      <c r="M106" s="19">
        <v>1.0</v>
      </c>
      <c r="N106" s="19">
        <v>1.0</v>
      </c>
      <c r="O106" s="19">
        <v>0.0</v>
      </c>
      <c r="P106" s="19">
        <v>2.0</v>
      </c>
      <c r="Q106" s="19">
        <v>1.0</v>
      </c>
      <c r="R106" s="19">
        <v>2.0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2.0</v>
      </c>
      <c r="Y106" s="19">
        <v>0.0</v>
      </c>
      <c r="Z106" s="19">
        <v>0.0</v>
      </c>
      <c r="AA106" s="13">
        <f t="shared" si="24"/>
        <v>12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1.0</v>
      </c>
      <c r="M107" s="19">
        <v>0.0</v>
      </c>
      <c r="N107" s="19">
        <v>0.0</v>
      </c>
      <c r="O107" s="19">
        <v>0.0</v>
      </c>
      <c r="P107" s="19">
        <v>2.0</v>
      </c>
      <c r="Q107" s="19">
        <v>0.0</v>
      </c>
      <c r="R107" s="19">
        <v>1.0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2.0</v>
      </c>
      <c r="Z107" s="19">
        <v>1.0</v>
      </c>
      <c r="AA107" s="13">
        <f t="shared" si="24"/>
        <v>7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1.0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1.0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3">
        <f t="shared" si="24"/>
        <v>0</v>
      </c>
    </row>
    <row r="113" ht="12.75" customHeight="1">
      <c r="A113" s="18"/>
      <c r="B113" s="71"/>
      <c r="C113" s="72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3">
        <f t="shared" si="24"/>
        <v>0</v>
      </c>
    </row>
    <row r="114" ht="12.75" customHeight="1">
      <c r="A114" s="18"/>
      <c r="B114" s="71"/>
      <c r="C114" s="72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Z115" si="25">SUM(E105:E112)</f>
        <v>2</v>
      </c>
      <c r="F115" s="13">
        <f t="shared" si="25"/>
        <v>0</v>
      </c>
      <c r="G115" s="13">
        <f t="shared" si="25"/>
        <v>0</v>
      </c>
      <c r="H115" s="13">
        <f t="shared" si="25"/>
        <v>1</v>
      </c>
      <c r="I115" s="13">
        <f t="shared" si="25"/>
        <v>1</v>
      </c>
      <c r="J115" s="13">
        <f t="shared" si="25"/>
        <v>1</v>
      </c>
      <c r="K115" s="13">
        <f t="shared" si="25"/>
        <v>0</v>
      </c>
      <c r="L115" s="13">
        <f t="shared" si="25"/>
        <v>3</v>
      </c>
      <c r="M115" s="13">
        <f t="shared" si="25"/>
        <v>1</v>
      </c>
      <c r="N115" s="13">
        <f t="shared" si="25"/>
        <v>1</v>
      </c>
      <c r="O115" s="13">
        <f t="shared" si="25"/>
        <v>0</v>
      </c>
      <c r="P115" s="13">
        <f t="shared" si="25"/>
        <v>6</v>
      </c>
      <c r="Q115" s="13">
        <f t="shared" si="25"/>
        <v>2</v>
      </c>
      <c r="R115" s="13">
        <f t="shared" si="25"/>
        <v>4</v>
      </c>
      <c r="S115" s="13">
        <f t="shared" si="25"/>
        <v>0</v>
      </c>
      <c r="T115" s="13">
        <f t="shared" si="25"/>
        <v>2</v>
      </c>
      <c r="U115" s="13">
        <f t="shared" si="25"/>
        <v>0</v>
      </c>
      <c r="V115" s="13">
        <f t="shared" si="25"/>
        <v>2</v>
      </c>
      <c r="W115" s="13">
        <f t="shared" si="25"/>
        <v>1</v>
      </c>
      <c r="X115" s="13">
        <f t="shared" si="25"/>
        <v>3</v>
      </c>
      <c r="Y115" s="13">
        <f t="shared" si="25"/>
        <v>4</v>
      </c>
      <c r="Z115" s="13">
        <f t="shared" si="25"/>
        <v>1</v>
      </c>
      <c r="AA115" s="13">
        <f t="shared" si="24"/>
        <v>35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2.0</v>
      </c>
      <c r="H117" s="19">
        <v>2.0</v>
      </c>
      <c r="I117" s="19">
        <v>0.0</v>
      </c>
      <c r="J117" s="19">
        <v>0.0</v>
      </c>
      <c r="K117" s="19">
        <v>0.0</v>
      </c>
      <c r="L117" s="19">
        <v>0.0</v>
      </c>
      <c r="M117" s="19">
        <v>1.0</v>
      </c>
      <c r="N117" s="19">
        <v>2.0</v>
      </c>
      <c r="O117" s="19">
        <v>1.0</v>
      </c>
      <c r="P117" s="19">
        <v>3.0</v>
      </c>
      <c r="Q117" s="19">
        <v>1.0</v>
      </c>
      <c r="R117" s="19">
        <v>4.0</v>
      </c>
      <c r="S117" s="19">
        <v>3.0</v>
      </c>
      <c r="T117" s="19">
        <v>1.0</v>
      </c>
      <c r="U117" s="19">
        <v>0.0</v>
      </c>
      <c r="V117" s="19">
        <v>1.0</v>
      </c>
      <c r="W117" s="19">
        <v>0.0</v>
      </c>
      <c r="X117" s="19">
        <v>2.0</v>
      </c>
      <c r="Y117" s="19">
        <v>0.0</v>
      </c>
      <c r="Z117" s="19">
        <v>0.0</v>
      </c>
      <c r="AA117" s="13">
        <f t="shared" ref="AA117:AA127" si="26">SUM(E117:Z117)</f>
        <v>23</v>
      </c>
      <c r="AB117" s="5"/>
      <c r="AC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1.0</v>
      </c>
      <c r="K118" s="19">
        <v>0.0</v>
      </c>
      <c r="L118" s="19">
        <v>2.0</v>
      </c>
      <c r="M118" s="19">
        <v>0.0</v>
      </c>
      <c r="N118" s="19">
        <v>0.0</v>
      </c>
      <c r="O118" s="19">
        <v>0.0</v>
      </c>
      <c r="P118" s="19">
        <v>1.0</v>
      </c>
      <c r="Q118" s="19">
        <v>0.0</v>
      </c>
      <c r="R118" s="19">
        <v>1.0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1.0</v>
      </c>
      <c r="Z118" s="19">
        <v>0.0</v>
      </c>
      <c r="AA118" s="13">
        <f t="shared" si="26"/>
        <v>6</v>
      </c>
      <c r="AB118" s="5"/>
      <c r="AC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1.0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1.0</v>
      </c>
      <c r="T119" s="19">
        <v>0.0</v>
      </c>
      <c r="U119" s="19">
        <v>1.0</v>
      </c>
      <c r="V119" s="19">
        <v>0.0</v>
      </c>
      <c r="W119" s="19">
        <v>0.0</v>
      </c>
      <c r="X119" s="19">
        <v>0.0</v>
      </c>
      <c r="Y119" s="19">
        <v>1.0</v>
      </c>
      <c r="Z119" s="19">
        <v>0.0</v>
      </c>
      <c r="AA119" s="13">
        <f t="shared" si="26"/>
        <v>4</v>
      </c>
      <c r="AB119" s="5"/>
      <c r="AC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3">
        <f t="shared" si="26"/>
        <v>0</v>
      </c>
      <c r="AB120" s="5"/>
      <c r="AC120" s="5"/>
    </row>
    <row r="121" ht="12.75" customHeight="1">
      <c r="A121" s="18"/>
      <c r="B121" s="71"/>
      <c r="C121" s="72"/>
      <c r="D121" s="74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3">
        <f t="shared" si="26"/>
        <v>0</v>
      </c>
      <c r="AB121" s="5"/>
      <c r="AC121" s="5"/>
    </row>
    <row r="122" ht="12.75" customHeight="1">
      <c r="A122" s="18"/>
      <c r="B122" s="71"/>
      <c r="C122" s="72"/>
      <c r="D122" s="74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3">
        <f t="shared" si="26"/>
        <v>0</v>
      </c>
      <c r="AB122" s="5"/>
      <c r="AC122" s="5"/>
    </row>
    <row r="123" ht="12.75" customHeight="1">
      <c r="A123" s="18"/>
      <c r="B123" s="71"/>
      <c r="C123" s="72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13">
        <f t="shared" si="26"/>
        <v>0</v>
      </c>
      <c r="AB123" s="5"/>
      <c r="AC123" s="5"/>
    </row>
    <row r="124" ht="12.75" customHeight="1">
      <c r="A124" s="18"/>
      <c r="B124" s="71"/>
      <c r="C124" s="72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13">
        <f t="shared" si="26"/>
        <v>0</v>
      </c>
      <c r="AB124" s="5"/>
      <c r="AC124" s="5"/>
    </row>
    <row r="125" ht="12.75" customHeight="1">
      <c r="A125" s="18"/>
      <c r="B125" s="71"/>
      <c r="C125" s="72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13">
        <f t="shared" si="26"/>
        <v>0</v>
      </c>
      <c r="AB125" s="5"/>
      <c r="AC125" s="5"/>
    </row>
    <row r="126" ht="12.75" customHeight="1">
      <c r="A126" s="18"/>
      <c r="B126" s="71"/>
      <c r="C126" s="72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13">
        <f t="shared" si="26"/>
        <v>0</v>
      </c>
      <c r="AB126" s="5"/>
      <c r="AC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Z127" si="27">SUM(E117:E120)</f>
        <v>0</v>
      </c>
      <c r="F127" s="58">
        <f t="shared" si="27"/>
        <v>0</v>
      </c>
      <c r="G127" s="58">
        <f t="shared" si="27"/>
        <v>2</v>
      </c>
      <c r="H127" s="58">
        <f t="shared" si="27"/>
        <v>2</v>
      </c>
      <c r="I127" s="58">
        <f t="shared" si="27"/>
        <v>0</v>
      </c>
      <c r="J127" s="58">
        <f t="shared" si="27"/>
        <v>1</v>
      </c>
      <c r="K127" s="58">
        <f t="shared" si="27"/>
        <v>0</v>
      </c>
      <c r="L127" s="58">
        <f t="shared" si="27"/>
        <v>2</v>
      </c>
      <c r="M127" s="58">
        <f t="shared" si="27"/>
        <v>2</v>
      </c>
      <c r="N127" s="58">
        <f t="shared" si="27"/>
        <v>2</v>
      </c>
      <c r="O127" s="58">
        <f t="shared" si="27"/>
        <v>1</v>
      </c>
      <c r="P127" s="58">
        <f t="shared" si="27"/>
        <v>4</v>
      </c>
      <c r="Q127" s="58">
        <f t="shared" si="27"/>
        <v>1</v>
      </c>
      <c r="R127" s="58">
        <f t="shared" si="27"/>
        <v>5</v>
      </c>
      <c r="S127" s="58">
        <f t="shared" si="27"/>
        <v>4</v>
      </c>
      <c r="T127" s="58">
        <f t="shared" si="27"/>
        <v>1</v>
      </c>
      <c r="U127" s="58">
        <f t="shared" si="27"/>
        <v>1</v>
      </c>
      <c r="V127" s="58">
        <f t="shared" si="27"/>
        <v>1</v>
      </c>
      <c r="W127" s="58">
        <f t="shared" si="27"/>
        <v>0</v>
      </c>
      <c r="X127" s="58">
        <f t="shared" si="27"/>
        <v>2</v>
      </c>
      <c r="Y127" s="58">
        <f t="shared" si="27"/>
        <v>2</v>
      </c>
      <c r="Z127" s="58">
        <f t="shared" si="27"/>
        <v>0</v>
      </c>
      <c r="AA127" s="13">
        <f t="shared" si="26"/>
        <v>33</v>
      </c>
      <c r="AB127" s="5"/>
      <c r="AC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5"/>
      <c r="AC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0.0</v>
      </c>
      <c r="G129" s="19">
        <v>0.0</v>
      </c>
      <c r="H129" s="19">
        <v>3.0</v>
      </c>
      <c r="I129" s="19">
        <v>0.0</v>
      </c>
      <c r="J129" s="19">
        <v>0.0</v>
      </c>
      <c r="K129" s="19">
        <v>1.0</v>
      </c>
      <c r="L129" s="19">
        <v>1.0</v>
      </c>
      <c r="M129" s="19">
        <v>0.0</v>
      </c>
      <c r="N129" s="19">
        <v>0.0</v>
      </c>
      <c r="O129" s="19">
        <v>0.0</v>
      </c>
      <c r="P129" s="19">
        <v>0.0</v>
      </c>
      <c r="Q129" s="19">
        <v>0.0</v>
      </c>
      <c r="R129" s="19">
        <v>0.0</v>
      </c>
      <c r="S129" s="19">
        <v>0.0</v>
      </c>
      <c r="T129" s="19">
        <v>1.0</v>
      </c>
      <c r="U129" s="19">
        <v>0.0</v>
      </c>
      <c r="V129" s="19">
        <v>0.0</v>
      </c>
      <c r="W129" s="19">
        <v>1.0</v>
      </c>
      <c r="X129" s="19">
        <v>0.0</v>
      </c>
      <c r="Y129" s="19">
        <v>0.0</v>
      </c>
      <c r="Z129" s="19">
        <v>0.0</v>
      </c>
      <c r="AA129" s="13">
        <f t="shared" ref="AA129:AA139" si="28">SUM(E129:Z129)</f>
        <v>8</v>
      </c>
      <c r="AB129" s="5"/>
      <c r="AC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1.0</v>
      </c>
      <c r="F130" s="19">
        <v>0.0</v>
      </c>
      <c r="G130" s="19">
        <v>0.0</v>
      </c>
      <c r="H130" s="19">
        <v>0.0</v>
      </c>
      <c r="I130" s="19">
        <v>0.0</v>
      </c>
      <c r="J130" s="19">
        <v>1.0</v>
      </c>
      <c r="K130" s="19">
        <v>1.0</v>
      </c>
      <c r="L130" s="19">
        <v>0.0</v>
      </c>
      <c r="M130" s="19">
        <v>0.0</v>
      </c>
      <c r="N130" s="19">
        <v>1.0</v>
      </c>
      <c r="O130" s="19">
        <v>0.0</v>
      </c>
      <c r="P130" s="19">
        <v>1.0</v>
      </c>
      <c r="Q130" s="19">
        <v>0.0</v>
      </c>
      <c r="R130" s="19">
        <v>0.0</v>
      </c>
      <c r="S130" s="19">
        <v>0.0</v>
      </c>
      <c r="T130" s="19">
        <v>0.0</v>
      </c>
      <c r="U130" s="19">
        <v>0.0</v>
      </c>
      <c r="V130" s="19">
        <v>0.0</v>
      </c>
      <c r="W130" s="19">
        <v>0.0</v>
      </c>
      <c r="X130" s="19">
        <v>0.0</v>
      </c>
      <c r="Y130" s="19">
        <v>0.0</v>
      </c>
      <c r="Z130" s="19">
        <v>0.0</v>
      </c>
      <c r="AA130" s="13">
        <f t="shared" si="28"/>
        <v>5</v>
      </c>
      <c r="AB130" s="1"/>
      <c r="AC130" s="1"/>
    </row>
    <row r="131" ht="12.75" customHeight="1">
      <c r="A131" s="18"/>
      <c r="B131" s="55">
        <v>2.0</v>
      </c>
      <c r="C131" s="50" t="s">
        <v>98</v>
      </c>
      <c r="D131" s="56"/>
      <c r="E131" s="19">
        <v>1.0</v>
      </c>
      <c r="F131" s="19">
        <v>0.0</v>
      </c>
      <c r="G131" s="19">
        <v>1.0</v>
      </c>
      <c r="H131" s="19">
        <v>0.0</v>
      </c>
      <c r="I131" s="19">
        <v>1.0</v>
      </c>
      <c r="J131" s="19">
        <v>0.0</v>
      </c>
      <c r="K131" s="19">
        <v>0.0</v>
      </c>
      <c r="L131" s="19">
        <v>0.0</v>
      </c>
      <c r="M131" s="19">
        <v>1.0</v>
      </c>
      <c r="N131" s="19">
        <v>0.0</v>
      </c>
      <c r="O131" s="19">
        <v>0.0</v>
      </c>
      <c r="P131" s="19">
        <v>0.0</v>
      </c>
      <c r="Q131" s="19">
        <v>1.0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2.0</v>
      </c>
      <c r="X131" s="19">
        <v>1.0</v>
      </c>
      <c r="Y131" s="19">
        <v>0.0</v>
      </c>
      <c r="Z131" s="19">
        <v>1.0</v>
      </c>
      <c r="AA131" s="13">
        <f t="shared" si="28"/>
        <v>9</v>
      </c>
      <c r="AB131" s="52"/>
      <c r="AC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1.0</v>
      </c>
      <c r="M132" s="19">
        <v>0.0</v>
      </c>
      <c r="N132" s="19">
        <v>0.0</v>
      </c>
      <c r="O132" s="19">
        <v>0.0</v>
      </c>
      <c r="P132" s="19">
        <v>1.0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3">
        <f t="shared" si="28"/>
        <v>2</v>
      </c>
      <c r="AB132" s="5"/>
      <c r="AC132" s="5"/>
    </row>
    <row r="133" ht="12.75" customHeight="1">
      <c r="A133" s="18"/>
      <c r="B133" s="55">
        <v>4.0</v>
      </c>
      <c r="C133" s="50" t="s">
        <v>100</v>
      </c>
      <c r="D133" s="56"/>
      <c r="E133" s="19">
        <v>1.0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1.0</v>
      </c>
      <c r="V133" s="19">
        <v>0.0</v>
      </c>
      <c r="W133" s="19">
        <v>0.0</v>
      </c>
      <c r="X133" s="19">
        <v>0.0</v>
      </c>
      <c r="Y133" s="19">
        <v>0.0</v>
      </c>
      <c r="Z133" s="19">
        <v>1.0</v>
      </c>
      <c r="AA133" s="13">
        <f t="shared" si="28"/>
        <v>3</v>
      </c>
      <c r="AB133" s="5"/>
      <c r="AC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3">
        <f t="shared" si="28"/>
        <v>0</v>
      </c>
      <c r="AB134" s="5"/>
      <c r="AC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3">
        <f t="shared" si="28"/>
        <v>0</v>
      </c>
      <c r="AB135" s="5"/>
      <c r="AC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3">
        <f t="shared" si="28"/>
        <v>0</v>
      </c>
      <c r="AB136" s="5"/>
      <c r="AC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3">
        <f t="shared" si="28"/>
        <v>0</v>
      </c>
      <c r="AB137" s="5"/>
      <c r="AC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3">
        <f t="shared" si="28"/>
        <v>0</v>
      </c>
      <c r="AB138" s="5"/>
      <c r="AC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Z139" si="29">SUM(E129:E136)</f>
        <v>4</v>
      </c>
      <c r="F139" s="13">
        <f t="shared" si="29"/>
        <v>0</v>
      </c>
      <c r="G139" s="13">
        <f t="shared" si="29"/>
        <v>1</v>
      </c>
      <c r="H139" s="13">
        <f t="shared" si="29"/>
        <v>3</v>
      </c>
      <c r="I139" s="13">
        <f t="shared" si="29"/>
        <v>1</v>
      </c>
      <c r="J139" s="13">
        <f t="shared" si="29"/>
        <v>1</v>
      </c>
      <c r="K139" s="13">
        <f t="shared" si="29"/>
        <v>2</v>
      </c>
      <c r="L139" s="13">
        <f t="shared" si="29"/>
        <v>2</v>
      </c>
      <c r="M139" s="13">
        <f t="shared" si="29"/>
        <v>1</v>
      </c>
      <c r="N139" s="13">
        <f t="shared" si="29"/>
        <v>1</v>
      </c>
      <c r="O139" s="13">
        <f t="shared" si="29"/>
        <v>0</v>
      </c>
      <c r="P139" s="13">
        <f t="shared" si="29"/>
        <v>2</v>
      </c>
      <c r="Q139" s="13">
        <f t="shared" si="29"/>
        <v>1</v>
      </c>
      <c r="R139" s="13">
        <f t="shared" si="29"/>
        <v>0</v>
      </c>
      <c r="S139" s="13">
        <f t="shared" si="29"/>
        <v>0</v>
      </c>
      <c r="T139" s="13">
        <f t="shared" si="29"/>
        <v>1</v>
      </c>
      <c r="U139" s="13">
        <f t="shared" si="29"/>
        <v>1</v>
      </c>
      <c r="V139" s="13">
        <f t="shared" si="29"/>
        <v>0</v>
      </c>
      <c r="W139" s="13">
        <f t="shared" si="29"/>
        <v>3</v>
      </c>
      <c r="X139" s="13">
        <f t="shared" si="29"/>
        <v>1</v>
      </c>
      <c r="Y139" s="13">
        <f t="shared" si="29"/>
        <v>0</v>
      </c>
      <c r="Z139" s="13">
        <f t="shared" si="29"/>
        <v>2</v>
      </c>
      <c r="AA139" s="13">
        <f t="shared" si="28"/>
        <v>27</v>
      </c>
      <c r="AB139" s="5"/>
      <c r="AC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5"/>
      <c r="AC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1.0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1.0</v>
      </c>
      <c r="Q141" s="19">
        <v>0.0</v>
      </c>
      <c r="R141" s="19">
        <v>0.0</v>
      </c>
      <c r="S141" s="19">
        <v>1.0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3">
        <f t="shared" ref="AA141:AA151" si="30">SUM(E141:Z141)</f>
        <v>3</v>
      </c>
      <c r="AB141" s="1"/>
      <c r="AC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3">
        <f t="shared" si="30"/>
        <v>0</v>
      </c>
      <c r="AB142" s="52"/>
      <c r="AC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1.0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3">
        <f t="shared" si="30"/>
        <v>1</v>
      </c>
      <c r="AB143" s="5"/>
      <c r="AC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3">
        <f t="shared" si="30"/>
        <v>0</v>
      </c>
      <c r="AB144" s="5"/>
      <c r="AC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3">
        <f t="shared" si="30"/>
        <v>0</v>
      </c>
      <c r="AB145" s="5"/>
      <c r="AC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1.0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3">
        <f t="shared" si="30"/>
        <v>1</v>
      </c>
      <c r="AB146" s="5"/>
      <c r="AC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3">
        <f t="shared" si="30"/>
        <v>0</v>
      </c>
      <c r="AB147" s="5"/>
      <c r="AC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3">
        <f t="shared" si="30"/>
        <v>0</v>
      </c>
      <c r="AB148" s="5"/>
      <c r="AC148" s="5"/>
    </row>
    <row r="149" ht="12.75" customHeight="1">
      <c r="A149" s="18"/>
      <c r="B149" s="71"/>
      <c r="C149" s="72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3">
        <f t="shared" si="30"/>
        <v>0</v>
      </c>
      <c r="AB149" s="5"/>
      <c r="AC149" s="5"/>
    </row>
    <row r="150" ht="12.75" customHeight="1">
      <c r="A150" s="18"/>
      <c r="B150" s="71"/>
      <c r="C150" s="72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3">
        <f t="shared" si="30"/>
        <v>0</v>
      </c>
      <c r="AB150" s="5"/>
      <c r="AC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Z151" si="31">SUM(E141:E148)</f>
        <v>1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 t="shared" si="31"/>
        <v>0</v>
      </c>
      <c r="P151" s="13">
        <f t="shared" si="31"/>
        <v>1</v>
      </c>
      <c r="Q151" s="13">
        <f t="shared" si="31"/>
        <v>0</v>
      </c>
      <c r="R151" s="13">
        <f t="shared" si="31"/>
        <v>0</v>
      </c>
      <c r="S151" s="13">
        <f t="shared" si="31"/>
        <v>1</v>
      </c>
      <c r="T151" s="13">
        <f t="shared" si="31"/>
        <v>1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0"/>
        <v>5</v>
      </c>
      <c r="AB151" s="1"/>
      <c r="AC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13"/>
      <c r="AB152" s="52"/>
      <c r="AC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1.0</v>
      </c>
      <c r="L153" s="19">
        <v>1.0</v>
      </c>
      <c r="M153" s="19">
        <v>0.0</v>
      </c>
      <c r="N153" s="19">
        <v>1.0</v>
      </c>
      <c r="O153" s="19">
        <v>0.0</v>
      </c>
      <c r="P153" s="19">
        <v>0.0</v>
      </c>
      <c r="Q153" s="19">
        <v>0.0</v>
      </c>
      <c r="R153" s="19">
        <v>0.0</v>
      </c>
      <c r="S153" s="19">
        <v>1.0</v>
      </c>
      <c r="T153" s="19">
        <v>1.0</v>
      </c>
      <c r="U153" s="19">
        <v>0.0</v>
      </c>
      <c r="V153" s="19">
        <v>1.0</v>
      </c>
      <c r="W153" s="19">
        <v>0.0</v>
      </c>
      <c r="X153" s="19">
        <v>0.0</v>
      </c>
      <c r="Y153" s="19">
        <v>0.0</v>
      </c>
      <c r="Z153" s="19">
        <v>0.0</v>
      </c>
      <c r="AA153" s="13">
        <f t="shared" ref="AA153:AA163" si="32">SUM(E153:Z153)</f>
        <v>6</v>
      </c>
      <c r="AB153" s="5"/>
      <c r="AC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1.0</v>
      </c>
      <c r="U154" s="19">
        <v>0.0</v>
      </c>
      <c r="V154" s="19">
        <v>0.0</v>
      </c>
      <c r="W154" s="19">
        <v>1.0</v>
      </c>
      <c r="X154" s="19">
        <v>0.0</v>
      </c>
      <c r="Y154" s="19">
        <v>0.0</v>
      </c>
      <c r="Z154" s="19">
        <v>0.0</v>
      </c>
      <c r="AA154" s="13">
        <f t="shared" si="32"/>
        <v>2</v>
      </c>
      <c r="AB154" s="5"/>
      <c r="AC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1.0</v>
      </c>
      <c r="X155" s="19">
        <v>0.0</v>
      </c>
      <c r="Y155" s="19">
        <v>0.0</v>
      </c>
      <c r="Z155" s="19">
        <v>0.0</v>
      </c>
      <c r="AA155" s="13">
        <f t="shared" si="32"/>
        <v>1</v>
      </c>
      <c r="AB155" s="5"/>
      <c r="AC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1.0</v>
      </c>
      <c r="J156" s="19">
        <v>1.0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3">
        <f t="shared" si="32"/>
        <v>2</v>
      </c>
      <c r="AB156" s="5"/>
      <c r="AC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3">
        <f t="shared" si="32"/>
        <v>0</v>
      </c>
      <c r="AB157" s="5"/>
      <c r="AC157" s="5"/>
    </row>
    <row r="158" ht="12.75" customHeight="1">
      <c r="A158" s="18"/>
      <c r="B158" s="71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3">
        <f t="shared" si="32"/>
        <v>0</v>
      </c>
      <c r="AB158" s="5"/>
      <c r="AC158" s="5"/>
    </row>
    <row r="159" ht="12.75" customHeight="1">
      <c r="A159" s="18"/>
      <c r="B159" s="71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3">
        <f t="shared" si="32"/>
        <v>0</v>
      </c>
      <c r="AB159" s="5"/>
      <c r="AC159" s="5"/>
    </row>
    <row r="160" ht="12.75" customHeight="1">
      <c r="A160" s="18"/>
      <c r="B160" s="71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3">
        <f t="shared" si="32"/>
        <v>0</v>
      </c>
      <c r="AB160" s="5"/>
      <c r="AC160" s="5"/>
    </row>
    <row r="161" ht="12.75" customHeight="1">
      <c r="A161" s="18"/>
      <c r="B161" s="71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3">
        <f t="shared" si="32"/>
        <v>0</v>
      </c>
      <c r="AB161" s="5"/>
      <c r="AC161" s="5"/>
    </row>
    <row r="162" ht="12.75" customHeight="1">
      <c r="A162" s="18"/>
      <c r="B162" s="71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3">
        <f t="shared" si="32"/>
        <v>0</v>
      </c>
      <c r="AB162" s="5"/>
      <c r="AC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Z163" si="33">SUM(E153:E157)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1</v>
      </c>
      <c r="K163" s="13">
        <f t="shared" si="33"/>
        <v>1</v>
      </c>
      <c r="L163" s="13">
        <f t="shared" si="33"/>
        <v>1</v>
      </c>
      <c r="M163" s="13">
        <f t="shared" si="33"/>
        <v>0</v>
      </c>
      <c r="N163" s="13">
        <f t="shared" si="33"/>
        <v>1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1</v>
      </c>
      <c r="T163" s="13">
        <f t="shared" si="33"/>
        <v>2</v>
      </c>
      <c r="U163" s="13">
        <f t="shared" si="33"/>
        <v>0</v>
      </c>
      <c r="V163" s="13">
        <f t="shared" si="33"/>
        <v>1</v>
      </c>
      <c r="W163" s="13">
        <f t="shared" si="33"/>
        <v>2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2"/>
        <v>11</v>
      </c>
      <c r="AB163" s="5"/>
      <c r="AC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5"/>
      <c r="AC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1.0</v>
      </c>
      <c r="M165" s="19">
        <v>0.0</v>
      </c>
      <c r="N165" s="19">
        <v>0.0</v>
      </c>
      <c r="O165" s="19">
        <v>0.0</v>
      </c>
      <c r="P165" s="19">
        <v>1.0</v>
      </c>
      <c r="Q165" s="19">
        <v>0.0</v>
      </c>
      <c r="R165" s="19">
        <v>2.0</v>
      </c>
      <c r="S165" s="19">
        <v>0.0</v>
      </c>
      <c r="T165" s="19">
        <v>1.0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3">
        <f t="shared" ref="AA165:AA175" si="34">SUM(E165:Z165)</f>
        <v>5</v>
      </c>
      <c r="AB165" s="1"/>
      <c r="AC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1.0</v>
      </c>
      <c r="X166" s="19">
        <v>0.0</v>
      </c>
      <c r="Y166" s="19">
        <v>0.0</v>
      </c>
      <c r="Z166" s="19">
        <v>0.0</v>
      </c>
      <c r="AA166" s="13">
        <f t="shared" si="34"/>
        <v>1</v>
      </c>
      <c r="AB166" s="52"/>
      <c r="AC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1.0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1.0</v>
      </c>
      <c r="X167" s="19">
        <v>0.0</v>
      </c>
      <c r="Y167" s="19">
        <v>0.0</v>
      </c>
      <c r="Z167" s="19">
        <v>1.0</v>
      </c>
      <c r="AA167" s="13">
        <f t="shared" si="34"/>
        <v>3</v>
      </c>
      <c r="AB167" s="5"/>
      <c r="AC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1.0</v>
      </c>
      <c r="Q168" s="19">
        <v>0.0</v>
      </c>
      <c r="R168" s="19">
        <v>0.0</v>
      </c>
      <c r="S168" s="19">
        <v>1.0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3">
        <f t="shared" si="34"/>
        <v>2</v>
      </c>
      <c r="AB168" s="5"/>
      <c r="AC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1.0</v>
      </c>
      <c r="J169" s="19">
        <v>0.0</v>
      </c>
      <c r="K169" s="19">
        <v>0.0</v>
      </c>
      <c r="L169" s="19">
        <v>1.0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3">
        <f t="shared" si="34"/>
        <v>2</v>
      </c>
      <c r="AB169" s="5"/>
      <c r="AC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3">
        <f t="shared" si="34"/>
        <v>0</v>
      </c>
      <c r="AB170" s="5"/>
      <c r="AC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3">
        <f t="shared" si="34"/>
        <v>0</v>
      </c>
      <c r="AB171" s="5"/>
      <c r="AC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3">
        <f t="shared" si="34"/>
        <v>0</v>
      </c>
      <c r="AB172" s="5"/>
      <c r="AC172" s="5"/>
    </row>
    <row r="173" ht="12.75" customHeight="1">
      <c r="A173" s="18"/>
      <c r="B173" s="71"/>
      <c r="C173" s="72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3">
        <f t="shared" si="34"/>
        <v>0</v>
      </c>
      <c r="AB173" s="5"/>
      <c r="AC173" s="5"/>
    </row>
    <row r="174" ht="12.75" customHeight="1">
      <c r="A174" s="18"/>
      <c r="B174" s="71"/>
      <c r="C174" s="72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3">
        <f t="shared" si="34"/>
        <v>0</v>
      </c>
      <c r="AB174" s="5"/>
      <c r="AC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Z175" si="35">SUM(E165:E172)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1</v>
      </c>
      <c r="L175" s="13">
        <f t="shared" si="35"/>
        <v>2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2</v>
      </c>
      <c r="Q175" s="13">
        <f t="shared" si="35"/>
        <v>0</v>
      </c>
      <c r="R175" s="13">
        <f t="shared" si="35"/>
        <v>2</v>
      </c>
      <c r="S175" s="13">
        <f t="shared" si="35"/>
        <v>1</v>
      </c>
      <c r="T175" s="13">
        <f t="shared" si="35"/>
        <v>1</v>
      </c>
      <c r="U175" s="13">
        <f t="shared" si="35"/>
        <v>0</v>
      </c>
      <c r="V175" s="13">
        <f t="shared" si="35"/>
        <v>0</v>
      </c>
      <c r="W175" s="13">
        <f t="shared" si="35"/>
        <v>2</v>
      </c>
      <c r="X175" s="13">
        <f t="shared" si="35"/>
        <v>0</v>
      </c>
      <c r="Y175" s="13">
        <f t="shared" si="35"/>
        <v>0</v>
      </c>
      <c r="Z175" s="13">
        <f t="shared" si="35"/>
        <v>1</v>
      </c>
      <c r="AA175" s="13">
        <f t="shared" si="34"/>
        <v>13</v>
      </c>
      <c r="AB175" s="5"/>
      <c r="AC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1"/>
      <c r="AC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1.0</v>
      </c>
      <c r="J177" s="19">
        <v>1.0</v>
      </c>
      <c r="K177" s="19">
        <v>3.0</v>
      </c>
      <c r="L177" s="19">
        <v>0.0</v>
      </c>
      <c r="M177" s="19">
        <v>3.0</v>
      </c>
      <c r="N177" s="19">
        <v>2.0</v>
      </c>
      <c r="O177" s="19">
        <v>1.0</v>
      </c>
      <c r="P177" s="19">
        <v>0.0</v>
      </c>
      <c r="Q177" s="19">
        <v>0.0</v>
      </c>
      <c r="R177" s="19">
        <v>0.0</v>
      </c>
      <c r="S177" s="19">
        <v>0.0</v>
      </c>
      <c r="T177" s="19">
        <v>1.0</v>
      </c>
      <c r="U177" s="19">
        <v>0.0</v>
      </c>
      <c r="V177" s="19">
        <v>2.0</v>
      </c>
      <c r="W177" s="19">
        <v>1.0</v>
      </c>
      <c r="X177" s="19">
        <v>1.0</v>
      </c>
      <c r="Y177" s="19">
        <v>2.0</v>
      </c>
      <c r="Z177" s="19">
        <v>0.0</v>
      </c>
      <c r="AA177" s="13">
        <f t="shared" ref="AA177:AA187" si="36">SUM(E177:Z177)</f>
        <v>18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2.0</v>
      </c>
      <c r="G178" s="19">
        <v>2.0</v>
      </c>
      <c r="H178" s="19">
        <v>0.0</v>
      </c>
      <c r="I178" s="19">
        <v>0.0</v>
      </c>
      <c r="J178" s="19">
        <v>0.0</v>
      </c>
      <c r="K178" s="19">
        <v>0.0</v>
      </c>
      <c r="L178" s="19">
        <v>1.0</v>
      </c>
      <c r="M178" s="19">
        <v>2.0</v>
      </c>
      <c r="N178" s="19">
        <v>0.0</v>
      </c>
      <c r="O178" s="19">
        <v>1.0</v>
      </c>
      <c r="P178" s="19">
        <v>3.0</v>
      </c>
      <c r="Q178" s="19">
        <v>1.0</v>
      </c>
      <c r="R178" s="19">
        <v>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3">
        <f t="shared" si="36"/>
        <v>12</v>
      </c>
      <c r="AB178" s="5"/>
      <c r="AC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1.0</v>
      </c>
      <c r="L179" s="19">
        <v>2.0</v>
      </c>
      <c r="M179" s="19">
        <v>0.0</v>
      </c>
      <c r="N179" s="19">
        <v>0.0</v>
      </c>
      <c r="O179" s="19">
        <v>2.0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1.0</v>
      </c>
      <c r="W179" s="19">
        <v>0.0</v>
      </c>
      <c r="X179" s="19">
        <v>0.0</v>
      </c>
      <c r="Y179" s="19">
        <v>0.0</v>
      </c>
      <c r="Z179" s="19">
        <v>1.0</v>
      </c>
      <c r="AA179" s="13">
        <f t="shared" si="36"/>
        <v>7</v>
      </c>
      <c r="AB179" s="5"/>
      <c r="AC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1.0</v>
      </c>
      <c r="L180" s="19">
        <v>0.0</v>
      </c>
      <c r="M180" s="19">
        <v>0.0</v>
      </c>
      <c r="N180" s="19">
        <v>1.0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3">
        <f t="shared" si="36"/>
        <v>2</v>
      </c>
      <c r="AB180" s="5"/>
      <c r="AC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1.0</v>
      </c>
      <c r="M181" s="19">
        <v>0.0</v>
      </c>
      <c r="N181" s="19">
        <v>2.0</v>
      </c>
      <c r="O181" s="19">
        <v>0.0</v>
      </c>
      <c r="P181" s="19">
        <v>1.0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1.0</v>
      </c>
      <c r="Y181" s="19">
        <v>1.0</v>
      </c>
      <c r="Z181" s="19">
        <v>0.0</v>
      </c>
      <c r="AA181" s="13">
        <f t="shared" si="36"/>
        <v>6</v>
      </c>
      <c r="AB181" s="5"/>
      <c r="AC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1.0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1.0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2.0</v>
      </c>
      <c r="X182" s="19">
        <v>0.0</v>
      </c>
      <c r="Y182" s="19">
        <v>0.0</v>
      </c>
      <c r="Z182" s="19">
        <v>0.0</v>
      </c>
      <c r="AA182" s="13">
        <f t="shared" si="36"/>
        <v>4</v>
      </c>
      <c r="AB182" s="5"/>
      <c r="AC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3">
        <f t="shared" si="36"/>
        <v>0</v>
      </c>
      <c r="AB183" s="5"/>
      <c r="AC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1.0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3">
        <f t="shared" si="36"/>
        <v>1</v>
      </c>
      <c r="AB184" s="5"/>
      <c r="AC184" s="5"/>
    </row>
    <row r="185" ht="12.75" customHeight="1">
      <c r="A185" s="18"/>
      <c r="B185" s="71"/>
      <c r="C185" s="72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3">
        <f t="shared" si="36"/>
        <v>0</v>
      </c>
      <c r="AB185" s="5"/>
      <c r="AC185" s="5"/>
    </row>
    <row r="186" ht="12.75" customHeight="1">
      <c r="A186" s="18"/>
      <c r="B186" s="71"/>
      <c r="C186" s="72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3">
        <f t="shared" si="36"/>
        <v>0</v>
      </c>
      <c r="AB186" s="5"/>
      <c r="AC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Z187" si="37">SUM(E177:E184)</f>
        <v>0</v>
      </c>
      <c r="F187" s="13">
        <f t="shared" si="37"/>
        <v>4</v>
      </c>
      <c r="G187" s="13">
        <f t="shared" si="37"/>
        <v>2</v>
      </c>
      <c r="H187" s="13">
        <f t="shared" si="37"/>
        <v>0</v>
      </c>
      <c r="I187" s="13">
        <f t="shared" si="37"/>
        <v>1</v>
      </c>
      <c r="J187" s="13">
        <f t="shared" si="37"/>
        <v>1</v>
      </c>
      <c r="K187" s="13">
        <f t="shared" si="37"/>
        <v>5</v>
      </c>
      <c r="L187" s="13">
        <f t="shared" si="37"/>
        <v>4</v>
      </c>
      <c r="M187" s="13">
        <f t="shared" si="37"/>
        <v>5</v>
      </c>
      <c r="N187" s="13">
        <f t="shared" si="37"/>
        <v>5</v>
      </c>
      <c r="O187" s="13">
        <f t="shared" si="37"/>
        <v>4</v>
      </c>
      <c r="P187" s="13">
        <f t="shared" si="37"/>
        <v>5</v>
      </c>
      <c r="Q187" s="13">
        <f t="shared" si="37"/>
        <v>1</v>
      </c>
      <c r="R187" s="13">
        <f t="shared" si="37"/>
        <v>0</v>
      </c>
      <c r="S187" s="13">
        <f t="shared" si="37"/>
        <v>0</v>
      </c>
      <c r="T187" s="13">
        <f t="shared" si="37"/>
        <v>1</v>
      </c>
      <c r="U187" s="13">
        <f t="shared" si="37"/>
        <v>0</v>
      </c>
      <c r="V187" s="13">
        <f t="shared" si="37"/>
        <v>3</v>
      </c>
      <c r="W187" s="13">
        <f t="shared" si="37"/>
        <v>3</v>
      </c>
      <c r="X187" s="13">
        <f t="shared" si="37"/>
        <v>2</v>
      </c>
      <c r="Y187" s="13">
        <f t="shared" si="37"/>
        <v>3</v>
      </c>
      <c r="Z187" s="13">
        <f t="shared" si="37"/>
        <v>1</v>
      </c>
      <c r="AA187" s="13">
        <f t="shared" si="36"/>
        <v>50</v>
      </c>
      <c r="AB187" s="1"/>
      <c r="AC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1.0</v>
      </c>
      <c r="Q189" s="19">
        <v>0.0</v>
      </c>
      <c r="R189" s="19">
        <v>0.0</v>
      </c>
      <c r="S189" s="19">
        <v>0.0</v>
      </c>
      <c r="T189" s="19">
        <v>1.0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3">
        <f t="shared" ref="AA189:AA199" si="38">SUM(E189:Z189)</f>
        <v>2</v>
      </c>
      <c r="AB189" s="5"/>
      <c r="AC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1.0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3">
        <f t="shared" si="38"/>
        <v>1</v>
      </c>
      <c r="AB190" s="5"/>
      <c r="AC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3">
        <f t="shared" si="38"/>
        <v>0</v>
      </c>
      <c r="AB191" s="5"/>
      <c r="AC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3">
        <f t="shared" si="38"/>
        <v>0</v>
      </c>
      <c r="AB192" s="5"/>
      <c r="AC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1.0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3">
        <f t="shared" si="38"/>
        <v>1</v>
      </c>
      <c r="AB193" s="5"/>
      <c r="AC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1.0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1.0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3">
        <f t="shared" si="38"/>
        <v>2</v>
      </c>
      <c r="AB194" s="5"/>
      <c r="AC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3">
        <f t="shared" si="38"/>
        <v>0</v>
      </c>
      <c r="AB195" s="5"/>
      <c r="AC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3">
        <f t="shared" si="38"/>
        <v>0</v>
      </c>
      <c r="AB196" s="1"/>
      <c r="AC196" s="1"/>
    </row>
    <row r="197" ht="12.75" customHeight="1">
      <c r="A197" s="18"/>
      <c r="B197" s="71"/>
      <c r="C197" s="72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3">
        <f t="shared" si="38"/>
        <v>0</v>
      </c>
      <c r="AB197" s="1"/>
      <c r="AC197" s="1"/>
    </row>
    <row r="198" ht="12.75" customHeight="1">
      <c r="A198" s="18"/>
      <c r="B198" s="71"/>
      <c r="C198" s="72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3">
        <f t="shared" si="38"/>
        <v>0</v>
      </c>
      <c r="AB198" s="1"/>
      <c r="AC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Z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2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1</v>
      </c>
      <c r="O199" s="13">
        <f t="shared" si="39"/>
        <v>0</v>
      </c>
      <c r="P199" s="13">
        <f t="shared" si="39"/>
        <v>2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1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8"/>
        <v>6</v>
      </c>
      <c r="AB199" s="52"/>
      <c r="AC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5"/>
      <c r="AC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1.0</v>
      </c>
      <c r="F201" s="19">
        <v>1.0</v>
      </c>
      <c r="G201" s="19">
        <v>1.0</v>
      </c>
      <c r="H201" s="19">
        <v>2.0</v>
      </c>
      <c r="I201" s="19">
        <v>2.0</v>
      </c>
      <c r="J201" s="19">
        <v>2.0</v>
      </c>
      <c r="K201" s="19">
        <v>4.0</v>
      </c>
      <c r="L201" s="19">
        <v>3.0</v>
      </c>
      <c r="M201" s="19">
        <v>1.0</v>
      </c>
      <c r="N201" s="19">
        <v>1.0</v>
      </c>
      <c r="O201" s="19">
        <v>3.0</v>
      </c>
      <c r="P201" s="19">
        <v>3.0</v>
      </c>
      <c r="Q201" s="19">
        <v>4.0</v>
      </c>
      <c r="R201" s="19">
        <v>5.0</v>
      </c>
      <c r="S201" s="19">
        <v>4.0</v>
      </c>
      <c r="T201" s="19">
        <v>5.0</v>
      </c>
      <c r="U201" s="19">
        <v>3.0</v>
      </c>
      <c r="V201" s="19">
        <v>1.0</v>
      </c>
      <c r="W201" s="19">
        <v>2.0</v>
      </c>
      <c r="X201" s="19">
        <v>0.0</v>
      </c>
      <c r="Y201" s="19">
        <v>1.0</v>
      </c>
      <c r="Z201" s="19">
        <v>5.0</v>
      </c>
      <c r="AA201" s="13">
        <f t="shared" ref="AA201:AA211" si="40">SUM(E201:Z201)</f>
        <v>54</v>
      </c>
      <c r="AB201" s="5"/>
      <c r="AC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1.0</v>
      </c>
      <c r="F202" s="19">
        <v>0.0</v>
      </c>
      <c r="G202" s="19">
        <v>1.0</v>
      </c>
      <c r="H202" s="19">
        <v>3.0</v>
      </c>
      <c r="I202" s="19">
        <v>22.0</v>
      </c>
      <c r="J202" s="19">
        <v>4.0</v>
      </c>
      <c r="K202" s="19">
        <v>2.0</v>
      </c>
      <c r="L202" s="19">
        <v>11.0</v>
      </c>
      <c r="M202" s="19">
        <v>5.0</v>
      </c>
      <c r="N202" s="19">
        <v>0.0</v>
      </c>
      <c r="O202" s="19">
        <v>2.0</v>
      </c>
      <c r="P202" s="19">
        <v>4.0</v>
      </c>
      <c r="Q202" s="19">
        <v>7.0</v>
      </c>
      <c r="R202" s="19">
        <v>7.0</v>
      </c>
      <c r="S202" s="19">
        <v>8.0</v>
      </c>
      <c r="T202" s="19">
        <v>2.0</v>
      </c>
      <c r="U202" s="19">
        <v>3.0</v>
      </c>
      <c r="V202" s="19">
        <v>1.0</v>
      </c>
      <c r="W202" s="19">
        <v>3.0</v>
      </c>
      <c r="X202" s="19">
        <v>3.0</v>
      </c>
      <c r="Y202" s="19">
        <v>3.0</v>
      </c>
      <c r="Z202" s="19">
        <v>9.0</v>
      </c>
      <c r="AA202" s="13">
        <f t="shared" si="40"/>
        <v>101</v>
      </c>
      <c r="AB202" s="5"/>
      <c r="AC202" s="5"/>
    </row>
    <row r="203" ht="12.75" customHeight="1">
      <c r="A203" s="18"/>
      <c r="B203" s="55">
        <v>2.0</v>
      </c>
      <c r="C203" s="50" t="s">
        <v>149</v>
      </c>
      <c r="D203" s="57"/>
      <c r="E203" s="19">
        <v>0.0</v>
      </c>
      <c r="F203" s="19">
        <v>2.0</v>
      </c>
      <c r="G203" s="19">
        <v>4.0</v>
      </c>
      <c r="H203" s="19">
        <v>3.0</v>
      </c>
      <c r="I203" s="19">
        <v>1.0</v>
      </c>
      <c r="J203" s="19">
        <v>4.0</v>
      </c>
      <c r="K203" s="19">
        <v>2.0</v>
      </c>
      <c r="L203" s="19">
        <v>4.0</v>
      </c>
      <c r="M203" s="19">
        <v>8.0</v>
      </c>
      <c r="N203" s="19">
        <v>1.0</v>
      </c>
      <c r="O203" s="19">
        <v>4.0</v>
      </c>
      <c r="P203" s="19">
        <v>2.0</v>
      </c>
      <c r="Q203" s="19">
        <v>8.0</v>
      </c>
      <c r="R203" s="19">
        <v>5.0</v>
      </c>
      <c r="S203" s="19">
        <v>6.0</v>
      </c>
      <c r="T203" s="19">
        <v>0.0</v>
      </c>
      <c r="U203" s="19">
        <v>1.0</v>
      </c>
      <c r="V203" s="19">
        <v>2.0</v>
      </c>
      <c r="W203" s="19">
        <v>4.0</v>
      </c>
      <c r="X203" s="19">
        <v>1.0</v>
      </c>
      <c r="Y203" s="19">
        <v>0.0</v>
      </c>
      <c r="Z203" s="19">
        <v>1.0</v>
      </c>
      <c r="AA203" s="13">
        <f t="shared" si="40"/>
        <v>63</v>
      </c>
      <c r="AB203" s="5"/>
      <c r="AC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5.0</v>
      </c>
      <c r="H204" s="19">
        <v>1.0</v>
      </c>
      <c r="I204" s="19">
        <v>0.0</v>
      </c>
      <c r="J204" s="19">
        <v>0.0</v>
      </c>
      <c r="K204" s="19">
        <v>0.0</v>
      </c>
      <c r="L204" s="19">
        <v>1.0</v>
      </c>
      <c r="M204" s="19">
        <v>0.0</v>
      </c>
      <c r="N204" s="19">
        <v>0.0</v>
      </c>
      <c r="O204" s="19">
        <v>1.0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1.0</v>
      </c>
      <c r="V204" s="19">
        <v>1.0</v>
      </c>
      <c r="W204" s="19">
        <v>0.0</v>
      </c>
      <c r="X204" s="19">
        <v>1.0</v>
      </c>
      <c r="Y204" s="19">
        <v>1.0</v>
      </c>
      <c r="Z204" s="19">
        <v>2.0</v>
      </c>
      <c r="AA204" s="13">
        <f t="shared" si="40"/>
        <v>14</v>
      </c>
      <c r="AB204" s="5"/>
      <c r="AC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3.0</v>
      </c>
      <c r="G205" s="19">
        <v>0.0</v>
      </c>
      <c r="H205" s="19">
        <v>0.0</v>
      </c>
      <c r="I205" s="19">
        <v>1.0</v>
      </c>
      <c r="J205" s="19">
        <v>0.0</v>
      </c>
      <c r="K205" s="19">
        <v>0.0</v>
      </c>
      <c r="L205" s="19">
        <v>1.0</v>
      </c>
      <c r="M205" s="19">
        <v>0.0</v>
      </c>
      <c r="N205" s="19">
        <v>0.0</v>
      </c>
      <c r="O205" s="19">
        <v>0.0</v>
      </c>
      <c r="P205" s="19">
        <v>0.0</v>
      </c>
      <c r="Q205" s="19">
        <v>2.0</v>
      </c>
      <c r="R205" s="19">
        <v>1.0</v>
      </c>
      <c r="S205" s="19">
        <v>1.0</v>
      </c>
      <c r="T205" s="19">
        <v>0.0</v>
      </c>
      <c r="U205" s="19">
        <v>0.0</v>
      </c>
      <c r="V205" s="19">
        <v>0.0</v>
      </c>
      <c r="W205" s="19">
        <v>0.0</v>
      </c>
      <c r="X205" s="19">
        <v>0.0</v>
      </c>
      <c r="Y205" s="19">
        <v>0.0</v>
      </c>
      <c r="Z205" s="19">
        <v>0.0</v>
      </c>
      <c r="AA205" s="13">
        <f t="shared" si="40"/>
        <v>9</v>
      </c>
      <c r="AB205" s="5"/>
      <c r="AC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2.0</v>
      </c>
      <c r="T206" s="19">
        <v>0.0</v>
      </c>
      <c r="U206" s="19">
        <v>0.0</v>
      </c>
      <c r="V206" s="19">
        <v>0.0</v>
      </c>
      <c r="W206" s="19">
        <v>0.0</v>
      </c>
      <c r="X206" s="19">
        <v>1.0</v>
      </c>
      <c r="Y206" s="19">
        <v>0.0</v>
      </c>
      <c r="Z206" s="19">
        <v>0.0</v>
      </c>
      <c r="AA206" s="13">
        <f t="shared" si="40"/>
        <v>3</v>
      </c>
      <c r="AB206" s="5"/>
      <c r="AC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1.0</v>
      </c>
      <c r="V207" s="19">
        <v>0.0</v>
      </c>
      <c r="W207" s="19">
        <v>0.0</v>
      </c>
      <c r="X207" s="19">
        <v>0.0</v>
      </c>
      <c r="Y207" s="19">
        <v>0.0</v>
      </c>
      <c r="Z207" s="19">
        <v>1.0</v>
      </c>
      <c r="AA207" s="13">
        <f t="shared" si="40"/>
        <v>2</v>
      </c>
      <c r="AB207" s="1"/>
      <c r="AC207" s="1"/>
    </row>
    <row r="208" ht="12.75" customHeight="1">
      <c r="A208" s="18"/>
      <c r="B208" s="55">
        <v>7.0</v>
      </c>
      <c r="C208" s="50" t="s">
        <v>154</v>
      </c>
      <c r="D208" s="57"/>
      <c r="E208" s="19">
        <v>1.0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1.0</v>
      </c>
      <c r="L208" s="19">
        <v>0.0</v>
      </c>
      <c r="M208" s="19">
        <v>1.0</v>
      </c>
      <c r="N208" s="19">
        <v>0.0</v>
      </c>
      <c r="O208" s="19">
        <v>1.0</v>
      </c>
      <c r="P208" s="19">
        <v>1.0</v>
      </c>
      <c r="Q208" s="19">
        <v>0.0</v>
      </c>
      <c r="R208" s="19">
        <v>1.0</v>
      </c>
      <c r="S208" s="19">
        <v>0.0</v>
      </c>
      <c r="T208" s="19">
        <v>1.0</v>
      </c>
      <c r="U208" s="19">
        <v>0.0</v>
      </c>
      <c r="V208" s="19">
        <v>1.0</v>
      </c>
      <c r="W208" s="19">
        <v>0.0</v>
      </c>
      <c r="X208" s="19">
        <v>0.0</v>
      </c>
      <c r="Y208" s="19">
        <v>0.0</v>
      </c>
      <c r="Z208" s="19">
        <v>0.0</v>
      </c>
      <c r="AA208" s="13">
        <f t="shared" si="40"/>
        <v>8</v>
      </c>
      <c r="AB208" s="52"/>
      <c r="AC208" s="52"/>
    </row>
    <row r="209" ht="12.75" customHeight="1">
      <c r="A209" s="18"/>
      <c r="B209" s="71"/>
      <c r="C209" s="72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3">
        <f t="shared" si="40"/>
        <v>0</v>
      </c>
      <c r="AB209" s="52"/>
      <c r="AC209" s="52"/>
    </row>
    <row r="210" ht="12.75" customHeight="1">
      <c r="A210" s="18"/>
      <c r="B210" s="71"/>
      <c r="C210" s="72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3">
        <f t="shared" si="40"/>
        <v>0</v>
      </c>
      <c r="AB210" s="52"/>
      <c r="AC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Z211" si="41">SUM(E201:E208)</f>
        <v>3</v>
      </c>
      <c r="F211" s="13">
        <f t="shared" si="41"/>
        <v>6</v>
      </c>
      <c r="G211" s="13">
        <f t="shared" si="41"/>
        <v>11</v>
      </c>
      <c r="H211" s="13">
        <f t="shared" si="41"/>
        <v>9</v>
      </c>
      <c r="I211" s="13">
        <f t="shared" si="41"/>
        <v>26</v>
      </c>
      <c r="J211" s="13">
        <f t="shared" si="41"/>
        <v>10</v>
      </c>
      <c r="K211" s="13">
        <f t="shared" si="41"/>
        <v>9</v>
      </c>
      <c r="L211" s="13">
        <f t="shared" si="41"/>
        <v>20</v>
      </c>
      <c r="M211" s="13">
        <f t="shared" si="41"/>
        <v>15</v>
      </c>
      <c r="N211" s="13">
        <f t="shared" si="41"/>
        <v>2</v>
      </c>
      <c r="O211" s="13">
        <f t="shared" si="41"/>
        <v>11</v>
      </c>
      <c r="P211" s="13">
        <f t="shared" si="41"/>
        <v>10</v>
      </c>
      <c r="Q211" s="13">
        <f t="shared" si="41"/>
        <v>21</v>
      </c>
      <c r="R211" s="13">
        <f t="shared" si="41"/>
        <v>19</v>
      </c>
      <c r="S211" s="13">
        <f t="shared" si="41"/>
        <v>21</v>
      </c>
      <c r="T211" s="13">
        <f t="shared" si="41"/>
        <v>8</v>
      </c>
      <c r="U211" s="13">
        <f t="shared" si="41"/>
        <v>9</v>
      </c>
      <c r="V211" s="13">
        <f t="shared" si="41"/>
        <v>6</v>
      </c>
      <c r="W211" s="13">
        <f t="shared" si="41"/>
        <v>9</v>
      </c>
      <c r="X211" s="13">
        <f t="shared" si="41"/>
        <v>6</v>
      </c>
      <c r="Y211" s="13">
        <f t="shared" si="41"/>
        <v>5</v>
      </c>
      <c r="Z211" s="13">
        <f t="shared" si="41"/>
        <v>18</v>
      </c>
      <c r="AA211" s="13">
        <f t="shared" si="40"/>
        <v>254</v>
      </c>
      <c r="AB211" s="5"/>
      <c r="AC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5"/>
      <c r="AC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3.0</v>
      </c>
      <c r="F213" s="19">
        <v>3.0</v>
      </c>
      <c r="G213" s="19">
        <v>3.0</v>
      </c>
      <c r="H213" s="19">
        <v>3.0</v>
      </c>
      <c r="I213" s="19">
        <v>0.0</v>
      </c>
      <c r="J213" s="19">
        <v>4.0</v>
      </c>
      <c r="K213" s="19">
        <v>3.0</v>
      </c>
      <c r="L213" s="19">
        <v>5.0</v>
      </c>
      <c r="M213" s="19">
        <v>1.0</v>
      </c>
      <c r="N213" s="19">
        <v>1.0</v>
      </c>
      <c r="O213" s="19">
        <v>2.0</v>
      </c>
      <c r="P213" s="19">
        <v>4.0</v>
      </c>
      <c r="Q213" s="19">
        <v>1.0</v>
      </c>
      <c r="R213" s="19">
        <v>0.0</v>
      </c>
      <c r="S213" s="19">
        <v>1.0</v>
      </c>
      <c r="T213" s="19">
        <v>2.0</v>
      </c>
      <c r="U213" s="19">
        <v>3.0</v>
      </c>
      <c r="V213" s="19">
        <v>0.0</v>
      </c>
      <c r="W213" s="19">
        <v>2.0</v>
      </c>
      <c r="X213" s="19">
        <v>0.0</v>
      </c>
      <c r="Y213" s="19">
        <v>0.0</v>
      </c>
      <c r="Z213" s="19">
        <v>6.0</v>
      </c>
      <c r="AA213" s="13">
        <f t="shared" ref="AA213:AA223" si="42">SUM(E213:Z213)</f>
        <v>47</v>
      </c>
      <c r="AB213" s="5"/>
      <c r="AC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1.0</v>
      </c>
      <c r="F214" s="19">
        <v>0.0</v>
      </c>
      <c r="G214" s="19">
        <v>4.0</v>
      </c>
      <c r="H214" s="19">
        <v>2.0</v>
      </c>
      <c r="I214" s="19">
        <v>2.0</v>
      </c>
      <c r="J214" s="19">
        <v>0.0</v>
      </c>
      <c r="K214" s="19">
        <v>1.0</v>
      </c>
      <c r="L214" s="19">
        <v>0.0</v>
      </c>
      <c r="M214" s="19">
        <v>1.0</v>
      </c>
      <c r="N214" s="19">
        <v>0.0</v>
      </c>
      <c r="O214" s="19">
        <v>0.0</v>
      </c>
      <c r="P214" s="19">
        <v>4.0</v>
      </c>
      <c r="Q214" s="19">
        <v>0.0</v>
      </c>
      <c r="R214" s="19">
        <v>1.0</v>
      </c>
      <c r="S214" s="19">
        <v>2.0</v>
      </c>
      <c r="T214" s="19">
        <v>1.0</v>
      </c>
      <c r="U214" s="19">
        <v>3.0</v>
      </c>
      <c r="V214" s="19">
        <v>1.0</v>
      </c>
      <c r="W214" s="19">
        <v>0.0</v>
      </c>
      <c r="X214" s="19">
        <v>0.0</v>
      </c>
      <c r="Y214" s="19">
        <v>0.0</v>
      </c>
      <c r="Z214" s="19">
        <v>2.0</v>
      </c>
      <c r="AA214" s="13">
        <f t="shared" si="42"/>
        <v>25</v>
      </c>
      <c r="AB214" s="5"/>
      <c r="AC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1.0</v>
      </c>
      <c r="G215" s="19">
        <v>3.0</v>
      </c>
      <c r="H215" s="19">
        <v>8.0</v>
      </c>
      <c r="I215" s="19">
        <v>0.0</v>
      </c>
      <c r="J215" s="19">
        <v>0.0</v>
      </c>
      <c r="K215" s="19">
        <v>0.0</v>
      </c>
      <c r="L215" s="19">
        <v>1.0</v>
      </c>
      <c r="M215" s="19">
        <v>0.0</v>
      </c>
      <c r="N215" s="19">
        <v>0.0</v>
      </c>
      <c r="O215" s="19">
        <v>0.0</v>
      </c>
      <c r="P215" s="19">
        <v>0.0</v>
      </c>
      <c r="Q215" s="19">
        <v>0.0</v>
      </c>
      <c r="R215" s="19">
        <v>1.0</v>
      </c>
      <c r="S215" s="19">
        <v>3.0</v>
      </c>
      <c r="T215" s="19">
        <v>0.0</v>
      </c>
      <c r="U215" s="19">
        <v>0.0</v>
      </c>
      <c r="V215" s="19">
        <v>1.0</v>
      </c>
      <c r="W215" s="19">
        <v>1.0</v>
      </c>
      <c r="X215" s="19">
        <v>0.0</v>
      </c>
      <c r="Y215" s="19">
        <v>0.0</v>
      </c>
      <c r="Z215" s="19">
        <v>2.0</v>
      </c>
      <c r="AA215" s="13">
        <f t="shared" si="42"/>
        <v>21</v>
      </c>
      <c r="AB215" s="5"/>
      <c r="AC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1.0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2.0</v>
      </c>
      <c r="N216" s="19">
        <v>0.0</v>
      </c>
      <c r="O216" s="19">
        <v>1.0</v>
      </c>
      <c r="P216" s="19">
        <v>0.0</v>
      </c>
      <c r="Q216" s="19">
        <v>0.0</v>
      </c>
      <c r="R216" s="19">
        <v>2.0</v>
      </c>
      <c r="S216" s="19">
        <v>0.0</v>
      </c>
      <c r="T216" s="19">
        <v>0.0</v>
      </c>
      <c r="U216" s="19">
        <v>0.0</v>
      </c>
      <c r="V216" s="19">
        <v>0.0</v>
      </c>
      <c r="W216" s="19">
        <v>1.0</v>
      </c>
      <c r="X216" s="19">
        <v>0.0</v>
      </c>
      <c r="Y216" s="19">
        <v>1.0</v>
      </c>
      <c r="Z216" s="19">
        <v>0.0</v>
      </c>
      <c r="AA216" s="13">
        <f t="shared" si="42"/>
        <v>8</v>
      </c>
      <c r="AB216" s="5"/>
      <c r="AC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1.0</v>
      </c>
      <c r="L217" s="19">
        <v>0.0</v>
      </c>
      <c r="M217" s="19">
        <v>0.0</v>
      </c>
      <c r="N217" s="19">
        <v>0.0</v>
      </c>
      <c r="O217" s="19">
        <v>0.0</v>
      </c>
      <c r="P217" s="19">
        <v>1.0</v>
      </c>
      <c r="Q217" s="19">
        <v>0.0</v>
      </c>
      <c r="R217" s="19">
        <v>1.0</v>
      </c>
      <c r="S217" s="19">
        <v>0.0</v>
      </c>
      <c r="T217" s="19">
        <v>0.0</v>
      </c>
      <c r="U217" s="19">
        <v>1.0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3">
        <f t="shared" si="42"/>
        <v>4</v>
      </c>
      <c r="AB217" s="5"/>
      <c r="AC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1.0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1.0</v>
      </c>
      <c r="Z218" s="19">
        <v>0.0</v>
      </c>
      <c r="AA218" s="13">
        <f t="shared" si="42"/>
        <v>2</v>
      </c>
      <c r="AB218" s="1"/>
      <c r="AC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1.0</v>
      </c>
      <c r="L219" s="19">
        <v>2.0</v>
      </c>
      <c r="M219" s="19">
        <v>1.0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1.0</v>
      </c>
      <c r="W219" s="19">
        <v>0.0</v>
      </c>
      <c r="X219" s="19">
        <v>0.0</v>
      </c>
      <c r="Y219" s="19">
        <v>0.0</v>
      </c>
      <c r="Z219" s="19">
        <v>0.0</v>
      </c>
      <c r="AA219" s="13">
        <f t="shared" si="42"/>
        <v>5</v>
      </c>
      <c r="AB219" s="52"/>
      <c r="AC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3">
        <f t="shared" si="42"/>
        <v>0</v>
      </c>
      <c r="AB220" s="5"/>
      <c r="AC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3">
        <f t="shared" si="42"/>
        <v>0</v>
      </c>
      <c r="AB221" s="5"/>
      <c r="AC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3">
        <f t="shared" si="42"/>
        <v>0</v>
      </c>
      <c r="AB222" s="5"/>
      <c r="AC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Z223" si="43">SUM(E213:E220)</f>
        <v>4</v>
      </c>
      <c r="F223" s="13">
        <f t="shared" si="43"/>
        <v>4</v>
      </c>
      <c r="G223" s="13">
        <f t="shared" si="43"/>
        <v>11</v>
      </c>
      <c r="H223" s="13">
        <f t="shared" si="43"/>
        <v>13</v>
      </c>
      <c r="I223" s="13">
        <f t="shared" si="43"/>
        <v>2</v>
      </c>
      <c r="J223" s="13">
        <f t="shared" si="43"/>
        <v>4</v>
      </c>
      <c r="K223" s="13">
        <f t="shared" si="43"/>
        <v>6</v>
      </c>
      <c r="L223" s="13">
        <f t="shared" si="43"/>
        <v>8</v>
      </c>
      <c r="M223" s="13">
        <f t="shared" si="43"/>
        <v>5</v>
      </c>
      <c r="N223" s="13">
        <f t="shared" si="43"/>
        <v>1</v>
      </c>
      <c r="O223" s="13">
        <f t="shared" si="43"/>
        <v>3</v>
      </c>
      <c r="P223" s="13">
        <f t="shared" si="43"/>
        <v>9</v>
      </c>
      <c r="Q223" s="13">
        <f t="shared" si="43"/>
        <v>2</v>
      </c>
      <c r="R223" s="13">
        <f t="shared" si="43"/>
        <v>5</v>
      </c>
      <c r="S223" s="13">
        <f t="shared" si="43"/>
        <v>6</v>
      </c>
      <c r="T223" s="13">
        <f t="shared" si="43"/>
        <v>3</v>
      </c>
      <c r="U223" s="13">
        <f t="shared" si="43"/>
        <v>7</v>
      </c>
      <c r="V223" s="13">
        <f t="shared" si="43"/>
        <v>3</v>
      </c>
      <c r="W223" s="13">
        <f t="shared" si="43"/>
        <v>4</v>
      </c>
      <c r="X223" s="13">
        <f t="shared" si="43"/>
        <v>0</v>
      </c>
      <c r="Y223" s="13">
        <f t="shared" si="43"/>
        <v>2</v>
      </c>
      <c r="Z223" s="13">
        <f t="shared" si="43"/>
        <v>10</v>
      </c>
      <c r="AA223" s="13">
        <f t="shared" si="42"/>
        <v>112</v>
      </c>
      <c r="AB223" s="5"/>
      <c r="AC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5"/>
      <c r="AC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2.0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1.0</v>
      </c>
      <c r="V225" s="19">
        <v>0.0</v>
      </c>
      <c r="W225" s="19">
        <v>1.0</v>
      </c>
      <c r="X225" s="19">
        <v>0.0</v>
      </c>
      <c r="Y225" s="19">
        <v>1.0</v>
      </c>
      <c r="Z225" s="19">
        <v>0.0</v>
      </c>
      <c r="AA225" s="13">
        <f t="shared" ref="AA225:AA235" si="44">SUM(E225:Z225)</f>
        <v>5</v>
      </c>
      <c r="AB225" s="5"/>
      <c r="AC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3.0</v>
      </c>
      <c r="K226" s="19">
        <v>0.0</v>
      </c>
      <c r="L226" s="19">
        <v>0.0</v>
      </c>
      <c r="M226" s="19">
        <v>1.0</v>
      </c>
      <c r="N226" s="19">
        <v>0.0</v>
      </c>
      <c r="O226" s="19">
        <v>0.0</v>
      </c>
      <c r="P226" s="19">
        <v>1.0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9">
        <v>0.0</v>
      </c>
      <c r="Y226" s="19">
        <v>0.0</v>
      </c>
      <c r="Z226" s="19">
        <v>0.0</v>
      </c>
      <c r="AA226" s="13">
        <f t="shared" si="44"/>
        <v>5</v>
      </c>
      <c r="AB226" s="5"/>
      <c r="AC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1.0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3">
        <f t="shared" si="44"/>
        <v>1</v>
      </c>
      <c r="AB227" s="5"/>
      <c r="AC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3">
        <f t="shared" si="44"/>
        <v>0</v>
      </c>
      <c r="AB228" s="5"/>
      <c r="AC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3">
        <f t="shared" si="44"/>
        <v>0</v>
      </c>
      <c r="AB229" s="1"/>
      <c r="AC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1.0</v>
      </c>
      <c r="I230" s="19">
        <v>0.0</v>
      </c>
      <c r="J230" s="19">
        <v>0.0</v>
      </c>
      <c r="K230" s="19">
        <v>0.0</v>
      </c>
      <c r="L230" s="19">
        <v>1.0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3">
        <f t="shared" si="44"/>
        <v>2</v>
      </c>
      <c r="AB230" s="52"/>
      <c r="AC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3">
        <f t="shared" si="44"/>
        <v>0</v>
      </c>
      <c r="AB231" s="5"/>
      <c r="AC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12.0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2.0</v>
      </c>
      <c r="N232" s="19">
        <v>0.0</v>
      </c>
      <c r="O232" s="19">
        <v>3.0</v>
      </c>
      <c r="P232" s="19">
        <v>0.0</v>
      </c>
      <c r="Q232" s="19">
        <v>0.0</v>
      </c>
      <c r="R232" s="19">
        <v>0.0</v>
      </c>
      <c r="S232" s="19">
        <v>1.0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2.0</v>
      </c>
      <c r="Z232" s="19">
        <v>0.0</v>
      </c>
      <c r="AA232" s="13">
        <f t="shared" si="44"/>
        <v>20</v>
      </c>
      <c r="AB232" s="5"/>
      <c r="AC232" s="5"/>
    </row>
    <row r="233" ht="12.75" customHeight="1">
      <c r="A233" s="18"/>
      <c r="B233" s="71"/>
      <c r="C233" s="72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3">
        <f t="shared" si="44"/>
        <v>0</v>
      </c>
      <c r="AB233" s="5"/>
      <c r="AC233" s="5"/>
    </row>
    <row r="234" ht="12.75" customHeight="1">
      <c r="A234" s="18"/>
      <c r="B234" s="71"/>
      <c r="C234" s="72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3">
        <f t="shared" si="44"/>
        <v>0</v>
      </c>
      <c r="AB234" s="5"/>
      <c r="AC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Z235" si="45">SUM(E225:E232)</f>
        <v>0</v>
      </c>
      <c r="F235" s="13">
        <f t="shared" si="45"/>
        <v>0</v>
      </c>
      <c r="G235" s="13">
        <f t="shared" si="45"/>
        <v>12</v>
      </c>
      <c r="H235" s="13">
        <f t="shared" si="45"/>
        <v>1</v>
      </c>
      <c r="I235" s="13">
        <f t="shared" si="45"/>
        <v>1</v>
      </c>
      <c r="J235" s="13">
        <f t="shared" si="45"/>
        <v>3</v>
      </c>
      <c r="K235" s="13">
        <f t="shared" si="45"/>
        <v>2</v>
      </c>
      <c r="L235" s="13">
        <f t="shared" si="45"/>
        <v>1</v>
      </c>
      <c r="M235" s="13">
        <f t="shared" si="45"/>
        <v>3</v>
      </c>
      <c r="N235" s="13">
        <f t="shared" si="45"/>
        <v>0</v>
      </c>
      <c r="O235" s="13">
        <f t="shared" si="45"/>
        <v>3</v>
      </c>
      <c r="P235" s="13">
        <f t="shared" si="45"/>
        <v>1</v>
      </c>
      <c r="Q235" s="13">
        <f t="shared" si="45"/>
        <v>0</v>
      </c>
      <c r="R235" s="13">
        <f t="shared" si="45"/>
        <v>0</v>
      </c>
      <c r="S235" s="13">
        <f t="shared" si="45"/>
        <v>1</v>
      </c>
      <c r="T235" s="13">
        <f t="shared" si="45"/>
        <v>0</v>
      </c>
      <c r="U235" s="13">
        <f t="shared" si="45"/>
        <v>1</v>
      </c>
      <c r="V235" s="13">
        <f t="shared" si="45"/>
        <v>0</v>
      </c>
      <c r="W235" s="13">
        <f t="shared" si="45"/>
        <v>1</v>
      </c>
      <c r="X235" s="13">
        <f t="shared" si="45"/>
        <v>0</v>
      </c>
      <c r="Y235" s="13">
        <f t="shared" si="45"/>
        <v>3</v>
      </c>
      <c r="Z235" s="13">
        <f t="shared" si="45"/>
        <v>0</v>
      </c>
      <c r="AA235" s="13">
        <f t="shared" si="44"/>
        <v>33</v>
      </c>
      <c r="AB235" s="5"/>
      <c r="AC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5"/>
      <c r="AC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0.0</v>
      </c>
      <c r="I237" s="19">
        <v>0.0</v>
      </c>
      <c r="J237" s="19">
        <v>3.0</v>
      </c>
      <c r="K237" s="19">
        <v>1.0</v>
      </c>
      <c r="L237" s="19">
        <v>1.0</v>
      </c>
      <c r="M237" s="19">
        <v>0.0</v>
      </c>
      <c r="N237" s="19">
        <v>0.0</v>
      </c>
      <c r="O237" s="19">
        <v>0.0</v>
      </c>
      <c r="P237" s="19">
        <v>0.0</v>
      </c>
      <c r="Q237" s="19">
        <v>0.0</v>
      </c>
      <c r="R237" s="19">
        <v>0.0</v>
      </c>
      <c r="S237" s="19">
        <v>0.0</v>
      </c>
      <c r="T237" s="19">
        <v>0.0</v>
      </c>
      <c r="U237" s="19">
        <v>0.0</v>
      </c>
      <c r="V237" s="19">
        <v>0.0</v>
      </c>
      <c r="W237" s="19">
        <v>0.0</v>
      </c>
      <c r="X237" s="19">
        <v>0.0</v>
      </c>
      <c r="Y237" s="19">
        <v>0.0</v>
      </c>
      <c r="Z237" s="19">
        <v>0.0</v>
      </c>
      <c r="AA237" s="13">
        <f t="shared" ref="AA237:AA247" si="46">SUM(E237:Z237)</f>
        <v>5</v>
      </c>
      <c r="AB237" s="5"/>
      <c r="AC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2.0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0.0</v>
      </c>
      <c r="W238" s="19">
        <v>0.0</v>
      </c>
      <c r="X238" s="19">
        <v>0.0</v>
      </c>
      <c r="Y238" s="19">
        <v>0.0</v>
      </c>
      <c r="Z238" s="19">
        <v>0.0</v>
      </c>
      <c r="AA238" s="13">
        <f t="shared" si="46"/>
        <v>2</v>
      </c>
      <c r="AB238" s="5"/>
      <c r="AC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0.0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1.0</v>
      </c>
      <c r="P239" s="19">
        <v>0.0</v>
      </c>
      <c r="Q239" s="19">
        <v>0.0</v>
      </c>
      <c r="R239" s="19">
        <v>0.0</v>
      </c>
      <c r="S239" s="19">
        <v>0.0</v>
      </c>
      <c r="T239" s="19">
        <v>0.0</v>
      </c>
      <c r="U239" s="19">
        <v>0.0</v>
      </c>
      <c r="V239" s="19">
        <v>0.0</v>
      </c>
      <c r="W239" s="19">
        <v>0.0</v>
      </c>
      <c r="X239" s="19">
        <v>0.0</v>
      </c>
      <c r="Y239" s="19">
        <v>0.0</v>
      </c>
      <c r="Z239" s="19">
        <v>0.0</v>
      </c>
      <c r="AA239" s="13">
        <f t="shared" si="46"/>
        <v>1</v>
      </c>
      <c r="AB239" s="5"/>
      <c r="AC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1.0</v>
      </c>
      <c r="J240" s="19">
        <v>0.0</v>
      </c>
      <c r="K240" s="19">
        <v>2.0</v>
      </c>
      <c r="L240" s="19">
        <v>0.0</v>
      </c>
      <c r="M240" s="19">
        <v>2.0</v>
      </c>
      <c r="N240" s="19">
        <v>1.0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2.0</v>
      </c>
      <c r="W240" s="19">
        <v>0.0</v>
      </c>
      <c r="X240" s="19">
        <v>0.0</v>
      </c>
      <c r="Y240" s="19">
        <v>0.0</v>
      </c>
      <c r="Z240" s="19">
        <v>0.0</v>
      </c>
      <c r="AA240" s="13">
        <f t="shared" si="46"/>
        <v>8</v>
      </c>
      <c r="AB240" s="1"/>
      <c r="AC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2.0</v>
      </c>
      <c r="J241" s="19">
        <v>1.0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1.0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3">
        <f t="shared" si="46"/>
        <v>4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1.0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0.0</v>
      </c>
      <c r="G244" s="19">
        <v>5.0</v>
      </c>
      <c r="H244" s="19">
        <v>4.0</v>
      </c>
      <c r="I244" s="19">
        <v>3.0</v>
      </c>
      <c r="J244" s="19">
        <v>30.0</v>
      </c>
      <c r="K244" s="19">
        <v>19.0</v>
      </c>
      <c r="L244" s="19">
        <v>1.0</v>
      </c>
      <c r="M244" s="19">
        <v>0.0</v>
      </c>
      <c r="N244" s="19">
        <v>0.0</v>
      </c>
      <c r="O244" s="19">
        <v>0.0</v>
      </c>
      <c r="P244" s="19">
        <v>0.0</v>
      </c>
      <c r="Q244" s="19">
        <v>1.0</v>
      </c>
      <c r="R244" s="19">
        <v>0.0</v>
      </c>
      <c r="S244" s="19">
        <v>2.0</v>
      </c>
      <c r="T244" s="19">
        <v>0.0</v>
      </c>
      <c r="U244" s="19">
        <v>0.0</v>
      </c>
      <c r="V244" s="19">
        <v>3.0</v>
      </c>
      <c r="W244" s="19">
        <v>1.0</v>
      </c>
      <c r="X244" s="19">
        <v>1.0</v>
      </c>
      <c r="Y244" s="19">
        <v>0.0</v>
      </c>
      <c r="Z244" s="19">
        <v>0.0</v>
      </c>
      <c r="AA244" s="13">
        <f t="shared" si="46"/>
        <v>70</v>
      </c>
    </row>
    <row r="245" ht="12.75" customHeight="1">
      <c r="A245" s="18"/>
      <c r="B245" s="71"/>
      <c r="C245" s="72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3">
        <f t="shared" si="46"/>
        <v>0</v>
      </c>
    </row>
    <row r="246" ht="12.75" customHeight="1">
      <c r="A246" s="18"/>
      <c r="B246" s="71"/>
      <c r="C246" s="72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Z247" si="47">SUM(E237:E244)</f>
        <v>0</v>
      </c>
      <c r="F247" s="13">
        <f t="shared" si="47"/>
        <v>0</v>
      </c>
      <c r="G247" s="13">
        <f t="shared" si="47"/>
        <v>5</v>
      </c>
      <c r="H247" s="13">
        <f t="shared" si="47"/>
        <v>4</v>
      </c>
      <c r="I247" s="13">
        <f t="shared" si="47"/>
        <v>6</v>
      </c>
      <c r="J247" s="13">
        <f t="shared" si="47"/>
        <v>36</v>
      </c>
      <c r="K247" s="13">
        <f t="shared" si="47"/>
        <v>22</v>
      </c>
      <c r="L247" s="13">
        <f t="shared" si="47"/>
        <v>2</v>
      </c>
      <c r="M247" s="13">
        <f t="shared" si="47"/>
        <v>2</v>
      </c>
      <c r="N247" s="13">
        <f t="shared" si="47"/>
        <v>1</v>
      </c>
      <c r="O247" s="13">
        <f t="shared" si="47"/>
        <v>1</v>
      </c>
      <c r="P247" s="13">
        <f t="shared" si="47"/>
        <v>2</v>
      </c>
      <c r="Q247" s="13">
        <f t="shared" si="47"/>
        <v>1</v>
      </c>
      <c r="R247" s="13">
        <f t="shared" si="47"/>
        <v>0</v>
      </c>
      <c r="S247" s="13">
        <f t="shared" si="47"/>
        <v>2</v>
      </c>
      <c r="T247" s="13">
        <f t="shared" si="47"/>
        <v>0</v>
      </c>
      <c r="U247" s="13">
        <f t="shared" si="47"/>
        <v>0</v>
      </c>
      <c r="V247" s="13">
        <f t="shared" si="47"/>
        <v>5</v>
      </c>
      <c r="W247" s="13">
        <f t="shared" si="47"/>
        <v>1</v>
      </c>
      <c r="X247" s="13">
        <f t="shared" si="47"/>
        <v>1</v>
      </c>
      <c r="Y247" s="13">
        <f t="shared" si="47"/>
        <v>0</v>
      </c>
      <c r="Z247" s="13">
        <f t="shared" si="47"/>
        <v>0</v>
      </c>
      <c r="AA247" s="13">
        <f t="shared" si="46"/>
        <v>91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1.0</v>
      </c>
      <c r="G249" s="19">
        <v>0.0</v>
      </c>
      <c r="H249" s="19">
        <v>2.0</v>
      </c>
      <c r="I249" s="19">
        <v>0.0</v>
      </c>
      <c r="J249" s="19">
        <v>0.0</v>
      </c>
      <c r="K249" s="19">
        <v>1.0</v>
      </c>
      <c r="L249" s="19">
        <v>0.0</v>
      </c>
      <c r="M249" s="19">
        <v>0.0</v>
      </c>
      <c r="N249" s="19">
        <v>1.0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1.0</v>
      </c>
      <c r="V249" s="19">
        <v>0.0</v>
      </c>
      <c r="W249" s="19">
        <v>0.0</v>
      </c>
      <c r="X249" s="19">
        <v>1.0</v>
      </c>
      <c r="Y249" s="19">
        <v>0.0</v>
      </c>
      <c r="Z249" s="19">
        <v>0.0</v>
      </c>
      <c r="AA249" s="13">
        <f t="shared" ref="AA249:AA259" si="48">SUM(E249:Z249)</f>
        <v>7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1.0</v>
      </c>
      <c r="H250" s="19">
        <v>0.0</v>
      </c>
      <c r="I250" s="19">
        <v>0.0</v>
      </c>
      <c r="J250" s="19">
        <v>1.0</v>
      </c>
      <c r="K250" s="19">
        <v>0.0</v>
      </c>
      <c r="L250" s="19">
        <v>0.0</v>
      </c>
      <c r="M250" s="19">
        <v>4.0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1.0</v>
      </c>
      <c r="W250" s="19">
        <v>0.0</v>
      </c>
      <c r="X250" s="19">
        <v>0.0</v>
      </c>
      <c r="Y250" s="19">
        <v>0.0</v>
      </c>
      <c r="Z250" s="19">
        <v>0.0</v>
      </c>
      <c r="AA250" s="13">
        <f t="shared" si="48"/>
        <v>7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1.0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1.0</v>
      </c>
      <c r="S251" s="19">
        <v>0.0</v>
      </c>
      <c r="T251" s="19">
        <v>0.0</v>
      </c>
      <c r="U251" s="19">
        <v>0.0</v>
      </c>
      <c r="V251" s="19">
        <v>1.0</v>
      </c>
      <c r="W251" s="19">
        <v>0.0</v>
      </c>
      <c r="X251" s="19">
        <v>0.0</v>
      </c>
      <c r="Y251" s="19">
        <v>0.0</v>
      </c>
      <c r="Z251" s="19">
        <v>0.0</v>
      </c>
      <c r="AA251" s="13">
        <f t="shared" si="48"/>
        <v>3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1.0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3">
        <f t="shared" si="48"/>
        <v>1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3">
        <f t="shared" si="48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3">
        <f t="shared" si="48"/>
        <v>0</v>
      </c>
    </row>
    <row r="256" ht="12.75" customHeight="1">
      <c r="A256" s="18"/>
      <c r="B256" s="71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3">
        <f t="shared" si="48"/>
        <v>0</v>
      </c>
    </row>
    <row r="257" ht="12.75" customHeight="1">
      <c r="A257" s="18"/>
      <c r="B257" s="71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3">
        <f t="shared" si="48"/>
        <v>0</v>
      </c>
    </row>
    <row r="258" ht="12.75" customHeight="1">
      <c r="A258" s="18"/>
      <c r="B258" s="71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3">
        <f t="shared" si="48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Z259" si="49">SUM(E249:E255)</f>
        <v>0</v>
      </c>
      <c r="F259" s="13">
        <f t="shared" si="49"/>
        <v>1</v>
      </c>
      <c r="G259" s="13">
        <f t="shared" si="49"/>
        <v>1</v>
      </c>
      <c r="H259" s="13">
        <f t="shared" si="49"/>
        <v>2</v>
      </c>
      <c r="I259" s="13">
        <f t="shared" si="49"/>
        <v>0</v>
      </c>
      <c r="J259" s="13">
        <f t="shared" si="49"/>
        <v>3</v>
      </c>
      <c r="K259" s="13">
        <f t="shared" si="49"/>
        <v>1</v>
      </c>
      <c r="L259" s="13">
        <f t="shared" si="49"/>
        <v>0</v>
      </c>
      <c r="M259" s="13">
        <f t="shared" si="49"/>
        <v>4</v>
      </c>
      <c r="N259" s="13">
        <f t="shared" si="49"/>
        <v>1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1</v>
      </c>
      <c r="S259" s="13">
        <f t="shared" si="49"/>
        <v>0</v>
      </c>
      <c r="T259" s="13">
        <f t="shared" si="49"/>
        <v>0</v>
      </c>
      <c r="U259" s="13">
        <f t="shared" si="49"/>
        <v>1</v>
      </c>
      <c r="V259" s="13">
        <f t="shared" si="49"/>
        <v>2</v>
      </c>
      <c r="W259" s="13">
        <f t="shared" si="49"/>
        <v>0</v>
      </c>
      <c r="X259" s="13">
        <f t="shared" si="49"/>
        <v>1</v>
      </c>
      <c r="Y259" s="13">
        <f t="shared" si="49"/>
        <v>0</v>
      </c>
      <c r="Z259" s="13">
        <f t="shared" si="49"/>
        <v>0</v>
      </c>
      <c r="AA259" s="13">
        <f t="shared" si="48"/>
        <v>18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0"/>
      <c r="O261" s="13"/>
      <c r="P261" s="13"/>
      <c r="Q261" s="13"/>
      <c r="R261" s="13"/>
      <c r="S261" s="70"/>
      <c r="T261" s="13"/>
      <c r="U261" s="13"/>
      <c r="V261" s="13"/>
      <c r="W261" s="13"/>
      <c r="X261" s="70"/>
      <c r="Y261" s="13"/>
      <c r="Z261" s="13"/>
      <c r="AA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Z262" si="50">E55+E67+E79+E91+E103+E115+E127+E139+E151+E163+E175+E187+E199+E211+E223+E235+E247+E259</f>
        <v>202</v>
      </c>
      <c r="F262" s="19">
        <f t="shared" si="50"/>
        <v>196</v>
      </c>
      <c r="G262" s="19">
        <f t="shared" si="50"/>
        <v>193</v>
      </c>
      <c r="H262" s="19">
        <f t="shared" si="50"/>
        <v>203</v>
      </c>
      <c r="I262" s="19">
        <f t="shared" si="50"/>
        <v>192</v>
      </c>
      <c r="J262" s="19">
        <f t="shared" si="50"/>
        <v>177</v>
      </c>
      <c r="K262" s="19">
        <f t="shared" si="50"/>
        <v>197</v>
      </c>
      <c r="L262" s="19">
        <f t="shared" si="50"/>
        <v>193</v>
      </c>
      <c r="M262" s="19">
        <f t="shared" si="50"/>
        <v>201</v>
      </c>
      <c r="N262" s="19">
        <f t="shared" si="50"/>
        <v>198</v>
      </c>
      <c r="O262" s="19">
        <f t="shared" si="50"/>
        <v>210</v>
      </c>
      <c r="P262" s="19">
        <f t="shared" si="50"/>
        <v>229</v>
      </c>
      <c r="Q262" s="19">
        <f t="shared" si="50"/>
        <v>209</v>
      </c>
      <c r="R262" s="19">
        <f t="shared" si="50"/>
        <v>149</v>
      </c>
      <c r="S262" s="19">
        <f t="shared" si="50"/>
        <v>209</v>
      </c>
      <c r="T262" s="19">
        <f t="shared" si="50"/>
        <v>194</v>
      </c>
      <c r="U262" s="19">
        <f t="shared" si="50"/>
        <v>174</v>
      </c>
      <c r="V262" s="19">
        <f t="shared" si="50"/>
        <v>173</v>
      </c>
      <c r="W262" s="19">
        <f t="shared" si="50"/>
        <v>179</v>
      </c>
      <c r="X262" s="19">
        <f t="shared" si="50"/>
        <v>196</v>
      </c>
      <c r="Y262" s="19">
        <f t="shared" si="50"/>
        <v>179</v>
      </c>
      <c r="Z262" s="19">
        <f t="shared" si="50"/>
        <v>194</v>
      </c>
      <c r="AA262" s="13">
        <f t="shared" ref="AA262:AA264" si="51">SUM(E262:Z262)</f>
        <v>4247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28.0</v>
      </c>
      <c r="F263" s="19">
        <v>12.0</v>
      </c>
      <c r="G263" s="19">
        <v>22.0</v>
      </c>
      <c r="H263" s="19">
        <v>20.0</v>
      </c>
      <c r="I263" s="19">
        <v>31.0</v>
      </c>
      <c r="J263" s="19">
        <v>42.0</v>
      </c>
      <c r="K263" s="19">
        <v>25.0</v>
      </c>
      <c r="L263" s="19">
        <v>30.0</v>
      </c>
      <c r="M263" s="19">
        <v>25.0</v>
      </c>
      <c r="N263" s="19">
        <v>26.0</v>
      </c>
      <c r="O263" s="19">
        <v>17.0</v>
      </c>
      <c r="P263" s="19">
        <v>13.0</v>
      </c>
      <c r="Q263" s="19">
        <v>22.0</v>
      </c>
      <c r="R263" s="19">
        <v>68.0</v>
      </c>
      <c r="S263" s="19">
        <v>10.0</v>
      </c>
      <c r="T263" s="19">
        <v>20.0</v>
      </c>
      <c r="U263" s="19">
        <v>28.0</v>
      </c>
      <c r="V263" s="19">
        <v>27.0</v>
      </c>
      <c r="W263" s="19">
        <v>36.0</v>
      </c>
      <c r="X263" s="19">
        <v>15.0</v>
      </c>
      <c r="Y263" s="19">
        <v>24.0</v>
      </c>
      <c r="Z263" s="19">
        <v>26.0</v>
      </c>
      <c r="AA263" s="13">
        <f t="shared" si="51"/>
        <v>567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Z264" si="52">SUM(E262:E263)</f>
        <v>230</v>
      </c>
      <c r="F264" s="13">
        <f t="shared" si="52"/>
        <v>208</v>
      </c>
      <c r="G264" s="13">
        <f t="shared" si="52"/>
        <v>215</v>
      </c>
      <c r="H264" s="13">
        <f t="shared" si="52"/>
        <v>223</v>
      </c>
      <c r="I264" s="13">
        <f t="shared" si="52"/>
        <v>223</v>
      </c>
      <c r="J264" s="13">
        <f t="shared" si="52"/>
        <v>219</v>
      </c>
      <c r="K264" s="13">
        <f t="shared" si="52"/>
        <v>222</v>
      </c>
      <c r="L264" s="13">
        <f t="shared" si="52"/>
        <v>223</v>
      </c>
      <c r="M264" s="13">
        <f t="shared" si="52"/>
        <v>226</v>
      </c>
      <c r="N264" s="13">
        <f t="shared" si="52"/>
        <v>224</v>
      </c>
      <c r="O264" s="13">
        <f t="shared" si="52"/>
        <v>227</v>
      </c>
      <c r="P264" s="13">
        <f t="shared" si="52"/>
        <v>242</v>
      </c>
      <c r="Q264" s="13">
        <f t="shared" si="52"/>
        <v>231</v>
      </c>
      <c r="R264" s="13">
        <f t="shared" si="52"/>
        <v>217</v>
      </c>
      <c r="S264" s="13">
        <f t="shared" si="52"/>
        <v>219</v>
      </c>
      <c r="T264" s="13">
        <f t="shared" si="52"/>
        <v>214</v>
      </c>
      <c r="U264" s="13">
        <f t="shared" si="52"/>
        <v>202</v>
      </c>
      <c r="V264" s="13">
        <f t="shared" si="52"/>
        <v>200</v>
      </c>
      <c r="W264" s="13">
        <f t="shared" si="52"/>
        <v>215</v>
      </c>
      <c r="X264" s="13">
        <f t="shared" si="52"/>
        <v>211</v>
      </c>
      <c r="Y264" s="13">
        <f t="shared" si="52"/>
        <v>203</v>
      </c>
      <c r="Z264" s="13">
        <f t="shared" si="52"/>
        <v>220</v>
      </c>
      <c r="AA264" s="13">
        <f t="shared" si="51"/>
        <v>4814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Z34">
    <cfRule type="expression" dxfId="0" priority="1">
      <formula>E34&lt;&gt;E64</formula>
    </cfRule>
  </conditionalFormatting>
  <conditionalFormatting sqref="E14:Z15">
    <cfRule type="containsBlanks" dxfId="1" priority="2">
      <formula>LEN(TRIM(E14))=0</formula>
    </cfRule>
  </conditionalFormatting>
  <conditionalFormatting sqref="E19:Z20">
    <cfRule type="containsBlanks" dxfId="1" priority="3">
      <formula>LEN(TRIM(E19))=0</formula>
    </cfRule>
  </conditionalFormatting>
  <conditionalFormatting sqref="E22:Z23 E25:Z26 E33:Z33 E35:Z35 E39:Z40">
    <cfRule type="containsBlanks" dxfId="1" priority="4">
      <formula>LEN(TRIM(E22))=0</formula>
    </cfRule>
  </conditionalFormatting>
  <conditionalFormatting sqref="E30:Z30">
    <cfRule type="expression" dxfId="0" priority="5">
      <formula>E30&lt;&gt;E47</formula>
    </cfRule>
  </conditionalFormatting>
  <conditionalFormatting sqref="E30:Z30">
    <cfRule type="expression" dxfId="0" priority="6">
      <formula>E30&lt;&gt;E34</formula>
    </cfRule>
  </conditionalFormatting>
  <conditionalFormatting sqref="E34:Z34">
    <cfRule type="expression" dxfId="2" priority="7">
      <formula>E30&lt;&gt;E34</formula>
    </cfRule>
  </conditionalFormatting>
  <conditionalFormatting sqref="E34:Z34">
    <cfRule type="expression" dxfId="3" priority="8">
      <formula>E30=E34</formula>
    </cfRule>
  </conditionalFormatting>
  <conditionalFormatting sqref="E34:Z34">
    <cfRule type="expression" dxfId="0" priority="9">
      <formula>E34&lt;&gt;E30</formula>
    </cfRule>
  </conditionalFormatting>
  <conditionalFormatting sqref="F45:Z54">
    <cfRule type="containsBlanks" dxfId="1" priority="10">
      <formula>LEN(TRIM(F45))=0</formula>
    </cfRule>
  </conditionalFormatting>
  <conditionalFormatting sqref="F57:Z66">
    <cfRule type="containsBlanks" dxfId="1" priority="11">
      <formula>LEN(TRIM(F57))=0</formula>
    </cfRule>
  </conditionalFormatting>
  <conditionalFormatting sqref="F69:Z78">
    <cfRule type="containsBlanks" dxfId="1" priority="12">
      <formula>LEN(TRIM(F69))=0</formula>
    </cfRule>
  </conditionalFormatting>
  <conditionalFormatting sqref="F81:Z90">
    <cfRule type="containsBlanks" dxfId="1" priority="13">
      <formula>LEN(TRIM(F81))=0</formula>
    </cfRule>
  </conditionalFormatting>
  <conditionalFormatting sqref="F93:Z102">
    <cfRule type="containsBlanks" dxfId="1" priority="14">
      <formula>LEN(TRIM(F93))=0</formula>
    </cfRule>
  </conditionalFormatting>
  <conditionalFormatting sqref="F105:Z114">
    <cfRule type="containsBlanks" dxfId="1" priority="15">
      <formula>LEN(TRIM(F105))=0</formula>
    </cfRule>
  </conditionalFormatting>
  <conditionalFormatting sqref="F117:Z126">
    <cfRule type="containsBlanks" dxfId="1" priority="16">
      <formula>LEN(TRIM(F117))=0</formula>
    </cfRule>
  </conditionalFormatting>
  <conditionalFormatting sqref="F129:Z138">
    <cfRule type="containsBlanks" dxfId="1" priority="17">
      <formula>LEN(TRIM(F129))=0</formula>
    </cfRule>
  </conditionalFormatting>
  <conditionalFormatting sqref="F141:Z150">
    <cfRule type="containsBlanks" dxfId="1" priority="18">
      <formula>LEN(TRIM(F141))=0</formula>
    </cfRule>
  </conditionalFormatting>
  <conditionalFormatting sqref="F153:Z162">
    <cfRule type="containsBlanks" dxfId="1" priority="19">
      <formula>LEN(TRIM(F153))=0</formula>
    </cfRule>
  </conditionalFormatting>
  <conditionalFormatting sqref="F165:Z174">
    <cfRule type="containsBlanks" dxfId="1" priority="20">
      <formula>LEN(TRIM(F165))=0</formula>
    </cfRule>
  </conditionalFormatting>
  <conditionalFormatting sqref="F177:Z186">
    <cfRule type="containsBlanks" dxfId="1" priority="21">
      <formula>LEN(TRIM(F177))=0</formula>
    </cfRule>
  </conditionalFormatting>
  <conditionalFormatting sqref="F189:Z198">
    <cfRule type="containsBlanks" dxfId="1" priority="22">
      <formula>LEN(TRIM(F189))=0</formula>
    </cfRule>
  </conditionalFormatting>
  <conditionalFormatting sqref="F201:Z210">
    <cfRule type="containsBlanks" dxfId="1" priority="23">
      <formula>LEN(TRIM(F201))=0</formula>
    </cfRule>
  </conditionalFormatting>
  <conditionalFormatting sqref="F213:Z222">
    <cfRule type="containsBlanks" dxfId="1" priority="24">
      <formula>LEN(TRIM(F213))=0</formula>
    </cfRule>
  </conditionalFormatting>
  <conditionalFormatting sqref="F225:Z234">
    <cfRule type="containsBlanks" dxfId="1" priority="25">
      <formula>LEN(TRIM(F225))=0</formula>
    </cfRule>
  </conditionalFormatting>
  <conditionalFormatting sqref="F237:Z246">
    <cfRule type="containsBlanks" dxfId="1" priority="26">
      <formula>LEN(TRIM(F237))=0</formula>
    </cfRule>
  </conditionalFormatting>
  <conditionalFormatting sqref="F249:Z259">
    <cfRule type="containsBlanks" dxfId="1" priority="27">
      <formula>LEN(TRIM(F249))=0</formula>
    </cfRule>
  </conditionalFormatting>
  <conditionalFormatting sqref="F262:Z263">
    <cfRule type="containsBlanks" dxfId="1" priority="28">
      <formula>LEN(TRIM(F262))=0</formula>
    </cfRule>
  </conditionalFormatting>
  <conditionalFormatting sqref="E45:E54">
    <cfRule type="containsBlanks" dxfId="1" priority="29">
      <formula>LEN(TRIM(E45))=0</formula>
    </cfRule>
  </conditionalFormatting>
  <conditionalFormatting sqref="E57:E66">
    <cfRule type="containsBlanks" dxfId="1" priority="30">
      <formula>LEN(TRIM(E57))=0</formula>
    </cfRule>
  </conditionalFormatting>
  <conditionalFormatting sqref="E69:E78">
    <cfRule type="containsBlanks" dxfId="1" priority="31">
      <formula>LEN(TRIM(E69))=0</formula>
    </cfRule>
  </conditionalFormatting>
  <conditionalFormatting sqref="E81:E90">
    <cfRule type="containsBlanks" dxfId="1" priority="32">
      <formula>LEN(TRIM(E81))=0</formula>
    </cfRule>
  </conditionalFormatting>
  <conditionalFormatting sqref="E93:E102">
    <cfRule type="containsBlanks" dxfId="1" priority="33">
      <formula>LEN(TRIM(E93))=0</formula>
    </cfRule>
  </conditionalFormatting>
  <conditionalFormatting sqref="E105:E114">
    <cfRule type="containsBlanks" dxfId="1" priority="34">
      <formula>LEN(TRIM(E105))=0</formula>
    </cfRule>
  </conditionalFormatting>
  <conditionalFormatting sqref="E117:E126">
    <cfRule type="containsBlanks" dxfId="1" priority="35">
      <formula>LEN(TRIM(E117))=0</formula>
    </cfRule>
  </conditionalFormatting>
  <conditionalFormatting sqref="E129:E138">
    <cfRule type="containsBlanks" dxfId="1" priority="36">
      <formula>LEN(TRIM(E129))=0</formula>
    </cfRule>
  </conditionalFormatting>
  <conditionalFormatting sqref="E141:E150">
    <cfRule type="containsBlanks" dxfId="1" priority="37">
      <formula>LEN(TRIM(E141))=0</formula>
    </cfRule>
  </conditionalFormatting>
  <conditionalFormatting sqref="E153:E162">
    <cfRule type="containsBlanks" dxfId="1" priority="38">
      <formula>LEN(TRIM(E153))=0</formula>
    </cfRule>
  </conditionalFormatting>
  <conditionalFormatting sqref="E165:E174">
    <cfRule type="containsBlanks" dxfId="1" priority="39">
      <formula>LEN(TRIM(E165))=0</formula>
    </cfRule>
  </conditionalFormatting>
  <conditionalFormatting sqref="E177:E186">
    <cfRule type="containsBlanks" dxfId="1" priority="40">
      <formula>LEN(TRIM(E177))=0</formula>
    </cfRule>
  </conditionalFormatting>
  <conditionalFormatting sqref="E189:E198">
    <cfRule type="containsBlanks" dxfId="1" priority="41">
      <formula>LEN(TRIM(E189))=0</formula>
    </cfRule>
  </conditionalFormatting>
  <conditionalFormatting sqref="E201:E210">
    <cfRule type="containsBlanks" dxfId="1" priority="42">
      <formula>LEN(TRIM(E201))=0</formula>
    </cfRule>
  </conditionalFormatting>
  <conditionalFormatting sqref="E213:E222">
    <cfRule type="containsBlanks" dxfId="1" priority="43">
      <formula>LEN(TRIM(E213))=0</formula>
    </cfRule>
  </conditionalFormatting>
  <conditionalFormatting sqref="E225:E234">
    <cfRule type="containsBlanks" dxfId="1" priority="44">
      <formula>LEN(TRIM(E225))=0</formula>
    </cfRule>
  </conditionalFormatting>
  <conditionalFormatting sqref="E237:E246">
    <cfRule type="containsBlanks" dxfId="1" priority="45">
      <formula>LEN(TRIM(E237))=0</formula>
    </cfRule>
  </conditionalFormatting>
  <conditionalFormatting sqref="E249:E259">
    <cfRule type="containsBlanks" dxfId="1" priority="46">
      <formula>LEN(TRIM(E249))=0</formula>
    </cfRule>
  </conditionalFormatting>
  <conditionalFormatting sqref="E262:E263">
    <cfRule type="containsBlanks" dxfId="1" priority="47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6" width="8.71"/>
    <col customWidth="1" min="37" max="37" width="13.29"/>
    <col customWidth="1" min="38" max="3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/>
      <c r="AJ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36"/>
    </row>
    <row r="14" ht="12.75" customHeight="1">
      <c r="A14" s="18"/>
      <c r="B14" s="22" t="s">
        <v>11</v>
      </c>
      <c r="C14" s="23"/>
      <c r="D14" s="19" t="s">
        <v>12</v>
      </c>
      <c r="E14" s="19">
        <v>128.0</v>
      </c>
      <c r="F14" s="19">
        <v>130.0</v>
      </c>
      <c r="G14" s="19">
        <v>145.0</v>
      </c>
      <c r="H14" s="19">
        <v>137.0</v>
      </c>
      <c r="I14" s="19">
        <v>140.0</v>
      </c>
      <c r="J14" s="19">
        <v>140.0</v>
      </c>
      <c r="K14" s="19">
        <v>126.0</v>
      </c>
      <c r="L14" s="19">
        <v>133.0</v>
      </c>
      <c r="M14" s="19">
        <v>131.0</v>
      </c>
      <c r="N14" s="19">
        <v>137.0</v>
      </c>
      <c r="O14" s="19">
        <v>140.0</v>
      </c>
      <c r="P14" s="19">
        <v>134.0</v>
      </c>
      <c r="Q14" s="19">
        <v>129.0</v>
      </c>
      <c r="R14" s="19">
        <v>129.0</v>
      </c>
      <c r="S14" s="19">
        <v>128.0</v>
      </c>
      <c r="T14" s="19">
        <v>130.0</v>
      </c>
      <c r="U14" s="19">
        <v>130.0</v>
      </c>
      <c r="V14" s="19">
        <v>134.0</v>
      </c>
      <c r="W14" s="19">
        <v>128.0</v>
      </c>
      <c r="X14" s="19">
        <v>134.0</v>
      </c>
      <c r="Y14" s="19">
        <v>133.0</v>
      </c>
      <c r="Z14" s="19">
        <v>127.0</v>
      </c>
      <c r="AA14" s="19">
        <v>137.0</v>
      </c>
      <c r="AB14" s="19">
        <v>130.0</v>
      </c>
      <c r="AC14" s="19">
        <v>142.0</v>
      </c>
      <c r="AD14" s="19">
        <v>133.0</v>
      </c>
      <c r="AE14" s="19">
        <v>138.0</v>
      </c>
      <c r="AF14" s="19">
        <v>135.0</v>
      </c>
      <c r="AG14" s="19">
        <v>125.0</v>
      </c>
      <c r="AH14" s="19">
        <v>140.0</v>
      </c>
      <c r="AI14" s="19">
        <v>135.0</v>
      </c>
      <c r="AJ14" s="19">
        <v>135.0</v>
      </c>
      <c r="AK14" s="13">
        <f t="shared" ref="AK14:AK16" si="1">SUM(E14:AJ14)</f>
        <v>4273</v>
      </c>
    </row>
    <row r="15" ht="12.75" customHeight="1">
      <c r="A15" s="18"/>
      <c r="B15" s="26"/>
      <c r="C15" s="27"/>
      <c r="D15" s="19" t="s">
        <v>13</v>
      </c>
      <c r="E15" s="19">
        <v>123.0</v>
      </c>
      <c r="F15" s="19">
        <v>135.0</v>
      </c>
      <c r="G15" s="19">
        <v>138.0</v>
      </c>
      <c r="H15" s="19">
        <v>133.0</v>
      </c>
      <c r="I15" s="19">
        <v>125.0</v>
      </c>
      <c r="J15" s="19">
        <v>139.0</v>
      </c>
      <c r="K15" s="19">
        <v>135.0</v>
      </c>
      <c r="L15" s="19">
        <v>135.0</v>
      </c>
      <c r="M15" s="19">
        <v>140.0</v>
      </c>
      <c r="N15" s="19">
        <v>136.0</v>
      </c>
      <c r="O15" s="19">
        <v>131.0</v>
      </c>
      <c r="P15" s="19">
        <v>138.0</v>
      </c>
      <c r="Q15" s="19">
        <v>135.0</v>
      </c>
      <c r="R15" s="19">
        <v>137.0</v>
      </c>
      <c r="S15" s="19">
        <v>140.0</v>
      </c>
      <c r="T15" s="19">
        <v>132.0</v>
      </c>
      <c r="U15" s="19">
        <v>138.0</v>
      </c>
      <c r="V15" s="19">
        <v>125.0</v>
      </c>
      <c r="W15" s="19">
        <v>140.0</v>
      </c>
      <c r="X15" s="19">
        <v>134.0</v>
      </c>
      <c r="Y15" s="19">
        <v>130.0</v>
      </c>
      <c r="Z15" s="19">
        <v>135.0</v>
      </c>
      <c r="AA15" s="19">
        <v>133.0</v>
      </c>
      <c r="AB15" s="19">
        <v>130.0</v>
      </c>
      <c r="AC15" s="19">
        <v>135.0</v>
      </c>
      <c r="AD15" s="19">
        <v>133.0</v>
      </c>
      <c r="AE15" s="19">
        <v>135.0</v>
      </c>
      <c r="AF15" s="19">
        <v>122.0</v>
      </c>
      <c r="AG15" s="19">
        <v>121.0</v>
      </c>
      <c r="AH15" s="19">
        <v>126.0</v>
      </c>
      <c r="AI15" s="19">
        <v>133.0</v>
      </c>
      <c r="AJ15" s="19">
        <v>133.0</v>
      </c>
      <c r="AK15" s="13">
        <f t="shared" si="1"/>
        <v>4255</v>
      </c>
    </row>
    <row r="16" ht="12.75" customHeight="1">
      <c r="A16" s="25"/>
      <c r="B16" s="21"/>
      <c r="C16" s="28"/>
      <c r="D16" s="13" t="s">
        <v>14</v>
      </c>
      <c r="E16" s="13">
        <f t="shared" ref="E16:AJ16" si="2">SUM(E14:E15)</f>
        <v>251</v>
      </c>
      <c r="F16" s="13">
        <f t="shared" si="2"/>
        <v>265</v>
      </c>
      <c r="G16" s="13">
        <f t="shared" si="2"/>
        <v>283</v>
      </c>
      <c r="H16" s="13">
        <f t="shared" si="2"/>
        <v>270</v>
      </c>
      <c r="I16" s="13">
        <f t="shared" si="2"/>
        <v>265</v>
      </c>
      <c r="J16" s="13">
        <f t="shared" si="2"/>
        <v>279</v>
      </c>
      <c r="K16" s="13">
        <f t="shared" si="2"/>
        <v>261</v>
      </c>
      <c r="L16" s="13">
        <f t="shared" si="2"/>
        <v>268</v>
      </c>
      <c r="M16" s="13">
        <f t="shared" si="2"/>
        <v>271</v>
      </c>
      <c r="N16" s="13">
        <f t="shared" si="2"/>
        <v>273</v>
      </c>
      <c r="O16" s="13">
        <f t="shared" si="2"/>
        <v>271</v>
      </c>
      <c r="P16" s="13">
        <f t="shared" si="2"/>
        <v>272</v>
      </c>
      <c r="Q16" s="13">
        <f t="shared" si="2"/>
        <v>264</v>
      </c>
      <c r="R16" s="13">
        <f t="shared" si="2"/>
        <v>266</v>
      </c>
      <c r="S16" s="13">
        <f t="shared" si="2"/>
        <v>268</v>
      </c>
      <c r="T16" s="13">
        <f t="shared" si="2"/>
        <v>262</v>
      </c>
      <c r="U16" s="13">
        <f t="shared" si="2"/>
        <v>268</v>
      </c>
      <c r="V16" s="13">
        <f t="shared" si="2"/>
        <v>259</v>
      </c>
      <c r="W16" s="13">
        <f t="shared" si="2"/>
        <v>268</v>
      </c>
      <c r="X16" s="13">
        <f t="shared" si="2"/>
        <v>268</v>
      </c>
      <c r="Y16" s="13">
        <f t="shared" si="2"/>
        <v>263</v>
      </c>
      <c r="Z16" s="13">
        <f t="shared" si="2"/>
        <v>262</v>
      </c>
      <c r="AA16" s="13">
        <f t="shared" si="2"/>
        <v>270</v>
      </c>
      <c r="AB16" s="13">
        <f t="shared" si="2"/>
        <v>260</v>
      </c>
      <c r="AC16" s="13">
        <f t="shared" si="2"/>
        <v>277</v>
      </c>
      <c r="AD16" s="13">
        <f t="shared" si="2"/>
        <v>266</v>
      </c>
      <c r="AE16" s="13">
        <f t="shared" si="2"/>
        <v>273</v>
      </c>
      <c r="AF16" s="13">
        <f t="shared" si="2"/>
        <v>257</v>
      </c>
      <c r="AG16" s="13">
        <f t="shared" si="2"/>
        <v>246</v>
      </c>
      <c r="AH16" s="13">
        <f t="shared" si="2"/>
        <v>266</v>
      </c>
      <c r="AI16" s="13">
        <f t="shared" si="2"/>
        <v>268</v>
      </c>
      <c r="AJ16" s="13">
        <f t="shared" si="2"/>
        <v>268</v>
      </c>
      <c r="AK16" s="13">
        <f t="shared" si="1"/>
        <v>8528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67"/>
      <c r="AJ17" s="19"/>
      <c r="AK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67"/>
      <c r="AJ18" s="19"/>
      <c r="AK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96.0</v>
      </c>
      <c r="F19" s="19">
        <v>92.0</v>
      </c>
      <c r="G19" s="19">
        <v>111.0</v>
      </c>
      <c r="H19" s="19">
        <v>107.0</v>
      </c>
      <c r="I19" s="19">
        <v>106.0</v>
      </c>
      <c r="J19" s="19">
        <v>108.0</v>
      </c>
      <c r="K19" s="19">
        <v>97.0</v>
      </c>
      <c r="L19" s="19">
        <v>102.0</v>
      </c>
      <c r="M19" s="19">
        <v>97.0</v>
      </c>
      <c r="N19" s="19">
        <v>114.0</v>
      </c>
      <c r="O19" s="19">
        <v>101.0</v>
      </c>
      <c r="P19" s="19">
        <v>90.0</v>
      </c>
      <c r="Q19" s="19">
        <v>99.0</v>
      </c>
      <c r="R19" s="19">
        <v>84.0</v>
      </c>
      <c r="S19" s="19">
        <v>83.0</v>
      </c>
      <c r="T19" s="19">
        <v>102.0</v>
      </c>
      <c r="U19" s="19">
        <v>97.0</v>
      </c>
      <c r="V19" s="19">
        <v>98.0</v>
      </c>
      <c r="W19" s="19">
        <v>102.0</v>
      </c>
      <c r="X19" s="19">
        <v>99.0</v>
      </c>
      <c r="Y19" s="19">
        <v>100.0</v>
      </c>
      <c r="Z19" s="19">
        <v>105.0</v>
      </c>
      <c r="AA19" s="19">
        <v>103.0</v>
      </c>
      <c r="AB19" s="19">
        <v>101.0</v>
      </c>
      <c r="AC19" s="19">
        <v>114.0</v>
      </c>
      <c r="AD19" s="19">
        <v>107.0</v>
      </c>
      <c r="AE19" s="19">
        <v>106.0</v>
      </c>
      <c r="AF19" s="19">
        <v>106.0</v>
      </c>
      <c r="AG19" s="19">
        <v>98.0</v>
      </c>
      <c r="AH19" s="19">
        <v>108.0</v>
      </c>
      <c r="AI19" s="19">
        <v>87.0</v>
      </c>
      <c r="AJ19" s="19">
        <v>108.0</v>
      </c>
      <c r="AK19" s="13">
        <f t="shared" ref="AK19:AK30" si="3">SUM(E19:AJ19)</f>
        <v>3228</v>
      </c>
    </row>
    <row r="20" ht="12.75" customHeight="1">
      <c r="A20" s="33"/>
      <c r="B20" s="27"/>
      <c r="C20" s="34"/>
      <c r="D20" s="19" t="s">
        <v>13</v>
      </c>
      <c r="E20" s="19">
        <v>100.0</v>
      </c>
      <c r="F20" s="19">
        <v>103.0</v>
      </c>
      <c r="G20" s="19">
        <v>109.0</v>
      </c>
      <c r="H20" s="19">
        <v>110.0</v>
      </c>
      <c r="I20" s="19">
        <v>112.0</v>
      </c>
      <c r="J20" s="19">
        <v>110.0</v>
      </c>
      <c r="K20" s="19">
        <v>105.0</v>
      </c>
      <c r="L20" s="19">
        <v>112.0</v>
      </c>
      <c r="M20" s="19">
        <v>106.0</v>
      </c>
      <c r="N20" s="19">
        <v>112.0</v>
      </c>
      <c r="O20" s="19">
        <v>103.0</v>
      </c>
      <c r="P20" s="19">
        <v>107.0</v>
      </c>
      <c r="Q20" s="19">
        <v>113.0</v>
      </c>
      <c r="R20" s="19">
        <v>106.0</v>
      </c>
      <c r="S20" s="19">
        <v>94.0</v>
      </c>
      <c r="T20" s="19">
        <v>109.0</v>
      </c>
      <c r="U20" s="19">
        <v>101.0</v>
      </c>
      <c r="V20" s="19">
        <v>100.0</v>
      </c>
      <c r="W20" s="19">
        <v>115.0</v>
      </c>
      <c r="X20" s="19">
        <v>90.0</v>
      </c>
      <c r="Y20" s="19">
        <v>101.0</v>
      </c>
      <c r="Z20" s="19">
        <v>108.0</v>
      </c>
      <c r="AA20" s="19">
        <v>106.0</v>
      </c>
      <c r="AB20" s="19">
        <v>105.0</v>
      </c>
      <c r="AC20" s="19">
        <v>112.0</v>
      </c>
      <c r="AD20" s="19">
        <v>104.0</v>
      </c>
      <c r="AE20" s="19">
        <v>100.0</v>
      </c>
      <c r="AF20" s="19">
        <v>101.0</v>
      </c>
      <c r="AG20" s="19">
        <v>85.0</v>
      </c>
      <c r="AH20" s="19">
        <v>95.0</v>
      </c>
      <c r="AI20" s="19">
        <v>105.0</v>
      </c>
      <c r="AJ20" s="19">
        <v>104.0</v>
      </c>
      <c r="AK20" s="13">
        <f t="shared" si="3"/>
        <v>3343</v>
      </c>
    </row>
    <row r="21" ht="12.75" customHeight="1">
      <c r="A21" s="35"/>
      <c r="B21" s="28"/>
      <c r="C21" s="36"/>
      <c r="D21" s="13" t="s">
        <v>14</v>
      </c>
      <c r="E21" s="13">
        <f t="shared" ref="E21:AJ21" si="4">SUM(E19:E20)</f>
        <v>196</v>
      </c>
      <c r="F21" s="13">
        <f t="shared" si="4"/>
        <v>195</v>
      </c>
      <c r="G21" s="13">
        <f t="shared" si="4"/>
        <v>220</v>
      </c>
      <c r="H21" s="13">
        <f t="shared" si="4"/>
        <v>217</v>
      </c>
      <c r="I21" s="13">
        <f t="shared" si="4"/>
        <v>218</v>
      </c>
      <c r="J21" s="13">
        <f t="shared" si="4"/>
        <v>218</v>
      </c>
      <c r="K21" s="13">
        <f t="shared" si="4"/>
        <v>202</v>
      </c>
      <c r="L21" s="13">
        <f t="shared" si="4"/>
        <v>214</v>
      </c>
      <c r="M21" s="13">
        <f t="shared" si="4"/>
        <v>203</v>
      </c>
      <c r="N21" s="13">
        <f t="shared" si="4"/>
        <v>226</v>
      </c>
      <c r="O21" s="13">
        <f t="shared" si="4"/>
        <v>204</v>
      </c>
      <c r="P21" s="13">
        <f t="shared" si="4"/>
        <v>197</v>
      </c>
      <c r="Q21" s="13">
        <f t="shared" si="4"/>
        <v>212</v>
      </c>
      <c r="R21" s="13">
        <f t="shared" si="4"/>
        <v>190</v>
      </c>
      <c r="S21" s="13">
        <f t="shared" si="4"/>
        <v>177</v>
      </c>
      <c r="T21" s="13">
        <f t="shared" si="4"/>
        <v>211</v>
      </c>
      <c r="U21" s="13">
        <f t="shared" si="4"/>
        <v>198</v>
      </c>
      <c r="V21" s="13">
        <f t="shared" si="4"/>
        <v>198</v>
      </c>
      <c r="W21" s="13">
        <f t="shared" si="4"/>
        <v>217</v>
      </c>
      <c r="X21" s="13">
        <f t="shared" si="4"/>
        <v>189</v>
      </c>
      <c r="Y21" s="13">
        <f t="shared" si="4"/>
        <v>201</v>
      </c>
      <c r="Z21" s="13">
        <f t="shared" si="4"/>
        <v>213</v>
      </c>
      <c r="AA21" s="13">
        <f t="shared" si="4"/>
        <v>209</v>
      </c>
      <c r="AB21" s="13">
        <f t="shared" si="4"/>
        <v>206</v>
      </c>
      <c r="AC21" s="13">
        <f t="shared" si="4"/>
        <v>226</v>
      </c>
      <c r="AD21" s="13">
        <f t="shared" si="4"/>
        <v>211</v>
      </c>
      <c r="AE21" s="13">
        <f t="shared" si="4"/>
        <v>206</v>
      </c>
      <c r="AF21" s="13">
        <f t="shared" si="4"/>
        <v>207</v>
      </c>
      <c r="AG21" s="13">
        <f t="shared" si="4"/>
        <v>183</v>
      </c>
      <c r="AH21" s="13">
        <f t="shared" si="4"/>
        <v>203</v>
      </c>
      <c r="AI21" s="13">
        <f t="shared" si="4"/>
        <v>192</v>
      </c>
      <c r="AJ21" s="13">
        <f t="shared" si="4"/>
        <v>212</v>
      </c>
      <c r="AK21" s="13">
        <f t="shared" si="3"/>
        <v>6571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1.0</v>
      </c>
      <c r="P22" s="19">
        <v>0.0</v>
      </c>
      <c r="Q22" s="19">
        <v>1.0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1.0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1.0</v>
      </c>
      <c r="AG22" s="19">
        <v>0.0</v>
      </c>
      <c r="AH22" s="19">
        <v>0.0</v>
      </c>
      <c r="AI22" s="19">
        <v>0.0</v>
      </c>
      <c r="AJ22" s="19">
        <v>0.0</v>
      </c>
      <c r="AK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1.0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1.0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AJ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2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1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1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2.0</v>
      </c>
      <c r="G25" s="19">
        <v>2.0</v>
      </c>
      <c r="H25" s="19">
        <v>0.0</v>
      </c>
      <c r="I25" s="19">
        <v>0.0</v>
      </c>
      <c r="J25" s="19">
        <v>1.0</v>
      </c>
      <c r="K25" s="19">
        <v>1.0</v>
      </c>
      <c r="L25" s="19">
        <v>0.0</v>
      </c>
      <c r="M25" s="19">
        <v>1.0</v>
      </c>
      <c r="N25" s="19">
        <v>0.0</v>
      </c>
      <c r="O25" s="19">
        <v>1.0</v>
      </c>
      <c r="P25" s="19">
        <v>2.0</v>
      </c>
      <c r="Q25" s="19">
        <v>2.0</v>
      </c>
      <c r="R25" s="19">
        <v>0.0</v>
      </c>
      <c r="S25" s="19">
        <v>0.0</v>
      </c>
      <c r="T25" s="19">
        <v>1.0</v>
      </c>
      <c r="U25" s="19">
        <v>0.0</v>
      </c>
      <c r="V25" s="19">
        <v>1.0</v>
      </c>
      <c r="W25" s="19">
        <v>0.0</v>
      </c>
      <c r="X25" s="19">
        <v>3.0</v>
      </c>
      <c r="Y25" s="19">
        <v>0.0</v>
      </c>
      <c r="Z25" s="19">
        <v>1.0</v>
      </c>
      <c r="AA25" s="19">
        <v>0.0</v>
      </c>
      <c r="AB25" s="19">
        <v>1.0</v>
      </c>
      <c r="AC25" s="19">
        <v>1.0</v>
      </c>
      <c r="AD25" s="19">
        <v>3.0</v>
      </c>
      <c r="AE25" s="19">
        <v>2.0</v>
      </c>
      <c r="AF25" s="19">
        <v>0.0</v>
      </c>
      <c r="AG25" s="19">
        <v>3.0</v>
      </c>
      <c r="AH25" s="19">
        <v>1.0</v>
      </c>
      <c r="AI25" s="19">
        <v>2.0</v>
      </c>
      <c r="AJ25" s="19">
        <v>2.0</v>
      </c>
      <c r="AK25" s="13">
        <f t="shared" si="3"/>
        <v>35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2.0</v>
      </c>
      <c r="G26" s="19">
        <v>3.0</v>
      </c>
      <c r="H26" s="19">
        <v>0.0</v>
      </c>
      <c r="I26" s="19">
        <v>1.0</v>
      </c>
      <c r="J26" s="19">
        <v>1.0</v>
      </c>
      <c r="K26" s="19">
        <v>2.0</v>
      </c>
      <c r="L26" s="19">
        <v>0.0</v>
      </c>
      <c r="M26" s="19">
        <v>2.0</v>
      </c>
      <c r="N26" s="19">
        <v>4.0</v>
      </c>
      <c r="O26" s="19">
        <v>1.0</v>
      </c>
      <c r="P26" s="19">
        <v>2.0</v>
      </c>
      <c r="Q26" s="19">
        <v>2.0</v>
      </c>
      <c r="R26" s="19">
        <v>1.0</v>
      </c>
      <c r="S26" s="19">
        <v>0.0</v>
      </c>
      <c r="T26" s="19">
        <v>0.0</v>
      </c>
      <c r="U26" s="19">
        <v>2.0</v>
      </c>
      <c r="V26" s="19">
        <v>0.0</v>
      </c>
      <c r="W26" s="19">
        <v>0.0</v>
      </c>
      <c r="X26" s="19">
        <v>5.0</v>
      </c>
      <c r="Y26" s="19">
        <v>0.0</v>
      </c>
      <c r="Z26" s="19">
        <v>0.0</v>
      </c>
      <c r="AA26" s="19">
        <v>4.0</v>
      </c>
      <c r="AB26" s="19">
        <v>2.0</v>
      </c>
      <c r="AC26" s="19">
        <v>3.0</v>
      </c>
      <c r="AD26" s="19">
        <v>0.0</v>
      </c>
      <c r="AE26" s="19">
        <v>3.0</v>
      </c>
      <c r="AF26" s="19">
        <v>0.0</v>
      </c>
      <c r="AG26" s="19">
        <v>2.0</v>
      </c>
      <c r="AH26" s="19">
        <v>3.0</v>
      </c>
      <c r="AI26" s="19">
        <v>1.0</v>
      </c>
      <c r="AJ26" s="19">
        <v>1.0</v>
      </c>
      <c r="AK26" s="13">
        <f t="shared" si="3"/>
        <v>48</v>
      </c>
    </row>
    <row r="27" ht="12.75" customHeight="1">
      <c r="A27" s="35"/>
      <c r="B27" s="28"/>
      <c r="C27" s="36"/>
      <c r="D27" s="13" t="s">
        <v>14</v>
      </c>
      <c r="E27" s="13">
        <f t="shared" ref="E27:AJ27" si="6">SUM(E25:E26)</f>
        <v>3</v>
      </c>
      <c r="F27" s="13">
        <f t="shared" si="6"/>
        <v>4</v>
      </c>
      <c r="G27" s="13">
        <f t="shared" si="6"/>
        <v>5</v>
      </c>
      <c r="H27" s="13">
        <f t="shared" si="6"/>
        <v>0</v>
      </c>
      <c r="I27" s="13">
        <f t="shared" si="6"/>
        <v>1</v>
      </c>
      <c r="J27" s="13">
        <f t="shared" si="6"/>
        <v>2</v>
      </c>
      <c r="K27" s="13">
        <f t="shared" si="6"/>
        <v>3</v>
      </c>
      <c r="L27" s="13">
        <f t="shared" si="6"/>
        <v>0</v>
      </c>
      <c r="M27" s="13">
        <f t="shared" si="6"/>
        <v>3</v>
      </c>
      <c r="N27" s="13">
        <f t="shared" si="6"/>
        <v>4</v>
      </c>
      <c r="O27" s="13">
        <f t="shared" si="6"/>
        <v>2</v>
      </c>
      <c r="P27" s="13">
        <f t="shared" si="6"/>
        <v>4</v>
      </c>
      <c r="Q27" s="13">
        <f t="shared" si="6"/>
        <v>4</v>
      </c>
      <c r="R27" s="13">
        <f t="shared" si="6"/>
        <v>1</v>
      </c>
      <c r="S27" s="13">
        <f t="shared" si="6"/>
        <v>0</v>
      </c>
      <c r="T27" s="13">
        <f t="shared" si="6"/>
        <v>1</v>
      </c>
      <c r="U27" s="13">
        <f t="shared" si="6"/>
        <v>2</v>
      </c>
      <c r="V27" s="13">
        <f t="shared" si="6"/>
        <v>1</v>
      </c>
      <c r="W27" s="13">
        <f t="shared" si="6"/>
        <v>0</v>
      </c>
      <c r="X27" s="13">
        <f t="shared" si="6"/>
        <v>8</v>
      </c>
      <c r="Y27" s="13">
        <f t="shared" si="6"/>
        <v>0</v>
      </c>
      <c r="Z27" s="13">
        <f t="shared" si="6"/>
        <v>1</v>
      </c>
      <c r="AA27" s="13">
        <f t="shared" si="6"/>
        <v>4</v>
      </c>
      <c r="AB27" s="13">
        <f t="shared" si="6"/>
        <v>3</v>
      </c>
      <c r="AC27" s="13">
        <f t="shared" si="6"/>
        <v>4</v>
      </c>
      <c r="AD27" s="13">
        <f t="shared" si="6"/>
        <v>3</v>
      </c>
      <c r="AE27" s="13">
        <f t="shared" si="6"/>
        <v>5</v>
      </c>
      <c r="AF27" s="13">
        <f t="shared" si="6"/>
        <v>0</v>
      </c>
      <c r="AG27" s="13">
        <f t="shared" si="6"/>
        <v>5</v>
      </c>
      <c r="AH27" s="13">
        <f t="shared" si="6"/>
        <v>4</v>
      </c>
      <c r="AI27" s="13">
        <f t="shared" si="6"/>
        <v>3</v>
      </c>
      <c r="AJ27" s="13">
        <f t="shared" si="6"/>
        <v>3</v>
      </c>
      <c r="AK27" s="13">
        <f t="shared" si="3"/>
        <v>83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J28" si="7">SUM(E19,E22,E25)</f>
        <v>98</v>
      </c>
      <c r="F28" s="13">
        <f t="shared" si="7"/>
        <v>94</v>
      </c>
      <c r="G28" s="13">
        <f t="shared" si="7"/>
        <v>113</v>
      </c>
      <c r="H28" s="13">
        <f t="shared" si="7"/>
        <v>107</v>
      </c>
      <c r="I28" s="13">
        <f t="shared" si="7"/>
        <v>107</v>
      </c>
      <c r="J28" s="13">
        <f t="shared" si="7"/>
        <v>109</v>
      </c>
      <c r="K28" s="13">
        <f t="shared" si="7"/>
        <v>98</v>
      </c>
      <c r="L28" s="13">
        <f t="shared" si="7"/>
        <v>102</v>
      </c>
      <c r="M28" s="13">
        <f t="shared" si="7"/>
        <v>98</v>
      </c>
      <c r="N28" s="13">
        <f t="shared" si="7"/>
        <v>114</v>
      </c>
      <c r="O28" s="13">
        <f t="shared" si="7"/>
        <v>103</v>
      </c>
      <c r="P28" s="13">
        <f t="shared" si="7"/>
        <v>92</v>
      </c>
      <c r="Q28" s="13">
        <f t="shared" si="7"/>
        <v>102</v>
      </c>
      <c r="R28" s="13">
        <f t="shared" si="7"/>
        <v>84</v>
      </c>
      <c r="S28" s="13">
        <f t="shared" si="7"/>
        <v>83</v>
      </c>
      <c r="T28" s="13">
        <f t="shared" si="7"/>
        <v>103</v>
      </c>
      <c r="U28" s="13">
        <f t="shared" si="7"/>
        <v>97</v>
      </c>
      <c r="V28" s="13">
        <f t="shared" si="7"/>
        <v>99</v>
      </c>
      <c r="W28" s="13">
        <f t="shared" si="7"/>
        <v>102</v>
      </c>
      <c r="X28" s="13">
        <f t="shared" si="7"/>
        <v>102</v>
      </c>
      <c r="Y28" s="13">
        <f t="shared" si="7"/>
        <v>100</v>
      </c>
      <c r="Z28" s="13">
        <f t="shared" si="7"/>
        <v>107</v>
      </c>
      <c r="AA28" s="13">
        <f t="shared" si="7"/>
        <v>103</v>
      </c>
      <c r="AB28" s="13">
        <f t="shared" si="7"/>
        <v>102</v>
      </c>
      <c r="AC28" s="13">
        <f t="shared" si="7"/>
        <v>115</v>
      </c>
      <c r="AD28" s="13">
        <f t="shared" si="7"/>
        <v>110</v>
      </c>
      <c r="AE28" s="13">
        <f t="shared" si="7"/>
        <v>108</v>
      </c>
      <c r="AF28" s="13">
        <f t="shared" si="7"/>
        <v>107</v>
      </c>
      <c r="AG28" s="13">
        <f t="shared" si="7"/>
        <v>101</v>
      </c>
      <c r="AH28" s="13">
        <f t="shared" si="7"/>
        <v>109</v>
      </c>
      <c r="AI28" s="13">
        <f t="shared" si="7"/>
        <v>89</v>
      </c>
      <c r="AJ28" s="13">
        <f t="shared" si="7"/>
        <v>110</v>
      </c>
      <c r="AK28" s="13">
        <f t="shared" si="3"/>
        <v>3268</v>
      </c>
    </row>
    <row r="29" ht="12.75" customHeight="1">
      <c r="A29" s="35"/>
      <c r="B29" s="27"/>
      <c r="C29" s="34"/>
      <c r="D29" s="13" t="s">
        <v>13</v>
      </c>
      <c r="E29" s="13">
        <f t="shared" ref="E29:AJ29" si="8">SUM(E20,E23,E26)</f>
        <v>102</v>
      </c>
      <c r="F29" s="13">
        <f t="shared" si="8"/>
        <v>105</v>
      </c>
      <c r="G29" s="13">
        <f t="shared" si="8"/>
        <v>112</v>
      </c>
      <c r="H29" s="13">
        <f t="shared" si="8"/>
        <v>110</v>
      </c>
      <c r="I29" s="13">
        <f t="shared" si="8"/>
        <v>114</v>
      </c>
      <c r="J29" s="13">
        <f t="shared" si="8"/>
        <v>111</v>
      </c>
      <c r="K29" s="13">
        <f t="shared" si="8"/>
        <v>107</v>
      </c>
      <c r="L29" s="13">
        <f t="shared" si="8"/>
        <v>112</v>
      </c>
      <c r="M29" s="13">
        <f t="shared" si="8"/>
        <v>108</v>
      </c>
      <c r="N29" s="13">
        <f t="shared" si="8"/>
        <v>116</v>
      </c>
      <c r="O29" s="13">
        <f t="shared" si="8"/>
        <v>105</v>
      </c>
      <c r="P29" s="13">
        <f t="shared" si="8"/>
        <v>109</v>
      </c>
      <c r="Q29" s="13">
        <f t="shared" si="8"/>
        <v>115</v>
      </c>
      <c r="R29" s="13">
        <f t="shared" si="8"/>
        <v>107</v>
      </c>
      <c r="S29" s="13">
        <f t="shared" si="8"/>
        <v>94</v>
      </c>
      <c r="T29" s="13">
        <f t="shared" si="8"/>
        <v>109</v>
      </c>
      <c r="U29" s="13">
        <f t="shared" si="8"/>
        <v>104</v>
      </c>
      <c r="V29" s="13">
        <f t="shared" si="8"/>
        <v>100</v>
      </c>
      <c r="W29" s="13">
        <f t="shared" si="8"/>
        <v>115</v>
      </c>
      <c r="X29" s="13">
        <f t="shared" si="8"/>
        <v>95</v>
      </c>
      <c r="Y29" s="13">
        <f t="shared" si="8"/>
        <v>101</v>
      </c>
      <c r="Z29" s="13">
        <f t="shared" si="8"/>
        <v>108</v>
      </c>
      <c r="AA29" s="13">
        <f t="shared" si="8"/>
        <v>110</v>
      </c>
      <c r="AB29" s="13">
        <f t="shared" si="8"/>
        <v>107</v>
      </c>
      <c r="AC29" s="13">
        <f t="shared" si="8"/>
        <v>115</v>
      </c>
      <c r="AD29" s="13">
        <f t="shared" si="8"/>
        <v>104</v>
      </c>
      <c r="AE29" s="13">
        <f t="shared" si="8"/>
        <v>103</v>
      </c>
      <c r="AF29" s="13">
        <f t="shared" si="8"/>
        <v>101</v>
      </c>
      <c r="AG29" s="13">
        <f t="shared" si="8"/>
        <v>87</v>
      </c>
      <c r="AH29" s="13">
        <f t="shared" si="8"/>
        <v>98</v>
      </c>
      <c r="AI29" s="13">
        <f t="shared" si="8"/>
        <v>106</v>
      </c>
      <c r="AJ29" s="13">
        <f t="shared" si="8"/>
        <v>105</v>
      </c>
      <c r="AK29" s="13">
        <f t="shared" si="3"/>
        <v>3395</v>
      </c>
    </row>
    <row r="30" ht="12.75" customHeight="1">
      <c r="A30" s="35"/>
      <c r="B30" s="28"/>
      <c r="C30" s="36"/>
      <c r="D30" s="13" t="s">
        <v>14</v>
      </c>
      <c r="E30" s="13">
        <f t="shared" ref="E30:AJ30" si="9">SUM(E28:E29)</f>
        <v>200</v>
      </c>
      <c r="F30" s="13">
        <f t="shared" si="9"/>
        <v>199</v>
      </c>
      <c r="G30" s="13">
        <f t="shared" si="9"/>
        <v>225</v>
      </c>
      <c r="H30" s="13">
        <f t="shared" si="9"/>
        <v>217</v>
      </c>
      <c r="I30" s="13">
        <f t="shared" si="9"/>
        <v>221</v>
      </c>
      <c r="J30" s="13">
        <f t="shared" si="9"/>
        <v>220</v>
      </c>
      <c r="K30" s="13">
        <f t="shared" si="9"/>
        <v>205</v>
      </c>
      <c r="L30" s="13">
        <f t="shared" si="9"/>
        <v>214</v>
      </c>
      <c r="M30" s="13">
        <f t="shared" si="9"/>
        <v>206</v>
      </c>
      <c r="N30" s="13">
        <f t="shared" si="9"/>
        <v>230</v>
      </c>
      <c r="O30" s="13">
        <f t="shared" si="9"/>
        <v>208</v>
      </c>
      <c r="P30" s="13">
        <f t="shared" si="9"/>
        <v>201</v>
      </c>
      <c r="Q30" s="13">
        <f t="shared" si="9"/>
        <v>217</v>
      </c>
      <c r="R30" s="13">
        <f t="shared" si="9"/>
        <v>191</v>
      </c>
      <c r="S30" s="13">
        <f t="shared" si="9"/>
        <v>177</v>
      </c>
      <c r="T30" s="13">
        <f t="shared" si="9"/>
        <v>212</v>
      </c>
      <c r="U30" s="13">
        <f t="shared" si="9"/>
        <v>201</v>
      </c>
      <c r="V30" s="13">
        <f t="shared" si="9"/>
        <v>199</v>
      </c>
      <c r="W30" s="13">
        <f t="shared" si="9"/>
        <v>217</v>
      </c>
      <c r="X30" s="13">
        <f t="shared" si="9"/>
        <v>197</v>
      </c>
      <c r="Y30" s="13">
        <f t="shared" si="9"/>
        <v>201</v>
      </c>
      <c r="Z30" s="13">
        <f t="shared" si="9"/>
        <v>215</v>
      </c>
      <c r="AA30" s="13">
        <f t="shared" si="9"/>
        <v>213</v>
      </c>
      <c r="AB30" s="13">
        <f t="shared" si="9"/>
        <v>209</v>
      </c>
      <c r="AC30" s="13">
        <f t="shared" si="9"/>
        <v>230</v>
      </c>
      <c r="AD30" s="13">
        <f t="shared" si="9"/>
        <v>214</v>
      </c>
      <c r="AE30" s="13">
        <f t="shared" si="9"/>
        <v>211</v>
      </c>
      <c r="AF30" s="13">
        <f t="shared" si="9"/>
        <v>208</v>
      </c>
      <c r="AG30" s="13">
        <f t="shared" si="9"/>
        <v>188</v>
      </c>
      <c r="AH30" s="13">
        <f t="shared" si="9"/>
        <v>207</v>
      </c>
      <c r="AI30" s="13">
        <f t="shared" si="9"/>
        <v>195</v>
      </c>
      <c r="AJ30" s="13">
        <f t="shared" si="9"/>
        <v>215</v>
      </c>
      <c r="AK30" s="13">
        <f t="shared" si="3"/>
        <v>6663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67"/>
      <c r="AJ31" s="19"/>
      <c r="AK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0"/>
      <c r="O32" s="13"/>
      <c r="P32" s="13"/>
      <c r="Q32" s="13"/>
      <c r="R32" s="13"/>
      <c r="S32" s="70"/>
      <c r="T32" s="13"/>
      <c r="U32" s="13"/>
      <c r="V32" s="13"/>
      <c r="W32" s="13"/>
      <c r="X32" s="70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70"/>
      <c r="AJ32" s="13"/>
      <c r="AK32" s="68"/>
    </row>
    <row r="33" ht="12.75" customHeight="1">
      <c r="A33" s="19">
        <v>1.0</v>
      </c>
      <c r="B33" s="20" t="s">
        <v>27</v>
      </c>
      <c r="C33" s="15"/>
      <c r="D33" s="16"/>
      <c r="E33" s="19">
        <v>257.0</v>
      </c>
      <c r="F33" s="19">
        <v>271.0</v>
      </c>
      <c r="G33" s="19">
        <v>289.0</v>
      </c>
      <c r="H33" s="19">
        <v>277.0</v>
      </c>
      <c r="I33" s="19">
        <v>271.0</v>
      </c>
      <c r="J33" s="19">
        <v>285.0</v>
      </c>
      <c r="K33" s="19">
        <v>267.0</v>
      </c>
      <c r="L33" s="19">
        <v>273.0</v>
      </c>
      <c r="M33" s="19">
        <v>277.0</v>
      </c>
      <c r="N33" s="19">
        <v>279.0</v>
      </c>
      <c r="O33" s="19">
        <v>278.0</v>
      </c>
      <c r="P33" s="19">
        <v>278.0</v>
      </c>
      <c r="Q33" s="19">
        <v>270.0</v>
      </c>
      <c r="R33" s="19">
        <v>272.0</v>
      </c>
      <c r="S33" s="19">
        <v>275.0</v>
      </c>
      <c r="T33" s="19">
        <v>269.0</v>
      </c>
      <c r="U33" s="19">
        <v>274.0</v>
      </c>
      <c r="V33" s="19">
        <v>265.0</v>
      </c>
      <c r="W33" s="19">
        <v>274.0</v>
      </c>
      <c r="X33" s="19">
        <v>274.0</v>
      </c>
      <c r="Y33" s="19">
        <v>269.0</v>
      </c>
      <c r="Z33" s="19">
        <v>268.0</v>
      </c>
      <c r="AA33" s="19">
        <v>276.0</v>
      </c>
      <c r="AB33" s="19">
        <v>266.0</v>
      </c>
      <c r="AC33" s="19">
        <v>274.0</v>
      </c>
      <c r="AD33" s="19">
        <v>272.0</v>
      </c>
      <c r="AE33" s="19">
        <v>280.0</v>
      </c>
      <c r="AF33" s="19">
        <v>263.0</v>
      </c>
      <c r="AG33" s="19">
        <v>251.0</v>
      </c>
      <c r="AH33" s="19">
        <v>272.0</v>
      </c>
      <c r="AI33" s="19">
        <v>277.0</v>
      </c>
      <c r="AJ33" s="19">
        <v>274.0</v>
      </c>
      <c r="AK33" s="13">
        <f t="shared" ref="AK33:AK36" si="10">SUM(E33:AJ33)</f>
        <v>8717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199.0</v>
      </c>
      <c r="G34" s="13">
        <v>225.0</v>
      </c>
      <c r="H34" s="13">
        <v>217.0</v>
      </c>
      <c r="I34" s="13">
        <v>221.0</v>
      </c>
      <c r="J34" s="13">
        <v>220.0</v>
      </c>
      <c r="K34" s="13">
        <v>205.0</v>
      </c>
      <c r="L34" s="13">
        <v>214.0</v>
      </c>
      <c r="M34" s="13">
        <v>206.0</v>
      </c>
      <c r="N34" s="13">
        <v>230.0</v>
      </c>
      <c r="O34" s="13">
        <v>208.0</v>
      </c>
      <c r="P34" s="13">
        <v>201.0</v>
      </c>
      <c r="Q34" s="13">
        <v>217.0</v>
      </c>
      <c r="R34" s="13">
        <v>191.0</v>
      </c>
      <c r="S34" s="13">
        <v>177.0</v>
      </c>
      <c r="T34" s="13">
        <v>212.0</v>
      </c>
      <c r="U34" s="13">
        <v>201.0</v>
      </c>
      <c r="V34" s="13">
        <v>199.0</v>
      </c>
      <c r="W34" s="13">
        <v>217.0</v>
      </c>
      <c r="X34" s="13">
        <v>197.0</v>
      </c>
      <c r="Y34" s="13">
        <v>201.0</v>
      </c>
      <c r="Z34" s="13">
        <v>215.0</v>
      </c>
      <c r="AA34" s="13">
        <v>213.0</v>
      </c>
      <c r="AB34" s="13">
        <v>209.0</v>
      </c>
      <c r="AC34" s="13">
        <v>230.0</v>
      </c>
      <c r="AD34" s="13">
        <v>214.0</v>
      </c>
      <c r="AE34" s="13">
        <v>211.0</v>
      </c>
      <c r="AF34" s="13">
        <v>208.0</v>
      </c>
      <c r="AG34" s="13">
        <v>188.0</v>
      </c>
      <c r="AH34" s="13">
        <v>207.0</v>
      </c>
      <c r="AI34" s="13">
        <v>195.0</v>
      </c>
      <c r="AJ34" s="13">
        <v>215.0</v>
      </c>
      <c r="AK34" s="13">
        <f t="shared" si="10"/>
        <v>6663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2.0</v>
      </c>
      <c r="H35" s="19">
        <v>0.0</v>
      </c>
      <c r="I35" s="19">
        <v>0.0</v>
      </c>
      <c r="J35" s="19">
        <v>0.0</v>
      </c>
      <c r="K35" s="19">
        <v>0.0</v>
      </c>
      <c r="L35" s="19">
        <v>1.0</v>
      </c>
      <c r="M35" s="19">
        <v>0.0</v>
      </c>
      <c r="N35" s="19">
        <v>1.0</v>
      </c>
      <c r="O35" s="19">
        <v>1.0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1.0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1.0</v>
      </c>
      <c r="AJ35" s="19">
        <v>3.0</v>
      </c>
      <c r="AK35" s="13">
        <f t="shared" si="10"/>
        <v>11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J36" si="11">E33-(E34+E35)</f>
        <v>56</v>
      </c>
      <c r="F36" s="13">
        <f t="shared" si="11"/>
        <v>72</v>
      </c>
      <c r="G36" s="13">
        <f t="shared" si="11"/>
        <v>62</v>
      </c>
      <c r="H36" s="13">
        <f t="shared" si="11"/>
        <v>60</v>
      </c>
      <c r="I36" s="13">
        <f t="shared" si="11"/>
        <v>50</v>
      </c>
      <c r="J36" s="13">
        <f t="shared" si="11"/>
        <v>65</v>
      </c>
      <c r="K36" s="13">
        <f t="shared" si="11"/>
        <v>62</v>
      </c>
      <c r="L36" s="13">
        <f t="shared" si="11"/>
        <v>58</v>
      </c>
      <c r="M36" s="13">
        <f t="shared" si="11"/>
        <v>71</v>
      </c>
      <c r="N36" s="13">
        <f t="shared" si="11"/>
        <v>48</v>
      </c>
      <c r="O36" s="13">
        <f t="shared" si="11"/>
        <v>69</v>
      </c>
      <c r="P36" s="13">
        <f t="shared" si="11"/>
        <v>77</v>
      </c>
      <c r="Q36" s="13">
        <f t="shared" si="11"/>
        <v>53</v>
      </c>
      <c r="R36" s="13">
        <f t="shared" si="11"/>
        <v>81</v>
      </c>
      <c r="S36" s="13">
        <f t="shared" si="11"/>
        <v>98</v>
      </c>
      <c r="T36" s="13">
        <f t="shared" si="11"/>
        <v>57</v>
      </c>
      <c r="U36" s="13">
        <f t="shared" si="11"/>
        <v>73</v>
      </c>
      <c r="V36" s="13">
        <f t="shared" si="11"/>
        <v>66</v>
      </c>
      <c r="W36" s="13">
        <f t="shared" si="11"/>
        <v>57</v>
      </c>
      <c r="X36" s="13">
        <f t="shared" si="11"/>
        <v>77</v>
      </c>
      <c r="Y36" s="13">
        <f t="shared" si="11"/>
        <v>68</v>
      </c>
      <c r="Z36" s="13">
        <f t="shared" si="11"/>
        <v>53</v>
      </c>
      <c r="AA36" s="13">
        <f t="shared" si="11"/>
        <v>63</v>
      </c>
      <c r="AB36" s="13">
        <f t="shared" si="11"/>
        <v>56</v>
      </c>
      <c r="AC36" s="13">
        <f t="shared" si="11"/>
        <v>44</v>
      </c>
      <c r="AD36" s="13">
        <f t="shared" si="11"/>
        <v>58</v>
      </c>
      <c r="AE36" s="13">
        <f t="shared" si="11"/>
        <v>69</v>
      </c>
      <c r="AF36" s="13">
        <f t="shared" si="11"/>
        <v>55</v>
      </c>
      <c r="AG36" s="13">
        <f t="shared" si="11"/>
        <v>63</v>
      </c>
      <c r="AH36" s="13">
        <f t="shared" si="11"/>
        <v>65</v>
      </c>
      <c r="AI36" s="13">
        <f t="shared" si="11"/>
        <v>81</v>
      </c>
      <c r="AJ36" s="13">
        <f t="shared" si="11"/>
        <v>56</v>
      </c>
      <c r="AK36" s="13">
        <f t="shared" si="10"/>
        <v>2043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9"/>
      <c r="AF37" s="19"/>
      <c r="AG37" s="19"/>
      <c r="AH37" s="19"/>
      <c r="AI37" s="67"/>
      <c r="AJ37" s="19"/>
      <c r="AK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0"/>
      <c r="O38" s="13"/>
      <c r="P38" s="13"/>
      <c r="Q38" s="13"/>
      <c r="R38" s="13"/>
      <c r="S38" s="70"/>
      <c r="T38" s="13"/>
      <c r="U38" s="13"/>
      <c r="V38" s="13"/>
      <c r="W38" s="13"/>
      <c r="X38" s="70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70"/>
      <c r="AJ38" s="13"/>
      <c r="AK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1.0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1.0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3">
        <f t="shared" ref="AK39:AK41" si="12">SUM(E39:AJ39)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2.0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1.0</v>
      </c>
      <c r="AI40" s="19">
        <v>0.0</v>
      </c>
      <c r="AJ40" s="19">
        <v>0.0</v>
      </c>
      <c r="AK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J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3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1</v>
      </c>
      <c r="AI41" s="13">
        <f t="shared" si="13"/>
        <v>0</v>
      </c>
      <c r="AJ41" s="13">
        <f t="shared" si="13"/>
        <v>0</v>
      </c>
      <c r="AK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9"/>
      <c r="AF42" s="19"/>
      <c r="AG42" s="19"/>
      <c r="AH42" s="19"/>
      <c r="AI42" s="67"/>
      <c r="AJ42" s="19"/>
      <c r="AK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0"/>
      <c r="O43" s="13"/>
      <c r="P43" s="13"/>
      <c r="Q43" s="13"/>
      <c r="R43" s="13"/>
      <c r="S43" s="70"/>
      <c r="T43" s="13"/>
      <c r="U43" s="13"/>
      <c r="V43" s="13"/>
      <c r="W43" s="13"/>
      <c r="X43" s="70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70"/>
      <c r="AJ43" s="13"/>
      <c r="AK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67"/>
      <c r="AJ44" s="19"/>
      <c r="AK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2.0</v>
      </c>
      <c r="F45" s="19">
        <v>4.0</v>
      </c>
      <c r="G45" s="19">
        <v>4.0</v>
      </c>
      <c r="H45" s="19">
        <v>4.0</v>
      </c>
      <c r="I45" s="19">
        <v>6.0</v>
      </c>
      <c r="J45" s="19">
        <v>7.0</v>
      </c>
      <c r="K45" s="19">
        <v>6.0</v>
      </c>
      <c r="L45" s="19">
        <v>5.0</v>
      </c>
      <c r="M45" s="19">
        <v>6.0</v>
      </c>
      <c r="N45" s="19">
        <v>5.0</v>
      </c>
      <c r="O45" s="19">
        <v>8.0</v>
      </c>
      <c r="P45" s="19">
        <v>1.0</v>
      </c>
      <c r="Q45" s="19">
        <v>5.0</v>
      </c>
      <c r="R45" s="19">
        <v>0.0</v>
      </c>
      <c r="S45" s="19">
        <v>1.0</v>
      </c>
      <c r="T45" s="19">
        <v>11.0</v>
      </c>
      <c r="U45" s="19">
        <v>5.0</v>
      </c>
      <c r="V45" s="19">
        <v>6.0</v>
      </c>
      <c r="W45" s="19">
        <v>2.0</v>
      </c>
      <c r="X45" s="19">
        <v>12.0</v>
      </c>
      <c r="Y45" s="19">
        <v>7.0</v>
      </c>
      <c r="Z45" s="19">
        <v>5.0</v>
      </c>
      <c r="AA45" s="19">
        <v>3.0</v>
      </c>
      <c r="AB45" s="19">
        <v>6.0</v>
      </c>
      <c r="AC45" s="19">
        <v>0.0</v>
      </c>
      <c r="AD45" s="19">
        <v>12.0</v>
      </c>
      <c r="AE45" s="19">
        <v>3.0</v>
      </c>
      <c r="AF45" s="19">
        <v>6.0</v>
      </c>
      <c r="AG45" s="19">
        <v>5.0</v>
      </c>
      <c r="AH45" s="19">
        <v>3.0</v>
      </c>
      <c r="AI45" s="19">
        <v>1.0</v>
      </c>
      <c r="AJ45" s="19">
        <v>11.0</v>
      </c>
      <c r="AK45" s="13">
        <f t="shared" ref="AK45:AK55" si="14">SUM(E45:AJ45)</f>
        <v>162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26.0</v>
      </c>
      <c r="F46" s="19">
        <v>31.0</v>
      </c>
      <c r="G46" s="19">
        <v>22.0</v>
      </c>
      <c r="H46" s="19">
        <v>39.0</v>
      </c>
      <c r="I46" s="19">
        <v>32.0</v>
      </c>
      <c r="J46" s="19">
        <v>24.0</v>
      </c>
      <c r="K46" s="19">
        <v>17.0</v>
      </c>
      <c r="L46" s="19">
        <v>20.0</v>
      </c>
      <c r="M46" s="19">
        <v>15.0</v>
      </c>
      <c r="N46" s="19">
        <v>11.0</v>
      </c>
      <c r="O46" s="19">
        <v>26.0</v>
      </c>
      <c r="P46" s="19">
        <v>17.0</v>
      </c>
      <c r="Q46" s="19">
        <v>15.0</v>
      </c>
      <c r="R46" s="19">
        <v>25.0</v>
      </c>
      <c r="S46" s="19">
        <v>13.0</v>
      </c>
      <c r="T46" s="19">
        <v>22.0</v>
      </c>
      <c r="U46" s="19">
        <v>27.0</v>
      </c>
      <c r="V46" s="19">
        <v>21.0</v>
      </c>
      <c r="W46" s="19">
        <v>15.0</v>
      </c>
      <c r="X46" s="19">
        <v>46.0</v>
      </c>
      <c r="Y46" s="19">
        <v>22.0</v>
      </c>
      <c r="Z46" s="19">
        <v>7.0</v>
      </c>
      <c r="AA46" s="19">
        <v>12.0</v>
      </c>
      <c r="AB46" s="19">
        <v>10.0</v>
      </c>
      <c r="AC46" s="19">
        <v>29.0</v>
      </c>
      <c r="AD46" s="19">
        <v>31.0</v>
      </c>
      <c r="AE46" s="19">
        <v>28.0</v>
      </c>
      <c r="AF46" s="19">
        <v>33.0</v>
      </c>
      <c r="AG46" s="19">
        <v>18.0</v>
      </c>
      <c r="AH46" s="19">
        <v>22.0</v>
      </c>
      <c r="AI46" s="19">
        <v>1.0</v>
      </c>
      <c r="AJ46" s="19">
        <v>7.0</v>
      </c>
      <c r="AK46" s="13">
        <f t="shared" si="14"/>
        <v>684</v>
      </c>
    </row>
    <row r="47" ht="12.75" customHeight="1">
      <c r="A47" s="18"/>
      <c r="B47" s="55">
        <v>2.0</v>
      </c>
      <c r="C47" s="50" t="s">
        <v>41</v>
      </c>
      <c r="D47" s="16"/>
      <c r="E47" s="19">
        <v>9.0</v>
      </c>
      <c r="F47" s="19">
        <v>3.0</v>
      </c>
      <c r="G47" s="19">
        <v>7.0</v>
      </c>
      <c r="H47" s="19">
        <v>9.0</v>
      </c>
      <c r="I47" s="19">
        <v>17.0</v>
      </c>
      <c r="J47" s="19">
        <v>1.0</v>
      </c>
      <c r="K47" s="19">
        <v>3.0</v>
      </c>
      <c r="L47" s="19">
        <v>10.0</v>
      </c>
      <c r="M47" s="19">
        <v>4.0</v>
      </c>
      <c r="N47" s="19">
        <v>2.0</v>
      </c>
      <c r="O47" s="19">
        <v>7.0</v>
      </c>
      <c r="P47" s="19">
        <v>1.0</v>
      </c>
      <c r="Q47" s="19">
        <v>44.0</v>
      </c>
      <c r="R47" s="19">
        <v>4.0</v>
      </c>
      <c r="S47" s="19">
        <v>5.0</v>
      </c>
      <c r="T47" s="19">
        <v>9.0</v>
      </c>
      <c r="U47" s="19">
        <v>14.0</v>
      </c>
      <c r="V47" s="19">
        <v>9.0</v>
      </c>
      <c r="W47" s="19">
        <v>7.0</v>
      </c>
      <c r="X47" s="19">
        <v>6.0</v>
      </c>
      <c r="Y47" s="19">
        <v>5.0</v>
      </c>
      <c r="Z47" s="19">
        <v>16.0</v>
      </c>
      <c r="AA47" s="19">
        <v>6.0</v>
      </c>
      <c r="AB47" s="19">
        <v>5.0</v>
      </c>
      <c r="AC47" s="19">
        <v>13.0</v>
      </c>
      <c r="AD47" s="19">
        <v>21.0</v>
      </c>
      <c r="AE47" s="19">
        <v>14.0</v>
      </c>
      <c r="AF47" s="19">
        <v>12.0</v>
      </c>
      <c r="AG47" s="19">
        <v>6.0</v>
      </c>
      <c r="AH47" s="19">
        <v>12.0</v>
      </c>
      <c r="AI47" s="19">
        <v>132.0</v>
      </c>
      <c r="AJ47" s="19">
        <v>47.0</v>
      </c>
      <c r="AK47" s="13">
        <f t="shared" si="14"/>
        <v>460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0.0</v>
      </c>
      <c r="I48" s="19">
        <v>1.0</v>
      </c>
      <c r="J48" s="19">
        <v>0.0</v>
      </c>
      <c r="K48" s="19">
        <v>2.0</v>
      </c>
      <c r="L48" s="19">
        <v>1.0</v>
      </c>
      <c r="M48" s="19">
        <v>1.0</v>
      </c>
      <c r="N48" s="19">
        <v>0.0</v>
      </c>
      <c r="O48" s="19">
        <v>1.0</v>
      </c>
      <c r="P48" s="19">
        <v>1.0</v>
      </c>
      <c r="Q48" s="19">
        <v>0.0</v>
      </c>
      <c r="R48" s="19">
        <v>0.0</v>
      </c>
      <c r="S48" s="19">
        <v>0.0</v>
      </c>
      <c r="T48" s="19">
        <v>0.0</v>
      </c>
      <c r="U48" s="19">
        <v>2.0</v>
      </c>
      <c r="V48" s="19">
        <v>1.0</v>
      </c>
      <c r="W48" s="19">
        <v>0.0</v>
      </c>
      <c r="X48" s="19">
        <v>1.0</v>
      </c>
      <c r="Y48" s="19">
        <v>0.0</v>
      </c>
      <c r="Z48" s="19">
        <v>1.0</v>
      </c>
      <c r="AA48" s="19">
        <v>0.0</v>
      </c>
      <c r="AB48" s="19">
        <v>0.0</v>
      </c>
      <c r="AC48" s="19">
        <v>1.0</v>
      </c>
      <c r="AD48" s="19">
        <v>1.0</v>
      </c>
      <c r="AE48" s="19">
        <v>0.0</v>
      </c>
      <c r="AF48" s="19">
        <v>0.0</v>
      </c>
      <c r="AG48" s="19">
        <v>0.0</v>
      </c>
      <c r="AH48" s="19">
        <v>0.0</v>
      </c>
      <c r="AI48" s="19">
        <v>0.0</v>
      </c>
      <c r="AJ48" s="19">
        <v>0.0</v>
      </c>
      <c r="AK48" s="13">
        <f t="shared" si="14"/>
        <v>14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1.0</v>
      </c>
      <c r="G49" s="19">
        <v>1.0</v>
      </c>
      <c r="H49" s="19">
        <v>3.0</v>
      </c>
      <c r="I49" s="19">
        <v>0.0</v>
      </c>
      <c r="J49" s="19">
        <v>1.0</v>
      </c>
      <c r="K49" s="19">
        <v>2.0</v>
      </c>
      <c r="L49" s="19">
        <v>0.0</v>
      </c>
      <c r="M49" s="19">
        <v>0.0</v>
      </c>
      <c r="N49" s="19">
        <v>0.0</v>
      </c>
      <c r="O49" s="19">
        <v>1.0</v>
      </c>
      <c r="P49" s="19">
        <v>1.0</v>
      </c>
      <c r="Q49" s="19">
        <v>0.0</v>
      </c>
      <c r="R49" s="19">
        <v>0.0</v>
      </c>
      <c r="S49" s="19">
        <v>0.0</v>
      </c>
      <c r="T49" s="19">
        <v>0.0</v>
      </c>
      <c r="U49" s="19">
        <v>0.0</v>
      </c>
      <c r="V49" s="19">
        <v>0.0</v>
      </c>
      <c r="W49" s="19">
        <v>1.0</v>
      </c>
      <c r="X49" s="19">
        <v>0.0</v>
      </c>
      <c r="Y49" s="19">
        <v>0.0</v>
      </c>
      <c r="Z49" s="19">
        <v>0.0</v>
      </c>
      <c r="AA49" s="19">
        <v>0.0</v>
      </c>
      <c r="AB49" s="19">
        <v>0.0</v>
      </c>
      <c r="AC49" s="19">
        <v>5.0</v>
      </c>
      <c r="AD49" s="19">
        <v>1.0</v>
      </c>
      <c r="AE49" s="19">
        <v>0.0</v>
      </c>
      <c r="AF49" s="19">
        <v>0.0</v>
      </c>
      <c r="AG49" s="19">
        <v>0.0</v>
      </c>
      <c r="AH49" s="19">
        <v>0.0</v>
      </c>
      <c r="AI49" s="19">
        <v>0.0</v>
      </c>
      <c r="AJ49" s="19">
        <v>0.0</v>
      </c>
      <c r="AK49" s="13">
        <f t="shared" si="14"/>
        <v>17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2.0</v>
      </c>
      <c r="G50" s="19">
        <v>1.0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1.0</v>
      </c>
      <c r="P50" s="19">
        <v>0.0</v>
      </c>
      <c r="Q50" s="19">
        <v>0.0</v>
      </c>
      <c r="R50" s="19">
        <v>0.0</v>
      </c>
      <c r="S50" s="19">
        <v>2.0</v>
      </c>
      <c r="T50" s="19">
        <v>0.0</v>
      </c>
      <c r="U50" s="19">
        <v>0.0</v>
      </c>
      <c r="V50" s="19">
        <v>0.0</v>
      </c>
      <c r="W50" s="19">
        <v>0.0</v>
      </c>
      <c r="X50" s="19">
        <v>0.0</v>
      </c>
      <c r="Y50" s="19">
        <v>0.0</v>
      </c>
      <c r="Z50" s="19">
        <v>0.0</v>
      </c>
      <c r="AA50" s="19">
        <v>0.0</v>
      </c>
      <c r="AB50" s="19">
        <v>2.0</v>
      </c>
      <c r="AC50" s="19">
        <v>1.0</v>
      </c>
      <c r="AD50" s="19">
        <v>0.0</v>
      </c>
      <c r="AE50" s="19">
        <v>1.0</v>
      </c>
      <c r="AF50" s="19">
        <v>0.0</v>
      </c>
      <c r="AG50" s="19">
        <v>0.0</v>
      </c>
      <c r="AH50" s="19">
        <v>0.0</v>
      </c>
      <c r="AI50" s="19">
        <v>0.0</v>
      </c>
      <c r="AJ50" s="19">
        <v>1.0</v>
      </c>
      <c r="AK50" s="13">
        <f t="shared" si="14"/>
        <v>12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1.0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1.0</v>
      </c>
      <c r="O51" s="19">
        <v>0.0</v>
      </c>
      <c r="P51" s="19">
        <v>0.0</v>
      </c>
      <c r="Q51" s="19">
        <v>1.0</v>
      </c>
      <c r="R51" s="19">
        <v>1.0</v>
      </c>
      <c r="S51" s="19">
        <v>0.0</v>
      </c>
      <c r="T51" s="19">
        <v>0.0</v>
      </c>
      <c r="U51" s="19">
        <v>2.0</v>
      </c>
      <c r="V51" s="19">
        <v>1.0</v>
      </c>
      <c r="W51" s="19">
        <v>1.0</v>
      </c>
      <c r="X51" s="19">
        <v>3.0</v>
      </c>
      <c r="Y51" s="19">
        <v>0.0</v>
      </c>
      <c r="Z51" s="19">
        <v>0.0</v>
      </c>
      <c r="AA51" s="19">
        <v>0.0</v>
      </c>
      <c r="AB51" s="19">
        <v>1.0</v>
      </c>
      <c r="AC51" s="19">
        <v>2.0</v>
      </c>
      <c r="AD51" s="19">
        <v>0.0</v>
      </c>
      <c r="AE51" s="19">
        <v>0.0</v>
      </c>
      <c r="AF51" s="19">
        <v>0.0</v>
      </c>
      <c r="AG51" s="19">
        <v>0.0</v>
      </c>
      <c r="AH51" s="19">
        <v>0.0</v>
      </c>
      <c r="AI51" s="19">
        <v>1.0</v>
      </c>
      <c r="AJ51" s="19">
        <v>0.0</v>
      </c>
      <c r="AK51" s="13">
        <f t="shared" si="14"/>
        <v>16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2.0</v>
      </c>
      <c r="J52" s="19">
        <v>0.0</v>
      </c>
      <c r="K52" s="19">
        <v>0.0</v>
      </c>
      <c r="L52" s="19">
        <v>0.0</v>
      </c>
      <c r="M52" s="19">
        <v>0.0</v>
      </c>
      <c r="N52" s="19">
        <v>2.0</v>
      </c>
      <c r="O52" s="19">
        <v>0.0</v>
      </c>
      <c r="P52" s="19">
        <v>1.0</v>
      </c>
      <c r="Q52" s="19">
        <v>1.0</v>
      </c>
      <c r="R52" s="19">
        <v>1.0</v>
      </c>
      <c r="S52" s="19">
        <v>0.0</v>
      </c>
      <c r="T52" s="19">
        <v>1.0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1.0</v>
      </c>
      <c r="AC52" s="19">
        <v>0.0</v>
      </c>
      <c r="AD52" s="19">
        <v>0.0</v>
      </c>
      <c r="AE52" s="19">
        <v>0.0</v>
      </c>
      <c r="AF52" s="19">
        <v>0.0</v>
      </c>
      <c r="AG52" s="19">
        <v>0.0</v>
      </c>
      <c r="AH52" s="19">
        <v>0.0</v>
      </c>
      <c r="AI52" s="19">
        <v>0.0</v>
      </c>
      <c r="AJ52" s="19">
        <v>1.0</v>
      </c>
      <c r="AK52" s="13">
        <f t="shared" si="14"/>
        <v>10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3">
        <f t="shared" si="14"/>
        <v>0</v>
      </c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AJ55" si="15">SUM(E45:E52)</f>
        <v>39</v>
      </c>
      <c r="F55" s="13">
        <f t="shared" si="15"/>
        <v>41</v>
      </c>
      <c r="G55" s="13">
        <f t="shared" si="15"/>
        <v>36</v>
      </c>
      <c r="H55" s="13">
        <f t="shared" si="15"/>
        <v>55</v>
      </c>
      <c r="I55" s="13">
        <f t="shared" si="15"/>
        <v>58</v>
      </c>
      <c r="J55" s="13">
        <f t="shared" si="15"/>
        <v>33</v>
      </c>
      <c r="K55" s="13">
        <f t="shared" si="15"/>
        <v>30</v>
      </c>
      <c r="L55" s="13">
        <f t="shared" si="15"/>
        <v>36</v>
      </c>
      <c r="M55" s="13">
        <f t="shared" si="15"/>
        <v>26</v>
      </c>
      <c r="N55" s="13">
        <f t="shared" si="15"/>
        <v>21</v>
      </c>
      <c r="O55" s="13">
        <f t="shared" si="15"/>
        <v>44</v>
      </c>
      <c r="P55" s="13">
        <f t="shared" si="15"/>
        <v>22</v>
      </c>
      <c r="Q55" s="13">
        <f t="shared" si="15"/>
        <v>66</v>
      </c>
      <c r="R55" s="13">
        <f t="shared" si="15"/>
        <v>31</v>
      </c>
      <c r="S55" s="13">
        <f t="shared" si="15"/>
        <v>21</v>
      </c>
      <c r="T55" s="13">
        <f t="shared" si="15"/>
        <v>43</v>
      </c>
      <c r="U55" s="13">
        <f t="shared" si="15"/>
        <v>50</v>
      </c>
      <c r="V55" s="13">
        <f t="shared" si="15"/>
        <v>38</v>
      </c>
      <c r="W55" s="13">
        <f t="shared" si="15"/>
        <v>26</v>
      </c>
      <c r="X55" s="13">
        <f t="shared" si="15"/>
        <v>68</v>
      </c>
      <c r="Y55" s="13">
        <f t="shared" si="15"/>
        <v>34</v>
      </c>
      <c r="Z55" s="13">
        <f t="shared" si="15"/>
        <v>29</v>
      </c>
      <c r="AA55" s="13">
        <f t="shared" si="15"/>
        <v>21</v>
      </c>
      <c r="AB55" s="13">
        <f t="shared" si="15"/>
        <v>25</v>
      </c>
      <c r="AC55" s="13">
        <f t="shared" si="15"/>
        <v>51</v>
      </c>
      <c r="AD55" s="13">
        <f t="shared" si="15"/>
        <v>66</v>
      </c>
      <c r="AE55" s="13">
        <f t="shared" si="15"/>
        <v>46</v>
      </c>
      <c r="AF55" s="13">
        <f t="shared" si="15"/>
        <v>51</v>
      </c>
      <c r="AG55" s="13">
        <f t="shared" si="15"/>
        <v>29</v>
      </c>
      <c r="AH55" s="13">
        <f t="shared" si="15"/>
        <v>37</v>
      </c>
      <c r="AI55" s="13">
        <f t="shared" si="15"/>
        <v>135</v>
      </c>
      <c r="AJ55" s="13">
        <f t="shared" si="15"/>
        <v>67</v>
      </c>
      <c r="AK55" s="13">
        <f t="shared" si="14"/>
        <v>1375</v>
      </c>
    </row>
    <row r="56" ht="12.75" customHeight="1">
      <c r="A56" s="45"/>
      <c r="B56" s="44"/>
      <c r="C56" s="44"/>
      <c r="D56" s="44"/>
      <c r="E56" s="44"/>
      <c r="AK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8.0</v>
      </c>
      <c r="F57" s="19">
        <v>7.0</v>
      </c>
      <c r="G57" s="19">
        <v>9.0</v>
      </c>
      <c r="H57" s="19">
        <v>4.0</v>
      </c>
      <c r="I57" s="19">
        <v>5.0</v>
      </c>
      <c r="J57" s="19">
        <v>12.0</v>
      </c>
      <c r="K57" s="19">
        <v>6.0</v>
      </c>
      <c r="L57" s="19">
        <v>14.0</v>
      </c>
      <c r="M57" s="19">
        <v>9.0</v>
      </c>
      <c r="N57" s="19">
        <v>11.0</v>
      </c>
      <c r="O57" s="19">
        <v>7.0</v>
      </c>
      <c r="P57" s="19">
        <v>12.0</v>
      </c>
      <c r="Q57" s="19">
        <v>2.0</v>
      </c>
      <c r="R57" s="19">
        <v>8.0</v>
      </c>
      <c r="S57" s="19">
        <v>11.0</v>
      </c>
      <c r="T57" s="19">
        <v>6.0</v>
      </c>
      <c r="U57" s="19">
        <v>8.0</v>
      </c>
      <c r="V57" s="19">
        <v>8.0</v>
      </c>
      <c r="W57" s="19">
        <v>16.0</v>
      </c>
      <c r="X57" s="19">
        <v>5.0</v>
      </c>
      <c r="Y57" s="19">
        <v>5.0</v>
      </c>
      <c r="Z57" s="19">
        <v>9.0</v>
      </c>
      <c r="AA57" s="19">
        <v>12.0</v>
      </c>
      <c r="AB57" s="19">
        <v>8.0</v>
      </c>
      <c r="AC57" s="19">
        <v>6.0</v>
      </c>
      <c r="AD57" s="19">
        <v>6.0</v>
      </c>
      <c r="AE57" s="19">
        <v>5.0</v>
      </c>
      <c r="AF57" s="19">
        <v>13.0</v>
      </c>
      <c r="AG57" s="19">
        <v>15.0</v>
      </c>
      <c r="AH57" s="19">
        <v>10.0</v>
      </c>
      <c r="AI57" s="19">
        <v>1.0</v>
      </c>
      <c r="AJ57" s="19">
        <v>5.0</v>
      </c>
      <c r="AK57" s="13">
        <f t="shared" ref="AK57:AK67" si="16">SUM(E57:AJ57)</f>
        <v>263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11.0</v>
      </c>
      <c r="F58" s="19">
        <v>13.0</v>
      </c>
      <c r="G58" s="19">
        <v>2.0</v>
      </c>
      <c r="H58" s="19">
        <v>5.0</v>
      </c>
      <c r="I58" s="19">
        <v>12.0</v>
      </c>
      <c r="J58" s="19">
        <v>5.0</v>
      </c>
      <c r="K58" s="19">
        <v>7.0</v>
      </c>
      <c r="L58" s="19">
        <v>12.0</v>
      </c>
      <c r="M58" s="19">
        <v>8.0</v>
      </c>
      <c r="N58" s="19">
        <v>5.0</v>
      </c>
      <c r="O58" s="19">
        <v>2.0</v>
      </c>
      <c r="P58" s="19">
        <v>6.0</v>
      </c>
      <c r="Q58" s="19">
        <v>5.0</v>
      </c>
      <c r="R58" s="19">
        <v>10.0</v>
      </c>
      <c r="S58" s="19">
        <v>5.0</v>
      </c>
      <c r="T58" s="19">
        <v>7.0</v>
      </c>
      <c r="U58" s="19">
        <v>1.0</v>
      </c>
      <c r="V58" s="19">
        <v>4.0</v>
      </c>
      <c r="W58" s="19">
        <v>5.0</v>
      </c>
      <c r="X58" s="19">
        <v>4.0</v>
      </c>
      <c r="Y58" s="19">
        <v>1.0</v>
      </c>
      <c r="Z58" s="19">
        <v>10.0</v>
      </c>
      <c r="AA58" s="19">
        <v>1.0</v>
      </c>
      <c r="AB58" s="19">
        <v>4.0</v>
      </c>
      <c r="AC58" s="19">
        <v>5.0</v>
      </c>
      <c r="AD58" s="19">
        <v>6.0</v>
      </c>
      <c r="AE58" s="19">
        <v>12.0</v>
      </c>
      <c r="AF58" s="19">
        <v>4.0</v>
      </c>
      <c r="AG58" s="19">
        <v>8.0</v>
      </c>
      <c r="AH58" s="19">
        <v>3.0</v>
      </c>
      <c r="AI58" s="19">
        <v>4.0</v>
      </c>
      <c r="AJ58" s="19">
        <v>3.0</v>
      </c>
      <c r="AK58" s="13">
        <f t="shared" si="16"/>
        <v>190</v>
      </c>
    </row>
    <row r="59" ht="12.75" customHeight="1">
      <c r="A59" s="18"/>
      <c r="B59" s="55">
        <v>2.0</v>
      </c>
      <c r="C59" s="50" t="s">
        <v>50</v>
      </c>
      <c r="D59" s="56"/>
      <c r="E59" s="19">
        <v>2.0</v>
      </c>
      <c r="F59" s="19">
        <v>16.0</v>
      </c>
      <c r="G59" s="19">
        <v>49.0</v>
      </c>
      <c r="H59" s="19">
        <v>22.0</v>
      </c>
      <c r="I59" s="19">
        <v>10.0</v>
      </c>
      <c r="J59" s="19">
        <v>15.0</v>
      </c>
      <c r="K59" s="19">
        <v>8.0</v>
      </c>
      <c r="L59" s="19">
        <v>18.0</v>
      </c>
      <c r="M59" s="19">
        <v>7.0</v>
      </c>
      <c r="N59" s="19">
        <v>28.0</v>
      </c>
      <c r="O59" s="19">
        <v>29.0</v>
      </c>
      <c r="P59" s="19">
        <v>12.0</v>
      </c>
      <c r="Q59" s="19">
        <v>17.0</v>
      </c>
      <c r="R59" s="19">
        <v>33.0</v>
      </c>
      <c r="S59" s="19">
        <v>18.0</v>
      </c>
      <c r="T59" s="19">
        <v>29.0</v>
      </c>
      <c r="U59" s="19">
        <v>12.0</v>
      </c>
      <c r="V59" s="19">
        <v>23.0</v>
      </c>
      <c r="W59" s="19">
        <v>33.0</v>
      </c>
      <c r="X59" s="19">
        <v>19.0</v>
      </c>
      <c r="Y59" s="19">
        <v>29.0</v>
      </c>
      <c r="Z59" s="19">
        <v>42.0</v>
      </c>
      <c r="AA59" s="19">
        <v>39.0</v>
      </c>
      <c r="AB59" s="19">
        <v>47.0</v>
      </c>
      <c r="AC59" s="19">
        <v>54.0</v>
      </c>
      <c r="AD59" s="19">
        <v>51.0</v>
      </c>
      <c r="AE59" s="19">
        <v>19.0</v>
      </c>
      <c r="AF59" s="19">
        <v>6.0</v>
      </c>
      <c r="AG59" s="19">
        <v>36.0</v>
      </c>
      <c r="AH59" s="19">
        <v>53.0</v>
      </c>
      <c r="AI59" s="19">
        <v>5.0</v>
      </c>
      <c r="AJ59" s="19">
        <v>0.0</v>
      </c>
      <c r="AK59" s="13">
        <f t="shared" si="16"/>
        <v>781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1.0</v>
      </c>
      <c r="G60" s="19">
        <v>0.0</v>
      </c>
      <c r="H60" s="19">
        <v>2.0</v>
      </c>
      <c r="I60" s="19">
        <v>0.0</v>
      </c>
      <c r="J60" s="19">
        <v>3.0</v>
      </c>
      <c r="K60" s="19">
        <v>0.0</v>
      </c>
      <c r="L60" s="19">
        <v>0.0</v>
      </c>
      <c r="M60" s="19">
        <v>2.0</v>
      </c>
      <c r="N60" s="19">
        <v>0.0</v>
      </c>
      <c r="O60" s="19">
        <v>2.0</v>
      </c>
      <c r="P60" s="19">
        <v>3.0</v>
      </c>
      <c r="Q60" s="19">
        <v>0.0</v>
      </c>
      <c r="R60" s="19">
        <v>0.0</v>
      </c>
      <c r="S60" s="19">
        <v>1.0</v>
      </c>
      <c r="T60" s="19">
        <v>2.0</v>
      </c>
      <c r="U60" s="19">
        <v>1.0</v>
      </c>
      <c r="V60" s="19">
        <v>0.0</v>
      </c>
      <c r="W60" s="19">
        <v>1.0</v>
      </c>
      <c r="X60" s="19">
        <v>0.0</v>
      </c>
      <c r="Y60" s="19">
        <v>0.0</v>
      </c>
      <c r="Z60" s="19">
        <v>1.0</v>
      </c>
      <c r="AA60" s="19">
        <v>0.0</v>
      </c>
      <c r="AB60" s="19">
        <v>0.0</v>
      </c>
      <c r="AC60" s="19">
        <v>0.0</v>
      </c>
      <c r="AD60" s="19">
        <v>2.0</v>
      </c>
      <c r="AE60" s="19">
        <v>0.0</v>
      </c>
      <c r="AF60" s="19">
        <v>0.0</v>
      </c>
      <c r="AG60" s="19">
        <v>2.0</v>
      </c>
      <c r="AH60" s="19">
        <v>0.0</v>
      </c>
      <c r="AI60" s="19">
        <v>2.0</v>
      </c>
      <c r="AJ60" s="19">
        <v>0.0</v>
      </c>
      <c r="AK60" s="13">
        <f t="shared" si="16"/>
        <v>25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2.0</v>
      </c>
      <c r="G61" s="19">
        <v>1.0</v>
      </c>
      <c r="H61" s="19">
        <v>3.0</v>
      </c>
      <c r="I61" s="19">
        <v>0.0</v>
      </c>
      <c r="J61" s="19">
        <v>3.0</v>
      </c>
      <c r="K61" s="19">
        <v>2.0</v>
      </c>
      <c r="L61" s="19">
        <v>4.0</v>
      </c>
      <c r="M61" s="19">
        <v>2.0</v>
      </c>
      <c r="N61" s="19">
        <v>5.0</v>
      </c>
      <c r="O61" s="19">
        <v>1.0</v>
      </c>
      <c r="P61" s="19">
        <v>5.0</v>
      </c>
      <c r="Q61" s="19">
        <v>1.0</v>
      </c>
      <c r="R61" s="19">
        <v>1.0</v>
      </c>
      <c r="S61" s="19">
        <v>2.0</v>
      </c>
      <c r="T61" s="19">
        <v>4.0</v>
      </c>
      <c r="U61" s="19">
        <v>1.0</v>
      </c>
      <c r="V61" s="19">
        <v>1.0</v>
      </c>
      <c r="W61" s="19">
        <v>7.0</v>
      </c>
      <c r="X61" s="19">
        <v>3.0</v>
      </c>
      <c r="Y61" s="19">
        <v>2.0</v>
      </c>
      <c r="Z61" s="19">
        <v>5.0</v>
      </c>
      <c r="AA61" s="19">
        <v>4.0</v>
      </c>
      <c r="AB61" s="19">
        <v>1.0</v>
      </c>
      <c r="AC61" s="19">
        <v>4.0</v>
      </c>
      <c r="AD61" s="19">
        <v>1.0</v>
      </c>
      <c r="AE61" s="19">
        <v>2.0</v>
      </c>
      <c r="AF61" s="19">
        <v>2.0</v>
      </c>
      <c r="AG61" s="19">
        <v>5.0</v>
      </c>
      <c r="AH61" s="19">
        <v>0.0</v>
      </c>
      <c r="AI61" s="19">
        <v>0.0</v>
      </c>
      <c r="AJ61" s="19">
        <v>0.0</v>
      </c>
      <c r="AK61" s="13">
        <f t="shared" si="16"/>
        <v>75</v>
      </c>
    </row>
    <row r="62" ht="12.75" customHeight="1">
      <c r="A62" s="18"/>
      <c r="B62" s="55">
        <v>5.0</v>
      </c>
      <c r="C62" s="50" t="s">
        <v>53</v>
      </c>
      <c r="D62" s="56"/>
      <c r="E62" s="19">
        <v>1.0</v>
      </c>
      <c r="F62" s="19">
        <v>2.0</v>
      </c>
      <c r="G62" s="19">
        <v>0.0</v>
      </c>
      <c r="H62" s="19">
        <v>1.0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1.0</v>
      </c>
      <c r="P62" s="19">
        <v>0.0</v>
      </c>
      <c r="Q62" s="19">
        <v>0.0</v>
      </c>
      <c r="R62" s="19">
        <v>1.0</v>
      </c>
      <c r="S62" s="19">
        <v>0.0</v>
      </c>
      <c r="T62" s="19">
        <v>2.0</v>
      </c>
      <c r="U62" s="19">
        <v>0.0</v>
      </c>
      <c r="V62" s="19">
        <v>1.0</v>
      </c>
      <c r="W62" s="19">
        <v>0.0</v>
      </c>
      <c r="X62" s="19">
        <v>1.0</v>
      </c>
      <c r="Y62" s="19">
        <v>0.0</v>
      </c>
      <c r="Z62" s="19">
        <v>1.0</v>
      </c>
      <c r="AA62" s="19">
        <v>0.0</v>
      </c>
      <c r="AB62" s="19">
        <v>0.0</v>
      </c>
      <c r="AC62" s="19">
        <v>0.0</v>
      </c>
      <c r="AD62" s="19">
        <v>0.0</v>
      </c>
      <c r="AE62" s="19">
        <v>2.0</v>
      </c>
      <c r="AF62" s="19">
        <v>0.0</v>
      </c>
      <c r="AG62" s="19">
        <v>0.0</v>
      </c>
      <c r="AH62" s="19">
        <v>0.0</v>
      </c>
      <c r="AI62" s="19">
        <v>0.0</v>
      </c>
      <c r="AJ62" s="19">
        <v>1.0</v>
      </c>
      <c r="AK62" s="13">
        <f t="shared" si="16"/>
        <v>14</v>
      </c>
    </row>
    <row r="63" ht="12.75" customHeight="1">
      <c r="A63" s="18"/>
      <c r="B63" s="55">
        <v>6.0</v>
      </c>
      <c r="C63" s="50" t="s">
        <v>54</v>
      </c>
      <c r="D63" s="57"/>
      <c r="E63" s="19">
        <v>1.0</v>
      </c>
      <c r="F63" s="19">
        <v>1.0</v>
      </c>
      <c r="G63" s="19">
        <v>2.0</v>
      </c>
      <c r="H63" s="19">
        <v>2.0</v>
      </c>
      <c r="I63" s="19">
        <v>2.0</v>
      </c>
      <c r="J63" s="19">
        <v>1.0</v>
      </c>
      <c r="K63" s="19">
        <v>1.0</v>
      </c>
      <c r="L63" s="19">
        <v>0.0</v>
      </c>
      <c r="M63" s="19">
        <v>1.0</v>
      </c>
      <c r="N63" s="19">
        <v>2.0</v>
      </c>
      <c r="O63" s="19">
        <v>3.0</v>
      </c>
      <c r="P63" s="19">
        <v>3.0</v>
      </c>
      <c r="Q63" s="19">
        <v>1.0</v>
      </c>
      <c r="R63" s="19">
        <v>0.0</v>
      </c>
      <c r="S63" s="19">
        <v>0.0</v>
      </c>
      <c r="T63" s="19">
        <v>0.0</v>
      </c>
      <c r="U63" s="19">
        <v>1.0</v>
      </c>
      <c r="V63" s="19">
        <v>0.0</v>
      </c>
      <c r="W63" s="19">
        <v>0.0</v>
      </c>
      <c r="X63" s="19">
        <v>0.0</v>
      </c>
      <c r="Y63" s="19">
        <v>0.0</v>
      </c>
      <c r="Z63" s="19">
        <v>0.0</v>
      </c>
      <c r="AA63" s="19">
        <v>1.0</v>
      </c>
      <c r="AB63" s="19">
        <v>1.0</v>
      </c>
      <c r="AC63" s="19">
        <v>2.0</v>
      </c>
      <c r="AD63" s="19">
        <v>1.0</v>
      </c>
      <c r="AE63" s="19">
        <v>3.0</v>
      </c>
      <c r="AF63" s="19">
        <v>2.0</v>
      </c>
      <c r="AG63" s="19">
        <v>1.0</v>
      </c>
      <c r="AH63" s="19">
        <v>0.0</v>
      </c>
      <c r="AI63" s="19">
        <v>0.0</v>
      </c>
      <c r="AJ63" s="19">
        <v>2.0</v>
      </c>
      <c r="AK63" s="13">
        <f t="shared" si="16"/>
        <v>34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1.0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2.0</v>
      </c>
      <c r="N64" s="19">
        <v>0.0</v>
      </c>
      <c r="O64" s="19">
        <v>0.0</v>
      </c>
      <c r="P64" s="19">
        <v>0.0</v>
      </c>
      <c r="Q64" s="19">
        <v>1.0</v>
      </c>
      <c r="R64" s="19">
        <v>1.0</v>
      </c>
      <c r="S64" s="19">
        <v>0.0</v>
      </c>
      <c r="T64" s="19">
        <v>0.0</v>
      </c>
      <c r="U64" s="19">
        <v>0.0</v>
      </c>
      <c r="V64" s="19">
        <v>0.0</v>
      </c>
      <c r="W64" s="19">
        <v>0.0</v>
      </c>
      <c r="X64" s="19">
        <v>1.0</v>
      </c>
      <c r="Y64" s="19">
        <v>0.0</v>
      </c>
      <c r="Z64" s="19">
        <v>0.0</v>
      </c>
      <c r="AA64" s="19">
        <v>0.0</v>
      </c>
      <c r="AB64" s="19">
        <v>0.0</v>
      </c>
      <c r="AC64" s="19">
        <v>0.0</v>
      </c>
      <c r="AD64" s="19">
        <v>0.0</v>
      </c>
      <c r="AE64" s="19">
        <v>3.0</v>
      </c>
      <c r="AF64" s="19">
        <v>0.0</v>
      </c>
      <c r="AG64" s="19">
        <v>0.0</v>
      </c>
      <c r="AH64" s="19">
        <v>1.0</v>
      </c>
      <c r="AI64" s="19">
        <v>0.0</v>
      </c>
      <c r="AJ64" s="19">
        <v>1.0</v>
      </c>
      <c r="AK64" s="13">
        <f t="shared" si="16"/>
        <v>11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3">
        <f t="shared" si="16"/>
        <v>0</v>
      </c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AJ67" si="17">SUM(E57:E64)</f>
        <v>24</v>
      </c>
      <c r="F67" s="13">
        <f t="shared" si="17"/>
        <v>43</v>
      </c>
      <c r="G67" s="13">
        <f t="shared" si="17"/>
        <v>63</v>
      </c>
      <c r="H67" s="13">
        <f t="shared" si="17"/>
        <v>39</v>
      </c>
      <c r="I67" s="13">
        <f t="shared" si="17"/>
        <v>29</v>
      </c>
      <c r="J67" s="13">
        <f t="shared" si="17"/>
        <v>39</v>
      </c>
      <c r="K67" s="13">
        <f t="shared" si="17"/>
        <v>24</v>
      </c>
      <c r="L67" s="13">
        <f t="shared" si="17"/>
        <v>48</v>
      </c>
      <c r="M67" s="13">
        <f t="shared" si="17"/>
        <v>31</v>
      </c>
      <c r="N67" s="13">
        <f t="shared" si="17"/>
        <v>51</v>
      </c>
      <c r="O67" s="13">
        <f t="shared" si="17"/>
        <v>45</v>
      </c>
      <c r="P67" s="13">
        <f t="shared" si="17"/>
        <v>41</v>
      </c>
      <c r="Q67" s="13">
        <f t="shared" si="17"/>
        <v>27</v>
      </c>
      <c r="R67" s="13">
        <f t="shared" si="17"/>
        <v>54</v>
      </c>
      <c r="S67" s="13">
        <f t="shared" si="17"/>
        <v>37</v>
      </c>
      <c r="T67" s="13">
        <f t="shared" si="17"/>
        <v>50</v>
      </c>
      <c r="U67" s="13">
        <f t="shared" si="17"/>
        <v>24</v>
      </c>
      <c r="V67" s="13">
        <f t="shared" si="17"/>
        <v>37</v>
      </c>
      <c r="W67" s="13">
        <f t="shared" si="17"/>
        <v>62</v>
      </c>
      <c r="X67" s="13">
        <f t="shared" si="17"/>
        <v>33</v>
      </c>
      <c r="Y67" s="13">
        <f t="shared" si="17"/>
        <v>37</v>
      </c>
      <c r="Z67" s="13">
        <f t="shared" si="17"/>
        <v>68</v>
      </c>
      <c r="AA67" s="13">
        <f t="shared" si="17"/>
        <v>57</v>
      </c>
      <c r="AB67" s="13">
        <f t="shared" si="17"/>
        <v>61</v>
      </c>
      <c r="AC67" s="13">
        <f t="shared" si="17"/>
        <v>71</v>
      </c>
      <c r="AD67" s="13">
        <f t="shared" si="17"/>
        <v>67</v>
      </c>
      <c r="AE67" s="13">
        <f t="shared" si="17"/>
        <v>46</v>
      </c>
      <c r="AF67" s="13">
        <f t="shared" si="17"/>
        <v>27</v>
      </c>
      <c r="AG67" s="13">
        <f t="shared" si="17"/>
        <v>67</v>
      </c>
      <c r="AH67" s="13">
        <f t="shared" si="17"/>
        <v>67</v>
      </c>
      <c r="AI67" s="13">
        <f t="shared" si="17"/>
        <v>12</v>
      </c>
      <c r="AJ67" s="13">
        <f t="shared" si="17"/>
        <v>12</v>
      </c>
      <c r="AK67" s="13">
        <f t="shared" si="16"/>
        <v>1393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3.0</v>
      </c>
      <c r="F69" s="19">
        <v>4.0</v>
      </c>
      <c r="G69" s="19">
        <v>4.0</v>
      </c>
      <c r="H69" s="19">
        <v>1.0</v>
      </c>
      <c r="I69" s="19">
        <v>7.0</v>
      </c>
      <c r="J69" s="19">
        <v>9.0</v>
      </c>
      <c r="K69" s="19">
        <v>3.0</v>
      </c>
      <c r="L69" s="19">
        <v>6.0</v>
      </c>
      <c r="M69" s="19">
        <v>16.0</v>
      </c>
      <c r="N69" s="19">
        <v>15.0</v>
      </c>
      <c r="O69" s="19">
        <v>7.0</v>
      </c>
      <c r="P69" s="19">
        <v>6.0</v>
      </c>
      <c r="Q69" s="19">
        <v>8.0</v>
      </c>
      <c r="R69" s="19">
        <v>7.0</v>
      </c>
      <c r="S69" s="19">
        <v>10.0</v>
      </c>
      <c r="T69" s="19">
        <v>11.0</v>
      </c>
      <c r="U69" s="19">
        <v>10.0</v>
      </c>
      <c r="V69" s="19">
        <v>8.0</v>
      </c>
      <c r="W69" s="19">
        <v>8.0</v>
      </c>
      <c r="X69" s="19">
        <v>8.0</v>
      </c>
      <c r="Y69" s="19">
        <v>12.0</v>
      </c>
      <c r="Z69" s="19">
        <v>8.0</v>
      </c>
      <c r="AA69" s="19">
        <v>10.0</v>
      </c>
      <c r="AB69" s="19">
        <v>2.0</v>
      </c>
      <c r="AC69" s="19">
        <v>6.0</v>
      </c>
      <c r="AD69" s="19">
        <v>1.0</v>
      </c>
      <c r="AE69" s="19">
        <v>9.0</v>
      </c>
      <c r="AF69" s="19">
        <v>11.0</v>
      </c>
      <c r="AG69" s="19">
        <v>5.0</v>
      </c>
      <c r="AH69" s="19">
        <v>5.0</v>
      </c>
      <c r="AI69" s="19">
        <v>2.0</v>
      </c>
      <c r="AJ69" s="19">
        <v>9.0</v>
      </c>
      <c r="AK69" s="13">
        <f t="shared" ref="AK69:AK79" si="18">SUM(E69:AJ69)</f>
        <v>231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7.0</v>
      </c>
      <c r="F70" s="19">
        <v>1.0</v>
      </c>
      <c r="G70" s="19">
        <v>5.0</v>
      </c>
      <c r="H70" s="19">
        <v>9.0</v>
      </c>
      <c r="I70" s="19">
        <v>4.0</v>
      </c>
      <c r="J70" s="19">
        <v>2.0</v>
      </c>
      <c r="K70" s="19">
        <v>6.0</v>
      </c>
      <c r="L70" s="19">
        <v>3.0</v>
      </c>
      <c r="M70" s="19">
        <v>3.0</v>
      </c>
      <c r="N70" s="19">
        <v>3.0</v>
      </c>
      <c r="O70" s="19">
        <v>5.0</v>
      </c>
      <c r="P70" s="19">
        <v>5.0</v>
      </c>
      <c r="Q70" s="19">
        <v>6.0</v>
      </c>
      <c r="R70" s="19">
        <v>5.0</v>
      </c>
      <c r="S70" s="19">
        <v>6.0</v>
      </c>
      <c r="T70" s="19">
        <v>3.0</v>
      </c>
      <c r="U70" s="19">
        <v>6.0</v>
      </c>
      <c r="V70" s="19">
        <v>7.0</v>
      </c>
      <c r="W70" s="19">
        <v>7.0</v>
      </c>
      <c r="X70" s="19">
        <v>6.0</v>
      </c>
      <c r="Y70" s="19">
        <v>5.0</v>
      </c>
      <c r="Z70" s="19">
        <v>10.0</v>
      </c>
      <c r="AA70" s="19">
        <v>5.0</v>
      </c>
      <c r="AB70" s="19">
        <v>3.0</v>
      </c>
      <c r="AC70" s="19">
        <v>2.0</v>
      </c>
      <c r="AD70" s="19">
        <v>6.0</v>
      </c>
      <c r="AE70" s="19">
        <v>4.0</v>
      </c>
      <c r="AF70" s="19">
        <v>6.0</v>
      </c>
      <c r="AG70" s="19">
        <v>2.0</v>
      </c>
      <c r="AH70" s="19">
        <v>4.0</v>
      </c>
      <c r="AI70" s="19">
        <v>2.0</v>
      </c>
      <c r="AJ70" s="19">
        <v>3.0</v>
      </c>
      <c r="AK70" s="13">
        <f t="shared" si="18"/>
        <v>151</v>
      </c>
    </row>
    <row r="71" ht="12.75" customHeight="1">
      <c r="A71" s="18"/>
      <c r="B71" s="55">
        <v>2.0</v>
      </c>
      <c r="C71" s="50" t="s">
        <v>58</v>
      </c>
      <c r="D71" s="57"/>
      <c r="E71" s="19">
        <v>6.0</v>
      </c>
      <c r="F71" s="19">
        <v>3.0</v>
      </c>
      <c r="G71" s="19">
        <v>2.0</v>
      </c>
      <c r="H71" s="19">
        <v>1.0</v>
      </c>
      <c r="I71" s="19">
        <v>7.0</v>
      </c>
      <c r="J71" s="19">
        <v>6.0</v>
      </c>
      <c r="K71" s="19">
        <v>28.0</v>
      </c>
      <c r="L71" s="19">
        <v>9.0</v>
      </c>
      <c r="M71" s="19">
        <v>1.0</v>
      </c>
      <c r="N71" s="19">
        <v>30.0</v>
      </c>
      <c r="O71" s="19">
        <v>1.0</v>
      </c>
      <c r="P71" s="19">
        <v>3.0</v>
      </c>
      <c r="Q71" s="19">
        <v>8.0</v>
      </c>
      <c r="R71" s="19">
        <v>3.0</v>
      </c>
      <c r="S71" s="19">
        <v>3.0</v>
      </c>
      <c r="T71" s="19">
        <v>5.0</v>
      </c>
      <c r="U71" s="19">
        <v>3.0</v>
      </c>
      <c r="V71" s="19">
        <v>4.0</v>
      </c>
      <c r="W71" s="19">
        <v>2.0</v>
      </c>
      <c r="X71" s="19">
        <v>0.0</v>
      </c>
      <c r="Y71" s="19">
        <v>12.0</v>
      </c>
      <c r="Z71" s="19">
        <v>5.0</v>
      </c>
      <c r="AA71" s="19">
        <v>7.0</v>
      </c>
      <c r="AB71" s="19">
        <v>6.0</v>
      </c>
      <c r="AC71" s="19">
        <v>2.0</v>
      </c>
      <c r="AD71" s="19">
        <v>6.0</v>
      </c>
      <c r="AE71" s="19">
        <v>2.0</v>
      </c>
      <c r="AF71" s="19">
        <v>7.0</v>
      </c>
      <c r="AG71" s="19">
        <v>1.0</v>
      </c>
      <c r="AH71" s="19">
        <v>10.0</v>
      </c>
      <c r="AI71" s="19">
        <v>0.0</v>
      </c>
      <c r="AJ71" s="19">
        <v>2.0</v>
      </c>
      <c r="AK71" s="13">
        <f t="shared" si="18"/>
        <v>185</v>
      </c>
    </row>
    <row r="72" ht="12.75" customHeight="1">
      <c r="A72" s="18"/>
      <c r="B72" s="55">
        <v>3.0</v>
      </c>
      <c r="C72" s="50" t="s">
        <v>59</v>
      </c>
      <c r="D72" s="57"/>
      <c r="E72" s="19">
        <v>3.0</v>
      </c>
      <c r="F72" s="19">
        <v>12.0</v>
      </c>
      <c r="G72" s="19">
        <v>3.0</v>
      </c>
      <c r="H72" s="19">
        <v>3.0</v>
      </c>
      <c r="I72" s="19">
        <v>2.0</v>
      </c>
      <c r="J72" s="19">
        <v>0.0</v>
      </c>
      <c r="K72" s="19">
        <v>4.0</v>
      </c>
      <c r="L72" s="19">
        <v>2.0</v>
      </c>
      <c r="M72" s="19">
        <v>2.0</v>
      </c>
      <c r="N72" s="19">
        <v>2.0</v>
      </c>
      <c r="O72" s="19">
        <v>0.0</v>
      </c>
      <c r="P72" s="19">
        <v>4.0</v>
      </c>
      <c r="Q72" s="19">
        <v>3.0</v>
      </c>
      <c r="R72" s="19">
        <v>3.0</v>
      </c>
      <c r="S72" s="19">
        <v>3.0</v>
      </c>
      <c r="T72" s="19">
        <v>5.0</v>
      </c>
      <c r="U72" s="19">
        <v>4.0</v>
      </c>
      <c r="V72" s="19">
        <v>4.0</v>
      </c>
      <c r="W72" s="19">
        <v>0.0</v>
      </c>
      <c r="X72" s="19">
        <v>1.0</v>
      </c>
      <c r="Y72" s="19">
        <v>0.0</v>
      </c>
      <c r="Z72" s="19">
        <v>4.0</v>
      </c>
      <c r="AA72" s="19">
        <v>3.0</v>
      </c>
      <c r="AB72" s="19">
        <v>0.0</v>
      </c>
      <c r="AC72" s="19">
        <v>1.0</v>
      </c>
      <c r="AD72" s="19">
        <v>3.0</v>
      </c>
      <c r="AE72" s="19">
        <v>2.0</v>
      </c>
      <c r="AF72" s="19">
        <v>7.0</v>
      </c>
      <c r="AG72" s="19">
        <v>0.0</v>
      </c>
      <c r="AH72" s="19">
        <v>1.0</v>
      </c>
      <c r="AI72" s="19">
        <v>1.0</v>
      </c>
      <c r="AJ72" s="19">
        <v>3.0</v>
      </c>
      <c r="AK72" s="13">
        <f t="shared" si="18"/>
        <v>85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1.0</v>
      </c>
      <c r="G73" s="19">
        <v>3.0</v>
      </c>
      <c r="H73" s="19">
        <v>1.0</v>
      </c>
      <c r="I73" s="19">
        <v>1.0</v>
      </c>
      <c r="J73" s="19">
        <v>0.0</v>
      </c>
      <c r="K73" s="19">
        <v>0.0</v>
      </c>
      <c r="L73" s="19">
        <v>0.0</v>
      </c>
      <c r="M73" s="19">
        <v>1.0</v>
      </c>
      <c r="N73" s="19">
        <v>0.0</v>
      </c>
      <c r="O73" s="19">
        <v>0.0</v>
      </c>
      <c r="P73" s="19">
        <v>1.0</v>
      </c>
      <c r="Q73" s="19">
        <v>1.0</v>
      </c>
      <c r="R73" s="19">
        <v>0.0</v>
      </c>
      <c r="S73" s="19">
        <v>1.0</v>
      </c>
      <c r="T73" s="19">
        <v>0.0</v>
      </c>
      <c r="U73" s="19">
        <v>0.0</v>
      </c>
      <c r="V73" s="19">
        <v>0.0</v>
      </c>
      <c r="W73" s="19">
        <v>0.0</v>
      </c>
      <c r="X73" s="19">
        <v>0.0</v>
      </c>
      <c r="Y73" s="19">
        <v>0.0</v>
      </c>
      <c r="Z73" s="19">
        <v>2.0</v>
      </c>
      <c r="AA73" s="19">
        <v>0.0</v>
      </c>
      <c r="AB73" s="19">
        <v>0.0</v>
      </c>
      <c r="AC73" s="19">
        <v>0.0</v>
      </c>
      <c r="AD73" s="19">
        <v>1.0</v>
      </c>
      <c r="AE73" s="19">
        <v>0.0</v>
      </c>
      <c r="AF73" s="19">
        <v>1.0</v>
      </c>
      <c r="AG73" s="19">
        <v>0.0</v>
      </c>
      <c r="AH73" s="19">
        <v>0.0</v>
      </c>
      <c r="AI73" s="19">
        <v>0.0</v>
      </c>
      <c r="AJ73" s="19">
        <v>0.0</v>
      </c>
      <c r="AK73" s="13">
        <f t="shared" si="18"/>
        <v>14</v>
      </c>
    </row>
    <row r="74" ht="12.75" customHeight="1">
      <c r="A74" s="18"/>
      <c r="B74" s="55">
        <v>5.0</v>
      </c>
      <c r="C74" s="50" t="s">
        <v>61</v>
      </c>
      <c r="D74" s="57"/>
      <c r="E74" s="19">
        <v>5.0</v>
      </c>
      <c r="F74" s="19">
        <v>1.0</v>
      </c>
      <c r="G74" s="19">
        <v>3.0</v>
      </c>
      <c r="H74" s="19">
        <v>3.0</v>
      </c>
      <c r="I74" s="19">
        <v>5.0</v>
      </c>
      <c r="J74" s="19">
        <v>14.0</v>
      </c>
      <c r="K74" s="19">
        <v>6.0</v>
      </c>
      <c r="L74" s="19">
        <v>5.0</v>
      </c>
      <c r="M74" s="19">
        <v>1.0</v>
      </c>
      <c r="N74" s="19">
        <v>3.0</v>
      </c>
      <c r="O74" s="19">
        <v>4.0</v>
      </c>
      <c r="P74" s="19">
        <v>3.0</v>
      </c>
      <c r="Q74" s="19">
        <v>3.0</v>
      </c>
      <c r="R74" s="19">
        <v>4.0</v>
      </c>
      <c r="S74" s="19">
        <v>7.0</v>
      </c>
      <c r="T74" s="19">
        <v>2.0</v>
      </c>
      <c r="U74" s="19">
        <v>2.0</v>
      </c>
      <c r="V74" s="19">
        <v>1.0</v>
      </c>
      <c r="W74" s="19">
        <v>4.0</v>
      </c>
      <c r="X74" s="19">
        <v>0.0</v>
      </c>
      <c r="Y74" s="19">
        <v>3.0</v>
      </c>
      <c r="Z74" s="19">
        <v>4.0</v>
      </c>
      <c r="AA74" s="19">
        <v>4.0</v>
      </c>
      <c r="AB74" s="19">
        <v>1.0</v>
      </c>
      <c r="AC74" s="19">
        <v>1.0</v>
      </c>
      <c r="AD74" s="19">
        <v>2.0</v>
      </c>
      <c r="AE74" s="19">
        <v>3.0</v>
      </c>
      <c r="AF74" s="19">
        <v>2.0</v>
      </c>
      <c r="AG74" s="19">
        <v>5.0</v>
      </c>
      <c r="AH74" s="19">
        <v>2.0</v>
      </c>
      <c r="AI74" s="19">
        <v>0.0</v>
      </c>
      <c r="AJ74" s="19">
        <v>0.0</v>
      </c>
      <c r="AK74" s="13">
        <f t="shared" si="18"/>
        <v>103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1.0</v>
      </c>
      <c r="G75" s="19">
        <v>2.0</v>
      </c>
      <c r="H75" s="19">
        <v>1.0</v>
      </c>
      <c r="I75" s="19">
        <v>0.0</v>
      </c>
      <c r="J75" s="19">
        <v>1.0</v>
      </c>
      <c r="K75" s="19">
        <v>2.0</v>
      </c>
      <c r="L75" s="19">
        <v>0.0</v>
      </c>
      <c r="M75" s="19">
        <v>0.0</v>
      </c>
      <c r="N75" s="19">
        <v>1.0</v>
      </c>
      <c r="O75" s="19">
        <v>0.0</v>
      </c>
      <c r="P75" s="19">
        <v>4.0</v>
      </c>
      <c r="Q75" s="19">
        <v>1.0</v>
      </c>
      <c r="R75" s="19">
        <v>2.0</v>
      </c>
      <c r="S75" s="19">
        <v>1.0</v>
      </c>
      <c r="T75" s="19">
        <v>1.0</v>
      </c>
      <c r="U75" s="19">
        <v>1.0</v>
      </c>
      <c r="V75" s="19">
        <v>1.0</v>
      </c>
      <c r="W75" s="19">
        <v>0.0</v>
      </c>
      <c r="X75" s="19">
        <v>0.0</v>
      </c>
      <c r="Y75" s="19">
        <v>1.0</v>
      </c>
      <c r="Z75" s="19">
        <v>2.0</v>
      </c>
      <c r="AA75" s="19">
        <v>0.0</v>
      </c>
      <c r="AB75" s="19">
        <v>0.0</v>
      </c>
      <c r="AC75" s="19">
        <v>1.0</v>
      </c>
      <c r="AD75" s="19">
        <v>2.0</v>
      </c>
      <c r="AE75" s="19">
        <v>0.0</v>
      </c>
      <c r="AF75" s="19">
        <v>1.0</v>
      </c>
      <c r="AG75" s="19">
        <v>2.0</v>
      </c>
      <c r="AH75" s="19">
        <v>2.0</v>
      </c>
      <c r="AI75" s="19">
        <v>2.0</v>
      </c>
      <c r="AJ75" s="19">
        <v>2.0</v>
      </c>
      <c r="AK75" s="13">
        <f t="shared" si="18"/>
        <v>34</v>
      </c>
    </row>
    <row r="76" ht="12.75" customHeight="1">
      <c r="A76" s="18"/>
      <c r="B76" s="55">
        <v>7.0</v>
      </c>
      <c r="C76" s="50" t="s">
        <v>63</v>
      </c>
      <c r="D76" s="57"/>
      <c r="E76" s="19">
        <v>2.0</v>
      </c>
      <c r="F76" s="19">
        <v>3.0</v>
      </c>
      <c r="G76" s="19">
        <v>7.0</v>
      </c>
      <c r="H76" s="19">
        <v>10.0</v>
      </c>
      <c r="I76" s="19">
        <v>8.0</v>
      </c>
      <c r="J76" s="19">
        <v>13.0</v>
      </c>
      <c r="K76" s="19">
        <v>5.0</v>
      </c>
      <c r="L76" s="19">
        <v>3.0</v>
      </c>
      <c r="M76" s="19">
        <v>4.0</v>
      </c>
      <c r="N76" s="19">
        <v>3.0</v>
      </c>
      <c r="O76" s="19">
        <v>3.0</v>
      </c>
      <c r="P76" s="19">
        <v>2.0</v>
      </c>
      <c r="Q76" s="19">
        <v>4.0</v>
      </c>
      <c r="R76" s="19">
        <v>0.0</v>
      </c>
      <c r="S76" s="19">
        <v>4.0</v>
      </c>
      <c r="T76" s="19">
        <v>0.0</v>
      </c>
      <c r="U76" s="19">
        <v>5.0</v>
      </c>
      <c r="V76" s="19">
        <v>3.0</v>
      </c>
      <c r="W76" s="19">
        <v>6.0</v>
      </c>
      <c r="X76" s="19">
        <v>23.0</v>
      </c>
      <c r="Y76" s="19">
        <v>12.0</v>
      </c>
      <c r="Z76" s="19">
        <v>1.0</v>
      </c>
      <c r="AA76" s="19">
        <v>6.0</v>
      </c>
      <c r="AB76" s="19">
        <v>2.0</v>
      </c>
      <c r="AC76" s="19">
        <v>0.0</v>
      </c>
      <c r="AD76" s="19">
        <v>2.0</v>
      </c>
      <c r="AE76" s="19">
        <v>9.0</v>
      </c>
      <c r="AF76" s="19">
        <v>4.0</v>
      </c>
      <c r="AG76" s="19">
        <v>2.0</v>
      </c>
      <c r="AH76" s="19">
        <v>3.0</v>
      </c>
      <c r="AI76" s="19">
        <v>12.0</v>
      </c>
      <c r="AJ76" s="19">
        <v>1.0</v>
      </c>
      <c r="AK76" s="13">
        <f t="shared" si="18"/>
        <v>162</v>
      </c>
    </row>
    <row r="77" ht="12.75" customHeight="1">
      <c r="A77" s="18"/>
      <c r="B77" s="71"/>
      <c r="C77" s="72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3">
        <f t="shared" si="18"/>
        <v>0</v>
      </c>
    </row>
    <row r="78" ht="12.75" customHeight="1">
      <c r="A78" s="18"/>
      <c r="B78" s="71"/>
      <c r="C78" s="72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AJ79" si="19">SUM(E69:E76)</f>
        <v>26</v>
      </c>
      <c r="F79" s="13">
        <f t="shared" si="19"/>
        <v>26</v>
      </c>
      <c r="G79" s="13">
        <f t="shared" si="19"/>
        <v>29</v>
      </c>
      <c r="H79" s="13">
        <f t="shared" si="19"/>
        <v>29</v>
      </c>
      <c r="I79" s="13">
        <f t="shared" si="19"/>
        <v>34</v>
      </c>
      <c r="J79" s="13">
        <f t="shared" si="19"/>
        <v>45</v>
      </c>
      <c r="K79" s="13">
        <f t="shared" si="19"/>
        <v>54</v>
      </c>
      <c r="L79" s="13">
        <f t="shared" si="19"/>
        <v>28</v>
      </c>
      <c r="M79" s="13">
        <f t="shared" si="19"/>
        <v>28</v>
      </c>
      <c r="N79" s="13">
        <f t="shared" si="19"/>
        <v>57</v>
      </c>
      <c r="O79" s="13">
        <f t="shared" si="19"/>
        <v>20</v>
      </c>
      <c r="P79" s="13">
        <f t="shared" si="19"/>
        <v>28</v>
      </c>
      <c r="Q79" s="13">
        <f t="shared" si="19"/>
        <v>34</v>
      </c>
      <c r="R79" s="13">
        <f t="shared" si="19"/>
        <v>24</v>
      </c>
      <c r="S79" s="13">
        <f t="shared" si="19"/>
        <v>35</v>
      </c>
      <c r="T79" s="13">
        <f t="shared" si="19"/>
        <v>27</v>
      </c>
      <c r="U79" s="13">
        <f t="shared" si="19"/>
        <v>31</v>
      </c>
      <c r="V79" s="13">
        <f t="shared" si="19"/>
        <v>28</v>
      </c>
      <c r="W79" s="13">
        <f t="shared" si="19"/>
        <v>27</v>
      </c>
      <c r="X79" s="13">
        <f t="shared" si="19"/>
        <v>38</v>
      </c>
      <c r="Y79" s="13">
        <f t="shared" si="19"/>
        <v>45</v>
      </c>
      <c r="Z79" s="13">
        <f t="shared" si="19"/>
        <v>36</v>
      </c>
      <c r="AA79" s="13">
        <f t="shared" si="19"/>
        <v>35</v>
      </c>
      <c r="AB79" s="13">
        <f t="shared" si="19"/>
        <v>14</v>
      </c>
      <c r="AC79" s="13">
        <f t="shared" si="19"/>
        <v>13</v>
      </c>
      <c r="AD79" s="13">
        <f t="shared" si="19"/>
        <v>23</v>
      </c>
      <c r="AE79" s="13">
        <f t="shared" si="19"/>
        <v>29</v>
      </c>
      <c r="AF79" s="13">
        <f t="shared" si="19"/>
        <v>39</v>
      </c>
      <c r="AG79" s="13">
        <f t="shared" si="19"/>
        <v>17</v>
      </c>
      <c r="AH79" s="13">
        <f t="shared" si="19"/>
        <v>27</v>
      </c>
      <c r="AI79" s="13">
        <f t="shared" si="19"/>
        <v>19</v>
      </c>
      <c r="AJ79" s="13">
        <f t="shared" si="19"/>
        <v>20</v>
      </c>
      <c r="AK79" s="13">
        <f t="shared" si="18"/>
        <v>965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4.0</v>
      </c>
      <c r="F81" s="19">
        <v>0.0</v>
      </c>
      <c r="G81" s="19">
        <v>1.0</v>
      </c>
      <c r="H81" s="19">
        <v>2.0</v>
      </c>
      <c r="I81" s="19">
        <v>1.0</v>
      </c>
      <c r="J81" s="19">
        <v>3.0</v>
      </c>
      <c r="K81" s="19">
        <v>4.0</v>
      </c>
      <c r="L81" s="19">
        <v>1.0</v>
      </c>
      <c r="M81" s="19">
        <v>0.0</v>
      </c>
      <c r="N81" s="19">
        <v>1.0</v>
      </c>
      <c r="O81" s="19">
        <v>0.0</v>
      </c>
      <c r="P81" s="19">
        <v>1.0</v>
      </c>
      <c r="Q81" s="19">
        <v>0.0</v>
      </c>
      <c r="R81" s="19">
        <v>1.0</v>
      </c>
      <c r="S81" s="19">
        <v>3.0</v>
      </c>
      <c r="T81" s="19">
        <v>2.0</v>
      </c>
      <c r="U81" s="19">
        <v>6.0</v>
      </c>
      <c r="V81" s="19">
        <v>8.0</v>
      </c>
      <c r="W81" s="19">
        <v>0.0</v>
      </c>
      <c r="X81" s="19">
        <v>3.0</v>
      </c>
      <c r="Y81" s="19">
        <v>2.0</v>
      </c>
      <c r="Z81" s="19">
        <v>1.0</v>
      </c>
      <c r="AA81" s="19">
        <v>2.0</v>
      </c>
      <c r="AB81" s="19">
        <v>3.0</v>
      </c>
      <c r="AC81" s="19">
        <v>2.0</v>
      </c>
      <c r="AD81" s="19">
        <v>2.0</v>
      </c>
      <c r="AE81" s="19">
        <v>10.0</v>
      </c>
      <c r="AF81" s="19">
        <v>4.0</v>
      </c>
      <c r="AG81" s="19">
        <v>2.0</v>
      </c>
      <c r="AH81" s="19">
        <v>0.0</v>
      </c>
      <c r="AI81" s="19">
        <v>0.0</v>
      </c>
      <c r="AJ81" s="19">
        <v>11.0</v>
      </c>
      <c r="AK81" s="13">
        <f t="shared" ref="AK81:AK91" si="20">SUM(E81:AJ81)</f>
        <v>80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2.0</v>
      </c>
      <c r="F82" s="19">
        <v>2.0</v>
      </c>
      <c r="G82" s="19">
        <v>8.0</v>
      </c>
      <c r="H82" s="19">
        <v>10.0</v>
      </c>
      <c r="I82" s="19">
        <v>6.0</v>
      </c>
      <c r="J82" s="19">
        <v>10.0</v>
      </c>
      <c r="K82" s="19">
        <v>8.0</v>
      </c>
      <c r="L82" s="19">
        <v>4.0</v>
      </c>
      <c r="M82" s="19">
        <v>4.0</v>
      </c>
      <c r="N82" s="19">
        <v>3.0</v>
      </c>
      <c r="O82" s="19">
        <v>1.0</v>
      </c>
      <c r="P82" s="19">
        <v>3.0</v>
      </c>
      <c r="Q82" s="19">
        <v>1.0</v>
      </c>
      <c r="R82" s="19">
        <v>1.0</v>
      </c>
      <c r="S82" s="19">
        <v>5.0</v>
      </c>
      <c r="T82" s="19">
        <v>11.0</v>
      </c>
      <c r="U82" s="19">
        <v>18.0</v>
      </c>
      <c r="V82" s="19">
        <v>5.0</v>
      </c>
      <c r="W82" s="19">
        <v>3.0</v>
      </c>
      <c r="X82" s="19">
        <v>2.0</v>
      </c>
      <c r="Y82" s="19">
        <v>5.0</v>
      </c>
      <c r="Z82" s="19">
        <v>0.0</v>
      </c>
      <c r="AA82" s="19">
        <v>4.0</v>
      </c>
      <c r="AB82" s="19">
        <v>2.0</v>
      </c>
      <c r="AC82" s="19">
        <v>6.0</v>
      </c>
      <c r="AD82" s="19">
        <v>1.0</v>
      </c>
      <c r="AE82" s="19">
        <v>3.0</v>
      </c>
      <c r="AF82" s="19">
        <v>32.0</v>
      </c>
      <c r="AG82" s="19">
        <v>1.0</v>
      </c>
      <c r="AH82" s="19">
        <v>5.0</v>
      </c>
      <c r="AI82" s="19">
        <v>2.0</v>
      </c>
      <c r="AJ82" s="19">
        <v>49.0</v>
      </c>
      <c r="AK82" s="13">
        <f t="shared" si="20"/>
        <v>217</v>
      </c>
    </row>
    <row r="83" ht="12.75" customHeight="1">
      <c r="A83" s="18"/>
      <c r="B83" s="55">
        <v>2.0</v>
      </c>
      <c r="C83" s="50" t="s">
        <v>66</v>
      </c>
      <c r="D83" s="57"/>
      <c r="E83" s="19">
        <v>22.0</v>
      </c>
      <c r="F83" s="19">
        <v>5.0</v>
      </c>
      <c r="G83" s="19">
        <v>11.0</v>
      </c>
      <c r="H83" s="19">
        <v>3.0</v>
      </c>
      <c r="I83" s="19">
        <v>1.0</v>
      </c>
      <c r="J83" s="19">
        <v>7.0</v>
      </c>
      <c r="K83" s="19">
        <v>3.0</v>
      </c>
      <c r="L83" s="19">
        <v>7.0</v>
      </c>
      <c r="M83" s="19">
        <v>7.0</v>
      </c>
      <c r="N83" s="19">
        <v>2.0</v>
      </c>
      <c r="O83" s="19">
        <v>0.0</v>
      </c>
      <c r="P83" s="19">
        <v>6.0</v>
      </c>
      <c r="Q83" s="19">
        <v>0.0</v>
      </c>
      <c r="R83" s="19">
        <v>5.0</v>
      </c>
      <c r="S83" s="19">
        <v>7.0</v>
      </c>
      <c r="T83" s="19">
        <v>3.0</v>
      </c>
      <c r="U83" s="19">
        <v>1.0</v>
      </c>
      <c r="V83" s="19">
        <v>3.0</v>
      </c>
      <c r="W83" s="19">
        <v>2.0</v>
      </c>
      <c r="X83" s="19">
        <v>12.0</v>
      </c>
      <c r="Y83" s="19">
        <v>25.0</v>
      </c>
      <c r="Z83" s="19">
        <v>5.0</v>
      </c>
      <c r="AA83" s="19">
        <v>4.0</v>
      </c>
      <c r="AB83" s="19">
        <v>2.0</v>
      </c>
      <c r="AC83" s="19">
        <v>1.0</v>
      </c>
      <c r="AD83" s="19">
        <v>0.0</v>
      </c>
      <c r="AE83" s="19">
        <v>2.0</v>
      </c>
      <c r="AF83" s="19">
        <v>6.0</v>
      </c>
      <c r="AG83" s="19">
        <v>0.0</v>
      </c>
      <c r="AH83" s="19">
        <v>3.0</v>
      </c>
      <c r="AI83" s="19">
        <v>0.0</v>
      </c>
      <c r="AJ83" s="19">
        <v>1.0</v>
      </c>
      <c r="AK83" s="13">
        <f t="shared" si="20"/>
        <v>156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2.0</v>
      </c>
      <c r="M84" s="19">
        <v>0.0</v>
      </c>
      <c r="N84" s="19">
        <v>0.0</v>
      </c>
      <c r="O84" s="19">
        <v>1.0</v>
      </c>
      <c r="P84" s="19">
        <v>0.0</v>
      </c>
      <c r="Q84" s="19">
        <v>1.0</v>
      </c>
      <c r="R84" s="19">
        <v>0.0</v>
      </c>
      <c r="S84" s="19">
        <v>0.0</v>
      </c>
      <c r="T84" s="19">
        <v>0.0</v>
      </c>
      <c r="U84" s="19">
        <v>0.0</v>
      </c>
      <c r="V84" s="19">
        <v>0.0</v>
      </c>
      <c r="W84" s="19">
        <v>0.0</v>
      </c>
      <c r="X84" s="19">
        <v>0.0</v>
      </c>
      <c r="Y84" s="19">
        <v>0.0</v>
      </c>
      <c r="Z84" s="19">
        <v>1.0</v>
      </c>
      <c r="AA84" s="19">
        <v>0.0</v>
      </c>
      <c r="AB84" s="19">
        <v>0.0</v>
      </c>
      <c r="AC84" s="19">
        <v>0.0</v>
      </c>
      <c r="AD84" s="19">
        <v>0.0</v>
      </c>
      <c r="AE84" s="19">
        <v>0.0</v>
      </c>
      <c r="AF84" s="19">
        <v>0.0</v>
      </c>
      <c r="AG84" s="19">
        <v>0.0</v>
      </c>
      <c r="AH84" s="19">
        <v>0.0</v>
      </c>
      <c r="AI84" s="19">
        <v>0.0</v>
      </c>
      <c r="AJ84" s="19">
        <v>2.0</v>
      </c>
      <c r="AK84" s="13">
        <f t="shared" si="20"/>
        <v>7</v>
      </c>
    </row>
    <row r="85" ht="12.75" customHeight="1">
      <c r="A85" s="18"/>
      <c r="B85" s="55">
        <v>4.0</v>
      </c>
      <c r="C85" s="50" t="s">
        <v>68</v>
      </c>
      <c r="D85" s="57"/>
      <c r="E85" s="19">
        <v>3.0</v>
      </c>
      <c r="F85" s="19">
        <v>2.0</v>
      </c>
      <c r="G85" s="19">
        <v>1.0</v>
      </c>
      <c r="H85" s="19">
        <v>0.0</v>
      </c>
      <c r="I85" s="19">
        <v>0.0</v>
      </c>
      <c r="J85" s="19">
        <v>1.0</v>
      </c>
      <c r="K85" s="19">
        <v>1.0</v>
      </c>
      <c r="L85" s="19">
        <v>2.0</v>
      </c>
      <c r="M85" s="19">
        <v>0.0</v>
      </c>
      <c r="N85" s="19">
        <v>0.0</v>
      </c>
      <c r="O85" s="19">
        <v>0.0</v>
      </c>
      <c r="P85" s="19">
        <v>1.0</v>
      </c>
      <c r="Q85" s="19">
        <v>0.0</v>
      </c>
      <c r="R85" s="19">
        <v>0.0</v>
      </c>
      <c r="S85" s="19">
        <v>1.0</v>
      </c>
      <c r="T85" s="19">
        <v>0.0</v>
      </c>
      <c r="U85" s="19">
        <v>1.0</v>
      </c>
      <c r="V85" s="19">
        <v>1.0</v>
      </c>
      <c r="W85" s="19">
        <v>0.0</v>
      </c>
      <c r="X85" s="19">
        <v>0.0</v>
      </c>
      <c r="Y85" s="19">
        <v>0.0</v>
      </c>
      <c r="Z85" s="19">
        <v>0.0</v>
      </c>
      <c r="AA85" s="19">
        <v>0.0</v>
      </c>
      <c r="AB85" s="19">
        <v>0.0</v>
      </c>
      <c r="AC85" s="19">
        <v>2.0</v>
      </c>
      <c r="AD85" s="19">
        <v>2.0</v>
      </c>
      <c r="AE85" s="19">
        <v>1.0</v>
      </c>
      <c r="AF85" s="19">
        <v>0.0</v>
      </c>
      <c r="AG85" s="19">
        <v>0.0</v>
      </c>
      <c r="AH85" s="19">
        <v>1.0</v>
      </c>
      <c r="AI85" s="19">
        <v>0.0</v>
      </c>
      <c r="AJ85" s="19">
        <v>0.0</v>
      </c>
      <c r="AK85" s="13">
        <f t="shared" si="20"/>
        <v>20</v>
      </c>
    </row>
    <row r="86" ht="12.75" customHeight="1">
      <c r="A86" s="18"/>
      <c r="B86" s="55">
        <v>5.0</v>
      </c>
      <c r="C86" s="50" t="s">
        <v>69</v>
      </c>
      <c r="D86" s="57"/>
      <c r="E86" s="19">
        <v>1.0</v>
      </c>
      <c r="F86" s="19">
        <v>0.0</v>
      </c>
      <c r="G86" s="19">
        <v>0.0</v>
      </c>
      <c r="H86" s="19">
        <v>0.0</v>
      </c>
      <c r="I86" s="19">
        <v>1.0</v>
      </c>
      <c r="J86" s="19">
        <v>0.0</v>
      </c>
      <c r="K86" s="19">
        <v>0.0</v>
      </c>
      <c r="L86" s="19">
        <v>3.0</v>
      </c>
      <c r="M86" s="19">
        <v>0.0</v>
      </c>
      <c r="N86" s="19">
        <v>1.0</v>
      </c>
      <c r="O86" s="19">
        <v>0.0</v>
      </c>
      <c r="P86" s="19">
        <v>0.0</v>
      </c>
      <c r="Q86" s="19">
        <v>0.0</v>
      </c>
      <c r="R86" s="19">
        <v>0.0</v>
      </c>
      <c r="S86" s="19">
        <v>1.0</v>
      </c>
      <c r="T86" s="19">
        <v>2.0</v>
      </c>
      <c r="U86" s="19">
        <v>0.0</v>
      </c>
      <c r="V86" s="19">
        <v>0.0</v>
      </c>
      <c r="W86" s="19">
        <v>0.0</v>
      </c>
      <c r="X86" s="19">
        <v>1.0</v>
      </c>
      <c r="Y86" s="19">
        <v>2.0</v>
      </c>
      <c r="Z86" s="19">
        <v>0.0</v>
      </c>
      <c r="AA86" s="19">
        <v>0.0</v>
      </c>
      <c r="AB86" s="19">
        <v>4.0</v>
      </c>
      <c r="AC86" s="19">
        <v>0.0</v>
      </c>
      <c r="AD86" s="19">
        <v>3.0</v>
      </c>
      <c r="AE86" s="19">
        <v>0.0</v>
      </c>
      <c r="AF86" s="19">
        <v>2.0</v>
      </c>
      <c r="AG86" s="19">
        <v>0.0</v>
      </c>
      <c r="AH86" s="19">
        <v>0.0</v>
      </c>
      <c r="AI86" s="19">
        <v>0.0</v>
      </c>
      <c r="AJ86" s="19">
        <v>0.0</v>
      </c>
      <c r="AK86" s="13">
        <f t="shared" si="20"/>
        <v>21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1.0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1.0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9">
        <v>0.0</v>
      </c>
      <c r="AG87" s="19">
        <v>0.0</v>
      </c>
      <c r="AH87" s="19">
        <v>0.0</v>
      </c>
      <c r="AI87" s="19">
        <v>0.0</v>
      </c>
      <c r="AJ87" s="19">
        <v>0.0</v>
      </c>
      <c r="AK87" s="13">
        <f t="shared" si="20"/>
        <v>2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1.0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1.0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1.0</v>
      </c>
      <c r="AF88" s="19">
        <v>0.0</v>
      </c>
      <c r="AG88" s="19">
        <v>0.0</v>
      </c>
      <c r="AH88" s="19">
        <v>0.0</v>
      </c>
      <c r="AI88" s="19">
        <v>0.0</v>
      </c>
      <c r="AJ88" s="19">
        <v>2.0</v>
      </c>
      <c r="AK88" s="13">
        <f t="shared" si="20"/>
        <v>5</v>
      </c>
    </row>
    <row r="89" ht="12.75" customHeight="1">
      <c r="A89" s="18"/>
      <c r="B89" s="71"/>
      <c r="C89" s="72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3">
        <f t="shared" si="20"/>
        <v>0</v>
      </c>
    </row>
    <row r="90" ht="12.75" customHeight="1">
      <c r="A90" s="18"/>
      <c r="B90" s="71"/>
      <c r="C90" s="72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AJ91" si="21">SUM(E81:E88)</f>
        <v>32</v>
      </c>
      <c r="F91" s="13">
        <f t="shared" si="21"/>
        <v>9</v>
      </c>
      <c r="G91" s="13">
        <f t="shared" si="21"/>
        <v>21</v>
      </c>
      <c r="H91" s="13">
        <f t="shared" si="21"/>
        <v>16</v>
      </c>
      <c r="I91" s="13">
        <f t="shared" si="21"/>
        <v>9</v>
      </c>
      <c r="J91" s="13">
        <f t="shared" si="21"/>
        <v>21</v>
      </c>
      <c r="K91" s="13">
        <f t="shared" si="21"/>
        <v>16</v>
      </c>
      <c r="L91" s="13">
        <f t="shared" si="21"/>
        <v>19</v>
      </c>
      <c r="M91" s="13">
        <f t="shared" si="21"/>
        <v>11</v>
      </c>
      <c r="N91" s="13">
        <f t="shared" si="21"/>
        <v>7</v>
      </c>
      <c r="O91" s="13">
        <f t="shared" si="21"/>
        <v>2</v>
      </c>
      <c r="P91" s="13">
        <f t="shared" si="21"/>
        <v>11</v>
      </c>
      <c r="Q91" s="13">
        <f t="shared" si="21"/>
        <v>3</v>
      </c>
      <c r="R91" s="13">
        <f t="shared" si="21"/>
        <v>7</v>
      </c>
      <c r="S91" s="13">
        <f t="shared" si="21"/>
        <v>17</v>
      </c>
      <c r="T91" s="13">
        <f t="shared" si="21"/>
        <v>18</v>
      </c>
      <c r="U91" s="13">
        <f t="shared" si="21"/>
        <v>26</v>
      </c>
      <c r="V91" s="13">
        <f t="shared" si="21"/>
        <v>17</v>
      </c>
      <c r="W91" s="13">
        <f t="shared" si="21"/>
        <v>5</v>
      </c>
      <c r="X91" s="13">
        <f t="shared" si="21"/>
        <v>20</v>
      </c>
      <c r="Y91" s="13">
        <f t="shared" si="21"/>
        <v>34</v>
      </c>
      <c r="Z91" s="13">
        <f t="shared" si="21"/>
        <v>7</v>
      </c>
      <c r="AA91" s="13">
        <f t="shared" si="21"/>
        <v>10</v>
      </c>
      <c r="AB91" s="13">
        <f t="shared" si="21"/>
        <v>11</v>
      </c>
      <c r="AC91" s="13">
        <f t="shared" si="21"/>
        <v>11</v>
      </c>
      <c r="AD91" s="13">
        <f t="shared" si="21"/>
        <v>8</v>
      </c>
      <c r="AE91" s="13">
        <f t="shared" si="21"/>
        <v>17</v>
      </c>
      <c r="AF91" s="13">
        <f t="shared" si="21"/>
        <v>44</v>
      </c>
      <c r="AG91" s="13">
        <f t="shared" si="21"/>
        <v>3</v>
      </c>
      <c r="AH91" s="13">
        <f t="shared" si="21"/>
        <v>9</v>
      </c>
      <c r="AI91" s="13">
        <f t="shared" si="21"/>
        <v>2</v>
      </c>
      <c r="AJ91" s="13">
        <f t="shared" si="21"/>
        <v>65</v>
      </c>
      <c r="AK91" s="13">
        <f t="shared" si="20"/>
        <v>508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1.0</v>
      </c>
      <c r="G93" s="19">
        <v>2.0</v>
      </c>
      <c r="H93" s="19">
        <v>1.0</v>
      </c>
      <c r="I93" s="19">
        <v>0.0</v>
      </c>
      <c r="J93" s="19">
        <v>2.0</v>
      </c>
      <c r="K93" s="19">
        <v>6.0</v>
      </c>
      <c r="L93" s="19">
        <v>4.0</v>
      </c>
      <c r="M93" s="19">
        <v>4.0</v>
      </c>
      <c r="N93" s="19">
        <v>6.0</v>
      </c>
      <c r="O93" s="19">
        <v>0.0</v>
      </c>
      <c r="P93" s="19">
        <v>4.0</v>
      </c>
      <c r="Q93" s="19">
        <v>1.0</v>
      </c>
      <c r="R93" s="19">
        <v>2.0</v>
      </c>
      <c r="S93" s="19">
        <v>4.0</v>
      </c>
      <c r="T93" s="19">
        <v>2.0</v>
      </c>
      <c r="U93" s="19">
        <v>4.0</v>
      </c>
      <c r="V93" s="19">
        <v>2.0</v>
      </c>
      <c r="W93" s="19">
        <v>1.0</v>
      </c>
      <c r="X93" s="19">
        <v>1.0</v>
      </c>
      <c r="Y93" s="19">
        <v>10.0</v>
      </c>
      <c r="Z93" s="19">
        <v>5.0</v>
      </c>
      <c r="AA93" s="19">
        <v>1.0</v>
      </c>
      <c r="AB93" s="19">
        <v>4.0</v>
      </c>
      <c r="AC93" s="19">
        <v>1.0</v>
      </c>
      <c r="AD93" s="19">
        <v>2.0</v>
      </c>
      <c r="AE93" s="19">
        <v>5.0</v>
      </c>
      <c r="AF93" s="19">
        <v>1.0</v>
      </c>
      <c r="AG93" s="19">
        <v>0.0</v>
      </c>
      <c r="AH93" s="19">
        <v>1.0</v>
      </c>
      <c r="AI93" s="19">
        <v>1.0</v>
      </c>
      <c r="AJ93" s="19">
        <v>8.0</v>
      </c>
      <c r="AK93" s="13">
        <f t="shared" ref="AK93:AK103" si="22">SUM(E93:AJ93)</f>
        <v>87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1.0</v>
      </c>
      <c r="F94" s="19">
        <v>1.0</v>
      </c>
      <c r="G94" s="19">
        <v>0.0</v>
      </c>
      <c r="H94" s="19">
        <v>1.0</v>
      </c>
      <c r="I94" s="19">
        <v>2.0</v>
      </c>
      <c r="J94" s="19">
        <v>3.0</v>
      </c>
      <c r="K94" s="19">
        <v>1.0</v>
      </c>
      <c r="L94" s="19">
        <v>2.0</v>
      </c>
      <c r="M94" s="19">
        <v>3.0</v>
      </c>
      <c r="N94" s="19">
        <v>2.0</v>
      </c>
      <c r="O94" s="19">
        <v>2.0</v>
      </c>
      <c r="P94" s="19">
        <v>1.0</v>
      </c>
      <c r="Q94" s="19">
        <v>0.0</v>
      </c>
      <c r="R94" s="19">
        <v>3.0</v>
      </c>
      <c r="S94" s="19">
        <v>1.0</v>
      </c>
      <c r="T94" s="19">
        <v>3.0</v>
      </c>
      <c r="U94" s="19">
        <v>3.0</v>
      </c>
      <c r="V94" s="19">
        <v>2.0</v>
      </c>
      <c r="W94" s="19">
        <v>2.0</v>
      </c>
      <c r="X94" s="19">
        <v>1.0</v>
      </c>
      <c r="Y94" s="19">
        <v>2.0</v>
      </c>
      <c r="Z94" s="19">
        <v>0.0</v>
      </c>
      <c r="AA94" s="19">
        <v>2.0</v>
      </c>
      <c r="AB94" s="19">
        <v>1.0</v>
      </c>
      <c r="AC94" s="19">
        <v>3.0</v>
      </c>
      <c r="AD94" s="19">
        <v>2.0</v>
      </c>
      <c r="AE94" s="19">
        <v>2.0</v>
      </c>
      <c r="AF94" s="19">
        <v>2.0</v>
      </c>
      <c r="AG94" s="19">
        <v>0.0</v>
      </c>
      <c r="AH94" s="19">
        <v>1.0</v>
      </c>
      <c r="AI94" s="19">
        <v>0.0</v>
      </c>
      <c r="AJ94" s="19">
        <v>3.0</v>
      </c>
      <c r="AK94" s="13">
        <f t="shared" si="22"/>
        <v>52</v>
      </c>
    </row>
    <row r="95" ht="12.75" customHeight="1">
      <c r="A95" s="18"/>
      <c r="B95" s="55">
        <v>2.0</v>
      </c>
      <c r="C95" s="50" t="s">
        <v>75</v>
      </c>
      <c r="D95" s="57"/>
      <c r="E95" s="19">
        <v>4.0</v>
      </c>
      <c r="F95" s="19">
        <v>4.0</v>
      </c>
      <c r="G95" s="19">
        <v>2.0</v>
      </c>
      <c r="H95" s="19">
        <v>2.0</v>
      </c>
      <c r="I95" s="19">
        <v>2.0</v>
      </c>
      <c r="J95" s="19">
        <v>6.0</v>
      </c>
      <c r="K95" s="19">
        <v>1.0</v>
      </c>
      <c r="L95" s="19">
        <v>6.0</v>
      </c>
      <c r="M95" s="19">
        <v>2.0</v>
      </c>
      <c r="N95" s="19">
        <v>2.0</v>
      </c>
      <c r="O95" s="19">
        <v>1.0</v>
      </c>
      <c r="P95" s="19">
        <v>0.0</v>
      </c>
      <c r="Q95" s="19">
        <v>4.0</v>
      </c>
      <c r="R95" s="19">
        <v>1.0</v>
      </c>
      <c r="S95" s="19">
        <v>0.0</v>
      </c>
      <c r="T95" s="19">
        <v>1.0</v>
      </c>
      <c r="U95" s="19">
        <v>3.0</v>
      </c>
      <c r="V95" s="19">
        <v>3.0</v>
      </c>
      <c r="W95" s="19">
        <v>2.0</v>
      </c>
      <c r="X95" s="19">
        <v>0.0</v>
      </c>
      <c r="Y95" s="19">
        <v>2.0</v>
      </c>
      <c r="Z95" s="19">
        <v>2.0</v>
      </c>
      <c r="AA95" s="19">
        <v>3.0</v>
      </c>
      <c r="AB95" s="19">
        <v>2.0</v>
      </c>
      <c r="AC95" s="19">
        <v>1.0</v>
      </c>
      <c r="AD95" s="19">
        <v>0.0</v>
      </c>
      <c r="AE95" s="19">
        <v>1.0</v>
      </c>
      <c r="AF95" s="19">
        <v>2.0</v>
      </c>
      <c r="AG95" s="19">
        <v>1.0</v>
      </c>
      <c r="AH95" s="19">
        <v>0.0</v>
      </c>
      <c r="AI95" s="19">
        <v>3.0</v>
      </c>
      <c r="AJ95" s="19">
        <v>4.0</v>
      </c>
      <c r="AK95" s="13">
        <f t="shared" si="22"/>
        <v>67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1.0</v>
      </c>
      <c r="G96" s="19">
        <v>2.0</v>
      </c>
      <c r="H96" s="19">
        <v>2.0</v>
      </c>
      <c r="I96" s="19">
        <v>1.0</v>
      </c>
      <c r="J96" s="19">
        <v>1.0</v>
      </c>
      <c r="K96" s="19">
        <v>0.0</v>
      </c>
      <c r="L96" s="19">
        <v>2.0</v>
      </c>
      <c r="M96" s="19">
        <v>1.0</v>
      </c>
      <c r="N96" s="19">
        <v>2.0</v>
      </c>
      <c r="O96" s="19">
        <v>0.0</v>
      </c>
      <c r="P96" s="19">
        <v>0.0</v>
      </c>
      <c r="Q96" s="19">
        <v>1.0</v>
      </c>
      <c r="R96" s="19">
        <v>1.0</v>
      </c>
      <c r="S96" s="19">
        <v>1.0</v>
      </c>
      <c r="T96" s="19">
        <v>0.0</v>
      </c>
      <c r="U96" s="19">
        <v>2.0</v>
      </c>
      <c r="V96" s="19">
        <v>1.0</v>
      </c>
      <c r="W96" s="19">
        <v>3.0</v>
      </c>
      <c r="X96" s="19">
        <v>0.0</v>
      </c>
      <c r="Y96" s="19">
        <v>1.0</v>
      </c>
      <c r="Z96" s="19">
        <v>1.0</v>
      </c>
      <c r="AA96" s="19">
        <v>1.0</v>
      </c>
      <c r="AB96" s="19">
        <v>1.0</v>
      </c>
      <c r="AC96" s="19">
        <v>1.0</v>
      </c>
      <c r="AD96" s="19">
        <v>0.0</v>
      </c>
      <c r="AE96" s="19">
        <v>2.0</v>
      </c>
      <c r="AF96" s="19">
        <v>1.0</v>
      </c>
      <c r="AG96" s="19">
        <v>0.0</v>
      </c>
      <c r="AH96" s="19">
        <v>0.0</v>
      </c>
      <c r="AI96" s="19">
        <v>0.0</v>
      </c>
      <c r="AJ96" s="19">
        <v>0.0</v>
      </c>
      <c r="AK96" s="13">
        <f t="shared" si="22"/>
        <v>29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4.0</v>
      </c>
      <c r="G97" s="19">
        <v>4.0</v>
      </c>
      <c r="H97" s="19">
        <v>3.0</v>
      </c>
      <c r="I97" s="19">
        <v>4.0</v>
      </c>
      <c r="J97" s="19">
        <v>1.0</v>
      </c>
      <c r="K97" s="19">
        <v>7.0</v>
      </c>
      <c r="L97" s="19">
        <v>1.0</v>
      </c>
      <c r="M97" s="19">
        <v>5.0</v>
      </c>
      <c r="N97" s="19">
        <v>2.0</v>
      </c>
      <c r="O97" s="19">
        <v>1.0</v>
      </c>
      <c r="P97" s="19">
        <v>1.0</v>
      </c>
      <c r="Q97" s="19">
        <v>3.0</v>
      </c>
      <c r="R97" s="19">
        <v>3.0</v>
      </c>
      <c r="S97" s="19">
        <v>5.0</v>
      </c>
      <c r="T97" s="19">
        <v>2.0</v>
      </c>
      <c r="U97" s="19">
        <v>0.0</v>
      </c>
      <c r="V97" s="19">
        <v>4.0</v>
      </c>
      <c r="W97" s="19">
        <v>2.0</v>
      </c>
      <c r="X97" s="19">
        <v>1.0</v>
      </c>
      <c r="Y97" s="19">
        <v>1.0</v>
      </c>
      <c r="Z97" s="19">
        <v>4.0</v>
      </c>
      <c r="AA97" s="19">
        <v>6.0</v>
      </c>
      <c r="AB97" s="19">
        <v>1.0</v>
      </c>
      <c r="AC97" s="19">
        <v>3.0</v>
      </c>
      <c r="AD97" s="19">
        <v>1.0</v>
      </c>
      <c r="AE97" s="19">
        <v>1.0</v>
      </c>
      <c r="AF97" s="19">
        <v>8.0</v>
      </c>
      <c r="AG97" s="19">
        <v>0.0</v>
      </c>
      <c r="AH97" s="19">
        <v>0.0</v>
      </c>
      <c r="AI97" s="19">
        <v>0.0</v>
      </c>
      <c r="AJ97" s="19">
        <v>1.0</v>
      </c>
      <c r="AK97" s="13">
        <f t="shared" si="22"/>
        <v>79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2.0</v>
      </c>
      <c r="H98" s="19">
        <v>1.0</v>
      </c>
      <c r="I98" s="19">
        <v>0.0</v>
      </c>
      <c r="J98" s="19">
        <v>1.0</v>
      </c>
      <c r="K98" s="19">
        <v>0.0</v>
      </c>
      <c r="L98" s="19">
        <v>1.0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8.0</v>
      </c>
      <c r="U98" s="19">
        <v>2.0</v>
      </c>
      <c r="V98" s="19">
        <v>15.0</v>
      </c>
      <c r="W98" s="19">
        <v>0.0</v>
      </c>
      <c r="X98" s="19">
        <v>1.0</v>
      </c>
      <c r="Y98" s="19">
        <v>0.0</v>
      </c>
      <c r="Z98" s="19">
        <v>0.0</v>
      </c>
      <c r="AA98" s="19">
        <v>1.0</v>
      </c>
      <c r="AB98" s="19">
        <v>0.0</v>
      </c>
      <c r="AC98" s="19">
        <v>1.0</v>
      </c>
      <c r="AD98" s="19">
        <v>0.0</v>
      </c>
      <c r="AE98" s="19">
        <v>0.0</v>
      </c>
      <c r="AF98" s="19">
        <v>0.0</v>
      </c>
      <c r="AG98" s="19">
        <v>0.0</v>
      </c>
      <c r="AH98" s="19">
        <v>0.0</v>
      </c>
      <c r="AI98" s="19">
        <v>0.0</v>
      </c>
      <c r="AJ98" s="19">
        <v>3.0</v>
      </c>
      <c r="AK98" s="13">
        <f t="shared" si="22"/>
        <v>36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1.0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1.0</v>
      </c>
      <c r="P99" s="19">
        <v>1.0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1.0</v>
      </c>
      <c r="AD99" s="19">
        <v>0.0</v>
      </c>
      <c r="AE99" s="19">
        <v>0.0</v>
      </c>
      <c r="AF99" s="19">
        <v>0.0</v>
      </c>
      <c r="AG99" s="19">
        <v>0.0</v>
      </c>
      <c r="AH99" s="19">
        <v>0.0</v>
      </c>
      <c r="AI99" s="19">
        <v>0.0</v>
      </c>
      <c r="AJ99" s="19">
        <v>0.0</v>
      </c>
      <c r="AK99" s="13">
        <f t="shared" si="22"/>
        <v>4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1.0</v>
      </c>
      <c r="W100" s="19">
        <v>0.0</v>
      </c>
      <c r="X100" s="19">
        <v>0.0</v>
      </c>
      <c r="Y100" s="19">
        <v>1.0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1.0</v>
      </c>
      <c r="AF100" s="19">
        <v>0.0</v>
      </c>
      <c r="AG100" s="19">
        <v>0.0</v>
      </c>
      <c r="AH100" s="19">
        <v>0.0</v>
      </c>
      <c r="AI100" s="19">
        <v>0.0</v>
      </c>
      <c r="AJ100" s="19">
        <v>0.0</v>
      </c>
      <c r="AK100" s="13">
        <f t="shared" si="22"/>
        <v>3</v>
      </c>
    </row>
    <row r="101" ht="12.75" customHeight="1">
      <c r="A101" s="18"/>
      <c r="B101" s="71"/>
      <c r="C101" s="72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3">
        <f t="shared" si="22"/>
        <v>0</v>
      </c>
    </row>
    <row r="102" ht="12.75" customHeight="1">
      <c r="A102" s="18"/>
      <c r="B102" s="71"/>
      <c r="C102" s="72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AJ103" si="23">SUM(E93:E100)</f>
        <v>6</v>
      </c>
      <c r="F103" s="13">
        <f t="shared" si="23"/>
        <v>11</v>
      </c>
      <c r="G103" s="13">
        <f t="shared" si="23"/>
        <v>13</v>
      </c>
      <c r="H103" s="13">
        <f t="shared" si="23"/>
        <v>10</v>
      </c>
      <c r="I103" s="13">
        <f t="shared" si="23"/>
        <v>9</v>
      </c>
      <c r="J103" s="13">
        <f t="shared" si="23"/>
        <v>14</v>
      </c>
      <c r="K103" s="13">
        <f t="shared" si="23"/>
        <v>15</v>
      </c>
      <c r="L103" s="13">
        <f t="shared" si="23"/>
        <v>16</v>
      </c>
      <c r="M103" s="13">
        <f t="shared" si="23"/>
        <v>15</v>
      </c>
      <c r="N103" s="13">
        <f t="shared" si="23"/>
        <v>14</v>
      </c>
      <c r="O103" s="13">
        <f t="shared" si="23"/>
        <v>5</v>
      </c>
      <c r="P103" s="13">
        <f t="shared" si="23"/>
        <v>7</v>
      </c>
      <c r="Q103" s="13">
        <f t="shared" si="23"/>
        <v>9</v>
      </c>
      <c r="R103" s="13">
        <f t="shared" si="23"/>
        <v>10</v>
      </c>
      <c r="S103" s="13">
        <f t="shared" si="23"/>
        <v>11</v>
      </c>
      <c r="T103" s="13">
        <f t="shared" si="23"/>
        <v>16</v>
      </c>
      <c r="U103" s="13">
        <f t="shared" si="23"/>
        <v>14</v>
      </c>
      <c r="V103" s="13">
        <f t="shared" si="23"/>
        <v>28</v>
      </c>
      <c r="W103" s="13">
        <f t="shared" si="23"/>
        <v>10</v>
      </c>
      <c r="X103" s="13">
        <f t="shared" si="23"/>
        <v>4</v>
      </c>
      <c r="Y103" s="13">
        <f t="shared" si="23"/>
        <v>17</v>
      </c>
      <c r="Z103" s="13">
        <f t="shared" si="23"/>
        <v>12</v>
      </c>
      <c r="AA103" s="13">
        <f t="shared" si="23"/>
        <v>14</v>
      </c>
      <c r="AB103" s="13">
        <f t="shared" si="23"/>
        <v>9</v>
      </c>
      <c r="AC103" s="13">
        <f t="shared" si="23"/>
        <v>11</v>
      </c>
      <c r="AD103" s="13">
        <f t="shared" si="23"/>
        <v>5</v>
      </c>
      <c r="AE103" s="13">
        <f t="shared" si="23"/>
        <v>12</v>
      </c>
      <c r="AF103" s="13">
        <f t="shared" si="23"/>
        <v>14</v>
      </c>
      <c r="AG103" s="13">
        <f t="shared" si="23"/>
        <v>1</v>
      </c>
      <c r="AH103" s="13">
        <f t="shared" si="23"/>
        <v>2</v>
      </c>
      <c r="AI103" s="13">
        <f t="shared" si="23"/>
        <v>4</v>
      </c>
      <c r="AJ103" s="13">
        <f t="shared" si="23"/>
        <v>19</v>
      </c>
      <c r="AK103" s="13">
        <f t="shared" si="22"/>
        <v>357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1.0</v>
      </c>
      <c r="G105" s="19">
        <v>0.0</v>
      </c>
      <c r="H105" s="19">
        <v>0.0</v>
      </c>
      <c r="I105" s="19">
        <v>1.0</v>
      </c>
      <c r="J105" s="19">
        <v>1.0</v>
      </c>
      <c r="K105" s="19">
        <v>0.0</v>
      </c>
      <c r="L105" s="19">
        <v>1.0</v>
      </c>
      <c r="M105" s="19">
        <v>0.0</v>
      </c>
      <c r="N105" s="19">
        <v>1.0</v>
      </c>
      <c r="O105" s="19">
        <v>0.0</v>
      </c>
      <c r="P105" s="19">
        <v>1.0</v>
      </c>
      <c r="Q105" s="19">
        <v>0.0</v>
      </c>
      <c r="R105" s="19">
        <v>1.0</v>
      </c>
      <c r="S105" s="19">
        <v>0.0</v>
      </c>
      <c r="T105" s="19">
        <v>0.0</v>
      </c>
      <c r="U105" s="19">
        <v>0.0</v>
      </c>
      <c r="V105" s="19">
        <v>1.0</v>
      </c>
      <c r="W105" s="19">
        <v>1.0</v>
      </c>
      <c r="X105" s="19">
        <v>0.0</v>
      </c>
      <c r="Y105" s="19">
        <v>0.0</v>
      </c>
      <c r="Z105" s="19">
        <v>2.0</v>
      </c>
      <c r="AA105" s="19">
        <v>0.0</v>
      </c>
      <c r="AB105" s="19">
        <v>0.0</v>
      </c>
      <c r="AC105" s="19">
        <v>0.0</v>
      </c>
      <c r="AD105" s="19">
        <v>1.0</v>
      </c>
      <c r="AE105" s="19">
        <v>1.0</v>
      </c>
      <c r="AF105" s="19">
        <v>0.0</v>
      </c>
      <c r="AG105" s="19">
        <v>0.0</v>
      </c>
      <c r="AH105" s="19">
        <v>2.0</v>
      </c>
      <c r="AI105" s="19">
        <v>0.0</v>
      </c>
      <c r="AJ105" s="19">
        <v>2.0</v>
      </c>
      <c r="AK105" s="13">
        <f t="shared" ref="AK105:AK115" si="24">SUM(E105:AJ105)</f>
        <v>17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1.0</v>
      </c>
      <c r="J106" s="19">
        <v>2.0</v>
      </c>
      <c r="K106" s="19">
        <v>0.0</v>
      </c>
      <c r="L106" s="19">
        <v>0.0</v>
      </c>
      <c r="M106" s="19">
        <v>2.0</v>
      </c>
      <c r="N106" s="19">
        <v>0.0</v>
      </c>
      <c r="O106" s="19">
        <v>0.0</v>
      </c>
      <c r="P106" s="19">
        <v>1.0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1.0</v>
      </c>
      <c r="AB106" s="19">
        <v>0.0</v>
      </c>
      <c r="AC106" s="19">
        <v>2.0</v>
      </c>
      <c r="AD106" s="19">
        <v>1.0</v>
      </c>
      <c r="AE106" s="19">
        <v>1.0</v>
      </c>
      <c r="AF106" s="19">
        <v>0.0</v>
      </c>
      <c r="AG106" s="19">
        <v>0.0</v>
      </c>
      <c r="AH106" s="19">
        <v>0.0</v>
      </c>
      <c r="AI106" s="19">
        <v>0.0</v>
      </c>
      <c r="AJ106" s="19">
        <v>0.0</v>
      </c>
      <c r="AK106" s="13">
        <f t="shared" si="24"/>
        <v>11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3.0</v>
      </c>
      <c r="F107" s="19">
        <v>0.0</v>
      </c>
      <c r="G107" s="19">
        <v>0.0</v>
      </c>
      <c r="H107" s="19">
        <v>0.0</v>
      </c>
      <c r="I107" s="19">
        <v>0.0</v>
      </c>
      <c r="J107" s="19">
        <v>1.0</v>
      </c>
      <c r="K107" s="19">
        <v>1.0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1.0</v>
      </c>
      <c r="X107" s="19">
        <v>0.0</v>
      </c>
      <c r="Y107" s="19">
        <v>0.0</v>
      </c>
      <c r="Z107" s="19">
        <v>2.0</v>
      </c>
      <c r="AA107" s="19">
        <v>1.0</v>
      </c>
      <c r="AB107" s="19">
        <v>0.0</v>
      </c>
      <c r="AC107" s="19">
        <v>1.0</v>
      </c>
      <c r="AD107" s="19">
        <v>0.0</v>
      </c>
      <c r="AE107" s="19">
        <v>1.0</v>
      </c>
      <c r="AF107" s="19">
        <v>0.0</v>
      </c>
      <c r="AG107" s="19">
        <v>0.0</v>
      </c>
      <c r="AH107" s="19">
        <v>0.0</v>
      </c>
      <c r="AI107" s="19">
        <v>0.0</v>
      </c>
      <c r="AJ107" s="19">
        <v>0.0</v>
      </c>
      <c r="AK107" s="13">
        <f t="shared" si="24"/>
        <v>11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1.0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1.0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1.0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1.0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1.0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3">
        <f t="shared" si="24"/>
        <v>1</v>
      </c>
    </row>
    <row r="113" ht="12.75" customHeight="1">
      <c r="A113" s="18"/>
      <c r="B113" s="71"/>
      <c r="C113" s="72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3">
        <f t="shared" si="24"/>
        <v>0</v>
      </c>
    </row>
    <row r="114" ht="12.75" customHeight="1">
      <c r="A114" s="18"/>
      <c r="B114" s="71"/>
      <c r="C114" s="72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J115" si="25">SUM(E105:E112)</f>
        <v>3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2</v>
      </c>
      <c r="J115" s="13">
        <f t="shared" si="25"/>
        <v>4</v>
      </c>
      <c r="K115" s="13">
        <f t="shared" si="25"/>
        <v>1</v>
      </c>
      <c r="L115" s="13">
        <f t="shared" si="25"/>
        <v>1</v>
      </c>
      <c r="M115" s="13">
        <f t="shared" si="25"/>
        <v>2</v>
      </c>
      <c r="N115" s="13">
        <f t="shared" si="25"/>
        <v>1</v>
      </c>
      <c r="O115" s="13">
        <f t="shared" si="25"/>
        <v>0</v>
      </c>
      <c r="P115" s="13">
        <f t="shared" si="25"/>
        <v>3</v>
      </c>
      <c r="Q115" s="13">
        <f t="shared" si="25"/>
        <v>0</v>
      </c>
      <c r="R115" s="13">
        <f t="shared" si="25"/>
        <v>1</v>
      </c>
      <c r="S115" s="13">
        <f t="shared" si="25"/>
        <v>0</v>
      </c>
      <c r="T115" s="13">
        <f t="shared" si="25"/>
        <v>0</v>
      </c>
      <c r="U115" s="13">
        <f t="shared" si="25"/>
        <v>0</v>
      </c>
      <c r="V115" s="13">
        <f t="shared" si="25"/>
        <v>1</v>
      </c>
      <c r="W115" s="13">
        <f t="shared" si="25"/>
        <v>2</v>
      </c>
      <c r="X115" s="13">
        <f t="shared" si="25"/>
        <v>0</v>
      </c>
      <c r="Y115" s="13">
        <f t="shared" si="25"/>
        <v>0</v>
      </c>
      <c r="Z115" s="13">
        <f t="shared" si="25"/>
        <v>6</v>
      </c>
      <c r="AA115" s="13">
        <f t="shared" si="25"/>
        <v>2</v>
      </c>
      <c r="AB115" s="13">
        <f t="shared" si="25"/>
        <v>0</v>
      </c>
      <c r="AC115" s="13">
        <f t="shared" si="25"/>
        <v>4</v>
      </c>
      <c r="AD115" s="13">
        <f t="shared" si="25"/>
        <v>3</v>
      </c>
      <c r="AE115" s="13">
        <f t="shared" si="25"/>
        <v>3</v>
      </c>
      <c r="AF115" s="13">
        <f t="shared" si="25"/>
        <v>0</v>
      </c>
      <c r="AG115" s="13">
        <f t="shared" si="25"/>
        <v>0</v>
      </c>
      <c r="AH115" s="13">
        <f t="shared" si="25"/>
        <v>2</v>
      </c>
      <c r="AI115" s="13">
        <f t="shared" si="25"/>
        <v>0</v>
      </c>
      <c r="AJ115" s="13">
        <f t="shared" si="25"/>
        <v>2</v>
      </c>
      <c r="AK115" s="13">
        <f t="shared" si="24"/>
        <v>44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2.0</v>
      </c>
      <c r="J117" s="19">
        <v>1.0</v>
      </c>
      <c r="K117" s="19">
        <v>1.0</v>
      </c>
      <c r="L117" s="19">
        <v>1.0</v>
      </c>
      <c r="M117" s="19">
        <v>1.0</v>
      </c>
      <c r="N117" s="19">
        <v>1.0</v>
      </c>
      <c r="O117" s="19">
        <v>2.0</v>
      </c>
      <c r="P117" s="19">
        <v>1.0</v>
      </c>
      <c r="Q117" s="19">
        <v>1.0</v>
      </c>
      <c r="R117" s="19">
        <v>0.0</v>
      </c>
      <c r="S117" s="19">
        <v>0.0</v>
      </c>
      <c r="T117" s="19">
        <v>0.0</v>
      </c>
      <c r="U117" s="19">
        <v>1.0</v>
      </c>
      <c r="V117" s="19">
        <v>0.0</v>
      </c>
      <c r="W117" s="19">
        <v>1.0</v>
      </c>
      <c r="X117" s="19">
        <v>1.0</v>
      </c>
      <c r="Y117" s="19">
        <v>1.0</v>
      </c>
      <c r="Z117" s="19">
        <v>0.0</v>
      </c>
      <c r="AA117" s="19">
        <v>3.0</v>
      </c>
      <c r="AB117" s="19">
        <v>3.0</v>
      </c>
      <c r="AC117" s="19">
        <v>2.0</v>
      </c>
      <c r="AD117" s="19">
        <v>2.0</v>
      </c>
      <c r="AE117" s="19">
        <v>1.0</v>
      </c>
      <c r="AF117" s="19">
        <v>0.0</v>
      </c>
      <c r="AG117" s="19">
        <v>0.0</v>
      </c>
      <c r="AH117" s="19">
        <v>0.0</v>
      </c>
      <c r="AI117" s="19">
        <v>0.0</v>
      </c>
      <c r="AJ117" s="19">
        <v>3.0</v>
      </c>
      <c r="AK117" s="13">
        <f t="shared" ref="AK117:AK127" si="26">SUM(E117:AJ117)</f>
        <v>29</v>
      </c>
      <c r="AL117" s="5"/>
      <c r="AM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1.0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1.0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1.0</v>
      </c>
      <c r="AF118" s="19">
        <v>0.0</v>
      </c>
      <c r="AG118" s="19">
        <v>0.0</v>
      </c>
      <c r="AH118" s="19">
        <v>0.0</v>
      </c>
      <c r="AI118" s="19">
        <v>1.0</v>
      </c>
      <c r="AJ118" s="19">
        <v>1.0</v>
      </c>
      <c r="AK118" s="13">
        <f t="shared" si="26"/>
        <v>5</v>
      </c>
      <c r="AL118" s="5"/>
      <c r="AM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1.0</v>
      </c>
      <c r="Q119" s="19">
        <v>0.0</v>
      </c>
      <c r="R119" s="19">
        <v>0.0</v>
      </c>
      <c r="S119" s="19">
        <v>0.0</v>
      </c>
      <c r="T119" s="19">
        <v>1.0</v>
      </c>
      <c r="U119" s="19">
        <v>1.0</v>
      </c>
      <c r="V119" s="19">
        <v>0.0</v>
      </c>
      <c r="W119" s="19">
        <v>1.0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9">
        <v>2.0</v>
      </c>
      <c r="AI119" s="19">
        <v>0.0</v>
      </c>
      <c r="AJ119" s="19">
        <v>0.0</v>
      </c>
      <c r="AK119" s="13">
        <f t="shared" si="26"/>
        <v>6</v>
      </c>
      <c r="AL119" s="5"/>
      <c r="AM119" s="5"/>
    </row>
    <row r="120" ht="12.75" customHeight="1">
      <c r="A120" s="18"/>
      <c r="B120" s="55">
        <v>3.0</v>
      </c>
      <c r="C120" s="50" t="s">
        <v>94</v>
      </c>
      <c r="D120" s="57"/>
      <c r="E120" s="19">
        <v>1.0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1.0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3">
        <f t="shared" si="26"/>
        <v>2</v>
      </c>
      <c r="AL120" s="5"/>
      <c r="AM120" s="5"/>
    </row>
    <row r="121" ht="12.75" customHeight="1">
      <c r="A121" s="18"/>
      <c r="B121" s="71"/>
      <c r="C121" s="72"/>
      <c r="D121" s="74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3">
        <f t="shared" si="26"/>
        <v>0</v>
      </c>
      <c r="AL121" s="5"/>
      <c r="AM121" s="5"/>
    </row>
    <row r="122" ht="12.75" customHeight="1">
      <c r="A122" s="18"/>
      <c r="B122" s="71"/>
      <c r="C122" s="72"/>
      <c r="D122" s="74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3">
        <f t="shared" si="26"/>
        <v>0</v>
      </c>
      <c r="AL122" s="5"/>
      <c r="AM122" s="5"/>
    </row>
    <row r="123" ht="12.75" customHeight="1">
      <c r="A123" s="18"/>
      <c r="B123" s="71"/>
      <c r="C123" s="72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13">
        <f t="shared" si="26"/>
        <v>0</v>
      </c>
      <c r="AL123" s="5"/>
      <c r="AM123" s="5"/>
    </row>
    <row r="124" ht="12.75" customHeight="1">
      <c r="A124" s="18"/>
      <c r="B124" s="71"/>
      <c r="C124" s="72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13">
        <f t="shared" si="26"/>
        <v>0</v>
      </c>
      <c r="AL124" s="5"/>
      <c r="AM124" s="5"/>
    </row>
    <row r="125" ht="12.75" customHeight="1">
      <c r="A125" s="18"/>
      <c r="B125" s="71"/>
      <c r="C125" s="72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13">
        <f t="shared" si="26"/>
        <v>0</v>
      </c>
      <c r="AL125" s="5"/>
      <c r="AM125" s="5"/>
    </row>
    <row r="126" ht="12.75" customHeight="1">
      <c r="A126" s="18"/>
      <c r="B126" s="71"/>
      <c r="C126" s="72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13">
        <f t="shared" si="26"/>
        <v>0</v>
      </c>
      <c r="AL126" s="5"/>
      <c r="AM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AJ127" si="27">SUM(E117:E120)</f>
        <v>1</v>
      </c>
      <c r="F127" s="58">
        <f t="shared" si="27"/>
        <v>0</v>
      </c>
      <c r="G127" s="58">
        <f t="shared" si="27"/>
        <v>1</v>
      </c>
      <c r="H127" s="58">
        <f t="shared" si="27"/>
        <v>0</v>
      </c>
      <c r="I127" s="58">
        <f t="shared" si="27"/>
        <v>2</v>
      </c>
      <c r="J127" s="58">
        <f t="shared" si="27"/>
        <v>1</v>
      </c>
      <c r="K127" s="58">
        <f t="shared" si="27"/>
        <v>1</v>
      </c>
      <c r="L127" s="58">
        <f t="shared" si="27"/>
        <v>1</v>
      </c>
      <c r="M127" s="58">
        <f t="shared" si="27"/>
        <v>2</v>
      </c>
      <c r="N127" s="58">
        <f t="shared" si="27"/>
        <v>1</v>
      </c>
      <c r="O127" s="58">
        <f t="shared" si="27"/>
        <v>2</v>
      </c>
      <c r="P127" s="58">
        <f t="shared" si="27"/>
        <v>2</v>
      </c>
      <c r="Q127" s="58">
        <f t="shared" si="27"/>
        <v>1</v>
      </c>
      <c r="R127" s="58">
        <f t="shared" si="27"/>
        <v>0</v>
      </c>
      <c r="S127" s="58">
        <f t="shared" si="27"/>
        <v>0</v>
      </c>
      <c r="T127" s="58">
        <f t="shared" si="27"/>
        <v>1</v>
      </c>
      <c r="U127" s="58">
        <f t="shared" si="27"/>
        <v>2</v>
      </c>
      <c r="V127" s="58">
        <f t="shared" si="27"/>
        <v>0</v>
      </c>
      <c r="W127" s="58">
        <f t="shared" si="27"/>
        <v>2</v>
      </c>
      <c r="X127" s="58">
        <f t="shared" si="27"/>
        <v>1</v>
      </c>
      <c r="Y127" s="58">
        <f t="shared" si="27"/>
        <v>1</v>
      </c>
      <c r="Z127" s="58">
        <f t="shared" si="27"/>
        <v>0</v>
      </c>
      <c r="AA127" s="58">
        <f t="shared" si="27"/>
        <v>4</v>
      </c>
      <c r="AB127" s="58">
        <f t="shared" si="27"/>
        <v>3</v>
      </c>
      <c r="AC127" s="58">
        <f t="shared" si="27"/>
        <v>2</v>
      </c>
      <c r="AD127" s="58">
        <f t="shared" si="27"/>
        <v>2</v>
      </c>
      <c r="AE127" s="58">
        <f t="shared" si="27"/>
        <v>2</v>
      </c>
      <c r="AF127" s="58">
        <f t="shared" si="27"/>
        <v>0</v>
      </c>
      <c r="AG127" s="58">
        <f t="shared" si="27"/>
        <v>0</v>
      </c>
      <c r="AH127" s="58">
        <f t="shared" si="27"/>
        <v>2</v>
      </c>
      <c r="AI127" s="58">
        <f t="shared" si="27"/>
        <v>1</v>
      </c>
      <c r="AJ127" s="58">
        <f t="shared" si="27"/>
        <v>4</v>
      </c>
      <c r="AK127" s="13">
        <f t="shared" si="26"/>
        <v>42</v>
      </c>
      <c r="AL127" s="5"/>
      <c r="AM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5"/>
      <c r="AM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1.0</v>
      </c>
      <c r="I129" s="19">
        <v>0.0</v>
      </c>
      <c r="J129" s="19">
        <v>1.0</v>
      </c>
      <c r="K129" s="19">
        <v>3.0</v>
      </c>
      <c r="L129" s="19">
        <v>1.0</v>
      </c>
      <c r="M129" s="19">
        <v>0.0</v>
      </c>
      <c r="N129" s="19">
        <v>1.0</v>
      </c>
      <c r="O129" s="19">
        <v>1.0</v>
      </c>
      <c r="P129" s="19">
        <v>2.0</v>
      </c>
      <c r="Q129" s="19">
        <v>2.0</v>
      </c>
      <c r="R129" s="19">
        <v>0.0</v>
      </c>
      <c r="S129" s="19">
        <v>0.0</v>
      </c>
      <c r="T129" s="19">
        <v>1.0</v>
      </c>
      <c r="U129" s="19">
        <v>0.0</v>
      </c>
      <c r="V129" s="19">
        <v>0.0</v>
      </c>
      <c r="W129" s="19">
        <v>0.0</v>
      </c>
      <c r="X129" s="19">
        <v>0.0</v>
      </c>
      <c r="Y129" s="19">
        <v>0.0</v>
      </c>
      <c r="Z129" s="19">
        <v>0.0</v>
      </c>
      <c r="AA129" s="19">
        <v>0.0</v>
      </c>
      <c r="AB129" s="19">
        <v>0.0</v>
      </c>
      <c r="AC129" s="19">
        <v>0.0</v>
      </c>
      <c r="AD129" s="19">
        <v>0.0</v>
      </c>
      <c r="AE129" s="19">
        <v>0.0</v>
      </c>
      <c r="AF129" s="19">
        <v>0.0</v>
      </c>
      <c r="AG129" s="19">
        <v>0.0</v>
      </c>
      <c r="AH129" s="19">
        <v>0.0</v>
      </c>
      <c r="AI129" s="19">
        <v>0.0</v>
      </c>
      <c r="AJ129" s="19">
        <v>0.0</v>
      </c>
      <c r="AK129" s="13">
        <f t="shared" ref="AK129:AK139" si="28">SUM(E129:AJ129)</f>
        <v>13</v>
      </c>
      <c r="AL129" s="5"/>
      <c r="AM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4.0</v>
      </c>
      <c r="F130" s="19">
        <v>1.0</v>
      </c>
      <c r="G130" s="19">
        <v>1.0</v>
      </c>
      <c r="H130" s="19">
        <v>0.0</v>
      </c>
      <c r="I130" s="19">
        <v>1.0</v>
      </c>
      <c r="J130" s="19">
        <v>3.0</v>
      </c>
      <c r="K130" s="19">
        <v>1.0</v>
      </c>
      <c r="L130" s="19">
        <v>0.0</v>
      </c>
      <c r="M130" s="19">
        <v>0.0</v>
      </c>
      <c r="N130" s="19">
        <v>1.0</v>
      </c>
      <c r="O130" s="19">
        <v>0.0</v>
      </c>
      <c r="P130" s="19">
        <v>0.0</v>
      </c>
      <c r="Q130" s="19">
        <v>0.0</v>
      </c>
      <c r="R130" s="19">
        <v>0.0</v>
      </c>
      <c r="S130" s="19">
        <v>0.0</v>
      </c>
      <c r="T130" s="19">
        <v>2.0</v>
      </c>
      <c r="U130" s="19">
        <v>3.0</v>
      </c>
      <c r="V130" s="19">
        <v>0.0</v>
      </c>
      <c r="W130" s="19">
        <v>0.0</v>
      </c>
      <c r="X130" s="19">
        <v>0.0</v>
      </c>
      <c r="Y130" s="19">
        <v>0.0</v>
      </c>
      <c r="Z130" s="19">
        <v>0.0</v>
      </c>
      <c r="AA130" s="19">
        <v>0.0</v>
      </c>
      <c r="AB130" s="19">
        <v>0.0</v>
      </c>
      <c r="AC130" s="19">
        <v>0.0</v>
      </c>
      <c r="AD130" s="19">
        <v>0.0</v>
      </c>
      <c r="AE130" s="19">
        <v>0.0</v>
      </c>
      <c r="AF130" s="19">
        <v>0.0</v>
      </c>
      <c r="AG130" s="19">
        <v>0.0</v>
      </c>
      <c r="AH130" s="19">
        <v>0.0</v>
      </c>
      <c r="AI130" s="19">
        <v>0.0</v>
      </c>
      <c r="AJ130" s="19">
        <v>0.0</v>
      </c>
      <c r="AK130" s="13">
        <f t="shared" si="28"/>
        <v>17</v>
      </c>
      <c r="AL130" s="1"/>
      <c r="AM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3.0</v>
      </c>
      <c r="H131" s="19">
        <v>0.0</v>
      </c>
      <c r="I131" s="19">
        <v>0.0</v>
      </c>
      <c r="J131" s="19">
        <v>0.0</v>
      </c>
      <c r="K131" s="19">
        <v>2.0</v>
      </c>
      <c r="L131" s="19">
        <v>0.0</v>
      </c>
      <c r="M131" s="19">
        <v>1.0</v>
      </c>
      <c r="N131" s="19">
        <v>0.0</v>
      </c>
      <c r="O131" s="19">
        <v>0.0</v>
      </c>
      <c r="P131" s="19">
        <v>1.0</v>
      </c>
      <c r="Q131" s="19">
        <v>1.0</v>
      </c>
      <c r="R131" s="19">
        <v>1.0</v>
      </c>
      <c r="S131" s="19">
        <v>2.0</v>
      </c>
      <c r="T131" s="19">
        <v>1.0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0.0</v>
      </c>
      <c r="AD131" s="19">
        <v>1.0</v>
      </c>
      <c r="AE131" s="19">
        <v>1.0</v>
      </c>
      <c r="AF131" s="19">
        <v>0.0</v>
      </c>
      <c r="AG131" s="19">
        <v>0.0</v>
      </c>
      <c r="AH131" s="19">
        <v>1.0</v>
      </c>
      <c r="AI131" s="19">
        <v>1.0</v>
      </c>
      <c r="AJ131" s="19">
        <v>0.0</v>
      </c>
      <c r="AK131" s="13">
        <f t="shared" si="28"/>
        <v>16</v>
      </c>
      <c r="AL131" s="52"/>
      <c r="AM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1.0</v>
      </c>
      <c r="L132" s="19">
        <v>1.0</v>
      </c>
      <c r="M132" s="19">
        <v>0.0</v>
      </c>
      <c r="N132" s="19">
        <v>0.0</v>
      </c>
      <c r="O132" s="19">
        <v>0.0</v>
      </c>
      <c r="P132" s="19">
        <v>1.0</v>
      </c>
      <c r="Q132" s="19">
        <v>0.0</v>
      </c>
      <c r="R132" s="19">
        <v>1.0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0.0</v>
      </c>
      <c r="AJ132" s="19">
        <v>0.0</v>
      </c>
      <c r="AK132" s="13">
        <f t="shared" si="28"/>
        <v>4</v>
      </c>
      <c r="AL132" s="5"/>
      <c r="AM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1.0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3">
        <f t="shared" si="28"/>
        <v>1</v>
      </c>
      <c r="AL133" s="5"/>
      <c r="AM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1.0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3">
        <f t="shared" si="28"/>
        <v>1</v>
      </c>
      <c r="AL134" s="5"/>
      <c r="AM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3">
        <f t="shared" si="28"/>
        <v>0</v>
      </c>
      <c r="AL135" s="5"/>
      <c r="AM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3">
        <f t="shared" si="28"/>
        <v>0</v>
      </c>
      <c r="AL136" s="5"/>
      <c r="AM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3">
        <f t="shared" si="28"/>
        <v>0</v>
      </c>
      <c r="AL137" s="5"/>
      <c r="AM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3">
        <f t="shared" si="28"/>
        <v>0</v>
      </c>
      <c r="AL138" s="5"/>
      <c r="AM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AJ139" si="29">SUM(E129:E136)</f>
        <v>4</v>
      </c>
      <c r="F139" s="13">
        <f t="shared" si="29"/>
        <v>1</v>
      </c>
      <c r="G139" s="13">
        <f t="shared" si="29"/>
        <v>4</v>
      </c>
      <c r="H139" s="13">
        <f t="shared" si="29"/>
        <v>1</v>
      </c>
      <c r="I139" s="13">
        <f t="shared" si="29"/>
        <v>2</v>
      </c>
      <c r="J139" s="13">
        <f t="shared" si="29"/>
        <v>5</v>
      </c>
      <c r="K139" s="13">
        <f t="shared" si="29"/>
        <v>7</v>
      </c>
      <c r="L139" s="13">
        <f t="shared" si="29"/>
        <v>2</v>
      </c>
      <c r="M139" s="13">
        <f t="shared" si="29"/>
        <v>1</v>
      </c>
      <c r="N139" s="13">
        <f t="shared" si="29"/>
        <v>2</v>
      </c>
      <c r="O139" s="13">
        <f t="shared" si="29"/>
        <v>1</v>
      </c>
      <c r="P139" s="13">
        <f t="shared" si="29"/>
        <v>4</v>
      </c>
      <c r="Q139" s="13">
        <f t="shared" si="29"/>
        <v>3</v>
      </c>
      <c r="R139" s="13">
        <f t="shared" si="29"/>
        <v>2</v>
      </c>
      <c r="S139" s="13">
        <f t="shared" si="29"/>
        <v>2</v>
      </c>
      <c r="T139" s="13">
        <f t="shared" si="29"/>
        <v>4</v>
      </c>
      <c r="U139" s="13">
        <f t="shared" si="29"/>
        <v>3</v>
      </c>
      <c r="V139" s="13">
        <f t="shared" si="29"/>
        <v>0</v>
      </c>
      <c r="W139" s="13">
        <f t="shared" si="29"/>
        <v>0</v>
      </c>
      <c r="X139" s="13">
        <f t="shared" si="29"/>
        <v>0</v>
      </c>
      <c r="Y139" s="13">
        <f t="shared" si="29"/>
        <v>0</v>
      </c>
      <c r="Z139" s="13">
        <f t="shared" si="29"/>
        <v>0</v>
      </c>
      <c r="AA139" s="13">
        <f t="shared" si="29"/>
        <v>0</v>
      </c>
      <c r="AB139" s="13">
        <f t="shared" si="29"/>
        <v>0</v>
      </c>
      <c r="AC139" s="13">
        <f t="shared" si="29"/>
        <v>0</v>
      </c>
      <c r="AD139" s="13">
        <f t="shared" si="29"/>
        <v>1</v>
      </c>
      <c r="AE139" s="13">
        <f t="shared" si="29"/>
        <v>1</v>
      </c>
      <c r="AF139" s="13">
        <f t="shared" si="29"/>
        <v>0</v>
      </c>
      <c r="AG139" s="13">
        <f t="shared" si="29"/>
        <v>0</v>
      </c>
      <c r="AH139" s="13">
        <f t="shared" si="29"/>
        <v>1</v>
      </c>
      <c r="AI139" s="13">
        <f t="shared" si="29"/>
        <v>1</v>
      </c>
      <c r="AJ139" s="13">
        <f t="shared" si="29"/>
        <v>0</v>
      </c>
      <c r="AK139" s="13">
        <f t="shared" si="28"/>
        <v>52</v>
      </c>
      <c r="AL139" s="5"/>
      <c r="AM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5"/>
      <c r="AM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1.0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1.0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3">
        <f t="shared" ref="AK141:AK151" si="30">SUM(E141:AJ141)</f>
        <v>2</v>
      </c>
      <c r="AL141" s="1"/>
      <c r="AM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3">
        <f t="shared" si="30"/>
        <v>0</v>
      </c>
      <c r="AL142" s="52"/>
      <c r="AM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1.0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1.0</v>
      </c>
      <c r="AH143" s="19">
        <v>0.0</v>
      </c>
      <c r="AI143" s="19">
        <v>0.0</v>
      </c>
      <c r="AJ143" s="19">
        <v>0.0</v>
      </c>
      <c r="AK143" s="13">
        <f t="shared" si="30"/>
        <v>2</v>
      </c>
      <c r="AL143" s="5"/>
      <c r="AM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3">
        <f t="shared" si="30"/>
        <v>0</v>
      </c>
      <c r="AL144" s="5"/>
      <c r="AM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3">
        <f t="shared" si="30"/>
        <v>0</v>
      </c>
      <c r="AL145" s="5"/>
      <c r="AM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3">
        <f t="shared" si="30"/>
        <v>0</v>
      </c>
      <c r="AL146" s="5"/>
      <c r="AM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3">
        <f t="shared" si="30"/>
        <v>0</v>
      </c>
      <c r="AL147" s="5"/>
      <c r="AM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3">
        <f t="shared" si="30"/>
        <v>0</v>
      </c>
      <c r="AL148" s="5"/>
      <c r="AM148" s="5"/>
    </row>
    <row r="149" ht="12.75" customHeight="1">
      <c r="A149" s="18"/>
      <c r="B149" s="71"/>
      <c r="C149" s="72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3">
        <f t="shared" si="30"/>
        <v>0</v>
      </c>
      <c r="AL149" s="5"/>
      <c r="AM149" s="5"/>
    </row>
    <row r="150" ht="12.75" customHeight="1">
      <c r="A150" s="18"/>
      <c r="B150" s="71"/>
      <c r="C150" s="72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3">
        <f t="shared" si="30"/>
        <v>0</v>
      </c>
      <c r="AL150" s="5"/>
      <c r="AM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J151" si="31">SUM(E141:E148)</f>
        <v>1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1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1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0"/>
        <v>4</v>
      </c>
      <c r="AL151" s="1"/>
      <c r="AM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75"/>
      <c r="AK152" s="13"/>
      <c r="AL152" s="52"/>
      <c r="AM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1.0</v>
      </c>
      <c r="J153" s="19">
        <v>1.0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1.0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1.0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1.0</v>
      </c>
      <c r="AH153" s="19">
        <v>0.0</v>
      </c>
      <c r="AI153" s="19">
        <v>0.0</v>
      </c>
      <c r="AJ153" s="19">
        <v>1.0</v>
      </c>
      <c r="AK153" s="13">
        <f t="shared" ref="AK153:AK163" si="32">SUM(E153:AJ153)</f>
        <v>6</v>
      </c>
      <c r="AL153" s="5"/>
      <c r="AM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1.0</v>
      </c>
      <c r="AA154" s="19">
        <v>0.0</v>
      </c>
      <c r="AB154" s="19">
        <v>1.0</v>
      </c>
      <c r="AC154" s="19">
        <v>0.0</v>
      </c>
      <c r="AD154" s="19">
        <v>0.0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3">
        <f t="shared" si="32"/>
        <v>2</v>
      </c>
      <c r="AL154" s="5"/>
      <c r="AM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1.0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1.0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0.0</v>
      </c>
      <c r="AJ155" s="19">
        <v>0.0</v>
      </c>
      <c r="AK155" s="13">
        <f t="shared" si="32"/>
        <v>2</v>
      </c>
      <c r="AL155" s="5"/>
      <c r="AM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1.0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3">
        <f t="shared" si="32"/>
        <v>1</v>
      </c>
      <c r="AL156" s="5"/>
      <c r="AM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1.0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3">
        <f t="shared" si="32"/>
        <v>1</v>
      </c>
      <c r="AL157" s="5"/>
      <c r="AM157" s="5"/>
    </row>
    <row r="158" ht="12.75" customHeight="1">
      <c r="A158" s="18"/>
      <c r="B158" s="71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3">
        <f t="shared" si="32"/>
        <v>0</v>
      </c>
      <c r="AL158" s="5"/>
      <c r="AM158" s="5"/>
    </row>
    <row r="159" ht="12.75" customHeight="1">
      <c r="A159" s="18"/>
      <c r="B159" s="71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3">
        <f t="shared" si="32"/>
        <v>0</v>
      </c>
      <c r="AL159" s="5"/>
      <c r="AM159" s="5"/>
    </row>
    <row r="160" ht="12.75" customHeight="1">
      <c r="A160" s="18"/>
      <c r="B160" s="71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3">
        <f t="shared" si="32"/>
        <v>0</v>
      </c>
      <c r="AL160" s="5"/>
      <c r="AM160" s="5"/>
    </row>
    <row r="161" ht="12.75" customHeight="1">
      <c r="A161" s="18"/>
      <c r="B161" s="71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3">
        <f t="shared" si="32"/>
        <v>0</v>
      </c>
      <c r="AL161" s="5"/>
      <c r="AM161" s="5"/>
    </row>
    <row r="162" ht="12.75" customHeight="1">
      <c r="A162" s="18"/>
      <c r="B162" s="71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3">
        <f t="shared" si="32"/>
        <v>0</v>
      </c>
      <c r="AL162" s="5"/>
      <c r="AM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AJ163" si="33">SUM(E153:E157)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1</v>
      </c>
      <c r="K163" s="13">
        <f t="shared" si="33"/>
        <v>0</v>
      </c>
      <c r="L163" s="13">
        <f t="shared" si="33"/>
        <v>0</v>
      </c>
      <c r="M163" s="13">
        <f t="shared" si="33"/>
        <v>1</v>
      </c>
      <c r="N163" s="13">
        <f t="shared" si="33"/>
        <v>0</v>
      </c>
      <c r="O163" s="13">
        <f t="shared" si="33"/>
        <v>0</v>
      </c>
      <c r="P163" s="13">
        <f t="shared" si="33"/>
        <v>1</v>
      </c>
      <c r="Q163" s="13">
        <f t="shared" si="33"/>
        <v>1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1</v>
      </c>
      <c r="W163" s="13">
        <f t="shared" si="33"/>
        <v>0</v>
      </c>
      <c r="X163" s="13">
        <f t="shared" si="33"/>
        <v>0</v>
      </c>
      <c r="Y163" s="13">
        <f t="shared" si="33"/>
        <v>1</v>
      </c>
      <c r="Z163" s="13">
        <f t="shared" si="33"/>
        <v>1</v>
      </c>
      <c r="AA163" s="13">
        <f t="shared" si="33"/>
        <v>0</v>
      </c>
      <c r="AB163" s="13">
        <f t="shared" si="33"/>
        <v>1</v>
      </c>
      <c r="AC163" s="13">
        <f t="shared" si="33"/>
        <v>1</v>
      </c>
      <c r="AD163" s="13">
        <f t="shared" si="33"/>
        <v>0</v>
      </c>
      <c r="AE163" s="13">
        <f t="shared" si="33"/>
        <v>0</v>
      </c>
      <c r="AF163" s="13">
        <f t="shared" si="33"/>
        <v>0</v>
      </c>
      <c r="AG163" s="13">
        <f t="shared" si="33"/>
        <v>1</v>
      </c>
      <c r="AH163" s="13">
        <f t="shared" si="33"/>
        <v>0</v>
      </c>
      <c r="AI163" s="13">
        <f t="shared" si="33"/>
        <v>0</v>
      </c>
      <c r="AJ163" s="13">
        <f t="shared" si="33"/>
        <v>1</v>
      </c>
      <c r="AK163" s="13">
        <f t="shared" si="32"/>
        <v>12</v>
      </c>
      <c r="AL163" s="5"/>
      <c r="AM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5"/>
      <c r="AM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1.0</v>
      </c>
      <c r="F165" s="19">
        <v>0.0</v>
      </c>
      <c r="G165" s="19">
        <v>1.0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1.0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1.0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1.0</v>
      </c>
      <c r="AH165" s="19">
        <v>0.0</v>
      </c>
      <c r="AI165" s="19">
        <v>0.0</v>
      </c>
      <c r="AJ165" s="19">
        <v>1.0</v>
      </c>
      <c r="AK165" s="13">
        <f t="shared" ref="AK165:AK175" si="34">SUM(E165:AJ165)</f>
        <v>6</v>
      </c>
      <c r="AL165" s="1"/>
      <c r="AM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1.0</v>
      </c>
      <c r="J166" s="19">
        <v>2.0</v>
      </c>
      <c r="K166" s="19">
        <v>0.0</v>
      </c>
      <c r="L166" s="19">
        <v>0.0</v>
      </c>
      <c r="M166" s="19">
        <v>1.0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0.0</v>
      </c>
      <c r="AH166" s="19">
        <v>0.0</v>
      </c>
      <c r="AI166" s="19">
        <v>0.0</v>
      </c>
      <c r="AJ166" s="19">
        <v>0.0</v>
      </c>
      <c r="AK166" s="13">
        <f t="shared" si="34"/>
        <v>4</v>
      </c>
      <c r="AL166" s="52"/>
      <c r="AM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1.0</v>
      </c>
      <c r="H167" s="19">
        <v>0.0</v>
      </c>
      <c r="I167" s="19">
        <v>0.0</v>
      </c>
      <c r="J167" s="19">
        <v>1.0</v>
      </c>
      <c r="K167" s="19">
        <v>0.0</v>
      </c>
      <c r="L167" s="19">
        <v>0.0</v>
      </c>
      <c r="M167" s="19">
        <v>0.0</v>
      </c>
      <c r="N167" s="19">
        <v>1.0</v>
      </c>
      <c r="O167" s="19">
        <v>0.0</v>
      </c>
      <c r="P167" s="19">
        <v>0.0</v>
      </c>
      <c r="Q167" s="19">
        <v>1.0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0.0</v>
      </c>
      <c r="AJ167" s="19">
        <v>0.0</v>
      </c>
      <c r="AK167" s="13">
        <f t="shared" si="34"/>
        <v>4</v>
      </c>
      <c r="AL167" s="5"/>
      <c r="AM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1.0</v>
      </c>
      <c r="H168" s="19">
        <v>0.0</v>
      </c>
      <c r="I168" s="19">
        <v>0.0</v>
      </c>
      <c r="J168" s="19">
        <v>1.0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1.0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3">
        <f t="shared" si="34"/>
        <v>3</v>
      </c>
      <c r="AL168" s="5"/>
      <c r="AM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0.0</v>
      </c>
      <c r="AK169" s="13">
        <f t="shared" si="34"/>
        <v>0</v>
      </c>
      <c r="AL169" s="5"/>
      <c r="AM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3">
        <f t="shared" si="34"/>
        <v>0</v>
      </c>
      <c r="AL170" s="5"/>
      <c r="AM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3">
        <f t="shared" si="34"/>
        <v>0</v>
      </c>
      <c r="AL171" s="5"/>
      <c r="AM171" s="5"/>
    </row>
    <row r="172" ht="12.75" customHeight="1">
      <c r="A172" s="18"/>
      <c r="B172" s="55">
        <v>7.0</v>
      </c>
      <c r="C172" s="50" t="s">
        <v>127</v>
      </c>
      <c r="D172" s="57"/>
      <c r="E172" s="19">
        <v>1.0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1.0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3">
        <f t="shared" si="34"/>
        <v>2</v>
      </c>
      <c r="AL172" s="5"/>
      <c r="AM172" s="5"/>
    </row>
    <row r="173" ht="12.75" customHeight="1">
      <c r="A173" s="18"/>
      <c r="B173" s="71"/>
      <c r="C173" s="72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3">
        <f t="shared" si="34"/>
        <v>0</v>
      </c>
      <c r="AL173" s="5"/>
      <c r="AM173" s="5"/>
    </row>
    <row r="174" ht="12.75" customHeight="1">
      <c r="A174" s="18"/>
      <c r="B174" s="71"/>
      <c r="C174" s="72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3">
        <f t="shared" si="34"/>
        <v>0</v>
      </c>
      <c r="AL174" s="5"/>
      <c r="AM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AJ175" si="35">SUM(E165:E172)</f>
        <v>2</v>
      </c>
      <c r="F175" s="13">
        <f t="shared" si="35"/>
        <v>0</v>
      </c>
      <c r="G175" s="13">
        <f t="shared" si="35"/>
        <v>3</v>
      </c>
      <c r="H175" s="13">
        <f t="shared" si="35"/>
        <v>0</v>
      </c>
      <c r="I175" s="13">
        <f t="shared" si="35"/>
        <v>1</v>
      </c>
      <c r="J175" s="13">
        <f t="shared" si="35"/>
        <v>4</v>
      </c>
      <c r="K175" s="13">
        <f t="shared" si="35"/>
        <v>0</v>
      </c>
      <c r="L175" s="13">
        <f t="shared" si="35"/>
        <v>0</v>
      </c>
      <c r="M175" s="13">
        <f t="shared" si="35"/>
        <v>1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2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1</v>
      </c>
      <c r="W175" s="13">
        <f t="shared" si="35"/>
        <v>0</v>
      </c>
      <c r="X175" s="13">
        <f t="shared" si="35"/>
        <v>0</v>
      </c>
      <c r="Y175" s="13">
        <f t="shared" si="35"/>
        <v>0</v>
      </c>
      <c r="Z175" s="13">
        <f t="shared" si="35"/>
        <v>1</v>
      </c>
      <c r="AA175" s="13">
        <f t="shared" si="35"/>
        <v>1</v>
      </c>
      <c r="AB175" s="13">
        <f t="shared" si="35"/>
        <v>0</v>
      </c>
      <c r="AC175" s="13">
        <f t="shared" si="35"/>
        <v>0</v>
      </c>
      <c r="AD175" s="13">
        <f t="shared" si="35"/>
        <v>0</v>
      </c>
      <c r="AE175" s="13">
        <f t="shared" si="35"/>
        <v>0</v>
      </c>
      <c r="AF175" s="13">
        <f t="shared" si="35"/>
        <v>0</v>
      </c>
      <c r="AG175" s="13">
        <f t="shared" si="35"/>
        <v>1</v>
      </c>
      <c r="AH175" s="13">
        <f t="shared" si="35"/>
        <v>0</v>
      </c>
      <c r="AI175" s="13">
        <f t="shared" si="35"/>
        <v>0</v>
      </c>
      <c r="AJ175" s="13">
        <f t="shared" si="35"/>
        <v>1</v>
      </c>
      <c r="AK175" s="13">
        <f t="shared" si="34"/>
        <v>19</v>
      </c>
      <c r="AL175" s="5"/>
      <c r="AM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1"/>
      <c r="AM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1.0</v>
      </c>
      <c r="H177" s="19">
        <v>1.0</v>
      </c>
      <c r="I177" s="19">
        <v>1.0</v>
      </c>
      <c r="J177" s="19">
        <v>2.0</v>
      </c>
      <c r="K177" s="19">
        <v>1.0</v>
      </c>
      <c r="L177" s="19">
        <v>1.0</v>
      </c>
      <c r="M177" s="19">
        <v>1.0</v>
      </c>
      <c r="N177" s="19">
        <v>0.0</v>
      </c>
      <c r="O177" s="19">
        <v>0.0</v>
      </c>
      <c r="P177" s="19">
        <v>0.0</v>
      </c>
      <c r="Q177" s="19">
        <v>0.0</v>
      </c>
      <c r="R177" s="19">
        <v>2.0</v>
      </c>
      <c r="S177" s="19">
        <v>1.0</v>
      </c>
      <c r="T177" s="19">
        <v>0.0</v>
      </c>
      <c r="U177" s="19">
        <v>0.0</v>
      </c>
      <c r="V177" s="19">
        <v>1.0</v>
      </c>
      <c r="W177" s="19">
        <v>0.0</v>
      </c>
      <c r="X177" s="19">
        <v>0.0</v>
      </c>
      <c r="Y177" s="19">
        <v>1.0</v>
      </c>
      <c r="Z177" s="19">
        <v>0.0</v>
      </c>
      <c r="AA177" s="19">
        <v>1.0</v>
      </c>
      <c r="AB177" s="19">
        <v>1.0</v>
      </c>
      <c r="AC177" s="19">
        <v>0.0</v>
      </c>
      <c r="AD177" s="19">
        <v>0.0</v>
      </c>
      <c r="AE177" s="19">
        <v>0.0</v>
      </c>
      <c r="AF177" s="19">
        <v>0.0</v>
      </c>
      <c r="AG177" s="19">
        <v>0.0</v>
      </c>
      <c r="AH177" s="19">
        <v>0.0</v>
      </c>
      <c r="AI177" s="19">
        <v>0.0</v>
      </c>
      <c r="AJ177" s="19">
        <v>0.0</v>
      </c>
      <c r="AK177" s="13">
        <f t="shared" ref="AK177:AK187" si="36">SUM(E177:AJ177)</f>
        <v>15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1.0</v>
      </c>
      <c r="F178" s="19">
        <v>1.0</v>
      </c>
      <c r="G178" s="19">
        <v>0.0</v>
      </c>
      <c r="H178" s="19">
        <v>0.0</v>
      </c>
      <c r="I178" s="19">
        <v>1.0</v>
      </c>
      <c r="J178" s="19">
        <v>0.0</v>
      </c>
      <c r="K178" s="19">
        <v>1.0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2.0</v>
      </c>
      <c r="R178" s="19">
        <v>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1.0</v>
      </c>
      <c r="Z178" s="19">
        <v>0.0</v>
      </c>
      <c r="AA178" s="19">
        <v>0.0</v>
      </c>
      <c r="AB178" s="19">
        <v>1.0</v>
      </c>
      <c r="AC178" s="19">
        <v>0.0</v>
      </c>
      <c r="AD178" s="19">
        <v>0.0</v>
      </c>
      <c r="AE178" s="19">
        <v>1.0</v>
      </c>
      <c r="AF178" s="19">
        <v>0.0</v>
      </c>
      <c r="AG178" s="19">
        <v>0.0</v>
      </c>
      <c r="AH178" s="19">
        <v>0.0</v>
      </c>
      <c r="AI178" s="19">
        <v>0.0</v>
      </c>
      <c r="AJ178" s="19">
        <v>0.0</v>
      </c>
      <c r="AK178" s="13">
        <f t="shared" si="36"/>
        <v>9</v>
      </c>
      <c r="AL178" s="5"/>
      <c r="AM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1.0</v>
      </c>
      <c r="G179" s="19">
        <v>1.0</v>
      </c>
      <c r="H179" s="19">
        <v>2.0</v>
      </c>
      <c r="I179" s="19">
        <v>0.0</v>
      </c>
      <c r="J179" s="19">
        <v>0.0</v>
      </c>
      <c r="K179" s="19">
        <v>3.0</v>
      </c>
      <c r="L179" s="19">
        <v>1.0</v>
      </c>
      <c r="M179" s="19">
        <v>1.0</v>
      </c>
      <c r="N179" s="19">
        <v>0.0</v>
      </c>
      <c r="O179" s="19">
        <v>0.0</v>
      </c>
      <c r="P179" s="19">
        <v>1.0</v>
      </c>
      <c r="Q179" s="19">
        <v>1.0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0.0</v>
      </c>
      <c r="AD179" s="19">
        <v>0.0</v>
      </c>
      <c r="AE179" s="19">
        <v>0.0</v>
      </c>
      <c r="AF179" s="19">
        <v>0.0</v>
      </c>
      <c r="AG179" s="19">
        <v>0.0</v>
      </c>
      <c r="AH179" s="19">
        <v>0.0</v>
      </c>
      <c r="AI179" s="19">
        <v>1.0</v>
      </c>
      <c r="AJ179" s="19">
        <v>0.0</v>
      </c>
      <c r="AK179" s="13">
        <f t="shared" si="36"/>
        <v>12</v>
      </c>
      <c r="AL179" s="5"/>
      <c r="AM179" s="5"/>
    </row>
    <row r="180" ht="12.75" customHeight="1">
      <c r="A180" s="18"/>
      <c r="B180" s="55">
        <v>3.0</v>
      </c>
      <c r="C180" s="50" t="s">
        <v>132</v>
      </c>
      <c r="D180" s="57"/>
      <c r="E180" s="19">
        <v>1.0</v>
      </c>
      <c r="F180" s="19">
        <v>0.0</v>
      </c>
      <c r="G180" s="19">
        <v>1.0</v>
      </c>
      <c r="H180" s="19">
        <v>1.0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1.0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1.0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0.0</v>
      </c>
      <c r="AI180" s="19">
        <v>0.0</v>
      </c>
      <c r="AJ180" s="19">
        <v>0.0</v>
      </c>
      <c r="AK180" s="13">
        <f t="shared" si="36"/>
        <v>5</v>
      </c>
      <c r="AL180" s="5"/>
      <c r="AM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1.0</v>
      </c>
      <c r="M181" s="19">
        <v>0.0</v>
      </c>
      <c r="N181" s="19">
        <v>0.0</v>
      </c>
      <c r="O181" s="19">
        <v>0.0</v>
      </c>
      <c r="P181" s="19">
        <v>0.0</v>
      </c>
      <c r="Q181" s="19">
        <v>1.0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1.0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1.0</v>
      </c>
      <c r="AG181" s="19">
        <v>2.0</v>
      </c>
      <c r="AH181" s="19">
        <v>0.0</v>
      </c>
      <c r="AI181" s="19">
        <v>0.0</v>
      </c>
      <c r="AJ181" s="19">
        <v>0.0</v>
      </c>
      <c r="AK181" s="13">
        <f t="shared" si="36"/>
        <v>6</v>
      </c>
      <c r="AL181" s="5"/>
      <c r="AM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1.0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3">
        <f t="shared" si="36"/>
        <v>1</v>
      </c>
      <c r="AL182" s="5"/>
      <c r="AM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1.0</v>
      </c>
      <c r="L183" s="19">
        <v>0.0</v>
      </c>
      <c r="M183" s="19">
        <v>0.0</v>
      </c>
      <c r="N183" s="19">
        <v>1.0</v>
      </c>
      <c r="O183" s="19">
        <v>0.0</v>
      </c>
      <c r="P183" s="19">
        <v>1.0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3">
        <f t="shared" si="36"/>
        <v>3</v>
      </c>
      <c r="AL183" s="5"/>
      <c r="AM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1.0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0.0</v>
      </c>
      <c r="AK184" s="13">
        <f t="shared" si="36"/>
        <v>1</v>
      </c>
      <c r="AL184" s="5"/>
      <c r="AM184" s="5"/>
    </row>
    <row r="185" ht="12.75" customHeight="1">
      <c r="A185" s="18"/>
      <c r="B185" s="71"/>
      <c r="C185" s="72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3">
        <f t="shared" si="36"/>
        <v>0</v>
      </c>
      <c r="AL185" s="5"/>
      <c r="AM185" s="5"/>
    </row>
    <row r="186" ht="12.75" customHeight="1">
      <c r="A186" s="18"/>
      <c r="B186" s="71"/>
      <c r="C186" s="72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3">
        <f t="shared" si="36"/>
        <v>0</v>
      </c>
      <c r="AL186" s="5"/>
      <c r="AM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J187" si="37">SUM(E177:E184)</f>
        <v>2</v>
      </c>
      <c r="F187" s="13">
        <f t="shared" si="37"/>
        <v>2</v>
      </c>
      <c r="G187" s="13">
        <f t="shared" si="37"/>
        <v>3</v>
      </c>
      <c r="H187" s="13">
        <f t="shared" si="37"/>
        <v>4</v>
      </c>
      <c r="I187" s="13">
        <f t="shared" si="37"/>
        <v>2</v>
      </c>
      <c r="J187" s="13">
        <f t="shared" si="37"/>
        <v>2</v>
      </c>
      <c r="K187" s="13">
        <f t="shared" si="37"/>
        <v>6</v>
      </c>
      <c r="L187" s="13">
        <f t="shared" si="37"/>
        <v>4</v>
      </c>
      <c r="M187" s="13">
        <f t="shared" si="37"/>
        <v>2</v>
      </c>
      <c r="N187" s="13">
        <f t="shared" si="37"/>
        <v>1</v>
      </c>
      <c r="O187" s="13">
        <f t="shared" si="37"/>
        <v>0</v>
      </c>
      <c r="P187" s="13">
        <f t="shared" si="37"/>
        <v>2</v>
      </c>
      <c r="Q187" s="13">
        <f t="shared" si="37"/>
        <v>5</v>
      </c>
      <c r="R187" s="13">
        <f t="shared" si="37"/>
        <v>2</v>
      </c>
      <c r="S187" s="13">
        <f t="shared" si="37"/>
        <v>1</v>
      </c>
      <c r="T187" s="13">
        <f t="shared" si="37"/>
        <v>0</v>
      </c>
      <c r="U187" s="13">
        <f t="shared" si="37"/>
        <v>0</v>
      </c>
      <c r="V187" s="13">
        <f t="shared" si="37"/>
        <v>2</v>
      </c>
      <c r="W187" s="13">
        <f t="shared" si="37"/>
        <v>0</v>
      </c>
      <c r="X187" s="13">
        <f t="shared" si="37"/>
        <v>0</v>
      </c>
      <c r="Y187" s="13">
        <f t="shared" si="37"/>
        <v>2</v>
      </c>
      <c r="Z187" s="13">
        <f t="shared" si="37"/>
        <v>1</v>
      </c>
      <c r="AA187" s="13">
        <f t="shared" si="37"/>
        <v>1</v>
      </c>
      <c r="AB187" s="13">
        <f t="shared" si="37"/>
        <v>3</v>
      </c>
      <c r="AC187" s="13">
        <f t="shared" si="37"/>
        <v>0</v>
      </c>
      <c r="AD187" s="13">
        <f t="shared" si="37"/>
        <v>0</v>
      </c>
      <c r="AE187" s="13">
        <f t="shared" si="37"/>
        <v>1</v>
      </c>
      <c r="AF187" s="13">
        <f t="shared" si="37"/>
        <v>1</v>
      </c>
      <c r="AG187" s="13">
        <f t="shared" si="37"/>
        <v>2</v>
      </c>
      <c r="AH187" s="13">
        <f t="shared" si="37"/>
        <v>0</v>
      </c>
      <c r="AI187" s="13">
        <f t="shared" si="37"/>
        <v>1</v>
      </c>
      <c r="AJ187" s="13">
        <f t="shared" si="37"/>
        <v>0</v>
      </c>
      <c r="AK187" s="13">
        <f t="shared" si="36"/>
        <v>52</v>
      </c>
      <c r="AL187" s="1"/>
      <c r="AM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75"/>
      <c r="AK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1.0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1.0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0.0</v>
      </c>
      <c r="AH189" s="19">
        <v>0.0</v>
      </c>
      <c r="AI189" s="19">
        <v>0.0</v>
      </c>
      <c r="AJ189" s="19">
        <v>0.0</v>
      </c>
      <c r="AK189" s="13">
        <f t="shared" ref="AK189:AK199" si="38">SUM(E189:AJ189)</f>
        <v>2</v>
      </c>
      <c r="AL189" s="5"/>
      <c r="AM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1.0</v>
      </c>
      <c r="P190" s="19">
        <v>0.0</v>
      </c>
      <c r="Q190" s="19">
        <v>0.0</v>
      </c>
      <c r="R190" s="19">
        <v>0.0</v>
      </c>
      <c r="S190" s="19">
        <v>1.0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1.0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3">
        <f t="shared" si="38"/>
        <v>3</v>
      </c>
      <c r="AL190" s="5"/>
      <c r="AM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1.0</v>
      </c>
      <c r="AF191" s="19">
        <v>1.0</v>
      </c>
      <c r="AG191" s="19">
        <v>0.0</v>
      </c>
      <c r="AH191" s="19">
        <v>0.0</v>
      </c>
      <c r="AI191" s="19">
        <v>0.0</v>
      </c>
      <c r="AJ191" s="19">
        <v>0.0</v>
      </c>
      <c r="AK191" s="13">
        <f t="shared" si="38"/>
        <v>2</v>
      </c>
      <c r="AL191" s="5"/>
      <c r="AM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1.0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3">
        <f t="shared" si="38"/>
        <v>1</v>
      </c>
      <c r="AL192" s="5"/>
      <c r="AM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1.0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3">
        <f t="shared" si="38"/>
        <v>1</v>
      </c>
      <c r="AL193" s="5"/>
      <c r="AM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3">
        <f t="shared" si="38"/>
        <v>0</v>
      </c>
      <c r="AL194" s="5"/>
      <c r="AM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3">
        <f t="shared" si="38"/>
        <v>0</v>
      </c>
      <c r="AL195" s="5"/>
      <c r="AM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3">
        <f t="shared" si="38"/>
        <v>0</v>
      </c>
      <c r="AL196" s="1"/>
      <c r="AM196" s="1"/>
    </row>
    <row r="197" ht="12.75" customHeight="1">
      <c r="A197" s="18"/>
      <c r="B197" s="71"/>
      <c r="C197" s="72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3">
        <f t="shared" si="38"/>
        <v>0</v>
      </c>
      <c r="AL197" s="1"/>
      <c r="AM197" s="1"/>
    </row>
    <row r="198" ht="12.75" customHeight="1">
      <c r="A198" s="18"/>
      <c r="B198" s="71"/>
      <c r="C198" s="72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3">
        <f t="shared" si="38"/>
        <v>0</v>
      </c>
      <c r="AL198" s="1"/>
      <c r="AM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AJ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1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1</v>
      </c>
      <c r="T199" s="13">
        <f t="shared" si="39"/>
        <v>1</v>
      </c>
      <c r="U199" s="13">
        <f t="shared" si="39"/>
        <v>1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1</v>
      </c>
      <c r="AD199" s="13">
        <f t="shared" si="39"/>
        <v>0</v>
      </c>
      <c r="AE199" s="13">
        <f t="shared" si="39"/>
        <v>2</v>
      </c>
      <c r="AF199" s="13">
        <f t="shared" si="39"/>
        <v>1</v>
      </c>
      <c r="AG199" s="13">
        <f t="shared" si="39"/>
        <v>0</v>
      </c>
      <c r="AH199" s="13">
        <f t="shared" si="39"/>
        <v>0</v>
      </c>
      <c r="AI199" s="13">
        <f t="shared" si="39"/>
        <v>0</v>
      </c>
      <c r="AJ199" s="13">
        <f t="shared" si="39"/>
        <v>0</v>
      </c>
      <c r="AK199" s="13">
        <f t="shared" si="38"/>
        <v>9</v>
      </c>
      <c r="AL199" s="52"/>
      <c r="AM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5"/>
      <c r="AM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3.0</v>
      </c>
      <c r="F201" s="19">
        <v>5.0</v>
      </c>
      <c r="G201" s="19">
        <v>1.0</v>
      </c>
      <c r="H201" s="19">
        <v>1.0</v>
      </c>
      <c r="I201" s="19">
        <v>7.0</v>
      </c>
      <c r="J201" s="19">
        <v>3.0</v>
      </c>
      <c r="K201" s="19">
        <v>2.0</v>
      </c>
      <c r="L201" s="19">
        <v>2.0</v>
      </c>
      <c r="M201" s="19">
        <v>9.0</v>
      </c>
      <c r="N201" s="19">
        <v>2.0</v>
      </c>
      <c r="O201" s="19">
        <v>3.0</v>
      </c>
      <c r="P201" s="19">
        <v>2.0</v>
      </c>
      <c r="Q201" s="19">
        <v>8.0</v>
      </c>
      <c r="R201" s="19">
        <v>3.0</v>
      </c>
      <c r="S201" s="19">
        <v>2.0</v>
      </c>
      <c r="T201" s="19">
        <v>1.0</v>
      </c>
      <c r="U201" s="19">
        <v>2.0</v>
      </c>
      <c r="V201" s="19">
        <v>2.0</v>
      </c>
      <c r="W201" s="19">
        <v>5.0</v>
      </c>
      <c r="X201" s="19">
        <v>1.0</v>
      </c>
      <c r="Y201" s="19">
        <v>2.0</v>
      </c>
      <c r="Z201" s="19">
        <v>3.0</v>
      </c>
      <c r="AA201" s="19">
        <v>2.0</v>
      </c>
      <c r="AB201" s="19">
        <v>1.0</v>
      </c>
      <c r="AC201" s="19">
        <v>0.0</v>
      </c>
      <c r="AD201" s="19">
        <v>1.0</v>
      </c>
      <c r="AE201" s="19">
        <v>2.0</v>
      </c>
      <c r="AF201" s="19">
        <v>1.0</v>
      </c>
      <c r="AG201" s="19">
        <v>11.0</v>
      </c>
      <c r="AH201" s="19">
        <v>10.0</v>
      </c>
      <c r="AI201" s="19">
        <v>1.0</v>
      </c>
      <c r="AJ201" s="19">
        <v>9.0</v>
      </c>
      <c r="AK201" s="13">
        <f t="shared" ref="AK201:AK211" si="40">SUM(E201:AJ201)</f>
        <v>107</v>
      </c>
      <c r="AL201" s="5"/>
      <c r="AM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11.0</v>
      </c>
      <c r="F202" s="19">
        <v>4.0</v>
      </c>
      <c r="G202" s="19">
        <v>3.0</v>
      </c>
      <c r="H202" s="19">
        <v>4.0</v>
      </c>
      <c r="I202" s="19">
        <v>5.0</v>
      </c>
      <c r="J202" s="19">
        <v>7.0</v>
      </c>
      <c r="K202" s="19">
        <v>16.0</v>
      </c>
      <c r="L202" s="19">
        <v>3.0</v>
      </c>
      <c r="M202" s="19">
        <v>11.0</v>
      </c>
      <c r="N202" s="19">
        <v>3.0</v>
      </c>
      <c r="O202" s="19">
        <v>3.0</v>
      </c>
      <c r="P202" s="19">
        <v>9.0</v>
      </c>
      <c r="Q202" s="19">
        <v>2.0</v>
      </c>
      <c r="R202" s="19">
        <v>6.0</v>
      </c>
      <c r="S202" s="19">
        <v>9.0</v>
      </c>
      <c r="T202" s="19">
        <v>4.0</v>
      </c>
      <c r="U202" s="19">
        <v>0.0</v>
      </c>
      <c r="V202" s="19">
        <v>3.0</v>
      </c>
      <c r="W202" s="19">
        <v>7.0</v>
      </c>
      <c r="X202" s="19">
        <v>0.0</v>
      </c>
      <c r="Y202" s="19">
        <v>6.0</v>
      </c>
      <c r="Z202" s="19">
        <v>6.0</v>
      </c>
      <c r="AA202" s="19">
        <v>3.0</v>
      </c>
      <c r="AB202" s="19">
        <v>1.0</v>
      </c>
      <c r="AC202" s="19">
        <v>0.0</v>
      </c>
      <c r="AD202" s="19">
        <v>4.0</v>
      </c>
      <c r="AE202" s="19">
        <v>5.0</v>
      </c>
      <c r="AF202" s="19">
        <v>4.0</v>
      </c>
      <c r="AG202" s="19">
        <v>6.0</v>
      </c>
      <c r="AH202" s="19">
        <v>3.0</v>
      </c>
      <c r="AI202" s="19">
        <v>0.0</v>
      </c>
      <c r="AJ202" s="19">
        <v>3.0</v>
      </c>
      <c r="AK202" s="13">
        <f t="shared" si="40"/>
        <v>151</v>
      </c>
      <c r="AL202" s="5"/>
      <c r="AM202" s="5"/>
    </row>
    <row r="203" ht="12.75" customHeight="1">
      <c r="A203" s="18"/>
      <c r="B203" s="55">
        <v>2.0</v>
      </c>
      <c r="C203" s="50" t="s">
        <v>149</v>
      </c>
      <c r="D203" s="57"/>
      <c r="E203" s="19">
        <v>3.0</v>
      </c>
      <c r="F203" s="19">
        <v>2.0</v>
      </c>
      <c r="G203" s="19">
        <v>1.0</v>
      </c>
      <c r="H203" s="19">
        <v>8.0</v>
      </c>
      <c r="I203" s="19">
        <v>7.0</v>
      </c>
      <c r="J203" s="19">
        <v>2.0</v>
      </c>
      <c r="K203" s="19">
        <v>1.0</v>
      </c>
      <c r="L203" s="19">
        <v>2.0</v>
      </c>
      <c r="M203" s="19">
        <v>3.0</v>
      </c>
      <c r="N203" s="19">
        <v>3.0</v>
      </c>
      <c r="O203" s="19">
        <v>5.0</v>
      </c>
      <c r="P203" s="19">
        <v>3.0</v>
      </c>
      <c r="Q203" s="19">
        <v>2.0</v>
      </c>
      <c r="R203" s="19">
        <v>2.0</v>
      </c>
      <c r="S203" s="19">
        <v>1.0</v>
      </c>
      <c r="T203" s="19">
        <v>1.0</v>
      </c>
      <c r="U203" s="19">
        <v>1.0</v>
      </c>
      <c r="V203" s="19">
        <v>0.0</v>
      </c>
      <c r="W203" s="19">
        <v>3.0</v>
      </c>
      <c r="X203" s="19">
        <v>1.0</v>
      </c>
      <c r="Y203" s="19">
        <v>1.0</v>
      </c>
      <c r="Z203" s="19">
        <v>0.0</v>
      </c>
      <c r="AA203" s="19">
        <v>1.0</v>
      </c>
      <c r="AB203" s="19">
        <v>1.0</v>
      </c>
      <c r="AC203" s="19">
        <v>1.0</v>
      </c>
      <c r="AD203" s="19">
        <v>1.0</v>
      </c>
      <c r="AE203" s="19">
        <v>5.0</v>
      </c>
      <c r="AF203" s="19">
        <v>0.0</v>
      </c>
      <c r="AG203" s="19">
        <v>4.0</v>
      </c>
      <c r="AH203" s="19">
        <v>5.0</v>
      </c>
      <c r="AI203" s="19">
        <v>3.0</v>
      </c>
      <c r="AJ203" s="19">
        <v>3.0</v>
      </c>
      <c r="AK203" s="13">
        <f t="shared" si="40"/>
        <v>76</v>
      </c>
      <c r="AL203" s="5"/>
      <c r="AM203" s="5"/>
    </row>
    <row r="204" ht="12.75" customHeight="1">
      <c r="A204" s="18"/>
      <c r="B204" s="55">
        <v>3.0</v>
      </c>
      <c r="C204" s="50" t="s">
        <v>150</v>
      </c>
      <c r="D204" s="57"/>
      <c r="E204" s="19">
        <v>4.0</v>
      </c>
      <c r="F204" s="19">
        <v>0.0</v>
      </c>
      <c r="G204" s="19">
        <v>0.0</v>
      </c>
      <c r="H204" s="19">
        <v>1.0</v>
      </c>
      <c r="I204" s="19">
        <v>0.0</v>
      </c>
      <c r="J204" s="19">
        <v>1.0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2.0</v>
      </c>
      <c r="V204" s="19">
        <v>0.0</v>
      </c>
      <c r="W204" s="19">
        <v>0.0</v>
      </c>
      <c r="X204" s="19">
        <v>0.0</v>
      </c>
      <c r="Y204" s="19">
        <v>1.0</v>
      </c>
      <c r="Z204" s="19">
        <v>0.0</v>
      </c>
      <c r="AA204" s="19">
        <v>1.0</v>
      </c>
      <c r="AB204" s="19">
        <v>0.0</v>
      </c>
      <c r="AC204" s="19">
        <v>0.0</v>
      </c>
      <c r="AD204" s="19">
        <v>2.0</v>
      </c>
      <c r="AE204" s="19">
        <v>2.0</v>
      </c>
      <c r="AF204" s="19">
        <v>0.0</v>
      </c>
      <c r="AG204" s="19">
        <v>0.0</v>
      </c>
      <c r="AH204" s="19">
        <v>0.0</v>
      </c>
      <c r="AI204" s="19">
        <v>0.0</v>
      </c>
      <c r="AJ204" s="19">
        <v>0.0</v>
      </c>
      <c r="AK204" s="13">
        <f t="shared" si="40"/>
        <v>14</v>
      </c>
      <c r="AL204" s="5"/>
      <c r="AM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0.0</v>
      </c>
      <c r="H205" s="19">
        <v>0.0</v>
      </c>
      <c r="I205" s="19">
        <v>1.0</v>
      </c>
      <c r="J205" s="19">
        <v>0.0</v>
      </c>
      <c r="K205" s="19">
        <v>0.0</v>
      </c>
      <c r="L205" s="19">
        <v>1.0</v>
      </c>
      <c r="M205" s="19">
        <v>1.0</v>
      </c>
      <c r="N205" s="19">
        <v>0.0</v>
      </c>
      <c r="O205" s="19">
        <v>0.0</v>
      </c>
      <c r="P205" s="19">
        <v>1.0</v>
      </c>
      <c r="Q205" s="19">
        <v>3.0</v>
      </c>
      <c r="R205" s="19">
        <v>0.0</v>
      </c>
      <c r="S205" s="19">
        <v>0.0</v>
      </c>
      <c r="T205" s="19">
        <v>1.0</v>
      </c>
      <c r="U205" s="19">
        <v>1.0</v>
      </c>
      <c r="V205" s="19">
        <v>0.0</v>
      </c>
      <c r="W205" s="19">
        <v>0.0</v>
      </c>
      <c r="X205" s="19">
        <v>0.0</v>
      </c>
      <c r="Y205" s="19">
        <v>0.0</v>
      </c>
      <c r="Z205" s="19">
        <v>0.0</v>
      </c>
      <c r="AA205" s="19">
        <v>0.0</v>
      </c>
      <c r="AB205" s="19">
        <v>0.0</v>
      </c>
      <c r="AC205" s="19">
        <v>0.0</v>
      </c>
      <c r="AD205" s="19">
        <v>0.0</v>
      </c>
      <c r="AE205" s="19">
        <v>0.0</v>
      </c>
      <c r="AF205" s="19">
        <v>0.0</v>
      </c>
      <c r="AG205" s="19">
        <v>1.0</v>
      </c>
      <c r="AH205" s="19">
        <v>1.0</v>
      </c>
      <c r="AI205" s="19">
        <v>0.0</v>
      </c>
      <c r="AJ205" s="19">
        <v>0.0</v>
      </c>
      <c r="AK205" s="13">
        <f t="shared" si="40"/>
        <v>11</v>
      </c>
      <c r="AL205" s="5"/>
      <c r="AM205" s="5"/>
    </row>
    <row r="206" ht="12.75" customHeight="1">
      <c r="A206" s="18"/>
      <c r="B206" s="55">
        <v>5.0</v>
      </c>
      <c r="C206" s="50" t="s">
        <v>152</v>
      </c>
      <c r="D206" s="57"/>
      <c r="E206" s="19">
        <v>1.0</v>
      </c>
      <c r="F206" s="19">
        <v>1.0</v>
      </c>
      <c r="G206" s="19">
        <v>1.0</v>
      </c>
      <c r="H206" s="19">
        <v>0.0</v>
      </c>
      <c r="I206" s="19">
        <v>1.0</v>
      </c>
      <c r="J206" s="19">
        <v>1.0</v>
      </c>
      <c r="K206" s="19">
        <v>0.0</v>
      </c>
      <c r="L206" s="19">
        <v>0.0</v>
      </c>
      <c r="M206" s="19">
        <v>0.0</v>
      </c>
      <c r="N206" s="19">
        <v>0.0</v>
      </c>
      <c r="O206" s="19">
        <v>1.0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9">
        <v>1.0</v>
      </c>
      <c r="Z206" s="19">
        <v>0.0</v>
      </c>
      <c r="AA206" s="19">
        <v>0.0</v>
      </c>
      <c r="AB206" s="19">
        <v>0.0</v>
      </c>
      <c r="AC206" s="19">
        <v>1.0</v>
      </c>
      <c r="AD206" s="19">
        <v>0.0</v>
      </c>
      <c r="AE206" s="19">
        <v>0.0</v>
      </c>
      <c r="AF206" s="19">
        <v>0.0</v>
      </c>
      <c r="AG206" s="19">
        <v>0.0</v>
      </c>
      <c r="AH206" s="19">
        <v>2.0</v>
      </c>
      <c r="AI206" s="19">
        <v>0.0</v>
      </c>
      <c r="AJ206" s="19">
        <v>1.0</v>
      </c>
      <c r="AK206" s="13">
        <f t="shared" si="40"/>
        <v>11</v>
      </c>
      <c r="AL206" s="5"/>
      <c r="AM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1.0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1.0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1.0</v>
      </c>
      <c r="AI207" s="19">
        <v>0.0</v>
      </c>
      <c r="AJ207" s="19">
        <v>0.0</v>
      </c>
      <c r="AK207" s="13">
        <f t="shared" si="40"/>
        <v>3</v>
      </c>
      <c r="AL207" s="1"/>
      <c r="AM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1.0</v>
      </c>
      <c r="G208" s="19">
        <v>1.0</v>
      </c>
      <c r="H208" s="19">
        <v>4.0</v>
      </c>
      <c r="I208" s="19">
        <v>2.0</v>
      </c>
      <c r="J208" s="19">
        <v>1.0</v>
      </c>
      <c r="K208" s="19">
        <v>0.0</v>
      </c>
      <c r="L208" s="19">
        <v>0.0</v>
      </c>
      <c r="M208" s="19">
        <v>1.0</v>
      </c>
      <c r="N208" s="19">
        <v>0.0</v>
      </c>
      <c r="O208" s="19">
        <v>0.0</v>
      </c>
      <c r="P208" s="19">
        <v>3.0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1.0</v>
      </c>
      <c r="W208" s="19">
        <v>0.0</v>
      </c>
      <c r="X208" s="19">
        <v>0.0</v>
      </c>
      <c r="Y208" s="19">
        <v>0.0</v>
      </c>
      <c r="Z208" s="19">
        <v>1.0</v>
      </c>
      <c r="AA208" s="19">
        <v>0.0</v>
      </c>
      <c r="AB208" s="19">
        <v>2.0</v>
      </c>
      <c r="AC208" s="19">
        <v>0.0</v>
      </c>
      <c r="AD208" s="19">
        <v>0.0</v>
      </c>
      <c r="AE208" s="19">
        <v>1.0</v>
      </c>
      <c r="AF208" s="19">
        <v>1.0</v>
      </c>
      <c r="AG208" s="19">
        <v>5.0</v>
      </c>
      <c r="AH208" s="19">
        <v>2.0</v>
      </c>
      <c r="AI208" s="19">
        <v>1.0</v>
      </c>
      <c r="AJ208" s="19">
        <v>0.0</v>
      </c>
      <c r="AK208" s="13">
        <f t="shared" si="40"/>
        <v>27</v>
      </c>
      <c r="AL208" s="52"/>
      <c r="AM208" s="52"/>
    </row>
    <row r="209" ht="12.75" customHeight="1">
      <c r="A209" s="18"/>
      <c r="B209" s="71"/>
      <c r="C209" s="72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3">
        <f t="shared" si="40"/>
        <v>0</v>
      </c>
      <c r="AL209" s="52"/>
      <c r="AM209" s="52"/>
    </row>
    <row r="210" ht="12.75" customHeight="1">
      <c r="A210" s="18"/>
      <c r="B210" s="71"/>
      <c r="C210" s="72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3">
        <f t="shared" si="40"/>
        <v>0</v>
      </c>
      <c r="AL210" s="52"/>
      <c r="AM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AJ211" si="41">SUM(E201:E208)</f>
        <v>22</v>
      </c>
      <c r="F211" s="13">
        <f t="shared" si="41"/>
        <v>13</v>
      </c>
      <c r="G211" s="13">
        <f t="shared" si="41"/>
        <v>7</v>
      </c>
      <c r="H211" s="13">
        <f t="shared" si="41"/>
        <v>19</v>
      </c>
      <c r="I211" s="13">
        <f t="shared" si="41"/>
        <v>23</v>
      </c>
      <c r="J211" s="13">
        <f t="shared" si="41"/>
        <v>15</v>
      </c>
      <c r="K211" s="13">
        <f t="shared" si="41"/>
        <v>19</v>
      </c>
      <c r="L211" s="13">
        <f t="shared" si="41"/>
        <v>8</v>
      </c>
      <c r="M211" s="13">
        <f t="shared" si="41"/>
        <v>25</v>
      </c>
      <c r="N211" s="13">
        <f t="shared" si="41"/>
        <v>8</v>
      </c>
      <c r="O211" s="13">
        <f t="shared" si="41"/>
        <v>13</v>
      </c>
      <c r="P211" s="13">
        <f t="shared" si="41"/>
        <v>18</v>
      </c>
      <c r="Q211" s="13">
        <f t="shared" si="41"/>
        <v>15</v>
      </c>
      <c r="R211" s="13">
        <f t="shared" si="41"/>
        <v>11</v>
      </c>
      <c r="S211" s="13">
        <f t="shared" si="41"/>
        <v>12</v>
      </c>
      <c r="T211" s="13">
        <f t="shared" si="41"/>
        <v>7</v>
      </c>
      <c r="U211" s="13">
        <f t="shared" si="41"/>
        <v>6</v>
      </c>
      <c r="V211" s="13">
        <f t="shared" si="41"/>
        <v>6</v>
      </c>
      <c r="W211" s="13">
        <f t="shared" si="41"/>
        <v>15</v>
      </c>
      <c r="X211" s="13">
        <f t="shared" si="41"/>
        <v>2</v>
      </c>
      <c r="Y211" s="13">
        <f t="shared" si="41"/>
        <v>11</v>
      </c>
      <c r="Z211" s="13">
        <f t="shared" si="41"/>
        <v>10</v>
      </c>
      <c r="AA211" s="13">
        <f t="shared" si="41"/>
        <v>7</v>
      </c>
      <c r="AB211" s="13">
        <f t="shared" si="41"/>
        <v>5</v>
      </c>
      <c r="AC211" s="13">
        <f t="shared" si="41"/>
        <v>2</v>
      </c>
      <c r="AD211" s="13">
        <f t="shared" si="41"/>
        <v>8</v>
      </c>
      <c r="AE211" s="13">
        <f t="shared" si="41"/>
        <v>15</v>
      </c>
      <c r="AF211" s="13">
        <f t="shared" si="41"/>
        <v>6</v>
      </c>
      <c r="AG211" s="13">
        <f t="shared" si="41"/>
        <v>27</v>
      </c>
      <c r="AH211" s="13">
        <f t="shared" si="41"/>
        <v>24</v>
      </c>
      <c r="AI211" s="13">
        <f t="shared" si="41"/>
        <v>5</v>
      </c>
      <c r="AJ211" s="13">
        <f t="shared" si="41"/>
        <v>16</v>
      </c>
      <c r="AK211" s="13">
        <f t="shared" si="40"/>
        <v>400</v>
      </c>
      <c r="AL211" s="5"/>
      <c r="AM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75"/>
      <c r="AK212" s="75"/>
      <c r="AL212" s="5"/>
      <c r="AM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2.0</v>
      </c>
      <c r="G213" s="19">
        <v>3.0</v>
      </c>
      <c r="H213" s="19">
        <v>3.0</v>
      </c>
      <c r="I213" s="19">
        <v>0.0</v>
      </c>
      <c r="J213" s="19">
        <v>2.0</v>
      </c>
      <c r="K213" s="19">
        <v>2.0</v>
      </c>
      <c r="L213" s="19">
        <v>2.0</v>
      </c>
      <c r="M213" s="19">
        <v>5.0</v>
      </c>
      <c r="N213" s="19">
        <v>2.0</v>
      </c>
      <c r="O213" s="19">
        <v>2.0</v>
      </c>
      <c r="P213" s="19">
        <v>2.0</v>
      </c>
      <c r="Q213" s="19">
        <v>3.0</v>
      </c>
      <c r="R213" s="19">
        <v>8.0</v>
      </c>
      <c r="S213" s="19">
        <v>2.0</v>
      </c>
      <c r="T213" s="19">
        <v>2.0</v>
      </c>
      <c r="U213" s="19">
        <v>0.0</v>
      </c>
      <c r="V213" s="19">
        <v>4.0</v>
      </c>
      <c r="W213" s="19">
        <v>1.0</v>
      </c>
      <c r="X213" s="19">
        <v>3.0</v>
      </c>
      <c r="Y213" s="19">
        <v>1.0</v>
      </c>
      <c r="Z213" s="19">
        <v>3.0</v>
      </c>
      <c r="AA213" s="19">
        <v>1.0</v>
      </c>
      <c r="AB213" s="19">
        <v>6.0</v>
      </c>
      <c r="AC213" s="19">
        <v>1.0</v>
      </c>
      <c r="AD213" s="19">
        <v>2.0</v>
      </c>
      <c r="AE213" s="19">
        <v>0.0</v>
      </c>
      <c r="AF213" s="19">
        <v>2.0</v>
      </c>
      <c r="AG213" s="19">
        <v>2.0</v>
      </c>
      <c r="AH213" s="19">
        <v>1.0</v>
      </c>
      <c r="AI213" s="19">
        <v>0.0</v>
      </c>
      <c r="AJ213" s="19">
        <v>1.0</v>
      </c>
      <c r="AK213" s="13">
        <f t="shared" ref="AK213:AK223" si="42">SUM(E213:AJ213)</f>
        <v>69</v>
      </c>
      <c r="AL213" s="5"/>
      <c r="AM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2.0</v>
      </c>
      <c r="F214" s="19">
        <v>8.0</v>
      </c>
      <c r="G214" s="19">
        <v>1.0</v>
      </c>
      <c r="H214" s="19">
        <v>2.0</v>
      </c>
      <c r="I214" s="19">
        <v>1.0</v>
      </c>
      <c r="J214" s="19">
        <v>3.0</v>
      </c>
      <c r="K214" s="19">
        <v>2.0</v>
      </c>
      <c r="L214" s="19">
        <v>1.0</v>
      </c>
      <c r="M214" s="19">
        <v>4.0</v>
      </c>
      <c r="N214" s="19">
        <v>2.0</v>
      </c>
      <c r="O214" s="19">
        <v>0.0</v>
      </c>
      <c r="P214" s="19">
        <v>2.0</v>
      </c>
      <c r="Q214" s="19">
        <v>0.0</v>
      </c>
      <c r="R214" s="19">
        <v>2.0</v>
      </c>
      <c r="S214" s="19">
        <v>3.0</v>
      </c>
      <c r="T214" s="19">
        <v>1.0</v>
      </c>
      <c r="U214" s="19">
        <v>1.0</v>
      </c>
      <c r="V214" s="19">
        <v>1.0</v>
      </c>
      <c r="W214" s="19">
        <v>2.0</v>
      </c>
      <c r="X214" s="19">
        <v>1.0</v>
      </c>
      <c r="Y214" s="19">
        <v>1.0</v>
      </c>
      <c r="Z214" s="19">
        <v>0.0</v>
      </c>
      <c r="AA214" s="19">
        <v>1.0</v>
      </c>
      <c r="AB214" s="19">
        <v>6.0</v>
      </c>
      <c r="AC214" s="19">
        <v>24.0</v>
      </c>
      <c r="AD214" s="19">
        <v>1.0</v>
      </c>
      <c r="AE214" s="19">
        <v>1.0</v>
      </c>
      <c r="AF214" s="19">
        <v>1.0</v>
      </c>
      <c r="AG214" s="19">
        <v>3.0</v>
      </c>
      <c r="AH214" s="19">
        <v>0.0</v>
      </c>
      <c r="AI214" s="19">
        <v>0.0</v>
      </c>
      <c r="AJ214" s="19">
        <v>0.0</v>
      </c>
      <c r="AK214" s="13">
        <f t="shared" si="42"/>
        <v>77</v>
      </c>
      <c r="AL214" s="5"/>
      <c r="AM214" s="5"/>
    </row>
    <row r="215" ht="12.75" customHeight="1">
      <c r="A215" s="18"/>
      <c r="B215" s="55">
        <v>2.0</v>
      </c>
      <c r="C215" s="50" t="s">
        <v>158</v>
      </c>
      <c r="D215" s="56"/>
      <c r="E215" s="19">
        <v>5.0</v>
      </c>
      <c r="F215" s="19">
        <v>0.0</v>
      </c>
      <c r="G215" s="19">
        <v>0.0</v>
      </c>
      <c r="H215" s="19">
        <v>1.0</v>
      </c>
      <c r="I215" s="19">
        <v>2.0</v>
      </c>
      <c r="J215" s="19">
        <v>2.0</v>
      </c>
      <c r="K215" s="19">
        <v>3.0</v>
      </c>
      <c r="L215" s="19">
        <v>0.0</v>
      </c>
      <c r="M215" s="19">
        <v>1.0</v>
      </c>
      <c r="N215" s="19">
        <v>3.0</v>
      </c>
      <c r="O215" s="19">
        <v>13.0</v>
      </c>
      <c r="P215" s="19">
        <v>0.0</v>
      </c>
      <c r="Q215" s="19">
        <v>0.0</v>
      </c>
      <c r="R215" s="19">
        <v>3.0</v>
      </c>
      <c r="S215" s="19">
        <v>1.0</v>
      </c>
      <c r="T215" s="19">
        <v>1.0</v>
      </c>
      <c r="U215" s="19">
        <v>0.0</v>
      </c>
      <c r="V215" s="19">
        <v>2.0</v>
      </c>
      <c r="W215" s="19">
        <v>0.0</v>
      </c>
      <c r="X215" s="19">
        <v>1.0</v>
      </c>
      <c r="Y215" s="19">
        <v>1.0</v>
      </c>
      <c r="Z215" s="19">
        <v>2.0</v>
      </c>
      <c r="AA215" s="19">
        <v>1.0</v>
      </c>
      <c r="AB215" s="19">
        <v>0.0</v>
      </c>
      <c r="AC215" s="19">
        <v>1.0</v>
      </c>
      <c r="AD215" s="19">
        <v>0.0</v>
      </c>
      <c r="AE215" s="19">
        <v>1.0</v>
      </c>
      <c r="AF215" s="19">
        <v>0.0</v>
      </c>
      <c r="AG215" s="19">
        <v>0.0</v>
      </c>
      <c r="AH215" s="19">
        <v>0.0</v>
      </c>
      <c r="AI215" s="19">
        <v>0.0</v>
      </c>
      <c r="AJ215" s="19">
        <v>0.0</v>
      </c>
      <c r="AK215" s="13">
        <f t="shared" si="42"/>
        <v>44</v>
      </c>
      <c r="AL215" s="5"/>
      <c r="AM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1.0</v>
      </c>
      <c r="G216" s="19">
        <v>1.0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1.0</v>
      </c>
      <c r="U216" s="19">
        <v>0.0</v>
      </c>
      <c r="V216" s="19">
        <v>1.0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0.0</v>
      </c>
      <c r="AC216" s="19">
        <v>0.0</v>
      </c>
      <c r="AD216" s="19">
        <v>0.0</v>
      </c>
      <c r="AE216" s="19">
        <v>0.0</v>
      </c>
      <c r="AF216" s="19">
        <v>0.0</v>
      </c>
      <c r="AG216" s="19">
        <v>1.0</v>
      </c>
      <c r="AH216" s="19">
        <v>0.0</v>
      </c>
      <c r="AI216" s="19">
        <v>0.0</v>
      </c>
      <c r="AJ216" s="19">
        <v>0.0</v>
      </c>
      <c r="AK216" s="13">
        <f t="shared" si="42"/>
        <v>5</v>
      </c>
      <c r="AL216" s="5"/>
      <c r="AM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1.0</v>
      </c>
      <c r="AD217" s="19">
        <v>0.0</v>
      </c>
      <c r="AE217" s="19">
        <v>0.0</v>
      </c>
      <c r="AF217" s="19">
        <v>1.0</v>
      </c>
      <c r="AG217" s="19">
        <v>0.0</v>
      </c>
      <c r="AH217" s="19">
        <v>0.0</v>
      </c>
      <c r="AI217" s="19">
        <v>0.0</v>
      </c>
      <c r="AJ217" s="19">
        <v>0.0</v>
      </c>
      <c r="AK217" s="13">
        <f t="shared" si="42"/>
        <v>2</v>
      </c>
      <c r="AL217" s="5"/>
      <c r="AM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1.0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0.0</v>
      </c>
      <c r="AK218" s="13">
        <f t="shared" si="42"/>
        <v>1</v>
      </c>
      <c r="AL218" s="1"/>
      <c r="AM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1.0</v>
      </c>
      <c r="H219" s="19">
        <v>1.0</v>
      </c>
      <c r="I219" s="19">
        <v>1.0</v>
      </c>
      <c r="J219" s="19">
        <v>1.0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1.0</v>
      </c>
      <c r="Q219" s="19">
        <v>3.0</v>
      </c>
      <c r="R219" s="19">
        <v>1.0</v>
      </c>
      <c r="S219" s="19">
        <v>1.0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1.0</v>
      </c>
      <c r="AE219" s="19">
        <v>0.0</v>
      </c>
      <c r="AF219" s="19">
        <v>0.0</v>
      </c>
      <c r="AG219" s="19">
        <v>0.0</v>
      </c>
      <c r="AH219" s="19">
        <v>0.0</v>
      </c>
      <c r="AI219" s="19">
        <v>0.0</v>
      </c>
      <c r="AJ219" s="19">
        <v>1.0</v>
      </c>
      <c r="AK219" s="13">
        <f t="shared" si="42"/>
        <v>12</v>
      </c>
      <c r="AL219" s="52"/>
      <c r="AM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3.0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1.0</v>
      </c>
      <c r="L220" s="19">
        <v>1.0</v>
      </c>
      <c r="M220" s="19">
        <v>1.0</v>
      </c>
      <c r="N220" s="19">
        <v>0.0</v>
      </c>
      <c r="O220" s="19">
        <v>0.0</v>
      </c>
      <c r="P220" s="19">
        <v>1.0</v>
      </c>
      <c r="Q220" s="19">
        <v>0.0</v>
      </c>
      <c r="R220" s="19">
        <v>1.0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0.0</v>
      </c>
      <c r="AI220" s="19">
        <v>0.0</v>
      </c>
      <c r="AJ220" s="19">
        <v>0.0</v>
      </c>
      <c r="AK220" s="13">
        <f t="shared" si="42"/>
        <v>8</v>
      </c>
      <c r="AL220" s="5"/>
      <c r="AM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3">
        <f t="shared" si="42"/>
        <v>0</v>
      </c>
      <c r="AL221" s="5"/>
      <c r="AM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3">
        <f t="shared" si="42"/>
        <v>0</v>
      </c>
      <c r="AL222" s="5"/>
      <c r="AM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AJ223" si="43">SUM(E213:E220)</f>
        <v>11</v>
      </c>
      <c r="F223" s="13">
        <f t="shared" si="43"/>
        <v>11</v>
      </c>
      <c r="G223" s="13">
        <f t="shared" si="43"/>
        <v>6</v>
      </c>
      <c r="H223" s="13">
        <f t="shared" si="43"/>
        <v>7</v>
      </c>
      <c r="I223" s="13">
        <f t="shared" si="43"/>
        <v>4</v>
      </c>
      <c r="J223" s="13">
        <f t="shared" si="43"/>
        <v>8</v>
      </c>
      <c r="K223" s="13">
        <f t="shared" si="43"/>
        <v>8</v>
      </c>
      <c r="L223" s="13">
        <f t="shared" si="43"/>
        <v>4</v>
      </c>
      <c r="M223" s="13">
        <f t="shared" si="43"/>
        <v>11</v>
      </c>
      <c r="N223" s="13">
        <f t="shared" si="43"/>
        <v>7</v>
      </c>
      <c r="O223" s="13">
        <f t="shared" si="43"/>
        <v>15</v>
      </c>
      <c r="P223" s="13">
        <f t="shared" si="43"/>
        <v>6</v>
      </c>
      <c r="Q223" s="13">
        <f t="shared" si="43"/>
        <v>6</v>
      </c>
      <c r="R223" s="13">
        <f t="shared" si="43"/>
        <v>15</v>
      </c>
      <c r="S223" s="13">
        <f t="shared" si="43"/>
        <v>7</v>
      </c>
      <c r="T223" s="13">
        <f t="shared" si="43"/>
        <v>5</v>
      </c>
      <c r="U223" s="13">
        <f t="shared" si="43"/>
        <v>1</v>
      </c>
      <c r="V223" s="13">
        <f t="shared" si="43"/>
        <v>8</v>
      </c>
      <c r="W223" s="13">
        <f t="shared" si="43"/>
        <v>4</v>
      </c>
      <c r="X223" s="13">
        <f t="shared" si="43"/>
        <v>5</v>
      </c>
      <c r="Y223" s="13">
        <f t="shared" si="43"/>
        <v>3</v>
      </c>
      <c r="Z223" s="13">
        <f t="shared" si="43"/>
        <v>5</v>
      </c>
      <c r="AA223" s="13">
        <f t="shared" si="43"/>
        <v>3</v>
      </c>
      <c r="AB223" s="13">
        <f t="shared" si="43"/>
        <v>12</v>
      </c>
      <c r="AC223" s="13">
        <f t="shared" si="43"/>
        <v>27</v>
      </c>
      <c r="AD223" s="13">
        <f t="shared" si="43"/>
        <v>4</v>
      </c>
      <c r="AE223" s="13">
        <f t="shared" si="43"/>
        <v>2</v>
      </c>
      <c r="AF223" s="13">
        <f t="shared" si="43"/>
        <v>4</v>
      </c>
      <c r="AG223" s="13">
        <f t="shared" si="43"/>
        <v>6</v>
      </c>
      <c r="AH223" s="13">
        <f t="shared" si="43"/>
        <v>1</v>
      </c>
      <c r="AI223" s="13">
        <f t="shared" si="43"/>
        <v>0</v>
      </c>
      <c r="AJ223" s="13">
        <f t="shared" si="43"/>
        <v>2</v>
      </c>
      <c r="AK223" s="13">
        <f t="shared" si="42"/>
        <v>218</v>
      </c>
      <c r="AL223" s="5"/>
      <c r="AM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5"/>
      <c r="AK224" s="75"/>
      <c r="AL224" s="5"/>
      <c r="AM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1.0</v>
      </c>
      <c r="F225" s="19">
        <v>0.0</v>
      </c>
      <c r="G225" s="19">
        <v>0.0</v>
      </c>
      <c r="H225" s="19">
        <v>0.0</v>
      </c>
      <c r="I225" s="19">
        <v>0.0</v>
      </c>
      <c r="J225" s="19">
        <v>1.0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1.0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1.0</v>
      </c>
      <c r="Y225" s="19">
        <v>0.0</v>
      </c>
      <c r="Z225" s="19">
        <v>1.0</v>
      </c>
      <c r="AA225" s="19">
        <v>0.0</v>
      </c>
      <c r="AB225" s="19">
        <v>0.0</v>
      </c>
      <c r="AC225" s="19">
        <v>1.0</v>
      </c>
      <c r="AD225" s="19">
        <v>0.0</v>
      </c>
      <c r="AE225" s="19">
        <v>0.0</v>
      </c>
      <c r="AF225" s="19">
        <v>0.0</v>
      </c>
      <c r="AG225" s="19">
        <v>0.0</v>
      </c>
      <c r="AH225" s="19">
        <v>0.0</v>
      </c>
      <c r="AI225" s="19">
        <v>0.0</v>
      </c>
      <c r="AJ225" s="19">
        <v>0.0</v>
      </c>
      <c r="AK225" s="13">
        <f t="shared" ref="AK225:AK235" si="44">SUM(E225:AJ225)</f>
        <v>6</v>
      </c>
      <c r="AL225" s="5"/>
      <c r="AM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6.0</v>
      </c>
      <c r="I226" s="19">
        <v>0.0</v>
      </c>
      <c r="J226" s="19">
        <v>2.0</v>
      </c>
      <c r="K226" s="19">
        <v>1.0</v>
      </c>
      <c r="L226" s="19">
        <v>0.0</v>
      </c>
      <c r="M226" s="19">
        <v>1.0</v>
      </c>
      <c r="N226" s="19">
        <v>0.0</v>
      </c>
      <c r="O226" s="19">
        <v>1.0</v>
      </c>
      <c r="P226" s="19">
        <v>1.0</v>
      </c>
      <c r="Q226" s="19">
        <v>0.0</v>
      </c>
      <c r="R226" s="19">
        <v>0.0</v>
      </c>
      <c r="S226" s="19">
        <v>0.0</v>
      </c>
      <c r="T226" s="19">
        <v>1.0</v>
      </c>
      <c r="U226" s="19">
        <v>2.0</v>
      </c>
      <c r="V226" s="19">
        <v>0.0</v>
      </c>
      <c r="W226" s="19">
        <v>0.0</v>
      </c>
      <c r="X226" s="19">
        <v>1.0</v>
      </c>
      <c r="Y226" s="19">
        <v>0.0</v>
      </c>
      <c r="Z226" s="19">
        <v>0.0</v>
      </c>
      <c r="AA226" s="19">
        <v>3.0</v>
      </c>
      <c r="AB226" s="19">
        <v>4.0</v>
      </c>
      <c r="AC226" s="19">
        <v>0.0</v>
      </c>
      <c r="AD226" s="19">
        <v>0.0</v>
      </c>
      <c r="AE226" s="19">
        <v>6.0</v>
      </c>
      <c r="AF226" s="19">
        <v>0.0</v>
      </c>
      <c r="AG226" s="19">
        <v>0.0</v>
      </c>
      <c r="AH226" s="19">
        <v>0.0</v>
      </c>
      <c r="AI226" s="19">
        <v>0.0</v>
      </c>
      <c r="AJ226" s="19">
        <v>0.0</v>
      </c>
      <c r="AK226" s="13">
        <f t="shared" si="44"/>
        <v>29</v>
      </c>
      <c r="AL226" s="5"/>
      <c r="AM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3">
        <f t="shared" si="44"/>
        <v>0</v>
      </c>
      <c r="AL227" s="5"/>
      <c r="AM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1.0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0.0</v>
      </c>
      <c r="AK228" s="13">
        <f t="shared" si="44"/>
        <v>1</v>
      </c>
      <c r="AL228" s="5"/>
      <c r="AM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1.0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3">
        <f t="shared" si="44"/>
        <v>1</v>
      </c>
      <c r="AL229" s="1"/>
      <c r="AM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1.0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3">
        <f t="shared" si="44"/>
        <v>1</v>
      </c>
      <c r="AL230" s="52"/>
      <c r="AM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3">
        <f t="shared" si="44"/>
        <v>0</v>
      </c>
      <c r="AL231" s="5"/>
      <c r="AM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1.0</v>
      </c>
      <c r="L232" s="19">
        <v>0.0</v>
      </c>
      <c r="M232" s="19">
        <v>1.0</v>
      </c>
      <c r="N232" s="19">
        <v>1.0</v>
      </c>
      <c r="O232" s="19">
        <v>0.0</v>
      </c>
      <c r="P232" s="19">
        <v>0.0</v>
      </c>
      <c r="Q232" s="19">
        <v>1.0</v>
      </c>
      <c r="R232" s="19">
        <v>1.0</v>
      </c>
      <c r="S232" s="19">
        <v>0.0</v>
      </c>
      <c r="T232" s="19">
        <v>1.0</v>
      </c>
      <c r="U232" s="19">
        <v>0.0</v>
      </c>
      <c r="V232" s="19">
        <v>1.0</v>
      </c>
      <c r="W232" s="19">
        <v>0.0</v>
      </c>
      <c r="X232" s="19">
        <v>3.0</v>
      </c>
      <c r="Y232" s="19">
        <v>2.0</v>
      </c>
      <c r="Z232" s="19">
        <v>3.0</v>
      </c>
      <c r="AA232" s="19">
        <v>17.0</v>
      </c>
      <c r="AB232" s="19">
        <v>37.0</v>
      </c>
      <c r="AC232" s="19">
        <v>12.0</v>
      </c>
      <c r="AD232" s="19">
        <v>0.0</v>
      </c>
      <c r="AE232" s="19">
        <v>3.0</v>
      </c>
      <c r="AF232" s="19">
        <v>0.0</v>
      </c>
      <c r="AG232" s="19">
        <v>0.0</v>
      </c>
      <c r="AH232" s="19">
        <v>2.0</v>
      </c>
      <c r="AI232" s="19">
        <v>9.0</v>
      </c>
      <c r="AJ232" s="19">
        <v>0.0</v>
      </c>
      <c r="AK232" s="13">
        <f t="shared" si="44"/>
        <v>95</v>
      </c>
      <c r="AL232" s="5"/>
      <c r="AM232" s="5"/>
    </row>
    <row r="233" ht="12.75" customHeight="1">
      <c r="A233" s="18"/>
      <c r="B233" s="71"/>
      <c r="C233" s="72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3">
        <f t="shared" si="44"/>
        <v>0</v>
      </c>
      <c r="AL233" s="5"/>
      <c r="AM233" s="5"/>
    </row>
    <row r="234" ht="12.75" customHeight="1">
      <c r="A234" s="18"/>
      <c r="B234" s="71"/>
      <c r="C234" s="72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3">
        <f t="shared" si="44"/>
        <v>0</v>
      </c>
      <c r="AL234" s="5"/>
      <c r="AM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AJ235" si="45">SUM(E225:E232)</f>
        <v>1</v>
      </c>
      <c r="F235" s="13">
        <f t="shared" si="45"/>
        <v>0</v>
      </c>
      <c r="G235" s="13">
        <f t="shared" si="45"/>
        <v>0</v>
      </c>
      <c r="H235" s="13">
        <f t="shared" si="45"/>
        <v>7</v>
      </c>
      <c r="I235" s="13">
        <f t="shared" si="45"/>
        <v>0</v>
      </c>
      <c r="J235" s="13">
        <f t="shared" si="45"/>
        <v>4</v>
      </c>
      <c r="K235" s="13">
        <f t="shared" si="45"/>
        <v>2</v>
      </c>
      <c r="L235" s="13">
        <f t="shared" si="45"/>
        <v>0</v>
      </c>
      <c r="M235" s="13">
        <f t="shared" si="45"/>
        <v>2</v>
      </c>
      <c r="N235" s="13">
        <f t="shared" si="45"/>
        <v>1</v>
      </c>
      <c r="O235" s="13">
        <f t="shared" si="45"/>
        <v>1</v>
      </c>
      <c r="P235" s="13">
        <f t="shared" si="45"/>
        <v>2</v>
      </c>
      <c r="Q235" s="13">
        <f t="shared" si="45"/>
        <v>1</v>
      </c>
      <c r="R235" s="13">
        <f t="shared" si="45"/>
        <v>1</v>
      </c>
      <c r="S235" s="13">
        <f t="shared" si="45"/>
        <v>0</v>
      </c>
      <c r="T235" s="13">
        <f t="shared" si="45"/>
        <v>2</v>
      </c>
      <c r="U235" s="13">
        <f t="shared" si="45"/>
        <v>2</v>
      </c>
      <c r="V235" s="13">
        <f t="shared" si="45"/>
        <v>1</v>
      </c>
      <c r="W235" s="13">
        <f t="shared" si="45"/>
        <v>0</v>
      </c>
      <c r="X235" s="13">
        <f t="shared" si="45"/>
        <v>5</v>
      </c>
      <c r="Y235" s="13">
        <f t="shared" si="45"/>
        <v>2</v>
      </c>
      <c r="Z235" s="13">
        <f t="shared" si="45"/>
        <v>4</v>
      </c>
      <c r="AA235" s="13">
        <f t="shared" si="45"/>
        <v>20</v>
      </c>
      <c r="AB235" s="13">
        <f t="shared" si="45"/>
        <v>41</v>
      </c>
      <c r="AC235" s="13">
        <f t="shared" si="45"/>
        <v>13</v>
      </c>
      <c r="AD235" s="13">
        <f t="shared" si="45"/>
        <v>0</v>
      </c>
      <c r="AE235" s="13">
        <f t="shared" si="45"/>
        <v>10</v>
      </c>
      <c r="AF235" s="13">
        <f t="shared" si="45"/>
        <v>0</v>
      </c>
      <c r="AG235" s="13">
        <f t="shared" si="45"/>
        <v>0</v>
      </c>
      <c r="AH235" s="13">
        <f t="shared" si="45"/>
        <v>2</v>
      </c>
      <c r="AI235" s="13">
        <f t="shared" si="45"/>
        <v>9</v>
      </c>
      <c r="AJ235" s="13">
        <f t="shared" si="45"/>
        <v>0</v>
      </c>
      <c r="AK235" s="13">
        <f t="shared" si="44"/>
        <v>133</v>
      </c>
      <c r="AL235" s="5"/>
      <c r="AM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75"/>
      <c r="AK236" s="75"/>
      <c r="AL236" s="5"/>
      <c r="AM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1.0</v>
      </c>
      <c r="I237" s="19">
        <v>0.0</v>
      </c>
      <c r="J237" s="19">
        <v>0.0</v>
      </c>
      <c r="K237" s="19">
        <v>1.0</v>
      </c>
      <c r="L237" s="19">
        <v>0.0</v>
      </c>
      <c r="M237" s="19">
        <v>0.0</v>
      </c>
      <c r="N237" s="19">
        <v>0.0</v>
      </c>
      <c r="O237" s="19">
        <v>2.0</v>
      </c>
      <c r="P237" s="19">
        <v>0.0</v>
      </c>
      <c r="Q237" s="19">
        <v>1.0</v>
      </c>
      <c r="R237" s="19">
        <v>0.0</v>
      </c>
      <c r="S237" s="19">
        <v>0.0</v>
      </c>
      <c r="T237" s="19">
        <v>1.0</v>
      </c>
      <c r="U237" s="19">
        <v>0.0</v>
      </c>
      <c r="V237" s="19">
        <v>0.0</v>
      </c>
      <c r="W237" s="19">
        <v>0.0</v>
      </c>
      <c r="X237" s="19">
        <v>0.0</v>
      </c>
      <c r="Y237" s="19">
        <v>0.0</v>
      </c>
      <c r="Z237" s="19">
        <v>4.0</v>
      </c>
      <c r="AA237" s="19">
        <v>0.0</v>
      </c>
      <c r="AB237" s="19">
        <v>0.0</v>
      </c>
      <c r="AC237" s="19">
        <v>1.0</v>
      </c>
      <c r="AD237" s="19">
        <v>1.0</v>
      </c>
      <c r="AE237" s="19">
        <v>0.0</v>
      </c>
      <c r="AF237" s="19">
        <v>0.0</v>
      </c>
      <c r="AG237" s="19">
        <v>1.0</v>
      </c>
      <c r="AH237" s="19">
        <v>1.0</v>
      </c>
      <c r="AI237" s="19">
        <v>0.0</v>
      </c>
      <c r="AJ237" s="19">
        <v>0.0</v>
      </c>
      <c r="AK237" s="13">
        <f t="shared" ref="AK237:AK247" si="46">SUM(E237:AJ237)</f>
        <v>14</v>
      </c>
      <c r="AL237" s="5"/>
      <c r="AM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2.0</v>
      </c>
      <c r="H238" s="19">
        <v>0.0</v>
      </c>
      <c r="I238" s="19">
        <v>0.0</v>
      </c>
      <c r="J238" s="19">
        <v>0.0</v>
      </c>
      <c r="K238" s="19">
        <v>0.0</v>
      </c>
      <c r="L238" s="19">
        <v>1.0</v>
      </c>
      <c r="M238" s="19">
        <v>0.0</v>
      </c>
      <c r="N238" s="19">
        <v>0.0</v>
      </c>
      <c r="O238" s="19">
        <v>0.0</v>
      </c>
      <c r="P238" s="19">
        <v>1.0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1.0</v>
      </c>
      <c r="W238" s="19">
        <v>1.0</v>
      </c>
      <c r="X238" s="19">
        <v>0.0</v>
      </c>
      <c r="Y238" s="19">
        <v>0.0</v>
      </c>
      <c r="Z238" s="19">
        <v>0.0</v>
      </c>
      <c r="AA238" s="19">
        <v>0.0</v>
      </c>
      <c r="AB238" s="19">
        <v>0.0</v>
      </c>
      <c r="AC238" s="19">
        <v>0.0</v>
      </c>
      <c r="AD238" s="19">
        <v>0.0</v>
      </c>
      <c r="AE238" s="19">
        <v>0.0</v>
      </c>
      <c r="AF238" s="19">
        <v>0.0</v>
      </c>
      <c r="AG238" s="19">
        <v>1.0</v>
      </c>
      <c r="AH238" s="19">
        <v>0.0</v>
      </c>
      <c r="AI238" s="19">
        <v>0.0</v>
      </c>
      <c r="AJ238" s="19">
        <v>0.0</v>
      </c>
      <c r="AK238" s="13">
        <f t="shared" si="46"/>
        <v>7</v>
      </c>
      <c r="AL238" s="5"/>
      <c r="AM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0.0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0.0</v>
      </c>
      <c r="S239" s="19">
        <v>0.0</v>
      </c>
      <c r="T239" s="19">
        <v>0.0</v>
      </c>
      <c r="U239" s="19">
        <v>0.0</v>
      </c>
      <c r="V239" s="19">
        <v>0.0</v>
      </c>
      <c r="W239" s="19">
        <v>0.0</v>
      </c>
      <c r="X239" s="19">
        <v>0.0</v>
      </c>
      <c r="Y239" s="19">
        <v>0.0</v>
      </c>
      <c r="Z239" s="19">
        <v>0.0</v>
      </c>
      <c r="AA239" s="19">
        <v>0.0</v>
      </c>
      <c r="AB239" s="19">
        <v>1.0</v>
      </c>
      <c r="AC239" s="19">
        <v>0.0</v>
      </c>
      <c r="AD239" s="19">
        <v>0.0</v>
      </c>
      <c r="AE239" s="19">
        <v>1.0</v>
      </c>
      <c r="AF239" s="19">
        <v>1.0</v>
      </c>
      <c r="AG239" s="19">
        <v>0.0</v>
      </c>
      <c r="AH239" s="19">
        <v>0.0</v>
      </c>
      <c r="AI239" s="19">
        <v>0.0</v>
      </c>
      <c r="AJ239" s="19">
        <v>0.0</v>
      </c>
      <c r="AK239" s="13">
        <f t="shared" si="46"/>
        <v>3</v>
      </c>
      <c r="AL239" s="5"/>
      <c r="AM239" s="5"/>
    </row>
    <row r="240" ht="12.75" customHeight="1">
      <c r="A240" s="18"/>
      <c r="B240" s="55">
        <v>3.0</v>
      </c>
      <c r="C240" s="50" t="s">
        <v>177</v>
      </c>
      <c r="D240" s="57"/>
      <c r="E240" s="19">
        <v>1.0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1.0</v>
      </c>
      <c r="AB240" s="19">
        <v>0.0</v>
      </c>
      <c r="AC240" s="19">
        <v>0.0</v>
      </c>
      <c r="AD240" s="19">
        <v>0.0</v>
      </c>
      <c r="AE240" s="19">
        <v>1.0</v>
      </c>
      <c r="AF240" s="19">
        <v>0.0</v>
      </c>
      <c r="AG240" s="19">
        <v>0.0</v>
      </c>
      <c r="AH240" s="19">
        <v>0.0</v>
      </c>
      <c r="AI240" s="19">
        <v>0.0</v>
      </c>
      <c r="AJ240" s="19">
        <v>0.0</v>
      </c>
      <c r="AK240" s="13">
        <f t="shared" si="46"/>
        <v>3</v>
      </c>
      <c r="AL240" s="1"/>
      <c r="AM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1.0</v>
      </c>
      <c r="AE241" s="19">
        <v>0.0</v>
      </c>
      <c r="AF241" s="19">
        <v>0.0</v>
      </c>
      <c r="AG241" s="19">
        <v>0.0</v>
      </c>
      <c r="AH241" s="19">
        <v>0.0</v>
      </c>
      <c r="AI241" s="19">
        <v>0.0</v>
      </c>
      <c r="AJ241" s="19">
        <v>0.0</v>
      </c>
      <c r="AK241" s="13">
        <f t="shared" si="46"/>
        <v>1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3.0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1.0</v>
      </c>
      <c r="AG242" s="19">
        <v>0.0</v>
      </c>
      <c r="AH242" s="19">
        <v>0.0</v>
      </c>
      <c r="AI242" s="19">
        <v>0.0</v>
      </c>
      <c r="AJ242" s="19">
        <v>0.0</v>
      </c>
      <c r="AK242" s="13">
        <f t="shared" si="46"/>
        <v>4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1.0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3">
        <f t="shared" si="46"/>
        <v>1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2.0</v>
      </c>
      <c r="F244" s="19">
        <v>5.0</v>
      </c>
      <c r="G244" s="19">
        <v>3.0</v>
      </c>
      <c r="H244" s="19">
        <v>1.0</v>
      </c>
      <c r="I244" s="19">
        <v>3.0</v>
      </c>
      <c r="J244" s="19">
        <v>0.0</v>
      </c>
      <c r="K244" s="19">
        <v>4.0</v>
      </c>
      <c r="L244" s="19">
        <v>2.0</v>
      </c>
      <c r="M244" s="19">
        <v>2.0</v>
      </c>
      <c r="N244" s="19">
        <v>3.0</v>
      </c>
      <c r="O244" s="19">
        <v>32.0</v>
      </c>
      <c r="P244" s="19">
        <v>0.0</v>
      </c>
      <c r="Q244" s="19">
        <v>1.0</v>
      </c>
      <c r="R244" s="19">
        <v>5.0</v>
      </c>
      <c r="S244" s="19">
        <v>0.0</v>
      </c>
      <c r="T244" s="19">
        <v>16.0</v>
      </c>
      <c r="U244" s="19">
        <v>0.0</v>
      </c>
      <c r="V244" s="19">
        <v>7.0</v>
      </c>
      <c r="W244" s="19">
        <v>35.0</v>
      </c>
      <c r="X244" s="19">
        <v>0.0</v>
      </c>
      <c r="Y244" s="19">
        <v>1.0</v>
      </c>
      <c r="Z244" s="19">
        <v>14.0</v>
      </c>
      <c r="AA244" s="19">
        <v>12.0</v>
      </c>
      <c r="AB244" s="19">
        <v>4.0</v>
      </c>
      <c r="AC244" s="19">
        <v>6.0</v>
      </c>
      <c r="AD244" s="19">
        <v>3.0</v>
      </c>
      <c r="AE244" s="19">
        <v>1.0</v>
      </c>
      <c r="AF244" s="19">
        <v>0.0</v>
      </c>
      <c r="AG244" s="19">
        <v>4.0</v>
      </c>
      <c r="AH244" s="19">
        <v>0.0</v>
      </c>
      <c r="AI244" s="19">
        <v>1.0</v>
      </c>
      <c r="AJ244" s="19">
        <v>0.0</v>
      </c>
      <c r="AK244" s="13">
        <f t="shared" si="46"/>
        <v>167</v>
      </c>
    </row>
    <row r="245" ht="12.75" customHeight="1">
      <c r="A245" s="18"/>
      <c r="B245" s="71"/>
      <c r="C245" s="72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3">
        <f t="shared" si="46"/>
        <v>0</v>
      </c>
    </row>
    <row r="246" ht="12.75" customHeight="1">
      <c r="A246" s="18"/>
      <c r="B246" s="71"/>
      <c r="C246" s="72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J247" si="47">SUM(E237:E244)</f>
        <v>3</v>
      </c>
      <c r="F247" s="13">
        <f t="shared" si="47"/>
        <v>6</v>
      </c>
      <c r="G247" s="13">
        <f t="shared" si="47"/>
        <v>5</v>
      </c>
      <c r="H247" s="13">
        <f t="shared" si="47"/>
        <v>2</v>
      </c>
      <c r="I247" s="13">
        <f t="shared" si="47"/>
        <v>3</v>
      </c>
      <c r="J247" s="13">
        <f t="shared" si="47"/>
        <v>0</v>
      </c>
      <c r="K247" s="13">
        <f t="shared" si="47"/>
        <v>5</v>
      </c>
      <c r="L247" s="13">
        <f t="shared" si="47"/>
        <v>3</v>
      </c>
      <c r="M247" s="13">
        <f t="shared" si="47"/>
        <v>2</v>
      </c>
      <c r="N247" s="13">
        <f t="shared" si="47"/>
        <v>3</v>
      </c>
      <c r="O247" s="13">
        <f t="shared" si="47"/>
        <v>34</v>
      </c>
      <c r="P247" s="13">
        <f t="shared" si="47"/>
        <v>1</v>
      </c>
      <c r="Q247" s="13">
        <f t="shared" si="47"/>
        <v>2</v>
      </c>
      <c r="R247" s="13">
        <f t="shared" si="47"/>
        <v>5</v>
      </c>
      <c r="S247" s="13">
        <f t="shared" si="47"/>
        <v>3</v>
      </c>
      <c r="T247" s="13">
        <f t="shared" si="47"/>
        <v>17</v>
      </c>
      <c r="U247" s="13">
        <f t="shared" si="47"/>
        <v>0</v>
      </c>
      <c r="V247" s="13">
        <f t="shared" si="47"/>
        <v>8</v>
      </c>
      <c r="W247" s="13">
        <f t="shared" si="47"/>
        <v>36</v>
      </c>
      <c r="X247" s="13">
        <f t="shared" si="47"/>
        <v>0</v>
      </c>
      <c r="Y247" s="13">
        <f t="shared" si="47"/>
        <v>1</v>
      </c>
      <c r="Z247" s="13">
        <f t="shared" si="47"/>
        <v>18</v>
      </c>
      <c r="AA247" s="13">
        <f t="shared" si="47"/>
        <v>13</v>
      </c>
      <c r="AB247" s="13">
        <f t="shared" si="47"/>
        <v>5</v>
      </c>
      <c r="AC247" s="13">
        <f t="shared" si="47"/>
        <v>7</v>
      </c>
      <c r="AD247" s="13">
        <f t="shared" si="47"/>
        <v>5</v>
      </c>
      <c r="AE247" s="13">
        <f t="shared" si="47"/>
        <v>3</v>
      </c>
      <c r="AF247" s="13">
        <f t="shared" si="47"/>
        <v>2</v>
      </c>
      <c r="AG247" s="13">
        <f t="shared" si="47"/>
        <v>6</v>
      </c>
      <c r="AH247" s="13">
        <f t="shared" si="47"/>
        <v>1</v>
      </c>
      <c r="AI247" s="13">
        <f t="shared" si="47"/>
        <v>1</v>
      </c>
      <c r="AJ247" s="13">
        <f t="shared" si="47"/>
        <v>0</v>
      </c>
      <c r="AK247" s="13">
        <f t="shared" si="46"/>
        <v>200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1.0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1.0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1.0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0.0</v>
      </c>
      <c r="AG249" s="19">
        <v>0.0</v>
      </c>
      <c r="AH249" s="19">
        <v>0.0</v>
      </c>
      <c r="AI249" s="19">
        <v>0.0</v>
      </c>
      <c r="AJ249" s="19">
        <v>1.0</v>
      </c>
      <c r="AK249" s="13">
        <f t="shared" ref="AK249:AK259" si="48">SUM(E249:AJ249)</f>
        <v>4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2.0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1.0</v>
      </c>
      <c r="AC250" s="19">
        <v>0.0</v>
      </c>
      <c r="AD250" s="19">
        <v>0.0</v>
      </c>
      <c r="AE250" s="19">
        <v>0.0</v>
      </c>
      <c r="AF250" s="19">
        <v>0.0</v>
      </c>
      <c r="AG250" s="19">
        <v>0.0</v>
      </c>
      <c r="AH250" s="19">
        <v>0.0</v>
      </c>
      <c r="AI250" s="19">
        <v>0.0</v>
      </c>
      <c r="AJ250" s="19">
        <v>0.0</v>
      </c>
      <c r="AK250" s="13">
        <f t="shared" si="48"/>
        <v>3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2.0</v>
      </c>
      <c r="O251" s="19">
        <v>0.0</v>
      </c>
      <c r="P251" s="19">
        <v>1.0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0.0</v>
      </c>
      <c r="AH251" s="19">
        <v>0.0</v>
      </c>
      <c r="AI251" s="19">
        <v>0.0</v>
      </c>
      <c r="AJ251" s="19">
        <v>0.0</v>
      </c>
      <c r="AK251" s="13">
        <f t="shared" si="48"/>
        <v>3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1.0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3">
        <f t="shared" si="48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1.0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3">
        <f t="shared" si="48"/>
        <v>1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1.0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1.0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1.0</v>
      </c>
      <c r="AI254" s="19">
        <v>1.0</v>
      </c>
      <c r="AJ254" s="19">
        <v>0.0</v>
      </c>
      <c r="AK254" s="13">
        <f t="shared" si="48"/>
        <v>4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0.0</v>
      </c>
      <c r="AK255" s="13">
        <f t="shared" si="48"/>
        <v>0</v>
      </c>
    </row>
    <row r="256" ht="12.75" customHeight="1">
      <c r="A256" s="18"/>
      <c r="B256" s="71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3">
        <f t="shared" si="48"/>
        <v>0</v>
      </c>
    </row>
    <row r="257" ht="12.75" customHeight="1">
      <c r="A257" s="18"/>
      <c r="B257" s="71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3">
        <f t="shared" si="48"/>
        <v>0</v>
      </c>
    </row>
    <row r="258" ht="12.75" customHeight="1">
      <c r="A258" s="18"/>
      <c r="B258" s="71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3">
        <f t="shared" si="48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AJ259" si="49">SUM(E249:E255)</f>
        <v>0</v>
      </c>
      <c r="F259" s="13">
        <f t="shared" si="49"/>
        <v>0</v>
      </c>
      <c r="G259" s="13">
        <f t="shared" si="49"/>
        <v>1</v>
      </c>
      <c r="H259" s="13">
        <f t="shared" si="49"/>
        <v>0</v>
      </c>
      <c r="I259" s="13">
        <f t="shared" si="49"/>
        <v>2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2</v>
      </c>
      <c r="O259" s="13">
        <f t="shared" si="49"/>
        <v>1</v>
      </c>
      <c r="P259" s="13">
        <f t="shared" si="49"/>
        <v>4</v>
      </c>
      <c r="Q259" s="13">
        <f t="shared" si="49"/>
        <v>0</v>
      </c>
      <c r="R259" s="13">
        <f t="shared" si="49"/>
        <v>0</v>
      </c>
      <c r="S259" s="13">
        <f t="shared" si="49"/>
        <v>1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1</v>
      </c>
      <c r="AB259" s="13">
        <f t="shared" si="49"/>
        <v>1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0</v>
      </c>
      <c r="AG259" s="13">
        <f t="shared" si="49"/>
        <v>0</v>
      </c>
      <c r="AH259" s="13">
        <f t="shared" si="49"/>
        <v>1</v>
      </c>
      <c r="AI259" s="13">
        <f t="shared" si="49"/>
        <v>1</v>
      </c>
      <c r="AJ259" s="13">
        <f t="shared" si="49"/>
        <v>1</v>
      </c>
      <c r="AK259" s="13">
        <f t="shared" si="48"/>
        <v>16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0"/>
      <c r="O261" s="13"/>
      <c r="P261" s="13"/>
      <c r="Q261" s="13"/>
      <c r="R261" s="13"/>
      <c r="S261" s="70"/>
      <c r="T261" s="13"/>
      <c r="U261" s="13"/>
      <c r="V261" s="13"/>
      <c r="W261" s="13"/>
      <c r="X261" s="70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70"/>
      <c r="AJ261" s="13"/>
      <c r="AK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J262" si="50">E55+E67+E79+E91+E103+E115+E127+E139+E151+E163+E175+E187+E199+E211+E223+E235+E247+E259</f>
        <v>177</v>
      </c>
      <c r="F262" s="19">
        <f t="shared" si="50"/>
        <v>164</v>
      </c>
      <c r="G262" s="19">
        <f t="shared" si="50"/>
        <v>192</v>
      </c>
      <c r="H262" s="19">
        <f t="shared" si="50"/>
        <v>189</v>
      </c>
      <c r="I262" s="19">
        <f t="shared" si="50"/>
        <v>182</v>
      </c>
      <c r="J262" s="19">
        <f t="shared" si="50"/>
        <v>197</v>
      </c>
      <c r="K262" s="19">
        <f t="shared" si="50"/>
        <v>188</v>
      </c>
      <c r="L262" s="19">
        <f t="shared" si="50"/>
        <v>170</v>
      </c>
      <c r="M262" s="19">
        <f t="shared" si="50"/>
        <v>160</v>
      </c>
      <c r="N262" s="19">
        <f t="shared" si="50"/>
        <v>177</v>
      </c>
      <c r="O262" s="19">
        <f t="shared" si="50"/>
        <v>184</v>
      </c>
      <c r="P262" s="19">
        <f t="shared" si="50"/>
        <v>152</v>
      </c>
      <c r="Q262" s="19">
        <f t="shared" si="50"/>
        <v>175</v>
      </c>
      <c r="R262" s="19">
        <f t="shared" si="50"/>
        <v>163</v>
      </c>
      <c r="S262" s="19">
        <f t="shared" si="50"/>
        <v>148</v>
      </c>
      <c r="T262" s="19">
        <f t="shared" si="50"/>
        <v>192</v>
      </c>
      <c r="U262" s="19">
        <f t="shared" si="50"/>
        <v>160</v>
      </c>
      <c r="V262" s="19">
        <f t="shared" si="50"/>
        <v>176</v>
      </c>
      <c r="W262" s="19">
        <f t="shared" si="50"/>
        <v>189</v>
      </c>
      <c r="X262" s="19">
        <f t="shared" si="50"/>
        <v>176</v>
      </c>
      <c r="Y262" s="19">
        <f t="shared" si="50"/>
        <v>188</v>
      </c>
      <c r="Z262" s="19">
        <f t="shared" si="50"/>
        <v>198</v>
      </c>
      <c r="AA262" s="19">
        <f t="shared" si="50"/>
        <v>189</v>
      </c>
      <c r="AB262" s="19">
        <f t="shared" si="50"/>
        <v>191</v>
      </c>
      <c r="AC262" s="19">
        <f t="shared" si="50"/>
        <v>214</v>
      </c>
      <c r="AD262" s="19">
        <f t="shared" si="50"/>
        <v>192</v>
      </c>
      <c r="AE262" s="19">
        <f t="shared" si="50"/>
        <v>189</v>
      </c>
      <c r="AF262" s="19">
        <f t="shared" si="50"/>
        <v>189</v>
      </c>
      <c r="AG262" s="19">
        <f t="shared" si="50"/>
        <v>161</v>
      </c>
      <c r="AH262" s="19">
        <f t="shared" si="50"/>
        <v>176</v>
      </c>
      <c r="AI262" s="19">
        <f t="shared" si="50"/>
        <v>191</v>
      </c>
      <c r="AJ262" s="19">
        <f t="shared" si="50"/>
        <v>210</v>
      </c>
      <c r="AK262" s="13">
        <f t="shared" ref="AK262:AK264" si="51">SUM(E262:AJ262)</f>
        <v>5799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23.0</v>
      </c>
      <c r="F263" s="19">
        <v>35.0</v>
      </c>
      <c r="G263" s="19">
        <v>33.0</v>
      </c>
      <c r="H263" s="19">
        <v>28.0</v>
      </c>
      <c r="I263" s="19">
        <v>39.0</v>
      </c>
      <c r="J263" s="19">
        <v>23.0</v>
      </c>
      <c r="K263" s="19">
        <v>17.0</v>
      </c>
      <c r="L263" s="19">
        <v>44.0</v>
      </c>
      <c r="M263" s="19">
        <v>46.0</v>
      </c>
      <c r="N263" s="19">
        <v>53.0</v>
      </c>
      <c r="O263" s="19">
        <v>24.0</v>
      </c>
      <c r="P263" s="19">
        <v>49.0</v>
      </c>
      <c r="Q263" s="19">
        <v>42.0</v>
      </c>
      <c r="R263" s="19">
        <v>28.0</v>
      </c>
      <c r="S263" s="19">
        <v>29.0</v>
      </c>
      <c r="T263" s="19">
        <v>20.0</v>
      </c>
      <c r="U263" s="19">
        <v>41.0</v>
      </c>
      <c r="V263" s="19">
        <v>23.0</v>
      </c>
      <c r="W263" s="19">
        <v>28.0</v>
      </c>
      <c r="X263" s="19">
        <v>21.0</v>
      </c>
      <c r="Y263" s="19">
        <v>13.0</v>
      </c>
      <c r="Z263" s="19">
        <v>17.0</v>
      </c>
      <c r="AA263" s="19">
        <v>24.0</v>
      </c>
      <c r="AB263" s="19">
        <v>18.0</v>
      </c>
      <c r="AC263" s="19">
        <v>16.0</v>
      </c>
      <c r="AD263" s="19">
        <v>22.0</v>
      </c>
      <c r="AE263" s="19">
        <v>22.0</v>
      </c>
      <c r="AF263" s="19">
        <v>19.0</v>
      </c>
      <c r="AG263" s="19">
        <v>27.0</v>
      </c>
      <c r="AH263" s="19">
        <v>31.0</v>
      </c>
      <c r="AI263" s="19">
        <v>4.0</v>
      </c>
      <c r="AJ263" s="19">
        <v>5.0</v>
      </c>
      <c r="AK263" s="13">
        <f t="shared" si="51"/>
        <v>864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J264" si="52">SUM(E262:E263)</f>
        <v>200</v>
      </c>
      <c r="F264" s="13">
        <f t="shared" si="52"/>
        <v>199</v>
      </c>
      <c r="G264" s="13">
        <f t="shared" si="52"/>
        <v>225</v>
      </c>
      <c r="H264" s="13">
        <f t="shared" si="52"/>
        <v>217</v>
      </c>
      <c r="I264" s="13">
        <f t="shared" si="52"/>
        <v>221</v>
      </c>
      <c r="J264" s="13">
        <f t="shared" si="52"/>
        <v>220</v>
      </c>
      <c r="K264" s="13">
        <f t="shared" si="52"/>
        <v>205</v>
      </c>
      <c r="L264" s="13">
        <f t="shared" si="52"/>
        <v>214</v>
      </c>
      <c r="M264" s="13">
        <f t="shared" si="52"/>
        <v>206</v>
      </c>
      <c r="N264" s="13">
        <f t="shared" si="52"/>
        <v>230</v>
      </c>
      <c r="O264" s="13">
        <f t="shared" si="52"/>
        <v>208</v>
      </c>
      <c r="P264" s="13">
        <f t="shared" si="52"/>
        <v>201</v>
      </c>
      <c r="Q264" s="13">
        <f t="shared" si="52"/>
        <v>217</v>
      </c>
      <c r="R264" s="13">
        <f t="shared" si="52"/>
        <v>191</v>
      </c>
      <c r="S264" s="13">
        <f t="shared" si="52"/>
        <v>177</v>
      </c>
      <c r="T264" s="13">
        <f t="shared" si="52"/>
        <v>212</v>
      </c>
      <c r="U264" s="13">
        <f t="shared" si="52"/>
        <v>201</v>
      </c>
      <c r="V264" s="13">
        <f t="shared" si="52"/>
        <v>199</v>
      </c>
      <c r="W264" s="13">
        <f t="shared" si="52"/>
        <v>217</v>
      </c>
      <c r="X264" s="13">
        <f t="shared" si="52"/>
        <v>197</v>
      </c>
      <c r="Y264" s="13">
        <f t="shared" si="52"/>
        <v>201</v>
      </c>
      <c r="Z264" s="13">
        <f t="shared" si="52"/>
        <v>215</v>
      </c>
      <c r="AA264" s="13">
        <f t="shared" si="52"/>
        <v>213</v>
      </c>
      <c r="AB264" s="13">
        <f t="shared" si="52"/>
        <v>209</v>
      </c>
      <c r="AC264" s="13">
        <f t="shared" si="52"/>
        <v>230</v>
      </c>
      <c r="AD264" s="13">
        <f t="shared" si="52"/>
        <v>214</v>
      </c>
      <c r="AE264" s="13">
        <f t="shared" si="52"/>
        <v>211</v>
      </c>
      <c r="AF264" s="13">
        <f t="shared" si="52"/>
        <v>208</v>
      </c>
      <c r="AG264" s="13">
        <f t="shared" si="52"/>
        <v>188</v>
      </c>
      <c r="AH264" s="13">
        <f t="shared" si="52"/>
        <v>207</v>
      </c>
      <c r="AI264" s="13">
        <f t="shared" si="52"/>
        <v>195</v>
      </c>
      <c r="AJ264" s="13">
        <f t="shared" si="52"/>
        <v>215</v>
      </c>
      <c r="AK264" s="13">
        <f t="shared" si="51"/>
        <v>6663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C50:D50"/>
    <mergeCell ref="C51:D51"/>
    <mergeCell ref="C52:D52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C249:D249"/>
    <mergeCell ref="B259:D259"/>
    <mergeCell ref="B261:D261"/>
    <mergeCell ref="C262:D262"/>
    <mergeCell ref="C263:D263"/>
    <mergeCell ref="C264:D264"/>
    <mergeCell ref="A224:E224"/>
    <mergeCell ref="C225:D225"/>
    <mergeCell ref="B235:D235"/>
    <mergeCell ref="A236:E236"/>
    <mergeCell ref="C237:D237"/>
    <mergeCell ref="B247:D247"/>
    <mergeCell ref="A248:E248"/>
    <mergeCell ref="B12:D12"/>
    <mergeCell ref="E12:AJ12"/>
    <mergeCell ref="AK12:A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D37"/>
    <mergeCell ref="B38:D38"/>
    <mergeCell ref="B39:C41"/>
    <mergeCell ref="A42:D42"/>
    <mergeCell ref="E42:AD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93:D93"/>
    <mergeCell ref="B103:D103"/>
    <mergeCell ref="A104:E104"/>
    <mergeCell ref="C105:D105"/>
  </mergeCells>
  <conditionalFormatting sqref="E34:AJ34">
    <cfRule type="expression" dxfId="0" priority="1">
      <formula>E34&lt;&gt;E64</formula>
    </cfRule>
  </conditionalFormatting>
  <conditionalFormatting sqref="E14:AJ15">
    <cfRule type="containsBlanks" dxfId="1" priority="2">
      <formula>LEN(TRIM(E14))=0</formula>
    </cfRule>
  </conditionalFormatting>
  <conditionalFormatting sqref="E19:AJ20">
    <cfRule type="containsBlanks" dxfId="1" priority="3">
      <formula>LEN(TRIM(E19))=0</formula>
    </cfRule>
  </conditionalFormatting>
  <conditionalFormatting sqref="E22:AJ23 E25:AJ26 E33:AJ33 E35:AJ35 E39:AJ40">
    <cfRule type="containsBlanks" dxfId="1" priority="4">
      <formula>LEN(TRIM(E22))=0</formula>
    </cfRule>
  </conditionalFormatting>
  <conditionalFormatting sqref="E30:AJ30">
    <cfRule type="expression" dxfId="0" priority="5">
      <formula>E30&lt;&gt;E47</formula>
    </cfRule>
  </conditionalFormatting>
  <conditionalFormatting sqref="E30:AJ30">
    <cfRule type="expression" dxfId="0" priority="6">
      <formula>E30&lt;&gt;E34</formula>
    </cfRule>
  </conditionalFormatting>
  <conditionalFormatting sqref="E34:AJ34">
    <cfRule type="expression" dxfId="2" priority="7">
      <formula>E30&lt;&gt;E34</formula>
    </cfRule>
  </conditionalFormatting>
  <conditionalFormatting sqref="E34:AJ34">
    <cfRule type="expression" dxfId="3" priority="8">
      <formula>E30=E34</formula>
    </cfRule>
  </conditionalFormatting>
  <conditionalFormatting sqref="E34:AJ34">
    <cfRule type="expression" dxfId="0" priority="9">
      <formula>E34&lt;&gt;E30</formula>
    </cfRule>
  </conditionalFormatting>
  <conditionalFormatting sqref="F45:AJ54">
    <cfRule type="containsBlanks" dxfId="1" priority="10">
      <formula>LEN(TRIM(F45))=0</formula>
    </cfRule>
  </conditionalFormatting>
  <conditionalFormatting sqref="F57:AJ66">
    <cfRule type="containsBlanks" dxfId="1" priority="11">
      <formula>LEN(TRIM(F57))=0</formula>
    </cfRule>
  </conditionalFormatting>
  <conditionalFormatting sqref="F69:AJ78">
    <cfRule type="containsBlanks" dxfId="1" priority="12">
      <formula>LEN(TRIM(F69))=0</formula>
    </cfRule>
  </conditionalFormatting>
  <conditionalFormatting sqref="F81:AJ90">
    <cfRule type="containsBlanks" dxfId="1" priority="13">
      <formula>LEN(TRIM(F81))=0</formula>
    </cfRule>
  </conditionalFormatting>
  <conditionalFormatting sqref="F93:AJ102">
    <cfRule type="containsBlanks" dxfId="1" priority="14">
      <formula>LEN(TRIM(F93))=0</formula>
    </cfRule>
  </conditionalFormatting>
  <conditionalFormatting sqref="F105:AJ114">
    <cfRule type="containsBlanks" dxfId="1" priority="15">
      <formula>LEN(TRIM(F105))=0</formula>
    </cfRule>
  </conditionalFormatting>
  <conditionalFormatting sqref="F117:AJ126">
    <cfRule type="containsBlanks" dxfId="1" priority="16">
      <formula>LEN(TRIM(F117))=0</formula>
    </cfRule>
  </conditionalFormatting>
  <conditionalFormatting sqref="F129:AJ138">
    <cfRule type="containsBlanks" dxfId="1" priority="17">
      <formula>LEN(TRIM(F129))=0</formula>
    </cfRule>
  </conditionalFormatting>
  <conditionalFormatting sqref="F141:AJ150">
    <cfRule type="containsBlanks" dxfId="1" priority="18">
      <formula>LEN(TRIM(F141))=0</formula>
    </cfRule>
  </conditionalFormatting>
  <conditionalFormatting sqref="F153:AJ162">
    <cfRule type="containsBlanks" dxfId="1" priority="19">
      <formula>LEN(TRIM(F153))=0</formula>
    </cfRule>
  </conditionalFormatting>
  <conditionalFormatting sqref="F165:AJ174">
    <cfRule type="containsBlanks" dxfId="1" priority="20">
      <formula>LEN(TRIM(F165))=0</formula>
    </cfRule>
  </conditionalFormatting>
  <conditionalFormatting sqref="F177:AJ186">
    <cfRule type="containsBlanks" dxfId="1" priority="21">
      <formula>LEN(TRIM(F177))=0</formula>
    </cfRule>
  </conditionalFormatting>
  <conditionalFormatting sqref="F189:AJ198">
    <cfRule type="containsBlanks" dxfId="1" priority="22">
      <formula>LEN(TRIM(F189))=0</formula>
    </cfRule>
  </conditionalFormatting>
  <conditionalFormatting sqref="F201:AJ210">
    <cfRule type="containsBlanks" dxfId="1" priority="23">
      <formula>LEN(TRIM(F201))=0</formula>
    </cfRule>
  </conditionalFormatting>
  <conditionalFormatting sqref="F213:AJ222">
    <cfRule type="containsBlanks" dxfId="1" priority="24">
      <formula>LEN(TRIM(F213))=0</formula>
    </cfRule>
  </conditionalFormatting>
  <conditionalFormatting sqref="F225:AJ234">
    <cfRule type="containsBlanks" dxfId="1" priority="25">
      <formula>LEN(TRIM(F225))=0</formula>
    </cfRule>
  </conditionalFormatting>
  <conditionalFormatting sqref="F237:AJ246">
    <cfRule type="containsBlanks" dxfId="1" priority="26">
      <formula>LEN(TRIM(F237))=0</formula>
    </cfRule>
  </conditionalFormatting>
  <conditionalFormatting sqref="F249:AJ259">
    <cfRule type="containsBlanks" dxfId="1" priority="27">
      <formula>LEN(TRIM(F249))=0</formula>
    </cfRule>
  </conditionalFormatting>
  <conditionalFormatting sqref="F262:AJ263">
    <cfRule type="containsBlanks" dxfId="1" priority="28">
      <formula>LEN(TRIM(F262))=0</formula>
    </cfRule>
  </conditionalFormatting>
  <conditionalFormatting sqref="E45:E54">
    <cfRule type="containsBlanks" dxfId="1" priority="29">
      <formula>LEN(TRIM(E45))=0</formula>
    </cfRule>
  </conditionalFormatting>
  <conditionalFormatting sqref="E57:E66">
    <cfRule type="containsBlanks" dxfId="1" priority="30">
      <formula>LEN(TRIM(E57))=0</formula>
    </cfRule>
  </conditionalFormatting>
  <conditionalFormatting sqref="E69:E78">
    <cfRule type="containsBlanks" dxfId="1" priority="31">
      <formula>LEN(TRIM(E69))=0</formula>
    </cfRule>
  </conditionalFormatting>
  <conditionalFormatting sqref="E81:E90">
    <cfRule type="containsBlanks" dxfId="1" priority="32">
      <formula>LEN(TRIM(E81))=0</formula>
    </cfRule>
  </conditionalFormatting>
  <conditionalFormatting sqref="E93:E102">
    <cfRule type="containsBlanks" dxfId="1" priority="33">
      <formula>LEN(TRIM(E93))=0</formula>
    </cfRule>
  </conditionalFormatting>
  <conditionalFormatting sqref="E105:E114">
    <cfRule type="containsBlanks" dxfId="1" priority="34">
      <formula>LEN(TRIM(E105))=0</formula>
    </cfRule>
  </conditionalFormatting>
  <conditionalFormatting sqref="E117:E126">
    <cfRule type="containsBlanks" dxfId="1" priority="35">
      <formula>LEN(TRIM(E117))=0</formula>
    </cfRule>
  </conditionalFormatting>
  <conditionalFormatting sqref="E129:E138">
    <cfRule type="containsBlanks" dxfId="1" priority="36">
      <formula>LEN(TRIM(E129))=0</formula>
    </cfRule>
  </conditionalFormatting>
  <conditionalFormatting sqref="E141:E150">
    <cfRule type="containsBlanks" dxfId="1" priority="37">
      <formula>LEN(TRIM(E141))=0</formula>
    </cfRule>
  </conditionalFormatting>
  <conditionalFormatting sqref="E153:E162">
    <cfRule type="containsBlanks" dxfId="1" priority="38">
      <formula>LEN(TRIM(E153))=0</formula>
    </cfRule>
  </conditionalFormatting>
  <conditionalFormatting sqref="E165:E174">
    <cfRule type="containsBlanks" dxfId="1" priority="39">
      <formula>LEN(TRIM(E165))=0</formula>
    </cfRule>
  </conditionalFormatting>
  <conditionalFormatting sqref="E177:E186">
    <cfRule type="containsBlanks" dxfId="1" priority="40">
      <formula>LEN(TRIM(E177))=0</formula>
    </cfRule>
  </conditionalFormatting>
  <conditionalFormatting sqref="E189:E198">
    <cfRule type="containsBlanks" dxfId="1" priority="41">
      <formula>LEN(TRIM(E189))=0</formula>
    </cfRule>
  </conditionalFormatting>
  <conditionalFormatting sqref="E201:E210">
    <cfRule type="containsBlanks" dxfId="1" priority="42">
      <formula>LEN(TRIM(E201))=0</formula>
    </cfRule>
  </conditionalFormatting>
  <conditionalFormatting sqref="E213:E222">
    <cfRule type="containsBlanks" dxfId="1" priority="43">
      <formula>LEN(TRIM(E213))=0</formula>
    </cfRule>
  </conditionalFormatting>
  <conditionalFormatting sqref="E225:E234">
    <cfRule type="containsBlanks" dxfId="1" priority="44">
      <formula>LEN(TRIM(E225))=0</formula>
    </cfRule>
  </conditionalFormatting>
  <conditionalFormatting sqref="E237:E246">
    <cfRule type="containsBlanks" dxfId="1" priority="45">
      <formula>LEN(TRIM(E237))=0</formula>
    </cfRule>
  </conditionalFormatting>
  <conditionalFormatting sqref="E249:E259">
    <cfRule type="containsBlanks" dxfId="1" priority="46">
      <formula>LEN(TRIM(E249))=0</formula>
    </cfRule>
  </conditionalFormatting>
  <conditionalFormatting sqref="E262:E263">
    <cfRule type="containsBlanks" dxfId="1" priority="47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  <col customWidth="1" min="33" max="34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123.0</v>
      </c>
      <c r="G14" s="19">
        <v>136.0</v>
      </c>
      <c r="H14" s="19">
        <v>133.0</v>
      </c>
      <c r="I14" s="19">
        <v>128.0</v>
      </c>
      <c r="J14" s="19">
        <v>133.0</v>
      </c>
      <c r="K14" s="19">
        <v>136.0</v>
      </c>
      <c r="L14" s="19">
        <v>143.0</v>
      </c>
      <c r="M14" s="19">
        <v>129.0</v>
      </c>
      <c r="N14" s="19">
        <v>138.0</v>
      </c>
      <c r="O14" s="19">
        <v>134.0</v>
      </c>
      <c r="P14" s="19">
        <v>128.0</v>
      </c>
      <c r="Q14" s="19">
        <v>143.0</v>
      </c>
      <c r="R14" s="19">
        <v>137.0</v>
      </c>
      <c r="S14" s="19">
        <v>135.0</v>
      </c>
      <c r="T14" s="19">
        <v>129.0</v>
      </c>
      <c r="U14" s="19">
        <v>110.0</v>
      </c>
      <c r="V14" s="19">
        <v>120.0</v>
      </c>
      <c r="W14" s="19">
        <v>117.0</v>
      </c>
      <c r="X14" s="19">
        <v>112.0</v>
      </c>
      <c r="Y14" s="19">
        <v>116.0</v>
      </c>
      <c r="Z14" s="19">
        <v>117.0</v>
      </c>
      <c r="AA14" s="19">
        <v>127.0</v>
      </c>
      <c r="AB14" s="19">
        <v>133.0</v>
      </c>
      <c r="AC14" s="19">
        <v>147.0</v>
      </c>
      <c r="AD14" s="19">
        <v>143.0</v>
      </c>
      <c r="AE14" s="19">
        <v>147.0</v>
      </c>
      <c r="AF14" s="13">
        <f t="shared" ref="AF14:AF16" si="1">SUM(E14:AE14)</f>
        <v>3529</v>
      </c>
    </row>
    <row r="15" ht="12.75" customHeight="1">
      <c r="A15" s="18"/>
      <c r="B15" s="26"/>
      <c r="C15" s="27"/>
      <c r="D15" s="19" t="s">
        <v>13</v>
      </c>
      <c r="E15" s="19">
        <v>136.0</v>
      </c>
      <c r="F15" s="19">
        <v>136.0</v>
      </c>
      <c r="G15" s="19">
        <v>135.0</v>
      </c>
      <c r="H15" s="19">
        <v>122.0</v>
      </c>
      <c r="I15" s="19">
        <v>135.0</v>
      </c>
      <c r="J15" s="19">
        <v>133.0</v>
      </c>
      <c r="K15" s="19">
        <v>128.0</v>
      </c>
      <c r="L15" s="19">
        <v>118.0</v>
      </c>
      <c r="M15" s="19">
        <v>140.0</v>
      </c>
      <c r="N15" s="19">
        <v>122.0</v>
      </c>
      <c r="O15" s="19">
        <v>126.0</v>
      </c>
      <c r="P15" s="19">
        <v>148.0</v>
      </c>
      <c r="Q15" s="19">
        <v>125.0</v>
      </c>
      <c r="R15" s="19">
        <v>131.0</v>
      </c>
      <c r="S15" s="19">
        <v>135.0</v>
      </c>
      <c r="T15" s="19">
        <v>138.0</v>
      </c>
      <c r="U15" s="19">
        <v>118.0</v>
      </c>
      <c r="V15" s="19">
        <v>121.0</v>
      </c>
      <c r="W15" s="19">
        <v>130.0</v>
      </c>
      <c r="X15" s="19">
        <v>131.0</v>
      </c>
      <c r="Y15" s="19">
        <v>128.0</v>
      </c>
      <c r="Z15" s="19">
        <v>119.0</v>
      </c>
      <c r="AA15" s="19">
        <v>141.0</v>
      </c>
      <c r="AB15" s="19">
        <v>146.0</v>
      </c>
      <c r="AC15" s="19">
        <v>142.0</v>
      </c>
      <c r="AD15" s="19">
        <v>153.0</v>
      </c>
      <c r="AE15" s="19">
        <v>147.0</v>
      </c>
      <c r="AF15" s="13">
        <f t="shared" si="1"/>
        <v>3584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271</v>
      </c>
      <c r="F16" s="13">
        <f t="shared" si="2"/>
        <v>259</v>
      </c>
      <c r="G16" s="13">
        <f t="shared" si="2"/>
        <v>271</v>
      </c>
      <c r="H16" s="13">
        <f t="shared" si="2"/>
        <v>255</v>
      </c>
      <c r="I16" s="13">
        <f t="shared" si="2"/>
        <v>263</v>
      </c>
      <c r="J16" s="13">
        <f t="shared" si="2"/>
        <v>266</v>
      </c>
      <c r="K16" s="13">
        <f t="shared" si="2"/>
        <v>264</v>
      </c>
      <c r="L16" s="13">
        <f t="shared" si="2"/>
        <v>261</v>
      </c>
      <c r="M16" s="13">
        <f t="shared" si="2"/>
        <v>269</v>
      </c>
      <c r="N16" s="13">
        <f t="shared" si="2"/>
        <v>260</v>
      </c>
      <c r="O16" s="13">
        <f t="shared" si="2"/>
        <v>260</v>
      </c>
      <c r="P16" s="13">
        <f t="shared" si="2"/>
        <v>276</v>
      </c>
      <c r="Q16" s="13">
        <f t="shared" si="2"/>
        <v>268</v>
      </c>
      <c r="R16" s="13">
        <f t="shared" si="2"/>
        <v>268</v>
      </c>
      <c r="S16" s="13">
        <f t="shared" si="2"/>
        <v>270</v>
      </c>
      <c r="T16" s="13">
        <f t="shared" si="2"/>
        <v>267</v>
      </c>
      <c r="U16" s="13">
        <f t="shared" si="2"/>
        <v>228</v>
      </c>
      <c r="V16" s="13">
        <f t="shared" si="2"/>
        <v>241</v>
      </c>
      <c r="W16" s="13">
        <f t="shared" si="2"/>
        <v>247</v>
      </c>
      <c r="X16" s="13">
        <f t="shared" si="2"/>
        <v>243</v>
      </c>
      <c r="Y16" s="13">
        <f t="shared" si="2"/>
        <v>244</v>
      </c>
      <c r="Z16" s="13">
        <f t="shared" si="2"/>
        <v>236</v>
      </c>
      <c r="AA16" s="13">
        <f t="shared" si="2"/>
        <v>268</v>
      </c>
      <c r="AB16" s="13">
        <f t="shared" si="2"/>
        <v>279</v>
      </c>
      <c r="AC16" s="13">
        <f t="shared" si="2"/>
        <v>289</v>
      </c>
      <c r="AD16" s="13">
        <f t="shared" si="2"/>
        <v>296</v>
      </c>
      <c r="AE16" s="13">
        <f t="shared" si="2"/>
        <v>294</v>
      </c>
      <c r="AF16" s="13">
        <f t="shared" si="1"/>
        <v>7113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19"/>
      <c r="AC17" s="67"/>
      <c r="AD17" s="19"/>
      <c r="AE17" s="19"/>
      <c r="AF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19"/>
      <c r="AC18" s="67"/>
      <c r="AD18" s="19"/>
      <c r="AE18" s="19"/>
      <c r="AF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104.0</v>
      </c>
      <c r="F19" s="19">
        <v>105.0</v>
      </c>
      <c r="G19" s="19">
        <v>100.0</v>
      </c>
      <c r="H19" s="19">
        <v>102.0</v>
      </c>
      <c r="I19" s="19">
        <v>90.0</v>
      </c>
      <c r="J19" s="19">
        <v>99.0</v>
      </c>
      <c r="K19" s="19">
        <v>108.0</v>
      </c>
      <c r="L19" s="19">
        <v>103.0</v>
      </c>
      <c r="M19" s="19">
        <v>86.0</v>
      </c>
      <c r="N19" s="19">
        <v>102.0</v>
      </c>
      <c r="O19" s="19">
        <v>98.0</v>
      </c>
      <c r="P19" s="19">
        <v>96.0</v>
      </c>
      <c r="Q19" s="19">
        <v>99.0</v>
      </c>
      <c r="R19" s="19">
        <v>93.0</v>
      </c>
      <c r="S19" s="19">
        <v>103.0</v>
      </c>
      <c r="T19" s="19">
        <v>99.0</v>
      </c>
      <c r="U19" s="19">
        <v>89.0</v>
      </c>
      <c r="V19" s="19">
        <v>109.0</v>
      </c>
      <c r="W19" s="19">
        <v>88.0</v>
      </c>
      <c r="X19" s="19">
        <v>85.0</v>
      </c>
      <c r="Y19" s="19">
        <v>94.0</v>
      </c>
      <c r="Z19" s="19">
        <v>98.0</v>
      </c>
      <c r="AA19" s="19">
        <v>105.0</v>
      </c>
      <c r="AB19" s="19">
        <v>104.0</v>
      </c>
      <c r="AC19" s="19">
        <v>123.0</v>
      </c>
      <c r="AD19" s="19">
        <v>119.0</v>
      </c>
      <c r="AE19" s="19">
        <v>110.0</v>
      </c>
      <c r="AF19" s="13">
        <f t="shared" ref="AF19:AF30" si="3">SUM(E19:AE19)</f>
        <v>2711</v>
      </c>
    </row>
    <row r="20" ht="12.75" customHeight="1">
      <c r="A20" s="33"/>
      <c r="B20" s="27"/>
      <c r="C20" s="34"/>
      <c r="D20" s="19" t="s">
        <v>13</v>
      </c>
      <c r="E20" s="19">
        <v>105.0</v>
      </c>
      <c r="F20" s="19">
        <v>117.0</v>
      </c>
      <c r="G20" s="19">
        <v>106.0</v>
      </c>
      <c r="H20" s="19">
        <v>88.0</v>
      </c>
      <c r="I20" s="19">
        <v>95.0</v>
      </c>
      <c r="J20" s="19">
        <v>107.0</v>
      </c>
      <c r="K20" s="19">
        <v>108.0</v>
      </c>
      <c r="L20" s="19">
        <v>96.0</v>
      </c>
      <c r="M20" s="19">
        <v>103.0</v>
      </c>
      <c r="N20" s="19">
        <v>102.0</v>
      </c>
      <c r="O20" s="19">
        <v>102.0</v>
      </c>
      <c r="P20" s="19">
        <v>112.0</v>
      </c>
      <c r="Q20" s="19">
        <v>105.0</v>
      </c>
      <c r="R20" s="19">
        <v>99.0</v>
      </c>
      <c r="S20" s="19">
        <v>104.0</v>
      </c>
      <c r="T20" s="19">
        <v>101.0</v>
      </c>
      <c r="U20" s="19">
        <v>93.0</v>
      </c>
      <c r="V20" s="19">
        <v>95.0</v>
      </c>
      <c r="W20" s="19">
        <v>105.0</v>
      </c>
      <c r="X20" s="19">
        <v>105.0</v>
      </c>
      <c r="Y20" s="19">
        <v>98.0</v>
      </c>
      <c r="Z20" s="19">
        <v>105.0</v>
      </c>
      <c r="AA20" s="19">
        <v>112.0</v>
      </c>
      <c r="AB20" s="19">
        <v>123.0</v>
      </c>
      <c r="AC20" s="19">
        <v>123.0</v>
      </c>
      <c r="AD20" s="19">
        <v>127.0</v>
      </c>
      <c r="AE20" s="19">
        <v>113.0</v>
      </c>
      <c r="AF20" s="13">
        <f t="shared" si="3"/>
        <v>2849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209</v>
      </c>
      <c r="F21" s="13">
        <f t="shared" si="4"/>
        <v>222</v>
      </c>
      <c r="G21" s="13">
        <f t="shared" si="4"/>
        <v>206</v>
      </c>
      <c r="H21" s="13">
        <f t="shared" si="4"/>
        <v>190</v>
      </c>
      <c r="I21" s="13">
        <f t="shared" si="4"/>
        <v>185</v>
      </c>
      <c r="J21" s="13">
        <f t="shared" si="4"/>
        <v>206</v>
      </c>
      <c r="K21" s="13">
        <f t="shared" si="4"/>
        <v>216</v>
      </c>
      <c r="L21" s="13">
        <f t="shared" si="4"/>
        <v>199</v>
      </c>
      <c r="M21" s="13">
        <f t="shared" si="4"/>
        <v>189</v>
      </c>
      <c r="N21" s="13">
        <f t="shared" si="4"/>
        <v>204</v>
      </c>
      <c r="O21" s="13">
        <f t="shared" si="4"/>
        <v>200</v>
      </c>
      <c r="P21" s="13">
        <f t="shared" si="4"/>
        <v>208</v>
      </c>
      <c r="Q21" s="13">
        <f t="shared" si="4"/>
        <v>204</v>
      </c>
      <c r="R21" s="13">
        <f t="shared" si="4"/>
        <v>192</v>
      </c>
      <c r="S21" s="13">
        <f t="shared" si="4"/>
        <v>207</v>
      </c>
      <c r="T21" s="13">
        <f t="shared" si="4"/>
        <v>200</v>
      </c>
      <c r="U21" s="13">
        <f t="shared" si="4"/>
        <v>182</v>
      </c>
      <c r="V21" s="13">
        <f t="shared" si="4"/>
        <v>204</v>
      </c>
      <c r="W21" s="13">
        <f t="shared" si="4"/>
        <v>193</v>
      </c>
      <c r="X21" s="13">
        <f t="shared" si="4"/>
        <v>190</v>
      </c>
      <c r="Y21" s="13">
        <f t="shared" si="4"/>
        <v>192</v>
      </c>
      <c r="Z21" s="13">
        <f t="shared" si="4"/>
        <v>203</v>
      </c>
      <c r="AA21" s="13">
        <f t="shared" si="4"/>
        <v>217</v>
      </c>
      <c r="AB21" s="13">
        <f t="shared" si="4"/>
        <v>227</v>
      </c>
      <c r="AC21" s="13">
        <f t="shared" si="4"/>
        <v>246</v>
      </c>
      <c r="AD21" s="13">
        <f t="shared" si="4"/>
        <v>246</v>
      </c>
      <c r="AE21" s="13">
        <f t="shared" si="4"/>
        <v>223</v>
      </c>
      <c r="AF21" s="13">
        <f t="shared" si="3"/>
        <v>5560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1.0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2.0</v>
      </c>
      <c r="H25" s="19">
        <v>0.0</v>
      </c>
      <c r="I25" s="19">
        <v>3.0</v>
      </c>
      <c r="J25" s="19">
        <v>2.0</v>
      </c>
      <c r="K25" s="19">
        <v>0.0</v>
      </c>
      <c r="L25" s="19">
        <v>0.0</v>
      </c>
      <c r="M25" s="19">
        <v>0.0</v>
      </c>
      <c r="N25" s="19">
        <v>3.0</v>
      </c>
      <c r="O25" s="19">
        <v>1.0</v>
      </c>
      <c r="P25" s="19">
        <v>2.0</v>
      </c>
      <c r="Q25" s="19">
        <v>1.0</v>
      </c>
      <c r="R25" s="19">
        <v>1.0</v>
      </c>
      <c r="S25" s="19">
        <v>0.0</v>
      </c>
      <c r="T25" s="19">
        <v>0.0</v>
      </c>
      <c r="U25" s="19">
        <v>1.0</v>
      </c>
      <c r="V25" s="19">
        <v>2.0</v>
      </c>
      <c r="W25" s="19">
        <v>2.0</v>
      </c>
      <c r="X25" s="19">
        <v>1.0</v>
      </c>
      <c r="Y25" s="19">
        <v>0.0</v>
      </c>
      <c r="Z25" s="19">
        <v>1.0</v>
      </c>
      <c r="AA25" s="19">
        <v>4.0</v>
      </c>
      <c r="AB25" s="19">
        <v>0.0</v>
      </c>
      <c r="AC25" s="19">
        <v>1.0</v>
      </c>
      <c r="AD25" s="19">
        <v>1.0</v>
      </c>
      <c r="AE25" s="19">
        <v>0.0</v>
      </c>
      <c r="AF25" s="13">
        <f t="shared" si="3"/>
        <v>30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3.0</v>
      </c>
      <c r="G26" s="19">
        <v>2.0</v>
      </c>
      <c r="H26" s="19">
        <v>0.0</v>
      </c>
      <c r="I26" s="19">
        <v>1.0</v>
      </c>
      <c r="J26" s="19">
        <v>0.0</v>
      </c>
      <c r="K26" s="19">
        <v>1.0</v>
      </c>
      <c r="L26" s="19">
        <v>0.0</v>
      </c>
      <c r="M26" s="19">
        <v>1.0</v>
      </c>
      <c r="N26" s="19">
        <v>3.0</v>
      </c>
      <c r="O26" s="19">
        <v>0.0</v>
      </c>
      <c r="P26" s="19">
        <v>0.0</v>
      </c>
      <c r="Q26" s="19">
        <v>0.0</v>
      </c>
      <c r="R26" s="19">
        <v>1.0</v>
      </c>
      <c r="S26" s="19">
        <v>2.0</v>
      </c>
      <c r="T26" s="19">
        <v>0.0</v>
      </c>
      <c r="U26" s="19">
        <v>2.0</v>
      </c>
      <c r="V26" s="19">
        <v>0.0</v>
      </c>
      <c r="W26" s="19">
        <v>0.0</v>
      </c>
      <c r="X26" s="19">
        <v>3.0</v>
      </c>
      <c r="Y26" s="19">
        <v>0.0</v>
      </c>
      <c r="Z26" s="19">
        <v>0.0</v>
      </c>
      <c r="AA26" s="19">
        <v>3.0</v>
      </c>
      <c r="AB26" s="19">
        <v>0.0</v>
      </c>
      <c r="AC26" s="19">
        <v>2.0</v>
      </c>
      <c r="AD26" s="19">
        <v>2.0</v>
      </c>
      <c r="AE26" s="19">
        <v>0.0</v>
      </c>
      <c r="AF26" s="13">
        <f t="shared" si="3"/>
        <v>26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0</v>
      </c>
      <c r="F27" s="13">
        <f t="shared" si="6"/>
        <v>5</v>
      </c>
      <c r="G27" s="13">
        <f t="shared" si="6"/>
        <v>4</v>
      </c>
      <c r="H27" s="13">
        <f t="shared" si="6"/>
        <v>0</v>
      </c>
      <c r="I27" s="13">
        <f t="shared" si="6"/>
        <v>4</v>
      </c>
      <c r="J27" s="13">
        <f t="shared" si="6"/>
        <v>2</v>
      </c>
      <c r="K27" s="13">
        <f t="shared" si="6"/>
        <v>1</v>
      </c>
      <c r="L27" s="13">
        <f t="shared" si="6"/>
        <v>0</v>
      </c>
      <c r="M27" s="13">
        <f t="shared" si="6"/>
        <v>1</v>
      </c>
      <c r="N27" s="13">
        <f t="shared" si="6"/>
        <v>6</v>
      </c>
      <c r="O27" s="13">
        <f t="shared" si="6"/>
        <v>1</v>
      </c>
      <c r="P27" s="13">
        <f t="shared" si="6"/>
        <v>2</v>
      </c>
      <c r="Q27" s="13">
        <f t="shared" si="6"/>
        <v>1</v>
      </c>
      <c r="R27" s="13">
        <f t="shared" si="6"/>
        <v>2</v>
      </c>
      <c r="S27" s="13">
        <f t="shared" si="6"/>
        <v>2</v>
      </c>
      <c r="T27" s="13">
        <f t="shared" si="6"/>
        <v>0</v>
      </c>
      <c r="U27" s="13">
        <f t="shared" si="6"/>
        <v>3</v>
      </c>
      <c r="V27" s="13">
        <f t="shared" si="6"/>
        <v>2</v>
      </c>
      <c r="W27" s="13">
        <f t="shared" si="6"/>
        <v>2</v>
      </c>
      <c r="X27" s="13">
        <f t="shared" si="6"/>
        <v>4</v>
      </c>
      <c r="Y27" s="13">
        <f t="shared" si="6"/>
        <v>0</v>
      </c>
      <c r="Z27" s="13">
        <f t="shared" si="6"/>
        <v>1</v>
      </c>
      <c r="AA27" s="13">
        <f t="shared" si="6"/>
        <v>7</v>
      </c>
      <c r="AB27" s="13">
        <f t="shared" si="6"/>
        <v>0</v>
      </c>
      <c r="AC27" s="13">
        <f t="shared" si="6"/>
        <v>3</v>
      </c>
      <c r="AD27" s="13">
        <f t="shared" si="6"/>
        <v>3</v>
      </c>
      <c r="AE27" s="13">
        <f t="shared" si="6"/>
        <v>0</v>
      </c>
      <c r="AF27" s="13">
        <f t="shared" si="3"/>
        <v>56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104</v>
      </c>
      <c r="F28" s="13">
        <f t="shared" si="7"/>
        <v>107</v>
      </c>
      <c r="G28" s="13">
        <f t="shared" si="7"/>
        <v>102</v>
      </c>
      <c r="H28" s="13">
        <f t="shared" si="7"/>
        <v>102</v>
      </c>
      <c r="I28" s="13">
        <f t="shared" si="7"/>
        <v>94</v>
      </c>
      <c r="J28" s="13">
        <f t="shared" si="7"/>
        <v>101</v>
      </c>
      <c r="K28" s="13">
        <f t="shared" si="7"/>
        <v>108</v>
      </c>
      <c r="L28" s="13">
        <f t="shared" si="7"/>
        <v>103</v>
      </c>
      <c r="M28" s="13">
        <f t="shared" si="7"/>
        <v>86</v>
      </c>
      <c r="N28" s="13">
        <f t="shared" si="7"/>
        <v>105</v>
      </c>
      <c r="O28" s="13">
        <f t="shared" si="7"/>
        <v>99</v>
      </c>
      <c r="P28" s="13">
        <f t="shared" si="7"/>
        <v>98</v>
      </c>
      <c r="Q28" s="13">
        <f t="shared" si="7"/>
        <v>101</v>
      </c>
      <c r="R28" s="13">
        <f t="shared" si="7"/>
        <v>94</v>
      </c>
      <c r="S28" s="13">
        <f t="shared" si="7"/>
        <v>103</v>
      </c>
      <c r="T28" s="13">
        <f t="shared" si="7"/>
        <v>100</v>
      </c>
      <c r="U28" s="13">
        <f t="shared" si="7"/>
        <v>90</v>
      </c>
      <c r="V28" s="13">
        <f t="shared" si="7"/>
        <v>111</v>
      </c>
      <c r="W28" s="13">
        <f t="shared" si="7"/>
        <v>90</v>
      </c>
      <c r="X28" s="13">
        <f t="shared" si="7"/>
        <v>86</v>
      </c>
      <c r="Y28" s="13">
        <f t="shared" si="7"/>
        <v>94</v>
      </c>
      <c r="Z28" s="13">
        <f t="shared" si="7"/>
        <v>99</v>
      </c>
      <c r="AA28" s="13">
        <f t="shared" si="7"/>
        <v>109</v>
      </c>
      <c r="AB28" s="13">
        <f t="shared" si="7"/>
        <v>104</v>
      </c>
      <c r="AC28" s="13">
        <f t="shared" si="7"/>
        <v>124</v>
      </c>
      <c r="AD28" s="13">
        <f t="shared" si="7"/>
        <v>120</v>
      </c>
      <c r="AE28" s="13">
        <f t="shared" si="7"/>
        <v>110</v>
      </c>
      <c r="AF28" s="13">
        <f t="shared" si="3"/>
        <v>2744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105</v>
      </c>
      <c r="F29" s="13">
        <f t="shared" si="8"/>
        <v>120</v>
      </c>
      <c r="G29" s="13">
        <f t="shared" si="8"/>
        <v>108</v>
      </c>
      <c r="H29" s="13">
        <f t="shared" si="8"/>
        <v>88</v>
      </c>
      <c r="I29" s="13">
        <f t="shared" si="8"/>
        <v>96</v>
      </c>
      <c r="J29" s="13">
        <f t="shared" si="8"/>
        <v>107</v>
      </c>
      <c r="K29" s="13">
        <f t="shared" si="8"/>
        <v>109</v>
      </c>
      <c r="L29" s="13">
        <f t="shared" si="8"/>
        <v>96</v>
      </c>
      <c r="M29" s="13">
        <f t="shared" si="8"/>
        <v>104</v>
      </c>
      <c r="N29" s="13">
        <f t="shared" si="8"/>
        <v>105</v>
      </c>
      <c r="O29" s="13">
        <f t="shared" si="8"/>
        <v>102</v>
      </c>
      <c r="P29" s="13">
        <f t="shared" si="8"/>
        <v>112</v>
      </c>
      <c r="Q29" s="13">
        <f t="shared" si="8"/>
        <v>105</v>
      </c>
      <c r="R29" s="13">
        <f t="shared" si="8"/>
        <v>100</v>
      </c>
      <c r="S29" s="13">
        <f t="shared" si="8"/>
        <v>106</v>
      </c>
      <c r="T29" s="13">
        <f t="shared" si="8"/>
        <v>101</v>
      </c>
      <c r="U29" s="13">
        <f t="shared" si="8"/>
        <v>95</v>
      </c>
      <c r="V29" s="13">
        <f t="shared" si="8"/>
        <v>95</v>
      </c>
      <c r="W29" s="13">
        <f t="shared" si="8"/>
        <v>105</v>
      </c>
      <c r="X29" s="13">
        <f t="shared" si="8"/>
        <v>108</v>
      </c>
      <c r="Y29" s="13">
        <f t="shared" si="8"/>
        <v>98</v>
      </c>
      <c r="Z29" s="13">
        <f t="shared" si="8"/>
        <v>105</v>
      </c>
      <c r="AA29" s="13">
        <f t="shared" si="8"/>
        <v>115</v>
      </c>
      <c r="AB29" s="13">
        <f t="shared" si="8"/>
        <v>123</v>
      </c>
      <c r="AC29" s="13">
        <f t="shared" si="8"/>
        <v>125</v>
      </c>
      <c r="AD29" s="13">
        <f t="shared" si="8"/>
        <v>129</v>
      </c>
      <c r="AE29" s="13">
        <f t="shared" si="8"/>
        <v>113</v>
      </c>
      <c r="AF29" s="13">
        <f t="shared" si="3"/>
        <v>2875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209</v>
      </c>
      <c r="F30" s="13">
        <f t="shared" si="9"/>
        <v>227</v>
      </c>
      <c r="G30" s="13">
        <f t="shared" si="9"/>
        <v>210</v>
      </c>
      <c r="H30" s="13">
        <f t="shared" si="9"/>
        <v>190</v>
      </c>
      <c r="I30" s="13">
        <f t="shared" si="9"/>
        <v>190</v>
      </c>
      <c r="J30" s="13">
        <f t="shared" si="9"/>
        <v>208</v>
      </c>
      <c r="K30" s="13">
        <f t="shared" si="9"/>
        <v>217</v>
      </c>
      <c r="L30" s="13">
        <f t="shared" si="9"/>
        <v>199</v>
      </c>
      <c r="M30" s="13">
        <f t="shared" si="9"/>
        <v>190</v>
      </c>
      <c r="N30" s="13">
        <f t="shared" si="9"/>
        <v>210</v>
      </c>
      <c r="O30" s="13">
        <f t="shared" si="9"/>
        <v>201</v>
      </c>
      <c r="P30" s="13">
        <f t="shared" si="9"/>
        <v>210</v>
      </c>
      <c r="Q30" s="13">
        <f t="shared" si="9"/>
        <v>206</v>
      </c>
      <c r="R30" s="13">
        <f t="shared" si="9"/>
        <v>194</v>
      </c>
      <c r="S30" s="13">
        <f t="shared" si="9"/>
        <v>209</v>
      </c>
      <c r="T30" s="13">
        <f t="shared" si="9"/>
        <v>201</v>
      </c>
      <c r="U30" s="13">
        <f t="shared" si="9"/>
        <v>185</v>
      </c>
      <c r="V30" s="13">
        <f t="shared" si="9"/>
        <v>206</v>
      </c>
      <c r="W30" s="13">
        <f t="shared" si="9"/>
        <v>195</v>
      </c>
      <c r="X30" s="13">
        <f t="shared" si="9"/>
        <v>194</v>
      </c>
      <c r="Y30" s="13">
        <f t="shared" si="9"/>
        <v>192</v>
      </c>
      <c r="Z30" s="13">
        <f t="shared" si="9"/>
        <v>204</v>
      </c>
      <c r="AA30" s="13">
        <f t="shared" si="9"/>
        <v>224</v>
      </c>
      <c r="AB30" s="13">
        <f t="shared" si="9"/>
        <v>227</v>
      </c>
      <c r="AC30" s="13">
        <f t="shared" si="9"/>
        <v>249</v>
      </c>
      <c r="AD30" s="13">
        <f t="shared" si="9"/>
        <v>249</v>
      </c>
      <c r="AE30" s="13">
        <f t="shared" si="9"/>
        <v>223</v>
      </c>
      <c r="AF30" s="13">
        <f t="shared" si="3"/>
        <v>5619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19"/>
      <c r="AC31" s="67"/>
      <c r="AD31" s="19"/>
      <c r="AE31" s="19"/>
      <c r="AF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0"/>
      <c r="O32" s="13"/>
      <c r="P32" s="13"/>
      <c r="Q32" s="13"/>
      <c r="R32" s="13"/>
      <c r="S32" s="70"/>
      <c r="T32" s="13"/>
      <c r="U32" s="13"/>
      <c r="V32" s="13"/>
      <c r="W32" s="13"/>
      <c r="X32" s="70"/>
      <c r="Y32" s="13"/>
      <c r="Z32" s="13"/>
      <c r="AA32" s="13"/>
      <c r="AB32" s="13"/>
      <c r="AC32" s="70"/>
      <c r="AD32" s="13"/>
      <c r="AE32" s="13"/>
      <c r="AF32" s="68"/>
    </row>
    <row r="33" ht="12.75" customHeight="1">
      <c r="A33" s="19">
        <v>1.0</v>
      </c>
      <c r="B33" s="20" t="s">
        <v>27</v>
      </c>
      <c r="C33" s="15"/>
      <c r="D33" s="16"/>
      <c r="E33" s="19">
        <v>277.0</v>
      </c>
      <c r="F33" s="19">
        <v>265.0</v>
      </c>
      <c r="G33" s="19">
        <v>277.0</v>
      </c>
      <c r="H33" s="19">
        <v>262.0</v>
      </c>
      <c r="I33" s="19">
        <v>269.0</v>
      </c>
      <c r="J33" s="19">
        <v>272.0</v>
      </c>
      <c r="K33" s="19">
        <v>270.0</v>
      </c>
      <c r="L33" s="19">
        <v>267.0</v>
      </c>
      <c r="M33" s="19">
        <v>275.0</v>
      </c>
      <c r="N33" s="19">
        <v>266.0</v>
      </c>
      <c r="O33" s="19">
        <v>266.0</v>
      </c>
      <c r="P33" s="19">
        <v>282.0</v>
      </c>
      <c r="Q33" s="19">
        <v>274.0</v>
      </c>
      <c r="R33" s="19">
        <v>275.0</v>
      </c>
      <c r="S33" s="19">
        <v>276.0</v>
      </c>
      <c r="T33" s="19">
        <v>273.0</v>
      </c>
      <c r="U33" s="19">
        <v>233.0</v>
      </c>
      <c r="V33" s="19">
        <v>247.0</v>
      </c>
      <c r="W33" s="19">
        <v>252.0</v>
      </c>
      <c r="X33" s="19">
        <v>248.0</v>
      </c>
      <c r="Y33" s="19">
        <v>249.0</v>
      </c>
      <c r="Z33" s="19">
        <v>241.0</v>
      </c>
      <c r="AA33" s="19">
        <v>274.0</v>
      </c>
      <c r="AB33" s="19">
        <v>285.0</v>
      </c>
      <c r="AC33" s="19">
        <v>295.0</v>
      </c>
      <c r="AD33" s="19">
        <v>301.0</v>
      </c>
      <c r="AE33" s="19">
        <v>300.0</v>
      </c>
      <c r="AF33" s="13">
        <f t="shared" ref="AF33:AF36" si="10">SUM(E33:AE33)</f>
        <v>7271</v>
      </c>
    </row>
    <row r="34" ht="12.75" customHeight="1">
      <c r="A34" s="19">
        <v>2.0</v>
      </c>
      <c r="B34" s="20" t="s">
        <v>28</v>
      </c>
      <c r="C34" s="15"/>
      <c r="D34" s="16"/>
      <c r="E34" s="13">
        <v>209.0</v>
      </c>
      <c r="F34" s="13">
        <v>227.0</v>
      </c>
      <c r="G34" s="13">
        <v>210.0</v>
      </c>
      <c r="H34" s="13">
        <v>190.0</v>
      </c>
      <c r="I34" s="13">
        <v>190.0</v>
      </c>
      <c r="J34" s="13">
        <v>208.0</v>
      </c>
      <c r="K34" s="13">
        <v>217.0</v>
      </c>
      <c r="L34" s="13">
        <v>199.0</v>
      </c>
      <c r="M34" s="13">
        <v>190.0</v>
      </c>
      <c r="N34" s="13">
        <v>210.0</v>
      </c>
      <c r="O34" s="13">
        <v>201.0</v>
      </c>
      <c r="P34" s="13">
        <v>210.0</v>
      </c>
      <c r="Q34" s="13">
        <v>206.0</v>
      </c>
      <c r="R34" s="13">
        <v>194.0</v>
      </c>
      <c r="S34" s="13">
        <v>209.0</v>
      </c>
      <c r="T34" s="13">
        <v>201.0</v>
      </c>
      <c r="U34" s="13">
        <v>185.0</v>
      </c>
      <c r="V34" s="13">
        <v>206.0</v>
      </c>
      <c r="W34" s="13">
        <v>195.0</v>
      </c>
      <c r="X34" s="13">
        <v>194.0</v>
      </c>
      <c r="Y34" s="13">
        <v>192.0</v>
      </c>
      <c r="Z34" s="13">
        <v>204.0</v>
      </c>
      <c r="AA34" s="13">
        <v>224.0</v>
      </c>
      <c r="AB34" s="13">
        <v>227.0</v>
      </c>
      <c r="AC34" s="13">
        <v>249.0</v>
      </c>
      <c r="AD34" s="13">
        <v>249.0</v>
      </c>
      <c r="AE34" s="13">
        <v>223.0</v>
      </c>
      <c r="AF34" s="13">
        <f t="shared" si="10"/>
        <v>5619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3.0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2.0</v>
      </c>
      <c r="R35" s="19">
        <v>0.0</v>
      </c>
      <c r="S35" s="19">
        <v>1.0</v>
      </c>
      <c r="T35" s="19">
        <v>0.0</v>
      </c>
      <c r="U35" s="19">
        <v>0.0</v>
      </c>
      <c r="V35" s="19">
        <v>1.0</v>
      </c>
      <c r="W35" s="19">
        <v>0.0</v>
      </c>
      <c r="X35" s="19">
        <v>0.0</v>
      </c>
      <c r="Y35" s="19">
        <v>0.0</v>
      </c>
      <c r="Z35" s="19">
        <v>0.0</v>
      </c>
      <c r="AA35" s="19">
        <v>1.0</v>
      </c>
      <c r="AB35" s="19">
        <v>0.0</v>
      </c>
      <c r="AC35" s="19">
        <v>1.0</v>
      </c>
      <c r="AD35" s="19">
        <v>0.0</v>
      </c>
      <c r="AE35" s="19">
        <v>2.0</v>
      </c>
      <c r="AF35" s="13">
        <f t="shared" si="10"/>
        <v>11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68</v>
      </c>
      <c r="F36" s="13">
        <f t="shared" si="11"/>
        <v>38</v>
      </c>
      <c r="G36" s="13">
        <f t="shared" si="11"/>
        <v>64</v>
      </c>
      <c r="H36" s="13">
        <f t="shared" si="11"/>
        <v>72</v>
      </c>
      <c r="I36" s="13">
        <f t="shared" si="11"/>
        <v>79</v>
      </c>
      <c r="J36" s="13">
        <f t="shared" si="11"/>
        <v>64</v>
      </c>
      <c r="K36" s="13">
        <f t="shared" si="11"/>
        <v>53</v>
      </c>
      <c r="L36" s="13">
        <f t="shared" si="11"/>
        <v>68</v>
      </c>
      <c r="M36" s="13">
        <f t="shared" si="11"/>
        <v>85</v>
      </c>
      <c r="N36" s="13">
        <f t="shared" si="11"/>
        <v>56</v>
      </c>
      <c r="O36" s="13">
        <f t="shared" si="11"/>
        <v>65</v>
      </c>
      <c r="P36" s="13">
        <f t="shared" si="11"/>
        <v>72</v>
      </c>
      <c r="Q36" s="13">
        <f t="shared" si="11"/>
        <v>66</v>
      </c>
      <c r="R36" s="13">
        <f t="shared" si="11"/>
        <v>81</v>
      </c>
      <c r="S36" s="13">
        <f t="shared" si="11"/>
        <v>66</v>
      </c>
      <c r="T36" s="13">
        <f t="shared" si="11"/>
        <v>72</v>
      </c>
      <c r="U36" s="13">
        <f t="shared" si="11"/>
        <v>48</v>
      </c>
      <c r="V36" s="13">
        <f t="shared" si="11"/>
        <v>40</v>
      </c>
      <c r="W36" s="13">
        <f t="shared" si="11"/>
        <v>57</v>
      </c>
      <c r="X36" s="13">
        <f t="shared" si="11"/>
        <v>54</v>
      </c>
      <c r="Y36" s="13">
        <f t="shared" si="11"/>
        <v>57</v>
      </c>
      <c r="Z36" s="13">
        <f t="shared" si="11"/>
        <v>37</v>
      </c>
      <c r="AA36" s="13">
        <f t="shared" si="11"/>
        <v>49</v>
      </c>
      <c r="AB36" s="13">
        <f t="shared" si="11"/>
        <v>58</v>
      </c>
      <c r="AC36" s="13">
        <f t="shared" si="11"/>
        <v>45</v>
      </c>
      <c r="AD36" s="13">
        <f t="shared" si="11"/>
        <v>52</v>
      </c>
      <c r="AE36" s="13">
        <f t="shared" si="11"/>
        <v>75</v>
      </c>
      <c r="AF36" s="13">
        <f t="shared" si="10"/>
        <v>1641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19"/>
      <c r="AB37" s="19"/>
      <c r="AC37" s="67"/>
      <c r="AD37" s="19"/>
      <c r="AE37" s="19"/>
      <c r="AF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0"/>
      <c r="O38" s="13"/>
      <c r="P38" s="13"/>
      <c r="Q38" s="13"/>
      <c r="R38" s="13"/>
      <c r="S38" s="70"/>
      <c r="T38" s="13"/>
      <c r="U38" s="13"/>
      <c r="V38" s="13"/>
      <c r="W38" s="13"/>
      <c r="X38" s="70"/>
      <c r="Y38" s="13"/>
      <c r="Z38" s="13"/>
      <c r="AA38" s="13"/>
      <c r="AB38" s="13"/>
      <c r="AC38" s="70"/>
      <c r="AD38" s="13"/>
      <c r="AE38" s="13"/>
      <c r="AF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1.0</v>
      </c>
      <c r="J39" s="19">
        <v>0.0</v>
      </c>
      <c r="K39" s="19">
        <v>1.0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3">
        <f t="shared" ref="AF39:AF41" si="12">SUM(E39:AE39)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1.0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1.0</v>
      </c>
      <c r="AC40" s="19">
        <v>0.0</v>
      </c>
      <c r="AD40" s="19">
        <v>0.0</v>
      </c>
      <c r="AE40" s="19">
        <v>0.0</v>
      </c>
      <c r="AF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1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9"/>
      <c r="AB42" s="19"/>
      <c r="AC42" s="67"/>
      <c r="AD42" s="19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0"/>
      <c r="O43" s="13"/>
      <c r="P43" s="13"/>
      <c r="Q43" s="13"/>
      <c r="R43" s="13"/>
      <c r="S43" s="70"/>
      <c r="T43" s="13"/>
      <c r="U43" s="13"/>
      <c r="V43" s="13"/>
      <c r="W43" s="13"/>
      <c r="X43" s="70"/>
      <c r="Y43" s="13"/>
      <c r="Z43" s="13"/>
      <c r="AA43" s="13"/>
      <c r="AB43" s="13"/>
      <c r="AC43" s="70"/>
      <c r="AD43" s="13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9"/>
      <c r="AC44" s="67"/>
      <c r="AD44" s="19"/>
      <c r="AE44" s="19"/>
      <c r="AF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5.0</v>
      </c>
      <c r="F45" s="19">
        <v>5.0</v>
      </c>
      <c r="G45" s="19">
        <v>4.0</v>
      </c>
      <c r="H45" s="19">
        <v>1.0</v>
      </c>
      <c r="I45" s="19">
        <v>8.0</v>
      </c>
      <c r="J45" s="19">
        <v>7.0</v>
      </c>
      <c r="K45" s="19">
        <v>8.0</v>
      </c>
      <c r="L45" s="19">
        <v>9.0</v>
      </c>
      <c r="M45" s="19">
        <v>12.0</v>
      </c>
      <c r="N45" s="19">
        <v>9.0</v>
      </c>
      <c r="O45" s="19">
        <v>8.0</v>
      </c>
      <c r="P45" s="19">
        <v>4.0</v>
      </c>
      <c r="Q45" s="19">
        <v>4.0</v>
      </c>
      <c r="R45" s="19">
        <v>9.0</v>
      </c>
      <c r="S45" s="19">
        <v>16.0</v>
      </c>
      <c r="T45" s="19">
        <v>8.0</v>
      </c>
      <c r="U45" s="19">
        <v>9.0</v>
      </c>
      <c r="V45" s="19">
        <v>8.0</v>
      </c>
      <c r="W45" s="19">
        <v>4.0</v>
      </c>
      <c r="X45" s="19">
        <v>1.0</v>
      </c>
      <c r="Y45" s="19">
        <v>7.0</v>
      </c>
      <c r="Z45" s="19">
        <v>8.0</v>
      </c>
      <c r="AA45" s="19">
        <v>4.0</v>
      </c>
      <c r="AB45" s="19">
        <v>4.0</v>
      </c>
      <c r="AC45" s="19">
        <v>4.0</v>
      </c>
      <c r="AD45" s="19">
        <v>3.0</v>
      </c>
      <c r="AE45" s="19">
        <v>3.0</v>
      </c>
      <c r="AF45" s="13">
        <f t="shared" ref="AF45:AF55" si="14">SUM(E45:AE45)</f>
        <v>172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24.0</v>
      </c>
      <c r="F46" s="19">
        <v>46.0</v>
      </c>
      <c r="G46" s="19">
        <v>28.0</v>
      </c>
      <c r="H46" s="19">
        <v>12.0</v>
      </c>
      <c r="I46" s="19">
        <v>9.0</v>
      </c>
      <c r="J46" s="19">
        <v>15.0</v>
      </c>
      <c r="K46" s="19">
        <v>23.0</v>
      </c>
      <c r="L46" s="19">
        <v>15.0</v>
      </c>
      <c r="M46" s="19">
        <v>40.0</v>
      </c>
      <c r="N46" s="19">
        <v>34.0</v>
      </c>
      <c r="O46" s="19">
        <v>19.0</v>
      </c>
      <c r="P46" s="19">
        <v>10.0</v>
      </c>
      <c r="Q46" s="19">
        <v>22.0</v>
      </c>
      <c r="R46" s="19">
        <v>10.0</v>
      </c>
      <c r="S46" s="19">
        <v>34.0</v>
      </c>
      <c r="T46" s="19">
        <v>34.0</v>
      </c>
      <c r="U46" s="19">
        <v>15.0</v>
      </c>
      <c r="V46" s="19">
        <v>21.0</v>
      </c>
      <c r="W46" s="19">
        <v>10.0</v>
      </c>
      <c r="X46" s="19">
        <v>4.0</v>
      </c>
      <c r="Y46" s="19">
        <v>17.0</v>
      </c>
      <c r="Z46" s="19">
        <v>27.0</v>
      </c>
      <c r="AA46" s="19">
        <v>13.0</v>
      </c>
      <c r="AB46" s="19">
        <v>13.0</v>
      </c>
      <c r="AC46" s="19">
        <v>12.0</v>
      </c>
      <c r="AD46" s="19">
        <v>2.0</v>
      </c>
      <c r="AE46" s="19">
        <v>4.0</v>
      </c>
      <c r="AF46" s="13">
        <f t="shared" si="14"/>
        <v>513</v>
      </c>
    </row>
    <row r="47" ht="12.75" customHeight="1">
      <c r="A47" s="18"/>
      <c r="B47" s="55">
        <v>2.0</v>
      </c>
      <c r="C47" s="50" t="s">
        <v>41</v>
      </c>
      <c r="D47" s="16"/>
      <c r="E47" s="19">
        <v>8.0</v>
      </c>
      <c r="F47" s="19">
        <v>8.0</v>
      </c>
      <c r="G47" s="19">
        <v>13.0</v>
      </c>
      <c r="H47" s="19">
        <v>9.0</v>
      </c>
      <c r="I47" s="19">
        <v>16.0</v>
      </c>
      <c r="J47" s="19">
        <v>21.0</v>
      </c>
      <c r="K47" s="19">
        <v>2.0</v>
      </c>
      <c r="L47" s="19">
        <v>10.0</v>
      </c>
      <c r="M47" s="19">
        <v>14.0</v>
      </c>
      <c r="N47" s="19">
        <v>15.0</v>
      </c>
      <c r="O47" s="19">
        <v>5.0</v>
      </c>
      <c r="P47" s="19">
        <v>11.0</v>
      </c>
      <c r="Q47" s="19">
        <v>2.0</v>
      </c>
      <c r="R47" s="19">
        <v>5.0</v>
      </c>
      <c r="S47" s="19">
        <v>6.0</v>
      </c>
      <c r="T47" s="19">
        <v>3.0</v>
      </c>
      <c r="U47" s="19">
        <v>17.0</v>
      </c>
      <c r="V47" s="19">
        <v>4.0</v>
      </c>
      <c r="W47" s="19">
        <v>1.0</v>
      </c>
      <c r="X47" s="19">
        <v>0.0</v>
      </c>
      <c r="Y47" s="19">
        <v>3.0</v>
      </c>
      <c r="Z47" s="19">
        <v>7.0</v>
      </c>
      <c r="AA47" s="19">
        <v>4.0</v>
      </c>
      <c r="AB47" s="19">
        <v>2.0</v>
      </c>
      <c r="AC47" s="19">
        <v>1.0</v>
      </c>
      <c r="AD47" s="19">
        <v>2.0</v>
      </c>
      <c r="AE47" s="19">
        <v>2.0</v>
      </c>
      <c r="AF47" s="13">
        <f t="shared" si="14"/>
        <v>191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2.0</v>
      </c>
      <c r="G48" s="19">
        <v>3.0</v>
      </c>
      <c r="H48" s="19">
        <v>1.0</v>
      </c>
      <c r="I48" s="19">
        <v>2.0</v>
      </c>
      <c r="J48" s="19">
        <v>2.0</v>
      </c>
      <c r="K48" s="19">
        <v>1.0</v>
      </c>
      <c r="L48" s="19">
        <v>2.0</v>
      </c>
      <c r="M48" s="19">
        <v>2.0</v>
      </c>
      <c r="N48" s="19">
        <v>5.0</v>
      </c>
      <c r="O48" s="19">
        <v>1.0</v>
      </c>
      <c r="P48" s="19">
        <v>1.0</v>
      </c>
      <c r="Q48" s="19">
        <v>1.0</v>
      </c>
      <c r="R48" s="19">
        <v>1.0</v>
      </c>
      <c r="S48" s="19">
        <v>2.0</v>
      </c>
      <c r="T48" s="19">
        <v>3.0</v>
      </c>
      <c r="U48" s="19">
        <v>3.0</v>
      </c>
      <c r="V48" s="19">
        <v>1.0</v>
      </c>
      <c r="W48" s="19">
        <v>0.0</v>
      </c>
      <c r="X48" s="19">
        <v>0.0</v>
      </c>
      <c r="Y48" s="19">
        <v>2.0</v>
      </c>
      <c r="Z48" s="19">
        <v>6.0</v>
      </c>
      <c r="AA48" s="19">
        <v>1.0</v>
      </c>
      <c r="AB48" s="19">
        <v>0.0</v>
      </c>
      <c r="AC48" s="19">
        <v>0.0</v>
      </c>
      <c r="AD48" s="19">
        <v>2.0</v>
      </c>
      <c r="AE48" s="19">
        <v>2.0</v>
      </c>
      <c r="AF48" s="13">
        <f t="shared" si="14"/>
        <v>47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1.0</v>
      </c>
      <c r="I49" s="19">
        <v>1.0</v>
      </c>
      <c r="J49" s="19">
        <v>1.0</v>
      </c>
      <c r="K49" s="19">
        <v>1.0</v>
      </c>
      <c r="L49" s="19">
        <v>1.0</v>
      </c>
      <c r="M49" s="19">
        <v>1.0</v>
      </c>
      <c r="N49" s="19">
        <v>0.0</v>
      </c>
      <c r="O49" s="19">
        <v>1.0</v>
      </c>
      <c r="P49" s="19">
        <v>0.0</v>
      </c>
      <c r="Q49" s="19">
        <v>2.0</v>
      </c>
      <c r="R49" s="19">
        <v>1.0</v>
      </c>
      <c r="S49" s="19">
        <v>2.0</v>
      </c>
      <c r="T49" s="19">
        <v>0.0</v>
      </c>
      <c r="U49" s="19">
        <v>0.0</v>
      </c>
      <c r="V49" s="19">
        <v>0.0</v>
      </c>
      <c r="W49" s="19">
        <v>0.0</v>
      </c>
      <c r="X49" s="19">
        <v>0.0</v>
      </c>
      <c r="Y49" s="19">
        <v>1.0</v>
      </c>
      <c r="Z49" s="19">
        <v>0.0</v>
      </c>
      <c r="AA49" s="19">
        <v>0.0</v>
      </c>
      <c r="AB49" s="19">
        <v>0.0</v>
      </c>
      <c r="AC49" s="19">
        <v>0.0</v>
      </c>
      <c r="AD49" s="19">
        <v>2.0</v>
      </c>
      <c r="AE49" s="19">
        <v>0.0</v>
      </c>
      <c r="AF49" s="13">
        <f t="shared" si="14"/>
        <v>15</v>
      </c>
    </row>
    <row r="50" ht="12.75" customHeight="1">
      <c r="A50" s="18"/>
      <c r="B50" s="55">
        <v>5.0</v>
      </c>
      <c r="C50" s="50" t="s">
        <v>44</v>
      </c>
      <c r="D50" s="16"/>
      <c r="E50" s="19">
        <v>2.0</v>
      </c>
      <c r="F50" s="19">
        <v>3.0</v>
      </c>
      <c r="G50" s="19">
        <v>1.0</v>
      </c>
      <c r="H50" s="19">
        <v>0.0</v>
      </c>
      <c r="I50" s="19">
        <v>1.0</v>
      </c>
      <c r="J50" s="19">
        <v>0.0</v>
      </c>
      <c r="K50" s="19">
        <v>1.0</v>
      </c>
      <c r="L50" s="19">
        <v>0.0</v>
      </c>
      <c r="M50" s="19">
        <v>0.0</v>
      </c>
      <c r="N50" s="19">
        <v>2.0</v>
      </c>
      <c r="O50" s="19">
        <v>2.0</v>
      </c>
      <c r="P50" s="19">
        <v>0.0</v>
      </c>
      <c r="Q50" s="19">
        <v>0.0</v>
      </c>
      <c r="R50" s="19">
        <v>0.0</v>
      </c>
      <c r="S50" s="19">
        <v>0.0</v>
      </c>
      <c r="T50" s="19">
        <v>3.0</v>
      </c>
      <c r="U50" s="19">
        <v>2.0</v>
      </c>
      <c r="V50" s="19">
        <v>1.0</v>
      </c>
      <c r="W50" s="19">
        <v>0.0</v>
      </c>
      <c r="X50" s="19">
        <v>0.0</v>
      </c>
      <c r="Y50" s="19">
        <v>0.0</v>
      </c>
      <c r="Z50" s="19">
        <v>0.0</v>
      </c>
      <c r="AA50" s="19">
        <v>0.0</v>
      </c>
      <c r="AB50" s="19">
        <v>0.0</v>
      </c>
      <c r="AC50" s="19">
        <v>0.0</v>
      </c>
      <c r="AD50" s="19">
        <v>0.0</v>
      </c>
      <c r="AE50" s="19">
        <v>0.0</v>
      </c>
      <c r="AF50" s="13">
        <f t="shared" si="14"/>
        <v>18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3.0</v>
      </c>
      <c r="G51" s="19">
        <v>0.0</v>
      </c>
      <c r="H51" s="19">
        <v>0.0</v>
      </c>
      <c r="I51" s="19">
        <v>1.0</v>
      </c>
      <c r="J51" s="19">
        <v>1.0</v>
      </c>
      <c r="K51" s="19">
        <v>0.0</v>
      </c>
      <c r="L51" s="19">
        <v>1.0</v>
      </c>
      <c r="M51" s="19">
        <v>1.0</v>
      </c>
      <c r="N51" s="19">
        <v>1.0</v>
      </c>
      <c r="O51" s="19">
        <v>1.0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9">
        <v>2.0</v>
      </c>
      <c r="AA51" s="19">
        <v>0.0</v>
      </c>
      <c r="AB51" s="19">
        <v>2.0</v>
      </c>
      <c r="AC51" s="19">
        <v>0.0</v>
      </c>
      <c r="AD51" s="19">
        <v>0.0</v>
      </c>
      <c r="AE51" s="19">
        <v>1.0</v>
      </c>
      <c r="AF51" s="13">
        <f t="shared" si="14"/>
        <v>14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2.0</v>
      </c>
      <c r="O52" s="19">
        <v>0.0</v>
      </c>
      <c r="P52" s="19">
        <v>0.0</v>
      </c>
      <c r="Q52" s="19">
        <v>0.0</v>
      </c>
      <c r="R52" s="19">
        <v>1.0</v>
      </c>
      <c r="S52" s="19">
        <v>1.0</v>
      </c>
      <c r="T52" s="19">
        <v>0.0</v>
      </c>
      <c r="U52" s="19">
        <v>0.0</v>
      </c>
      <c r="V52" s="19">
        <v>2.0</v>
      </c>
      <c r="W52" s="19">
        <v>0.0</v>
      </c>
      <c r="X52" s="19">
        <v>0.0</v>
      </c>
      <c r="Y52" s="19">
        <v>0.0</v>
      </c>
      <c r="Z52" s="19">
        <v>0.0</v>
      </c>
      <c r="AA52" s="19">
        <v>2.0</v>
      </c>
      <c r="AB52" s="19">
        <v>0.0</v>
      </c>
      <c r="AC52" s="19">
        <v>0.0</v>
      </c>
      <c r="AD52" s="19">
        <v>0.0</v>
      </c>
      <c r="AE52" s="19">
        <v>0.0</v>
      </c>
      <c r="AF52" s="13">
        <f t="shared" si="14"/>
        <v>8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3">
        <f t="shared" si="14"/>
        <v>0</v>
      </c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AE55" si="15">SUM(E45:E52)</f>
        <v>40</v>
      </c>
      <c r="F55" s="13">
        <f t="shared" si="15"/>
        <v>67</v>
      </c>
      <c r="G55" s="13">
        <f t="shared" si="15"/>
        <v>49</v>
      </c>
      <c r="H55" s="13">
        <f t="shared" si="15"/>
        <v>24</v>
      </c>
      <c r="I55" s="13">
        <f t="shared" si="15"/>
        <v>38</v>
      </c>
      <c r="J55" s="13">
        <f t="shared" si="15"/>
        <v>47</v>
      </c>
      <c r="K55" s="13">
        <f t="shared" si="15"/>
        <v>36</v>
      </c>
      <c r="L55" s="13">
        <f t="shared" si="15"/>
        <v>38</v>
      </c>
      <c r="M55" s="13">
        <f t="shared" si="15"/>
        <v>70</v>
      </c>
      <c r="N55" s="13">
        <f t="shared" si="15"/>
        <v>68</v>
      </c>
      <c r="O55" s="13">
        <f t="shared" si="15"/>
        <v>37</v>
      </c>
      <c r="P55" s="13">
        <f t="shared" si="15"/>
        <v>26</v>
      </c>
      <c r="Q55" s="13">
        <f t="shared" si="15"/>
        <v>31</v>
      </c>
      <c r="R55" s="13">
        <f t="shared" si="15"/>
        <v>27</v>
      </c>
      <c r="S55" s="13">
        <f t="shared" si="15"/>
        <v>61</v>
      </c>
      <c r="T55" s="13">
        <f t="shared" si="15"/>
        <v>51</v>
      </c>
      <c r="U55" s="13">
        <f t="shared" si="15"/>
        <v>46</v>
      </c>
      <c r="V55" s="13">
        <f t="shared" si="15"/>
        <v>37</v>
      </c>
      <c r="W55" s="13">
        <f t="shared" si="15"/>
        <v>15</v>
      </c>
      <c r="X55" s="13">
        <f t="shared" si="15"/>
        <v>5</v>
      </c>
      <c r="Y55" s="13">
        <f t="shared" si="15"/>
        <v>30</v>
      </c>
      <c r="Z55" s="13">
        <f t="shared" si="15"/>
        <v>50</v>
      </c>
      <c r="AA55" s="13">
        <f t="shared" si="15"/>
        <v>24</v>
      </c>
      <c r="AB55" s="13">
        <f t="shared" si="15"/>
        <v>21</v>
      </c>
      <c r="AC55" s="13">
        <f t="shared" si="15"/>
        <v>17</v>
      </c>
      <c r="AD55" s="13">
        <f t="shared" si="15"/>
        <v>11</v>
      </c>
      <c r="AE55" s="13">
        <f t="shared" si="15"/>
        <v>12</v>
      </c>
      <c r="AF55" s="13">
        <f t="shared" si="14"/>
        <v>978</v>
      </c>
    </row>
    <row r="56" ht="12.75" customHeight="1">
      <c r="A56" s="45"/>
      <c r="B56" s="44"/>
      <c r="C56" s="44"/>
      <c r="D56" s="44"/>
      <c r="E56" s="44"/>
      <c r="AF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5.0</v>
      </c>
      <c r="F57" s="19">
        <v>12.0</v>
      </c>
      <c r="G57" s="19">
        <v>9.0</v>
      </c>
      <c r="H57" s="19">
        <v>12.0</v>
      </c>
      <c r="I57" s="19">
        <v>2.0</v>
      </c>
      <c r="J57" s="19">
        <v>5.0</v>
      </c>
      <c r="K57" s="19">
        <v>4.0</v>
      </c>
      <c r="L57" s="19">
        <v>3.0</v>
      </c>
      <c r="M57" s="19">
        <v>1.0</v>
      </c>
      <c r="N57" s="19">
        <v>9.0</v>
      </c>
      <c r="O57" s="19">
        <v>9.0</v>
      </c>
      <c r="P57" s="19">
        <v>8.0</v>
      </c>
      <c r="Q57" s="19">
        <v>11.0</v>
      </c>
      <c r="R57" s="19">
        <v>12.0</v>
      </c>
      <c r="S57" s="19">
        <v>12.0</v>
      </c>
      <c r="T57" s="19">
        <v>10.0</v>
      </c>
      <c r="U57" s="19">
        <v>4.0</v>
      </c>
      <c r="V57" s="19">
        <v>12.0</v>
      </c>
      <c r="W57" s="19">
        <v>6.0</v>
      </c>
      <c r="X57" s="19">
        <v>5.0</v>
      </c>
      <c r="Y57" s="19">
        <v>8.0</v>
      </c>
      <c r="Z57" s="19">
        <v>7.0</v>
      </c>
      <c r="AA57" s="19">
        <v>14.0</v>
      </c>
      <c r="AB57" s="19">
        <v>13.0</v>
      </c>
      <c r="AC57" s="19">
        <v>7.0</v>
      </c>
      <c r="AD57" s="19">
        <v>18.0</v>
      </c>
      <c r="AE57" s="19">
        <v>8.0</v>
      </c>
      <c r="AF57" s="13">
        <f t="shared" ref="AF57:AF67" si="16">SUM(E57:AE57)</f>
        <v>226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5.0</v>
      </c>
      <c r="F58" s="19">
        <v>10.0</v>
      </c>
      <c r="G58" s="19">
        <v>5.0</v>
      </c>
      <c r="H58" s="19">
        <v>7.0</v>
      </c>
      <c r="I58" s="19">
        <v>3.0</v>
      </c>
      <c r="J58" s="19">
        <v>2.0</v>
      </c>
      <c r="K58" s="19">
        <v>2.0</v>
      </c>
      <c r="L58" s="19">
        <v>2.0</v>
      </c>
      <c r="M58" s="19">
        <v>2.0</v>
      </c>
      <c r="N58" s="19">
        <v>2.0</v>
      </c>
      <c r="O58" s="19">
        <v>4.0</v>
      </c>
      <c r="P58" s="19">
        <v>7.0</v>
      </c>
      <c r="Q58" s="19">
        <v>4.0</v>
      </c>
      <c r="R58" s="19">
        <v>3.0</v>
      </c>
      <c r="S58" s="19">
        <v>7.0</v>
      </c>
      <c r="T58" s="19">
        <v>4.0</v>
      </c>
      <c r="U58" s="19">
        <v>7.0</v>
      </c>
      <c r="V58" s="19">
        <v>10.0</v>
      </c>
      <c r="W58" s="19">
        <v>5.0</v>
      </c>
      <c r="X58" s="19">
        <v>2.0</v>
      </c>
      <c r="Y58" s="19">
        <v>1.0</v>
      </c>
      <c r="Z58" s="19">
        <v>2.0</v>
      </c>
      <c r="AA58" s="19">
        <v>2.0</v>
      </c>
      <c r="AB58" s="19">
        <v>6.0</v>
      </c>
      <c r="AC58" s="19">
        <v>23.0</v>
      </c>
      <c r="AD58" s="19">
        <v>30.0</v>
      </c>
      <c r="AE58" s="19">
        <v>15.0</v>
      </c>
      <c r="AF58" s="13">
        <f t="shared" si="16"/>
        <v>172</v>
      </c>
    </row>
    <row r="59" ht="12.75" customHeight="1">
      <c r="A59" s="18"/>
      <c r="B59" s="55">
        <v>2.0</v>
      </c>
      <c r="C59" s="50" t="s">
        <v>50</v>
      </c>
      <c r="D59" s="56"/>
      <c r="E59" s="19">
        <v>5.0</v>
      </c>
      <c r="F59" s="19">
        <v>2.0</v>
      </c>
      <c r="G59" s="19">
        <v>1.0</v>
      </c>
      <c r="H59" s="19">
        <v>1.0</v>
      </c>
      <c r="I59" s="19">
        <v>2.0</v>
      </c>
      <c r="J59" s="19">
        <v>3.0</v>
      </c>
      <c r="K59" s="19">
        <v>0.0</v>
      </c>
      <c r="L59" s="19">
        <v>2.0</v>
      </c>
      <c r="M59" s="19">
        <v>2.0</v>
      </c>
      <c r="N59" s="19">
        <v>3.0</v>
      </c>
      <c r="O59" s="19">
        <v>2.0</v>
      </c>
      <c r="P59" s="19">
        <v>3.0</v>
      </c>
      <c r="Q59" s="19">
        <v>5.0</v>
      </c>
      <c r="R59" s="19">
        <v>6.0</v>
      </c>
      <c r="S59" s="19">
        <v>1.0</v>
      </c>
      <c r="T59" s="19">
        <v>7.0</v>
      </c>
      <c r="U59" s="19">
        <v>5.0</v>
      </c>
      <c r="V59" s="19">
        <v>9.0</v>
      </c>
      <c r="W59" s="19">
        <v>72.0</v>
      </c>
      <c r="X59" s="19">
        <v>89.0</v>
      </c>
      <c r="Y59" s="19">
        <v>4.0</v>
      </c>
      <c r="Z59" s="19">
        <v>34.0</v>
      </c>
      <c r="AA59" s="19">
        <v>28.0</v>
      </c>
      <c r="AB59" s="19">
        <v>12.0</v>
      </c>
      <c r="AC59" s="19">
        <v>7.0</v>
      </c>
      <c r="AD59" s="19">
        <v>8.0</v>
      </c>
      <c r="AE59" s="19">
        <v>8.0</v>
      </c>
      <c r="AF59" s="13">
        <f t="shared" si="16"/>
        <v>321</v>
      </c>
    </row>
    <row r="60" ht="12.75" customHeight="1">
      <c r="A60" s="18"/>
      <c r="B60" s="55">
        <v>3.0</v>
      </c>
      <c r="C60" s="50" t="s">
        <v>51</v>
      </c>
      <c r="D60" s="56"/>
      <c r="E60" s="19">
        <v>1.0</v>
      </c>
      <c r="F60" s="19">
        <v>0.0</v>
      </c>
      <c r="G60" s="19">
        <v>2.0</v>
      </c>
      <c r="H60" s="19">
        <v>1.0</v>
      </c>
      <c r="I60" s="19">
        <v>1.0</v>
      </c>
      <c r="J60" s="19">
        <v>2.0</v>
      </c>
      <c r="K60" s="19">
        <v>2.0</v>
      </c>
      <c r="L60" s="19">
        <v>1.0</v>
      </c>
      <c r="M60" s="19">
        <v>2.0</v>
      </c>
      <c r="N60" s="19">
        <v>1.0</v>
      </c>
      <c r="O60" s="19">
        <v>1.0</v>
      </c>
      <c r="P60" s="19">
        <v>1.0</v>
      </c>
      <c r="Q60" s="19">
        <v>2.0</v>
      </c>
      <c r="R60" s="19">
        <v>2.0</v>
      </c>
      <c r="S60" s="19">
        <v>0.0</v>
      </c>
      <c r="T60" s="19">
        <v>0.0</v>
      </c>
      <c r="U60" s="19">
        <v>0.0</v>
      </c>
      <c r="V60" s="19">
        <v>2.0</v>
      </c>
      <c r="W60" s="19">
        <v>0.0</v>
      </c>
      <c r="X60" s="19">
        <v>3.0</v>
      </c>
      <c r="Y60" s="19">
        <v>0.0</v>
      </c>
      <c r="Z60" s="19">
        <v>2.0</v>
      </c>
      <c r="AA60" s="19">
        <v>1.0</v>
      </c>
      <c r="AB60" s="19">
        <v>0.0</v>
      </c>
      <c r="AC60" s="19">
        <v>0.0</v>
      </c>
      <c r="AD60" s="19">
        <v>3.0</v>
      </c>
      <c r="AE60" s="19">
        <v>3.0</v>
      </c>
      <c r="AF60" s="13">
        <f t="shared" si="16"/>
        <v>33</v>
      </c>
    </row>
    <row r="61" ht="12.75" customHeight="1">
      <c r="A61" s="18"/>
      <c r="B61" s="55">
        <v>4.0</v>
      </c>
      <c r="C61" s="50" t="s">
        <v>52</v>
      </c>
      <c r="D61" s="56"/>
      <c r="E61" s="19">
        <v>0.0</v>
      </c>
      <c r="F61" s="19">
        <v>0.0</v>
      </c>
      <c r="G61" s="19">
        <v>1.0</v>
      </c>
      <c r="H61" s="19">
        <v>0.0</v>
      </c>
      <c r="I61" s="19">
        <v>0.0</v>
      </c>
      <c r="J61" s="19">
        <v>2.0</v>
      </c>
      <c r="K61" s="19">
        <v>5.0</v>
      </c>
      <c r="L61" s="19">
        <v>1.0</v>
      </c>
      <c r="M61" s="19">
        <v>0.0</v>
      </c>
      <c r="N61" s="19">
        <v>3.0</v>
      </c>
      <c r="O61" s="19">
        <v>1.0</v>
      </c>
      <c r="P61" s="19">
        <v>5.0</v>
      </c>
      <c r="Q61" s="19">
        <v>2.0</v>
      </c>
      <c r="R61" s="19">
        <v>3.0</v>
      </c>
      <c r="S61" s="19">
        <v>4.0</v>
      </c>
      <c r="T61" s="19">
        <v>3.0</v>
      </c>
      <c r="U61" s="19">
        <v>0.0</v>
      </c>
      <c r="V61" s="19">
        <v>3.0</v>
      </c>
      <c r="W61" s="19">
        <v>0.0</v>
      </c>
      <c r="X61" s="19">
        <v>1.0</v>
      </c>
      <c r="Y61" s="19">
        <v>3.0</v>
      </c>
      <c r="Z61" s="19">
        <v>0.0</v>
      </c>
      <c r="AA61" s="19">
        <v>4.0</v>
      </c>
      <c r="AB61" s="19">
        <v>2.0</v>
      </c>
      <c r="AC61" s="19">
        <v>5.0</v>
      </c>
      <c r="AD61" s="19">
        <v>0.0</v>
      </c>
      <c r="AE61" s="19">
        <v>1.0</v>
      </c>
      <c r="AF61" s="13">
        <f t="shared" si="16"/>
        <v>49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1.0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1.0</v>
      </c>
      <c r="R62" s="19">
        <v>0.0</v>
      </c>
      <c r="S62" s="19">
        <v>0.0</v>
      </c>
      <c r="T62" s="19">
        <v>0.0</v>
      </c>
      <c r="U62" s="19">
        <v>1.0</v>
      </c>
      <c r="V62" s="19">
        <v>0.0</v>
      </c>
      <c r="W62" s="19">
        <v>0.0</v>
      </c>
      <c r="X62" s="19">
        <v>0.0</v>
      </c>
      <c r="Y62" s="19">
        <v>0.0</v>
      </c>
      <c r="Z62" s="19">
        <v>0.0</v>
      </c>
      <c r="AA62" s="19">
        <v>1.0</v>
      </c>
      <c r="AB62" s="19">
        <v>0.0</v>
      </c>
      <c r="AC62" s="19">
        <v>0.0</v>
      </c>
      <c r="AD62" s="19">
        <v>3.0</v>
      </c>
      <c r="AE62" s="19">
        <v>2.0</v>
      </c>
      <c r="AF62" s="13">
        <f t="shared" si="16"/>
        <v>9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1.0</v>
      </c>
      <c r="G63" s="19">
        <v>0.0</v>
      </c>
      <c r="H63" s="19">
        <v>0.0</v>
      </c>
      <c r="I63" s="19">
        <v>0.0</v>
      </c>
      <c r="J63" s="19">
        <v>1.0</v>
      </c>
      <c r="K63" s="19">
        <v>0.0</v>
      </c>
      <c r="L63" s="19">
        <v>1.0</v>
      </c>
      <c r="M63" s="19">
        <v>0.0</v>
      </c>
      <c r="N63" s="19">
        <v>0.0</v>
      </c>
      <c r="O63" s="19">
        <v>1.0</v>
      </c>
      <c r="P63" s="19">
        <v>0.0</v>
      </c>
      <c r="Q63" s="19">
        <v>0.0</v>
      </c>
      <c r="R63" s="19">
        <v>1.0</v>
      </c>
      <c r="S63" s="19">
        <v>0.0</v>
      </c>
      <c r="T63" s="19">
        <v>0.0</v>
      </c>
      <c r="U63" s="19">
        <v>1.0</v>
      </c>
      <c r="V63" s="19">
        <v>1.0</v>
      </c>
      <c r="W63" s="19">
        <v>0.0</v>
      </c>
      <c r="X63" s="19">
        <v>2.0</v>
      </c>
      <c r="Y63" s="19">
        <v>0.0</v>
      </c>
      <c r="Z63" s="19">
        <v>2.0</v>
      </c>
      <c r="AA63" s="19">
        <v>0.0</v>
      </c>
      <c r="AB63" s="19">
        <v>2.0</v>
      </c>
      <c r="AC63" s="19">
        <v>2.0</v>
      </c>
      <c r="AD63" s="19">
        <v>2.0</v>
      </c>
      <c r="AE63" s="19">
        <v>1.0</v>
      </c>
      <c r="AF63" s="13">
        <f t="shared" si="16"/>
        <v>18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1.0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2.0</v>
      </c>
      <c r="Q64" s="19">
        <v>0.0</v>
      </c>
      <c r="R64" s="19">
        <v>0.0</v>
      </c>
      <c r="S64" s="19">
        <v>1.0</v>
      </c>
      <c r="T64" s="19">
        <v>0.0</v>
      </c>
      <c r="U64" s="19">
        <v>1.0</v>
      </c>
      <c r="V64" s="19">
        <v>0.0</v>
      </c>
      <c r="W64" s="19">
        <v>0.0</v>
      </c>
      <c r="X64" s="19">
        <v>0.0</v>
      </c>
      <c r="Y64" s="19">
        <v>0.0</v>
      </c>
      <c r="Z64" s="19">
        <v>0.0</v>
      </c>
      <c r="AA64" s="19">
        <v>0.0</v>
      </c>
      <c r="AB64" s="19">
        <v>0.0</v>
      </c>
      <c r="AC64" s="19">
        <v>2.0</v>
      </c>
      <c r="AD64" s="19">
        <v>0.0</v>
      </c>
      <c r="AE64" s="19">
        <v>0.0</v>
      </c>
      <c r="AF64" s="13">
        <f t="shared" si="16"/>
        <v>7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3">
        <f t="shared" si="16"/>
        <v>0</v>
      </c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AE67" si="17">SUM(E57:E64)</f>
        <v>16</v>
      </c>
      <c r="F67" s="13">
        <f t="shared" si="17"/>
        <v>25</v>
      </c>
      <c r="G67" s="13">
        <f t="shared" si="17"/>
        <v>19</v>
      </c>
      <c r="H67" s="13">
        <f t="shared" si="17"/>
        <v>21</v>
      </c>
      <c r="I67" s="13">
        <f t="shared" si="17"/>
        <v>8</v>
      </c>
      <c r="J67" s="13">
        <f t="shared" si="17"/>
        <v>15</v>
      </c>
      <c r="K67" s="13">
        <f t="shared" si="17"/>
        <v>14</v>
      </c>
      <c r="L67" s="13">
        <f t="shared" si="17"/>
        <v>10</v>
      </c>
      <c r="M67" s="13">
        <f t="shared" si="17"/>
        <v>7</v>
      </c>
      <c r="N67" s="13">
        <f t="shared" si="17"/>
        <v>18</v>
      </c>
      <c r="O67" s="13">
        <f t="shared" si="17"/>
        <v>18</v>
      </c>
      <c r="P67" s="13">
        <f t="shared" si="17"/>
        <v>26</v>
      </c>
      <c r="Q67" s="13">
        <f t="shared" si="17"/>
        <v>25</v>
      </c>
      <c r="R67" s="13">
        <f t="shared" si="17"/>
        <v>27</v>
      </c>
      <c r="S67" s="13">
        <f t="shared" si="17"/>
        <v>25</v>
      </c>
      <c r="T67" s="13">
        <f t="shared" si="17"/>
        <v>24</v>
      </c>
      <c r="U67" s="13">
        <f t="shared" si="17"/>
        <v>19</v>
      </c>
      <c r="V67" s="13">
        <f t="shared" si="17"/>
        <v>37</v>
      </c>
      <c r="W67" s="13">
        <f t="shared" si="17"/>
        <v>83</v>
      </c>
      <c r="X67" s="13">
        <f t="shared" si="17"/>
        <v>102</v>
      </c>
      <c r="Y67" s="13">
        <f t="shared" si="17"/>
        <v>16</v>
      </c>
      <c r="Z67" s="13">
        <f t="shared" si="17"/>
        <v>47</v>
      </c>
      <c r="AA67" s="13">
        <f t="shared" si="17"/>
        <v>50</v>
      </c>
      <c r="AB67" s="13">
        <f t="shared" si="17"/>
        <v>35</v>
      </c>
      <c r="AC67" s="13">
        <f t="shared" si="17"/>
        <v>46</v>
      </c>
      <c r="AD67" s="13">
        <f t="shared" si="17"/>
        <v>64</v>
      </c>
      <c r="AE67" s="13">
        <f t="shared" si="17"/>
        <v>38</v>
      </c>
      <c r="AF67" s="13">
        <f t="shared" si="16"/>
        <v>835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5.0</v>
      </c>
      <c r="F69" s="19">
        <v>13.0</v>
      </c>
      <c r="G69" s="19">
        <v>13.0</v>
      </c>
      <c r="H69" s="19">
        <v>7.0</v>
      </c>
      <c r="I69" s="19">
        <v>9.0</v>
      </c>
      <c r="J69" s="19">
        <v>12.0</v>
      </c>
      <c r="K69" s="19">
        <v>7.0</v>
      </c>
      <c r="L69" s="19">
        <v>10.0</v>
      </c>
      <c r="M69" s="19">
        <v>9.0</v>
      </c>
      <c r="N69" s="19">
        <v>3.0</v>
      </c>
      <c r="O69" s="19">
        <v>9.0</v>
      </c>
      <c r="P69" s="19">
        <v>7.0</v>
      </c>
      <c r="Q69" s="19">
        <v>21.0</v>
      </c>
      <c r="R69" s="19">
        <v>9.0</v>
      </c>
      <c r="S69" s="19">
        <v>15.0</v>
      </c>
      <c r="T69" s="19">
        <v>14.0</v>
      </c>
      <c r="U69" s="19">
        <v>9.0</v>
      </c>
      <c r="V69" s="19">
        <v>8.0</v>
      </c>
      <c r="W69" s="19">
        <v>7.0</v>
      </c>
      <c r="X69" s="19">
        <v>1.0</v>
      </c>
      <c r="Y69" s="19">
        <v>14.0</v>
      </c>
      <c r="Z69" s="19">
        <v>5.0</v>
      </c>
      <c r="AA69" s="19">
        <v>3.0</v>
      </c>
      <c r="AB69" s="19">
        <v>11.0</v>
      </c>
      <c r="AC69" s="19">
        <v>8.0</v>
      </c>
      <c r="AD69" s="19">
        <v>21.0</v>
      </c>
      <c r="AE69" s="19">
        <v>16.0</v>
      </c>
      <c r="AF69" s="13">
        <f t="shared" ref="AF69:AF79" si="18">SUM(E69:AE69)</f>
        <v>266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11.0</v>
      </c>
      <c r="F70" s="19">
        <v>1.0</v>
      </c>
      <c r="G70" s="19">
        <v>7.0</v>
      </c>
      <c r="H70" s="19">
        <v>2.0</v>
      </c>
      <c r="I70" s="19">
        <v>11.0</v>
      </c>
      <c r="J70" s="19">
        <v>11.0</v>
      </c>
      <c r="K70" s="19">
        <v>5.0</v>
      </c>
      <c r="L70" s="19">
        <v>1.0</v>
      </c>
      <c r="M70" s="19">
        <v>5.0</v>
      </c>
      <c r="N70" s="19">
        <v>8.0</v>
      </c>
      <c r="O70" s="19">
        <v>3.0</v>
      </c>
      <c r="P70" s="19">
        <v>6.0</v>
      </c>
      <c r="Q70" s="19">
        <v>6.0</v>
      </c>
      <c r="R70" s="19">
        <v>12.0</v>
      </c>
      <c r="S70" s="19">
        <v>12.0</v>
      </c>
      <c r="T70" s="19">
        <v>7.0</v>
      </c>
      <c r="U70" s="19">
        <v>7.0</v>
      </c>
      <c r="V70" s="19">
        <v>14.0</v>
      </c>
      <c r="W70" s="19">
        <v>5.0</v>
      </c>
      <c r="X70" s="19">
        <v>3.0</v>
      </c>
      <c r="Y70" s="19">
        <v>12.0</v>
      </c>
      <c r="Z70" s="19">
        <v>4.0</v>
      </c>
      <c r="AA70" s="19">
        <v>4.0</v>
      </c>
      <c r="AB70" s="19">
        <v>6.0</v>
      </c>
      <c r="AC70" s="19">
        <v>17.0</v>
      </c>
      <c r="AD70" s="19">
        <v>11.0</v>
      </c>
      <c r="AE70" s="19">
        <v>14.0</v>
      </c>
      <c r="AF70" s="13">
        <f t="shared" si="18"/>
        <v>205</v>
      </c>
    </row>
    <row r="71" ht="12.75" customHeight="1">
      <c r="A71" s="18"/>
      <c r="B71" s="55">
        <v>2.0</v>
      </c>
      <c r="C71" s="50" t="s">
        <v>58</v>
      </c>
      <c r="D71" s="57"/>
      <c r="E71" s="19">
        <v>7.0</v>
      </c>
      <c r="F71" s="19">
        <v>8.0</v>
      </c>
      <c r="G71" s="19">
        <v>23.0</v>
      </c>
      <c r="H71" s="19">
        <v>22.0</v>
      </c>
      <c r="I71" s="19">
        <v>27.0</v>
      </c>
      <c r="J71" s="19">
        <v>23.0</v>
      </c>
      <c r="K71" s="19">
        <v>30.0</v>
      </c>
      <c r="L71" s="19">
        <v>6.0</v>
      </c>
      <c r="M71" s="19">
        <v>12.0</v>
      </c>
      <c r="N71" s="19">
        <v>3.0</v>
      </c>
      <c r="O71" s="19">
        <v>5.0</v>
      </c>
      <c r="P71" s="19">
        <v>8.0</v>
      </c>
      <c r="Q71" s="19">
        <v>6.0</v>
      </c>
      <c r="R71" s="19">
        <v>4.0</v>
      </c>
      <c r="S71" s="19">
        <v>13.0</v>
      </c>
      <c r="T71" s="19">
        <v>15.0</v>
      </c>
      <c r="U71" s="19">
        <v>7.0</v>
      </c>
      <c r="V71" s="19">
        <v>36.0</v>
      </c>
      <c r="W71" s="19">
        <v>29.0</v>
      </c>
      <c r="X71" s="19">
        <v>44.0</v>
      </c>
      <c r="Y71" s="19">
        <v>28.0</v>
      </c>
      <c r="Z71" s="19">
        <v>3.0</v>
      </c>
      <c r="AA71" s="19">
        <v>37.0</v>
      </c>
      <c r="AB71" s="19">
        <v>25.0</v>
      </c>
      <c r="AC71" s="19">
        <v>13.0</v>
      </c>
      <c r="AD71" s="19">
        <v>21.0</v>
      </c>
      <c r="AE71" s="19">
        <v>17.0</v>
      </c>
      <c r="AF71" s="13">
        <f t="shared" si="18"/>
        <v>472</v>
      </c>
    </row>
    <row r="72" ht="12.75" customHeight="1">
      <c r="A72" s="18"/>
      <c r="B72" s="55">
        <v>3.0</v>
      </c>
      <c r="C72" s="50" t="s">
        <v>59</v>
      </c>
      <c r="D72" s="57"/>
      <c r="E72" s="19">
        <v>2.0</v>
      </c>
      <c r="F72" s="19">
        <v>2.0</v>
      </c>
      <c r="G72" s="19">
        <v>2.0</v>
      </c>
      <c r="H72" s="19">
        <v>7.0</v>
      </c>
      <c r="I72" s="19">
        <v>3.0</v>
      </c>
      <c r="J72" s="19">
        <v>6.0</v>
      </c>
      <c r="K72" s="19">
        <v>2.0</v>
      </c>
      <c r="L72" s="19">
        <v>2.0</v>
      </c>
      <c r="M72" s="19">
        <v>0.0</v>
      </c>
      <c r="N72" s="19">
        <v>3.0</v>
      </c>
      <c r="O72" s="19">
        <v>1.0</v>
      </c>
      <c r="P72" s="19">
        <v>6.0</v>
      </c>
      <c r="Q72" s="19">
        <v>1.0</v>
      </c>
      <c r="R72" s="19">
        <v>4.0</v>
      </c>
      <c r="S72" s="19">
        <v>6.0</v>
      </c>
      <c r="T72" s="19">
        <v>3.0</v>
      </c>
      <c r="U72" s="19">
        <v>2.0</v>
      </c>
      <c r="V72" s="19">
        <v>8.0</v>
      </c>
      <c r="W72" s="19">
        <v>1.0</v>
      </c>
      <c r="X72" s="19">
        <v>1.0</v>
      </c>
      <c r="Y72" s="19">
        <v>0.0</v>
      </c>
      <c r="Z72" s="19">
        <v>3.0</v>
      </c>
      <c r="AA72" s="19">
        <v>4.0</v>
      </c>
      <c r="AB72" s="19">
        <v>4.0</v>
      </c>
      <c r="AC72" s="19">
        <v>3.0</v>
      </c>
      <c r="AD72" s="19">
        <v>5.0</v>
      </c>
      <c r="AE72" s="19">
        <v>8.0</v>
      </c>
      <c r="AF72" s="13">
        <f t="shared" si="18"/>
        <v>89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1.0</v>
      </c>
      <c r="G73" s="19">
        <v>2.0</v>
      </c>
      <c r="H73" s="19">
        <v>1.0</v>
      </c>
      <c r="I73" s="19">
        <v>0.0</v>
      </c>
      <c r="J73" s="19">
        <v>0.0</v>
      </c>
      <c r="K73" s="19">
        <v>1.0</v>
      </c>
      <c r="L73" s="19">
        <v>0.0</v>
      </c>
      <c r="M73" s="19">
        <v>1.0</v>
      </c>
      <c r="N73" s="19">
        <v>0.0</v>
      </c>
      <c r="O73" s="19">
        <v>1.0</v>
      </c>
      <c r="P73" s="19">
        <v>1.0</v>
      </c>
      <c r="Q73" s="19">
        <v>3.0</v>
      </c>
      <c r="R73" s="19">
        <v>1.0</v>
      </c>
      <c r="S73" s="19">
        <v>0.0</v>
      </c>
      <c r="T73" s="19">
        <v>0.0</v>
      </c>
      <c r="U73" s="19">
        <v>1.0</v>
      </c>
      <c r="V73" s="19">
        <v>2.0</v>
      </c>
      <c r="W73" s="19">
        <v>1.0</v>
      </c>
      <c r="X73" s="19">
        <v>1.0</v>
      </c>
      <c r="Y73" s="19">
        <v>1.0</v>
      </c>
      <c r="Z73" s="19">
        <v>1.0</v>
      </c>
      <c r="AA73" s="19">
        <v>2.0</v>
      </c>
      <c r="AB73" s="19">
        <v>0.0</v>
      </c>
      <c r="AC73" s="19">
        <v>0.0</v>
      </c>
      <c r="AD73" s="19">
        <v>2.0</v>
      </c>
      <c r="AE73" s="19">
        <v>3.0</v>
      </c>
      <c r="AF73" s="13">
        <f t="shared" si="18"/>
        <v>26</v>
      </c>
    </row>
    <row r="74" ht="12.75" customHeight="1">
      <c r="A74" s="18"/>
      <c r="B74" s="55">
        <v>5.0</v>
      </c>
      <c r="C74" s="50" t="s">
        <v>61</v>
      </c>
      <c r="D74" s="57"/>
      <c r="E74" s="19">
        <v>2.0</v>
      </c>
      <c r="F74" s="19">
        <v>1.0</v>
      </c>
      <c r="G74" s="19">
        <v>3.0</v>
      </c>
      <c r="H74" s="19">
        <v>2.0</v>
      </c>
      <c r="I74" s="19">
        <v>3.0</v>
      </c>
      <c r="J74" s="19">
        <v>1.0</v>
      </c>
      <c r="K74" s="19">
        <v>2.0</v>
      </c>
      <c r="L74" s="19">
        <v>1.0</v>
      </c>
      <c r="M74" s="19">
        <v>2.0</v>
      </c>
      <c r="N74" s="19">
        <v>1.0</v>
      </c>
      <c r="O74" s="19">
        <v>3.0</v>
      </c>
      <c r="P74" s="19">
        <v>2.0</v>
      </c>
      <c r="Q74" s="19">
        <v>5.0</v>
      </c>
      <c r="R74" s="19">
        <v>3.0</v>
      </c>
      <c r="S74" s="19">
        <v>2.0</v>
      </c>
      <c r="T74" s="19">
        <v>4.0</v>
      </c>
      <c r="U74" s="19">
        <v>2.0</v>
      </c>
      <c r="V74" s="19">
        <v>3.0</v>
      </c>
      <c r="W74" s="19">
        <v>3.0</v>
      </c>
      <c r="X74" s="19">
        <v>3.0</v>
      </c>
      <c r="Y74" s="19">
        <v>3.0</v>
      </c>
      <c r="Z74" s="19">
        <v>6.0</v>
      </c>
      <c r="AA74" s="19">
        <v>12.0</v>
      </c>
      <c r="AB74" s="19">
        <v>6.0</v>
      </c>
      <c r="AC74" s="19">
        <v>2.0</v>
      </c>
      <c r="AD74" s="19">
        <v>1.0</v>
      </c>
      <c r="AE74" s="19">
        <v>4.0</v>
      </c>
      <c r="AF74" s="13">
        <f t="shared" si="18"/>
        <v>82</v>
      </c>
    </row>
    <row r="75" ht="12.75" customHeight="1">
      <c r="A75" s="18"/>
      <c r="B75" s="55">
        <v>6.0</v>
      </c>
      <c r="C75" s="50" t="s">
        <v>62</v>
      </c>
      <c r="D75" s="57"/>
      <c r="E75" s="19">
        <v>1.0</v>
      </c>
      <c r="F75" s="19">
        <v>2.0</v>
      </c>
      <c r="G75" s="19">
        <v>0.0</v>
      </c>
      <c r="H75" s="19">
        <v>3.0</v>
      </c>
      <c r="I75" s="19">
        <v>0.0</v>
      </c>
      <c r="J75" s="19">
        <v>1.0</v>
      </c>
      <c r="K75" s="19">
        <v>2.0</v>
      </c>
      <c r="L75" s="19">
        <v>1.0</v>
      </c>
      <c r="M75" s="19">
        <v>0.0</v>
      </c>
      <c r="N75" s="19">
        <v>1.0</v>
      </c>
      <c r="O75" s="19">
        <v>1.0</v>
      </c>
      <c r="P75" s="19">
        <v>2.0</v>
      </c>
      <c r="Q75" s="19">
        <v>3.0</v>
      </c>
      <c r="R75" s="19">
        <v>3.0</v>
      </c>
      <c r="S75" s="19">
        <v>4.0</v>
      </c>
      <c r="T75" s="19">
        <v>4.0</v>
      </c>
      <c r="U75" s="19">
        <v>2.0</v>
      </c>
      <c r="V75" s="19">
        <v>3.0</v>
      </c>
      <c r="W75" s="19">
        <v>1.0</v>
      </c>
      <c r="X75" s="19">
        <v>2.0</v>
      </c>
      <c r="Y75" s="19">
        <v>1.0</v>
      </c>
      <c r="Z75" s="19">
        <v>1.0</v>
      </c>
      <c r="AA75" s="19">
        <v>2.0</v>
      </c>
      <c r="AB75" s="19">
        <v>4.0</v>
      </c>
      <c r="AC75" s="19">
        <v>1.0</v>
      </c>
      <c r="AD75" s="19">
        <v>2.0</v>
      </c>
      <c r="AE75" s="19">
        <v>5.0</v>
      </c>
      <c r="AF75" s="13">
        <f t="shared" si="18"/>
        <v>52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0.0</v>
      </c>
      <c r="G76" s="19">
        <v>0.0</v>
      </c>
      <c r="H76" s="19">
        <v>0.0</v>
      </c>
      <c r="I76" s="19">
        <v>2.0</v>
      </c>
      <c r="J76" s="19">
        <v>1.0</v>
      </c>
      <c r="K76" s="19">
        <v>0.0</v>
      </c>
      <c r="L76" s="19">
        <v>0.0</v>
      </c>
      <c r="M76" s="19">
        <v>0.0</v>
      </c>
      <c r="N76" s="19">
        <v>2.0</v>
      </c>
      <c r="O76" s="19">
        <v>1.0</v>
      </c>
      <c r="P76" s="19">
        <v>2.0</v>
      </c>
      <c r="Q76" s="19">
        <v>1.0</v>
      </c>
      <c r="R76" s="19">
        <v>2.0</v>
      </c>
      <c r="S76" s="19">
        <v>1.0</v>
      </c>
      <c r="T76" s="19">
        <v>0.0</v>
      </c>
      <c r="U76" s="19">
        <v>1.0</v>
      </c>
      <c r="V76" s="19">
        <v>1.0</v>
      </c>
      <c r="W76" s="19">
        <v>1.0</v>
      </c>
      <c r="X76" s="19">
        <v>1.0</v>
      </c>
      <c r="Y76" s="19">
        <v>0.0</v>
      </c>
      <c r="Z76" s="19">
        <v>0.0</v>
      </c>
      <c r="AA76" s="19">
        <v>3.0</v>
      </c>
      <c r="AB76" s="19">
        <v>2.0</v>
      </c>
      <c r="AC76" s="19">
        <v>3.0</v>
      </c>
      <c r="AD76" s="19">
        <v>2.0</v>
      </c>
      <c r="AE76" s="19">
        <v>1.0</v>
      </c>
      <c r="AF76" s="13">
        <f t="shared" si="18"/>
        <v>27</v>
      </c>
    </row>
    <row r="77" ht="12.75" customHeight="1">
      <c r="A77" s="18"/>
      <c r="B77" s="71"/>
      <c r="C77" s="72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3">
        <f t="shared" si="18"/>
        <v>0</v>
      </c>
    </row>
    <row r="78" ht="12.75" customHeight="1">
      <c r="A78" s="18"/>
      <c r="B78" s="71"/>
      <c r="C78" s="72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AE79" si="19">SUM(E69:E76)</f>
        <v>28</v>
      </c>
      <c r="F79" s="13">
        <f t="shared" si="19"/>
        <v>28</v>
      </c>
      <c r="G79" s="13">
        <f t="shared" si="19"/>
        <v>50</v>
      </c>
      <c r="H79" s="13">
        <f t="shared" si="19"/>
        <v>44</v>
      </c>
      <c r="I79" s="13">
        <f t="shared" si="19"/>
        <v>55</v>
      </c>
      <c r="J79" s="13">
        <f t="shared" si="19"/>
        <v>55</v>
      </c>
      <c r="K79" s="13">
        <f t="shared" si="19"/>
        <v>49</v>
      </c>
      <c r="L79" s="13">
        <f t="shared" si="19"/>
        <v>21</v>
      </c>
      <c r="M79" s="13">
        <f t="shared" si="19"/>
        <v>29</v>
      </c>
      <c r="N79" s="13">
        <f t="shared" si="19"/>
        <v>21</v>
      </c>
      <c r="O79" s="13">
        <f t="shared" si="19"/>
        <v>24</v>
      </c>
      <c r="P79" s="13">
        <f t="shared" si="19"/>
        <v>34</v>
      </c>
      <c r="Q79" s="13">
        <f t="shared" si="19"/>
        <v>46</v>
      </c>
      <c r="R79" s="13">
        <f t="shared" si="19"/>
        <v>38</v>
      </c>
      <c r="S79" s="13">
        <f t="shared" si="19"/>
        <v>53</v>
      </c>
      <c r="T79" s="13">
        <f t="shared" si="19"/>
        <v>47</v>
      </c>
      <c r="U79" s="13">
        <f t="shared" si="19"/>
        <v>31</v>
      </c>
      <c r="V79" s="13">
        <f t="shared" si="19"/>
        <v>75</v>
      </c>
      <c r="W79" s="13">
        <f t="shared" si="19"/>
        <v>48</v>
      </c>
      <c r="X79" s="13">
        <f t="shared" si="19"/>
        <v>56</v>
      </c>
      <c r="Y79" s="13">
        <f t="shared" si="19"/>
        <v>59</v>
      </c>
      <c r="Z79" s="13">
        <f t="shared" si="19"/>
        <v>23</v>
      </c>
      <c r="AA79" s="13">
        <f t="shared" si="19"/>
        <v>67</v>
      </c>
      <c r="AB79" s="13">
        <f t="shared" si="19"/>
        <v>58</v>
      </c>
      <c r="AC79" s="13">
        <f t="shared" si="19"/>
        <v>47</v>
      </c>
      <c r="AD79" s="13">
        <f t="shared" si="19"/>
        <v>65</v>
      </c>
      <c r="AE79" s="13">
        <f t="shared" si="19"/>
        <v>68</v>
      </c>
      <c r="AF79" s="13">
        <f t="shared" si="18"/>
        <v>1219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4.0</v>
      </c>
      <c r="F81" s="19">
        <v>7.0</v>
      </c>
      <c r="G81" s="19">
        <v>2.0</v>
      </c>
      <c r="H81" s="19">
        <v>1.0</v>
      </c>
      <c r="I81" s="19">
        <v>2.0</v>
      </c>
      <c r="J81" s="19">
        <v>3.0</v>
      </c>
      <c r="K81" s="19">
        <v>4.0</v>
      </c>
      <c r="L81" s="19">
        <v>1.0</v>
      </c>
      <c r="M81" s="19">
        <v>1.0</v>
      </c>
      <c r="N81" s="19">
        <v>1.0</v>
      </c>
      <c r="O81" s="19">
        <v>8.0</v>
      </c>
      <c r="P81" s="19">
        <v>3.0</v>
      </c>
      <c r="Q81" s="19">
        <v>3.0</v>
      </c>
      <c r="R81" s="19">
        <v>0.0</v>
      </c>
      <c r="S81" s="19">
        <v>1.0</v>
      </c>
      <c r="T81" s="19">
        <v>3.0</v>
      </c>
      <c r="U81" s="19">
        <v>1.0</v>
      </c>
      <c r="V81" s="19">
        <v>3.0</v>
      </c>
      <c r="W81" s="19">
        <v>6.0</v>
      </c>
      <c r="X81" s="19">
        <v>0.0</v>
      </c>
      <c r="Y81" s="19">
        <v>2.0</v>
      </c>
      <c r="Z81" s="19">
        <v>2.0</v>
      </c>
      <c r="AA81" s="19">
        <v>4.0</v>
      </c>
      <c r="AB81" s="19">
        <v>2.0</v>
      </c>
      <c r="AC81" s="19">
        <v>3.0</v>
      </c>
      <c r="AD81" s="19">
        <v>6.0</v>
      </c>
      <c r="AE81" s="19">
        <v>8.0</v>
      </c>
      <c r="AF81" s="13">
        <f t="shared" ref="AF81:AF91" si="20">SUM(E81:AE81)</f>
        <v>81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19.0</v>
      </c>
      <c r="F82" s="19">
        <v>4.0</v>
      </c>
      <c r="G82" s="19">
        <v>8.0</v>
      </c>
      <c r="H82" s="19">
        <v>3.0</v>
      </c>
      <c r="I82" s="19">
        <v>7.0</v>
      </c>
      <c r="J82" s="19">
        <v>5.0</v>
      </c>
      <c r="K82" s="19">
        <v>11.0</v>
      </c>
      <c r="L82" s="19">
        <v>4.0</v>
      </c>
      <c r="M82" s="19">
        <v>3.0</v>
      </c>
      <c r="N82" s="19">
        <v>2.0</v>
      </c>
      <c r="O82" s="19">
        <v>14.0</v>
      </c>
      <c r="P82" s="19">
        <v>22.0</v>
      </c>
      <c r="Q82" s="19">
        <v>4.0</v>
      </c>
      <c r="R82" s="19">
        <v>2.0</v>
      </c>
      <c r="S82" s="19">
        <v>5.0</v>
      </c>
      <c r="T82" s="19">
        <v>3.0</v>
      </c>
      <c r="U82" s="19">
        <v>1.0</v>
      </c>
      <c r="V82" s="19">
        <v>3.0</v>
      </c>
      <c r="W82" s="19">
        <v>3.0</v>
      </c>
      <c r="X82" s="19">
        <v>0.0</v>
      </c>
      <c r="Y82" s="19">
        <v>1.0</v>
      </c>
      <c r="Z82" s="19">
        <v>8.0</v>
      </c>
      <c r="AA82" s="19">
        <v>6.0</v>
      </c>
      <c r="AB82" s="19">
        <v>34.0</v>
      </c>
      <c r="AC82" s="19">
        <v>5.0</v>
      </c>
      <c r="AD82" s="19">
        <v>20.0</v>
      </c>
      <c r="AE82" s="19">
        <v>22.0</v>
      </c>
      <c r="AF82" s="13">
        <f t="shared" si="20"/>
        <v>219</v>
      </c>
    </row>
    <row r="83" ht="12.75" customHeight="1">
      <c r="A83" s="18"/>
      <c r="B83" s="55">
        <v>2.0</v>
      </c>
      <c r="C83" s="50" t="s">
        <v>66</v>
      </c>
      <c r="D83" s="57"/>
      <c r="E83" s="19">
        <v>4.0</v>
      </c>
      <c r="F83" s="19">
        <v>2.0</v>
      </c>
      <c r="G83" s="19">
        <v>8.0</v>
      </c>
      <c r="H83" s="19">
        <v>4.0</v>
      </c>
      <c r="I83" s="19">
        <v>2.0</v>
      </c>
      <c r="J83" s="19">
        <v>2.0</v>
      </c>
      <c r="K83" s="19">
        <v>2.0</v>
      </c>
      <c r="L83" s="19">
        <v>0.0</v>
      </c>
      <c r="M83" s="19">
        <v>0.0</v>
      </c>
      <c r="N83" s="19">
        <v>0.0</v>
      </c>
      <c r="O83" s="19">
        <v>3.0</v>
      </c>
      <c r="P83" s="19">
        <v>3.0</v>
      </c>
      <c r="Q83" s="19">
        <v>2.0</v>
      </c>
      <c r="R83" s="19">
        <v>5.0</v>
      </c>
      <c r="S83" s="19">
        <v>3.0</v>
      </c>
      <c r="T83" s="19">
        <v>4.0</v>
      </c>
      <c r="U83" s="19">
        <v>2.0</v>
      </c>
      <c r="V83" s="19">
        <v>4.0</v>
      </c>
      <c r="W83" s="19">
        <v>2.0</v>
      </c>
      <c r="X83" s="19">
        <v>3.0</v>
      </c>
      <c r="Y83" s="19">
        <v>0.0</v>
      </c>
      <c r="Z83" s="19">
        <v>1.0</v>
      </c>
      <c r="AA83" s="19">
        <v>4.0</v>
      </c>
      <c r="AB83" s="19">
        <v>3.0</v>
      </c>
      <c r="AC83" s="19">
        <v>5.0</v>
      </c>
      <c r="AD83" s="19">
        <v>7.0</v>
      </c>
      <c r="AE83" s="19">
        <v>4.0</v>
      </c>
      <c r="AF83" s="13">
        <f t="shared" si="20"/>
        <v>79</v>
      </c>
    </row>
    <row r="84" ht="12.75" customHeight="1">
      <c r="A84" s="18"/>
      <c r="B84" s="55">
        <v>3.0</v>
      </c>
      <c r="C84" s="50" t="s">
        <v>67</v>
      </c>
      <c r="D84" s="57"/>
      <c r="E84" s="19">
        <v>2.0</v>
      </c>
      <c r="F84" s="19">
        <v>1.0</v>
      </c>
      <c r="G84" s="19">
        <v>1.0</v>
      </c>
      <c r="H84" s="19">
        <v>0.0</v>
      </c>
      <c r="I84" s="19">
        <v>1.0</v>
      </c>
      <c r="J84" s="19">
        <v>1.0</v>
      </c>
      <c r="K84" s="19">
        <v>1.0</v>
      </c>
      <c r="L84" s="19">
        <v>0.0</v>
      </c>
      <c r="M84" s="19">
        <v>1.0</v>
      </c>
      <c r="N84" s="19">
        <v>1.0</v>
      </c>
      <c r="O84" s="19">
        <v>1.0</v>
      </c>
      <c r="P84" s="19">
        <v>0.0</v>
      </c>
      <c r="Q84" s="19">
        <v>0.0</v>
      </c>
      <c r="R84" s="19">
        <v>0.0</v>
      </c>
      <c r="S84" s="19">
        <v>2.0</v>
      </c>
      <c r="T84" s="19">
        <v>2.0</v>
      </c>
      <c r="U84" s="19">
        <v>0.0</v>
      </c>
      <c r="V84" s="19">
        <v>2.0</v>
      </c>
      <c r="W84" s="19">
        <v>0.0</v>
      </c>
      <c r="X84" s="19">
        <v>0.0</v>
      </c>
      <c r="Y84" s="19">
        <v>0.0</v>
      </c>
      <c r="Z84" s="19">
        <v>0.0</v>
      </c>
      <c r="AA84" s="19">
        <v>2.0</v>
      </c>
      <c r="AB84" s="19">
        <v>5.0</v>
      </c>
      <c r="AC84" s="19">
        <v>0.0</v>
      </c>
      <c r="AD84" s="19">
        <v>0.0</v>
      </c>
      <c r="AE84" s="19">
        <v>1.0</v>
      </c>
      <c r="AF84" s="13">
        <f t="shared" si="20"/>
        <v>24</v>
      </c>
    </row>
    <row r="85" ht="12.75" customHeight="1">
      <c r="A85" s="18"/>
      <c r="B85" s="55">
        <v>4.0</v>
      </c>
      <c r="C85" s="50" t="s">
        <v>68</v>
      </c>
      <c r="D85" s="57"/>
      <c r="E85" s="19">
        <v>4.0</v>
      </c>
      <c r="F85" s="19">
        <v>14.0</v>
      </c>
      <c r="G85" s="19">
        <v>1.0</v>
      </c>
      <c r="H85" s="19">
        <v>13.0</v>
      </c>
      <c r="I85" s="19">
        <v>1.0</v>
      </c>
      <c r="J85" s="19">
        <v>2.0</v>
      </c>
      <c r="K85" s="19">
        <v>0.0</v>
      </c>
      <c r="L85" s="19">
        <v>1.0</v>
      </c>
      <c r="M85" s="19">
        <v>2.0</v>
      </c>
      <c r="N85" s="19">
        <v>2.0</v>
      </c>
      <c r="O85" s="19">
        <v>3.0</v>
      </c>
      <c r="P85" s="19">
        <v>2.0</v>
      </c>
      <c r="Q85" s="19">
        <v>0.0</v>
      </c>
      <c r="R85" s="19">
        <v>0.0</v>
      </c>
      <c r="S85" s="19">
        <v>0.0</v>
      </c>
      <c r="T85" s="19">
        <v>0.0</v>
      </c>
      <c r="U85" s="19">
        <v>0.0</v>
      </c>
      <c r="V85" s="19">
        <v>0.0</v>
      </c>
      <c r="W85" s="19">
        <v>0.0</v>
      </c>
      <c r="X85" s="19">
        <v>0.0</v>
      </c>
      <c r="Y85" s="19">
        <v>1.0</v>
      </c>
      <c r="Z85" s="19">
        <v>0.0</v>
      </c>
      <c r="AA85" s="19">
        <v>2.0</v>
      </c>
      <c r="AB85" s="19">
        <v>1.0</v>
      </c>
      <c r="AC85" s="19">
        <v>0.0</v>
      </c>
      <c r="AD85" s="19">
        <v>0.0</v>
      </c>
      <c r="AE85" s="19">
        <v>1.0</v>
      </c>
      <c r="AF85" s="13">
        <f t="shared" si="20"/>
        <v>50</v>
      </c>
    </row>
    <row r="86" ht="12.75" customHeight="1">
      <c r="A86" s="18"/>
      <c r="B86" s="55">
        <v>5.0</v>
      </c>
      <c r="C86" s="50" t="s">
        <v>69</v>
      </c>
      <c r="D86" s="57"/>
      <c r="E86" s="19">
        <v>1.0</v>
      </c>
      <c r="F86" s="19">
        <v>2.0</v>
      </c>
      <c r="G86" s="19">
        <v>0.0</v>
      </c>
      <c r="H86" s="19">
        <v>0.0</v>
      </c>
      <c r="I86" s="19">
        <v>0.0</v>
      </c>
      <c r="J86" s="19">
        <v>1.0</v>
      </c>
      <c r="K86" s="19">
        <v>1.0</v>
      </c>
      <c r="L86" s="19">
        <v>0.0</v>
      </c>
      <c r="M86" s="19">
        <v>0.0</v>
      </c>
      <c r="N86" s="19">
        <v>1.0</v>
      </c>
      <c r="O86" s="19">
        <v>1.0</v>
      </c>
      <c r="P86" s="19">
        <v>0.0</v>
      </c>
      <c r="Q86" s="19">
        <v>0.0</v>
      </c>
      <c r="R86" s="19">
        <v>0.0</v>
      </c>
      <c r="S86" s="19">
        <v>1.0</v>
      </c>
      <c r="T86" s="19">
        <v>0.0</v>
      </c>
      <c r="U86" s="19">
        <v>0.0</v>
      </c>
      <c r="V86" s="19">
        <v>1.0</v>
      </c>
      <c r="W86" s="19">
        <v>0.0</v>
      </c>
      <c r="X86" s="19">
        <v>0.0</v>
      </c>
      <c r="Y86" s="19">
        <v>0.0</v>
      </c>
      <c r="Z86" s="19">
        <v>0.0</v>
      </c>
      <c r="AA86" s="19">
        <v>1.0</v>
      </c>
      <c r="AB86" s="19">
        <v>1.0</v>
      </c>
      <c r="AC86" s="19">
        <v>0.0</v>
      </c>
      <c r="AD86" s="19">
        <v>0.0</v>
      </c>
      <c r="AE86" s="19">
        <v>1.0</v>
      </c>
      <c r="AF86" s="13">
        <f t="shared" si="20"/>
        <v>12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1.0</v>
      </c>
      <c r="I87" s="19">
        <v>0.0</v>
      </c>
      <c r="J87" s="19">
        <v>0.0</v>
      </c>
      <c r="K87" s="19">
        <v>1.0</v>
      </c>
      <c r="L87" s="19">
        <v>0.0</v>
      </c>
      <c r="M87" s="19">
        <v>0.0</v>
      </c>
      <c r="N87" s="19">
        <v>1.0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1.0</v>
      </c>
      <c r="V87" s="19">
        <v>0.0</v>
      </c>
      <c r="W87" s="19">
        <v>0.0</v>
      </c>
      <c r="X87" s="19">
        <v>0.0</v>
      </c>
      <c r="Y87" s="19">
        <v>0.0</v>
      </c>
      <c r="Z87" s="19">
        <v>1.0</v>
      </c>
      <c r="AA87" s="19">
        <v>0.0</v>
      </c>
      <c r="AB87" s="19">
        <v>0.0</v>
      </c>
      <c r="AC87" s="19">
        <v>0.0</v>
      </c>
      <c r="AD87" s="19">
        <v>0.0</v>
      </c>
      <c r="AE87" s="19">
        <v>1.0</v>
      </c>
      <c r="AF87" s="13">
        <f t="shared" si="20"/>
        <v>6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2.0</v>
      </c>
      <c r="G88" s="19">
        <v>1.0</v>
      </c>
      <c r="H88" s="19">
        <v>0.0</v>
      </c>
      <c r="I88" s="19">
        <v>0.0</v>
      </c>
      <c r="J88" s="19">
        <v>1.0</v>
      </c>
      <c r="K88" s="19">
        <v>1.0</v>
      </c>
      <c r="L88" s="19">
        <v>0.0</v>
      </c>
      <c r="M88" s="19">
        <v>0.0</v>
      </c>
      <c r="N88" s="19">
        <v>0.0</v>
      </c>
      <c r="O88" s="19">
        <v>1.0</v>
      </c>
      <c r="P88" s="19">
        <v>1.0</v>
      </c>
      <c r="Q88" s="19">
        <v>1.0</v>
      </c>
      <c r="R88" s="19">
        <v>0.0</v>
      </c>
      <c r="S88" s="19">
        <v>1.0</v>
      </c>
      <c r="T88" s="19">
        <v>0.0</v>
      </c>
      <c r="U88" s="19">
        <v>1.0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2.0</v>
      </c>
      <c r="AD88" s="19">
        <v>4.0</v>
      </c>
      <c r="AE88" s="19">
        <v>1.0</v>
      </c>
      <c r="AF88" s="13">
        <f t="shared" si="20"/>
        <v>17</v>
      </c>
    </row>
    <row r="89" ht="12.75" customHeight="1">
      <c r="A89" s="18"/>
      <c r="B89" s="71"/>
      <c r="C89" s="72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3">
        <f t="shared" si="20"/>
        <v>0</v>
      </c>
    </row>
    <row r="90" ht="12.75" customHeight="1">
      <c r="A90" s="18"/>
      <c r="B90" s="71"/>
      <c r="C90" s="72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AE91" si="21">SUM(E81:E88)</f>
        <v>34</v>
      </c>
      <c r="F91" s="13">
        <f t="shared" si="21"/>
        <v>32</v>
      </c>
      <c r="G91" s="13">
        <f t="shared" si="21"/>
        <v>21</v>
      </c>
      <c r="H91" s="13">
        <f t="shared" si="21"/>
        <v>22</v>
      </c>
      <c r="I91" s="13">
        <f t="shared" si="21"/>
        <v>13</v>
      </c>
      <c r="J91" s="13">
        <f t="shared" si="21"/>
        <v>15</v>
      </c>
      <c r="K91" s="13">
        <f t="shared" si="21"/>
        <v>21</v>
      </c>
      <c r="L91" s="13">
        <f t="shared" si="21"/>
        <v>6</v>
      </c>
      <c r="M91" s="13">
        <f t="shared" si="21"/>
        <v>7</v>
      </c>
      <c r="N91" s="13">
        <f t="shared" si="21"/>
        <v>8</v>
      </c>
      <c r="O91" s="13">
        <f t="shared" si="21"/>
        <v>31</v>
      </c>
      <c r="P91" s="13">
        <f t="shared" si="21"/>
        <v>31</v>
      </c>
      <c r="Q91" s="13">
        <f t="shared" si="21"/>
        <v>10</v>
      </c>
      <c r="R91" s="13">
        <f t="shared" si="21"/>
        <v>7</v>
      </c>
      <c r="S91" s="13">
        <f t="shared" si="21"/>
        <v>13</v>
      </c>
      <c r="T91" s="13">
        <f t="shared" si="21"/>
        <v>12</v>
      </c>
      <c r="U91" s="13">
        <f t="shared" si="21"/>
        <v>6</v>
      </c>
      <c r="V91" s="13">
        <f t="shared" si="21"/>
        <v>13</v>
      </c>
      <c r="W91" s="13">
        <f t="shared" si="21"/>
        <v>11</v>
      </c>
      <c r="X91" s="13">
        <f t="shared" si="21"/>
        <v>3</v>
      </c>
      <c r="Y91" s="13">
        <f t="shared" si="21"/>
        <v>4</v>
      </c>
      <c r="Z91" s="13">
        <f t="shared" si="21"/>
        <v>12</v>
      </c>
      <c r="AA91" s="13">
        <f t="shared" si="21"/>
        <v>19</v>
      </c>
      <c r="AB91" s="13">
        <f t="shared" si="21"/>
        <v>46</v>
      </c>
      <c r="AC91" s="13">
        <f t="shared" si="21"/>
        <v>15</v>
      </c>
      <c r="AD91" s="13">
        <f t="shared" si="21"/>
        <v>37</v>
      </c>
      <c r="AE91" s="13">
        <f t="shared" si="21"/>
        <v>39</v>
      </c>
      <c r="AF91" s="13">
        <f t="shared" si="20"/>
        <v>488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2.0</v>
      </c>
      <c r="F93" s="19">
        <v>4.0</v>
      </c>
      <c r="G93" s="19">
        <v>3.0</v>
      </c>
      <c r="H93" s="19">
        <v>2.0</v>
      </c>
      <c r="I93" s="19">
        <v>0.0</v>
      </c>
      <c r="J93" s="19">
        <v>0.0</v>
      </c>
      <c r="K93" s="19">
        <v>0.0</v>
      </c>
      <c r="L93" s="19">
        <v>0.0</v>
      </c>
      <c r="M93" s="19">
        <v>0.0</v>
      </c>
      <c r="N93" s="19">
        <v>1.0</v>
      </c>
      <c r="O93" s="19">
        <v>2.0</v>
      </c>
      <c r="P93" s="19">
        <v>2.0</v>
      </c>
      <c r="Q93" s="19">
        <v>1.0</v>
      </c>
      <c r="R93" s="19">
        <v>1.0</v>
      </c>
      <c r="S93" s="19">
        <v>0.0</v>
      </c>
      <c r="T93" s="19">
        <v>1.0</v>
      </c>
      <c r="U93" s="19">
        <v>0.0</v>
      </c>
      <c r="V93" s="19">
        <v>0.0</v>
      </c>
      <c r="W93" s="19">
        <v>1.0</v>
      </c>
      <c r="X93" s="19">
        <v>2.0</v>
      </c>
      <c r="Y93" s="19">
        <v>1.0</v>
      </c>
      <c r="Z93" s="19">
        <v>2.0</v>
      </c>
      <c r="AA93" s="19">
        <v>4.0</v>
      </c>
      <c r="AB93" s="19">
        <v>5.0</v>
      </c>
      <c r="AC93" s="19">
        <v>2.0</v>
      </c>
      <c r="AD93" s="19">
        <v>1.0</v>
      </c>
      <c r="AE93" s="19">
        <v>0.0</v>
      </c>
      <c r="AF93" s="13">
        <f t="shared" ref="AF93:AF103" si="22">SUM(E93:AE93)</f>
        <v>37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0.0</v>
      </c>
      <c r="G94" s="19">
        <v>0.0</v>
      </c>
      <c r="H94" s="19">
        <v>0.0</v>
      </c>
      <c r="I94" s="19">
        <v>2.0</v>
      </c>
      <c r="J94" s="19">
        <v>1.0</v>
      </c>
      <c r="K94" s="19">
        <v>1.0</v>
      </c>
      <c r="L94" s="19">
        <v>0.0</v>
      </c>
      <c r="M94" s="19">
        <v>2.0</v>
      </c>
      <c r="N94" s="19">
        <v>2.0</v>
      </c>
      <c r="O94" s="19">
        <v>0.0</v>
      </c>
      <c r="P94" s="19">
        <v>1.0</v>
      </c>
      <c r="Q94" s="19">
        <v>0.0</v>
      </c>
      <c r="R94" s="19">
        <v>1.0</v>
      </c>
      <c r="S94" s="19">
        <v>1.0</v>
      </c>
      <c r="T94" s="19">
        <v>0.0</v>
      </c>
      <c r="U94" s="19">
        <v>0.0</v>
      </c>
      <c r="V94" s="19">
        <v>2.0</v>
      </c>
      <c r="W94" s="19">
        <v>0.0</v>
      </c>
      <c r="X94" s="19">
        <v>0.0</v>
      </c>
      <c r="Y94" s="19">
        <v>8.0</v>
      </c>
      <c r="Z94" s="19">
        <v>1.0</v>
      </c>
      <c r="AA94" s="19">
        <v>2.0</v>
      </c>
      <c r="AB94" s="19">
        <v>1.0</v>
      </c>
      <c r="AC94" s="19">
        <v>3.0</v>
      </c>
      <c r="AD94" s="19">
        <v>0.0</v>
      </c>
      <c r="AE94" s="19">
        <v>2.0</v>
      </c>
      <c r="AF94" s="13">
        <f t="shared" si="22"/>
        <v>30</v>
      </c>
    </row>
    <row r="95" ht="12.75" customHeight="1">
      <c r="A95" s="18"/>
      <c r="B95" s="55">
        <v>2.0</v>
      </c>
      <c r="C95" s="50" t="s">
        <v>75</v>
      </c>
      <c r="D95" s="57"/>
      <c r="E95" s="19">
        <v>4.0</v>
      </c>
      <c r="F95" s="19">
        <v>1.0</v>
      </c>
      <c r="G95" s="19">
        <v>1.0</v>
      </c>
      <c r="H95" s="19">
        <v>0.0</v>
      </c>
      <c r="I95" s="19">
        <v>4.0</v>
      </c>
      <c r="J95" s="19">
        <v>2.0</v>
      </c>
      <c r="K95" s="19">
        <v>3.0</v>
      </c>
      <c r="L95" s="19">
        <v>6.0</v>
      </c>
      <c r="M95" s="19">
        <v>3.0</v>
      </c>
      <c r="N95" s="19">
        <v>0.0</v>
      </c>
      <c r="O95" s="19">
        <v>0.0</v>
      </c>
      <c r="P95" s="19">
        <v>0.0</v>
      </c>
      <c r="Q95" s="19">
        <v>0.0</v>
      </c>
      <c r="R95" s="19">
        <v>1.0</v>
      </c>
      <c r="S95" s="19">
        <v>1.0</v>
      </c>
      <c r="T95" s="19">
        <v>0.0</v>
      </c>
      <c r="U95" s="19">
        <v>0.0</v>
      </c>
      <c r="V95" s="19">
        <v>2.0</v>
      </c>
      <c r="W95" s="19">
        <v>5.0</v>
      </c>
      <c r="X95" s="19">
        <v>2.0</v>
      </c>
      <c r="Y95" s="19">
        <v>1.0</v>
      </c>
      <c r="Z95" s="19">
        <v>21.0</v>
      </c>
      <c r="AA95" s="19">
        <v>9.0</v>
      </c>
      <c r="AB95" s="19">
        <v>8.0</v>
      </c>
      <c r="AC95" s="19">
        <v>1.0</v>
      </c>
      <c r="AD95" s="19">
        <v>3.0</v>
      </c>
      <c r="AE95" s="19">
        <v>4.0</v>
      </c>
      <c r="AF95" s="13">
        <f t="shared" si="22"/>
        <v>82</v>
      </c>
    </row>
    <row r="96" ht="12.75" customHeight="1">
      <c r="A96" s="18"/>
      <c r="B96" s="55">
        <v>3.0</v>
      </c>
      <c r="C96" s="50" t="s">
        <v>76</v>
      </c>
      <c r="D96" s="57"/>
      <c r="E96" s="19">
        <v>1.0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1.0</v>
      </c>
      <c r="P96" s="19">
        <v>0.0</v>
      </c>
      <c r="Q96" s="19">
        <v>0.0</v>
      </c>
      <c r="R96" s="19">
        <v>0.0</v>
      </c>
      <c r="S96" s="19">
        <v>1.0</v>
      </c>
      <c r="T96" s="19">
        <v>3.0</v>
      </c>
      <c r="U96" s="19">
        <v>0.0</v>
      </c>
      <c r="V96" s="19">
        <v>0.0</v>
      </c>
      <c r="W96" s="19">
        <v>0.0</v>
      </c>
      <c r="X96" s="19">
        <v>1.0</v>
      </c>
      <c r="Y96" s="19">
        <v>0.0</v>
      </c>
      <c r="Z96" s="19">
        <v>0.0</v>
      </c>
      <c r="AA96" s="19">
        <v>0.0</v>
      </c>
      <c r="AB96" s="19">
        <v>0.0</v>
      </c>
      <c r="AC96" s="19">
        <v>1.0</v>
      </c>
      <c r="AD96" s="19">
        <v>1.0</v>
      </c>
      <c r="AE96" s="19">
        <v>2.0</v>
      </c>
      <c r="AF96" s="13">
        <f t="shared" si="22"/>
        <v>11</v>
      </c>
    </row>
    <row r="97" ht="12.75" customHeight="1">
      <c r="A97" s="18"/>
      <c r="B97" s="55">
        <v>4.0</v>
      </c>
      <c r="C97" s="50" t="s">
        <v>77</v>
      </c>
      <c r="D97" s="57"/>
      <c r="E97" s="19">
        <v>1.0</v>
      </c>
      <c r="F97" s="19">
        <v>2.0</v>
      </c>
      <c r="G97" s="19">
        <v>1.0</v>
      </c>
      <c r="H97" s="19">
        <v>3.0</v>
      </c>
      <c r="I97" s="19">
        <v>1.0</v>
      </c>
      <c r="J97" s="19">
        <v>0.0</v>
      </c>
      <c r="K97" s="19">
        <v>0.0</v>
      </c>
      <c r="L97" s="19">
        <v>1.0</v>
      </c>
      <c r="M97" s="19">
        <v>3.0</v>
      </c>
      <c r="N97" s="19">
        <v>12.0</v>
      </c>
      <c r="O97" s="19">
        <v>3.0</v>
      </c>
      <c r="P97" s="19">
        <v>0.0</v>
      </c>
      <c r="Q97" s="19">
        <v>2.0</v>
      </c>
      <c r="R97" s="19">
        <v>1.0</v>
      </c>
      <c r="S97" s="19">
        <v>1.0</v>
      </c>
      <c r="T97" s="19">
        <v>1.0</v>
      </c>
      <c r="U97" s="19">
        <v>0.0</v>
      </c>
      <c r="V97" s="19">
        <v>0.0</v>
      </c>
      <c r="W97" s="19">
        <v>0.0</v>
      </c>
      <c r="X97" s="19">
        <v>0.0</v>
      </c>
      <c r="Y97" s="19">
        <v>1.0</v>
      </c>
      <c r="Z97" s="19">
        <v>0.0</v>
      </c>
      <c r="AA97" s="19">
        <v>1.0</v>
      </c>
      <c r="AB97" s="19">
        <v>3.0</v>
      </c>
      <c r="AC97" s="19">
        <v>1.0</v>
      </c>
      <c r="AD97" s="19">
        <v>3.0</v>
      </c>
      <c r="AE97" s="19">
        <v>5.0</v>
      </c>
      <c r="AF97" s="13">
        <f t="shared" si="22"/>
        <v>46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1.0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1.0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2.0</v>
      </c>
      <c r="U98" s="19">
        <v>0.0</v>
      </c>
      <c r="V98" s="19">
        <v>0.0</v>
      </c>
      <c r="W98" s="19">
        <v>0.0</v>
      </c>
      <c r="X98" s="19">
        <v>0.0</v>
      </c>
      <c r="Y98" s="19">
        <v>2.0</v>
      </c>
      <c r="Z98" s="19">
        <v>2.0</v>
      </c>
      <c r="AA98" s="19">
        <v>1.0</v>
      </c>
      <c r="AB98" s="19">
        <v>2.0</v>
      </c>
      <c r="AC98" s="19">
        <v>1.0</v>
      </c>
      <c r="AD98" s="19">
        <v>0.0</v>
      </c>
      <c r="AE98" s="19">
        <v>1.0</v>
      </c>
      <c r="AF98" s="13">
        <f t="shared" si="22"/>
        <v>13</v>
      </c>
    </row>
    <row r="99" ht="12.75" customHeight="1">
      <c r="A99" s="18"/>
      <c r="B99" s="55">
        <v>6.0</v>
      </c>
      <c r="C99" s="50" t="s">
        <v>79</v>
      </c>
      <c r="D99" s="57"/>
      <c r="E99" s="19">
        <v>1.0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1.0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1.0</v>
      </c>
      <c r="AA99" s="19">
        <v>0.0</v>
      </c>
      <c r="AB99" s="19">
        <v>0.0</v>
      </c>
      <c r="AC99" s="19">
        <v>0.0</v>
      </c>
      <c r="AD99" s="19">
        <v>0.0</v>
      </c>
      <c r="AE99" s="19">
        <v>1.0</v>
      </c>
      <c r="AF99" s="13">
        <f t="shared" si="22"/>
        <v>4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1.0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3">
        <f t="shared" si="22"/>
        <v>1</v>
      </c>
    </row>
    <row r="101" ht="12.75" customHeight="1">
      <c r="A101" s="18"/>
      <c r="B101" s="71"/>
      <c r="C101" s="72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3">
        <f t="shared" si="22"/>
        <v>0</v>
      </c>
    </row>
    <row r="102" ht="12.75" customHeight="1">
      <c r="A102" s="18"/>
      <c r="B102" s="71"/>
      <c r="C102" s="72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AE103" si="23">SUM(E93:E100)</f>
        <v>9</v>
      </c>
      <c r="F103" s="13">
        <f t="shared" si="23"/>
        <v>8</v>
      </c>
      <c r="G103" s="13">
        <f t="shared" si="23"/>
        <v>5</v>
      </c>
      <c r="H103" s="13">
        <f t="shared" si="23"/>
        <v>5</v>
      </c>
      <c r="I103" s="13">
        <f t="shared" si="23"/>
        <v>7</v>
      </c>
      <c r="J103" s="13">
        <f t="shared" si="23"/>
        <v>3</v>
      </c>
      <c r="K103" s="13">
        <f t="shared" si="23"/>
        <v>4</v>
      </c>
      <c r="L103" s="13">
        <f t="shared" si="23"/>
        <v>8</v>
      </c>
      <c r="M103" s="13">
        <f t="shared" si="23"/>
        <v>9</v>
      </c>
      <c r="N103" s="13">
        <f t="shared" si="23"/>
        <v>15</v>
      </c>
      <c r="O103" s="13">
        <f t="shared" si="23"/>
        <v>6</v>
      </c>
      <c r="P103" s="13">
        <f t="shared" si="23"/>
        <v>3</v>
      </c>
      <c r="Q103" s="13">
        <f t="shared" si="23"/>
        <v>3</v>
      </c>
      <c r="R103" s="13">
        <f t="shared" si="23"/>
        <v>4</v>
      </c>
      <c r="S103" s="13">
        <f t="shared" si="23"/>
        <v>5</v>
      </c>
      <c r="T103" s="13">
        <f t="shared" si="23"/>
        <v>7</v>
      </c>
      <c r="U103" s="13">
        <f t="shared" si="23"/>
        <v>0</v>
      </c>
      <c r="V103" s="13">
        <f t="shared" si="23"/>
        <v>4</v>
      </c>
      <c r="W103" s="13">
        <f t="shared" si="23"/>
        <v>6</v>
      </c>
      <c r="X103" s="13">
        <f t="shared" si="23"/>
        <v>5</v>
      </c>
      <c r="Y103" s="13">
        <f t="shared" si="23"/>
        <v>13</v>
      </c>
      <c r="Z103" s="13">
        <f t="shared" si="23"/>
        <v>27</v>
      </c>
      <c r="AA103" s="13">
        <f t="shared" si="23"/>
        <v>17</v>
      </c>
      <c r="AB103" s="13">
        <f t="shared" si="23"/>
        <v>19</v>
      </c>
      <c r="AC103" s="13">
        <f t="shared" si="23"/>
        <v>9</v>
      </c>
      <c r="AD103" s="13">
        <f t="shared" si="23"/>
        <v>8</v>
      </c>
      <c r="AE103" s="13">
        <f t="shared" si="23"/>
        <v>15</v>
      </c>
      <c r="AF103" s="13">
        <f t="shared" si="22"/>
        <v>224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1.0</v>
      </c>
      <c r="G105" s="19">
        <v>0.0</v>
      </c>
      <c r="H105" s="19">
        <v>2.0</v>
      </c>
      <c r="I105" s="19">
        <v>0.0</v>
      </c>
      <c r="J105" s="19">
        <v>1.0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1.0</v>
      </c>
      <c r="Q105" s="19">
        <v>1.0</v>
      </c>
      <c r="R105" s="19">
        <v>0.0</v>
      </c>
      <c r="S105" s="19">
        <v>0.0</v>
      </c>
      <c r="T105" s="19">
        <v>1.0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1.0</v>
      </c>
      <c r="AD105" s="19">
        <v>1.0</v>
      </c>
      <c r="AE105" s="19">
        <v>0.0</v>
      </c>
      <c r="AF105" s="13">
        <f t="shared" ref="AF105:AF115" si="24">SUM(E105:AE105)</f>
        <v>9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1.0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1.0</v>
      </c>
      <c r="AE106" s="19">
        <v>0.0</v>
      </c>
      <c r="AF106" s="13">
        <f t="shared" si="24"/>
        <v>2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1.0</v>
      </c>
      <c r="Q107" s="19">
        <v>1.0</v>
      </c>
      <c r="R107" s="19">
        <v>0.0</v>
      </c>
      <c r="S107" s="19">
        <v>0.0</v>
      </c>
      <c r="T107" s="19">
        <v>0.0</v>
      </c>
      <c r="U107" s="19">
        <v>1.0</v>
      </c>
      <c r="V107" s="19">
        <v>0.0</v>
      </c>
      <c r="W107" s="19">
        <v>0.0</v>
      </c>
      <c r="X107" s="19">
        <v>0.0</v>
      </c>
      <c r="Y107" s="19">
        <v>0.0</v>
      </c>
      <c r="Z107" s="19">
        <v>1.0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1.0</v>
      </c>
      <c r="AF107" s="13">
        <f t="shared" si="24"/>
        <v>5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1.0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2.0</v>
      </c>
      <c r="Q108" s="19">
        <v>0.0</v>
      </c>
      <c r="R108" s="19">
        <v>0.0</v>
      </c>
      <c r="S108" s="19">
        <v>0.0</v>
      </c>
      <c r="T108" s="19">
        <v>0.0</v>
      </c>
      <c r="U108" s="19">
        <v>1.0</v>
      </c>
      <c r="V108" s="19">
        <v>0.0</v>
      </c>
      <c r="W108" s="19">
        <v>0.0</v>
      </c>
      <c r="X108" s="19">
        <v>0.0</v>
      </c>
      <c r="Y108" s="19">
        <v>0.0</v>
      </c>
      <c r="Z108" s="19">
        <v>1.0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3">
        <f t="shared" si="24"/>
        <v>5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1.0</v>
      </c>
      <c r="AC111" s="19">
        <v>0.0</v>
      </c>
      <c r="AD111" s="19">
        <v>0.0</v>
      </c>
      <c r="AE111" s="19">
        <v>0.0</v>
      </c>
      <c r="AF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1.0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3">
        <f t="shared" si="24"/>
        <v>1</v>
      </c>
    </row>
    <row r="113" ht="12.75" customHeight="1">
      <c r="A113" s="18"/>
      <c r="B113" s="71"/>
      <c r="C113" s="72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3">
        <f t="shared" si="24"/>
        <v>0</v>
      </c>
    </row>
    <row r="114" ht="12.75" customHeight="1">
      <c r="A114" s="18"/>
      <c r="B114" s="71"/>
      <c r="C114" s="72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E115" si="25">SUM(E105:E112)</f>
        <v>0</v>
      </c>
      <c r="F115" s="13">
        <f t="shared" si="25"/>
        <v>2</v>
      </c>
      <c r="G115" s="13">
        <f t="shared" si="25"/>
        <v>1</v>
      </c>
      <c r="H115" s="13">
        <f t="shared" si="25"/>
        <v>2</v>
      </c>
      <c r="I115" s="13">
        <f t="shared" si="25"/>
        <v>0</v>
      </c>
      <c r="J115" s="13">
        <f t="shared" si="25"/>
        <v>1</v>
      </c>
      <c r="K115" s="13">
        <f t="shared" si="25"/>
        <v>0</v>
      </c>
      <c r="L115" s="13">
        <f t="shared" si="25"/>
        <v>1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4</v>
      </c>
      <c r="Q115" s="13">
        <f t="shared" si="25"/>
        <v>2</v>
      </c>
      <c r="R115" s="13">
        <f t="shared" si="25"/>
        <v>0</v>
      </c>
      <c r="S115" s="13">
        <f t="shared" si="25"/>
        <v>0</v>
      </c>
      <c r="T115" s="13">
        <f t="shared" si="25"/>
        <v>1</v>
      </c>
      <c r="U115" s="13">
        <f t="shared" si="25"/>
        <v>2</v>
      </c>
      <c r="V115" s="13">
        <f t="shared" si="25"/>
        <v>0</v>
      </c>
      <c r="W115" s="13">
        <f t="shared" si="25"/>
        <v>0</v>
      </c>
      <c r="X115" s="13">
        <f t="shared" si="25"/>
        <v>0</v>
      </c>
      <c r="Y115" s="13">
        <f t="shared" si="25"/>
        <v>0</v>
      </c>
      <c r="Z115" s="13">
        <f t="shared" si="25"/>
        <v>2</v>
      </c>
      <c r="AA115" s="13">
        <f t="shared" si="25"/>
        <v>0</v>
      </c>
      <c r="AB115" s="13">
        <f t="shared" si="25"/>
        <v>1</v>
      </c>
      <c r="AC115" s="13">
        <f t="shared" si="25"/>
        <v>1</v>
      </c>
      <c r="AD115" s="13">
        <f t="shared" si="25"/>
        <v>2</v>
      </c>
      <c r="AE115" s="13">
        <f t="shared" si="25"/>
        <v>1</v>
      </c>
      <c r="AF115" s="13">
        <f t="shared" si="24"/>
        <v>23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2.0</v>
      </c>
      <c r="G117" s="19">
        <v>1.0</v>
      </c>
      <c r="H117" s="19">
        <v>2.0</v>
      </c>
      <c r="I117" s="19">
        <v>1.0</v>
      </c>
      <c r="J117" s="19">
        <v>4.0</v>
      </c>
      <c r="K117" s="19">
        <v>2.0</v>
      </c>
      <c r="L117" s="19">
        <v>1.0</v>
      </c>
      <c r="M117" s="19">
        <v>0.0</v>
      </c>
      <c r="N117" s="19">
        <v>2.0</v>
      </c>
      <c r="O117" s="19">
        <v>9.0</v>
      </c>
      <c r="P117" s="19">
        <v>0.0</v>
      </c>
      <c r="Q117" s="19">
        <v>3.0</v>
      </c>
      <c r="R117" s="19">
        <v>5.0</v>
      </c>
      <c r="S117" s="19">
        <v>2.0</v>
      </c>
      <c r="T117" s="19">
        <v>2.0</v>
      </c>
      <c r="U117" s="19">
        <v>3.0</v>
      </c>
      <c r="V117" s="19">
        <v>2.0</v>
      </c>
      <c r="W117" s="19">
        <v>0.0</v>
      </c>
      <c r="X117" s="19">
        <v>0.0</v>
      </c>
      <c r="Y117" s="19">
        <v>0.0</v>
      </c>
      <c r="Z117" s="19">
        <v>2.0</v>
      </c>
      <c r="AA117" s="19">
        <v>1.0</v>
      </c>
      <c r="AB117" s="19">
        <v>1.0</v>
      </c>
      <c r="AC117" s="19">
        <v>1.0</v>
      </c>
      <c r="AD117" s="19">
        <v>2.0</v>
      </c>
      <c r="AE117" s="19">
        <v>3.0</v>
      </c>
      <c r="AF117" s="13">
        <f t="shared" ref="AF117:AF127" si="26">SUM(E117:AE117)</f>
        <v>51</v>
      </c>
      <c r="AG117" s="5"/>
      <c r="AH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1.0</v>
      </c>
      <c r="F118" s="19">
        <v>0.0</v>
      </c>
      <c r="G118" s="19">
        <v>3.0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1.0</v>
      </c>
      <c r="T118" s="19">
        <v>0.0</v>
      </c>
      <c r="U118" s="19">
        <v>3.0</v>
      </c>
      <c r="V118" s="19">
        <v>0.0</v>
      </c>
      <c r="W118" s="19">
        <v>1.0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1.0</v>
      </c>
      <c r="AF118" s="13">
        <f t="shared" si="26"/>
        <v>10</v>
      </c>
      <c r="AG118" s="5"/>
      <c r="AH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1.0</v>
      </c>
      <c r="P119" s="19">
        <v>0.0</v>
      </c>
      <c r="Q119" s="19">
        <v>0.0</v>
      </c>
      <c r="R119" s="19">
        <v>0.0</v>
      </c>
      <c r="S119" s="19">
        <v>1.0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1.0</v>
      </c>
      <c r="AF119" s="13">
        <f t="shared" si="26"/>
        <v>3</v>
      </c>
      <c r="AG119" s="5"/>
      <c r="AH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1.0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1.0</v>
      </c>
      <c r="AB120" s="19">
        <v>1.0</v>
      </c>
      <c r="AC120" s="19">
        <v>1.0</v>
      </c>
      <c r="AD120" s="19">
        <v>0.0</v>
      </c>
      <c r="AE120" s="19">
        <v>0.0</v>
      </c>
      <c r="AF120" s="13">
        <f t="shared" si="26"/>
        <v>4</v>
      </c>
      <c r="AG120" s="5"/>
      <c r="AH120" s="5"/>
    </row>
    <row r="121" ht="12.75" customHeight="1">
      <c r="A121" s="18"/>
      <c r="B121" s="71"/>
      <c r="C121" s="72"/>
      <c r="D121" s="74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3">
        <f t="shared" si="26"/>
        <v>0</v>
      </c>
      <c r="AG121" s="5"/>
      <c r="AH121" s="5"/>
    </row>
    <row r="122" ht="12.75" customHeight="1">
      <c r="A122" s="18"/>
      <c r="B122" s="71"/>
      <c r="C122" s="72"/>
      <c r="D122" s="74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3">
        <f t="shared" si="26"/>
        <v>0</v>
      </c>
      <c r="AG122" s="5"/>
      <c r="AH122" s="5"/>
    </row>
    <row r="123" ht="12.75" customHeight="1">
      <c r="A123" s="18"/>
      <c r="B123" s="71"/>
      <c r="C123" s="72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13">
        <f t="shared" si="26"/>
        <v>0</v>
      </c>
      <c r="AG123" s="5"/>
      <c r="AH123" s="5"/>
    </row>
    <row r="124" ht="12.75" customHeight="1">
      <c r="A124" s="18"/>
      <c r="B124" s="71"/>
      <c r="C124" s="72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13">
        <f t="shared" si="26"/>
        <v>0</v>
      </c>
      <c r="AG124" s="5"/>
      <c r="AH124" s="5"/>
    </row>
    <row r="125" ht="12.75" customHeight="1">
      <c r="A125" s="18"/>
      <c r="B125" s="71"/>
      <c r="C125" s="72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13">
        <f t="shared" si="26"/>
        <v>0</v>
      </c>
      <c r="AG125" s="5"/>
      <c r="AH125" s="5"/>
    </row>
    <row r="126" ht="12.75" customHeight="1">
      <c r="A126" s="18"/>
      <c r="B126" s="71"/>
      <c r="C126" s="72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13">
        <f t="shared" si="26"/>
        <v>0</v>
      </c>
      <c r="AG126" s="5"/>
      <c r="AH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AE127" si="27">SUM(E117:E120)</f>
        <v>1</v>
      </c>
      <c r="F127" s="58">
        <f t="shared" si="27"/>
        <v>2</v>
      </c>
      <c r="G127" s="58">
        <f t="shared" si="27"/>
        <v>4</v>
      </c>
      <c r="H127" s="58">
        <f t="shared" si="27"/>
        <v>2</v>
      </c>
      <c r="I127" s="58">
        <f t="shared" si="27"/>
        <v>1</v>
      </c>
      <c r="J127" s="58">
        <f t="shared" si="27"/>
        <v>4</v>
      </c>
      <c r="K127" s="58">
        <f t="shared" si="27"/>
        <v>2</v>
      </c>
      <c r="L127" s="58">
        <f t="shared" si="27"/>
        <v>1</v>
      </c>
      <c r="M127" s="58">
        <f t="shared" si="27"/>
        <v>0</v>
      </c>
      <c r="N127" s="58">
        <f t="shared" si="27"/>
        <v>2</v>
      </c>
      <c r="O127" s="58">
        <f t="shared" si="27"/>
        <v>10</v>
      </c>
      <c r="P127" s="58">
        <f t="shared" si="27"/>
        <v>0</v>
      </c>
      <c r="Q127" s="58">
        <f t="shared" si="27"/>
        <v>3</v>
      </c>
      <c r="R127" s="58">
        <f t="shared" si="27"/>
        <v>5</v>
      </c>
      <c r="S127" s="58">
        <f t="shared" si="27"/>
        <v>5</v>
      </c>
      <c r="T127" s="58">
        <f t="shared" si="27"/>
        <v>2</v>
      </c>
      <c r="U127" s="58">
        <f t="shared" si="27"/>
        <v>6</v>
      </c>
      <c r="V127" s="58">
        <f t="shared" si="27"/>
        <v>2</v>
      </c>
      <c r="W127" s="58">
        <f t="shared" si="27"/>
        <v>1</v>
      </c>
      <c r="X127" s="58">
        <f t="shared" si="27"/>
        <v>0</v>
      </c>
      <c r="Y127" s="58">
        <f t="shared" si="27"/>
        <v>0</v>
      </c>
      <c r="Z127" s="58">
        <f t="shared" si="27"/>
        <v>2</v>
      </c>
      <c r="AA127" s="58">
        <f t="shared" si="27"/>
        <v>2</v>
      </c>
      <c r="AB127" s="58">
        <f t="shared" si="27"/>
        <v>2</v>
      </c>
      <c r="AC127" s="58">
        <f t="shared" si="27"/>
        <v>2</v>
      </c>
      <c r="AD127" s="58">
        <f t="shared" si="27"/>
        <v>2</v>
      </c>
      <c r="AE127" s="58">
        <f t="shared" si="27"/>
        <v>5</v>
      </c>
      <c r="AF127" s="13">
        <f t="shared" si="26"/>
        <v>68</v>
      </c>
      <c r="AG127" s="5"/>
      <c r="AH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5"/>
      <c r="AH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2.0</v>
      </c>
      <c r="G129" s="19">
        <v>1.0</v>
      </c>
      <c r="H129" s="19">
        <v>0.0</v>
      </c>
      <c r="I129" s="19">
        <v>0.0</v>
      </c>
      <c r="J129" s="19">
        <v>0.0</v>
      </c>
      <c r="K129" s="19">
        <v>0.0</v>
      </c>
      <c r="L129" s="19">
        <v>0.0</v>
      </c>
      <c r="M129" s="19">
        <v>0.0</v>
      </c>
      <c r="N129" s="19">
        <v>0.0</v>
      </c>
      <c r="O129" s="19">
        <v>0.0</v>
      </c>
      <c r="P129" s="19">
        <v>0.0</v>
      </c>
      <c r="Q129" s="19">
        <v>2.0</v>
      </c>
      <c r="R129" s="19">
        <v>0.0</v>
      </c>
      <c r="S129" s="19">
        <v>0.0</v>
      </c>
      <c r="T129" s="19">
        <v>0.0</v>
      </c>
      <c r="U129" s="19">
        <v>0.0</v>
      </c>
      <c r="V129" s="19">
        <v>0.0</v>
      </c>
      <c r="W129" s="19">
        <v>0.0</v>
      </c>
      <c r="X129" s="19">
        <v>0.0</v>
      </c>
      <c r="Y129" s="19">
        <v>0.0</v>
      </c>
      <c r="Z129" s="19">
        <v>0.0</v>
      </c>
      <c r="AA129" s="19">
        <v>0.0</v>
      </c>
      <c r="AB129" s="19">
        <v>0.0</v>
      </c>
      <c r="AC129" s="19">
        <v>0.0</v>
      </c>
      <c r="AD129" s="19">
        <v>0.0</v>
      </c>
      <c r="AE129" s="19">
        <v>0.0</v>
      </c>
      <c r="AF129" s="13">
        <f t="shared" ref="AF129:AF139" si="28">SUM(E129:AE129)</f>
        <v>6</v>
      </c>
      <c r="AG129" s="5"/>
      <c r="AH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2.0</v>
      </c>
      <c r="F130" s="19">
        <v>2.0</v>
      </c>
      <c r="G130" s="19">
        <v>0.0</v>
      </c>
      <c r="H130" s="19">
        <v>0.0</v>
      </c>
      <c r="I130" s="19">
        <v>0.0</v>
      </c>
      <c r="J130" s="19">
        <v>0.0</v>
      </c>
      <c r="K130" s="19">
        <v>0.0</v>
      </c>
      <c r="L130" s="19">
        <v>0.0</v>
      </c>
      <c r="M130" s="19">
        <v>0.0</v>
      </c>
      <c r="N130" s="19">
        <v>0.0</v>
      </c>
      <c r="O130" s="19">
        <v>0.0</v>
      </c>
      <c r="P130" s="19">
        <v>0.0</v>
      </c>
      <c r="Q130" s="19">
        <v>0.0</v>
      </c>
      <c r="R130" s="19">
        <v>0.0</v>
      </c>
      <c r="S130" s="19">
        <v>0.0</v>
      </c>
      <c r="T130" s="19">
        <v>0.0</v>
      </c>
      <c r="U130" s="19">
        <v>0.0</v>
      </c>
      <c r="V130" s="19">
        <v>0.0</v>
      </c>
      <c r="W130" s="19">
        <v>0.0</v>
      </c>
      <c r="X130" s="19">
        <v>0.0</v>
      </c>
      <c r="Y130" s="19">
        <v>0.0</v>
      </c>
      <c r="Z130" s="19">
        <v>0.0</v>
      </c>
      <c r="AA130" s="19">
        <v>0.0</v>
      </c>
      <c r="AB130" s="19">
        <v>0.0</v>
      </c>
      <c r="AC130" s="19">
        <v>0.0</v>
      </c>
      <c r="AD130" s="19">
        <v>0.0</v>
      </c>
      <c r="AE130" s="19">
        <v>0.0</v>
      </c>
      <c r="AF130" s="13">
        <f t="shared" si="28"/>
        <v>4</v>
      </c>
      <c r="AG130" s="1"/>
      <c r="AH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1.0</v>
      </c>
      <c r="H131" s="19">
        <v>1.0</v>
      </c>
      <c r="I131" s="19">
        <v>0.0</v>
      </c>
      <c r="J131" s="19">
        <v>0.0</v>
      </c>
      <c r="K131" s="19">
        <v>0.0</v>
      </c>
      <c r="L131" s="19">
        <v>1.0</v>
      </c>
      <c r="M131" s="19">
        <v>0.0</v>
      </c>
      <c r="N131" s="19">
        <v>0.0</v>
      </c>
      <c r="O131" s="19">
        <v>1.0</v>
      </c>
      <c r="P131" s="19">
        <v>2.0</v>
      </c>
      <c r="Q131" s="19">
        <v>0.0</v>
      </c>
      <c r="R131" s="19">
        <v>0.0</v>
      </c>
      <c r="S131" s="19">
        <v>0.0</v>
      </c>
      <c r="T131" s="19">
        <v>0.0</v>
      </c>
      <c r="U131" s="19">
        <v>1.0</v>
      </c>
      <c r="V131" s="19">
        <v>1.0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1.0</v>
      </c>
      <c r="AB131" s="19">
        <v>3.0</v>
      </c>
      <c r="AC131" s="19">
        <v>0.0</v>
      </c>
      <c r="AD131" s="19">
        <v>0.0</v>
      </c>
      <c r="AE131" s="19">
        <v>0.0</v>
      </c>
      <c r="AF131" s="13">
        <f t="shared" si="28"/>
        <v>12</v>
      </c>
      <c r="AG131" s="52"/>
      <c r="AH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1.0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3">
        <f t="shared" si="28"/>
        <v>1</v>
      </c>
      <c r="AG132" s="5"/>
      <c r="AH132" s="5"/>
    </row>
    <row r="133" ht="12.75" customHeight="1">
      <c r="A133" s="18"/>
      <c r="B133" s="55">
        <v>4.0</v>
      </c>
      <c r="C133" s="50" t="s">
        <v>100</v>
      </c>
      <c r="D133" s="56"/>
      <c r="E133" s="19">
        <v>1.0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1.0</v>
      </c>
      <c r="AB133" s="19">
        <v>1.0</v>
      </c>
      <c r="AC133" s="19">
        <v>0.0</v>
      </c>
      <c r="AD133" s="19">
        <v>0.0</v>
      </c>
      <c r="AE133" s="19">
        <v>0.0</v>
      </c>
      <c r="AF133" s="13">
        <f t="shared" si="28"/>
        <v>3</v>
      </c>
      <c r="AG133" s="5"/>
      <c r="AH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3">
        <f t="shared" si="28"/>
        <v>0</v>
      </c>
      <c r="AG134" s="5"/>
      <c r="AH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1.0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3">
        <f t="shared" si="28"/>
        <v>1</v>
      </c>
      <c r="AG135" s="5"/>
      <c r="AH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3">
        <f t="shared" si="28"/>
        <v>0</v>
      </c>
      <c r="AG136" s="5"/>
      <c r="AH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3">
        <f t="shared" si="28"/>
        <v>0</v>
      </c>
      <c r="AG137" s="5"/>
      <c r="AH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3">
        <f t="shared" si="28"/>
        <v>0</v>
      </c>
      <c r="AG138" s="5"/>
      <c r="AH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AE139" si="29">SUM(E129:E136)</f>
        <v>4</v>
      </c>
      <c r="F139" s="13">
        <f t="shared" si="29"/>
        <v>4</v>
      </c>
      <c r="G139" s="13">
        <f t="shared" si="29"/>
        <v>3</v>
      </c>
      <c r="H139" s="13">
        <f t="shared" si="29"/>
        <v>1</v>
      </c>
      <c r="I139" s="13">
        <f t="shared" si="29"/>
        <v>0</v>
      </c>
      <c r="J139" s="13">
        <f t="shared" si="29"/>
        <v>0</v>
      </c>
      <c r="K139" s="13">
        <f t="shared" si="29"/>
        <v>0</v>
      </c>
      <c r="L139" s="13">
        <f t="shared" si="29"/>
        <v>1</v>
      </c>
      <c r="M139" s="13">
        <f t="shared" si="29"/>
        <v>0</v>
      </c>
      <c r="N139" s="13">
        <f t="shared" si="29"/>
        <v>0</v>
      </c>
      <c r="O139" s="13">
        <f t="shared" si="29"/>
        <v>1</v>
      </c>
      <c r="P139" s="13">
        <f t="shared" si="29"/>
        <v>2</v>
      </c>
      <c r="Q139" s="13">
        <f t="shared" si="29"/>
        <v>3</v>
      </c>
      <c r="R139" s="13">
        <f t="shared" si="29"/>
        <v>0</v>
      </c>
      <c r="S139" s="13">
        <f t="shared" si="29"/>
        <v>0</v>
      </c>
      <c r="T139" s="13">
        <f t="shared" si="29"/>
        <v>0</v>
      </c>
      <c r="U139" s="13">
        <f t="shared" si="29"/>
        <v>1</v>
      </c>
      <c r="V139" s="13">
        <f t="shared" si="29"/>
        <v>1</v>
      </c>
      <c r="W139" s="13">
        <f t="shared" si="29"/>
        <v>0</v>
      </c>
      <c r="X139" s="13">
        <f t="shared" si="29"/>
        <v>0</v>
      </c>
      <c r="Y139" s="13">
        <f t="shared" si="29"/>
        <v>0</v>
      </c>
      <c r="Z139" s="13">
        <f t="shared" si="29"/>
        <v>0</v>
      </c>
      <c r="AA139" s="13">
        <f t="shared" si="29"/>
        <v>2</v>
      </c>
      <c r="AB139" s="13">
        <f t="shared" si="29"/>
        <v>4</v>
      </c>
      <c r="AC139" s="13">
        <f t="shared" si="29"/>
        <v>0</v>
      </c>
      <c r="AD139" s="13">
        <f t="shared" si="29"/>
        <v>0</v>
      </c>
      <c r="AE139" s="13">
        <f t="shared" si="29"/>
        <v>0</v>
      </c>
      <c r="AF139" s="13">
        <f t="shared" si="28"/>
        <v>27</v>
      </c>
      <c r="AG139" s="5"/>
      <c r="AH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5"/>
      <c r="AH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3">
        <f t="shared" ref="AF141:AF151" si="30">SUM(E141:AE141)</f>
        <v>0</v>
      </c>
      <c r="AG141" s="1"/>
      <c r="AH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3">
        <f t="shared" si="30"/>
        <v>0</v>
      </c>
      <c r="AG142" s="52"/>
      <c r="AH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1.0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3">
        <f t="shared" si="30"/>
        <v>1</v>
      </c>
      <c r="AG143" s="5"/>
      <c r="AH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3">
        <f t="shared" si="30"/>
        <v>0</v>
      </c>
      <c r="AG144" s="5"/>
      <c r="AH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3">
        <f t="shared" si="30"/>
        <v>0</v>
      </c>
      <c r="AG145" s="5"/>
      <c r="AH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3">
        <f t="shared" si="30"/>
        <v>0</v>
      </c>
      <c r="AG146" s="5"/>
      <c r="AH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3">
        <f t="shared" si="30"/>
        <v>0</v>
      </c>
      <c r="AG147" s="5"/>
      <c r="AH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3">
        <f t="shared" si="30"/>
        <v>0</v>
      </c>
      <c r="AG148" s="5"/>
      <c r="AH148" s="5"/>
    </row>
    <row r="149" ht="12.75" customHeight="1">
      <c r="A149" s="18"/>
      <c r="B149" s="71"/>
      <c r="C149" s="72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3">
        <f t="shared" si="30"/>
        <v>0</v>
      </c>
      <c r="AG149" s="5"/>
      <c r="AH149" s="5"/>
    </row>
    <row r="150" ht="12.75" customHeight="1">
      <c r="A150" s="18"/>
      <c r="B150" s="71"/>
      <c r="C150" s="72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3">
        <f t="shared" si="30"/>
        <v>0</v>
      </c>
      <c r="AG150" s="5"/>
      <c r="AH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E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1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0"/>
        <v>1</v>
      </c>
      <c r="AG151" s="1"/>
      <c r="AH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13"/>
      <c r="AG152" s="52"/>
      <c r="AH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1.0</v>
      </c>
      <c r="P153" s="19">
        <v>0.0</v>
      </c>
      <c r="Q153" s="19">
        <v>0.0</v>
      </c>
      <c r="R153" s="19">
        <v>1.0</v>
      </c>
      <c r="S153" s="19">
        <v>0.0</v>
      </c>
      <c r="T153" s="19">
        <v>0.0</v>
      </c>
      <c r="U153" s="19">
        <v>0.0</v>
      </c>
      <c r="V153" s="19">
        <v>2.0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3">
        <f t="shared" ref="AF153:AF163" si="32">SUM(E153:AE153)</f>
        <v>4</v>
      </c>
      <c r="AG153" s="5"/>
      <c r="AH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1.0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1.0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2.0</v>
      </c>
      <c r="AC154" s="19">
        <v>1.0</v>
      </c>
      <c r="AD154" s="19">
        <v>0.0</v>
      </c>
      <c r="AE154" s="19">
        <v>0.0</v>
      </c>
      <c r="AF154" s="13">
        <f t="shared" si="32"/>
        <v>5</v>
      </c>
      <c r="AG154" s="5"/>
      <c r="AH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1.0</v>
      </c>
      <c r="I155" s="19">
        <v>0.0</v>
      </c>
      <c r="J155" s="19">
        <v>1.0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1.0</v>
      </c>
      <c r="T155" s="19">
        <v>0.0</v>
      </c>
      <c r="U155" s="19">
        <v>1.0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1.0</v>
      </c>
      <c r="AB155" s="19">
        <v>0.0</v>
      </c>
      <c r="AC155" s="19">
        <v>1.0</v>
      </c>
      <c r="AD155" s="19">
        <v>0.0</v>
      </c>
      <c r="AE155" s="19">
        <v>0.0</v>
      </c>
      <c r="AF155" s="13">
        <f t="shared" si="32"/>
        <v>6</v>
      </c>
      <c r="AG155" s="5"/>
      <c r="AH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1.0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3">
        <f t="shared" si="32"/>
        <v>1</v>
      </c>
      <c r="AG156" s="5"/>
      <c r="AH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1.0</v>
      </c>
      <c r="R157" s="19">
        <v>0.0</v>
      </c>
      <c r="S157" s="19">
        <v>0.0</v>
      </c>
      <c r="T157" s="19">
        <v>0.0</v>
      </c>
      <c r="U157" s="19">
        <v>1.0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3">
        <f t="shared" si="32"/>
        <v>2</v>
      </c>
      <c r="AG157" s="5"/>
      <c r="AH157" s="5"/>
    </row>
    <row r="158" ht="12.75" customHeight="1">
      <c r="A158" s="18"/>
      <c r="B158" s="71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3">
        <f t="shared" si="32"/>
        <v>0</v>
      </c>
      <c r="AG158" s="5"/>
      <c r="AH158" s="5"/>
    </row>
    <row r="159" ht="12.75" customHeight="1">
      <c r="A159" s="18"/>
      <c r="B159" s="71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3">
        <f t="shared" si="32"/>
        <v>0</v>
      </c>
      <c r="AG159" s="5"/>
      <c r="AH159" s="5"/>
    </row>
    <row r="160" ht="12.75" customHeight="1">
      <c r="A160" s="18"/>
      <c r="B160" s="71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3">
        <f t="shared" si="32"/>
        <v>0</v>
      </c>
      <c r="AG160" s="5"/>
      <c r="AH160" s="5"/>
    </row>
    <row r="161" ht="12.75" customHeight="1">
      <c r="A161" s="18"/>
      <c r="B161" s="71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3">
        <f t="shared" si="32"/>
        <v>0</v>
      </c>
      <c r="AG161" s="5"/>
      <c r="AH161" s="5"/>
    </row>
    <row r="162" ht="12.75" customHeight="1">
      <c r="A162" s="18"/>
      <c r="B162" s="71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3">
        <f t="shared" si="32"/>
        <v>0</v>
      </c>
      <c r="AG162" s="5"/>
      <c r="AH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AE163" si="33">SUM(E153:E157)</f>
        <v>0</v>
      </c>
      <c r="F163" s="13">
        <f t="shared" si="33"/>
        <v>0</v>
      </c>
      <c r="G163" s="13">
        <f t="shared" si="33"/>
        <v>1</v>
      </c>
      <c r="H163" s="13">
        <f t="shared" si="33"/>
        <v>1</v>
      </c>
      <c r="I163" s="13">
        <f t="shared" si="33"/>
        <v>0</v>
      </c>
      <c r="J163" s="13">
        <f t="shared" si="33"/>
        <v>1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1</v>
      </c>
      <c r="O163" s="13">
        <f t="shared" si="33"/>
        <v>1</v>
      </c>
      <c r="P163" s="13">
        <f t="shared" si="33"/>
        <v>0</v>
      </c>
      <c r="Q163" s="13">
        <f t="shared" si="33"/>
        <v>1</v>
      </c>
      <c r="R163" s="13">
        <f t="shared" si="33"/>
        <v>1</v>
      </c>
      <c r="S163" s="13">
        <f t="shared" si="33"/>
        <v>1</v>
      </c>
      <c r="T163" s="13">
        <f t="shared" si="33"/>
        <v>0</v>
      </c>
      <c r="U163" s="13">
        <f t="shared" si="33"/>
        <v>2</v>
      </c>
      <c r="V163" s="13">
        <f t="shared" si="33"/>
        <v>3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1</v>
      </c>
      <c r="AB163" s="13">
        <f t="shared" si="33"/>
        <v>2</v>
      </c>
      <c r="AC163" s="13">
        <f t="shared" si="33"/>
        <v>2</v>
      </c>
      <c r="AD163" s="13">
        <f t="shared" si="33"/>
        <v>0</v>
      </c>
      <c r="AE163" s="13">
        <f t="shared" si="33"/>
        <v>0</v>
      </c>
      <c r="AF163" s="13">
        <f t="shared" si="32"/>
        <v>18</v>
      </c>
      <c r="AG163" s="5"/>
      <c r="AH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5"/>
      <c r="AH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1.0</v>
      </c>
      <c r="J165" s="19">
        <v>0.0</v>
      </c>
      <c r="K165" s="19">
        <v>0.0</v>
      </c>
      <c r="L165" s="19">
        <v>0.0</v>
      </c>
      <c r="M165" s="19">
        <v>0.0</v>
      </c>
      <c r="N165" s="19">
        <v>1.0</v>
      </c>
      <c r="O165" s="19">
        <v>0.0</v>
      </c>
      <c r="P165" s="19">
        <v>1.0</v>
      </c>
      <c r="Q165" s="19">
        <v>0.0</v>
      </c>
      <c r="R165" s="19">
        <v>0.0</v>
      </c>
      <c r="S165" s="19">
        <v>0.0</v>
      </c>
      <c r="T165" s="19">
        <v>2.0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1.0</v>
      </c>
      <c r="AE165" s="19">
        <v>2.0</v>
      </c>
      <c r="AF165" s="13">
        <f t="shared" ref="AF165:AF175" si="34">SUM(E165:AE165)</f>
        <v>8</v>
      </c>
      <c r="AG165" s="1"/>
      <c r="AH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1.0</v>
      </c>
      <c r="Q166" s="19">
        <v>0.0</v>
      </c>
      <c r="R166" s="19">
        <v>0.0</v>
      </c>
      <c r="S166" s="19">
        <v>0.0</v>
      </c>
      <c r="T166" s="19">
        <v>1.0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1.0</v>
      </c>
      <c r="AC166" s="19">
        <v>1.0</v>
      </c>
      <c r="AD166" s="19">
        <v>1.0</v>
      </c>
      <c r="AE166" s="19">
        <v>1.0</v>
      </c>
      <c r="AF166" s="13">
        <f t="shared" si="34"/>
        <v>6</v>
      </c>
      <c r="AG166" s="52"/>
      <c r="AH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1.0</v>
      </c>
      <c r="Q167" s="19">
        <v>0.0</v>
      </c>
      <c r="R167" s="19">
        <v>0.0</v>
      </c>
      <c r="S167" s="19">
        <v>0.0</v>
      </c>
      <c r="T167" s="19">
        <v>0.0</v>
      </c>
      <c r="U167" s="19">
        <v>1.0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3">
        <f t="shared" si="34"/>
        <v>2</v>
      </c>
      <c r="AG167" s="5"/>
      <c r="AH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1.0</v>
      </c>
      <c r="AD168" s="19">
        <v>0.0</v>
      </c>
      <c r="AE168" s="19">
        <v>0.0</v>
      </c>
      <c r="AF168" s="13">
        <f t="shared" si="34"/>
        <v>1</v>
      </c>
      <c r="AG168" s="5"/>
      <c r="AH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1.0</v>
      </c>
      <c r="AE169" s="19">
        <v>0.0</v>
      </c>
      <c r="AF169" s="13">
        <f t="shared" si="34"/>
        <v>1</v>
      </c>
      <c r="AG169" s="5"/>
      <c r="AH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1.0</v>
      </c>
      <c r="AE170" s="19">
        <v>0.0</v>
      </c>
      <c r="AF170" s="13">
        <f t="shared" si="34"/>
        <v>1</v>
      </c>
      <c r="AG170" s="5"/>
      <c r="AH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1.0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3">
        <f t="shared" si="34"/>
        <v>1</v>
      </c>
      <c r="AG171" s="5"/>
      <c r="AH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1.0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1.0</v>
      </c>
      <c r="AD172" s="19">
        <v>0.0</v>
      </c>
      <c r="AE172" s="19">
        <v>0.0</v>
      </c>
      <c r="AF172" s="13">
        <f t="shared" si="34"/>
        <v>2</v>
      </c>
      <c r="AG172" s="5"/>
      <c r="AH172" s="5"/>
    </row>
    <row r="173" ht="12.75" customHeight="1">
      <c r="A173" s="18"/>
      <c r="B173" s="71"/>
      <c r="C173" s="72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3">
        <f t="shared" si="34"/>
        <v>0</v>
      </c>
      <c r="AG173" s="5"/>
      <c r="AH173" s="5"/>
    </row>
    <row r="174" ht="12.75" customHeight="1">
      <c r="A174" s="18"/>
      <c r="B174" s="71"/>
      <c r="C174" s="72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3">
        <f t="shared" si="34"/>
        <v>0</v>
      </c>
      <c r="AG174" s="5"/>
      <c r="AH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AE175" si="35">SUM(E165:E172)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1</v>
      </c>
      <c r="O175" s="13">
        <f t="shared" si="35"/>
        <v>0</v>
      </c>
      <c r="P175" s="13">
        <f t="shared" si="35"/>
        <v>3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3</v>
      </c>
      <c r="U175" s="13">
        <f t="shared" si="35"/>
        <v>1</v>
      </c>
      <c r="V175" s="13">
        <f t="shared" si="35"/>
        <v>1</v>
      </c>
      <c r="W175" s="13">
        <f t="shared" si="35"/>
        <v>0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1</v>
      </c>
      <c r="AC175" s="13">
        <f t="shared" si="35"/>
        <v>3</v>
      </c>
      <c r="AD175" s="13">
        <f t="shared" si="35"/>
        <v>4</v>
      </c>
      <c r="AE175" s="13">
        <f t="shared" si="35"/>
        <v>3</v>
      </c>
      <c r="AF175" s="13">
        <f t="shared" si="34"/>
        <v>22</v>
      </c>
      <c r="AG175" s="5"/>
      <c r="AH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1"/>
      <c r="AH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1.0</v>
      </c>
      <c r="M177" s="19">
        <v>0.0</v>
      </c>
      <c r="N177" s="19">
        <v>1.0</v>
      </c>
      <c r="O177" s="19">
        <v>2.0</v>
      </c>
      <c r="P177" s="19">
        <v>1.0</v>
      </c>
      <c r="Q177" s="19">
        <v>2.0</v>
      </c>
      <c r="R177" s="19">
        <v>0.0</v>
      </c>
      <c r="S177" s="19">
        <v>0.0</v>
      </c>
      <c r="T177" s="19">
        <v>1.0</v>
      </c>
      <c r="U177" s="19">
        <v>2.0</v>
      </c>
      <c r="V177" s="19">
        <v>0.0</v>
      </c>
      <c r="W177" s="19">
        <v>0.0</v>
      </c>
      <c r="X177" s="19">
        <v>0.0</v>
      </c>
      <c r="Y177" s="19">
        <v>0.0</v>
      </c>
      <c r="Z177" s="19">
        <v>0.0</v>
      </c>
      <c r="AA177" s="19">
        <v>0.0</v>
      </c>
      <c r="AB177" s="19">
        <v>0.0</v>
      </c>
      <c r="AC177" s="19">
        <v>0.0</v>
      </c>
      <c r="AD177" s="19">
        <v>0.0</v>
      </c>
      <c r="AE177" s="19">
        <v>1.0</v>
      </c>
      <c r="AF177" s="13">
        <f t="shared" ref="AF177:AF187" si="36">SUM(E177:AE177)</f>
        <v>11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0.0</v>
      </c>
      <c r="I178" s="19">
        <v>1.0</v>
      </c>
      <c r="J178" s="19">
        <v>0.0</v>
      </c>
      <c r="K178" s="19">
        <v>0.0</v>
      </c>
      <c r="L178" s="19">
        <v>0.0</v>
      </c>
      <c r="M178" s="19">
        <v>1.0</v>
      </c>
      <c r="N178" s="19">
        <v>0.0</v>
      </c>
      <c r="O178" s="19">
        <v>0.0</v>
      </c>
      <c r="P178" s="19">
        <v>0.0</v>
      </c>
      <c r="Q178" s="19">
        <v>0.0</v>
      </c>
      <c r="R178" s="19">
        <v>1.0</v>
      </c>
      <c r="S178" s="19">
        <v>0.0</v>
      </c>
      <c r="T178" s="19">
        <v>0.0</v>
      </c>
      <c r="U178" s="19">
        <v>1.0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0.0</v>
      </c>
      <c r="AB178" s="19">
        <v>1.0</v>
      </c>
      <c r="AC178" s="19">
        <v>0.0</v>
      </c>
      <c r="AD178" s="19">
        <v>0.0</v>
      </c>
      <c r="AE178" s="19">
        <v>0.0</v>
      </c>
      <c r="AF178" s="13">
        <f t="shared" si="36"/>
        <v>5</v>
      </c>
      <c r="AG178" s="5"/>
      <c r="AH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1.0</v>
      </c>
      <c r="L179" s="19">
        <v>1.0</v>
      </c>
      <c r="M179" s="19">
        <v>1.0</v>
      </c>
      <c r="N179" s="19">
        <v>1.0</v>
      </c>
      <c r="O179" s="19">
        <v>0.0</v>
      </c>
      <c r="P179" s="19">
        <v>1.0</v>
      </c>
      <c r="Q179" s="19">
        <v>0.0</v>
      </c>
      <c r="R179" s="19">
        <v>3.0</v>
      </c>
      <c r="S179" s="19">
        <v>0.0</v>
      </c>
      <c r="T179" s="19">
        <v>1.0</v>
      </c>
      <c r="U179" s="19">
        <v>0.0</v>
      </c>
      <c r="V179" s="19">
        <v>0.0</v>
      </c>
      <c r="W179" s="19">
        <v>0.0</v>
      </c>
      <c r="X179" s="19">
        <v>0.0</v>
      </c>
      <c r="Y179" s="19">
        <v>1.0</v>
      </c>
      <c r="Z179" s="19">
        <v>1.0</v>
      </c>
      <c r="AA179" s="19">
        <v>2.0</v>
      </c>
      <c r="AB179" s="19">
        <v>0.0</v>
      </c>
      <c r="AC179" s="19">
        <v>0.0</v>
      </c>
      <c r="AD179" s="19">
        <v>1.0</v>
      </c>
      <c r="AE179" s="19">
        <v>0.0</v>
      </c>
      <c r="AF179" s="13">
        <f t="shared" si="36"/>
        <v>14</v>
      </c>
      <c r="AG179" s="5"/>
      <c r="AH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1.0</v>
      </c>
      <c r="Q180" s="19">
        <v>0.0</v>
      </c>
      <c r="R180" s="19">
        <v>2.0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1.0</v>
      </c>
      <c r="AD180" s="19">
        <v>0.0</v>
      </c>
      <c r="AE180" s="19">
        <v>0.0</v>
      </c>
      <c r="AF180" s="13">
        <f t="shared" si="36"/>
        <v>4</v>
      </c>
      <c r="AG180" s="5"/>
      <c r="AH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1.0</v>
      </c>
      <c r="H181" s="19">
        <v>1.0</v>
      </c>
      <c r="I181" s="19">
        <v>0.0</v>
      </c>
      <c r="J181" s="19">
        <v>0.0</v>
      </c>
      <c r="K181" s="19">
        <v>0.0</v>
      </c>
      <c r="L181" s="19">
        <v>0.0</v>
      </c>
      <c r="M181" s="19">
        <v>1.0</v>
      </c>
      <c r="N181" s="19">
        <v>0.0</v>
      </c>
      <c r="O181" s="19">
        <v>1.0</v>
      </c>
      <c r="P181" s="19">
        <v>0.0</v>
      </c>
      <c r="Q181" s="19">
        <v>0.0</v>
      </c>
      <c r="R181" s="19">
        <v>1.0</v>
      </c>
      <c r="S181" s="19">
        <v>2.0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3">
        <f t="shared" si="36"/>
        <v>7</v>
      </c>
      <c r="AG181" s="5"/>
      <c r="AH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1.0</v>
      </c>
      <c r="O182" s="19">
        <v>0.0</v>
      </c>
      <c r="P182" s="19">
        <v>0.0</v>
      </c>
      <c r="Q182" s="19">
        <v>1.0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3">
        <f t="shared" si="36"/>
        <v>2</v>
      </c>
      <c r="AG182" s="5"/>
      <c r="AH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1.0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3">
        <f t="shared" si="36"/>
        <v>1</v>
      </c>
      <c r="AG183" s="5"/>
      <c r="AH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3">
        <f t="shared" si="36"/>
        <v>0</v>
      </c>
      <c r="AG184" s="5"/>
      <c r="AH184" s="5"/>
    </row>
    <row r="185" ht="12.75" customHeight="1">
      <c r="A185" s="18"/>
      <c r="B185" s="71"/>
      <c r="C185" s="72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3">
        <f t="shared" si="36"/>
        <v>0</v>
      </c>
      <c r="AG185" s="5"/>
      <c r="AH185" s="5"/>
    </row>
    <row r="186" ht="12.75" customHeight="1">
      <c r="A186" s="18"/>
      <c r="B186" s="71"/>
      <c r="C186" s="72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3">
        <f t="shared" si="36"/>
        <v>0</v>
      </c>
      <c r="AG186" s="5"/>
      <c r="AH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E187" si="37">SUM(E177:E184)</f>
        <v>0</v>
      </c>
      <c r="F187" s="13">
        <f t="shared" si="37"/>
        <v>0</v>
      </c>
      <c r="G187" s="13">
        <f t="shared" si="37"/>
        <v>1</v>
      </c>
      <c r="H187" s="13">
        <f t="shared" si="37"/>
        <v>1</v>
      </c>
      <c r="I187" s="13">
        <f t="shared" si="37"/>
        <v>1</v>
      </c>
      <c r="J187" s="13">
        <f t="shared" si="37"/>
        <v>0</v>
      </c>
      <c r="K187" s="13">
        <f t="shared" si="37"/>
        <v>1</v>
      </c>
      <c r="L187" s="13">
        <f t="shared" si="37"/>
        <v>2</v>
      </c>
      <c r="M187" s="13">
        <f t="shared" si="37"/>
        <v>3</v>
      </c>
      <c r="N187" s="13">
        <f t="shared" si="37"/>
        <v>3</v>
      </c>
      <c r="O187" s="13">
        <f t="shared" si="37"/>
        <v>3</v>
      </c>
      <c r="P187" s="13">
        <f t="shared" si="37"/>
        <v>4</v>
      </c>
      <c r="Q187" s="13">
        <f t="shared" si="37"/>
        <v>3</v>
      </c>
      <c r="R187" s="13">
        <f t="shared" si="37"/>
        <v>7</v>
      </c>
      <c r="S187" s="13">
        <f t="shared" si="37"/>
        <v>2</v>
      </c>
      <c r="T187" s="13">
        <f t="shared" si="37"/>
        <v>2</v>
      </c>
      <c r="U187" s="13">
        <f t="shared" si="37"/>
        <v>3</v>
      </c>
      <c r="V187" s="13">
        <f t="shared" si="37"/>
        <v>0</v>
      </c>
      <c r="W187" s="13">
        <f t="shared" si="37"/>
        <v>0</v>
      </c>
      <c r="X187" s="13">
        <f t="shared" si="37"/>
        <v>0</v>
      </c>
      <c r="Y187" s="13">
        <f t="shared" si="37"/>
        <v>1</v>
      </c>
      <c r="Z187" s="13">
        <f t="shared" si="37"/>
        <v>1</v>
      </c>
      <c r="AA187" s="13">
        <f t="shared" si="37"/>
        <v>2</v>
      </c>
      <c r="AB187" s="13">
        <f t="shared" si="37"/>
        <v>1</v>
      </c>
      <c r="AC187" s="13">
        <f t="shared" si="37"/>
        <v>1</v>
      </c>
      <c r="AD187" s="13">
        <f t="shared" si="37"/>
        <v>1</v>
      </c>
      <c r="AE187" s="13">
        <f t="shared" si="37"/>
        <v>1</v>
      </c>
      <c r="AF187" s="13">
        <f t="shared" si="36"/>
        <v>44</v>
      </c>
      <c r="AG187" s="1"/>
      <c r="AH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1.0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3">
        <f t="shared" ref="AF189:AF199" si="38">SUM(E189:AE189)</f>
        <v>1</v>
      </c>
      <c r="AG189" s="5"/>
      <c r="AH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1.0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3">
        <f t="shared" si="38"/>
        <v>1</v>
      </c>
      <c r="AG190" s="5"/>
      <c r="AH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3">
        <f t="shared" si="38"/>
        <v>0</v>
      </c>
      <c r="AG191" s="5"/>
      <c r="AH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3">
        <f t="shared" si="38"/>
        <v>0</v>
      </c>
      <c r="AG192" s="5"/>
      <c r="AH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1.0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3">
        <f t="shared" si="38"/>
        <v>1</v>
      </c>
      <c r="AG193" s="5"/>
      <c r="AH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1.0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2.0</v>
      </c>
      <c r="AF194" s="13">
        <f t="shared" si="38"/>
        <v>3</v>
      </c>
      <c r="AG194" s="5"/>
      <c r="AH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3">
        <f t="shared" si="38"/>
        <v>0</v>
      </c>
      <c r="AG195" s="5"/>
      <c r="AH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1.0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3">
        <f t="shared" si="38"/>
        <v>1</v>
      </c>
      <c r="AG196" s="1"/>
      <c r="AH196" s="1"/>
    </row>
    <row r="197" ht="12.75" customHeight="1">
      <c r="A197" s="18"/>
      <c r="B197" s="71"/>
      <c r="C197" s="72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3">
        <f t="shared" si="38"/>
        <v>0</v>
      </c>
      <c r="AG197" s="1"/>
      <c r="AH197" s="1"/>
    </row>
    <row r="198" ht="12.75" customHeight="1">
      <c r="A198" s="18"/>
      <c r="B198" s="71"/>
      <c r="C198" s="72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3">
        <f t="shared" si="38"/>
        <v>0</v>
      </c>
      <c r="AG198" s="1"/>
      <c r="AH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AE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1</v>
      </c>
      <c r="K199" s="13">
        <f t="shared" si="39"/>
        <v>1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1</v>
      </c>
      <c r="S199" s="13">
        <f t="shared" si="39"/>
        <v>0</v>
      </c>
      <c r="T199" s="13">
        <f t="shared" si="39"/>
        <v>1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2</v>
      </c>
      <c r="AF199" s="13">
        <f t="shared" si="38"/>
        <v>7</v>
      </c>
      <c r="AG199" s="52"/>
      <c r="AH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5"/>
      <c r="AH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7.0</v>
      </c>
      <c r="F201" s="19">
        <v>3.0</v>
      </c>
      <c r="G201" s="19">
        <v>1.0</v>
      </c>
      <c r="H201" s="19">
        <v>4.0</v>
      </c>
      <c r="I201" s="19">
        <v>5.0</v>
      </c>
      <c r="J201" s="19">
        <v>7.0</v>
      </c>
      <c r="K201" s="19">
        <v>1.0</v>
      </c>
      <c r="L201" s="19">
        <v>4.0</v>
      </c>
      <c r="M201" s="19">
        <v>4.0</v>
      </c>
      <c r="N201" s="19">
        <v>3.0</v>
      </c>
      <c r="O201" s="19">
        <v>4.0</v>
      </c>
      <c r="P201" s="19">
        <v>4.0</v>
      </c>
      <c r="Q201" s="19">
        <v>10.0</v>
      </c>
      <c r="R201" s="19">
        <v>6.0</v>
      </c>
      <c r="S201" s="19">
        <v>6.0</v>
      </c>
      <c r="T201" s="19">
        <v>2.0</v>
      </c>
      <c r="U201" s="19">
        <v>9.0</v>
      </c>
      <c r="V201" s="19">
        <v>3.0</v>
      </c>
      <c r="W201" s="19">
        <v>7.0</v>
      </c>
      <c r="X201" s="19">
        <v>0.0</v>
      </c>
      <c r="Y201" s="19">
        <v>0.0</v>
      </c>
      <c r="Z201" s="19">
        <v>2.0</v>
      </c>
      <c r="AA201" s="19">
        <v>6.0</v>
      </c>
      <c r="AB201" s="19">
        <v>4.0</v>
      </c>
      <c r="AC201" s="19">
        <v>12.0</v>
      </c>
      <c r="AD201" s="19">
        <v>10.0</v>
      </c>
      <c r="AE201" s="19">
        <v>9.0</v>
      </c>
      <c r="AF201" s="13">
        <f t="shared" ref="AF201:AF211" si="40">SUM(E201:AE201)</f>
        <v>133</v>
      </c>
      <c r="AG201" s="5"/>
      <c r="AH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9.0</v>
      </c>
      <c r="F202" s="19">
        <v>9.0</v>
      </c>
      <c r="G202" s="19">
        <v>3.0</v>
      </c>
      <c r="H202" s="19">
        <v>5.0</v>
      </c>
      <c r="I202" s="19">
        <v>4.0</v>
      </c>
      <c r="J202" s="19">
        <v>1.0</v>
      </c>
      <c r="K202" s="19">
        <v>4.0</v>
      </c>
      <c r="L202" s="19">
        <v>4.0</v>
      </c>
      <c r="M202" s="19">
        <v>4.0</v>
      </c>
      <c r="N202" s="19">
        <v>10.0</v>
      </c>
      <c r="O202" s="19">
        <v>9.0</v>
      </c>
      <c r="P202" s="19">
        <v>11.0</v>
      </c>
      <c r="Q202" s="19">
        <v>5.0</v>
      </c>
      <c r="R202" s="19">
        <v>4.0</v>
      </c>
      <c r="S202" s="19">
        <v>10.0</v>
      </c>
      <c r="T202" s="19">
        <v>2.0</v>
      </c>
      <c r="U202" s="19">
        <v>6.0</v>
      </c>
      <c r="V202" s="19">
        <v>8.0</v>
      </c>
      <c r="W202" s="19">
        <v>4.0</v>
      </c>
      <c r="X202" s="19">
        <v>0.0</v>
      </c>
      <c r="Y202" s="19">
        <v>1.0</v>
      </c>
      <c r="Z202" s="19">
        <v>5.0</v>
      </c>
      <c r="AA202" s="19">
        <v>2.0</v>
      </c>
      <c r="AB202" s="19">
        <v>4.0</v>
      </c>
      <c r="AC202" s="19">
        <v>27.0</v>
      </c>
      <c r="AD202" s="19">
        <v>8.0</v>
      </c>
      <c r="AE202" s="19">
        <v>6.0</v>
      </c>
      <c r="AF202" s="13">
        <f t="shared" si="40"/>
        <v>165</v>
      </c>
      <c r="AG202" s="5"/>
      <c r="AH202" s="5"/>
    </row>
    <row r="203" ht="12.75" customHeight="1">
      <c r="A203" s="18"/>
      <c r="B203" s="55">
        <v>2.0</v>
      </c>
      <c r="C203" s="50" t="s">
        <v>149</v>
      </c>
      <c r="D203" s="57"/>
      <c r="E203" s="19">
        <v>9.0</v>
      </c>
      <c r="F203" s="19">
        <v>1.0</v>
      </c>
      <c r="G203" s="19">
        <v>1.0</v>
      </c>
      <c r="H203" s="19">
        <v>2.0</v>
      </c>
      <c r="I203" s="19">
        <v>8.0</v>
      </c>
      <c r="J203" s="19">
        <v>1.0</v>
      </c>
      <c r="K203" s="19">
        <v>1.0</v>
      </c>
      <c r="L203" s="19">
        <v>0.0</v>
      </c>
      <c r="M203" s="19">
        <v>3.0</v>
      </c>
      <c r="N203" s="19">
        <v>7.0</v>
      </c>
      <c r="O203" s="19">
        <v>5.0</v>
      </c>
      <c r="P203" s="19">
        <v>2.0</v>
      </c>
      <c r="Q203" s="19">
        <v>3.0</v>
      </c>
      <c r="R203" s="19">
        <v>2.0</v>
      </c>
      <c r="S203" s="19">
        <v>1.0</v>
      </c>
      <c r="T203" s="19">
        <v>6.0</v>
      </c>
      <c r="U203" s="19">
        <v>1.0</v>
      </c>
      <c r="V203" s="19">
        <v>4.0</v>
      </c>
      <c r="W203" s="19">
        <v>1.0</v>
      </c>
      <c r="X203" s="19">
        <v>2.0</v>
      </c>
      <c r="Y203" s="19">
        <v>1.0</v>
      </c>
      <c r="Z203" s="19">
        <v>5.0</v>
      </c>
      <c r="AA203" s="19">
        <v>2.0</v>
      </c>
      <c r="AB203" s="19">
        <v>0.0</v>
      </c>
      <c r="AC203" s="19">
        <v>10.0</v>
      </c>
      <c r="AD203" s="19">
        <v>5.0</v>
      </c>
      <c r="AE203" s="19">
        <v>0.0</v>
      </c>
      <c r="AF203" s="13">
        <f t="shared" si="40"/>
        <v>83</v>
      </c>
      <c r="AG203" s="5"/>
      <c r="AH203" s="5"/>
    </row>
    <row r="204" ht="12.75" customHeight="1">
      <c r="A204" s="18"/>
      <c r="B204" s="55">
        <v>3.0</v>
      </c>
      <c r="C204" s="50" t="s">
        <v>150</v>
      </c>
      <c r="D204" s="57"/>
      <c r="E204" s="19">
        <v>1.0</v>
      </c>
      <c r="F204" s="19">
        <v>1.0</v>
      </c>
      <c r="G204" s="19">
        <v>1.0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1.0</v>
      </c>
      <c r="O204" s="19">
        <v>1.0</v>
      </c>
      <c r="P204" s="19">
        <v>3.0</v>
      </c>
      <c r="Q204" s="19">
        <v>0.0</v>
      </c>
      <c r="R204" s="19">
        <v>0.0</v>
      </c>
      <c r="S204" s="19">
        <v>0.0</v>
      </c>
      <c r="T204" s="19">
        <v>0.0</v>
      </c>
      <c r="U204" s="19">
        <v>1.0</v>
      </c>
      <c r="V204" s="19">
        <v>0.0</v>
      </c>
      <c r="W204" s="19">
        <v>1.0</v>
      </c>
      <c r="X204" s="19">
        <v>1.0</v>
      </c>
      <c r="Y204" s="19">
        <v>1.0</v>
      </c>
      <c r="Z204" s="19">
        <v>0.0</v>
      </c>
      <c r="AA204" s="19">
        <v>1.0</v>
      </c>
      <c r="AB204" s="19">
        <v>0.0</v>
      </c>
      <c r="AC204" s="19">
        <v>2.0</v>
      </c>
      <c r="AD204" s="19">
        <v>1.0</v>
      </c>
      <c r="AE204" s="19">
        <v>0.0</v>
      </c>
      <c r="AF204" s="13">
        <f t="shared" si="40"/>
        <v>16</v>
      </c>
      <c r="AG204" s="5"/>
      <c r="AH204" s="5"/>
    </row>
    <row r="205" ht="12.75" customHeight="1">
      <c r="A205" s="18"/>
      <c r="B205" s="55">
        <v>4.0</v>
      </c>
      <c r="C205" s="50" t="s">
        <v>151</v>
      </c>
      <c r="D205" s="57"/>
      <c r="E205" s="19">
        <v>2.0</v>
      </c>
      <c r="F205" s="19">
        <v>0.0</v>
      </c>
      <c r="G205" s="19">
        <v>2.0</v>
      </c>
      <c r="H205" s="19">
        <v>1.0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1.0</v>
      </c>
      <c r="O205" s="19">
        <v>1.0</v>
      </c>
      <c r="P205" s="19">
        <v>0.0</v>
      </c>
      <c r="Q205" s="19">
        <v>4.0</v>
      </c>
      <c r="R205" s="19">
        <v>0.0</v>
      </c>
      <c r="S205" s="19">
        <v>0.0</v>
      </c>
      <c r="T205" s="19">
        <v>1.0</v>
      </c>
      <c r="U205" s="19">
        <v>2.0</v>
      </c>
      <c r="V205" s="19">
        <v>0.0</v>
      </c>
      <c r="W205" s="19">
        <v>0.0</v>
      </c>
      <c r="X205" s="19">
        <v>0.0</v>
      </c>
      <c r="Y205" s="19">
        <v>0.0</v>
      </c>
      <c r="Z205" s="19">
        <v>0.0</v>
      </c>
      <c r="AA205" s="19">
        <v>0.0</v>
      </c>
      <c r="AB205" s="19">
        <v>0.0</v>
      </c>
      <c r="AC205" s="19">
        <v>1.0</v>
      </c>
      <c r="AD205" s="19">
        <v>2.0</v>
      </c>
      <c r="AE205" s="19">
        <v>0.0</v>
      </c>
      <c r="AF205" s="13">
        <f t="shared" si="40"/>
        <v>17</v>
      </c>
      <c r="AG205" s="5"/>
      <c r="AH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2.0</v>
      </c>
      <c r="G206" s="19">
        <v>2.0</v>
      </c>
      <c r="H206" s="19">
        <v>0.0</v>
      </c>
      <c r="I206" s="19">
        <v>1.0</v>
      </c>
      <c r="J206" s="19">
        <v>0.0</v>
      </c>
      <c r="K206" s="19">
        <v>0.0</v>
      </c>
      <c r="L206" s="19">
        <v>0.0</v>
      </c>
      <c r="M206" s="19">
        <v>1.0</v>
      </c>
      <c r="N206" s="19">
        <v>1.0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2.0</v>
      </c>
      <c r="W206" s="19">
        <v>1.0</v>
      </c>
      <c r="X206" s="19">
        <v>0.0</v>
      </c>
      <c r="Y206" s="19">
        <v>0.0</v>
      </c>
      <c r="Z206" s="19">
        <v>1.0</v>
      </c>
      <c r="AA206" s="19">
        <v>0.0</v>
      </c>
      <c r="AB206" s="19">
        <v>2.0</v>
      </c>
      <c r="AC206" s="19">
        <v>0.0</v>
      </c>
      <c r="AD206" s="19">
        <v>0.0</v>
      </c>
      <c r="AE206" s="19">
        <v>0.0</v>
      </c>
      <c r="AF206" s="13">
        <f t="shared" si="40"/>
        <v>13</v>
      </c>
      <c r="AG206" s="5"/>
      <c r="AH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2.0</v>
      </c>
      <c r="U207" s="19">
        <v>1.0</v>
      </c>
      <c r="V207" s="19">
        <v>0.0</v>
      </c>
      <c r="W207" s="19">
        <v>0.0</v>
      </c>
      <c r="X207" s="19">
        <v>0.0</v>
      </c>
      <c r="Y207" s="19">
        <v>0.0</v>
      </c>
      <c r="Z207" s="19">
        <v>1.0</v>
      </c>
      <c r="AA207" s="19">
        <v>0.0</v>
      </c>
      <c r="AB207" s="19">
        <v>0.0</v>
      </c>
      <c r="AC207" s="19">
        <v>2.0</v>
      </c>
      <c r="AD207" s="19">
        <v>1.0</v>
      </c>
      <c r="AE207" s="19">
        <v>0.0</v>
      </c>
      <c r="AF207" s="13">
        <f t="shared" si="40"/>
        <v>7</v>
      </c>
      <c r="AG207" s="1"/>
      <c r="AH207" s="1"/>
    </row>
    <row r="208" ht="12.75" customHeight="1">
      <c r="A208" s="18"/>
      <c r="B208" s="55">
        <v>7.0</v>
      </c>
      <c r="C208" s="50" t="s">
        <v>154</v>
      </c>
      <c r="D208" s="57"/>
      <c r="E208" s="19">
        <v>2.0</v>
      </c>
      <c r="F208" s="19">
        <v>3.0</v>
      </c>
      <c r="G208" s="19">
        <v>2.0</v>
      </c>
      <c r="H208" s="19">
        <v>0.0</v>
      </c>
      <c r="I208" s="19">
        <v>2.0</v>
      </c>
      <c r="J208" s="19">
        <v>0.0</v>
      </c>
      <c r="K208" s="19">
        <v>1.0</v>
      </c>
      <c r="L208" s="19">
        <v>3.0</v>
      </c>
      <c r="M208" s="19">
        <v>1.0</v>
      </c>
      <c r="N208" s="19">
        <v>1.0</v>
      </c>
      <c r="O208" s="19">
        <v>4.0</v>
      </c>
      <c r="P208" s="19">
        <v>1.0</v>
      </c>
      <c r="Q208" s="19">
        <v>1.0</v>
      </c>
      <c r="R208" s="19">
        <v>2.0</v>
      </c>
      <c r="S208" s="19">
        <v>3.0</v>
      </c>
      <c r="T208" s="19">
        <v>1.0</v>
      </c>
      <c r="U208" s="19">
        <v>3.0</v>
      </c>
      <c r="V208" s="19">
        <v>1.0</v>
      </c>
      <c r="W208" s="19">
        <v>1.0</v>
      </c>
      <c r="X208" s="19">
        <v>2.0</v>
      </c>
      <c r="Y208" s="19">
        <v>1.0</v>
      </c>
      <c r="Z208" s="19">
        <v>0.0</v>
      </c>
      <c r="AA208" s="19">
        <v>0.0</v>
      </c>
      <c r="AB208" s="19">
        <v>1.0</v>
      </c>
      <c r="AC208" s="19">
        <v>4.0</v>
      </c>
      <c r="AD208" s="19">
        <v>1.0</v>
      </c>
      <c r="AE208" s="19">
        <v>1.0</v>
      </c>
      <c r="AF208" s="13">
        <f t="shared" si="40"/>
        <v>42</v>
      </c>
      <c r="AG208" s="52"/>
      <c r="AH208" s="52"/>
    </row>
    <row r="209" ht="12.75" customHeight="1">
      <c r="A209" s="18"/>
      <c r="B209" s="71"/>
      <c r="C209" s="72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3">
        <f t="shared" si="40"/>
        <v>0</v>
      </c>
      <c r="AG209" s="52"/>
      <c r="AH209" s="52"/>
    </row>
    <row r="210" ht="12.75" customHeight="1">
      <c r="A210" s="18"/>
      <c r="B210" s="71"/>
      <c r="C210" s="72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3">
        <f t="shared" si="40"/>
        <v>0</v>
      </c>
      <c r="AG210" s="52"/>
      <c r="AH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AE211" si="41">SUM(E201:E208)</f>
        <v>30</v>
      </c>
      <c r="F211" s="13">
        <f t="shared" si="41"/>
        <v>19</v>
      </c>
      <c r="G211" s="13">
        <f t="shared" si="41"/>
        <v>12</v>
      </c>
      <c r="H211" s="13">
        <f t="shared" si="41"/>
        <v>12</v>
      </c>
      <c r="I211" s="13">
        <f t="shared" si="41"/>
        <v>20</v>
      </c>
      <c r="J211" s="13">
        <f t="shared" si="41"/>
        <v>9</v>
      </c>
      <c r="K211" s="13">
        <f t="shared" si="41"/>
        <v>7</v>
      </c>
      <c r="L211" s="13">
        <f t="shared" si="41"/>
        <v>11</v>
      </c>
      <c r="M211" s="13">
        <f t="shared" si="41"/>
        <v>13</v>
      </c>
      <c r="N211" s="13">
        <f t="shared" si="41"/>
        <v>24</v>
      </c>
      <c r="O211" s="13">
        <f t="shared" si="41"/>
        <v>24</v>
      </c>
      <c r="P211" s="13">
        <f t="shared" si="41"/>
        <v>21</v>
      </c>
      <c r="Q211" s="13">
        <f t="shared" si="41"/>
        <v>23</v>
      </c>
      <c r="R211" s="13">
        <f t="shared" si="41"/>
        <v>14</v>
      </c>
      <c r="S211" s="13">
        <f t="shared" si="41"/>
        <v>20</v>
      </c>
      <c r="T211" s="13">
        <f t="shared" si="41"/>
        <v>14</v>
      </c>
      <c r="U211" s="13">
        <f t="shared" si="41"/>
        <v>23</v>
      </c>
      <c r="V211" s="13">
        <f t="shared" si="41"/>
        <v>18</v>
      </c>
      <c r="W211" s="13">
        <f t="shared" si="41"/>
        <v>15</v>
      </c>
      <c r="X211" s="13">
        <f t="shared" si="41"/>
        <v>5</v>
      </c>
      <c r="Y211" s="13">
        <f t="shared" si="41"/>
        <v>4</v>
      </c>
      <c r="Z211" s="13">
        <f t="shared" si="41"/>
        <v>14</v>
      </c>
      <c r="AA211" s="13">
        <f t="shared" si="41"/>
        <v>11</v>
      </c>
      <c r="AB211" s="13">
        <f t="shared" si="41"/>
        <v>11</v>
      </c>
      <c r="AC211" s="13">
        <f t="shared" si="41"/>
        <v>58</v>
      </c>
      <c r="AD211" s="13">
        <f t="shared" si="41"/>
        <v>28</v>
      </c>
      <c r="AE211" s="13">
        <f t="shared" si="41"/>
        <v>16</v>
      </c>
      <c r="AF211" s="13">
        <f t="shared" si="40"/>
        <v>476</v>
      </c>
      <c r="AG211" s="5"/>
      <c r="AH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5"/>
      <c r="AH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3.0</v>
      </c>
      <c r="G213" s="19">
        <v>2.0</v>
      </c>
      <c r="H213" s="19">
        <v>0.0</v>
      </c>
      <c r="I213" s="19">
        <v>0.0</v>
      </c>
      <c r="J213" s="19">
        <v>2.0</v>
      </c>
      <c r="K213" s="19">
        <v>1.0</v>
      </c>
      <c r="L213" s="19">
        <v>4.0</v>
      </c>
      <c r="M213" s="19">
        <v>2.0</v>
      </c>
      <c r="N213" s="19">
        <v>2.0</v>
      </c>
      <c r="O213" s="19">
        <v>0.0</v>
      </c>
      <c r="P213" s="19">
        <v>2.0</v>
      </c>
      <c r="Q213" s="19">
        <v>3.0</v>
      </c>
      <c r="R213" s="19">
        <v>1.0</v>
      </c>
      <c r="S213" s="19">
        <v>1.0</v>
      </c>
      <c r="T213" s="19">
        <v>3.0</v>
      </c>
      <c r="U213" s="19">
        <v>3.0</v>
      </c>
      <c r="V213" s="19">
        <v>1.0</v>
      </c>
      <c r="W213" s="19">
        <v>1.0</v>
      </c>
      <c r="X213" s="19">
        <v>0.0</v>
      </c>
      <c r="Y213" s="19">
        <v>1.0</v>
      </c>
      <c r="Z213" s="19">
        <v>1.0</v>
      </c>
      <c r="AA213" s="19">
        <v>2.0</v>
      </c>
      <c r="AB213" s="19">
        <v>4.0</v>
      </c>
      <c r="AC213" s="19">
        <v>1.0</v>
      </c>
      <c r="AD213" s="19">
        <v>2.0</v>
      </c>
      <c r="AE213" s="19">
        <v>0.0</v>
      </c>
      <c r="AF213" s="13">
        <f t="shared" ref="AF213:AF223" si="42">SUM(E213:AE213)</f>
        <v>43</v>
      </c>
      <c r="AG213" s="5"/>
      <c r="AH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2.0</v>
      </c>
      <c r="G214" s="19">
        <v>2.0</v>
      </c>
      <c r="H214" s="19">
        <v>4.0</v>
      </c>
      <c r="I214" s="19">
        <v>1.0</v>
      </c>
      <c r="J214" s="19">
        <v>0.0</v>
      </c>
      <c r="K214" s="19">
        <v>0.0</v>
      </c>
      <c r="L214" s="19">
        <v>1.0</v>
      </c>
      <c r="M214" s="19">
        <v>2.0</v>
      </c>
      <c r="N214" s="19">
        <v>0.0</v>
      </c>
      <c r="O214" s="19">
        <v>1.0</v>
      </c>
      <c r="P214" s="19">
        <v>0.0</v>
      </c>
      <c r="Q214" s="19">
        <v>0.0</v>
      </c>
      <c r="R214" s="19">
        <v>1.0</v>
      </c>
      <c r="S214" s="19">
        <v>0.0</v>
      </c>
      <c r="T214" s="19">
        <v>0.0</v>
      </c>
      <c r="U214" s="19">
        <v>0.0</v>
      </c>
      <c r="V214" s="19">
        <v>2.0</v>
      </c>
      <c r="W214" s="19">
        <v>1.0</v>
      </c>
      <c r="X214" s="19">
        <v>0.0</v>
      </c>
      <c r="Y214" s="19">
        <v>1.0</v>
      </c>
      <c r="Z214" s="19">
        <v>3.0</v>
      </c>
      <c r="AA214" s="19">
        <v>1.0</v>
      </c>
      <c r="AB214" s="19">
        <v>1.0</v>
      </c>
      <c r="AC214" s="19">
        <v>1.0</v>
      </c>
      <c r="AD214" s="19">
        <v>1.0</v>
      </c>
      <c r="AE214" s="19">
        <v>1.0</v>
      </c>
      <c r="AF214" s="13">
        <f t="shared" si="42"/>
        <v>26</v>
      </c>
      <c r="AG214" s="5"/>
      <c r="AH214" s="5"/>
    </row>
    <row r="215" ht="12.75" customHeight="1">
      <c r="A215" s="18"/>
      <c r="B215" s="55">
        <v>2.0</v>
      </c>
      <c r="C215" s="50" t="s">
        <v>158</v>
      </c>
      <c r="D215" s="56"/>
      <c r="E215" s="19">
        <v>1.0</v>
      </c>
      <c r="F215" s="19">
        <v>2.0</v>
      </c>
      <c r="G215" s="19">
        <v>2.0</v>
      </c>
      <c r="H215" s="19">
        <v>3.0</v>
      </c>
      <c r="I215" s="19">
        <v>1.0</v>
      </c>
      <c r="J215" s="19">
        <v>2.0</v>
      </c>
      <c r="K215" s="19">
        <v>1.0</v>
      </c>
      <c r="L215" s="19">
        <v>1.0</v>
      </c>
      <c r="M215" s="19">
        <v>1.0</v>
      </c>
      <c r="N215" s="19">
        <v>1.0</v>
      </c>
      <c r="O215" s="19">
        <v>1.0</v>
      </c>
      <c r="P215" s="19">
        <v>0.0</v>
      </c>
      <c r="Q215" s="19">
        <v>1.0</v>
      </c>
      <c r="R215" s="19">
        <v>1.0</v>
      </c>
      <c r="S215" s="19">
        <v>0.0</v>
      </c>
      <c r="T215" s="19">
        <v>0.0</v>
      </c>
      <c r="U215" s="19">
        <v>2.0</v>
      </c>
      <c r="V215" s="19">
        <v>1.0</v>
      </c>
      <c r="W215" s="19">
        <v>1.0</v>
      </c>
      <c r="X215" s="19">
        <v>0.0</v>
      </c>
      <c r="Y215" s="19">
        <v>1.0</v>
      </c>
      <c r="Z215" s="19">
        <v>0.0</v>
      </c>
      <c r="AA215" s="19">
        <v>0.0</v>
      </c>
      <c r="AB215" s="19">
        <v>1.0</v>
      </c>
      <c r="AC215" s="19">
        <v>0.0</v>
      </c>
      <c r="AD215" s="19">
        <v>0.0</v>
      </c>
      <c r="AE215" s="19">
        <v>1.0</v>
      </c>
      <c r="AF215" s="13">
        <f t="shared" si="42"/>
        <v>25</v>
      </c>
      <c r="AG215" s="5"/>
      <c r="AH215" s="5"/>
    </row>
    <row r="216" ht="12.75" customHeight="1">
      <c r="A216" s="18"/>
      <c r="B216" s="55">
        <v>3.0</v>
      </c>
      <c r="C216" s="61" t="s">
        <v>159</v>
      </c>
      <c r="E216" s="19">
        <v>2.0</v>
      </c>
      <c r="F216" s="19">
        <v>0.0</v>
      </c>
      <c r="G216" s="19">
        <v>0.0</v>
      </c>
      <c r="H216" s="19">
        <v>0.0</v>
      </c>
      <c r="I216" s="19">
        <v>1.0</v>
      </c>
      <c r="J216" s="19">
        <v>1.0</v>
      </c>
      <c r="K216" s="19">
        <v>0.0</v>
      </c>
      <c r="L216" s="19">
        <v>0.0</v>
      </c>
      <c r="M216" s="19">
        <v>1.0</v>
      </c>
      <c r="N216" s="19">
        <v>1.0</v>
      </c>
      <c r="O216" s="19">
        <v>0.0</v>
      </c>
      <c r="P216" s="19">
        <v>0.0</v>
      </c>
      <c r="Q216" s="19">
        <v>0.0</v>
      </c>
      <c r="R216" s="19">
        <v>1.0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9">
        <v>1.0</v>
      </c>
      <c r="AA216" s="19">
        <v>1.0</v>
      </c>
      <c r="AB216" s="19">
        <v>0.0</v>
      </c>
      <c r="AC216" s="19">
        <v>1.0</v>
      </c>
      <c r="AD216" s="19">
        <v>0.0</v>
      </c>
      <c r="AE216" s="19">
        <v>1.0</v>
      </c>
      <c r="AF216" s="13">
        <f t="shared" si="42"/>
        <v>11</v>
      </c>
      <c r="AG216" s="5"/>
      <c r="AH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2.0</v>
      </c>
      <c r="R217" s="19">
        <v>0.0</v>
      </c>
      <c r="S217" s="19">
        <v>1.0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3">
        <f t="shared" si="42"/>
        <v>3</v>
      </c>
      <c r="AG217" s="5"/>
      <c r="AH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1.0</v>
      </c>
      <c r="G218" s="19">
        <v>1.0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1.0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1.0</v>
      </c>
      <c r="AE218" s="19">
        <v>0.0</v>
      </c>
      <c r="AF218" s="13">
        <f t="shared" si="42"/>
        <v>4</v>
      </c>
      <c r="AG218" s="1"/>
      <c r="AH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1.0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1.0</v>
      </c>
      <c r="Q219" s="19">
        <v>1.0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1.0</v>
      </c>
      <c r="AA219" s="19">
        <v>0.0</v>
      </c>
      <c r="AB219" s="19">
        <v>0.0</v>
      </c>
      <c r="AC219" s="19">
        <v>1.0</v>
      </c>
      <c r="AD219" s="19">
        <v>1.0</v>
      </c>
      <c r="AE219" s="19">
        <v>2.0</v>
      </c>
      <c r="AF219" s="13">
        <f t="shared" si="42"/>
        <v>8</v>
      </c>
      <c r="AG219" s="52"/>
      <c r="AH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1.0</v>
      </c>
      <c r="J220" s="19">
        <v>0.0</v>
      </c>
      <c r="K220" s="19">
        <v>0.0</v>
      </c>
      <c r="L220" s="19">
        <v>1.0</v>
      </c>
      <c r="M220" s="19">
        <v>0.0</v>
      </c>
      <c r="N220" s="19">
        <v>1.0</v>
      </c>
      <c r="O220" s="19">
        <v>1.0</v>
      </c>
      <c r="P220" s="19">
        <v>1.0</v>
      </c>
      <c r="Q220" s="19">
        <v>1.0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1.0</v>
      </c>
      <c r="AD220" s="19">
        <v>0.0</v>
      </c>
      <c r="AE220" s="19">
        <v>0.0</v>
      </c>
      <c r="AF220" s="13">
        <f t="shared" si="42"/>
        <v>7</v>
      </c>
      <c r="AG220" s="5"/>
      <c r="AH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3">
        <f t="shared" si="42"/>
        <v>0</v>
      </c>
      <c r="AG221" s="5"/>
      <c r="AH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3">
        <f t="shared" si="42"/>
        <v>0</v>
      </c>
      <c r="AG222" s="5"/>
      <c r="AH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AE223" si="43">SUM(E213:E220)</f>
        <v>4</v>
      </c>
      <c r="F223" s="13">
        <f t="shared" si="43"/>
        <v>9</v>
      </c>
      <c r="G223" s="13">
        <f t="shared" si="43"/>
        <v>7</v>
      </c>
      <c r="H223" s="13">
        <f t="shared" si="43"/>
        <v>7</v>
      </c>
      <c r="I223" s="13">
        <f t="shared" si="43"/>
        <v>4</v>
      </c>
      <c r="J223" s="13">
        <f t="shared" si="43"/>
        <v>5</v>
      </c>
      <c r="K223" s="13">
        <f t="shared" si="43"/>
        <v>2</v>
      </c>
      <c r="L223" s="13">
        <f t="shared" si="43"/>
        <v>7</v>
      </c>
      <c r="M223" s="13">
        <f t="shared" si="43"/>
        <v>6</v>
      </c>
      <c r="N223" s="13">
        <f t="shared" si="43"/>
        <v>5</v>
      </c>
      <c r="O223" s="13">
        <f t="shared" si="43"/>
        <v>3</v>
      </c>
      <c r="P223" s="13">
        <f t="shared" si="43"/>
        <v>4</v>
      </c>
      <c r="Q223" s="13">
        <f t="shared" si="43"/>
        <v>8</v>
      </c>
      <c r="R223" s="13">
        <f t="shared" si="43"/>
        <v>4</v>
      </c>
      <c r="S223" s="13">
        <f t="shared" si="43"/>
        <v>2</v>
      </c>
      <c r="T223" s="13">
        <f t="shared" si="43"/>
        <v>3</v>
      </c>
      <c r="U223" s="13">
        <f t="shared" si="43"/>
        <v>5</v>
      </c>
      <c r="V223" s="13">
        <f t="shared" si="43"/>
        <v>4</v>
      </c>
      <c r="W223" s="13">
        <f t="shared" si="43"/>
        <v>3</v>
      </c>
      <c r="X223" s="13">
        <f t="shared" si="43"/>
        <v>1</v>
      </c>
      <c r="Y223" s="13">
        <f t="shared" si="43"/>
        <v>3</v>
      </c>
      <c r="Z223" s="13">
        <f t="shared" si="43"/>
        <v>6</v>
      </c>
      <c r="AA223" s="13">
        <f t="shared" si="43"/>
        <v>4</v>
      </c>
      <c r="AB223" s="13">
        <f t="shared" si="43"/>
        <v>6</v>
      </c>
      <c r="AC223" s="13">
        <f t="shared" si="43"/>
        <v>5</v>
      </c>
      <c r="AD223" s="13">
        <f t="shared" si="43"/>
        <v>5</v>
      </c>
      <c r="AE223" s="13">
        <f t="shared" si="43"/>
        <v>5</v>
      </c>
      <c r="AF223" s="13">
        <f t="shared" si="42"/>
        <v>127</v>
      </c>
      <c r="AG223" s="5"/>
      <c r="AH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5"/>
      <c r="AH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1.0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2.0</v>
      </c>
      <c r="S225" s="19">
        <v>0.0</v>
      </c>
      <c r="T225" s="19">
        <v>0.0</v>
      </c>
      <c r="U225" s="19">
        <v>0.0</v>
      </c>
      <c r="V225" s="19">
        <v>0.0</v>
      </c>
      <c r="W225" s="19">
        <v>1.0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3">
        <f t="shared" ref="AF225:AF235" si="44">SUM(E225:AE225)</f>
        <v>4</v>
      </c>
      <c r="AG225" s="5"/>
      <c r="AH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6.0</v>
      </c>
      <c r="F226" s="19">
        <v>1.0</v>
      </c>
      <c r="G226" s="19">
        <v>0.0</v>
      </c>
      <c r="H226" s="19">
        <v>0.0</v>
      </c>
      <c r="I226" s="19">
        <v>1.0</v>
      </c>
      <c r="J226" s="19">
        <v>0.0</v>
      </c>
      <c r="K226" s="19">
        <v>1.0</v>
      </c>
      <c r="L226" s="19">
        <v>2.0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4.0</v>
      </c>
      <c r="AD226" s="19">
        <v>0.0</v>
      </c>
      <c r="AE226" s="19">
        <v>0.0</v>
      </c>
      <c r="AF226" s="13">
        <f t="shared" si="44"/>
        <v>15</v>
      </c>
      <c r="AG226" s="5"/>
      <c r="AH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3">
        <f t="shared" si="44"/>
        <v>0</v>
      </c>
      <c r="AG227" s="5"/>
      <c r="AH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3">
        <f t="shared" si="44"/>
        <v>0</v>
      </c>
      <c r="AG228" s="5"/>
      <c r="AH228" s="5"/>
    </row>
    <row r="229" ht="12.75" customHeight="1">
      <c r="A229" s="18"/>
      <c r="B229" s="55">
        <v>4.0</v>
      </c>
      <c r="C229" s="50" t="s">
        <v>169</v>
      </c>
      <c r="D229" s="57"/>
      <c r="E229" s="19">
        <v>1.0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3">
        <f t="shared" si="44"/>
        <v>1</v>
      </c>
      <c r="AG229" s="1"/>
      <c r="AH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3">
        <f t="shared" si="44"/>
        <v>0</v>
      </c>
      <c r="AG230" s="52"/>
      <c r="AH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1.0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3">
        <f t="shared" si="44"/>
        <v>1</v>
      </c>
      <c r="AG231" s="5"/>
      <c r="AH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2.0</v>
      </c>
      <c r="I232" s="19">
        <v>2.0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3.0</v>
      </c>
      <c r="T232" s="19">
        <v>1.0</v>
      </c>
      <c r="U232" s="19">
        <v>0.0</v>
      </c>
      <c r="V232" s="19">
        <v>1.0</v>
      </c>
      <c r="W232" s="19">
        <v>2.0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9">
        <v>3.0</v>
      </c>
      <c r="AE232" s="19">
        <v>1.0</v>
      </c>
      <c r="AF232" s="13">
        <f t="shared" si="44"/>
        <v>15</v>
      </c>
      <c r="AG232" s="5"/>
      <c r="AH232" s="5"/>
    </row>
    <row r="233" ht="12.75" customHeight="1">
      <c r="A233" s="18"/>
      <c r="B233" s="71"/>
      <c r="C233" s="72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3">
        <f t="shared" si="44"/>
        <v>0</v>
      </c>
      <c r="AG233" s="5"/>
      <c r="AH233" s="5"/>
    </row>
    <row r="234" ht="12.75" customHeight="1">
      <c r="A234" s="18"/>
      <c r="B234" s="71"/>
      <c r="C234" s="72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3">
        <f t="shared" si="44"/>
        <v>0</v>
      </c>
      <c r="AG234" s="5"/>
      <c r="AH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AE235" si="45">SUM(E225:E232)</f>
        <v>7</v>
      </c>
      <c r="F235" s="13">
        <f t="shared" si="45"/>
        <v>2</v>
      </c>
      <c r="G235" s="13">
        <f t="shared" si="45"/>
        <v>0</v>
      </c>
      <c r="H235" s="13">
        <f t="shared" si="45"/>
        <v>2</v>
      </c>
      <c r="I235" s="13">
        <f t="shared" si="45"/>
        <v>3</v>
      </c>
      <c r="J235" s="13">
        <f t="shared" si="45"/>
        <v>0</v>
      </c>
      <c r="K235" s="13">
        <f t="shared" si="45"/>
        <v>1</v>
      </c>
      <c r="L235" s="13">
        <f t="shared" si="45"/>
        <v>2</v>
      </c>
      <c r="M235" s="13">
        <f t="shared" si="45"/>
        <v>0</v>
      </c>
      <c r="N235" s="13">
        <f t="shared" si="45"/>
        <v>0</v>
      </c>
      <c r="O235" s="13">
        <f t="shared" si="45"/>
        <v>1</v>
      </c>
      <c r="P235" s="13">
        <f t="shared" si="45"/>
        <v>0</v>
      </c>
      <c r="Q235" s="13">
        <f t="shared" si="45"/>
        <v>0</v>
      </c>
      <c r="R235" s="13">
        <f t="shared" si="45"/>
        <v>2</v>
      </c>
      <c r="S235" s="13">
        <f t="shared" si="45"/>
        <v>3</v>
      </c>
      <c r="T235" s="13">
        <f t="shared" si="45"/>
        <v>1</v>
      </c>
      <c r="U235" s="13">
        <f t="shared" si="45"/>
        <v>0</v>
      </c>
      <c r="V235" s="13">
        <f t="shared" si="45"/>
        <v>1</v>
      </c>
      <c r="W235" s="13">
        <f t="shared" si="45"/>
        <v>3</v>
      </c>
      <c r="X235" s="13">
        <f t="shared" si="45"/>
        <v>0</v>
      </c>
      <c r="Y235" s="13">
        <f t="shared" si="45"/>
        <v>0</v>
      </c>
      <c r="Z235" s="13">
        <f t="shared" si="45"/>
        <v>0</v>
      </c>
      <c r="AA235" s="13">
        <f t="shared" si="45"/>
        <v>0</v>
      </c>
      <c r="AB235" s="13">
        <f t="shared" si="45"/>
        <v>0</v>
      </c>
      <c r="AC235" s="13">
        <f t="shared" si="45"/>
        <v>4</v>
      </c>
      <c r="AD235" s="13">
        <f t="shared" si="45"/>
        <v>3</v>
      </c>
      <c r="AE235" s="13">
        <f t="shared" si="45"/>
        <v>1</v>
      </c>
      <c r="AF235" s="13">
        <f t="shared" si="44"/>
        <v>36</v>
      </c>
      <c r="AG235" s="5"/>
      <c r="AH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5"/>
      <c r="AH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1.0</v>
      </c>
      <c r="F237" s="19">
        <v>0.0</v>
      </c>
      <c r="G237" s="19">
        <v>3.0</v>
      </c>
      <c r="H237" s="19">
        <v>2.0</v>
      </c>
      <c r="I237" s="19">
        <v>1.0</v>
      </c>
      <c r="J237" s="19">
        <v>3.0</v>
      </c>
      <c r="K237" s="19">
        <v>4.0</v>
      </c>
      <c r="L237" s="19">
        <v>3.0</v>
      </c>
      <c r="M237" s="19">
        <v>3.0</v>
      </c>
      <c r="N237" s="19">
        <v>0.0</v>
      </c>
      <c r="O237" s="19">
        <v>4.0</v>
      </c>
      <c r="P237" s="19">
        <v>2.0</v>
      </c>
      <c r="Q237" s="19">
        <v>1.0</v>
      </c>
      <c r="R237" s="19">
        <v>0.0</v>
      </c>
      <c r="S237" s="19">
        <v>0.0</v>
      </c>
      <c r="T237" s="19">
        <v>1.0</v>
      </c>
      <c r="U237" s="19">
        <v>3.0</v>
      </c>
      <c r="V237" s="19">
        <v>0.0</v>
      </c>
      <c r="W237" s="19">
        <v>1.0</v>
      </c>
      <c r="X237" s="19">
        <v>0.0</v>
      </c>
      <c r="Y237" s="19">
        <v>1.0</v>
      </c>
      <c r="Z237" s="19">
        <v>0.0</v>
      </c>
      <c r="AA237" s="19">
        <v>0.0</v>
      </c>
      <c r="AB237" s="19">
        <v>0.0</v>
      </c>
      <c r="AC237" s="19">
        <v>0.0</v>
      </c>
      <c r="AD237" s="19">
        <v>0.0</v>
      </c>
      <c r="AE237" s="19">
        <v>0.0</v>
      </c>
      <c r="AF237" s="13">
        <f t="shared" ref="AF237:AF247" si="46">SUM(E237:AE237)</f>
        <v>33</v>
      </c>
      <c r="AG237" s="5"/>
      <c r="AH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0.0</v>
      </c>
      <c r="H238" s="19">
        <v>1.0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1.0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0.0</v>
      </c>
      <c r="W238" s="19">
        <v>0.0</v>
      </c>
      <c r="X238" s="19">
        <v>1.0</v>
      </c>
      <c r="Y238" s="19">
        <v>2.0</v>
      </c>
      <c r="Z238" s="19">
        <v>0.0</v>
      </c>
      <c r="AA238" s="19">
        <v>0.0</v>
      </c>
      <c r="AB238" s="19">
        <v>1.0</v>
      </c>
      <c r="AC238" s="19">
        <v>0.0</v>
      </c>
      <c r="AD238" s="19">
        <v>0.0</v>
      </c>
      <c r="AE238" s="19">
        <v>0.0</v>
      </c>
      <c r="AF238" s="13">
        <f t="shared" si="46"/>
        <v>6</v>
      </c>
      <c r="AG238" s="5"/>
      <c r="AH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0.0</v>
      </c>
      <c r="H239" s="19">
        <v>0.0</v>
      </c>
      <c r="I239" s="19">
        <v>1.0</v>
      </c>
      <c r="J239" s="19">
        <v>0.0</v>
      </c>
      <c r="K239" s="19">
        <v>1.0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1.0</v>
      </c>
      <c r="S239" s="19">
        <v>0.0</v>
      </c>
      <c r="T239" s="19">
        <v>1.0</v>
      </c>
      <c r="U239" s="19">
        <v>0.0</v>
      </c>
      <c r="V239" s="19">
        <v>1.0</v>
      </c>
      <c r="W239" s="19">
        <v>0.0</v>
      </c>
      <c r="X239" s="19">
        <v>3.0</v>
      </c>
      <c r="Y239" s="19">
        <v>41.0</v>
      </c>
      <c r="Z239" s="19">
        <v>0.0</v>
      </c>
      <c r="AA239" s="19">
        <v>0.0</v>
      </c>
      <c r="AB239" s="19">
        <v>0.0</v>
      </c>
      <c r="AC239" s="19">
        <v>0.0</v>
      </c>
      <c r="AD239" s="19">
        <v>0.0</v>
      </c>
      <c r="AE239" s="19">
        <v>0.0</v>
      </c>
      <c r="AF239" s="13">
        <f t="shared" si="46"/>
        <v>49</v>
      </c>
      <c r="AG239" s="5"/>
      <c r="AH239" s="5"/>
    </row>
    <row r="240" ht="12.75" customHeight="1">
      <c r="A240" s="18"/>
      <c r="B240" s="55">
        <v>3.0</v>
      </c>
      <c r="C240" s="50" t="s">
        <v>177</v>
      </c>
      <c r="D240" s="57"/>
      <c r="E240" s="19">
        <v>1.0</v>
      </c>
      <c r="F240" s="19">
        <v>0.0</v>
      </c>
      <c r="G240" s="19">
        <v>0.0</v>
      </c>
      <c r="H240" s="19">
        <v>1.0</v>
      </c>
      <c r="I240" s="19">
        <v>0.0</v>
      </c>
      <c r="J240" s="19">
        <v>0.0</v>
      </c>
      <c r="K240" s="19">
        <v>1.0</v>
      </c>
      <c r="L240" s="19">
        <v>0.0</v>
      </c>
      <c r="M240" s="19">
        <v>0.0</v>
      </c>
      <c r="N240" s="19">
        <v>0.0</v>
      </c>
      <c r="O240" s="19">
        <v>0.0</v>
      </c>
      <c r="P240" s="19">
        <v>2.0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1.0</v>
      </c>
      <c r="Z240" s="19">
        <v>0.0</v>
      </c>
      <c r="AA240" s="19">
        <v>0.0</v>
      </c>
      <c r="AB240" s="19">
        <v>0.0</v>
      </c>
      <c r="AC240" s="19">
        <v>0.0</v>
      </c>
      <c r="AD240" s="19">
        <v>0.0</v>
      </c>
      <c r="AE240" s="19">
        <v>0.0</v>
      </c>
      <c r="AF240" s="13">
        <f t="shared" si="46"/>
        <v>6</v>
      </c>
      <c r="AG240" s="1"/>
      <c r="AH240" s="1"/>
    </row>
    <row r="241" ht="12.75" customHeight="1">
      <c r="A241" s="18"/>
      <c r="B241" s="55">
        <v>4.0</v>
      </c>
      <c r="C241" s="50" t="s">
        <v>178</v>
      </c>
      <c r="D241" s="57"/>
      <c r="E241" s="19">
        <v>2.0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1.0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1.0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3">
        <f t="shared" si="46"/>
        <v>4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1.0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1.0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3">
        <f t="shared" si="46"/>
        <v>1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7.0</v>
      </c>
      <c r="F244" s="19">
        <v>5.0</v>
      </c>
      <c r="G244" s="19">
        <v>12.0</v>
      </c>
      <c r="H244" s="19">
        <v>21.0</v>
      </c>
      <c r="I244" s="19">
        <v>11.0</v>
      </c>
      <c r="J244" s="19">
        <v>28.0</v>
      </c>
      <c r="K244" s="19">
        <v>56.0</v>
      </c>
      <c r="L244" s="19">
        <v>54.0</v>
      </c>
      <c r="M244" s="19">
        <v>29.0</v>
      </c>
      <c r="N244" s="19">
        <v>12.0</v>
      </c>
      <c r="O244" s="19">
        <v>18.0</v>
      </c>
      <c r="P244" s="19">
        <v>10.0</v>
      </c>
      <c r="Q244" s="19">
        <v>20.0</v>
      </c>
      <c r="R244" s="19">
        <v>2.0</v>
      </c>
      <c r="S244" s="19">
        <v>12.0</v>
      </c>
      <c r="T244" s="19">
        <v>13.0</v>
      </c>
      <c r="U244" s="19">
        <v>13.0</v>
      </c>
      <c r="V244" s="19">
        <v>2.0</v>
      </c>
      <c r="W244" s="19">
        <v>0.0</v>
      </c>
      <c r="X244" s="19">
        <v>0.0</v>
      </c>
      <c r="Y244" s="19">
        <v>2.0</v>
      </c>
      <c r="Z244" s="19">
        <v>0.0</v>
      </c>
      <c r="AA244" s="19">
        <v>3.0</v>
      </c>
      <c r="AB244" s="19">
        <v>0.0</v>
      </c>
      <c r="AC244" s="19">
        <v>3.0</v>
      </c>
      <c r="AD244" s="19">
        <v>3.0</v>
      </c>
      <c r="AE244" s="19">
        <v>1.0</v>
      </c>
      <c r="AF244" s="13">
        <f t="shared" si="46"/>
        <v>337</v>
      </c>
    </row>
    <row r="245" ht="12.75" customHeight="1">
      <c r="A245" s="18"/>
      <c r="B245" s="71"/>
      <c r="C245" s="72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3">
        <f t="shared" si="46"/>
        <v>0</v>
      </c>
    </row>
    <row r="246" ht="12.75" customHeight="1">
      <c r="A246" s="18"/>
      <c r="B246" s="71"/>
      <c r="C246" s="72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E247" si="47">SUM(E237:E244)</f>
        <v>11</v>
      </c>
      <c r="F247" s="13">
        <f t="shared" si="47"/>
        <v>5</v>
      </c>
      <c r="G247" s="13">
        <f t="shared" si="47"/>
        <v>15</v>
      </c>
      <c r="H247" s="13">
        <f t="shared" si="47"/>
        <v>25</v>
      </c>
      <c r="I247" s="13">
        <f t="shared" si="47"/>
        <v>13</v>
      </c>
      <c r="J247" s="13">
        <f t="shared" si="47"/>
        <v>31</v>
      </c>
      <c r="K247" s="13">
        <f t="shared" si="47"/>
        <v>63</v>
      </c>
      <c r="L247" s="13">
        <f t="shared" si="47"/>
        <v>58</v>
      </c>
      <c r="M247" s="13">
        <f t="shared" si="47"/>
        <v>32</v>
      </c>
      <c r="N247" s="13">
        <f t="shared" si="47"/>
        <v>12</v>
      </c>
      <c r="O247" s="13">
        <f t="shared" si="47"/>
        <v>23</v>
      </c>
      <c r="P247" s="13">
        <f t="shared" si="47"/>
        <v>14</v>
      </c>
      <c r="Q247" s="13">
        <f t="shared" si="47"/>
        <v>21</v>
      </c>
      <c r="R247" s="13">
        <f t="shared" si="47"/>
        <v>3</v>
      </c>
      <c r="S247" s="13">
        <f t="shared" si="47"/>
        <v>12</v>
      </c>
      <c r="T247" s="13">
        <f t="shared" si="47"/>
        <v>15</v>
      </c>
      <c r="U247" s="13">
        <f t="shared" si="47"/>
        <v>18</v>
      </c>
      <c r="V247" s="13">
        <f t="shared" si="47"/>
        <v>3</v>
      </c>
      <c r="W247" s="13">
        <f t="shared" si="47"/>
        <v>1</v>
      </c>
      <c r="X247" s="13">
        <f t="shared" si="47"/>
        <v>4</v>
      </c>
      <c r="Y247" s="13">
        <f t="shared" si="47"/>
        <v>47</v>
      </c>
      <c r="Z247" s="13">
        <f t="shared" si="47"/>
        <v>0</v>
      </c>
      <c r="AA247" s="13">
        <f t="shared" si="47"/>
        <v>3</v>
      </c>
      <c r="AB247" s="13">
        <f t="shared" si="47"/>
        <v>1</v>
      </c>
      <c r="AC247" s="13">
        <f t="shared" si="47"/>
        <v>3</v>
      </c>
      <c r="AD247" s="13">
        <f t="shared" si="47"/>
        <v>3</v>
      </c>
      <c r="AE247" s="13">
        <f t="shared" si="47"/>
        <v>1</v>
      </c>
      <c r="AF247" s="13">
        <f t="shared" si="46"/>
        <v>437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1.0</v>
      </c>
      <c r="L249" s="19">
        <v>1.0</v>
      </c>
      <c r="M249" s="19">
        <v>1.0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1.0</v>
      </c>
      <c r="AA249" s="19">
        <v>0.0</v>
      </c>
      <c r="AB249" s="19">
        <v>0.0</v>
      </c>
      <c r="AC249" s="19">
        <v>1.0</v>
      </c>
      <c r="AD249" s="19">
        <v>0.0</v>
      </c>
      <c r="AE249" s="19">
        <v>0.0</v>
      </c>
      <c r="AF249" s="13">
        <f t="shared" ref="AF249:AF259" si="48">SUM(E249:AE249)</f>
        <v>5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3">
        <f t="shared" si="48"/>
        <v>0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1.0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3">
        <f t="shared" si="48"/>
        <v>1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1.0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1.0</v>
      </c>
      <c r="AE252" s="19">
        <v>0.0</v>
      </c>
      <c r="AF252" s="13">
        <f t="shared" si="48"/>
        <v>2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1.0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3">
        <f t="shared" si="48"/>
        <v>1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1.0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3">
        <f t="shared" si="48"/>
        <v>1</v>
      </c>
    </row>
    <row r="256" ht="12.75" customHeight="1">
      <c r="A256" s="18"/>
      <c r="B256" s="71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3">
        <f t="shared" si="48"/>
        <v>0</v>
      </c>
    </row>
    <row r="257" ht="12.75" customHeight="1">
      <c r="A257" s="18"/>
      <c r="B257" s="71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3">
        <f t="shared" si="48"/>
        <v>0</v>
      </c>
    </row>
    <row r="258" ht="12.75" customHeight="1">
      <c r="A258" s="18"/>
      <c r="B258" s="71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3">
        <f t="shared" si="48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AE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1</v>
      </c>
      <c r="L259" s="13">
        <f t="shared" si="49"/>
        <v>1</v>
      </c>
      <c r="M259" s="13">
        <f t="shared" si="49"/>
        <v>1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1</v>
      </c>
      <c r="R259" s="13">
        <f t="shared" si="49"/>
        <v>2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1</v>
      </c>
      <c r="AA259" s="13">
        <f t="shared" si="49"/>
        <v>0</v>
      </c>
      <c r="AB259" s="13">
        <f t="shared" si="49"/>
        <v>0</v>
      </c>
      <c r="AC259" s="13">
        <f t="shared" si="49"/>
        <v>1</v>
      </c>
      <c r="AD259" s="13">
        <f t="shared" si="49"/>
        <v>1</v>
      </c>
      <c r="AE259" s="13">
        <f t="shared" si="49"/>
        <v>0</v>
      </c>
      <c r="AF259" s="13">
        <f t="shared" si="48"/>
        <v>10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0"/>
      <c r="O261" s="13"/>
      <c r="P261" s="13"/>
      <c r="Q261" s="13"/>
      <c r="R261" s="13"/>
      <c r="S261" s="70"/>
      <c r="T261" s="13"/>
      <c r="U261" s="13"/>
      <c r="V261" s="13"/>
      <c r="W261" s="13"/>
      <c r="X261" s="70"/>
      <c r="Y261" s="13"/>
      <c r="Z261" s="13"/>
      <c r="AA261" s="13"/>
      <c r="AB261" s="13"/>
      <c r="AC261" s="70"/>
      <c r="AD261" s="13"/>
      <c r="AE261" s="13"/>
      <c r="AF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E262" si="50">E55+E67+E79+E91+E103+E115+E127+E139+E151+E163+E175+E187+E199+E211+E223+E235+E247+E259</f>
        <v>184</v>
      </c>
      <c r="F262" s="19">
        <f t="shared" si="50"/>
        <v>203</v>
      </c>
      <c r="G262" s="19">
        <f t="shared" si="50"/>
        <v>188</v>
      </c>
      <c r="H262" s="19">
        <f t="shared" si="50"/>
        <v>170</v>
      </c>
      <c r="I262" s="19">
        <f t="shared" si="50"/>
        <v>165</v>
      </c>
      <c r="J262" s="19">
        <f t="shared" si="50"/>
        <v>187</v>
      </c>
      <c r="K262" s="19">
        <f t="shared" si="50"/>
        <v>202</v>
      </c>
      <c r="L262" s="19">
        <f t="shared" si="50"/>
        <v>168</v>
      </c>
      <c r="M262" s="19">
        <f t="shared" si="50"/>
        <v>177</v>
      </c>
      <c r="N262" s="19">
        <f t="shared" si="50"/>
        <v>178</v>
      </c>
      <c r="O262" s="19">
        <f t="shared" si="50"/>
        <v>182</v>
      </c>
      <c r="P262" s="19">
        <f t="shared" si="50"/>
        <v>173</v>
      </c>
      <c r="Q262" s="19">
        <f t="shared" si="50"/>
        <v>180</v>
      </c>
      <c r="R262" s="19">
        <f t="shared" si="50"/>
        <v>142</v>
      </c>
      <c r="S262" s="19">
        <f t="shared" si="50"/>
        <v>202</v>
      </c>
      <c r="T262" s="19">
        <f t="shared" si="50"/>
        <v>183</v>
      </c>
      <c r="U262" s="19">
        <f t="shared" si="50"/>
        <v>163</v>
      </c>
      <c r="V262" s="19">
        <f t="shared" si="50"/>
        <v>199</v>
      </c>
      <c r="W262" s="19">
        <f t="shared" si="50"/>
        <v>186</v>
      </c>
      <c r="X262" s="19">
        <f t="shared" si="50"/>
        <v>181</v>
      </c>
      <c r="Y262" s="19">
        <f t="shared" si="50"/>
        <v>177</v>
      </c>
      <c r="Z262" s="19">
        <f t="shared" si="50"/>
        <v>185</v>
      </c>
      <c r="AA262" s="19">
        <f t="shared" si="50"/>
        <v>202</v>
      </c>
      <c r="AB262" s="19">
        <f t="shared" si="50"/>
        <v>208</v>
      </c>
      <c r="AC262" s="19">
        <f t="shared" si="50"/>
        <v>214</v>
      </c>
      <c r="AD262" s="19">
        <f t="shared" si="50"/>
        <v>234</v>
      </c>
      <c r="AE262" s="19">
        <f t="shared" si="50"/>
        <v>207</v>
      </c>
      <c r="AF262" s="13">
        <f t="shared" ref="AF262:AF264" si="51">SUM(E262:AE262)</f>
        <v>5040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25.0</v>
      </c>
      <c r="F263" s="19">
        <v>24.0</v>
      </c>
      <c r="G263" s="19">
        <v>22.0</v>
      </c>
      <c r="H263" s="19">
        <v>20.0</v>
      </c>
      <c r="I263" s="19">
        <v>25.0</v>
      </c>
      <c r="J263" s="19">
        <v>21.0</v>
      </c>
      <c r="K263" s="19">
        <v>15.0</v>
      </c>
      <c r="L263" s="19">
        <v>31.0</v>
      </c>
      <c r="M263" s="19">
        <v>13.0</v>
      </c>
      <c r="N263" s="19">
        <v>32.0</v>
      </c>
      <c r="O263" s="19">
        <v>19.0</v>
      </c>
      <c r="P263" s="19">
        <v>37.0</v>
      </c>
      <c r="Q263" s="19">
        <v>26.0</v>
      </c>
      <c r="R263" s="19">
        <v>52.0</v>
      </c>
      <c r="S263" s="19">
        <v>7.0</v>
      </c>
      <c r="T263" s="19">
        <v>18.0</v>
      </c>
      <c r="U263" s="19">
        <v>22.0</v>
      </c>
      <c r="V263" s="19">
        <v>7.0</v>
      </c>
      <c r="W263" s="19">
        <v>9.0</v>
      </c>
      <c r="X263" s="19">
        <v>13.0</v>
      </c>
      <c r="Y263" s="19">
        <v>15.0</v>
      </c>
      <c r="Z263" s="19">
        <v>19.0</v>
      </c>
      <c r="AA263" s="19">
        <v>22.0</v>
      </c>
      <c r="AB263" s="19">
        <v>19.0</v>
      </c>
      <c r="AC263" s="19">
        <v>35.0</v>
      </c>
      <c r="AD263" s="19">
        <v>15.0</v>
      </c>
      <c r="AE263" s="19">
        <v>16.0</v>
      </c>
      <c r="AF263" s="13">
        <f t="shared" si="51"/>
        <v>579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E264" si="52">SUM(E262:E263)</f>
        <v>209</v>
      </c>
      <c r="F264" s="13">
        <f t="shared" si="52"/>
        <v>227</v>
      </c>
      <c r="G264" s="13">
        <f t="shared" si="52"/>
        <v>210</v>
      </c>
      <c r="H264" s="13">
        <f t="shared" si="52"/>
        <v>190</v>
      </c>
      <c r="I264" s="13">
        <f t="shared" si="52"/>
        <v>190</v>
      </c>
      <c r="J264" s="13">
        <f t="shared" si="52"/>
        <v>208</v>
      </c>
      <c r="K264" s="13">
        <f t="shared" si="52"/>
        <v>217</v>
      </c>
      <c r="L264" s="13">
        <f t="shared" si="52"/>
        <v>199</v>
      </c>
      <c r="M264" s="13">
        <f t="shared" si="52"/>
        <v>190</v>
      </c>
      <c r="N264" s="13">
        <f t="shared" si="52"/>
        <v>210</v>
      </c>
      <c r="O264" s="13">
        <f t="shared" si="52"/>
        <v>201</v>
      </c>
      <c r="P264" s="13">
        <f t="shared" si="52"/>
        <v>210</v>
      </c>
      <c r="Q264" s="13">
        <f t="shared" si="52"/>
        <v>206</v>
      </c>
      <c r="R264" s="13">
        <f t="shared" si="52"/>
        <v>194</v>
      </c>
      <c r="S264" s="13">
        <f t="shared" si="52"/>
        <v>209</v>
      </c>
      <c r="T264" s="13">
        <f t="shared" si="52"/>
        <v>201</v>
      </c>
      <c r="U264" s="13">
        <f t="shared" si="52"/>
        <v>185</v>
      </c>
      <c r="V264" s="13">
        <f t="shared" si="52"/>
        <v>206</v>
      </c>
      <c r="W264" s="13">
        <f t="shared" si="52"/>
        <v>195</v>
      </c>
      <c r="X264" s="13">
        <f t="shared" si="52"/>
        <v>194</v>
      </c>
      <c r="Y264" s="13">
        <f t="shared" si="52"/>
        <v>192</v>
      </c>
      <c r="Z264" s="13">
        <f t="shared" si="52"/>
        <v>204</v>
      </c>
      <c r="AA264" s="13">
        <f t="shared" si="52"/>
        <v>224</v>
      </c>
      <c r="AB264" s="13">
        <f t="shared" si="52"/>
        <v>227</v>
      </c>
      <c r="AC264" s="13">
        <f t="shared" si="52"/>
        <v>249</v>
      </c>
      <c r="AD264" s="13">
        <f t="shared" si="52"/>
        <v>249</v>
      </c>
      <c r="AE264" s="13">
        <f t="shared" si="52"/>
        <v>223</v>
      </c>
      <c r="AF264" s="13">
        <f t="shared" si="51"/>
        <v>5619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AE34">
    <cfRule type="expression" dxfId="0" priority="1">
      <formula>E34&lt;&gt;E64</formula>
    </cfRule>
  </conditionalFormatting>
  <conditionalFormatting sqref="E14:AE15">
    <cfRule type="containsBlanks" dxfId="1" priority="2">
      <formula>LEN(TRIM(E14))=0</formula>
    </cfRule>
  </conditionalFormatting>
  <conditionalFormatting sqref="E19:AE20">
    <cfRule type="containsBlanks" dxfId="1" priority="3">
      <formula>LEN(TRIM(E19))=0</formula>
    </cfRule>
  </conditionalFormatting>
  <conditionalFormatting sqref="E22:AE23 E25:AE26 E33:AE33 E35:AE35 E39:AE40">
    <cfRule type="containsBlanks" dxfId="1" priority="4">
      <formula>LEN(TRIM(E22))=0</formula>
    </cfRule>
  </conditionalFormatting>
  <conditionalFormatting sqref="E30:AE30">
    <cfRule type="expression" dxfId="0" priority="5">
      <formula>E30&lt;&gt;E47</formula>
    </cfRule>
  </conditionalFormatting>
  <conditionalFormatting sqref="E30:AE30">
    <cfRule type="expression" dxfId="0" priority="6">
      <formula>E30&lt;&gt;E34</formula>
    </cfRule>
  </conditionalFormatting>
  <conditionalFormatting sqref="E34:AE34">
    <cfRule type="expression" dxfId="2" priority="7">
      <formula>E30&lt;&gt;E34</formula>
    </cfRule>
  </conditionalFormatting>
  <conditionalFormatting sqref="E34:AE34">
    <cfRule type="expression" dxfId="3" priority="8">
      <formula>E30=E34</formula>
    </cfRule>
  </conditionalFormatting>
  <conditionalFormatting sqref="E34:AE34">
    <cfRule type="expression" dxfId="0" priority="9">
      <formula>E34&lt;&gt;E30</formula>
    </cfRule>
  </conditionalFormatting>
  <conditionalFormatting sqref="F45:AE54">
    <cfRule type="containsBlanks" dxfId="1" priority="10">
      <formula>LEN(TRIM(F45))=0</formula>
    </cfRule>
  </conditionalFormatting>
  <conditionalFormatting sqref="F57:AE66">
    <cfRule type="containsBlanks" dxfId="1" priority="11">
      <formula>LEN(TRIM(F57))=0</formula>
    </cfRule>
  </conditionalFormatting>
  <conditionalFormatting sqref="F69:AE78">
    <cfRule type="containsBlanks" dxfId="1" priority="12">
      <formula>LEN(TRIM(F69))=0</formula>
    </cfRule>
  </conditionalFormatting>
  <conditionalFormatting sqref="F81:AE90">
    <cfRule type="containsBlanks" dxfId="1" priority="13">
      <formula>LEN(TRIM(F81))=0</formula>
    </cfRule>
  </conditionalFormatting>
  <conditionalFormatting sqref="F93:AE102">
    <cfRule type="containsBlanks" dxfId="1" priority="14">
      <formula>LEN(TRIM(F93))=0</formula>
    </cfRule>
  </conditionalFormatting>
  <conditionalFormatting sqref="F105:AE114">
    <cfRule type="containsBlanks" dxfId="1" priority="15">
      <formula>LEN(TRIM(F105))=0</formula>
    </cfRule>
  </conditionalFormatting>
  <conditionalFormatting sqref="F117:AE126">
    <cfRule type="containsBlanks" dxfId="1" priority="16">
      <formula>LEN(TRIM(F117))=0</formula>
    </cfRule>
  </conditionalFormatting>
  <conditionalFormatting sqref="F129:AE138">
    <cfRule type="containsBlanks" dxfId="1" priority="17">
      <formula>LEN(TRIM(F129))=0</formula>
    </cfRule>
  </conditionalFormatting>
  <conditionalFormatting sqref="F141:AE150">
    <cfRule type="containsBlanks" dxfId="1" priority="18">
      <formula>LEN(TRIM(F141))=0</formula>
    </cfRule>
  </conditionalFormatting>
  <conditionalFormatting sqref="F153:AE162">
    <cfRule type="containsBlanks" dxfId="1" priority="19">
      <formula>LEN(TRIM(F153))=0</formula>
    </cfRule>
  </conditionalFormatting>
  <conditionalFormatting sqref="F165:AE174">
    <cfRule type="containsBlanks" dxfId="1" priority="20">
      <formula>LEN(TRIM(F165))=0</formula>
    </cfRule>
  </conditionalFormatting>
  <conditionalFormatting sqref="F177:AE186">
    <cfRule type="containsBlanks" dxfId="1" priority="21">
      <formula>LEN(TRIM(F177))=0</formula>
    </cfRule>
  </conditionalFormatting>
  <conditionalFormatting sqref="F189:AE198">
    <cfRule type="containsBlanks" dxfId="1" priority="22">
      <formula>LEN(TRIM(F189))=0</formula>
    </cfRule>
  </conditionalFormatting>
  <conditionalFormatting sqref="F201:AE210">
    <cfRule type="containsBlanks" dxfId="1" priority="23">
      <formula>LEN(TRIM(F201))=0</formula>
    </cfRule>
  </conditionalFormatting>
  <conditionalFormatting sqref="F213:AE222">
    <cfRule type="containsBlanks" dxfId="1" priority="24">
      <formula>LEN(TRIM(F213))=0</formula>
    </cfRule>
  </conditionalFormatting>
  <conditionalFormatting sqref="F225:AE234">
    <cfRule type="containsBlanks" dxfId="1" priority="25">
      <formula>LEN(TRIM(F225))=0</formula>
    </cfRule>
  </conditionalFormatting>
  <conditionalFormatting sqref="F237:AE246">
    <cfRule type="containsBlanks" dxfId="1" priority="26">
      <formula>LEN(TRIM(F237))=0</formula>
    </cfRule>
  </conditionalFormatting>
  <conditionalFormatting sqref="F249:AE259">
    <cfRule type="containsBlanks" dxfId="1" priority="27">
      <formula>LEN(TRIM(F249))=0</formula>
    </cfRule>
  </conditionalFormatting>
  <conditionalFormatting sqref="F262:AE263">
    <cfRule type="containsBlanks" dxfId="1" priority="28">
      <formula>LEN(TRIM(F262))=0</formula>
    </cfRule>
  </conditionalFormatting>
  <conditionalFormatting sqref="E45:E54">
    <cfRule type="containsBlanks" dxfId="1" priority="29">
      <formula>LEN(TRIM(E45))=0</formula>
    </cfRule>
  </conditionalFormatting>
  <conditionalFormatting sqref="E57:E66">
    <cfRule type="containsBlanks" dxfId="1" priority="30">
      <formula>LEN(TRIM(E57))=0</formula>
    </cfRule>
  </conditionalFormatting>
  <conditionalFormatting sqref="E69:E78">
    <cfRule type="containsBlanks" dxfId="1" priority="31">
      <formula>LEN(TRIM(E69))=0</formula>
    </cfRule>
  </conditionalFormatting>
  <conditionalFormatting sqref="E81:E90">
    <cfRule type="containsBlanks" dxfId="1" priority="32">
      <formula>LEN(TRIM(E81))=0</formula>
    </cfRule>
  </conditionalFormatting>
  <conditionalFormatting sqref="E93:E102">
    <cfRule type="containsBlanks" dxfId="1" priority="33">
      <formula>LEN(TRIM(E93))=0</formula>
    </cfRule>
  </conditionalFormatting>
  <conditionalFormatting sqref="E105:E114">
    <cfRule type="containsBlanks" dxfId="1" priority="34">
      <formula>LEN(TRIM(E105))=0</formula>
    </cfRule>
  </conditionalFormatting>
  <conditionalFormatting sqref="E117:E126">
    <cfRule type="containsBlanks" dxfId="1" priority="35">
      <formula>LEN(TRIM(E117))=0</formula>
    </cfRule>
  </conditionalFormatting>
  <conditionalFormatting sqref="E129:E138">
    <cfRule type="containsBlanks" dxfId="1" priority="36">
      <formula>LEN(TRIM(E129))=0</formula>
    </cfRule>
  </conditionalFormatting>
  <conditionalFormatting sqref="E141:E150">
    <cfRule type="containsBlanks" dxfId="1" priority="37">
      <formula>LEN(TRIM(E141))=0</formula>
    </cfRule>
  </conditionalFormatting>
  <conditionalFormatting sqref="E153:E162">
    <cfRule type="containsBlanks" dxfId="1" priority="38">
      <formula>LEN(TRIM(E153))=0</formula>
    </cfRule>
  </conditionalFormatting>
  <conditionalFormatting sqref="E165:E174">
    <cfRule type="containsBlanks" dxfId="1" priority="39">
      <formula>LEN(TRIM(E165))=0</formula>
    </cfRule>
  </conditionalFormatting>
  <conditionalFormatting sqref="E177:E186">
    <cfRule type="containsBlanks" dxfId="1" priority="40">
      <formula>LEN(TRIM(E177))=0</formula>
    </cfRule>
  </conditionalFormatting>
  <conditionalFormatting sqref="E189:E198">
    <cfRule type="containsBlanks" dxfId="1" priority="41">
      <formula>LEN(TRIM(E189))=0</formula>
    </cfRule>
  </conditionalFormatting>
  <conditionalFormatting sqref="E201:E210">
    <cfRule type="containsBlanks" dxfId="1" priority="42">
      <formula>LEN(TRIM(E201))=0</formula>
    </cfRule>
  </conditionalFormatting>
  <conditionalFormatting sqref="E213:E222">
    <cfRule type="containsBlanks" dxfId="1" priority="43">
      <formula>LEN(TRIM(E213))=0</formula>
    </cfRule>
  </conditionalFormatting>
  <conditionalFormatting sqref="E225:E234">
    <cfRule type="containsBlanks" dxfId="1" priority="44">
      <formula>LEN(TRIM(E225))=0</formula>
    </cfRule>
  </conditionalFormatting>
  <conditionalFormatting sqref="E237:E246">
    <cfRule type="containsBlanks" dxfId="1" priority="45">
      <formula>LEN(TRIM(E237))=0</formula>
    </cfRule>
  </conditionalFormatting>
  <conditionalFormatting sqref="E249:E259">
    <cfRule type="containsBlanks" dxfId="1" priority="46">
      <formula>LEN(TRIM(E249))=0</formula>
    </cfRule>
  </conditionalFormatting>
  <conditionalFormatting sqref="E262:E263">
    <cfRule type="containsBlanks" dxfId="1" priority="47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6" width="8.71"/>
    <col customWidth="1" min="37" max="37" width="13.29"/>
    <col customWidth="1" min="38" max="3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/>
      <c r="AJ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36"/>
    </row>
    <row r="14" ht="12.75" customHeight="1">
      <c r="A14" s="18"/>
      <c r="B14" s="22" t="s">
        <v>11</v>
      </c>
      <c r="C14" s="23"/>
      <c r="D14" s="19" t="s">
        <v>12</v>
      </c>
      <c r="E14" s="19">
        <v>131.0</v>
      </c>
      <c r="F14" s="19">
        <v>127.0</v>
      </c>
      <c r="G14" s="19">
        <v>128.0</v>
      </c>
      <c r="H14" s="19">
        <v>150.0</v>
      </c>
      <c r="I14" s="19">
        <v>134.0</v>
      </c>
      <c r="J14" s="19">
        <v>136.0</v>
      </c>
      <c r="K14" s="19">
        <v>133.0</v>
      </c>
      <c r="L14" s="19">
        <v>152.0</v>
      </c>
      <c r="M14" s="19">
        <v>145.0</v>
      </c>
      <c r="N14" s="19">
        <v>131.0</v>
      </c>
      <c r="O14" s="19">
        <v>144.0</v>
      </c>
      <c r="P14" s="19">
        <v>135.0</v>
      </c>
      <c r="Q14" s="19">
        <v>127.0</v>
      </c>
      <c r="R14" s="19">
        <v>138.0</v>
      </c>
      <c r="S14" s="19">
        <v>138.0</v>
      </c>
      <c r="T14" s="19">
        <v>128.0</v>
      </c>
      <c r="U14" s="19">
        <v>140.0</v>
      </c>
      <c r="V14" s="19">
        <v>139.0</v>
      </c>
      <c r="W14" s="19">
        <v>138.0</v>
      </c>
      <c r="X14" s="19">
        <v>135.0</v>
      </c>
      <c r="Y14" s="19">
        <v>134.0</v>
      </c>
      <c r="Z14" s="19">
        <v>142.0</v>
      </c>
      <c r="AA14" s="19">
        <v>127.0</v>
      </c>
      <c r="AB14" s="19">
        <v>125.0</v>
      </c>
      <c r="AC14" s="19">
        <v>121.0</v>
      </c>
      <c r="AD14" s="19">
        <v>132.0</v>
      </c>
      <c r="AE14" s="19">
        <v>139.0</v>
      </c>
      <c r="AF14" s="19">
        <v>139.0</v>
      </c>
      <c r="AG14" s="19">
        <v>134.0</v>
      </c>
      <c r="AH14" s="19">
        <v>143.0</v>
      </c>
      <c r="AI14" s="19">
        <v>143.0</v>
      </c>
      <c r="AJ14" s="19">
        <v>155.0</v>
      </c>
      <c r="AK14" s="13">
        <f t="shared" ref="AK14:AK16" si="1">SUM(E14:AJ14)</f>
        <v>4363</v>
      </c>
    </row>
    <row r="15" ht="12.75" customHeight="1">
      <c r="A15" s="18"/>
      <c r="B15" s="26"/>
      <c r="C15" s="27"/>
      <c r="D15" s="19" t="s">
        <v>13</v>
      </c>
      <c r="E15" s="19">
        <v>132.0</v>
      </c>
      <c r="F15" s="19">
        <v>136.0</v>
      </c>
      <c r="G15" s="19">
        <v>128.0</v>
      </c>
      <c r="H15" s="19">
        <v>142.0</v>
      </c>
      <c r="I15" s="19">
        <v>144.0</v>
      </c>
      <c r="J15" s="19">
        <v>136.0</v>
      </c>
      <c r="K15" s="19">
        <v>139.0</v>
      </c>
      <c r="L15" s="19">
        <v>132.0</v>
      </c>
      <c r="M15" s="19">
        <v>135.0</v>
      </c>
      <c r="N15" s="19">
        <v>140.0</v>
      </c>
      <c r="O15" s="19">
        <v>135.0</v>
      </c>
      <c r="P15" s="19">
        <v>136.0</v>
      </c>
      <c r="Q15" s="19">
        <v>144.0</v>
      </c>
      <c r="R15" s="19">
        <v>142.0</v>
      </c>
      <c r="S15" s="19">
        <v>129.0</v>
      </c>
      <c r="T15" s="19">
        <v>143.0</v>
      </c>
      <c r="U15" s="19">
        <v>143.0</v>
      </c>
      <c r="V15" s="19">
        <v>129.0</v>
      </c>
      <c r="W15" s="19">
        <v>133.0</v>
      </c>
      <c r="X15" s="19">
        <v>132.0</v>
      </c>
      <c r="Y15" s="19">
        <v>134.0</v>
      </c>
      <c r="Z15" s="19">
        <v>123.0</v>
      </c>
      <c r="AA15" s="19">
        <v>147.0</v>
      </c>
      <c r="AB15" s="19">
        <v>131.0</v>
      </c>
      <c r="AC15" s="19">
        <v>104.0</v>
      </c>
      <c r="AD15" s="19">
        <v>132.0</v>
      </c>
      <c r="AE15" s="19">
        <v>131.0</v>
      </c>
      <c r="AF15" s="19">
        <v>130.0</v>
      </c>
      <c r="AG15" s="19">
        <v>137.0</v>
      </c>
      <c r="AH15" s="19">
        <v>143.0</v>
      </c>
      <c r="AI15" s="19">
        <v>123.0</v>
      </c>
      <c r="AJ15" s="19">
        <v>137.0</v>
      </c>
      <c r="AK15" s="13">
        <f t="shared" si="1"/>
        <v>4302</v>
      </c>
    </row>
    <row r="16" ht="12.75" customHeight="1">
      <c r="A16" s="25"/>
      <c r="B16" s="21"/>
      <c r="C16" s="28"/>
      <c r="D16" s="13" t="s">
        <v>14</v>
      </c>
      <c r="E16" s="13">
        <f t="shared" ref="E16:AJ16" si="2">SUM(E14:E15)</f>
        <v>263</v>
      </c>
      <c r="F16" s="13">
        <f t="shared" si="2"/>
        <v>263</v>
      </c>
      <c r="G16" s="13">
        <f t="shared" si="2"/>
        <v>256</v>
      </c>
      <c r="H16" s="13">
        <f t="shared" si="2"/>
        <v>292</v>
      </c>
      <c r="I16" s="13">
        <f t="shared" si="2"/>
        <v>278</v>
      </c>
      <c r="J16" s="13">
        <f t="shared" si="2"/>
        <v>272</v>
      </c>
      <c r="K16" s="13">
        <f t="shared" si="2"/>
        <v>272</v>
      </c>
      <c r="L16" s="13">
        <f t="shared" si="2"/>
        <v>284</v>
      </c>
      <c r="M16" s="13">
        <f t="shared" si="2"/>
        <v>280</v>
      </c>
      <c r="N16" s="13">
        <f t="shared" si="2"/>
        <v>271</v>
      </c>
      <c r="O16" s="13">
        <f t="shared" si="2"/>
        <v>279</v>
      </c>
      <c r="P16" s="13">
        <f t="shared" si="2"/>
        <v>271</v>
      </c>
      <c r="Q16" s="13">
        <f t="shared" si="2"/>
        <v>271</v>
      </c>
      <c r="R16" s="13">
        <f t="shared" si="2"/>
        <v>280</v>
      </c>
      <c r="S16" s="13">
        <f t="shared" si="2"/>
        <v>267</v>
      </c>
      <c r="T16" s="13">
        <f t="shared" si="2"/>
        <v>271</v>
      </c>
      <c r="U16" s="13">
        <f t="shared" si="2"/>
        <v>283</v>
      </c>
      <c r="V16" s="13">
        <f t="shared" si="2"/>
        <v>268</v>
      </c>
      <c r="W16" s="13">
        <f t="shared" si="2"/>
        <v>271</v>
      </c>
      <c r="X16" s="13">
        <f t="shared" si="2"/>
        <v>267</v>
      </c>
      <c r="Y16" s="13">
        <f t="shared" si="2"/>
        <v>268</v>
      </c>
      <c r="Z16" s="13">
        <f t="shared" si="2"/>
        <v>265</v>
      </c>
      <c r="AA16" s="13">
        <f t="shared" si="2"/>
        <v>274</v>
      </c>
      <c r="AB16" s="13">
        <f t="shared" si="2"/>
        <v>256</v>
      </c>
      <c r="AC16" s="13">
        <f t="shared" si="2"/>
        <v>225</v>
      </c>
      <c r="AD16" s="13">
        <f t="shared" si="2"/>
        <v>264</v>
      </c>
      <c r="AE16" s="13">
        <f t="shared" si="2"/>
        <v>270</v>
      </c>
      <c r="AF16" s="13">
        <f t="shared" si="2"/>
        <v>269</v>
      </c>
      <c r="AG16" s="13">
        <f t="shared" si="2"/>
        <v>271</v>
      </c>
      <c r="AH16" s="13">
        <f t="shared" si="2"/>
        <v>286</v>
      </c>
      <c r="AI16" s="13">
        <f t="shared" si="2"/>
        <v>266</v>
      </c>
      <c r="AJ16" s="13">
        <f t="shared" si="2"/>
        <v>292</v>
      </c>
      <c r="AK16" s="13">
        <f t="shared" si="1"/>
        <v>8665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67"/>
      <c r="AJ17" s="19"/>
      <c r="AK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67"/>
      <c r="AJ18" s="19"/>
      <c r="AK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95.0</v>
      </c>
      <c r="F19" s="19">
        <v>101.0</v>
      </c>
      <c r="G19" s="19">
        <v>101.0</v>
      </c>
      <c r="H19" s="19">
        <v>125.0</v>
      </c>
      <c r="I19" s="19">
        <v>96.0</v>
      </c>
      <c r="J19" s="19">
        <v>105.0</v>
      </c>
      <c r="K19" s="19">
        <v>107.0</v>
      </c>
      <c r="L19" s="19">
        <v>100.0</v>
      </c>
      <c r="M19" s="19">
        <v>118.0</v>
      </c>
      <c r="N19" s="19">
        <v>101.0</v>
      </c>
      <c r="O19" s="19">
        <v>109.0</v>
      </c>
      <c r="P19" s="19">
        <v>114.0</v>
      </c>
      <c r="Q19" s="19">
        <v>101.0</v>
      </c>
      <c r="R19" s="19">
        <v>110.0</v>
      </c>
      <c r="S19" s="19">
        <v>94.0</v>
      </c>
      <c r="T19" s="19">
        <v>98.0</v>
      </c>
      <c r="U19" s="19">
        <v>109.0</v>
      </c>
      <c r="V19" s="19">
        <v>102.0</v>
      </c>
      <c r="W19" s="19">
        <v>111.0</v>
      </c>
      <c r="X19" s="19">
        <v>98.0</v>
      </c>
      <c r="Y19" s="19">
        <v>87.0</v>
      </c>
      <c r="Z19" s="19">
        <v>105.0</v>
      </c>
      <c r="AA19" s="19">
        <v>98.0</v>
      </c>
      <c r="AB19" s="19">
        <v>98.0</v>
      </c>
      <c r="AC19" s="19">
        <v>95.0</v>
      </c>
      <c r="AD19" s="19">
        <v>104.0</v>
      </c>
      <c r="AE19" s="19">
        <v>105.0</v>
      </c>
      <c r="AF19" s="19">
        <v>117.0</v>
      </c>
      <c r="AG19" s="19">
        <v>103.0</v>
      </c>
      <c r="AH19" s="19">
        <v>121.0</v>
      </c>
      <c r="AI19" s="19">
        <v>109.0</v>
      </c>
      <c r="AJ19" s="19">
        <v>122.0</v>
      </c>
      <c r="AK19" s="13">
        <f t="shared" ref="AK19:AK30" si="3">SUM(E19:AJ19)</f>
        <v>3359</v>
      </c>
    </row>
    <row r="20" ht="12.75" customHeight="1">
      <c r="A20" s="33"/>
      <c r="B20" s="27"/>
      <c r="C20" s="34"/>
      <c r="D20" s="19" t="s">
        <v>13</v>
      </c>
      <c r="E20" s="19">
        <v>96.0</v>
      </c>
      <c r="F20" s="19">
        <v>108.0</v>
      </c>
      <c r="G20" s="19">
        <v>105.0</v>
      </c>
      <c r="H20" s="19">
        <v>122.0</v>
      </c>
      <c r="I20" s="19">
        <v>109.0</v>
      </c>
      <c r="J20" s="19">
        <v>113.0</v>
      </c>
      <c r="K20" s="19">
        <v>107.0</v>
      </c>
      <c r="L20" s="19">
        <v>101.0</v>
      </c>
      <c r="M20" s="19">
        <v>112.0</v>
      </c>
      <c r="N20" s="19">
        <v>98.0</v>
      </c>
      <c r="O20" s="19">
        <v>118.0</v>
      </c>
      <c r="P20" s="19">
        <v>120.0</v>
      </c>
      <c r="Q20" s="19">
        <v>110.0</v>
      </c>
      <c r="R20" s="19">
        <v>112.0</v>
      </c>
      <c r="S20" s="19">
        <v>105.0</v>
      </c>
      <c r="T20" s="19">
        <v>115.0</v>
      </c>
      <c r="U20" s="19">
        <v>126.0</v>
      </c>
      <c r="V20" s="19">
        <v>102.0</v>
      </c>
      <c r="W20" s="19">
        <v>96.0</v>
      </c>
      <c r="X20" s="19">
        <v>100.0</v>
      </c>
      <c r="Y20" s="19">
        <v>98.0</v>
      </c>
      <c r="Z20" s="19">
        <v>106.0</v>
      </c>
      <c r="AA20" s="19">
        <v>118.0</v>
      </c>
      <c r="AB20" s="19">
        <v>106.0</v>
      </c>
      <c r="AC20" s="19">
        <v>84.0</v>
      </c>
      <c r="AD20" s="19">
        <v>99.0</v>
      </c>
      <c r="AE20" s="19">
        <v>101.0</v>
      </c>
      <c r="AF20" s="19">
        <v>109.0</v>
      </c>
      <c r="AG20" s="19">
        <v>112.0</v>
      </c>
      <c r="AH20" s="19">
        <v>118.0</v>
      </c>
      <c r="AI20" s="19">
        <v>96.0</v>
      </c>
      <c r="AJ20" s="19">
        <v>110.0</v>
      </c>
      <c r="AK20" s="13">
        <f t="shared" si="3"/>
        <v>3432</v>
      </c>
    </row>
    <row r="21" ht="12.75" customHeight="1">
      <c r="A21" s="35"/>
      <c r="B21" s="28"/>
      <c r="C21" s="36"/>
      <c r="D21" s="13" t="s">
        <v>14</v>
      </c>
      <c r="E21" s="13">
        <f t="shared" ref="E21:AJ21" si="4">SUM(E19:E20)</f>
        <v>191</v>
      </c>
      <c r="F21" s="13">
        <f t="shared" si="4"/>
        <v>209</v>
      </c>
      <c r="G21" s="13">
        <f t="shared" si="4"/>
        <v>206</v>
      </c>
      <c r="H21" s="13">
        <f t="shared" si="4"/>
        <v>247</v>
      </c>
      <c r="I21" s="13">
        <f t="shared" si="4"/>
        <v>205</v>
      </c>
      <c r="J21" s="13">
        <f t="shared" si="4"/>
        <v>218</v>
      </c>
      <c r="K21" s="13">
        <f t="shared" si="4"/>
        <v>214</v>
      </c>
      <c r="L21" s="13">
        <f t="shared" si="4"/>
        <v>201</v>
      </c>
      <c r="M21" s="13">
        <f t="shared" si="4"/>
        <v>230</v>
      </c>
      <c r="N21" s="13">
        <f t="shared" si="4"/>
        <v>199</v>
      </c>
      <c r="O21" s="13">
        <f t="shared" si="4"/>
        <v>227</v>
      </c>
      <c r="P21" s="13">
        <f t="shared" si="4"/>
        <v>234</v>
      </c>
      <c r="Q21" s="13">
        <f t="shared" si="4"/>
        <v>211</v>
      </c>
      <c r="R21" s="13">
        <f t="shared" si="4"/>
        <v>222</v>
      </c>
      <c r="S21" s="13">
        <f t="shared" si="4"/>
        <v>199</v>
      </c>
      <c r="T21" s="13">
        <f t="shared" si="4"/>
        <v>213</v>
      </c>
      <c r="U21" s="13">
        <f t="shared" si="4"/>
        <v>235</v>
      </c>
      <c r="V21" s="13">
        <f t="shared" si="4"/>
        <v>204</v>
      </c>
      <c r="W21" s="13">
        <f t="shared" si="4"/>
        <v>207</v>
      </c>
      <c r="X21" s="13">
        <f t="shared" si="4"/>
        <v>198</v>
      </c>
      <c r="Y21" s="13">
        <f t="shared" si="4"/>
        <v>185</v>
      </c>
      <c r="Z21" s="13">
        <f t="shared" si="4"/>
        <v>211</v>
      </c>
      <c r="AA21" s="13">
        <f t="shared" si="4"/>
        <v>216</v>
      </c>
      <c r="AB21" s="13">
        <f t="shared" si="4"/>
        <v>204</v>
      </c>
      <c r="AC21" s="13">
        <f t="shared" si="4"/>
        <v>179</v>
      </c>
      <c r="AD21" s="13">
        <f t="shared" si="4"/>
        <v>203</v>
      </c>
      <c r="AE21" s="13">
        <f t="shared" si="4"/>
        <v>206</v>
      </c>
      <c r="AF21" s="13">
        <f t="shared" si="4"/>
        <v>226</v>
      </c>
      <c r="AG21" s="13">
        <f t="shared" si="4"/>
        <v>215</v>
      </c>
      <c r="AH21" s="13">
        <f t="shared" si="4"/>
        <v>239</v>
      </c>
      <c r="AI21" s="13">
        <f t="shared" si="4"/>
        <v>205</v>
      </c>
      <c r="AJ21" s="13">
        <f t="shared" si="4"/>
        <v>232</v>
      </c>
      <c r="AK21" s="13">
        <f t="shared" si="3"/>
        <v>6791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J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2.0</v>
      </c>
      <c r="G25" s="19">
        <v>0.0</v>
      </c>
      <c r="H25" s="19">
        <v>0.0</v>
      </c>
      <c r="I25" s="19">
        <v>1.0</v>
      </c>
      <c r="J25" s="19">
        <v>4.0</v>
      </c>
      <c r="K25" s="19">
        <v>0.0</v>
      </c>
      <c r="L25" s="19">
        <v>0.0</v>
      </c>
      <c r="M25" s="19">
        <v>4.0</v>
      </c>
      <c r="N25" s="19">
        <v>2.0</v>
      </c>
      <c r="O25" s="19">
        <v>0.0</v>
      </c>
      <c r="P25" s="19">
        <v>2.0</v>
      </c>
      <c r="Q25" s="19">
        <v>0.0</v>
      </c>
      <c r="R25" s="19">
        <v>1.0</v>
      </c>
      <c r="S25" s="19">
        <v>0.0</v>
      </c>
      <c r="T25" s="19">
        <v>4.0</v>
      </c>
      <c r="U25" s="19">
        <v>2.0</v>
      </c>
      <c r="V25" s="19">
        <v>0.0</v>
      </c>
      <c r="W25" s="19">
        <v>0.0</v>
      </c>
      <c r="X25" s="19">
        <v>3.0</v>
      </c>
      <c r="Y25" s="19">
        <v>1.0</v>
      </c>
      <c r="Z25" s="19">
        <v>0.0</v>
      </c>
      <c r="AA25" s="19">
        <v>0.0</v>
      </c>
      <c r="AB25" s="19">
        <v>4.0</v>
      </c>
      <c r="AC25" s="19">
        <v>0.0</v>
      </c>
      <c r="AD25" s="19">
        <v>1.0</v>
      </c>
      <c r="AE25" s="19">
        <v>1.0</v>
      </c>
      <c r="AF25" s="19">
        <v>0.0</v>
      </c>
      <c r="AG25" s="19">
        <v>1.0</v>
      </c>
      <c r="AH25" s="19">
        <v>1.0</v>
      </c>
      <c r="AI25" s="19">
        <v>1.0</v>
      </c>
      <c r="AJ25" s="19">
        <v>0.0</v>
      </c>
      <c r="AK25" s="13">
        <f t="shared" si="3"/>
        <v>38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4.0</v>
      </c>
      <c r="G26" s="19">
        <v>1.0</v>
      </c>
      <c r="H26" s="19">
        <v>0.0</v>
      </c>
      <c r="I26" s="19">
        <v>0.0</v>
      </c>
      <c r="J26" s="19">
        <v>6.0</v>
      </c>
      <c r="K26" s="19">
        <v>0.0</v>
      </c>
      <c r="L26" s="19">
        <v>0.0</v>
      </c>
      <c r="M26" s="19">
        <v>2.0</v>
      </c>
      <c r="N26" s="19">
        <v>2.0</v>
      </c>
      <c r="O26" s="19">
        <v>0.0</v>
      </c>
      <c r="P26" s="19">
        <v>3.0</v>
      </c>
      <c r="Q26" s="19">
        <v>1.0</v>
      </c>
      <c r="R26" s="19">
        <v>1.0</v>
      </c>
      <c r="S26" s="19">
        <v>0.0</v>
      </c>
      <c r="T26" s="19">
        <v>4.0</v>
      </c>
      <c r="U26" s="19">
        <v>1.0</v>
      </c>
      <c r="V26" s="19">
        <v>5.0</v>
      </c>
      <c r="W26" s="19">
        <v>0.0</v>
      </c>
      <c r="X26" s="19">
        <v>0.0</v>
      </c>
      <c r="Y26" s="19">
        <v>0.0</v>
      </c>
      <c r="Z26" s="19">
        <v>2.0</v>
      </c>
      <c r="AA26" s="19">
        <v>1.0</v>
      </c>
      <c r="AB26" s="19">
        <v>1.0</v>
      </c>
      <c r="AC26" s="19">
        <v>0.0</v>
      </c>
      <c r="AD26" s="19">
        <v>0.0</v>
      </c>
      <c r="AE26" s="19">
        <v>2.0</v>
      </c>
      <c r="AF26" s="19">
        <v>0.0</v>
      </c>
      <c r="AG26" s="19">
        <v>1.0</v>
      </c>
      <c r="AH26" s="19">
        <v>2.0</v>
      </c>
      <c r="AI26" s="19">
        <v>1.0</v>
      </c>
      <c r="AJ26" s="19">
        <v>1.0</v>
      </c>
      <c r="AK26" s="13">
        <f t="shared" si="3"/>
        <v>43</v>
      </c>
    </row>
    <row r="27" ht="12.75" customHeight="1">
      <c r="A27" s="35"/>
      <c r="B27" s="28"/>
      <c r="C27" s="36"/>
      <c r="D27" s="13" t="s">
        <v>14</v>
      </c>
      <c r="E27" s="13">
        <f t="shared" ref="E27:AJ27" si="6">SUM(E25:E26)</f>
        <v>5</v>
      </c>
      <c r="F27" s="13">
        <f t="shared" si="6"/>
        <v>6</v>
      </c>
      <c r="G27" s="13">
        <f t="shared" si="6"/>
        <v>1</v>
      </c>
      <c r="H27" s="13">
        <f t="shared" si="6"/>
        <v>0</v>
      </c>
      <c r="I27" s="13">
        <f t="shared" si="6"/>
        <v>1</v>
      </c>
      <c r="J27" s="13">
        <f t="shared" si="6"/>
        <v>10</v>
      </c>
      <c r="K27" s="13">
        <f t="shared" si="6"/>
        <v>0</v>
      </c>
      <c r="L27" s="13">
        <f t="shared" si="6"/>
        <v>0</v>
      </c>
      <c r="M27" s="13">
        <f t="shared" si="6"/>
        <v>6</v>
      </c>
      <c r="N27" s="13">
        <f t="shared" si="6"/>
        <v>4</v>
      </c>
      <c r="O27" s="13">
        <f t="shared" si="6"/>
        <v>0</v>
      </c>
      <c r="P27" s="13">
        <f t="shared" si="6"/>
        <v>5</v>
      </c>
      <c r="Q27" s="13">
        <f t="shared" si="6"/>
        <v>1</v>
      </c>
      <c r="R27" s="13">
        <f t="shared" si="6"/>
        <v>2</v>
      </c>
      <c r="S27" s="13">
        <f t="shared" si="6"/>
        <v>0</v>
      </c>
      <c r="T27" s="13">
        <f t="shared" si="6"/>
        <v>8</v>
      </c>
      <c r="U27" s="13">
        <f t="shared" si="6"/>
        <v>3</v>
      </c>
      <c r="V27" s="13">
        <f t="shared" si="6"/>
        <v>5</v>
      </c>
      <c r="W27" s="13">
        <f t="shared" si="6"/>
        <v>0</v>
      </c>
      <c r="X27" s="13">
        <f t="shared" si="6"/>
        <v>3</v>
      </c>
      <c r="Y27" s="13">
        <f t="shared" si="6"/>
        <v>1</v>
      </c>
      <c r="Z27" s="13">
        <f t="shared" si="6"/>
        <v>2</v>
      </c>
      <c r="AA27" s="13">
        <f t="shared" si="6"/>
        <v>1</v>
      </c>
      <c r="AB27" s="13">
        <f t="shared" si="6"/>
        <v>5</v>
      </c>
      <c r="AC27" s="13">
        <f t="shared" si="6"/>
        <v>0</v>
      </c>
      <c r="AD27" s="13">
        <f t="shared" si="6"/>
        <v>1</v>
      </c>
      <c r="AE27" s="13">
        <f t="shared" si="6"/>
        <v>3</v>
      </c>
      <c r="AF27" s="13">
        <f t="shared" si="6"/>
        <v>0</v>
      </c>
      <c r="AG27" s="13">
        <f t="shared" si="6"/>
        <v>2</v>
      </c>
      <c r="AH27" s="13">
        <f t="shared" si="6"/>
        <v>3</v>
      </c>
      <c r="AI27" s="13">
        <f t="shared" si="6"/>
        <v>2</v>
      </c>
      <c r="AJ27" s="13">
        <f t="shared" si="6"/>
        <v>1</v>
      </c>
      <c r="AK27" s="13">
        <f t="shared" si="3"/>
        <v>81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J28" si="7">SUM(E19,E22,E25)</f>
        <v>98</v>
      </c>
      <c r="F28" s="13">
        <f t="shared" si="7"/>
        <v>103</v>
      </c>
      <c r="G28" s="13">
        <f t="shared" si="7"/>
        <v>101</v>
      </c>
      <c r="H28" s="13">
        <f t="shared" si="7"/>
        <v>125</v>
      </c>
      <c r="I28" s="13">
        <f t="shared" si="7"/>
        <v>97</v>
      </c>
      <c r="J28" s="13">
        <f t="shared" si="7"/>
        <v>109</v>
      </c>
      <c r="K28" s="13">
        <f t="shared" si="7"/>
        <v>107</v>
      </c>
      <c r="L28" s="13">
        <f t="shared" si="7"/>
        <v>100</v>
      </c>
      <c r="M28" s="13">
        <f t="shared" si="7"/>
        <v>122</v>
      </c>
      <c r="N28" s="13">
        <f t="shared" si="7"/>
        <v>103</v>
      </c>
      <c r="O28" s="13">
        <f t="shared" si="7"/>
        <v>109</v>
      </c>
      <c r="P28" s="13">
        <f t="shared" si="7"/>
        <v>116</v>
      </c>
      <c r="Q28" s="13">
        <f t="shared" si="7"/>
        <v>101</v>
      </c>
      <c r="R28" s="13">
        <f t="shared" si="7"/>
        <v>111</v>
      </c>
      <c r="S28" s="13">
        <f t="shared" si="7"/>
        <v>94</v>
      </c>
      <c r="T28" s="13">
        <f t="shared" si="7"/>
        <v>102</v>
      </c>
      <c r="U28" s="13">
        <f t="shared" si="7"/>
        <v>111</v>
      </c>
      <c r="V28" s="13">
        <f t="shared" si="7"/>
        <v>102</v>
      </c>
      <c r="W28" s="13">
        <f t="shared" si="7"/>
        <v>111</v>
      </c>
      <c r="X28" s="13">
        <f t="shared" si="7"/>
        <v>101</v>
      </c>
      <c r="Y28" s="13">
        <f t="shared" si="7"/>
        <v>88</v>
      </c>
      <c r="Z28" s="13">
        <f t="shared" si="7"/>
        <v>105</v>
      </c>
      <c r="AA28" s="13">
        <f t="shared" si="7"/>
        <v>98</v>
      </c>
      <c r="AB28" s="13">
        <f t="shared" si="7"/>
        <v>102</v>
      </c>
      <c r="AC28" s="13">
        <f t="shared" si="7"/>
        <v>95</v>
      </c>
      <c r="AD28" s="13">
        <f t="shared" si="7"/>
        <v>105</v>
      </c>
      <c r="AE28" s="13">
        <f t="shared" si="7"/>
        <v>106</v>
      </c>
      <c r="AF28" s="13">
        <f t="shared" si="7"/>
        <v>117</v>
      </c>
      <c r="AG28" s="13">
        <f t="shared" si="7"/>
        <v>104</v>
      </c>
      <c r="AH28" s="13">
        <f t="shared" si="7"/>
        <v>122</v>
      </c>
      <c r="AI28" s="13">
        <f t="shared" si="7"/>
        <v>110</v>
      </c>
      <c r="AJ28" s="13">
        <f t="shared" si="7"/>
        <v>122</v>
      </c>
      <c r="AK28" s="13">
        <f t="shared" si="3"/>
        <v>3397</v>
      </c>
    </row>
    <row r="29" ht="12.75" customHeight="1">
      <c r="A29" s="35"/>
      <c r="B29" s="27"/>
      <c r="C29" s="34"/>
      <c r="D29" s="13" t="s">
        <v>13</v>
      </c>
      <c r="E29" s="13">
        <f t="shared" ref="E29:AJ29" si="8">SUM(E20,E23,E26)</f>
        <v>98</v>
      </c>
      <c r="F29" s="13">
        <f t="shared" si="8"/>
        <v>112</v>
      </c>
      <c r="G29" s="13">
        <f t="shared" si="8"/>
        <v>107</v>
      </c>
      <c r="H29" s="13">
        <f t="shared" si="8"/>
        <v>122</v>
      </c>
      <c r="I29" s="13">
        <f t="shared" si="8"/>
        <v>109</v>
      </c>
      <c r="J29" s="13">
        <f t="shared" si="8"/>
        <v>119</v>
      </c>
      <c r="K29" s="13">
        <f t="shared" si="8"/>
        <v>107</v>
      </c>
      <c r="L29" s="13">
        <f t="shared" si="8"/>
        <v>101</v>
      </c>
      <c r="M29" s="13">
        <f t="shared" si="8"/>
        <v>114</v>
      </c>
      <c r="N29" s="13">
        <f t="shared" si="8"/>
        <v>100</v>
      </c>
      <c r="O29" s="13">
        <f t="shared" si="8"/>
        <v>118</v>
      </c>
      <c r="P29" s="13">
        <f t="shared" si="8"/>
        <v>123</v>
      </c>
      <c r="Q29" s="13">
        <f t="shared" si="8"/>
        <v>111</v>
      </c>
      <c r="R29" s="13">
        <f t="shared" si="8"/>
        <v>113</v>
      </c>
      <c r="S29" s="13">
        <f t="shared" si="8"/>
        <v>105</v>
      </c>
      <c r="T29" s="13">
        <f t="shared" si="8"/>
        <v>119</v>
      </c>
      <c r="U29" s="13">
        <f t="shared" si="8"/>
        <v>127</v>
      </c>
      <c r="V29" s="13">
        <f t="shared" si="8"/>
        <v>107</v>
      </c>
      <c r="W29" s="13">
        <f t="shared" si="8"/>
        <v>96</v>
      </c>
      <c r="X29" s="13">
        <f t="shared" si="8"/>
        <v>100</v>
      </c>
      <c r="Y29" s="13">
        <f t="shared" si="8"/>
        <v>98</v>
      </c>
      <c r="Z29" s="13">
        <f t="shared" si="8"/>
        <v>108</v>
      </c>
      <c r="AA29" s="13">
        <f t="shared" si="8"/>
        <v>119</v>
      </c>
      <c r="AB29" s="13">
        <f t="shared" si="8"/>
        <v>107</v>
      </c>
      <c r="AC29" s="13">
        <f t="shared" si="8"/>
        <v>84</v>
      </c>
      <c r="AD29" s="13">
        <f t="shared" si="8"/>
        <v>99</v>
      </c>
      <c r="AE29" s="13">
        <f t="shared" si="8"/>
        <v>103</v>
      </c>
      <c r="AF29" s="13">
        <f t="shared" si="8"/>
        <v>109</v>
      </c>
      <c r="AG29" s="13">
        <f t="shared" si="8"/>
        <v>113</v>
      </c>
      <c r="AH29" s="13">
        <f t="shared" si="8"/>
        <v>120</v>
      </c>
      <c r="AI29" s="13">
        <f t="shared" si="8"/>
        <v>97</v>
      </c>
      <c r="AJ29" s="13">
        <f t="shared" si="8"/>
        <v>111</v>
      </c>
      <c r="AK29" s="13">
        <f t="shared" si="3"/>
        <v>3476</v>
      </c>
    </row>
    <row r="30" ht="12.75" customHeight="1">
      <c r="A30" s="35"/>
      <c r="B30" s="28"/>
      <c r="C30" s="36"/>
      <c r="D30" s="13" t="s">
        <v>14</v>
      </c>
      <c r="E30" s="13">
        <f t="shared" ref="E30:AJ30" si="9">SUM(E28:E29)</f>
        <v>196</v>
      </c>
      <c r="F30" s="13">
        <f t="shared" si="9"/>
        <v>215</v>
      </c>
      <c r="G30" s="13">
        <f t="shared" si="9"/>
        <v>208</v>
      </c>
      <c r="H30" s="13">
        <f t="shared" si="9"/>
        <v>247</v>
      </c>
      <c r="I30" s="13">
        <f t="shared" si="9"/>
        <v>206</v>
      </c>
      <c r="J30" s="13">
        <f t="shared" si="9"/>
        <v>228</v>
      </c>
      <c r="K30" s="13">
        <f t="shared" si="9"/>
        <v>214</v>
      </c>
      <c r="L30" s="13">
        <f t="shared" si="9"/>
        <v>201</v>
      </c>
      <c r="M30" s="13">
        <f t="shared" si="9"/>
        <v>236</v>
      </c>
      <c r="N30" s="13">
        <f t="shared" si="9"/>
        <v>203</v>
      </c>
      <c r="O30" s="13">
        <f t="shared" si="9"/>
        <v>227</v>
      </c>
      <c r="P30" s="13">
        <f t="shared" si="9"/>
        <v>239</v>
      </c>
      <c r="Q30" s="13">
        <f t="shared" si="9"/>
        <v>212</v>
      </c>
      <c r="R30" s="13">
        <f t="shared" si="9"/>
        <v>224</v>
      </c>
      <c r="S30" s="13">
        <f t="shared" si="9"/>
        <v>199</v>
      </c>
      <c r="T30" s="13">
        <f t="shared" si="9"/>
        <v>221</v>
      </c>
      <c r="U30" s="13">
        <f t="shared" si="9"/>
        <v>238</v>
      </c>
      <c r="V30" s="13">
        <f t="shared" si="9"/>
        <v>209</v>
      </c>
      <c r="W30" s="13">
        <f t="shared" si="9"/>
        <v>207</v>
      </c>
      <c r="X30" s="13">
        <f t="shared" si="9"/>
        <v>201</v>
      </c>
      <c r="Y30" s="13">
        <f t="shared" si="9"/>
        <v>186</v>
      </c>
      <c r="Z30" s="13">
        <f t="shared" si="9"/>
        <v>213</v>
      </c>
      <c r="AA30" s="13">
        <f t="shared" si="9"/>
        <v>217</v>
      </c>
      <c r="AB30" s="13">
        <f t="shared" si="9"/>
        <v>209</v>
      </c>
      <c r="AC30" s="13">
        <f t="shared" si="9"/>
        <v>179</v>
      </c>
      <c r="AD30" s="13">
        <f t="shared" si="9"/>
        <v>204</v>
      </c>
      <c r="AE30" s="13">
        <f t="shared" si="9"/>
        <v>209</v>
      </c>
      <c r="AF30" s="13">
        <f t="shared" si="9"/>
        <v>226</v>
      </c>
      <c r="AG30" s="13">
        <f t="shared" si="9"/>
        <v>217</v>
      </c>
      <c r="AH30" s="13">
        <f t="shared" si="9"/>
        <v>242</v>
      </c>
      <c r="AI30" s="13">
        <f t="shared" si="9"/>
        <v>207</v>
      </c>
      <c r="AJ30" s="13">
        <f t="shared" si="9"/>
        <v>233</v>
      </c>
      <c r="AK30" s="13">
        <f t="shared" si="3"/>
        <v>6873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67"/>
      <c r="AJ31" s="19"/>
      <c r="AK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0"/>
      <c r="O32" s="13"/>
      <c r="P32" s="13"/>
      <c r="Q32" s="13"/>
      <c r="R32" s="13"/>
      <c r="S32" s="70"/>
      <c r="T32" s="13"/>
      <c r="U32" s="13"/>
      <c r="V32" s="13"/>
      <c r="W32" s="13"/>
      <c r="X32" s="70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70"/>
      <c r="AJ32" s="13"/>
      <c r="AK32" s="68"/>
    </row>
    <row r="33" ht="12.75" customHeight="1">
      <c r="A33" s="19">
        <v>1.0</v>
      </c>
      <c r="B33" s="20" t="s">
        <v>27</v>
      </c>
      <c r="C33" s="15"/>
      <c r="D33" s="16"/>
      <c r="E33" s="19">
        <v>269.0</v>
      </c>
      <c r="F33" s="19">
        <v>269.0</v>
      </c>
      <c r="G33" s="19">
        <v>262.0</v>
      </c>
      <c r="H33" s="19">
        <v>298.0</v>
      </c>
      <c r="I33" s="19">
        <v>284.0</v>
      </c>
      <c r="J33" s="19">
        <v>278.0</v>
      </c>
      <c r="K33" s="19">
        <v>278.0</v>
      </c>
      <c r="L33" s="19">
        <v>290.0</v>
      </c>
      <c r="M33" s="19">
        <v>286.0</v>
      </c>
      <c r="N33" s="19">
        <v>277.0</v>
      </c>
      <c r="O33" s="19">
        <v>285.0</v>
      </c>
      <c r="P33" s="19">
        <v>277.0</v>
      </c>
      <c r="Q33" s="19">
        <v>277.0</v>
      </c>
      <c r="R33" s="19">
        <v>286.0</v>
      </c>
      <c r="S33" s="19">
        <v>273.0</v>
      </c>
      <c r="T33" s="19">
        <v>277.0</v>
      </c>
      <c r="U33" s="19">
        <v>289.0</v>
      </c>
      <c r="V33" s="19">
        <v>274.0</v>
      </c>
      <c r="W33" s="19">
        <v>277.0</v>
      </c>
      <c r="X33" s="19">
        <v>273.0</v>
      </c>
      <c r="Y33" s="19">
        <v>274.0</v>
      </c>
      <c r="Z33" s="19">
        <v>271.0</v>
      </c>
      <c r="AA33" s="19">
        <v>280.0</v>
      </c>
      <c r="AB33" s="19">
        <v>262.0</v>
      </c>
      <c r="AC33" s="19">
        <v>230.0</v>
      </c>
      <c r="AD33" s="19">
        <v>270.0</v>
      </c>
      <c r="AE33" s="19">
        <v>276.0</v>
      </c>
      <c r="AF33" s="19">
        <v>276.0</v>
      </c>
      <c r="AG33" s="19">
        <v>277.0</v>
      </c>
      <c r="AH33" s="19">
        <v>292.0</v>
      </c>
      <c r="AI33" s="19">
        <v>272.0</v>
      </c>
      <c r="AJ33" s="19">
        <v>298.0</v>
      </c>
      <c r="AK33" s="13">
        <f t="shared" ref="AK33:AK36" si="10">SUM(E33:AJ33)</f>
        <v>8857</v>
      </c>
    </row>
    <row r="34" ht="12.75" customHeight="1">
      <c r="A34" s="19">
        <v>2.0</v>
      </c>
      <c r="B34" s="20" t="s">
        <v>28</v>
      </c>
      <c r="C34" s="15"/>
      <c r="D34" s="16"/>
      <c r="E34" s="13">
        <v>196.0</v>
      </c>
      <c r="F34" s="13">
        <v>215.0</v>
      </c>
      <c r="G34" s="13">
        <v>208.0</v>
      </c>
      <c r="H34" s="13">
        <v>247.0</v>
      </c>
      <c r="I34" s="13">
        <v>206.0</v>
      </c>
      <c r="J34" s="13">
        <v>228.0</v>
      </c>
      <c r="K34" s="13">
        <v>214.0</v>
      </c>
      <c r="L34" s="13">
        <v>201.0</v>
      </c>
      <c r="M34" s="13">
        <v>236.0</v>
      </c>
      <c r="N34" s="13">
        <v>203.0</v>
      </c>
      <c r="O34" s="13">
        <v>227.0</v>
      </c>
      <c r="P34" s="13">
        <v>239.0</v>
      </c>
      <c r="Q34" s="13">
        <v>212.0</v>
      </c>
      <c r="R34" s="13">
        <v>224.0</v>
      </c>
      <c r="S34" s="13">
        <v>199.0</v>
      </c>
      <c r="T34" s="13">
        <v>221.0</v>
      </c>
      <c r="U34" s="13">
        <v>238.0</v>
      </c>
      <c r="V34" s="13">
        <v>209.0</v>
      </c>
      <c r="W34" s="13">
        <v>207.0</v>
      </c>
      <c r="X34" s="13">
        <v>201.0</v>
      </c>
      <c r="Y34" s="13">
        <v>186.0</v>
      </c>
      <c r="Z34" s="13">
        <v>213.0</v>
      </c>
      <c r="AA34" s="13">
        <v>217.0</v>
      </c>
      <c r="AB34" s="13">
        <v>209.0</v>
      </c>
      <c r="AC34" s="13">
        <v>179.0</v>
      </c>
      <c r="AD34" s="13">
        <v>204.0</v>
      </c>
      <c r="AE34" s="13">
        <v>209.0</v>
      </c>
      <c r="AF34" s="13">
        <v>226.0</v>
      </c>
      <c r="AG34" s="13">
        <v>217.0</v>
      </c>
      <c r="AH34" s="13">
        <v>242.0</v>
      </c>
      <c r="AI34" s="13">
        <v>207.0</v>
      </c>
      <c r="AJ34" s="13">
        <v>233.0</v>
      </c>
      <c r="AK34" s="13">
        <f t="shared" si="10"/>
        <v>6873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2.0</v>
      </c>
      <c r="Z35" s="19">
        <v>0.0</v>
      </c>
      <c r="AA35" s="19">
        <v>0.0</v>
      </c>
      <c r="AB35" s="19">
        <v>0.0</v>
      </c>
      <c r="AC35" s="19">
        <v>3.0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2.0</v>
      </c>
      <c r="AJ35" s="19">
        <v>0.0</v>
      </c>
      <c r="AK35" s="13">
        <f t="shared" si="10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J36" si="11">E33-(E34+E35)</f>
        <v>72</v>
      </c>
      <c r="F36" s="13">
        <f t="shared" si="11"/>
        <v>54</v>
      </c>
      <c r="G36" s="13">
        <f t="shared" si="11"/>
        <v>53</v>
      </c>
      <c r="H36" s="13">
        <f t="shared" si="11"/>
        <v>51</v>
      </c>
      <c r="I36" s="13">
        <f t="shared" si="11"/>
        <v>78</v>
      </c>
      <c r="J36" s="13">
        <f t="shared" si="11"/>
        <v>50</v>
      </c>
      <c r="K36" s="13">
        <f t="shared" si="11"/>
        <v>64</v>
      </c>
      <c r="L36" s="13">
        <f t="shared" si="11"/>
        <v>89</v>
      </c>
      <c r="M36" s="13">
        <f t="shared" si="11"/>
        <v>49</v>
      </c>
      <c r="N36" s="13">
        <f t="shared" si="11"/>
        <v>74</v>
      </c>
      <c r="O36" s="13">
        <f t="shared" si="11"/>
        <v>58</v>
      </c>
      <c r="P36" s="13">
        <f t="shared" si="11"/>
        <v>38</v>
      </c>
      <c r="Q36" s="13">
        <f t="shared" si="11"/>
        <v>65</v>
      </c>
      <c r="R36" s="13">
        <f t="shared" si="11"/>
        <v>62</v>
      </c>
      <c r="S36" s="13">
        <f t="shared" si="11"/>
        <v>74</v>
      </c>
      <c r="T36" s="13">
        <f t="shared" si="11"/>
        <v>56</v>
      </c>
      <c r="U36" s="13">
        <f t="shared" si="11"/>
        <v>51</v>
      </c>
      <c r="V36" s="13">
        <f t="shared" si="11"/>
        <v>65</v>
      </c>
      <c r="W36" s="13">
        <f t="shared" si="11"/>
        <v>70</v>
      </c>
      <c r="X36" s="13">
        <f t="shared" si="11"/>
        <v>72</v>
      </c>
      <c r="Y36" s="13">
        <f t="shared" si="11"/>
        <v>86</v>
      </c>
      <c r="Z36" s="13">
        <f t="shared" si="11"/>
        <v>58</v>
      </c>
      <c r="AA36" s="13">
        <f t="shared" si="11"/>
        <v>63</v>
      </c>
      <c r="AB36" s="13">
        <f t="shared" si="11"/>
        <v>53</v>
      </c>
      <c r="AC36" s="13">
        <f t="shared" si="11"/>
        <v>48</v>
      </c>
      <c r="AD36" s="13">
        <f t="shared" si="11"/>
        <v>66</v>
      </c>
      <c r="AE36" s="13">
        <f t="shared" si="11"/>
        <v>67</v>
      </c>
      <c r="AF36" s="13">
        <f t="shared" si="11"/>
        <v>50</v>
      </c>
      <c r="AG36" s="13">
        <f t="shared" si="11"/>
        <v>60</v>
      </c>
      <c r="AH36" s="13">
        <f t="shared" si="11"/>
        <v>50</v>
      </c>
      <c r="AI36" s="13">
        <f t="shared" si="11"/>
        <v>63</v>
      </c>
      <c r="AJ36" s="13">
        <f t="shared" si="11"/>
        <v>65</v>
      </c>
      <c r="AK36" s="13">
        <f t="shared" si="10"/>
        <v>1974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9"/>
      <c r="AF37" s="19"/>
      <c r="AG37" s="19"/>
      <c r="AH37" s="19"/>
      <c r="AI37" s="67"/>
      <c r="AJ37" s="19"/>
      <c r="AK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0"/>
      <c r="O38" s="13"/>
      <c r="P38" s="13"/>
      <c r="Q38" s="13"/>
      <c r="R38" s="13"/>
      <c r="S38" s="70"/>
      <c r="T38" s="13"/>
      <c r="U38" s="13"/>
      <c r="V38" s="13"/>
      <c r="W38" s="13"/>
      <c r="X38" s="70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70"/>
      <c r="AJ38" s="13"/>
      <c r="AK38" s="68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0.0</v>
      </c>
      <c r="I39" s="19">
        <v>1.0</v>
      </c>
      <c r="J39" s="19">
        <v>2.0</v>
      </c>
      <c r="K39" s="19">
        <v>0.0</v>
      </c>
      <c r="L39" s="19">
        <v>1.0</v>
      </c>
      <c r="M39" s="19">
        <v>0.0</v>
      </c>
      <c r="N39" s="19">
        <v>2.0</v>
      </c>
      <c r="O39" s="19">
        <v>0.0</v>
      </c>
      <c r="P39" s="19">
        <v>0.0</v>
      </c>
      <c r="Q39" s="19">
        <v>0.0</v>
      </c>
      <c r="R39" s="19">
        <v>0.0</v>
      </c>
      <c r="S39" s="19">
        <v>1.0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3">
        <f t="shared" ref="AK39:AK41" si="12">SUM(E39:AJ39)</f>
        <v>8</v>
      </c>
    </row>
    <row r="40" ht="12.75" customHeight="1">
      <c r="A40" s="33"/>
      <c r="C40" s="27"/>
      <c r="D40" s="19" t="s">
        <v>13</v>
      </c>
      <c r="E40" s="19">
        <v>1.0</v>
      </c>
      <c r="F40" s="19">
        <v>0.0</v>
      </c>
      <c r="G40" s="19">
        <v>0.0</v>
      </c>
      <c r="H40" s="19">
        <v>2.0</v>
      </c>
      <c r="I40" s="19">
        <v>1.0</v>
      </c>
      <c r="J40" s="19">
        <v>0.0</v>
      </c>
      <c r="K40" s="19">
        <v>0.0</v>
      </c>
      <c r="L40" s="19">
        <v>2.0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1.0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3">
        <f t="shared" si="12"/>
        <v>7</v>
      </c>
    </row>
    <row r="41" ht="12.75" customHeight="1">
      <c r="A41" s="41"/>
      <c r="B41" s="44"/>
      <c r="C41" s="28"/>
      <c r="D41" s="13" t="s">
        <v>14</v>
      </c>
      <c r="E41" s="13">
        <f t="shared" ref="E41:AJ41" si="13">SUM(E39:E40)</f>
        <v>2</v>
      </c>
      <c r="F41" s="13">
        <f t="shared" si="13"/>
        <v>0</v>
      </c>
      <c r="G41" s="13">
        <f t="shared" si="13"/>
        <v>0</v>
      </c>
      <c r="H41" s="13">
        <f t="shared" si="13"/>
        <v>2</v>
      </c>
      <c r="I41" s="13">
        <f t="shared" si="13"/>
        <v>2</v>
      </c>
      <c r="J41" s="13">
        <f t="shared" si="13"/>
        <v>2</v>
      </c>
      <c r="K41" s="13">
        <f t="shared" si="13"/>
        <v>0</v>
      </c>
      <c r="L41" s="13">
        <f t="shared" si="13"/>
        <v>3</v>
      </c>
      <c r="M41" s="13">
        <f t="shared" si="13"/>
        <v>0</v>
      </c>
      <c r="N41" s="13">
        <f t="shared" si="13"/>
        <v>2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1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2"/>
        <v>15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9"/>
      <c r="AF42" s="19"/>
      <c r="AG42" s="19"/>
      <c r="AH42" s="19"/>
      <c r="AI42" s="67"/>
      <c r="AJ42" s="19"/>
      <c r="AK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0"/>
      <c r="O43" s="13"/>
      <c r="P43" s="13"/>
      <c r="Q43" s="13"/>
      <c r="R43" s="13"/>
      <c r="S43" s="70"/>
      <c r="T43" s="13"/>
      <c r="U43" s="13"/>
      <c r="V43" s="13"/>
      <c r="W43" s="13"/>
      <c r="X43" s="70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70"/>
      <c r="AJ43" s="13"/>
      <c r="AK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67"/>
      <c r="AJ44" s="19"/>
      <c r="AK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10.0</v>
      </c>
      <c r="F45" s="19">
        <v>9.0</v>
      </c>
      <c r="G45" s="19">
        <v>4.0</v>
      </c>
      <c r="H45" s="19">
        <v>3.0</v>
      </c>
      <c r="I45" s="19">
        <v>6.0</v>
      </c>
      <c r="J45" s="19">
        <v>7.0</v>
      </c>
      <c r="K45" s="19">
        <v>3.0</v>
      </c>
      <c r="L45" s="19">
        <v>4.0</v>
      </c>
      <c r="M45" s="19">
        <v>1.0</v>
      </c>
      <c r="N45" s="19">
        <v>3.0</v>
      </c>
      <c r="O45" s="19">
        <v>3.0</v>
      </c>
      <c r="P45" s="19">
        <v>4.0</v>
      </c>
      <c r="Q45" s="19">
        <v>5.0</v>
      </c>
      <c r="R45" s="19">
        <v>7.0</v>
      </c>
      <c r="S45" s="19">
        <v>5.0</v>
      </c>
      <c r="T45" s="19">
        <v>11.0</v>
      </c>
      <c r="U45" s="19">
        <v>10.0</v>
      </c>
      <c r="V45" s="19">
        <v>12.0</v>
      </c>
      <c r="W45" s="19">
        <v>4.0</v>
      </c>
      <c r="X45" s="19">
        <v>2.0</v>
      </c>
      <c r="Y45" s="19">
        <v>3.0</v>
      </c>
      <c r="Z45" s="19">
        <v>9.0</v>
      </c>
      <c r="AA45" s="19">
        <v>9.0</v>
      </c>
      <c r="AB45" s="19">
        <v>9.0</v>
      </c>
      <c r="AC45" s="19">
        <v>9.0</v>
      </c>
      <c r="AD45" s="19">
        <v>14.0</v>
      </c>
      <c r="AE45" s="19">
        <v>20.0</v>
      </c>
      <c r="AF45" s="19">
        <v>11.0</v>
      </c>
      <c r="AG45" s="19">
        <v>14.0</v>
      </c>
      <c r="AH45" s="19">
        <v>10.0</v>
      </c>
      <c r="AI45" s="19">
        <v>14.0</v>
      </c>
      <c r="AJ45" s="19">
        <v>8.0</v>
      </c>
      <c r="AK45" s="13">
        <f t="shared" ref="AK45:AK55" si="14">SUM(E45:AJ45)</f>
        <v>243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22.0</v>
      </c>
      <c r="F46" s="19">
        <v>21.0</v>
      </c>
      <c r="G46" s="19">
        <v>40.0</v>
      </c>
      <c r="H46" s="19">
        <v>8.0</v>
      </c>
      <c r="I46" s="19">
        <v>20.0</v>
      </c>
      <c r="J46" s="19">
        <v>25.0</v>
      </c>
      <c r="K46" s="19">
        <v>18.0</v>
      </c>
      <c r="L46" s="19">
        <v>5.0</v>
      </c>
      <c r="M46" s="19">
        <v>13.0</v>
      </c>
      <c r="N46" s="19">
        <v>7.0</v>
      </c>
      <c r="O46" s="19">
        <v>18.0</v>
      </c>
      <c r="P46" s="19">
        <v>27.0</v>
      </c>
      <c r="Q46" s="19">
        <v>19.0</v>
      </c>
      <c r="R46" s="19">
        <v>22.0</v>
      </c>
      <c r="S46" s="19">
        <v>9.0</v>
      </c>
      <c r="T46" s="19">
        <v>57.0</v>
      </c>
      <c r="U46" s="19">
        <v>49.0</v>
      </c>
      <c r="V46" s="19">
        <v>55.0</v>
      </c>
      <c r="W46" s="19">
        <v>25.0</v>
      </c>
      <c r="X46" s="19">
        <v>4.0</v>
      </c>
      <c r="Y46" s="19">
        <v>7.0</v>
      </c>
      <c r="Z46" s="19">
        <v>20.0</v>
      </c>
      <c r="AA46" s="19">
        <v>13.0</v>
      </c>
      <c r="AB46" s="19">
        <v>7.0</v>
      </c>
      <c r="AC46" s="19">
        <v>21.0</v>
      </c>
      <c r="AD46" s="19">
        <v>44.0</v>
      </c>
      <c r="AE46" s="19">
        <v>92.0</v>
      </c>
      <c r="AF46" s="19">
        <v>27.0</v>
      </c>
      <c r="AG46" s="19">
        <v>61.0</v>
      </c>
      <c r="AH46" s="19">
        <v>74.0</v>
      </c>
      <c r="AI46" s="19">
        <v>67.0</v>
      </c>
      <c r="AJ46" s="19">
        <v>51.0</v>
      </c>
      <c r="AK46" s="13">
        <f t="shared" si="14"/>
        <v>948</v>
      </c>
    </row>
    <row r="47" ht="12.75" customHeight="1">
      <c r="A47" s="18"/>
      <c r="B47" s="55">
        <v>2.0</v>
      </c>
      <c r="C47" s="50" t="s">
        <v>41</v>
      </c>
      <c r="D47" s="16"/>
      <c r="E47" s="19">
        <v>8.0</v>
      </c>
      <c r="F47" s="19">
        <v>6.0</v>
      </c>
      <c r="G47" s="19">
        <v>6.0</v>
      </c>
      <c r="H47" s="19">
        <v>5.0</v>
      </c>
      <c r="I47" s="19">
        <v>5.0</v>
      </c>
      <c r="J47" s="19">
        <v>7.0</v>
      </c>
      <c r="K47" s="19">
        <v>4.0</v>
      </c>
      <c r="L47" s="19">
        <v>2.0</v>
      </c>
      <c r="M47" s="19">
        <v>2.0</v>
      </c>
      <c r="N47" s="19">
        <v>0.0</v>
      </c>
      <c r="O47" s="19">
        <v>2.0</v>
      </c>
      <c r="P47" s="19">
        <v>7.0</v>
      </c>
      <c r="Q47" s="19">
        <v>1.0</v>
      </c>
      <c r="R47" s="19">
        <v>2.0</v>
      </c>
      <c r="S47" s="19">
        <v>0.0</v>
      </c>
      <c r="T47" s="19">
        <v>1.0</v>
      </c>
      <c r="U47" s="19">
        <v>10.0</v>
      </c>
      <c r="V47" s="19">
        <v>1.0</v>
      </c>
      <c r="W47" s="19">
        <v>6.0</v>
      </c>
      <c r="X47" s="19">
        <v>3.0</v>
      </c>
      <c r="Y47" s="19">
        <v>19.0</v>
      </c>
      <c r="Z47" s="19">
        <v>11.0</v>
      </c>
      <c r="AA47" s="19">
        <v>35.0</v>
      </c>
      <c r="AB47" s="19">
        <v>10.0</v>
      </c>
      <c r="AC47" s="19">
        <v>13.0</v>
      </c>
      <c r="AD47" s="19">
        <v>8.0</v>
      </c>
      <c r="AE47" s="19">
        <v>7.0</v>
      </c>
      <c r="AF47" s="19">
        <v>3.0</v>
      </c>
      <c r="AG47" s="19">
        <v>7.0</v>
      </c>
      <c r="AH47" s="19">
        <v>4.0</v>
      </c>
      <c r="AI47" s="19">
        <v>6.0</v>
      </c>
      <c r="AJ47" s="19">
        <v>7.0</v>
      </c>
      <c r="AK47" s="13">
        <f t="shared" si="14"/>
        <v>208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2.0</v>
      </c>
      <c r="G48" s="19">
        <v>2.0</v>
      </c>
      <c r="H48" s="19">
        <v>0.0</v>
      </c>
      <c r="I48" s="19">
        <v>0.0</v>
      </c>
      <c r="J48" s="19">
        <v>3.0</v>
      </c>
      <c r="K48" s="19">
        <v>0.0</v>
      </c>
      <c r="L48" s="19">
        <v>1.0</v>
      </c>
      <c r="M48" s="19">
        <v>0.0</v>
      </c>
      <c r="N48" s="19">
        <v>0.0</v>
      </c>
      <c r="O48" s="19">
        <v>2.0</v>
      </c>
      <c r="P48" s="19">
        <v>1.0</v>
      </c>
      <c r="Q48" s="19">
        <v>0.0</v>
      </c>
      <c r="R48" s="19">
        <v>1.0</v>
      </c>
      <c r="S48" s="19">
        <v>1.0</v>
      </c>
      <c r="T48" s="19">
        <v>1.0</v>
      </c>
      <c r="U48" s="19">
        <v>2.0</v>
      </c>
      <c r="V48" s="19">
        <v>1.0</v>
      </c>
      <c r="W48" s="19">
        <v>1.0</v>
      </c>
      <c r="X48" s="19">
        <v>0.0</v>
      </c>
      <c r="Y48" s="19">
        <v>1.0</v>
      </c>
      <c r="Z48" s="19">
        <v>0.0</v>
      </c>
      <c r="AA48" s="19">
        <v>0.0</v>
      </c>
      <c r="AB48" s="19">
        <v>2.0</v>
      </c>
      <c r="AC48" s="19">
        <v>4.0</v>
      </c>
      <c r="AD48" s="19">
        <v>3.0</v>
      </c>
      <c r="AE48" s="19">
        <v>2.0</v>
      </c>
      <c r="AF48" s="19">
        <v>0.0</v>
      </c>
      <c r="AG48" s="19">
        <v>3.0</v>
      </c>
      <c r="AH48" s="19">
        <v>6.0</v>
      </c>
      <c r="AI48" s="19">
        <v>4.0</v>
      </c>
      <c r="AJ48" s="19">
        <v>1.0</v>
      </c>
      <c r="AK48" s="13">
        <f t="shared" si="14"/>
        <v>44</v>
      </c>
    </row>
    <row r="49" ht="12.75" customHeight="1">
      <c r="A49" s="18"/>
      <c r="B49" s="55">
        <v>4.0</v>
      </c>
      <c r="C49" s="50" t="s">
        <v>43</v>
      </c>
      <c r="D49" s="16"/>
      <c r="E49" s="19">
        <v>2.0</v>
      </c>
      <c r="F49" s="19">
        <v>2.0</v>
      </c>
      <c r="G49" s="19">
        <v>0.0</v>
      </c>
      <c r="H49" s="19">
        <v>0.0</v>
      </c>
      <c r="I49" s="19">
        <v>1.0</v>
      </c>
      <c r="J49" s="19">
        <v>1.0</v>
      </c>
      <c r="K49" s="19">
        <v>1.0</v>
      </c>
      <c r="L49" s="19">
        <v>0.0</v>
      </c>
      <c r="M49" s="19">
        <v>0.0</v>
      </c>
      <c r="N49" s="19">
        <v>0.0</v>
      </c>
      <c r="O49" s="19">
        <v>2.0</v>
      </c>
      <c r="P49" s="19">
        <v>3.0</v>
      </c>
      <c r="Q49" s="19">
        <v>1.0</v>
      </c>
      <c r="R49" s="19">
        <v>1.0</v>
      </c>
      <c r="S49" s="19">
        <v>0.0</v>
      </c>
      <c r="T49" s="19">
        <v>3.0</v>
      </c>
      <c r="U49" s="19">
        <v>2.0</v>
      </c>
      <c r="V49" s="19">
        <v>2.0</v>
      </c>
      <c r="W49" s="19">
        <v>1.0</v>
      </c>
      <c r="X49" s="19">
        <v>2.0</v>
      </c>
      <c r="Y49" s="19">
        <v>1.0</v>
      </c>
      <c r="Z49" s="19">
        <v>0.0</v>
      </c>
      <c r="AA49" s="19">
        <v>1.0</v>
      </c>
      <c r="AB49" s="19">
        <v>0.0</v>
      </c>
      <c r="AC49" s="19">
        <v>2.0</v>
      </c>
      <c r="AD49" s="19">
        <v>3.0</v>
      </c>
      <c r="AE49" s="19">
        <v>1.0</v>
      </c>
      <c r="AF49" s="19">
        <v>1.0</v>
      </c>
      <c r="AG49" s="19">
        <v>0.0</v>
      </c>
      <c r="AH49" s="19">
        <v>0.0</v>
      </c>
      <c r="AI49" s="19">
        <v>1.0</v>
      </c>
      <c r="AJ49" s="19">
        <v>0.0</v>
      </c>
      <c r="AK49" s="13">
        <f t="shared" si="14"/>
        <v>34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1.0</v>
      </c>
      <c r="G50" s="19">
        <v>0.0</v>
      </c>
      <c r="H50" s="19">
        <v>0.0</v>
      </c>
      <c r="I50" s="19">
        <v>1.0</v>
      </c>
      <c r="J50" s="19">
        <v>0.0</v>
      </c>
      <c r="K50" s="19">
        <v>1.0</v>
      </c>
      <c r="L50" s="19">
        <v>0.0</v>
      </c>
      <c r="M50" s="19">
        <v>0.0</v>
      </c>
      <c r="N50" s="19">
        <v>0.0</v>
      </c>
      <c r="O50" s="19">
        <v>1.0</v>
      </c>
      <c r="P50" s="19">
        <v>0.0</v>
      </c>
      <c r="Q50" s="19">
        <v>1.0</v>
      </c>
      <c r="R50" s="19">
        <v>1.0</v>
      </c>
      <c r="S50" s="19">
        <v>0.0</v>
      </c>
      <c r="T50" s="19">
        <v>0.0</v>
      </c>
      <c r="U50" s="19">
        <v>1.0</v>
      </c>
      <c r="V50" s="19">
        <v>0.0</v>
      </c>
      <c r="W50" s="19">
        <v>0.0</v>
      </c>
      <c r="X50" s="19">
        <v>0.0</v>
      </c>
      <c r="Y50" s="19">
        <v>1.0</v>
      </c>
      <c r="Z50" s="19">
        <v>1.0</v>
      </c>
      <c r="AA50" s="19">
        <v>0.0</v>
      </c>
      <c r="AB50" s="19">
        <v>0.0</v>
      </c>
      <c r="AC50" s="19">
        <v>0.0</v>
      </c>
      <c r="AD50" s="19">
        <v>0.0</v>
      </c>
      <c r="AE50" s="19">
        <v>0.0</v>
      </c>
      <c r="AF50" s="19">
        <v>0.0</v>
      </c>
      <c r="AG50" s="19">
        <v>0.0</v>
      </c>
      <c r="AH50" s="19">
        <v>3.0</v>
      </c>
      <c r="AI50" s="19">
        <v>0.0</v>
      </c>
      <c r="AJ50" s="19">
        <v>2.0</v>
      </c>
      <c r="AK50" s="13">
        <f t="shared" si="14"/>
        <v>14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0.0</v>
      </c>
      <c r="H51" s="19">
        <v>0.0</v>
      </c>
      <c r="I51" s="19">
        <v>1.0</v>
      </c>
      <c r="J51" s="19">
        <v>1.0</v>
      </c>
      <c r="K51" s="19">
        <v>1.0</v>
      </c>
      <c r="L51" s="19">
        <v>1.0</v>
      </c>
      <c r="M51" s="19">
        <v>0.0</v>
      </c>
      <c r="N51" s="19">
        <v>1.0</v>
      </c>
      <c r="O51" s="19">
        <v>0.0</v>
      </c>
      <c r="P51" s="19">
        <v>0.0</v>
      </c>
      <c r="Q51" s="19">
        <v>0.0</v>
      </c>
      <c r="R51" s="19">
        <v>1.0</v>
      </c>
      <c r="S51" s="19">
        <v>1.0</v>
      </c>
      <c r="T51" s="19">
        <v>1.0</v>
      </c>
      <c r="U51" s="19">
        <v>0.0</v>
      </c>
      <c r="V51" s="19">
        <v>1.0</v>
      </c>
      <c r="W51" s="19">
        <v>1.0</v>
      </c>
      <c r="X51" s="19">
        <v>1.0</v>
      </c>
      <c r="Y51" s="19">
        <v>0.0</v>
      </c>
      <c r="Z51" s="19">
        <v>1.0</v>
      </c>
      <c r="AA51" s="19">
        <v>0.0</v>
      </c>
      <c r="AB51" s="19">
        <v>1.0</v>
      </c>
      <c r="AC51" s="19">
        <v>0.0</v>
      </c>
      <c r="AD51" s="19">
        <v>1.0</v>
      </c>
      <c r="AE51" s="19">
        <v>0.0</v>
      </c>
      <c r="AF51" s="19">
        <v>2.0</v>
      </c>
      <c r="AG51" s="19">
        <v>1.0</v>
      </c>
      <c r="AH51" s="19">
        <v>0.0</v>
      </c>
      <c r="AI51" s="19">
        <v>0.0</v>
      </c>
      <c r="AJ51" s="19">
        <v>0.0</v>
      </c>
      <c r="AK51" s="13">
        <f t="shared" si="14"/>
        <v>18</v>
      </c>
    </row>
    <row r="52" ht="12.75" customHeight="1">
      <c r="A52" s="18"/>
      <c r="B52" s="55">
        <v>7.0</v>
      </c>
      <c r="C52" s="50" t="s">
        <v>46</v>
      </c>
      <c r="D52" s="16"/>
      <c r="E52" s="19">
        <v>4.0</v>
      </c>
      <c r="F52" s="19">
        <v>0.0</v>
      </c>
      <c r="G52" s="19">
        <v>3.0</v>
      </c>
      <c r="H52" s="19">
        <v>0.0</v>
      </c>
      <c r="I52" s="19">
        <v>0.0</v>
      </c>
      <c r="J52" s="19">
        <v>1.0</v>
      </c>
      <c r="K52" s="19">
        <v>1.0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2.0</v>
      </c>
      <c r="S52" s="19">
        <v>1.0</v>
      </c>
      <c r="T52" s="19">
        <v>1.0</v>
      </c>
      <c r="U52" s="19">
        <v>2.0</v>
      </c>
      <c r="V52" s="19">
        <v>0.0</v>
      </c>
      <c r="W52" s="19">
        <v>0.0</v>
      </c>
      <c r="X52" s="19">
        <v>0.0</v>
      </c>
      <c r="Y52" s="19">
        <v>2.0</v>
      </c>
      <c r="Z52" s="19">
        <v>0.0</v>
      </c>
      <c r="AA52" s="19">
        <v>1.0</v>
      </c>
      <c r="AB52" s="19">
        <v>0.0</v>
      </c>
      <c r="AC52" s="19">
        <v>0.0</v>
      </c>
      <c r="AD52" s="19">
        <v>0.0</v>
      </c>
      <c r="AE52" s="19">
        <v>1.0</v>
      </c>
      <c r="AF52" s="19">
        <v>0.0</v>
      </c>
      <c r="AG52" s="19">
        <v>0.0</v>
      </c>
      <c r="AH52" s="19">
        <v>0.0</v>
      </c>
      <c r="AI52" s="19">
        <v>0.0</v>
      </c>
      <c r="AJ52" s="19">
        <v>0.0</v>
      </c>
      <c r="AK52" s="13">
        <f t="shared" si="14"/>
        <v>19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3">
        <f t="shared" si="14"/>
        <v>0</v>
      </c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AJ55" si="15">SUM(E45:E52)</f>
        <v>47</v>
      </c>
      <c r="F55" s="13">
        <f t="shared" si="15"/>
        <v>41</v>
      </c>
      <c r="G55" s="13">
        <f t="shared" si="15"/>
        <v>55</v>
      </c>
      <c r="H55" s="13">
        <f t="shared" si="15"/>
        <v>16</v>
      </c>
      <c r="I55" s="13">
        <f t="shared" si="15"/>
        <v>34</v>
      </c>
      <c r="J55" s="13">
        <f t="shared" si="15"/>
        <v>45</v>
      </c>
      <c r="K55" s="13">
        <f t="shared" si="15"/>
        <v>29</v>
      </c>
      <c r="L55" s="13">
        <f t="shared" si="15"/>
        <v>13</v>
      </c>
      <c r="M55" s="13">
        <f t="shared" si="15"/>
        <v>16</v>
      </c>
      <c r="N55" s="13">
        <f t="shared" si="15"/>
        <v>11</v>
      </c>
      <c r="O55" s="13">
        <f t="shared" si="15"/>
        <v>28</v>
      </c>
      <c r="P55" s="13">
        <f t="shared" si="15"/>
        <v>42</v>
      </c>
      <c r="Q55" s="13">
        <f t="shared" si="15"/>
        <v>27</v>
      </c>
      <c r="R55" s="13">
        <f t="shared" si="15"/>
        <v>37</v>
      </c>
      <c r="S55" s="13">
        <f t="shared" si="15"/>
        <v>17</v>
      </c>
      <c r="T55" s="13">
        <f t="shared" si="15"/>
        <v>75</v>
      </c>
      <c r="U55" s="13">
        <f t="shared" si="15"/>
        <v>76</v>
      </c>
      <c r="V55" s="13">
        <f t="shared" si="15"/>
        <v>72</v>
      </c>
      <c r="W55" s="13">
        <f t="shared" si="15"/>
        <v>38</v>
      </c>
      <c r="X55" s="13">
        <f t="shared" si="15"/>
        <v>12</v>
      </c>
      <c r="Y55" s="13">
        <f t="shared" si="15"/>
        <v>34</v>
      </c>
      <c r="Z55" s="13">
        <f t="shared" si="15"/>
        <v>42</v>
      </c>
      <c r="AA55" s="13">
        <f t="shared" si="15"/>
        <v>59</v>
      </c>
      <c r="AB55" s="13">
        <f t="shared" si="15"/>
        <v>29</v>
      </c>
      <c r="AC55" s="13">
        <f t="shared" si="15"/>
        <v>49</v>
      </c>
      <c r="AD55" s="13">
        <f t="shared" si="15"/>
        <v>73</v>
      </c>
      <c r="AE55" s="13">
        <f t="shared" si="15"/>
        <v>123</v>
      </c>
      <c r="AF55" s="13">
        <f t="shared" si="15"/>
        <v>44</v>
      </c>
      <c r="AG55" s="13">
        <f t="shared" si="15"/>
        <v>86</v>
      </c>
      <c r="AH55" s="13">
        <f t="shared" si="15"/>
        <v>97</v>
      </c>
      <c r="AI55" s="13">
        <f t="shared" si="15"/>
        <v>92</v>
      </c>
      <c r="AJ55" s="13">
        <f t="shared" si="15"/>
        <v>69</v>
      </c>
      <c r="AK55" s="13">
        <f t="shared" si="14"/>
        <v>1528</v>
      </c>
    </row>
    <row r="56" ht="12.75" customHeight="1">
      <c r="A56" s="45"/>
      <c r="B56" s="44"/>
      <c r="C56" s="44"/>
      <c r="D56" s="44"/>
      <c r="E56" s="44"/>
      <c r="AK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4.0</v>
      </c>
      <c r="F57" s="19">
        <v>8.0</v>
      </c>
      <c r="G57" s="19">
        <v>6.0</v>
      </c>
      <c r="H57" s="19">
        <v>11.0</v>
      </c>
      <c r="I57" s="19">
        <v>11.0</v>
      </c>
      <c r="J57" s="19">
        <v>8.0</v>
      </c>
      <c r="K57" s="19">
        <v>12.0</v>
      </c>
      <c r="L57" s="19">
        <v>13.0</v>
      </c>
      <c r="M57" s="19">
        <v>5.0</v>
      </c>
      <c r="N57" s="19">
        <v>11.0</v>
      </c>
      <c r="O57" s="19">
        <v>8.0</v>
      </c>
      <c r="P57" s="19">
        <v>10.0</v>
      </c>
      <c r="Q57" s="19">
        <v>9.0</v>
      </c>
      <c r="R57" s="19">
        <v>9.0</v>
      </c>
      <c r="S57" s="19">
        <v>14.0</v>
      </c>
      <c r="T57" s="19">
        <v>10.0</v>
      </c>
      <c r="U57" s="19">
        <v>11.0</v>
      </c>
      <c r="V57" s="19">
        <v>14.0</v>
      </c>
      <c r="W57" s="19">
        <v>17.0</v>
      </c>
      <c r="X57" s="19">
        <v>7.0</v>
      </c>
      <c r="Y57" s="19">
        <v>12.0</v>
      </c>
      <c r="Z57" s="19">
        <v>7.0</v>
      </c>
      <c r="AA57" s="19">
        <v>2.0</v>
      </c>
      <c r="AB57" s="19">
        <v>8.0</v>
      </c>
      <c r="AC57" s="19">
        <v>5.0</v>
      </c>
      <c r="AD57" s="19">
        <v>9.0</v>
      </c>
      <c r="AE57" s="19">
        <v>13.0</v>
      </c>
      <c r="AF57" s="19">
        <v>15.0</v>
      </c>
      <c r="AG57" s="19">
        <v>15.0</v>
      </c>
      <c r="AH57" s="19">
        <v>10.0</v>
      </c>
      <c r="AI57" s="19">
        <v>10.0</v>
      </c>
      <c r="AJ57" s="19">
        <v>4.0</v>
      </c>
      <c r="AK57" s="13">
        <f t="shared" ref="AK57:AK67" si="16">SUM(E57:AJ57)</f>
        <v>308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4.0</v>
      </c>
      <c r="F58" s="19">
        <v>7.0</v>
      </c>
      <c r="G58" s="19">
        <v>6.0</v>
      </c>
      <c r="H58" s="19">
        <v>15.0</v>
      </c>
      <c r="I58" s="19">
        <v>7.0</v>
      </c>
      <c r="J58" s="19">
        <v>11.0</v>
      </c>
      <c r="K58" s="19">
        <v>33.0</v>
      </c>
      <c r="L58" s="19">
        <v>5.0</v>
      </c>
      <c r="M58" s="19">
        <v>7.0</v>
      </c>
      <c r="N58" s="19">
        <v>8.0</v>
      </c>
      <c r="O58" s="19">
        <v>9.0</v>
      </c>
      <c r="P58" s="19">
        <v>19.0</v>
      </c>
      <c r="Q58" s="19">
        <v>10.0</v>
      </c>
      <c r="R58" s="19">
        <v>15.0</v>
      </c>
      <c r="S58" s="19">
        <v>5.0</v>
      </c>
      <c r="T58" s="19">
        <v>3.0</v>
      </c>
      <c r="U58" s="19">
        <v>2.0</v>
      </c>
      <c r="V58" s="19">
        <v>2.0</v>
      </c>
      <c r="W58" s="19">
        <v>11.0</v>
      </c>
      <c r="X58" s="19">
        <v>6.0</v>
      </c>
      <c r="Y58" s="19">
        <v>13.0</v>
      </c>
      <c r="Z58" s="19">
        <v>10.0</v>
      </c>
      <c r="AA58" s="19">
        <v>15.0</v>
      </c>
      <c r="AB58" s="19">
        <v>23.0</v>
      </c>
      <c r="AC58" s="19">
        <v>6.0</v>
      </c>
      <c r="AD58" s="19">
        <v>7.0</v>
      </c>
      <c r="AE58" s="19">
        <v>6.0</v>
      </c>
      <c r="AF58" s="19">
        <v>12.0</v>
      </c>
      <c r="AG58" s="19">
        <v>4.0</v>
      </c>
      <c r="AH58" s="19">
        <v>1.0</v>
      </c>
      <c r="AI58" s="19">
        <v>6.0</v>
      </c>
      <c r="AJ58" s="19">
        <v>6.0</v>
      </c>
      <c r="AK58" s="13">
        <f t="shared" si="16"/>
        <v>294</v>
      </c>
    </row>
    <row r="59" ht="12.75" customHeight="1">
      <c r="A59" s="18"/>
      <c r="B59" s="55">
        <v>2.0</v>
      </c>
      <c r="C59" s="50" t="s">
        <v>50</v>
      </c>
      <c r="D59" s="56"/>
      <c r="E59" s="19">
        <v>1.0</v>
      </c>
      <c r="F59" s="19">
        <v>2.0</v>
      </c>
      <c r="G59" s="19">
        <v>1.0</v>
      </c>
      <c r="H59" s="19">
        <v>5.0</v>
      </c>
      <c r="I59" s="19">
        <v>5.0</v>
      </c>
      <c r="J59" s="19">
        <v>3.0</v>
      </c>
      <c r="K59" s="19">
        <v>9.0</v>
      </c>
      <c r="L59" s="19">
        <v>2.0</v>
      </c>
      <c r="M59" s="19">
        <v>3.0</v>
      </c>
      <c r="N59" s="19">
        <v>3.0</v>
      </c>
      <c r="O59" s="19">
        <v>10.0</v>
      </c>
      <c r="P59" s="19">
        <v>5.0</v>
      </c>
      <c r="Q59" s="19">
        <v>6.0</v>
      </c>
      <c r="R59" s="19">
        <v>8.0</v>
      </c>
      <c r="S59" s="19">
        <v>3.0</v>
      </c>
      <c r="T59" s="19">
        <v>5.0</v>
      </c>
      <c r="U59" s="19">
        <v>3.0</v>
      </c>
      <c r="V59" s="19">
        <v>6.0</v>
      </c>
      <c r="W59" s="19">
        <v>9.0</v>
      </c>
      <c r="X59" s="19">
        <v>5.0</v>
      </c>
      <c r="Y59" s="19">
        <v>4.0</v>
      </c>
      <c r="Z59" s="19">
        <v>12.0</v>
      </c>
      <c r="AA59" s="19">
        <v>3.0</v>
      </c>
      <c r="AB59" s="19">
        <v>6.0</v>
      </c>
      <c r="AC59" s="19">
        <v>5.0</v>
      </c>
      <c r="AD59" s="19">
        <v>1.0</v>
      </c>
      <c r="AE59" s="19">
        <v>3.0</v>
      </c>
      <c r="AF59" s="19">
        <v>4.0</v>
      </c>
      <c r="AG59" s="19">
        <v>4.0</v>
      </c>
      <c r="AH59" s="19">
        <v>5.0</v>
      </c>
      <c r="AI59" s="19">
        <v>2.0</v>
      </c>
      <c r="AJ59" s="19">
        <v>1.0</v>
      </c>
      <c r="AK59" s="13">
        <f t="shared" si="16"/>
        <v>144</v>
      </c>
    </row>
    <row r="60" ht="12.75" customHeight="1">
      <c r="A60" s="18"/>
      <c r="B60" s="55">
        <v>3.0</v>
      </c>
      <c r="C60" s="50" t="s">
        <v>51</v>
      </c>
      <c r="D60" s="56"/>
      <c r="E60" s="19">
        <v>1.0</v>
      </c>
      <c r="F60" s="19">
        <v>2.0</v>
      </c>
      <c r="G60" s="19">
        <v>3.0</v>
      </c>
      <c r="H60" s="19">
        <v>0.0</v>
      </c>
      <c r="I60" s="19">
        <v>0.0</v>
      </c>
      <c r="J60" s="19">
        <v>1.0</v>
      </c>
      <c r="K60" s="19">
        <v>1.0</v>
      </c>
      <c r="L60" s="19">
        <v>1.0</v>
      </c>
      <c r="M60" s="19">
        <v>2.0</v>
      </c>
      <c r="N60" s="19">
        <v>0.0</v>
      </c>
      <c r="O60" s="19">
        <v>6.0</v>
      </c>
      <c r="P60" s="19">
        <v>1.0</v>
      </c>
      <c r="Q60" s="19">
        <v>4.0</v>
      </c>
      <c r="R60" s="19">
        <v>4.0</v>
      </c>
      <c r="S60" s="19">
        <v>0.0</v>
      </c>
      <c r="T60" s="19">
        <v>1.0</v>
      </c>
      <c r="U60" s="19">
        <v>1.0</v>
      </c>
      <c r="V60" s="19">
        <v>4.0</v>
      </c>
      <c r="W60" s="19">
        <v>2.0</v>
      </c>
      <c r="X60" s="19">
        <v>2.0</v>
      </c>
      <c r="Y60" s="19">
        <v>2.0</v>
      </c>
      <c r="Z60" s="19">
        <v>2.0</v>
      </c>
      <c r="AA60" s="19">
        <v>1.0</v>
      </c>
      <c r="AB60" s="19">
        <v>2.0</v>
      </c>
      <c r="AC60" s="19">
        <v>1.0</v>
      </c>
      <c r="AD60" s="19">
        <v>0.0</v>
      </c>
      <c r="AE60" s="19">
        <v>0.0</v>
      </c>
      <c r="AF60" s="19">
        <v>1.0</v>
      </c>
      <c r="AG60" s="19">
        <v>1.0</v>
      </c>
      <c r="AH60" s="19">
        <v>1.0</v>
      </c>
      <c r="AI60" s="19">
        <v>0.0</v>
      </c>
      <c r="AJ60" s="19">
        <v>2.0</v>
      </c>
      <c r="AK60" s="13">
        <f t="shared" si="16"/>
        <v>49</v>
      </c>
    </row>
    <row r="61" ht="12.75" customHeight="1">
      <c r="A61" s="18"/>
      <c r="B61" s="55">
        <v>4.0</v>
      </c>
      <c r="C61" s="50" t="s">
        <v>52</v>
      </c>
      <c r="D61" s="56"/>
      <c r="E61" s="19">
        <v>3.0</v>
      </c>
      <c r="F61" s="19">
        <v>2.0</v>
      </c>
      <c r="G61" s="19">
        <v>2.0</v>
      </c>
      <c r="H61" s="19">
        <v>4.0</v>
      </c>
      <c r="I61" s="19">
        <v>1.0</v>
      </c>
      <c r="J61" s="19">
        <v>2.0</v>
      </c>
      <c r="K61" s="19">
        <v>4.0</v>
      </c>
      <c r="L61" s="19">
        <v>2.0</v>
      </c>
      <c r="M61" s="19">
        <v>2.0</v>
      </c>
      <c r="N61" s="19">
        <v>1.0</v>
      </c>
      <c r="O61" s="19">
        <v>8.0</v>
      </c>
      <c r="P61" s="19">
        <v>4.0</v>
      </c>
      <c r="Q61" s="19">
        <v>2.0</v>
      </c>
      <c r="R61" s="19">
        <v>12.0</v>
      </c>
      <c r="S61" s="19">
        <v>1.0</v>
      </c>
      <c r="T61" s="19">
        <v>1.0</v>
      </c>
      <c r="U61" s="19">
        <v>3.0</v>
      </c>
      <c r="V61" s="19">
        <v>1.0</v>
      </c>
      <c r="W61" s="19">
        <v>7.0</v>
      </c>
      <c r="X61" s="19">
        <v>2.0</v>
      </c>
      <c r="Y61" s="19">
        <v>2.0</v>
      </c>
      <c r="Z61" s="19">
        <v>1.0</v>
      </c>
      <c r="AA61" s="19">
        <v>0.0</v>
      </c>
      <c r="AB61" s="19">
        <v>2.0</v>
      </c>
      <c r="AC61" s="19">
        <v>1.0</v>
      </c>
      <c r="AD61" s="19">
        <v>3.0</v>
      </c>
      <c r="AE61" s="19">
        <v>0.0</v>
      </c>
      <c r="AF61" s="19">
        <v>2.0</v>
      </c>
      <c r="AG61" s="19">
        <v>1.0</v>
      </c>
      <c r="AH61" s="19">
        <v>2.0</v>
      </c>
      <c r="AI61" s="19">
        <v>2.0</v>
      </c>
      <c r="AJ61" s="19">
        <v>1.0</v>
      </c>
      <c r="AK61" s="13">
        <f t="shared" si="16"/>
        <v>81</v>
      </c>
    </row>
    <row r="62" ht="12.75" customHeight="1">
      <c r="A62" s="18"/>
      <c r="B62" s="55">
        <v>5.0</v>
      </c>
      <c r="C62" s="50" t="s">
        <v>53</v>
      </c>
      <c r="D62" s="56"/>
      <c r="E62" s="19">
        <v>1.0</v>
      </c>
      <c r="F62" s="19">
        <v>0.0</v>
      </c>
      <c r="G62" s="19">
        <v>0.0</v>
      </c>
      <c r="H62" s="19">
        <v>2.0</v>
      </c>
      <c r="I62" s="19">
        <v>0.0</v>
      </c>
      <c r="J62" s="19">
        <v>2.0</v>
      </c>
      <c r="K62" s="19">
        <v>0.0</v>
      </c>
      <c r="L62" s="19">
        <v>0.0</v>
      </c>
      <c r="M62" s="19">
        <v>1.0</v>
      </c>
      <c r="N62" s="19">
        <v>0.0</v>
      </c>
      <c r="O62" s="19">
        <v>3.0</v>
      </c>
      <c r="P62" s="19">
        <v>0.0</v>
      </c>
      <c r="Q62" s="19">
        <v>0.0</v>
      </c>
      <c r="R62" s="19">
        <v>0.0</v>
      </c>
      <c r="S62" s="19">
        <v>0.0</v>
      </c>
      <c r="T62" s="19">
        <v>1.0</v>
      </c>
      <c r="U62" s="19">
        <v>0.0</v>
      </c>
      <c r="V62" s="19">
        <v>1.0</v>
      </c>
      <c r="W62" s="19">
        <v>0.0</v>
      </c>
      <c r="X62" s="19">
        <v>1.0</v>
      </c>
      <c r="Y62" s="19">
        <v>1.0</v>
      </c>
      <c r="Z62" s="19">
        <v>0.0</v>
      </c>
      <c r="AA62" s="19">
        <v>3.0</v>
      </c>
      <c r="AB62" s="19">
        <v>1.0</v>
      </c>
      <c r="AC62" s="19">
        <v>0.0</v>
      </c>
      <c r="AD62" s="19">
        <v>0.0</v>
      </c>
      <c r="AE62" s="19">
        <v>0.0</v>
      </c>
      <c r="AF62" s="19">
        <v>0.0</v>
      </c>
      <c r="AG62" s="19">
        <v>0.0</v>
      </c>
      <c r="AH62" s="19">
        <v>1.0</v>
      </c>
      <c r="AI62" s="19">
        <v>1.0</v>
      </c>
      <c r="AJ62" s="19">
        <v>1.0</v>
      </c>
      <c r="AK62" s="13">
        <f t="shared" si="16"/>
        <v>20</v>
      </c>
    </row>
    <row r="63" ht="12.75" customHeight="1">
      <c r="A63" s="18"/>
      <c r="B63" s="55">
        <v>6.0</v>
      </c>
      <c r="C63" s="50" t="s">
        <v>54</v>
      </c>
      <c r="D63" s="57"/>
      <c r="E63" s="19">
        <v>1.0</v>
      </c>
      <c r="F63" s="19">
        <v>1.0</v>
      </c>
      <c r="G63" s="19">
        <v>1.0</v>
      </c>
      <c r="H63" s="19">
        <v>0.0</v>
      </c>
      <c r="I63" s="19">
        <v>0.0</v>
      </c>
      <c r="J63" s="19">
        <v>0.0</v>
      </c>
      <c r="K63" s="19">
        <v>3.0</v>
      </c>
      <c r="L63" s="19">
        <v>3.0</v>
      </c>
      <c r="M63" s="19">
        <v>2.0</v>
      </c>
      <c r="N63" s="19">
        <v>1.0</v>
      </c>
      <c r="O63" s="19">
        <v>1.0</v>
      </c>
      <c r="P63" s="19">
        <v>0.0</v>
      </c>
      <c r="Q63" s="19">
        <v>0.0</v>
      </c>
      <c r="R63" s="19">
        <v>3.0</v>
      </c>
      <c r="S63" s="19">
        <v>1.0</v>
      </c>
      <c r="T63" s="19">
        <v>1.0</v>
      </c>
      <c r="U63" s="19">
        <v>1.0</v>
      </c>
      <c r="V63" s="19">
        <v>2.0</v>
      </c>
      <c r="W63" s="19">
        <v>2.0</v>
      </c>
      <c r="X63" s="19">
        <v>2.0</v>
      </c>
      <c r="Y63" s="19">
        <v>2.0</v>
      </c>
      <c r="Z63" s="19">
        <v>1.0</v>
      </c>
      <c r="AA63" s="19">
        <v>3.0</v>
      </c>
      <c r="AB63" s="19">
        <v>1.0</v>
      </c>
      <c r="AC63" s="19">
        <v>0.0</v>
      </c>
      <c r="AD63" s="19">
        <v>0.0</v>
      </c>
      <c r="AE63" s="19">
        <v>0.0</v>
      </c>
      <c r="AF63" s="19">
        <v>0.0</v>
      </c>
      <c r="AG63" s="19">
        <v>2.0</v>
      </c>
      <c r="AH63" s="19">
        <v>0.0</v>
      </c>
      <c r="AI63" s="19">
        <v>2.0</v>
      </c>
      <c r="AJ63" s="19">
        <v>2.0</v>
      </c>
      <c r="AK63" s="13">
        <f t="shared" si="16"/>
        <v>38</v>
      </c>
    </row>
    <row r="64" ht="12.75" customHeight="1">
      <c r="A64" s="18"/>
      <c r="B64" s="55">
        <v>7.0</v>
      </c>
      <c r="C64" s="50" t="s">
        <v>55</v>
      </c>
      <c r="D64" s="56"/>
      <c r="E64" s="19">
        <v>1.0</v>
      </c>
      <c r="F64" s="19">
        <v>0.0</v>
      </c>
      <c r="G64" s="19">
        <v>0.0</v>
      </c>
      <c r="H64" s="19">
        <v>1.0</v>
      </c>
      <c r="I64" s="19">
        <v>0.0</v>
      </c>
      <c r="J64" s="19">
        <v>0.0</v>
      </c>
      <c r="K64" s="19">
        <v>1.0</v>
      </c>
      <c r="L64" s="19">
        <v>0.0</v>
      </c>
      <c r="M64" s="19">
        <v>5.0</v>
      </c>
      <c r="N64" s="19">
        <v>0.0</v>
      </c>
      <c r="O64" s="19">
        <v>2.0</v>
      </c>
      <c r="P64" s="19">
        <v>5.0</v>
      </c>
      <c r="Q64" s="19">
        <v>2.0</v>
      </c>
      <c r="R64" s="19">
        <v>0.0</v>
      </c>
      <c r="S64" s="19">
        <v>0.0</v>
      </c>
      <c r="T64" s="19">
        <v>2.0</v>
      </c>
      <c r="U64" s="19">
        <v>1.0</v>
      </c>
      <c r="V64" s="19">
        <v>1.0</v>
      </c>
      <c r="W64" s="19">
        <v>0.0</v>
      </c>
      <c r="X64" s="19">
        <v>0.0</v>
      </c>
      <c r="Y64" s="19">
        <v>0.0</v>
      </c>
      <c r="Z64" s="19">
        <v>0.0</v>
      </c>
      <c r="AA64" s="19">
        <v>0.0</v>
      </c>
      <c r="AB64" s="19">
        <v>0.0</v>
      </c>
      <c r="AC64" s="19">
        <v>0.0</v>
      </c>
      <c r="AD64" s="19">
        <v>0.0</v>
      </c>
      <c r="AE64" s="19">
        <v>0.0</v>
      </c>
      <c r="AF64" s="19">
        <v>0.0</v>
      </c>
      <c r="AG64" s="19">
        <v>0.0</v>
      </c>
      <c r="AH64" s="19">
        <v>0.0</v>
      </c>
      <c r="AI64" s="19">
        <v>0.0</v>
      </c>
      <c r="AJ64" s="19">
        <v>0.0</v>
      </c>
      <c r="AK64" s="13">
        <f t="shared" si="16"/>
        <v>21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3">
        <f t="shared" si="16"/>
        <v>0</v>
      </c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AJ67" si="17">SUM(E57:E64)</f>
        <v>16</v>
      </c>
      <c r="F67" s="13">
        <f t="shared" si="17"/>
        <v>22</v>
      </c>
      <c r="G67" s="13">
        <f t="shared" si="17"/>
        <v>19</v>
      </c>
      <c r="H67" s="13">
        <f t="shared" si="17"/>
        <v>38</v>
      </c>
      <c r="I67" s="13">
        <f t="shared" si="17"/>
        <v>24</v>
      </c>
      <c r="J67" s="13">
        <f t="shared" si="17"/>
        <v>27</v>
      </c>
      <c r="K67" s="13">
        <f t="shared" si="17"/>
        <v>63</v>
      </c>
      <c r="L67" s="13">
        <f t="shared" si="17"/>
        <v>26</v>
      </c>
      <c r="M67" s="13">
        <f t="shared" si="17"/>
        <v>27</v>
      </c>
      <c r="N67" s="13">
        <f t="shared" si="17"/>
        <v>24</v>
      </c>
      <c r="O67" s="13">
        <f t="shared" si="17"/>
        <v>47</v>
      </c>
      <c r="P67" s="13">
        <f t="shared" si="17"/>
        <v>44</v>
      </c>
      <c r="Q67" s="13">
        <f t="shared" si="17"/>
        <v>33</v>
      </c>
      <c r="R67" s="13">
        <f t="shared" si="17"/>
        <v>51</v>
      </c>
      <c r="S67" s="13">
        <f t="shared" si="17"/>
        <v>24</v>
      </c>
      <c r="T67" s="13">
        <f t="shared" si="17"/>
        <v>24</v>
      </c>
      <c r="U67" s="13">
        <f t="shared" si="17"/>
        <v>22</v>
      </c>
      <c r="V67" s="13">
        <f t="shared" si="17"/>
        <v>31</v>
      </c>
      <c r="W67" s="13">
        <f t="shared" si="17"/>
        <v>48</v>
      </c>
      <c r="X67" s="13">
        <f t="shared" si="17"/>
        <v>25</v>
      </c>
      <c r="Y67" s="13">
        <f t="shared" si="17"/>
        <v>36</v>
      </c>
      <c r="Z67" s="13">
        <f t="shared" si="17"/>
        <v>33</v>
      </c>
      <c r="AA67" s="13">
        <f t="shared" si="17"/>
        <v>27</v>
      </c>
      <c r="AB67" s="13">
        <f t="shared" si="17"/>
        <v>43</v>
      </c>
      <c r="AC67" s="13">
        <f t="shared" si="17"/>
        <v>18</v>
      </c>
      <c r="AD67" s="13">
        <f t="shared" si="17"/>
        <v>20</v>
      </c>
      <c r="AE67" s="13">
        <f t="shared" si="17"/>
        <v>22</v>
      </c>
      <c r="AF67" s="13">
        <f t="shared" si="17"/>
        <v>34</v>
      </c>
      <c r="AG67" s="13">
        <f t="shared" si="17"/>
        <v>27</v>
      </c>
      <c r="AH67" s="13">
        <f t="shared" si="17"/>
        <v>20</v>
      </c>
      <c r="AI67" s="13">
        <f t="shared" si="17"/>
        <v>23</v>
      </c>
      <c r="AJ67" s="13">
        <f t="shared" si="17"/>
        <v>17</v>
      </c>
      <c r="AK67" s="13">
        <f t="shared" si="16"/>
        <v>955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5.0</v>
      </c>
      <c r="F69" s="19">
        <v>4.0</v>
      </c>
      <c r="G69" s="19">
        <v>12.0</v>
      </c>
      <c r="H69" s="19">
        <v>7.0</v>
      </c>
      <c r="I69" s="19">
        <v>7.0</v>
      </c>
      <c r="J69" s="19">
        <v>10.0</v>
      </c>
      <c r="K69" s="19">
        <v>10.0</v>
      </c>
      <c r="L69" s="19">
        <v>11.0</v>
      </c>
      <c r="M69" s="19">
        <v>9.0</v>
      </c>
      <c r="N69" s="19">
        <v>21.0</v>
      </c>
      <c r="O69" s="19">
        <v>1.0</v>
      </c>
      <c r="P69" s="19">
        <v>2.0</v>
      </c>
      <c r="Q69" s="19">
        <v>7.0</v>
      </c>
      <c r="R69" s="19">
        <v>9.0</v>
      </c>
      <c r="S69" s="19">
        <v>9.0</v>
      </c>
      <c r="T69" s="19">
        <v>2.0</v>
      </c>
      <c r="U69" s="19">
        <v>0.0</v>
      </c>
      <c r="V69" s="19">
        <v>4.0</v>
      </c>
      <c r="W69" s="19">
        <v>9.0</v>
      </c>
      <c r="X69" s="19">
        <v>9.0</v>
      </c>
      <c r="Y69" s="19">
        <v>10.0</v>
      </c>
      <c r="Z69" s="19">
        <v>7.0</v>
      </c>
      <c r="AA69" s="19">
        <v>11.0</v>
      </c>
      <c r="AB69" s="19">
        <v>5.0</v>
      </c>
      <c r="AC69" s="19">
        <v>9.0</v>
      </c>
      <c r="AD69" s="19">
        <v>4.0</v>
      </c>
      <c r="AE69" s="19">
        <v>2.0</v>
      </c>
      <c r="AF69" s="19">
        <v>10.0</v>
      </c>
      <c r="AG69" s="19">
        <v>16.0</v>
      </c>
      <c r="AH69" s="19">
        <v>6.0</v>
      </c>
      <c r="AI69" s="19">
        <v>7.0</v>
      </c>
      <c r="AJ69" s="19">
        <v>6.0</v>
      </c>
      <c r="AK69" s="13">
        <f t="shared" ref="AK69:AK79" si="18">SUM(E69:AJ69)</f>
        <v>241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13.0</v>
      </c>
      <c r="F70" s="19">
        <v>7.0</v>
      </c>
      <c r="G70" s="19">
        <v>9.0</v>
      </c>
      <c r="H70" s="19">
        <v>19.0</v>
      </c>
      <c r="I70" s="19">
        <v>11.0</v>
      </c>
      <c r="J70" s="19">
        <v>4.0</v>
      </c>
      <c r="K70" s="19">
        <v>6.0</v>
      </c>
      <c r="L70" s="19">
        <v>38.0</v>
      </c>
      <c r="M70" s="19">
        <v>70.0</v>
      </c>
      <c r="N70" s="19">
        <v>54.0</v>
      </c>
      <c r="O70" s="19">
        <v>8.0</v>
      </c>
      <c r="P70" s="19">
        <v>12.0</v>
      </c>
      <c r="Q70" s="19">
        <v>7.0</v>
      </c>
      <c r="R70" s="19">
        <v>20.0</v>
      </c>
      <c r="S70" s="19">
        <v>6.0</v>
      </c>
      <c r="T70" s="19">
        <v>5.0</v>
      </c>
      <c r="U70" s="19">
        <v>2.0</v>
      </c>
      <c r="V70" s="19">
        <v>3.0</v>
      </c>
      <c r="W70" s="19">
        <v>6.0</v>
      </c>
      <c r="X70" s="19">
        <v>38.0</v>
      </c>
      <c r="Y70" s="19">
        <v>37.0</v>
      </c>
      <c r="Z70" s="19">
        <v>18.0</v>
      </c>
      <c r="AA70" s="19">
        <v>34.0</v>
      </c>
      <c r="AB70" s="19">
        <v>17.0</v>
      </c>
      <c r="AC70" s="19">
        <v>11.0</v>
      </c>
      <c r="AD70" s="19">
        <v>9.0</v>
      </c>
      <c r="AE70" s="19">
        <v>12.0</v>
      </c>
      <c r="AF70" s="19">
        <v>12.0</v>
      </c>
      <c r="AG70" s="19">
        <v>17.0</v>
      </c>
      <c r="AH70" s="19">
        <v>9.0</v>
      </c>
      <c r="AI70" s="19">
        <v>3.0</v>
      </c>
      <c r="AJ70" s="19">
        <v>10.0</v>
      </c>
      <c r="AK70" s="13">
        <f t="shared" si="18"/>
        <v>527</v>
      </c>
    </row>
    <row r="71" ht="12.75" customHeight="1">
      <c r="A71" s="18"/>
      <c r="B71" s="55">
        <v>2.0</v>
      </c>
      <c r="C71" s="50" t="s">
        <v>58</v>
      </c>
      <c r="D71" s="57"/>
      <c r="E71" s="19">
        <v>13.0</v>
      </c>
      <c r="F71" s="19">
        <v>11.0</v>
      </c>
      <c r="G71" s="19">
        <v>14.0</v>
      </c>
      <c r="H71" s="19">
        <v>9.0</v>
      </c>
      <c r="I71" s="19">
        <v>2.0</v>
      </c>
      <c r="J71" s="19">
        <v>7.0</v>
      </c>
      <c r="K71" s="19">
        <v>13.0</v>
      </c>
      <c r="L71" s="19">
        <v>4.0</v>
      </c>
      <c r="M71" s="19">
        <v>4.0</v>
      </c>
      <c r="N71" s="19">
        <v>2.0</v>
      </c>
      <c r="O71" s="19">
        <v>5.0</v>
      </c>
      <c r="P71" s="19">
        <v>2.0</v>
      </c>
      <c r="Q71" s="19">
        <v>0.0</v>
      </c>
      <c r="R71" s="19">
        <v>11.0</v>
      </c>
      <c r="S71" s="19">
        <v>1.0</v>
      </c>
      <c r="T71" s="19">
        <v>3.0</v>
      </c>
      <c r="U71" s="19">
        <v>3.0</v>
      </c>
      <c r="V71" s="19">
        <v>6.0</v>
      </c>
      <c r="W71" s="19">
        <v>3.0</v>
      </c>
      <c r="X71" s="19">
        <v>4.0</v>
      </c>
      <c r="Y71" s="19">
        <v>2.0</v>
      </c>
      <c r="Z71" s="19">
        <v>11.0</v>
      </c>
      <c r="AA71" s="19">
        <v>9.0</v>
      </c>
      <c r="AB71" s="19">
        <v>7.0</v>
      </c>
      <c r="AC71" s="19">
        <v>6.0</v>
      </c>
      <c r="AD71" s="19">
        <v>2.0</v>
      </c>
      <c r="AE71" s="19">
        <v>3.0</v>
      </c>
      <c r="AF71" s="19">
        <v>36.0</v>
      </c>
      <c r="AG71" s="19">
        <v>16.0</v>
      </c>
      <c r="AH71" s="19">
        <v>5.0</v>
      </c>
      <c r="AI71" s="19">
        <v>1.0</v>
      </c>
      <c r="AJ71" s="19">
        <v>7.0</v>
      </c>
      <c r="AK71" s="13">
        <f t="shared" si="18"/>
        <v>222</v>
      </c>
    </row>
    <row r="72" ht="12.75" customHeight="1">
      <c r="A72" s="18"/>
      <c r="B72" s="55">
        <v>3.0</v>
      </c>
      <c r="C72" s="50" t="s">
        <v>59</v>
      </c>
      <c r="D72" s="57"/>
      <c r="E72" s="19">
        <v>2.0</v>
      </c>
      <c r="F72" s="19">
        <v>0.0</v>
      </c>
      <c r="G72" s="19">
        <v>2.0</v>
      </c>
      <c r="H72" s="19">
        <v>3.0</v>
      </c>
      <c r="I72" s="19">
        <v>2.0</v>
      </c>
      <c r="J72" s="19">
        <v>0.0</v>
      </c>
      <c r="K72" s="19">
        <v>2.0</v>
      </c>
      <c r="L72" s="19">
        <v>1.0</v>
      </c>
      <c r="M72" s="19">
        <v>4.0</v>
      </c>
      <c r="N72" s="19">
        <v>4.0</v>
      </c>
      <c r="O72" s="19">
        <v>3.0</v>
      </c>
      <c r="P72" s="19">
        <v>1.0</v>
      </c>
      <c r="Q72" s="19">
        <v>1.0</v>
      </c>
      <c r="R72" s="19">
        <v>7.0</v>
      </c>
      <c r="S72" s="19">
        <v>1.0</v>
      </c>
      <c r="T72" s="19">
        <v>3.0</v>
      </c>
      <c r="U72" s="19">
        <v>4.0</v>
      </c>
      <c r="V72" s="19">
        <v>5.0</v>
      </c>
      <c r="W72" s="19">
        <v>3.0</v>
      </c>
      <c r="X72" s="19">
        <v>4.0</v>
      </c>
      <c r="Y72" s="19">
        <v>1.0</v>
      </c>
      <c r="Z72" s="19">
        <v>2.0</v>
      </c>
      <c r="AA72" s="19">
        <v>5.0</v>
      </c>
      <c r="AB72" s="19">
        <v>5.0</v>
      </c>
      <c r="AC72" s="19">
        <v>3.0</v>
      </c>
      <c r="AD72" s="19">
        <v>0.0</v>
      </c>
      <c r="AE72" s="19">
        <v>0.0</v>
      </c>
      <c r="AF72" s="19">
        <v>4.0</v>
      </c>
      <c r="AG72" s="19">
        <v>2.0</v>
      </c>
      <c r="AH72" s="19">
        <v>2.0</v>
      </c>
      <c r="AI72" s="19">
        <v>0.0</v>
      </c>
      <c r="AJ72" s="19">
        <v>1.0</v>
      </c>
      <c r="AK72" s="13">
        <f t="shared" si="18"/>
        <v>77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0.0</v>
      </c>
      <c r="G73" s="19">
        <v>0.0</v>
      </c>
      <c r="H73" s="19">
        <v>2.0</v>
      </c>
      <c r="I73" s="19">
        <v>1.0</v>
      </c>
      <c r="J73" s="19">
        <v>1.0</v>
      </c>
      <c r="K73" s="19">
        <v>1.0</v>
      </c>
      <c r="L73" s="19">
        <v>2.0</v>
      </c>
      <c r="M73" s="19">
        <v>0.0</v>
      </c>
      <c r="N73" s="19">
        <v>1.0</v>
      </c>
      <c r="O73" s="19">
        <v>0.0</v>
      </c>
      <c r="P73" s="19">
        <v>0.0</v>
      </c>
      <c r="Q73" s="19">
        <v>1.0</v>
      </c>
      <c r="R73" s="19">
        <v>1.0</v>
      </c>
      <c r="S73" s="19">
        <v>0.0</v>
      </c>
      <c r="T73" s="19">
        <v>0.0</v>
      </c>
      <c r="U73" s="19">
        <v>0.0</v>
      </c>
      <c r="V73" s="19">
        <v>0.0</v>
      </c>
      <c r="W73" s="19">
        <v>0.0</v>
      </c>
      <c r="X73" s="19">
        <v>0.0</v>
      </c>
      <c r="Y73" s="19">
        <v>1.0</v>
      </c>
      <c r="Z73" s="19">
        <v>0.0</v>
      </c>
      <c r="AA73" s="19">
        <v>0.0</v>
      </c>
      <c r="AB73" s="19">
        <v>1.0</v>
      </c>
      <c r="AC73" s="19">
        <v>0.0</v>
      </c>
      <c r="AD73" s="19">
        <v>1.0</v>
      </c>
      <c r="AE73" s="19">
        <v>0.0</v>
      </c>
      <c r="AF73" s="19">
        <v>1.0</v>
      </c>
      <c r="AG73" s="19">
        <v>0.0</v>
      </c>
      <c r="AH73" s="19">
        <v>0.0</v>
      </c>
      <c r="AI73" s="19">
        <v>0.0</v>
      </c>
      <c r="AJ73" s="19">
        <v>1.0</v>
      </c>
      <c r="AK73" s="13">
        <f t="shared" si="18"/>
        <v>15</v>
      </c>
    </row>
    <row r="74" ht="12.75" customHeight="1">
      <c r="A74" s="18"/>
      <c r="B74" s="55">
        <v>5.0</v>
      </c>
      <c r="C74" s="50" t="s">
        <v>61</v>
      </c>
      <c r="D74" s="57"/>
      <c r="E74" s="19">
        <v>1.0</v>
      </c>
      <c r="F74" s="19">
        <v>1.0</v>
      </c>
      <c r="G74" s="19">
        <v>2.0</v>
      </c>
      <c r="H74" s="19">
        <v>0.0</v>
      </c>
      <c r="I74" s="19">
        <v>1.0</v>
      </c>
      <c r="J74" s="19">
        <v>0.0</v>
      </c>
      <c r="K74" s="19">
        <v>2.0</v>
      </c>
      <c r="L74" s="19">
        <v>4.0</v>
      </c>
      <c r="M74" s="19">
        <v>5.0</v>
      </c>
      <c r="N74" s="19">
        <v>2.0</v>
      </c>
      <c r="O74" s="19">
        <v>0.0</v>
      </c>
      <c r="P74" s="19">
        <v>0.0</v>
      </c>
      <c r="Q74" s="19">
        <v>2.0</v>
      </c>
      <c r="R74" s="19">
        <v>1.0</v>
      </c>
      <c r="S74" s="19">
        <v>2.0</v>
      </c>
      <c r="T74" s="19">
        <v>5.0</v>
      </c>
      <c r="U74" s="19">
        <v>1.0</v>
      </c>
      <c r="V74" s="19">
        <v>0.0</v>
      </c>
      <c r="W74" s="19">
        <v>5.0</v>
      </c>
      <c r="X74" s="19">
        <v>3.0</v>
      </c>
      <c r="Y74" s="19">
        <v>1.0</v>
      </c>
      <c r="Z74" s="19">
        <v>5.0</v>
      </c>
      <c r="AA74" s="19">
        <v>1.0</v>
      </c>
      <c r="AB74" s="19">
        <v>7.0</v>
      </c>
      <c r="AC74" s="19">
        <v>2.0</v>
      </c>
      <c r="AD74" s="19">
        <v>0.0</v>
      </c>
      <c r="AE74" s="19">
        <v>1.0</v>
      </c>
      <c r="AF74" s="19">
        <v>0.0</v>
      </c>
      <c r="AG74" s="19">
        <v>3.0</v>
      </c>
      <c r="AH74" s="19">
        <v>2.0</v>
      </c>
      <c r="AI74" s="19">
        <v>0.0</v>
      </c>
      <c r="AJ74" s="19">
        <v>1.0</v>
      </c>
      <c r="AK74" s="13">
        <f t="shared" si="18"/>
        <v>60</v>
      </c>
    </row>
    <row r="75" ht="12.75" customHeight="1">
      <c r="A75" s="18"/>
      <c r="B75" s="55">
        <v>6.0</v>
      </c>
      <c r="C75" s="50" t="s">
        <v>62</v>
      </c>
      <c r="D75" s="57"/>
      <c r="E75" s="19">
        <v>1.0</v>
      </c>
      <c r="F75" s="19">
        <v>0.0</v>
      </c>
      <c r="G75" s="19">
        <v>0.0</v>
      </c>
      <c r="H75" s="19">
        <v>4.0</v>
      </c>
      <c r="I75" s="19">
        <v>1.0</v>
      </c>
      <c r="J75" s="19">
        <v>1.0</v>
      </c>
      <c r="K75" s="19">
        <v>0.0</v>
      </c>
      <c r="L75" s="19">
        <v>0.0</v>
      </c>
      <c r="M75" s="19">
        <v>1.0</v>
      </c>
      <c r="N75" s="19">
        <v>1.0</v>
      </c>
      <c r="O75" s="19">
        <v>0.0</v>
      </c>
      <c r="P75" s="19">
        <v>0.0</v>
      </c>
      <c r="Q75" s="19">
        <v>0.0</v>
      </c>
      <c r="R75" s="19">
        <v>3.0</v>
      </c>
      <c r="S75" s="19">
        <v>0.0</v>
      </c>
      <c r="T75" s="19">
        <v>0.0</v>
      </c>
      <c r="U75" s="19">
        <v>0.0</v>
      </c>
      <c r="V75" s="19">
        <v>0.0</v>
      </c>
      <c r="W75" s="19">
        <v>0.0</v>
      </c>
      <c r="X75" s="19">
        <v>0.0</v>
      </c>
      <c r="Y75" s="19">
        <v>0.0</v>
      </c>
      <c r="Z75" s="19">
        <v>2.0</v>
      </c>
      <c r="AA75" s="19">
        <v>0.0</v>
      </c>
      <c r="AB75" s="19">
        <v>2.0</v>
      </c>
      <c r="AC75" s="19">
        <v>0.0</v>
      </c>
      <c r="AD75" s="19">
        <v>1.0</v>
      </c>
      <c r="AE75" s="19">
        <v>0.0</v>
      </c>
      <c r="AF75" s="19">
        <v>6.0</v>
      </c>
      <c r="AG75" s="19">
        <v>4.0</v>
      </c>
      <c r="AH75" s="19">
        <v>0.0</v>
      </c>
      <c r="AI75" s="19">
        <v>0.0</v>
      </c>
      <c r="AJ75" s="19">
        <v>1.0</v>
      </c>
      <c r="AK75" s="13">
        <f t="shared" si="18"/>
        <v>28</v>
      </c>
    </row>
    <row r="76" ht="12.75" customHeight="1">
      <c r="A76" s="18"/>
      <c r="B76" s="55">
        <v>7.0</v>
      </c>
      <c r="C76" s="50" t="s">
        <v>63</v>
      </c>
      <c r="D76" s="57"/>
      <c r="E76" s="19">
        <v>4.0</v>
      </c>
      <c r="F76" s="19">
        <v>2.0</v>
      </c>
      <c r="G76" s="19">
        <v>1.0</v>
      </c>
      <c r="H76" s="19">
        <v>10.0</v>
      </c>
      <c r="I76" s="19">
        <v>3.0</v>
      </c>
      <c r="J76" s="19">
        <v>1.0</v>
      </c>
      <c r="K76" s="19">
        <v>1.0</v>
      </c>
      <c r="L76" s="19">
        <v>7.0</v>
      </c>
      <c r="M76" s="19">
        <v>6.0</v>
      </c>
      <c r="N76" s="19">
        <v>4.0</v>
      </c>
      <c r="O76" s="19">
        <v>0.0</v>
      </c>
      <c r="P76" s="19">
        <v>6.0</v>
      </c>
      <c r="Q76" s="19">
        <v>4.0</v>
      </c>
      <c r="R76" s="19">
        <v>1.0</v>
      </c>
      <c r="S76" s="19">
        <v>3.0</v>
      </c>
      <c r="T76" s="19">
        <v>1.0</v>
      </c>
      <c r="U76" s="19">
        <v>3.0</v>
      </c>
      <c r="V76" s="19">
        <v>0.0</v>
      </c>
      <c r="W76" s="19">
        <v>2.0</v>
      </c>
      <c r="X76" s="19">
        <v>0.0</v>
      </c>
      <c r="Y76" s="19">
        <v>5.0</v>
      </c>
      <c r="Z76" s="19">
        <v>0.0</v>
      </c>
      <c r="AA76" s="19">
        <v>1.0</v>
      </c>
      <c r="AB76" s="19">
        <v>1.0</v>
      </c>
      <c r="AC76" s="19">
        <v>0.0</v>
      </c>
      <c r="AD76" s="19">
        <v>0.0</v>
      </c>
      <c r="AE76" s="19">
        <v>1.0</v>
      </c>
      <c r="AF76" s="19">
        <v>0.0</v>
      </c>
      <c r="AG76" s="19">
        <v>2.0</v>
      </c>
      <c r="AH76" s="19">
        <v>0.0</v>
      </c>
      <c r="AI76" s="19">
        <v>0.0</v>
      </c>
      <c r="AJ76" s="19">
        <v>0.0</v>
      </c>
      <c r="AK76" s="13">
        <f t="shared" si="18"/>
        <v>69</v>
      </c>
    </row>
    <row r="77" ht="12.75" customHeight="1">
      <c r="A77" s="18"/>
      <c r="B77" s="71"/>
      <c r="C77" s="72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3">
        <f t="shared" si="18"/>
        <v>0</v>
      </c>
    </row>
    <row r="78" ht="12.75" customHeight="1">
      <c r="A78" s="18"/>
      <c r="B78" s="71"/>
      <c r="C78" s="72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AJ79" si="19">SUM(E69:E76)</f>
        <v>39</v>
      </c>
      <c r="F79" s="13">
        <f t="shared" si="19"/>
        <v>25</v>
      </c>
      <c r="G79" s="13">
        <f t="shared" si="19"/>
        <v>40</v>
      </c>
      <c r="H79" s="13">
        <f t="shared" si="19"/>
        <v>54</v>
      </c>
      <c r="I79" s="13">
        <f t="shared" si="19"/>
        <v>28</v>
      </c>
      <c r="J79" s="13">
        <f t="shared" si="19"/>
        <v>24</v>
      </c>
      <c r="K79" s="13">
        <f t="shared" si="19"/>
        <v>35</v>
      </c>
      <c r="L79" s="13">
        <f t="shared" si="19"/>
        <v>67</v>
      </c>
      <c r="M79" s="13">
        <f t="shared" si="19"/>
        <v>99</v>
      </c>
      <c r="N79" s="13">
        <f t="shared" si="19"/>
        <v>89</v>
      </c>
      <c r="O79" s="13">
        <f t="shared" si="19"/>
        <v>17</v>
      </c>
      <c r="P79" s="13">
        <f t="shared" si="19"/>
        <v>23</v>
      </c>
      <c r="Q79" s="13">
        <f t="shared" si="19"/>
        <v>22</v>
      </c>
      <c r="R79" s="13">
        <f t="shared" si="19"/>
        <v>53</v>
      </c>
      <c r="S79" s="13">
        <f t="shared" si="19"/>
        <v>22</v>
      </c>
      <c r="T79" s="13">
        <f t="shared" si="19"/>
        <v>19</v>
      </c>
      <c r="U79" s="13">
        <f t="shared" si="19"/>
        <v>13</v>
      </c>
      <c r="V79" s="13">
        <f t="shared" si="19"/>
        <v>18</v>
      </c>
      <c r="W79" s="13">
        <f t="shared" si="19"/>
        <v>28</v>
      </c>
      <c r="X79" s="13">
        <f t="shared" si="19"/>
        <v>58</v>
      </c>
      <c r="Y79" s="13">
        <f t="shared" si="19"/>
        <v>57</v>
      </c>
      <c r="Z79" s="13">
        <f t="shared" si="19"/>
        <v>45</v>
      </c>
      <c r="AA79" s="13">
        <f t="shared" si="19"/>
        <v>61</v>
      </c>
      <c r="AB79" s="13">
        <f t="shared" si="19"/>
        <v>45</v>
      </c>
      <c r="AC79" s="13">
        <f t="shared" si="19"/>
        <v>31</v>
      </c>
      <c r="AD79" s="13">
        <f t="shared" si="19"/>
        <v>17</v>
      </c>
      <c r="AE79" s="13">
        <f t="shared" si="19"/>
        <v>19</v>
      </c>
      <c r="AF79" s="13">
        <f t="shared" si="19"/>
        <v>69</v>
      </c>
      <c r="AG79" s="13">
        <f t="shared" si="19"/>
        <v>60</v>
      </c>
      <c r="AH79" s="13">
        <f t="shared" si="19"/>
        <v>24</v>
      </c>
      <c r="AI79" s="13">
        <f t="shared" si="19"/>
        <v>11</v>
      </c>
      <c r="AJ79" s="13">
        <f t="shared" si="19"/>
        <v>27</v>
      </c>
      <c r="AK79" s="13">
        <f t="shared" si="18"/>
        <v>1239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2.0</v>
      </c>
      <c r="F81" s="19">
        <v>3.0</v>
      </c>
      <c r="G81" s="19">
        <v>7.0</v>
      </c>
      <c r="H81" s="19">
        <v>2.0</v>
      </c>
      <c r="I81" s="19">
        <v>3.0</v>
      </c>
      <c r="J81" s="19">
        <v>0.0</v>
      </c>
      <c r="K81" s="19">
        <v>2.0</v>
      </c>
      <c r="L81" s="19">
        <v>1.0</v>
      </c>
      <c r="M81" s="19">
        <v>2.0</v>
      </c>
      <c r="N81" s="19">
        <v>2.0</v>
      </c>
      <c r="O81" s="19">
        <v>4.0</v>
      </c>
      <c r="P81" s="19">
        <v>2.0</v>
      </c>
      <c r="Q81" s="19">
        <v>2.0</v>
      </c>
      <c r="R81" s="19">
        <v>3.0</v>
      </c>
      <c r="S81" s="19">
        <v>0.0</v>
      </c>
      <c r="T81" s="19">
        <v>3.0</v>
      </c>
      <c r="U81" s="19">
        <v>10.0</v>
      </c>
      <c r="V81" s="19">
        <v>0.0</v>
      </c>
      <c r="W81" s="19">
        <v>3.0</v>
      </c>
      <c r="X81" s="19">
        <v>2.0</v>
      </c>
      <c r="Y81" s="19">
        <v>2.0</v>
      </c>
      <c r="Z81" s="19">
        <v>2.0</v>
      </c>
      <c r="AA81" s="19">
        <v>1.0</v>
      </c>
      <c r="AB81" s="19">
        <v>2.0</v>
      </c>
      <c r="AC81" s="19">
        <v>1.0</v>
      </c>
      <c r="AD81" s="19">
        <v>9.0</v>
      </c>
      <c r="AE81" s="19">
        <v>0.0</v>
      </c>
      <c r="AF81" s="19">
        <v>4.0</v>
      </c>
      <c r="AG81" s="19">
        <v>1.0</v>
      </c>
      <c r="AH81" s="19">
        <v>2.0</v>
      </c>
      <c r="AI81" s="19">
        <v>1.0</v>
      </c>
      <c r="AJ81" s="19">
        <v>0.0</v>
      </c>
      <c r="AK81" s="13">
        <f t="shared" ref="AK81:AK91" si="20">SUM(E81:AJ81)</f>
        <v>78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27.0</v>
      </c>
      <c r="F82" s="19">
        <v>33.0</v>
      </c>
      <c r="G82" s="19">
        <v>12.0</v>
      </c>
      <c r="H82" s="19">
        <v>51.0</v>
      </c>
      <c r="I82" s="19">
        <v>15.0</v>
      </c>
      <c r="J82" s="19">
        <v>7.0</v>
      </c>
      <c r="K82" s="19">
        <v>2.0</v>
      </c>
      <c r="L82" s="19">
        <v>7.0</v>
      </c>
      <c r="M82" s="19">
        <v>10.0</v>
      </c>
      <c r="N82" s="19">
        <v>4.0</v>
      </c>
      <c r="O82" s="19">
        <v>16.0</v>
      </c>
      <c r="P82" s="19">
        <v>16.0</v>
      </c>
      <c r="Q82" s="19">
        <v>3.0</v>
      </c>
      <c r="R82" s="19">
        <v>6.0</v>
      </c>
      <c r="S82" s="19">
        <v>7.0</v>
      </c>
      <c r="T82" s="19">
        <v>29.0</v>
      </c>
      <c r="U82" s="19">
        <v>50.0</v>
      </c>
      <c r="V82" s="19">
        <v>10.0</v>
      </c>
      <c r="W82" s="19">
        <v>7.0</v>
      </c>
      <c r="X82" s="19">
        <v>3.0</v>
      </c>
      <c r="Y82" s="19">
        <v>6.0</v>
      </c>
      <c r="Z82" s="19">
        <v>3.0</v>
      </c>
      <c r="AA82" s="19">
        <v>4.0</v>
      </c>
      <c r="AB82" s="19">
        <v>9.0</v>
      </c>
      <c r="AC82" s="19">
        <v>12.0</v>
      </c>
      <c r="AD82" s="19">
        <v>4.0</v>
      </c>
      <c r="AE82" s="19">
        <v>7.0</v>
      </c>
      <c r="AF82" s="19">
        <v>9.0</v>
      </c>
      <c r="AG82" s="19">
        <v>1.0</v>
      </c>
      <c r="AH82" s="19">
        <v>3.0</v>
      </c>
      <c r="AI82" s="19">
        <v>2.0</v>
      </c>
      <c r="AJ82" s="19">
        <v>13.0</v>
      </c>
      <c r="AK82" s="13">
        <f t="shared" si="20"/>
        <v>388</v>
      </c>
    </row>
    <row r="83" ht="12.75" customHeight="1">
      <c r="A83" s="18"/>
      <c r="B83" s="55">
        <v>2.0</v>
      </c>
      <c r="C83" s="50" t="s">
        <v>66</v>
      </c>
      <c r="D83" s="57"/>
      <c r="E83" s="19">
        <v>1.0</v>
      </c>
      <c r="F83" s="19">
        <v>3.0</v>
      </c>
      <c r="G83" s="19">
        <v>1.0</v>
      </c>
      <c r="H83" s="19">
        <v>6.0</v>
      </c>
      <c r="I83" s="19">
        <v>3.0</v>
      </c>
      <c r="J83" s="19">
        <v>3.0</v>
      </c>
      <c r="K83" s="19">
        <v>2.0</v>
      </c>
      <c r="L83" s="19">
        <v>7.0</v>
      </c>
      <c r="M83" s="19">
        <v>0.0</v>
      </c>
      <c r="N83" s="19">
        <v>0.0</v>
      </c>
      <c r="O83" s="19">
        <v>0.0</v>
      </c>
      <c r="P83" s="19">
        <v>3.0</v>
      </c>
      <c r="Q83" s="19">
        <v>0.0</v>
      </c>
      <c r="R83" s="19">
        <v>3.0</v>
      </c>
      <c r="S83" s="19">
        <v>0.0</v>
      </c>
      <c r="T83" s="19">
        <v>4.0</v>
      </c>
      <c r="U83" s="19">
        <v>8.0</v>
      </c>
      <c r="V83" s="19">
        <v>2.0</v>
      </c>
      <c r="W83" s="19">
        <v>0.0</v>
      </c>
      <c r="X83" s="19">
        <v>3.0</v>
      </c>
      <c r="Y83" s="19">
        <v>0.0</v>
      </c>
      <c r="Z83" s="19">
        <v>1.0</v>
      </c>
      <c r="AA83" s="19">
        <v>5.0</v>
      </c>
      <c r="AB83" s="19">
        <v>1.0</v>
      </c>
      <c r="AC83" s="19">
        <v>2.0</v>
      </c>
      <c r="AD83" s="19">
        <v>1.0</v>
      </c>
      <c r="AE83" s="19">
        <v>2.0</v>
      </c>
      <c r="AF83" s="19">
        <v>1.0</v>
      </c>
      <c r="AG83" s="19">
        <v>4.0</v>
      </c>
      <c r="AH83" s="19">
        <v>2.0</v>
      </c>
      <c r="AI83" s="19">
        <v>1.0</v>
      </c>
      <c r="AJ83" s="19">
        <v>0.0</v>
      </c>
      <c r="AK83" s="13">
        <f t="shared" si="20"/>
        <v>69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0.0</v>
      </c>
      <c r="H84" s="19">
        <v>1.0</v>
      </c>
      <c r="I84" s="19">
        <v>0.0</v>
      </c>
      <c r="J84" s="19">
        <v>1.0</v>
      </c>
      <c r="K84" s="19">
        <v>1.0</v>
      </c>
      <c r="L84" s="19">
        <v>0.0</v>
      </c>
      <c r="M84" s="19">
        <v>0.0</v>
      </c>
      <c r="N84" s="19">
        <v>0.0</v>
      </c>
      <c r="O84" s="19">
        <v>0.0</v>
      </c>
      <c r="P84" s="19">
        <v>1.0</v>
      </c>
      <c r="Q84" s="19">
        <v>0.0</v>
      </c>
      <c r="R84" s="19">
        <v>1.0</v>
      </c>
      <c r="S84" s="19">
        <v>0.0</v>
      </c>
      <c r="T84" s="19">
        <v>0.0</v>
      </c>
      <c r="U84" s="19">
        <v>1.0</v>
      </c>
      <c r="V84" s="19">
        <v>0.0</v>
      </c>
      <c r="W84" s="19">
        <v>0.0</v>
      </c>
      <c r="X84" s="19">
        <v>0.0</v>
      </c>
      <c r="Y84" s="19">
        <v>1.0</v>
      </c>
      <c r="Z84" s="19">
        <v>0.0</v>
      </c>
      <c r="AA84" s="19">
        <v>0.0</v>
      </c>
      <c r="AB84" s="19">
        <v>0.0</v>
      </c>
      <c r="AC84" s="19">
        <v>1.0</v>
      </c>
      <c r="AD84" s="19">
        <v>1.0</v>
      </c>
      <c r="AE84" s="19">
        <v>0.0</v>
      </c>
      <c r="AF84" s="19">
        <v>0.0</v>
      </c>
      <c r="AG84" s="19">
        <v>0.0</v>
      </c>
      <c r="AH84" s="19">
        <v>1.0</v>
      </c>
      <c r="AI84" s="19">
        <v>0.0</v>
      </c>
      <c r="AJ84" s="19">
        <v>0.0</v>
      </c>
      <c r="AK84" s="13">
        <f t="shared" si="20"/>
        <v>10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1.0</v>
      </c>
      <c r="G85" s="19">
        <v>1.0</v>
      </c>
      <c r="H85" s="19">
        <v>12.0</v>
      </c>
      <c r="I85" s="19">
        <v>1.0</v>
      </c>
      <c r="J85" s="19">
        <v>0.0</v>
      </c>
      <c r="K85" s="19">
        <v>0.0</v>
      </c>
      <c r="L85" s="19">
        <v>0.0</v>
      </c>
      <c r="M85" s="19">
        <v>1.0</v>
      </c>
      <c r="N85" s="19">
        <v>1.0</v>
      </c>
      <c r="O85" s="19">
        <v>1.0</v>
      </c>
      <c r="P85" s="19">
        <v>1.0</v>
      </c>
      <c r="Q85" s="19">
        <v>0.0</v>
      </c>
      <c r="R85" s="19">
        <v>0.0</v>
      </c>
      <c r="S85" s="19">
        <v>0.0</v>
      </c>
      <c r="T85" s="19">
        <v>0.0</v>
      </c>
      <c r="U85" s="19">
        <v>0.0</v>
      </c>
      <c r="V85" s="19">
        <v>0.0</v>
      </c>
      <c r="W85" s="19">
        <v>0.0</v>
      </c>
      <c r="X85" s="19">
        <v>0.0</v>
      </c>
      <c r="Y85" s="19">
        <v>1.0</v>
      </c>
      <c r="Z85" s="19">
        <v>1.0</v>
      </c>
      <c r="AA85" s="19">
        <v>1.0</v>
      </c>
      <c r="AB85" s="19">
        <v>0.0</v>
      </c>
      <c r="AC85" s="19">
        <v>36.0</v>
      </c>
      <c r="AD85" s="19">
        <v>48.0</v>
      </c>
      <c r="AE85" s="19">
        <v>0.0</v>
      </c>
      <c r="AF85" s="19">
        <v>0.0</v>
      </c>
      <c r="AG85" s="19">
        <v>1.0</v>
      </c>
      <c r="AH85" s="19">
        <v>0.0</v>
      </c>
      <c r="AI85" s="19">
        <v>2.0</v>
      </c>
      <c r="AJ85" s="19">
        <v>0.0</v>
      </c>
      <c r="AK85" s="13">
        <f t="shared" si="20"/>
        <v>109</v>
      </c>
    </row>
    <row r="86" ht="12.75" customHeight="1">
      <c r="A86" s="18"/>
      <c r="B86" s="55">
        <v>5.0</v>
      </c>
      <c r="C86" s="50" t="s">
        <v>69</v>
      </c>
      <c r="D86" s="57"/>
      <c r="E86" s="19">
        <v>2.0</v>
      </c>
      <c r="F86" s="19">
        <v>0.0</v>
      </c>
      <c r="G86" s="19">
        <v>3.0</v>
      </c>
      <c r="H86" s="19">
        <v>1.0</v>
      </c>
      <c r="I86" s="19">
        <v>0.0</v>
      </c>
      <c r="J86" s="19">
        <v>1.0</v>
      </c>
      <c r="K86" s="19">
        <v>0.0</v>
      </c>
      <c r="L86" s="19">
        <v>0.0</v>
      </c>
      <c r="M86" s="19">
        <v>0.0</v>
      </c>
      <c r="N86" s="19">
        <v>1.0</v>
      </c>
      <c r="O86" s="19">
        <v>0.0</v>
      </c>
      <c r="P86" s="19">
        <v>1.0</v>
      </c>
      <c r="Q86" s="19">
        <v>3.0</v>
      </c>
      <c r="R86" s="19">
        <v>1.0</v>
      </c>
      <c r="S86" s="19">
        <v>0.0</v>
      </c>
      <c r="T86" s="19">
        <v>1.0</v>
      </c>
      <c r="U86" s="19">
        <v>0.0</v>
      </c>
      <c r="V86" s="19">
        <v>0.0</v>
      </c>
      <c r="W86" s="19">
        <v>0.0</v>
      </c>
      <c r="X86" s="19">
        <v>0.0</v>
      </c>
      <c r="Y86" s="19">
        <v>0.0</v>
      </c>
      <c r="Z86" s="19">
        <v>0.0</v>
      </c>
      <c r="AA86" s="19">
        <v>0.0</v>
      </c>
      <c r="AB86" s="19">
        <v>0.0</v>
      </c>
      <c r="AC86" s="19">
        <v>0.0</v>
      </c>
      <c r="AD86" s="19">
        <v>1.0</v>
      </c>
      <c r="AE86" s="19">
        <v>0.0</v>
      </c>
      <c r="AF86" s="19">
        <v>0.0</v>
      </c>
      <c r="AG86" s="19">
        <v>0.0</v>
      </c>
      <c r="AH86" s="19">
        <v>1.0</v>
      </c>
      <c r="AI86" s="19">
        <v>1.0</v>
      </c>
      <c r="AJ86" s="19">
        <v>3.0</v>
      </c>
      <c r="AK86" s="13">
        <f t="shared" si="20"/>
        <v>20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1.0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1.0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9">
        <v>0.0</v>
      </c>
      <c r="AG87" s="19">
        <v>0.0</v>
      </c>
      <c r="AH87" s="19">
        <v>0.0</v>
      </c>
      <c r="AI87" s="19">
        <v>0.0</v>
      </c>
      <c r="AJ87" s="19">
        <v>0.0</v>
      </c>
      <c r="AK87" s="13">
        <f t="shared" si="20"/>
        <v>2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1.0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1.0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3">
        <f t="shared" si="20"/>
        <v>2</v>
      </c>
    </row>
    <row r="89" ht="12.75" customHeight="1">
      <c r="A89" s="18"/>
      <c r="B89" s="71"/>
      <c r="C89" s="72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3">
        <f t="shared" si="20"/>
        <v>0</v>
      </c>
    </row>
    <row r="90" ht="12.75" customHeight="1">
      <c r="A90" s="18"/>
      <c r="B90" s="71"/>
      <c r="C90" s="72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AJ91" si="21">SUM(E81:E88)</f>
        <v>32</v>
      </c>
      <c r="F91" s="13">
        <f t="shared" si="21"/>
        <v>40</v>
      </c>
      <c r="G91" s="13">
        <f t="shared" si="21"/>
        <v>26</v>
      </c>
      <c r="H91" s="13">
        <f t="shared" si="21"/>
        <v>73</v>
      </c>
      <c r="I91" s="13">
        <f t="shared" si="21"/>
        <v>22</v>
      </c>
      <c r="J91" s="13">
        <f t="shared" si="21"/>
        <v>12</v>
      </c>
      <c r="K91" s="13">
        <f t="shared" si="21"/>
        <v>7</v>
      </c>
      <c r="L91" s="13">
        <f t="shared" si="21"/>
        <v>15</v>
      </c>
      <c r="M91" s="13">
        <f t="shared" si="21"/>
        <v>13</v>
      </c>
      <c r="N91" s="13">
        <f t="shared" si="21"/>
        <v>8</v>
      </c>
      <c r="O91" s="13">
        <f t="shared" si="21"/>
        <v>21</v>
      </c>
      <c r="P91" s="13">
        <f t="shared" si="21"/>
        <v>24</v>
      </c>
      <c r="Q91" s="13">
        <f t="shared" si="21"/>
        <v>8</v>
      </c>
      <c r="R91" s="13">
        <f t="shared" si="21"/>
        <v>14</v>
      </c>
      <c r="S91" s="13">
        <f t="shared" si="21"/>
        <v>7</v>
      </c>
      <c r="T91" s="13">
        <f t="shared" si="21"/>
        <v>37</v>
      </c>
      <c r="U91" s="13">
        <f t="shared" si="21"/>
        <v>69</v>
      </c>
      <c r="V91" s="13">
        <f t="shared" si="21"/>
        <v>12</v>
      </c>
      <c r="W91" s="13">
        <f t="shared" si="21"/>
        <v>10</v>
      </c>
      <c r="X91" s="13">
        <f t="shared" si="21"/>
        <v>8</v>
      </c>
      <c r="Y91" s="13">
        <f t="shared" si="21"/>
        <v>11</v>
      </c>
      <c r="Z91" s="13">
        <f t="shared" si="21"/>
        <v>8</v>
      </c>
      <c r="AA91" s="13">
        <f t="shared" si="21"/>
        <v>11</v>
      </c>
      <c r="AB91" s="13">
        <f t="shared" si="21"/>
        <v>12</v>
      </c>
      <c r="AC91" s="13">
        <f t="shared" si="21"/>
        <v>52</v>
      </c>
      <c r="AD91" s="13">
        <f t="shared" si="21"/>
        <v>64</v>
      </c>
      <c r="AE91" s="13">
        <f t="shared" si="21"/>
        <v>9</v>
      </c>
      <c r="AF91" s="13">
        <f t="shared" si="21"/>
        <v>14</v>
      </c>
      <c r="AG91" s="13">
        <f t="shared" si="21"/>
        <v>7</v>
      </c>
      <c r="AH91" s="13">
        <f t="shared" si="21"/>
        <v>9</v>
      </c>
      <c r="AI91" s="13">
        <f t="shared" si="21"/>
        <v>7</v>
      </c>
      <c r="AJ91" s="13">
        <f t="shared" si="21"/>
        <v>16</v>
      </c>
      <c r="AK91" s="13">
        <f t="shared" si="20"/>
        <v>678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4.0</v>
      </c>
      <c r="F93" s="19">
        <v>6.0</v>
      </c>
      <c r="G93" s="19">
        <v>3.0</v>
      </c>
      <c r="H93" s="19">
        <v>4.0</v>
      </c>
      <c r="I93" s="19">
        <v>7.0</v>
      </c>
      <c r="J93" s="19">
        <v>6.0</v>
      </c>
      <c r="K93" s="19">
        <v>1.0</v>
      </c>
      <c r="L93" s="19">
        <v>5.0</v>
      </c>
      <c r="M93" s="19">
        <v>2.0</v>
      </c>
      <c r="N93" s="19">
        <v>1.0</v>
      </c>
      <c r="O93" s="19">
        <v>2.0</v>
      </c>
      <c r="P93" s="19">
        <v>1.0</v>
      </c>
      <c r="Q93" s="19">
        <v>1.0</v>
      </c>
      <c r="R93" s="19">
        <v>4.0</v>
      </c>
      <c r="S93" s="19">
        <v>2.0</v>
      </c>
      <c r="T93" s="19">
        <v>5.0</v>
      </c>
      <c r="U93" s="19">
        <v>1.0</v>
      </c>
      <c r="V93" s="19">
        <v>8.0</v>
      </c>
      <c r="W93" s="19">
        <v>3.0</v>
      </c>
      <c r="X93" s="19">
        <v>7.0</v>
      </c>
      <c r="Y93" s="19">
        <v>1.0</v>
      </c>
      <c r="Z93" s="19">
        <v>3.0</v>
      </c>
      <c r="AA93" s="19">
        <v>3.0</v>
      </c>
      <c r="AB93" s="19">
        <v>5.0</v>
      </c>
      <c r="AC93" s="19">
        <v>1.0</v>
      </c>
      <c r="AD93" s="19">
        <v>0.0</v>
      </c>
      <c r="AE93" s="19">
        <v>2.0</v>
      </c>
      <c r="AF93" s="19">
        <v>1.0</v>
      </c>
      <c r="AG93" s="19">
        <v>1.0</v>
      </c>
      <c r="AH93" s="19">
        <v>3.0</v>
      </c>
      <c r="AI93" s="19">
        <v>7.0</v>
      </c>
      <c r="AJ93" s="19">
        <v>4.0</v>
      </c>
      <c r="AK93" s="13">
        <f t="shared" ref="AK93:AK103" si="22">SUM(E93:AJ93)</f>
        <v>104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2.0</v>
      </c>
      <c r="F94" s="19">
        <v>3.0</v>
      </c>
      <c r="G94" s="19">
        <v>2.0</v>
      </c>
      <c r="H94" s="19">
        <v>3.0</v>
      </c>
      <c r="I94" s="19">
        <v>4.0</v>
      </c>
      <c r="J94" s="19">
        <v>5.0</v>
      </c>
      <c r="K94" s="19">
        <v>1.0</v>
      </c>
      <c r="L94" s="19">
        <v>1.0</v>
      </c>
      <c r="M94" s="19">
        <v>2.0</v>
      </c>
      <c r="N94" s="19">
        <v>0.0</v>
      </c>
      <c r="O94" s="19">
        <v>2.0</v>
      </c>
      <c r="P94" s="19">
        <v>0.0</v>
      </c>
      <c r="Q94" s="19">
        <v>0.0</v>
      </c>
      <c r="R94" s="19">
        <v>3.0</v>
      </c>
      <c r="S94" s="19">
        <v>4.0</v>
      </c>
      <c r="T94" s="19">
        <v>0.0</v>
      </c>
      <c r="U94" s="19">
        <v>4.0</v>
      </c>
      <c r="V94" s="19">
        <v>1.0</v>
      </c>
      <c r="W94" s="19">
        <v>2.0</v>
      </c>
      <c r="X94" s="19">
        <v>5.0</v>
      </c>
      <c r="Y94" s="19">
        <v>3.0</v>
      </c>
      <c r="Z94" s="19">
        <v>0.0</v>
      </c>
      <c r="AA94" s="19">
        <v>2.0</v>
      </c>
      <c r="AB94" s="19">
        <v>2.0</v>
      </c>
      <c r="AC94" s="19">
        <v>5.0</v>
      </c>
      <c r="AD94" s="19">
        <v>0.0</v>
      </c>
      <c r="AE94" s="19">
        <v>0.0</v>
      </c>
      <c r="AF94" s="19">
        <v>3.0</v>
      </c>
      <c r="AG94" s="19">
        <v>2.0</v>
      </c>
      <c r="AH94" s="19">
        <v>1.0</v>
      </c>
      <c r="AI94" s="19">
        <v>3.0</v>
      </c>
      <c r="AJ94" s="19">
        <v>2.0</v>
      </c>
      <c r="AK94" s="13">
        <f t="shared" si="22"/>
        <v>67</v>
      </c>
    </row>
    <row r="95" ht="12.75" customHeight="1">
      <c r="A95" s="18"/>
      <c r="B95" s="55">
        <v>2.0</v>
      </c>
      <c r="C95" s="50" t="s">
        <v>75</v>
      </c>
      <c r="D95" s="57"/>
      <c r="E95" s="19">
        <v>2.0</v>
      </c>
      <c r="F95" s="19">
        <v>2.0</v>
      </c>
      <c r="G95" s="19">
        <v>1.0</v>
      </c>
      <c r="H95" s="19">
        <v>4.0</v>
      </c>
      <c r="I95" s="19">
        <v>3.0</v>
      </c>
      <c r="J95" s="19">
        <v>9.0</v>
      </c>
      <c r="K95" s="19">
        <v>0.0</v>
      </c>
      <c r="L95" s="19">
        <v>0.0</v>
      </c>
      <c r="M95" s="19">
        <v>2.0</v>
      </c>
      <c r="N95" s="19">
        <v>2.0</v>
      </c>
      <c r="O95" s="19">
        <v>15.0</v>
      </c>
      <c r="P95" s="19">
        <v>8.0</v>
      </c>
      <c r="Q95" s="19">
        <v>12.0</v>
      </c>
      <c r="R95" s="19">
        <v>8.0</v>
      </c>
      <c r="S95" s="19">
        <v>2.0</v>
      </c>
      <c r="T95" s="19">
        <v>1.0</v>
      </c>
      <c r="U95" s="19">
        <v>1.0</v>
      </c>
      <c r="V95" s="19">
        <v>7.0</v>
      </c>
      <c r="W95" s="19">
        <v>3.0</v>
      </c>
      <c r="X95" s="19">
        <v>26.0</v>
      </c>
      <c r="Y95" s="19">
        <v>1.0</v>
      </c>
      <c r="Z95" s="19">
        <v>14.0</v>
      </c>
      <c r="AA95" s="19">
        <v>4.0</v>
      </c>
      <c r="AB95" s="19">
        <v>1.0</v>
      </c>
      <c r="AC95" s="19">
        <v>0.0</v>
      </c>
      <c r="AD95" s="19">
        <v>0.0</v>
      </c>
      <c r="AE95" s="19">
        <v>1.0</v>
      </c>
      <c r="AF95" s="19">
        <v>0.0</v>
      </c>
      <c r="AG95" s="19">
        <v>0.0</v>
      </c>
      <c r="AH95" s="19">
        <v>2.0</v>
      </c>
      <c r="AI95" s="19">
        <v>3.0</v>
      </c>
      <c r="AJ95" s="19">
        <v>1.0</v>
      </c>
      <c r="AK95" s="13">
        <f t="shared" si="22"/>
        <v>135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2.0</v>
      </c>
      <c r="G96" s="19">
        <v>0.0</v>
      </c>
      <c r="H96" s="19">
        <v>1.0</v>
      </c>
      <c r="I96" s="19">
        <v>0.0</v>
      </c>
      <c r="J96" s="19">
        <v>4.0</v>
      </c>
      <c r="K96" s="19">
        <v>0.0</v>
      </c>
      <c r="L96" s="19">
        <v>1.0</v>
      </c>
      <c r="M96" s="19">
        <v>0.0</v>
      </c>
      <c r="N96" s="19">
        <v>1.0</v>
      </c>
      <c r="O96" s="19">
        <v>2.0</v>
      </c>
      <c r="P96" s="19">
        <v>0.0</v>
      </c>
      <c r="Q96" s="19">
        <v>0.0</v>
      </c>
      <c r="R96" s="19">
        <v>0.0</v>
      </c>
      <c r="S96" s="19">
        <v>2.0</v>
      </c>
      <c r="T96" s="19">
        <v>2.0</v>
      </c>
      <c r="U96" s="19">
        <v>1.0</v>
      </c>
      <c r="V96" s="19">
        <v>1.0</v>
      </c>
      <c r="W96" s="19">
        <v>1.0</v>
      </c>
      <c r="X96" s="19">
        <v>2.0</v>
      </c>
      <c r="Y96" s="19">
        <v>1.0</v>
      </c>
      <c r="Z96" s="19">
        <v>1.0</v>
      </c>
      <c r="AA96" s="19">
        <v>0.0</v>
      </c>
      <c r="AB96" s="19">
        <v>1.0</v>
      </c>
      <c r="AC96" s="19">
        <v>1.0</v>
      </c>
      <c r="AD96" s="19">
        <v>0.0</v>
      </c>
      <c r="AE96" s="19">
        <v>0.0</v>
      </c>
      <c r="AF96" s="19">
        <v>0.0</v>
      </c>
      <c r="AG96" s="19">
        <v>3.0</v>
      </c>
      <c r="AH96" s="19">
        <v>1.0</v>
      </c>
      <c r="AI96" s="19">
        <v>2.0</v>
      </c>
      <c r="AJ96" s="19">
        <v>0.0</v>
      </c>
      <c r="AK96" s="13">
        <f t="shared" si="22"/>
        <v>30</v>
      </c>
    </row>
    <row r="97" ht="12.75" customHeight="1">
      <c r="A97" s="18"/>
      <c r="B97" s="55">
        <v>4.0</v>
      </c>
      <c r="C97" s="50" t="s">
        <v>77</v>
      </c>
      <c r="D97" s="57"/>
      <c r="E97" s="19">
        <v>1.0</v>
      </c>
      <c r="F97" s="19">
        <v>0.0</v>
      </c>
      <c r="G97" s="19">
        <v>0.0</v>
      </c>
      <c r="H97" s="19">
        <v>4.0</v>
      </c>
      <c r="I97" s="19">
        <v>6.0</v>
      </c>
      <c r="J97" s="19">
        <v>2.0</v>
      </c>
      <c r="K97" s="19">
        <v>2.0</v>
      </c>
      <c r="L97" s="19">
        <v>4.0</v>
      </c>
      <c r="M97" s="19">
        <v>0.0</v>
      </c>
      <c r="N97" s="19">
        <v>1.0</v>
      </c>
      <c r="O97" s="19">
        <v>1.0</v>
      </c>
      <c r="P97" s="19">
        <v>1.0</v>
      </c>
      <c r="Q97" s="19">
        <v>2.0</v>
      </c>
      <c r="R97" s="19">
        <v>5.0</v>
      </c>
      <c r="S97" s="19">
        <v>4.0</v>
      </c>
      <c r="T97" s="19">
        <v>1.0</v>
      </c>
      <c r="U97" s="19">
        <v>2.0</v>
      </c>
      <c r="V97" s="19">
        <v>4.0</v>
      </c>
      <c r="W97" s="19">
        <v>1.0</v>
      </c>
      <c r="X97" s="19">
        <v>5.0</v>
      </c>
      <c r="Y97" s="19">
        <v>1.0</v>
      </c>
      <c r="Z97" s="19">
        <v>1.0</v>
      </c>
      <c r="AA97" s="19">
        <v>2.0</v>
      </c>
      <c r="AB97" s="19">
        <v>3.0</v>
      </c>
      <c r="AC97" s="19">
        <v>2.0</v>
      </c>
      <c r="AD97" s="19">
        <v>1.0</v>
      </c>
      <c r="AE97" s="19">
        <v>1.0</v>
      </c>
      <c r="AF97" s="19">
        <v>0.0</v>
      </c>
      <c r="AG97" s="19">
        <v>0.0</v>
      </c>
      <c r="AH97" s="19">
        <v>0.0</v>
      </c>
      <c r="AI97" s="19">
        <v>1.0</v>
      </c>
      <c r="AJ97" s="19">
        <v>3.0</v>
      </c>
      <c r="AK97" s="13">
        <f t="shared" si="22"/>
        <v>61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1.0</v>
      </c>
      <c r="G98" s="19">
        <v>1.0</v>
      </c>
      <c r="H98" s="19">
        <v>0.0</v>
      </c>
      <c r="I98" s="19">
        <v>1.0</v>
      </c>
      <c r="J98" s="19">
        <v>0.0</v>
      </c>
      <c r="K98" s="19">
        <v>0.0</v>
      </c>
      <c r="L98" s="19">
        <v>0.0</v>
      </c>
      <c r="M98" s="19">
        <v>0.0</v>
      </c>
      <c r="N98" s="19">
        <v>5.0</v>
      </c>
      <c r="O98" s="19">
        <v>31.0</v>
      </c>
      <c r="P98" s="19">
        <v>1.0</v>
      </c>
      <c r="Q98" s="19">
        <v>0.0</v>
      </c>
      <c r="R98" s="19">
        <v>0.0</v>
      </c>
      <c r="S98" s="19">
        <v>1.0</v>
      </c>
      <c r="T98" s="19">
        <v>0.0</v>
      </c>
      <c r="U98" s="19">
        <v>1.0</v>
      </c>
      <c r="V98" s="19">
        <v>0.0</v>
      </c>
      <c r="W98" s="19">
        <v>1.0</v>
      </c>
      <c r="X98" s="19">
        <v>2.0</v>
      </c>
      <c r="Y98" s="19">
        <v>1.0</v>
      </c>
      <c r="Z98" s="19">
        <v>1.0</v>
      </c>
      <c r="AA98" s="19">
        <v>0.0</v>
      </c>
      <c r="AB98" s="19">
        <v>0.0</v>
      </c>
      <c r="AC98" s="19">
        <v>0.0</v>
      </c>
      <c r="AD98" s="19">
        <v>1.0</v>
      </c>
      <c r="AE98" s="19">
        <v>0.0</v>
      </c>
      <c r="AF98" s="19">
        <v>0.0</v>
      </c>
      <c r="AG98" s="19">
        <v>0.0</v>
      </c>
      <c r="AH98" s="19">
        <v>0.0</v>
      </c>
      <c r="AI98" s="19">
        <v>0.0</v>
      </c>
      <c r="AJ98" s="19">
        <v>0.0</v>
      </c>
      <c r="AK98" s="13">
        <f t="shared" si="22"/>
        <v>48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1.0</v>
      </c>
      <c r="H99" s="19">
        <v>0.0</v>
      </c>
      <c r="I99" s="19">
        <v>1.0</v>
      </c>
      <c r="J99" s="19">
        <v>1.0</v>
      </c>
      <c r="K99" s="19">
        <v>0.0</v>
      </c>
      <c r="L99" s="19">
        <v>0.0</v>
      </c>
      <c r="M99" s="19">
        <v>0.0</v>
      </c>
      <c r="N99" s="19">
        <v>2.0</v>
      </c>
      <c r="O99" s="19">
        <v>0.0</v>
      </c>
      <c r="P99" s="19">
        <v>0.0</v>
      </c>
      <c r="Q99" s="19">
        <v>0.0</v>
      </c>
      <c r="R99" s="19">
        <v>0.0</v>
      </c>
      <c r="S99" s="19">
        <v>1.0</v>
      </c>
      <c r="T99" s="19">
        <v>1.0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1.0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9">
        <v>0.0</v>
      </c>
      <c r="AI99" s="19">
        <v>0.0</v>
      </c>
      <c r="AJ99" s="19">
        <v>0.0</v>
      </c>
      <c r="AK99" s="13">
        <f t="shared" si="22"/>
        <v>8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1.0</v>
      </c>
      <c r="H100" s="19">
        <v>0.0</v>
      </c>
      <c r="I100" s="19">
        <v>0.0</v>
      </c>
      <c r="J100" s="19">
        <v>0.0</v>
      </c>
      <c r="K100" s="19">
        <v>1.0</v>
      </c>
      <c r="L100" s="19">
        <v>0.0</v>
      </c>
      <c r="M100" s="19">
        <v>0.0</v>
      </c>
      <c r="N100" s="19">
        <v>1.0</v>
      </c>
      <c r="O100" s="19">
        <v>0.0</v>
      </c>
      <c r="P100" s="19">
        <v>0.0</v>
      </c>
      <c r="Q100" s="19">
        <v>0.0</v>
      </c>
      <c r="R100" s="19">
        <v>1.0</v>
      </c>
      <c r="S100" s="19">
        <v>1.0</v>
      </c>
      <c r="T100" s="19">
        <v>1.0</v>
      </c>
      <c r="U100" s="19">
        <v>0.0</v>
      </c>
      <c r="V100" s="19">
        <v>0.0</v>
      </c>
      <c r="W100" s="19">
        <v>0.0</v>
      </c>
      <c r="X100" s="19">
        <v>1.0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0.0</v>
      </c>
      <c r="AJ100" s="19">
        <v>0.0</v>
      </c>
      <c r="AK100" s="13">
        <f t="shared" si="22"/>
        <v>7</v>
      </c>
    </row>
    <row r="101" ht="12.75" customHeight="1">
      <c r="A101" s="18"/>
      <c r="B101" s="71"/>
      <c r="C101" s="72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3">
        <f t="shared" si="22"/>
        <v>0</v>
      </c>
    </row>
    <row r="102" ht="12.75" customHeight="1">
      <c r="A102" s="18"/>
      <c r="B102" s="71"/>
      <c r="C102" s="72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AJ103" si="23">SUM(E93:E100)</f>
        <v>9</v>
      </c>
      <c r="F103" s="13">
        <f t="shared" si="23"/>
        <v>14</v>
      </c>
      <c r="G103" s="13">
        <f t="shared" si="23"/>
        <v>9</v>
      </c>
      <c r="H103" s="13">
        <f t="shared" si="23"/>
        <v>16</v>
      </c>
      <c r="I103" s="13">
        <f t="shared" si="23"/>
        <v>22</v>
      </c>
      <c r="J103" s="13">
        <f t="shared" si="23"/>
        <v>27</v>
      </c>
      <c r="K103" s="13">
        <f t="shared" si="23"/>
        <v>5</v>
      </c>
      <c r="L103" s="13">
        <f t="shared" si="23"/>
        <v>11</v>
      </c>
      <c r="M103" s="13">
        <f t="shared" si="23"/>
        <v>6</v>
      </c>
      <c r="N103" s="13">
        <f t="shared" si="23"/>
        <v>13</v>
      </c>
      <c r="O103" s="13">
        <f t="shared" si="23"/>
        <v>53</v>
      </c>
      <c r="P103" s="13">
        <f t="shared" si="23"/>
        <v>11</v>
      </c>
      <c r="Q103" s="13">
        <f t="shared" si="23"/>
        <v>15</v>
      </c>
      <c r="R103" s="13">
        <f t="shared" si="23"/>
        <v>21</v>
      </c>
      <c r="S103" s="13">
        <f t="shared" si="23"/>
        <v>17</v>
      </c>
      <c r="T103" s="13">
        <f t="shared" si="23"/>
        <v>11</v>
      </c>
      <c r="U103" s="13">
        <f t="shared" si="23"/>
        <v>10</v>
      </c>
      <c r="V103" s="13">
        <f t="shared" si="23"/>
        <v>21</v>
      </c>
      <c r="W103" s="13">
        <f t="shared" si="23"/>
        <v>11</v>
      </c>
      <c r="X103" s="13">
        <f t="shared" si="23"/>
        <v>48</v>
      </c>
      <c r="Y103" s="13">
        <f t="shared" si="23"/>
        <v>8</v>
      </c>
      <c r="Z103" s="13">
        <f t="shared" si="23"/>
        <v>20</v>
      </c>
      <c r="AA103" s="13">
        <f t="shared" si="23"/>
        <v>11</v>
      </c>
      <c r="AB103" s="13">
        <f t="shared" si="23"/>
        <v>13</v>
      </c>
      <c r="AC103" s="13">
        <f t="shared" si="23"/>
        <v>9</v>
      </c>
      <c r="AD103" s="13">
        <f t="shared" si="23"/>
        <v>2</v>
      </c>
      <c r="AE103" s="13">
        <f t="shared" si="23"/>
        <v>4</v>
      </c>
      <c r="AF103" s="13">
        <f t="shared" si="23"/>
        <v>4</v>
      </c>
      <c r="AG103" s="13">
        <f t="shared" si="23"/>
        <v>6</v>
      </c>
      <c r="AH103" s="13">
        <f t="shared" si="23"/>
        <v>7</v>
      </c>
      <c r="AI103" s="13">
        <f t="shared" si="23"/>
        <v>16</v>
      </c>
      <c r="AJ103" s="13">
        <f t="shared" si="23"/>
        <v>10</v>
      </c>
      <c r="AK103" s="13">
        <f t="shared" si="22"/>
        <v>460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1.0</v>
      </c>
      <c r="J105" s="19">
        <v>2.0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1.0</v>
      </c>
      <c r="V105" s="19">
        <v>0.0</v>
      </c>
      <c r="W105" s="19">
        <v>1.0</v>
      </c>
      <c r="X105" s="19">
        <v>0.0</v>
      </c>
      <c r="Y105" s="19">
        <v>1.0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19">
        <v>2.0</v>
      </c>
      <c r="AG105" s="19">
        <v>0.0</v>
      </c>
      <c r="AH105" s="19">
        <v>2.0</v>
      </c>
      <c r="AI105" s="19">
        <v>0.0</v>
      </c>
      <c r="AJ105" s="19">
        <v>0.0</v>
      </c>
      <c r="AK105" s="13">
        <f t="shared" ref="AK105:AK115" si="24">SUM(E105:AJ105)</f>
        <v>10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1.0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1.0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0.0</v>
      </c>
      <c r="AF106" s="19">
        <v>0.0</v>
      </c>
      <c r="AG106" s="19">
        <v>1.0</v>
      </c>
      <c r="AH106" s="19">
        <v>0.0</v>
      </c>
      <c r="AI106" s="19">
        <v>1.0</v>
      </c>
      <c r="AJ106" s="19">
        <v>0.0</v>
      </c>
      <c r="AK106" s="13">
        <f t="shared" si="24"/>
        <v>4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1.0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1.0</v>
      </c>
      <c r="AG107" s="19">
        <v>0.0</v>
      </c>
      <c r="AH107" s="19">
        <v>1.0</v>
      </c>
      <c r="AI107" s="19">
        <v>0.0</v>
      </c>
      <c r="AJ107" s="19">
        <v>0.0</v>
      </c>
      <c r="AK107" s="13">
        <f t="shared" si="24"/>
        <v>3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1.0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1.0</v>
      </c>
      <c r="AI109" s="19">
        <v>0.0</v>
      </c>
      <c r="AJ109" s="19">
        <v>0.0</v>
      </c>
      <c r="AK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3">
        <f t="shared" si="24"/>
        <v>0</v>
      </c>
    </row>
    <row r="113" ht="12.75" customHeight="1">
      <c r="A113" s="18"/>
      <c r="B113" s="71"/>
      <c r="C113" s="72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3">
        <f t="shared" si="24"/>
        <v>0</v>
      </c>
    </row>
    <row r="114" ht="12.75" customHeight="1">
      <c r="A114" s="18"/>
      <c r="B114" s="71"/>
      <c r="C114" s="72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J115" si="25">SUM(E105:E112)</f>
        <v>0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2</v>
      </c>
      <c r="J115" s="13">
        <f t="shared" si="25"/>
        <v>2</v>
      </c>
      <c r="K115" s="13">
        <f t="shared" si="25"/>
        <v>0</v>
      </c>
      <c r="L115" s="13">
        <f t="shared" si="25"/>
        <v>0</v>
      </c>
      <c r="M115" s="13">
        <f t="shared" si="25"/>
        <v>1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1</v>
      </c>
      <c r="V115" s="13">
        <f t="shared" si="25"/>
        <v>0</v>
      </c>
      <c r="W115" s="13">
        <f t="shared" si="25"/>
        <v>1</v>
      </c>
      <c r="X115" s="13">
        <f t="shared" si="25"/>
        <v>1</v>
      </c>
      <c r="Y115" s="13">
        <f t="shared" si="25"/>
        <v>1</v>
      </c>
      <c r="Z115" s="13">
        <f t="shared" si="25"/>
        <v>0</v>
      </c>
      <c r="AA115" s="13">
        <f t="shared" si="25"/>
        <v>0</v>
      </c>
      <c r="AB115" s="13">
        <f t="shared" si="25"/>
        <v>0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5"/>
        <v>3</v>
      </c>
      <c r="AG115" s="13">
        <f t="shared" si="25"/>
        <v>1</v>
      </c>
      <c r="AH115" s="13">
        <f t="shared" si="25"/>
        <v>4</v>
      </c>
      <c r="AI115" s="13">
        <f t="shared" si="25"/>
        <v>1</v>
      </c>
      <c r="AJ115" s="13">
        <f t="shared" si="25"/>
        <v>0</v>
      </c>
      <c r="AK115" s="13">
        <f t="shared" si="24"/>
        <v>19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3.0</v>
      </c>
      <c r="F117" s="19">
        <v>2.0</v>
      </c>
      <c r="G117" s="19">
        <v>2.0</v>
      </c>
      <c r="H117" s="19">
        <v>0.0</v>
      </c>
      <c r="I117" s="19">
        <v>0.0</v>
      </c>
      <c r="J117" s="19">
        <v>2.0</v>
      </c>
      <c r="K117" s="19">
        <v>1.0</v>
      </c>
      <c r="L117" s="19">
        <v>1.0</v>
      </c>
      <c r="M117" s="19">
        <v>2.0</v>
      </c>
      <c r="N117" s="19">
        <v>0.0</v>
      </c>
      <c r="O117" s="19">
        <v>1.0</v>
      </c>
      <c r="P117" s="19">
        <v>2.0</v>
      </c>
      <c r="Q117" s="19">
        <v>2.0</v>
      </c>
      <c r="R117" s="19">
        <v>1.0</v>
      </c>
      <c r="S117" s="19">
        <v>0.0</v>
      </c>
      <c r="T117" s="19">
        <v>0.0</v>
      </c>
      <c r="U117" s="19">
        <v>0.0</v>
      </c>
      <c r="V117" s="19">
        <v>1.0</v>
      </c>
      <c r="W117" s="19">
        <v>3.0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1.0</v>
      </c>
      <c r="AC117" s="19">
        <v>0.0</v>
      </c>
      <c r="AD117" s="19">
        <v>0.0</v>
      </c>
      <c r="AE117" s="19">
        <v>1.0</v>
      </c>
      <c r="AF117" s="19">
        <v>2.0</v>
      </c>
      <c r="AG117" s="19">
        <v>0.0</v>
      </c>
      <c r="AH117" s="19">
        <v>2.0</v>
      </c>
      <c r="AI117" s="19">
        <v>0.0</v>
      </c>
      <c r="AJ117" s="19">
        <v>0.0</v>
      </c>
      <c r="AK117" s="13">
        <f t="shared" ref="AK117:AK127" si="26">SUM(E117:AJ117)</f>
        <v>29</v>
      </c>
      <c r="AL117" s="5"/>
      <c r="AM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1.0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1.0</v>
      </c>
      <c r="X118" s="19">
        <v>1.0</v>
      </c>
      <c r="Y118" s="19">
        <v>0.0</v>
      </c>
      <c r="Z118" s="19">
        <v>0.0</v>
      </c>
      <c r="AA118" s="19">
        <v>0.0</v>
      </c>
      <c r="AB118" s="19">
        <v>1.0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0.0</v>
      </c>
      <c r="AH118" s="19">
        <v>0.0</v>
      </c>
      <c r="AI118" s="19">
        <v>1.0</v>
      </c>
      <c r="AJ118" s="19">
        <v>0.0</v>
      </c>
      <c r="AK118" s="13">
        <f t="shared" si="26"/>
        <v>5</v>
      </c>
      <c r="AL118" s="5"/>
      <c r="AM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1.0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1.0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1.0</v>
      </c>
      <c r="AK119" s="13">
        <f t="shared" si="26"/>
        <v>3</v>
      </c>
      <c r="AL119" s="5"/>
      <c r="AM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2.0</v>
      </c>
      <c r="AG120" s="19">
        <v>0.0</v>
      </c>
      <c r="AH120" s="19">
        <v>0.0</v>
      </c>
      <c r="AI120" s="19">
        <v>0.0</v>
      </c>
      <c r="AJ120" s="19">
        <v>0.0</v>
      </c>
      <c r="AK120" s="13">
        <f t="shared" si="26"/>
        <v>2</v>
      </c>
      <c r="AL120" s="5"/>
      <c r="AM120" s="5"/>
    </row>
    <row r="121" ht="12.75" customHeight="1">
      <c r="A121" s="18"/>
      <c r="B121" s="71"/>
      <c r="C121" s="72"/>
      <c r="D121" s="74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3">
        <f t="shared" si="26"/>
        <v>0</v>
      </c>
      <c r="AL121" s="5"/>
      <c r="AM121" s="5"/>
    </row>
    <row r="122" ht="12.75" customHeight="1">
      <c r="A122" s="18"/>
      <c r="B122" s="71"/>
      <c r="C122" s="72"/>
      <c r="D122" s="74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3">
        <f t="shared" si="26"/>
        <v>0</v>
      </c>
      <c r="AL122" s="5"/>
      <c r="AM122" s="5"/>
    </row>
    <row r="123" ht="12.75" customHeight="1">
      <c r="A123" s="18"/>
      <c r="B123" s="71"/>
      <c r="C123" s="72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13">
        <f t="shared" si="26"/>
        <v>0</v>
      </c>
      <c r="AL123" s="5"/>
      <c r="AM123" s="5"/>
    </row>
    <row r="124" ht="12.75" customHeight="1">
      <c r="A124" s="18"/>
      <c r="B124" s="71"/>
      <c r="C124" s="72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13">
        <f t="shared" si="26"/>
        <v>0</v>
      </c>
      <c r="AL124" s="5"/>
      <c r="AM124" s="5"/>
    </row>
    <row r="125" ht="12.75" customHeight="1">
      <c r="A125" s="18"/>
      <c r="B125" s="71"/>
      <c r="C125" s="72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13">
        <f t="shared" si="26"/>
        <v>0</v>
      </c>
      <c r="AL125" s="5"/>
      <c r="AM125" s="5"/>
    </row>
    <row r="126" ht="12.75" customHeight="1">
      <c r="A126" s="18"/>
      <c r="B126" s="71"/>
      <c r="C126" s="72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13">
        <f t="shared" si="26"/>
        <v>0</v>
      </c>
      <c r="AL126" s="5"/>
      <c r="AM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AJ127" si="27">SUM(E117:E120)</f>
        <v>3</v>
      </c>
      <c r="F127" s="58">
        <f t="shared" si="27"/>
        <v>2</v>
      </c>
      <c r="G127" s="58">
        <f t="shared" si="27"/>
        <v>2</v>
      </c>
      <c r="H127" s="58">
        <f t="shared" si="27"/>
        <v>1</v>
      </c>
      <c r="I127" s="58">
        <f t="shared" si="27"/>
        <v>0</v>
      </c>
      <c r="J127" s="58">
        <f t="shared" si="27"/>
        <v>2</v>
      </c>
      <c r="K127" s="58">
        <f t="shared" si="27"/>
        <v>1</v>
      </c>
      <c r="L127" s="58">
        <f t="shared" si="27"/>
        <v>2</v>
      </c>
      <c r="M127" s="58">
        <f t="shared" si="27"/>
        <v>2</v>
      </c>
      <c r="N127" s="58">
        <f t="shared" si="27"/>
        <v>0</v>
      </c>
      <c r="O127" s="58">
        <f t="shared" si="27"/>
        <v>2</v>
      </c>
      <c r="P127" s="58">
        <f t="shared" si="27"/>
        <v>2</v>
      </c>
      <c r="Q127" s="58">
        <f t="shared" si="27"/>
        <v>2</v>
      </c>
      <c r="R127" s="58">
        <f t="shared" si="27"/>
        <v>1</v>
      </c>
      <c r="S127" s="58">
        <f t="shared" si="27"/>
        <v>0</v>
      </c>
      <c r="T127" s="58">
        <f t="shared" si="27"/>
        <v>0</v>
      </c>
      <c r="U127" s="58">
        <f t="shared" si="27"/>
        <v>0</v>
      </c>
      <c r="V127" s="58">
        <f t="shared" si="27"/>
        <v>1</v>
      </c>
      <c r="W127" s="58">
        <f t="shared" si="27"/>
        <v>4</v>
      </c>
      <c r="X127" s="58">
        <f t="shared" si="27"/>
        <v>1</v>
      </c>
      <c r="Y127" s="58">
        <f t="shared" si="27"/>
        <v>0</v>
      </c>
      <c r="Z127" s="58">
        <f t="shared" si="27"/>
        <v>0</v>
      </c>
      <c r="AA127" s="58">
        <f t="shared" si="27"/>
        <v>0</v>
      </c>
      <c r="AB127" s="58">
        <f t="shared" si="27"/>
        <v>2</v>
      </c>
      <c r="AC127" s="58">
        <f t="shared" si="27"/>
        <v>0</v>
      </c>
      <c r="AD127" s="58">
        <f t="shared" si="27"/>
        <v>0</v>
      </c>
      <c r="AE127" s="58">
        <f t="shared" si="27"/>
        <v>1</v>
      </c>
      <c r="AF127" s="58">
        <f t="shared" si="27"/>
        <v>4</v>
      </c>
      <c r="AG127" s="58">
        <f t="shared" si="27"/>
        <v>0</v>
      </c>
      <c r="AH127" s="58">
        <f t="shared" si="27"/>
        <v>2</v>
      </c>
      <c r="AI127" s="58">
        <f t="shared" si="27"/>
        <v>1</v>
      </c>
      <c r="AJ127" s="58">
        <f t="shared" si="27"/>
        <v>1</v>
      </c>
      <c r="AK127" s="13">
        <f t="shared" si="26"/>
        <v>39</v>
      </c>
      <c r="AL127" s="5"/>
      <c r="AM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5"/>
      <c r="AM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1.0</v>
      </c>
      <c r="J129" s="19">
        <v>1.0</v>
      </c>
      <c r="K129" s="19">
        <v>0.0</v>
      </c>
      <c r="L129" s="19">
        <v>0.0</v>
      </c>
      <c r="M129" s="19">
        <v>1.0</v>
      </c>
      <c r="N129" s="19">
        <v>3.0</v>
      </c>
      <c r="O129" s="19">
        <v>0.0</v>
      </c>
      <c r="P129" s="19">
        <v>0.0</v>
      </c>
      <c r="Q129" s="19">
        <v>2.0</v>
      </c>
      <c r="R129" s="19">
        <v>0.0</v>
      </c>
      <c r="S129" s="19">
        <v>1.0</v>
      </c>
      <c r="T129" s="19">
        <v>0.0</v>
      </c>
      <c r="U129" s="19">
        <v>1.0</v>
      </c>
      <c r="V129" s="19">
        <v>1.0</v>
      </c>
      <c r="W129" s="19">
        <v>0.0</v>
      </c>
      <c r="X129" s="19">
        <v>1.0</v>
      </c>
      <c r="Y129" s="19">
        <v>0.0</v>
      </c>
      <c r="Z129" s="19">
        <v>0.0</v>
      </c>
      <c r="AA129" s="19">
        <v>1.0</v>
      </c>
      <c r="AB129" s="19">
        <v>0.0</v>
      </c>
      <c r="AC129" s="19">
        <v>0.0</v>
      </c>
      <c r="AD129" s="19">
        <v>0.0</v>
      </c>
      <c r="AE129" s="19">
        <v>0.0</v>
      </c>
      <c r="AF129" s="19">
        <v>0.0</v>
      </c>
      <c r="AG129" s="19">
        <v>0.0</v>
      </c>
      <c r="AH129" s="19">
        <v>1.0</v>
      </c>
      <c r="AI129" s="19">
        <v>0.0</v>
      </c>
      <c r="AJ129" s="19">
        <v>2.0</v>
      </c>
      <c r="AK129" s="13">
        <f t="shared" ref="AK129:AK139" si="28">SUM(E129:AJ129)</f>
        <v>16</v>
      </c>
      <c r="AL129" s="5"/>
      <c r="AM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1.0</v>
      </c>
      <c r="G130" s="19">
        <v>0.0</v>
      </c>
      <c r="H130" s="19">
        <v>0.0</v>
      </c>
      <c r="I130" s="19">
        <v>1.0</v>
      </c>
      <c r="J130" s="19">
        <v>1.0</v>
      </c>
      <c r="K130" s="19">
        <v>0.0</v>
      </c>
      <c r="L130" s="19">
        <v>1.0</v>
      </c>
      <c r="M130" s="19">
        <v>0.0</v>
      </c>
      <c r="N130" s="19">
        <v>2.0</v>
      </c>
      <c r="O130" s="19">
        <v>1.0</v>
      </c>
      <c r="P130" s="19">
        <v>2.0</v>
      </c>
      <c r="Q130" s="19">
        <v>6.0</v>
      </c>
      <c r="R130" s="19">
        <v>2.0</v>
      </c>
      <c r="S130" s="19">
        <v>2.0</v>
      </c>
      <c r="T130" s="19">
        <v>1.0</v>
      </c>
      <c r="U130" s="19">
        <v>1.0</v>
      </c>
      <c r="V130" s="19">
        <v>0.0</v>
      </c>
      <c r="W130" s="19">
        <v>0.0</v>
      </c>
      <c r="X130" s="19">
        <v>0.0</v>
      </c>
      <c r="Y130" s="19">
        <v>1.0</v>
      </c>
      <c r="Z130" s="19">
        <v>0.0</v>
      </c>
      <c r="AA130" s="19">
        <v>1.0</v>
      </c>
      <c r="AB130" s="19">
        <v>0.0</v>
      </c>
      <c r="AC130" s="19">
        <v>0.0</v>
      </c>
      <c r="AD130" s="19">
        <v>0.0</v>
      </c>
      <c r="AE130" s="19">
        <v>1.0</v>
      </c>
      <c r="AF130" s="19">
        <v>0.0</v>
      </c>
      <c r="AG130" s="19">
        <v>0.0</v>
      </c>
      <c r="AH130" s="19">
        <v>0.0</v>
      </c>
      <c r="AI130" s="19">
        <v>0.0</v>
      </c>
      <c r="AJ130" s="19">
        <v>6.0</v>
      </c>
      <c r="AK130" s="13">
        <f t="shared" si="28"/>
        <v>30</v>
      </c>
      <c r="AL130" s="1"/>
      <c r="AM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1.0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1.0</v>
      </c>
      <c r="M131" s="19">
        <v>1.0</v>
      </c>
      <c r="N131" s="19">
        <v>0.0</v>
      </c>
      <c r="O131" s="19">
        <v>1.0</v>
      </c>
      <c r="P131" s="19">
        <v>5.0</v>
      </c>
      <c r="Q131" s="19">
        <v>2.0</v>
      </c>
      <c r="R131" s="19">
        <v>0.0</v>
      </c>
      <c r="S131" s="19">
        <v>1.0</v>
      </c>
      <c r="T131" s="19">
        <v>0.0</v>
      </c>
      <c r="U131" s="19">
        <v>2.0</v>
      </c>
      <c r="V131" s="19">
        <v>0.0</v>
      </c>
      <c r="W131" s="19">
        <v>1.0</v>
      </c>
      <c r="X131" s="19">
        <v>1.0</v>
      </c>
      <c r="Y131" s="19">
        <v>1.0</v>
      </c>
      <c r="Z131" s="19">
        <v>1.0</v>
      </c>
      <c r="AA131" s="19">
        <v>1.0</v>
      </c>
      <c r="AB131" s="19">
        <v>0.0</v>
      </c>
      <c r="AC131" s="19">
        <v>0.0</v>
      </c>
      <c r="AD131" s="19">
        <v>0.0</v>
      </c>
      <c r="AE131" s="19">
        <v>2.0</v>
      </c>
      <c r="AF131" s="19">
        <v>0.0</v>
      </c>
      <c r="AG131" s="19">
        <v>0.0</v>
      </c>
      <c r="AH131" s="19">
        <v>0.0</v>
      </c>
      <c r="AI131" s="19">
        <v>0.0</v>
      </c>
      <c r="AJ131" s="19">
        <v>0.0</v>
      </c>
      <c r="AK131" s="13">
        <f t="shared" si="28"/>
        <v>21</v>
      </c>
      <c r="AL131" s="52"/>
      <c r="AM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1.0</v>
      </c>
      <c r="Q132" s="19">
        <v>1.0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0.0</v>
      </c>
      <c r="AJ132" s="19">
        <v>0.0</v>
      </c>
      <c r="AK132" s="13">
        <f t="shared" si="28"/>
        <v>2</v>
      </c>
      <c r="AL132" s="5"/>
      <c r="AM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1.0</v>
      </c>
      <c r="N133" s="19">
        <v>1.0</v>
      </c>
      <c r="O133" s="19">
        <v>1.0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3">
        <f t="shared" si="28"/>
        <v>3</v>
      </c>
      <c r="AL133" s="5"/>
      <c r="AM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1.0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3">
        <f t="shared" si="28"/>
        <v>1</v>
      </c>
      <c r="AL134" s="5"/>
      <c r="AM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3">
        <f t="shared" si="28"/>
        <v>0</v>
      </c>
      <c r="AL135" s="5"/>
      <c r="AM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3">
        <f t="shared" si="28"/>
        <v>0</v>
      </c>
      <c r="AL136" s="5"/>
      <c r="AM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3">
        <f t="shared" si="28"/>
        <v>0</v>
      </c>
      <c r="AL137" s="5"/>
      <c r="AM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3">
        <f t="shared" si="28"/>
        <v>0</v>
      </c>
      <c r="AL138" s="5"/>
      <c r="AM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AJ139" si="29">SUM(E129:E136)</f>
        <v>0</v>
      </c>
      <c r="F139" s="13">
        <f t="shared" si="29"/>
        <v>2</v>
      </c>
      <c r="G139" s="13">
        <f t="shared" si="29"/>
        <v>0</v>
      </c>
      <c r="H139" s="13">
        <f t="shared" si="29"/>
        <v>0</v>
      </c>
      <c r="I139" s="13">
        <f t="shared" si="29"/>
        <v>2</v>
      </c>
      <c r="J139" s="13">
        <f t="shared" si="29"/>
        <v>2</v>
      </c>
      <c r="K139" s="13">
        <f t="shared" si="29"/>
        <v>0</v>
      </c>
      <c r="L139" s="13">
        <f t="shared" si="29"/>
        <v>2</v>
      </c>
      <c r="M139" s="13">
        <f t="shared" si="29"/>
        <v>3</v>
      </c>
      <c r="N139" s="13">
        <f t="shared" si="29"/>
        <v>6</v>
      </c>
      <c r="O139" s="13">
        <f t="shared" si="29"/>
        <v>3</v>
      </c>
      <c r="P139" s="13">
        <f t="shared" si="29"/>
        <v>8</v>
      </c>
      <c r="Q139" s="13">
        <f t="shared" si="29"/>
        <v>11</v>
      </c>
      <c r="R139" s="13">
        <f t="shared" si="29"/>
        <v>2</v>
      </c>
      <c r="S139" s="13">
        <f t="shared" si="29"/>
        <v>4</v>
      </c>
      <c r="T139" s="13">
        <f t="shared" si="29"/>
        <v>1</v>
      </c>
      <c r="U139" s="13">
        <f t="shared" si="29"/>
        <v>5</v>
      </c>
      <c r="V139" s="13">
        <f t="shared" si="29"/>
        <v>1</v>
      </c>
      <c r="W139" s="13">
        <f t="shared" si="29"/>
        <v>1</v>
      </c>
      <c r="X139" s="13">
        <f t="shared" si="29"/>
        <v>2</v>
      </c>
      <c r="Y139" s="13">
        <f t="shared" si="29"/>
        <v>2</v>
      </c>
      <c r="Z139" s="13">
        <f t="shared" si="29"/>
        <v>1</v>
      </c>
      <c r="AA139" s="13">
        <f t="shared" si="29"/>
        <v>3</v>
      </c>
      <c r="AB139" s="13">
        <f t="shared" si="29"/>
        <v>0</v>
      </c>
      <c r="AC139" s="13">
        <f t="shared" si="29"/>
        <v>0</v>
      </c>
      <c r="AD139" s="13">
        <f t="shared" si="29"/>
        <v>0</v>
      </c>
      <c r="AE139" s="13">
        <f t="shared" si="29"/>
        <v>3</v>
      </c>
      <c r="AF139" s="13">
        <f t="shared" si="29"/>
        <v>0</v>
      </c>
      <c r="AG139" s="13">
        <f t="shared" si="29"/>
        <v>0</v>
      </c>
      <c r="AH139" s="13">
        <f t="shared" si="29"/>
        <v>1</v>
      </c>
      <c r="AI139" s="13">
        <f t="shared" si="29"/>
        <v>0</v>
      </c>
      <c r="AJ139" s="13">
        <f t="shared" si="29"/>
        <v>8</v>
      </c>
      <c r="AK139" s="13">
        <f t="shared" si="28"/>
        <v>73</v>
      </c>
      <c r="AL139" s="5"/>
      <c r="AM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5"/>
      <c r="AM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1.0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3">
        <f t="shared" ref="AK141:AK151" si="30">SUM(E141:AJ141)</f>
        <v>1</v>
      </c>
      <c r="AL141" s="1"/>
      <c r="AM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1.0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2.0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3">
        <f t="shared" si="30"/>
        <v>3</v>
      </c>
      <c r="AL142" s="52"/>
      <c r="AM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1.0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1.0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3">
        <f t="shared" si="30"/>
        <v>2</v>
      </c>
      <c r="AL143" s="5"/>
      <c r="AM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3">
        <f t="shared" si="30"/>
        <v>0</v>
      </c>
      <c r="AL144" s="5"/>
      <c r="AM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1.0</v>
      </c>
      <c r="AK145" s="13">
        <f t="shared" si="30"/>
        <v>1</v>
      </c>
      <c r="AL145" s="5"/>
      <c r="AM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1.0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3">
        <f t="shared" si="30"/>
        <v>1</v>
      </c>
      <c r="AL146" s="5"/>
      <c r="AM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3">
        <f t="shared" si="30"/>
        <v>0</v>
      </c>
      <c r="AL147" s="5"/>
      <c r="AM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1.0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3">
        <f t="shared" si="30"/>
        <v>1</v>
      </c>
      <c r="AL148" s="5"/>
      <c r="AM148" s="5"/>
    </row>
    <row r="149" ht="12.75" customHeight="1">
      <c r="A149" s="18"/>
      <c r="B149" s="71"/>
      <c r="C149" s="72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3">
        <f t="shared" si="30"/>
        <v>0</v>
      </c>
      <c r="AL149" s="5"/>
      <c r="AM149" s="5"/>
    </row>
    <row r="150" ht="12.75" customHeight="1">
      <c r="A150" s="18"/>
      <c r="B150" s="71"/>
      <c r="C150" s="72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3">
        <f t="shared" si="30"/>
        <v>0</v>
      </c>
      <c r="AL150" s="5"/>
      <c r="AM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P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1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1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1</v>
      </c>
      <c r="Q151" s="13">
        <v>0.0</v>
      </c>
      <c r="R151" s="13">
        <f t="shared" ref="R151:AJ151" si="32">SUM(R141:R148)</f>
        <v>1</v>
      </c>
      <c r="S151" s="13">
        <f t="shared" si="32"/>
        <v>0</v>
      </c>
      <c r="T151" s="13">
        <f t="shared" si="32"/>
        <v>0</v>
      </c>
      <c r="U151" s="13">
        <f t="shared" si="32"/>
        <v>0</v>
      </c>
      <c r="V151" s="13">
        <f t="shared" si="32"/>
        <v>1</v>
      </c>
      <c r="W151" s="13">
        <f t="shared" si="32"/>
        <v>0</v>
      </c>
      <c r="X151" s="13">
        <f t="shared" si="32"/>
        <v>2</v>
      </c>
      <c r="Y151" s="13">
        <f t="shared" si="32"/>
        <v>0</v>
      </c>
      <c r="Z151" s="13">
        <f t="shared" si="32"/>
        <v>0</v>
      </c>
      <c r="AA151" s="13">
        <f t="shared" si="32"/>
        <v>0</v>
      </c>
      <c r="AB151" s="13">
        <f t="shared" si="32"/>
        <v>0</v>
      </c>
      <c r="AC151" s="13">
        <f t="shared" si="32"/>
        <v>0</v>
      </c>
      <c r="AD151" s="13">
        <f t="shared" si="32"/>
        <v>0</v>
      </c>
      <c r="AE151" s="13">
        <f t="shared" si="32"/>
        <v>0</v>
      </c>
      <c r="AF151" s="13">
        <f t="shared" si="32"/>
        <v>0</v>
      </c>
      <c r="AG151" s="13">
        <f t="shared" si="32"/>
        <v>0</v>
      </c>
      <c r="AH151" s="13">
        <f t="shared" si="32"/>
        <v>0</v>
      </c>
      <c r="AI151" s="13">
        <f t="shared" si="32"/>
        <v>0</v>
      </c>
      <c r="AJ151" s="13">
        <f t="shared" si="32"/>
        <v>1</v>
      </c>
      <c r="AK151" s="13">
        <f t="shared" si="30"/>
        <v>9</v>
      </c>
      <c r="AL151" s="1"/>
      <c r="AM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75"/>
      <c r="AK152" s="13"/>
      <c r="AL152" s="52"/>
      <c r="AM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1.0</v>
      </c>
      <c r="R153" s="19">
        <v>0.0</v>
      </c>
      <c r="S153" s="19">
        <v>1.0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0.0</v>
      </c>
      <c r="AI153" s="19">
        <v>0.0</v>
      </c>
      <c r="AJ153" s="19">
        <v>0.0</v>
      </c>
      <c r="AK153" s="13">
        <f t="shared" ref="AK153:AK163" si="33">SUM(E153:AJ153)</f>
        <v>2</v>
      </c>
      <c r="AL153" s="5"/>
      <c r="AM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1.0</v>
      </c>
      <c r="Q154" s="19">
        <v>0.0</v>
      </c>
      <c r="R154" s="19">
        <v>0.0</v>
      </c>
      <c r="S154" s="19">
        <v>1.0</v>
      </c>
      <c r="T154" s="19">
        <v>0.0</v>
      </c>
      <c r="U154" s="19">
        <v>0.0</v>
      </c>
      <c r="V154" s="19">
        <v>1.0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3">
        <f t="shared" si="33"/>
        <v>3</v>
      </c>
      <c r="AL154" s="5"/>
      <c r="AM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2.0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1.0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0.0</v>
      </c>
      <c r="AJ155" s="19">
        <v>0.0</v>
      </c>
      <c r="AK155" s="13">
        <f t="shared" si="33"/>
        <v>3</v>
      </c>
      <c r="AL155" s="5"/>
      <c r="AM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3">
        <f t="shared" si="33"/>
        <v>0</v>
      </c>
      <c r="AL156" s="5"/>
      <c r="AM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3">
        <f t="shared" si="33"/>
        <v>0</v>
      </c>
      <c r="AL157" s="5"/>
      <c r="AM157" s="5"/>
    </row>
    <row r="158" ht="12.75" customHeight="1">
      <c r="A158" s="18"/>
      <c r="B158" s="71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3">
        <f t="shared" si="33"/>
        <v>0</v>
      </c>
      <c r="AL158" s="5"/>
      <c r="AM158" s="5"/>
    </row>
    <row r="159" ht="12.75" customHeight="1">
      <c r="A159" s="18"/>
      <c r="B159" s="71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3">
        <f t="shared" si="33"/>
        <v>0</v>
      </c>
      <c r="AL159" s="5"/>
      <c r="AM159" s="5"/>
    </row>
    <row r="160" ht="12.75" customHeight="1">
      <c r="A160" s="18"/>
      <c r="B160" s="71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3">
        <f t="shared" si="33"/>
        <v>0</v>
      </c>
      <c r="AL160" s="5"/>
      <c r="AM160" s="5"/>
    </row>
    <row r="161" ht="12.75" customHeight="1">
      <c r="A161" s="18"/>
      <c r="B161" s="71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3">
        <f t="shared" si="33"/>
        <v>0</v>
      </c>
      <c r="AL161" s="5"/>
      <c r="AM161" s="5"/>
    </row>
    <row r="162" ht="12.75" customHeight="1">
      <c r="A162" s="18"/>
      <c r="B162" s="71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3">
        <f t="shared" si="33"/>
        <v>0</v>
      </c>
      <c r="AL162" s="5"/>
      <c r="AM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AJ163" si="34">SUM(E153:E157)</f>
        <v>0</v>
      </c>
      <c r="F163" s="13">
        <f t="shared" si="34"/>
        <v>0</v>
      </c>
      <c r="G163" s="13">
        <f t="shared" si="34"/>
        <v>2</v>
      </c>
      <c r="H163" s="13">
        <f t="shared" si="34"/>
        <v>0</v>
      </c>
      <c r="I163" s="13">
        <f t="shared" si="34"/>
        <v>0</v>
      </c>
      <c r="J163" s="13">
        <f t="shared" si="34"/>
        <v>0</v>
      </c>
      <c r="K163" s="13">
        <f t="shared" si="34"/>
        <v>0</v>
      </c>
      <c r="L163" s="13">
        <f t="shared" si="34"/>
        <v>0</v>
      </c>
      <c r="M163" s="13">
        <f t="shared" si="34"/>
        <v>0</v>
      </c>
      <c r="N163" s="13">
        <f t="shared" si="34"/>
        <v>0</v>
      </c>
      <c r="O163" s="13">
        <f t="shared" si="34"/>
        <v>1</v>
      </c>
      <c r="P163" s="13">
        <f t="shared" si="34"/>
        <v>1</v>
      </c>
      <c r="Q163" s="13">
        <f t="shared" si="34"/>
        <v>1</v>
      </c>
      <c r="R163" s="13">
        <f t="shared" si="34"/>
        <v>0</v>
      </c>
      <c r="S163" s="13">
        <f t="shared" si="34"/>
        <v>2</v>
      </c>
      <c r="T163" s="13">
        <f t="shared" si="34"/>
        <v>0</v>
      </c>
      <c r="U163" s="13">
        <f t="shared" si="34"/>
        <v>0</v>
      </c>
      <c r="V163" s="13">
        <f t="shared" si="34"/>
        <v>1</v>
      </c>
      <c r="W163" s="13">
        <f t="shared" si="34"/>
        <v>0</v>
      </c>
      <c r="X163" s="13">
        <f t="shared" si="34"/>
        <v>0</v>
      </c>
      <c r="Y163" s="13">
        <f t="shared" si="34"/>
        <v>0</v>
      </c>
      <c r="Z163" s="13">
        <f t="shared" si="34"/>
        <v>0</v>
      </c>
      <c r="AA163" s="13">
        <f t="shared" si="34"/>
        <v>0</v>
      </c>
      <c r="AB163" s="13">
        <f t="shared" si="34"/>
        <v>0</v>
      </c>
      <c r="AC163" s="13">
        <f t="shared" si="34"/>
        <v>0</v>
      </c>
      <c r="AD163" s="13">
        <f t="shared" si="34"/>
        <v>0</v>
      </c>
      <c r="AE163" s="13">
        <f t="shared" si="34"/>
        <v>0</v>
      </c>
      <c r="AF163" s="13">
        <f t="shared" si="34"/>
        <v>0</v>
      </c>
      <c r="AG163" s="13">
        <f t="shared" si="34"/>
        <v>0</v>
      </c>
      <c r="AH163" s="13">
        <f t="shared" si="34"/>
        <v>0</v>
      </c>
      <c r="AI163" s="13">
        <f t="shared" si="34"/>
        <v>0</v>
      </c>
      <c r="AJ163" s="13">
        <f t="shared" si="34"/>
        <v>0</v>
      </c>
      <c r="AK163" s="13">
        <f t="shared" si="33"/>
        <v>8</v>
      </c>
      <c r="AL163" s="5"/>
      <c r="AM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5"/>
      <c r="AM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1.0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1.0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2.0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0.0</v>
      </c>
      <c r="AJ165" s="19">
        <v>0.0</v>
      </c>
      <c r="AK165" s="13">
        <f t="shared" ref="AK165:AK175" si="35">SUM(E165:AJ165)</f>
        <v>4</v>
      </c>
      <c r="AL165" s="1"/>
      <c r="AM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1.0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0.0</v>
      </c>
      <c r="AF166" s="19">
        <v>1.0</v>
      </c>
      <c r="AG166" s="19">
        <v>0.0</v>
      </c>
      <c r="AH166" s="19">
        <v>0.0</v>
      </c>
      <c r="AI166" s="19">
        <v>0.0</v>
      </c>
      <c r="AJ166" s="19">
        <v>0.0</v>
      </c>
      <c r="AK166" s="13">
        <f t="shared" si="35"/>
        <v>2</v>
      </c>
      <c r="AL166" s="52"/>
      <c r="AM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1.0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1.0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1.0</v>
      </c>
      <c r="AG167" s="19">
        <v>0.0</v>
      </c>
      <c r="AH167" s="19">
        <v>0.0</v>
      </c>
      <c r="AI167" s="19">
        <v>0.0</v>
      </c>
      <c r="AJ167" s="19">
        <v>0.0</v>
      </c>
      <c r="AK167" s="13">
        <f t="shared" si="35"/>
        <v>3</v>
      </c>
      <c r="AL167" s="5"/>
      <c r="AM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1.0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3">
        <f t="shared" si="35"/>
        <v>1</v>
      </c>
      <c r="AL168" s="5"/>
      <c r="AM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0.0</v>
      </c>
      <c r="AK169" s="13">
        <f t="shared" si="35"/>
        <v>0</v>
      </c>
      <c r="AL169" s="5"/>
      <c r="AM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1.0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1.0</v>
      </c>
      <c r="Q170" s="19">
        <v>0.0</v>
      </c>
      <c r="R170" s="19">
        <v>0.0</v>
      </c>
      <c r="S170" s="19">
        <v>1.0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3">
        <f t="shared" si="35"/>
        <v>3</v>
      </c>
      <c r="AL170" s="5"/>
      <c r="AM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1.0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3">
        <f t="shared" si="35"/>
        <v>1</v>
      </c>
      <c r="AL171" s="5"/>
      <c r="AM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1.0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3">
        <f t="shared" si="35"/>
        <v>1</v>
      </c>
      <c r="AL172" s="5"/>
      <c r="AM172" s="5"/>
    </row>
    <row r="173" ht="12.75" customHeight="1">
      <c r="A173" s="18"/>
      <c r="B173" s="71"/>
      <c r="C173" s="72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3">
        <f t="shared" si="35"/>
        <v>0</v>
      </c>
      <c r="AL173" s="5"/>
      <c r="AM173" s="5"/>
    </row>
    <row r="174" ht="12.75" customHeight="1">
      <c r="A174" s="18"/>
      <c r="B174" s="71"/>
      <c r="C174" s="72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3">
        <f t="shared" si="35"/>
        <v>0</v>
      </c>
      <c r="AL174" s="5"/>
      <c r="AM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AJ175" si="36">SUM(E165:E172)</f>
        <v>0</v>
      </c>
      <c r="F175" s="13">
        <f t="shared" si="36"/>
        <v>0</v>
      </c>
      <c r="G175" s="13">
        <f t="shared" si="36"/>
        <v>0</v>
      </c>
      <c r="H175" s="13">
        <f t="shared" si="36"/>
        <v>4</v>
      </c>
      <c r="I175" s="13">
        <f t="shared" si="36"/>
        <v>0</v>
      </c>
      <c r="J175" s="13">
        <f t="shared" si="36"/>
        <v>1</v>
      </c>
      <c r="K175" s="13">
        <f t="shared" si="36"/>
        <v>0</v>
      </c>
      <c r="L175" s="13">
        <f t="shared" si="36"/>
        <v>0</v>
      </c>
      <c r="M175" s="13">
        <f t="shared" si="36"/>
        <v>1</v>
      </c>
      <c r="N175" s="13">
        <f t="shared" si="36"/>
        <v>0</v>
      </c>
      <c r="O175" s="13">
        <f t="shared" si="36"/>
        <v>0</v>
      </c>
      <c r="P175" s="13">
        <f t="shared" si="36"/>
        <v>1</v>
      </c>
      <c r="Q175" s="13">
        <f t="shared" si="36"/>
        <v>0</v>
      </c>
      <c r="R175" s="13">
        <f t="shared" si="36"/>
        <v>0</v>
      </c>
      <c r="S175" s="13">
        <f t="shared" si="36"/>
        <v>1</v>
      </c>
      <c r="T175" s="13">
        <f t="shared" si="36"/>
        <v>0</v>
      </c>
      <c r="U175" s="13">
        <f t="shared" si="36"/>
        <v>0</v>
      </c>
      <c r="V175" s="13">
        <f t="shared" si="36"/>
        <v>0</v>
      </c>
      <c r="W175" s="13">
        <f t="shared" si="36"/>
        <v>1</v>
      </c>
      <c r="X175" s="13">
        <f t="shared" si="36"/>
        <v>0</v>
      </c>
      <c r="Y175" s="13">
        <f t="shared" si="36"/>
        <v>0</v>
      </c>
      <c r="Z175" s="13">
        <f t="shared" si="36"/>
        <v>1</v>
      </c>
      <c r="AA175" s="13">
        <f t="shared" si="36"/>
        <v>0</v>
      </c>
      <c r="AB175" s="13">
        <f t="shared" si="36"/>
        <v>2</v>
      </c>
      <c r="AC175" s="13">
        <f t="shared" si="36"/>
        <v>1</v>
      </c>
      <c r="AD175" s="13">
        <f t="shared" si="36"/>
        <v>0</v>
      </c>
      <c r="AE175" s="13">
        <f t="shared" si="36"/>
        <v>0</v>
      </c>
      <c r="AF175" s="13">
        <f t="shared" si="36"/>
        <v>2</v>
      </c>
      <c r="AG175" s="13">
        <f t="shared" si="36"/>
        <v>0</v>
      </c>
      <c r="AH175" s="13">
        <f t="shared" si="36"/>
        <v>0</v>
      </c>
      <c r="AI175" s="13">
        <f t="shared" si="36"/>
        <v>0</v>
      </c>
      <c r="AJ175" s="13">
        <f t="shared" si="36"/>
        <v>0</v>
      </c>
      <c r="AK175" s="13">
        <f t="shared" si="35"/>
        <v>15</v>
      </c>
      <c r="AL175" s="5"/>
      <c r="AM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1"/>
      <c r="AM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1.0</v>
      </c>
      <c r="G177" s="19">
        <v>0.0</v>
      </c>
      <c r="H177" s="19">
        <v>0.0</v>
      </c>
      <c r="I177" s="19">
        <v>4.0</v>
      </c>
      <c r="J177" s="19">
        <v>0.0</v>
      </c>
      <c r="K177" s="19">
        <v>0.0</v>
      </c>
      <c r="L177" s="19">
        <v>3.0</v>
      </c>
      <c r="M177" s="19">
        <v>1.0</v>
      </c>
      <c r="N177" s="19">
        <v>1.0</v>
      </c>
      <c r="O177" s="19">
        <v>0.0</v>
      </c>
      <c r="P177" s="19">
        <v>0.0</v>
      </c>
      <c r="Q177" s="19">
        <v>1.0</v>
      </c>
      <c r="R177" s="19">
        <v>1.0</v>
      </c>
      <c r="S177" s="19">
        <v>0.0</v>
      </c>
      <c r="T177" s="19">
        <v>0.0</v>
      </c>
      <c r="U177" s="19">
        <v>1.0</v>
      </c>
      <c r="V177" s="19">
        <v>2.0</v>
      </c>
      <c r="W177" s="19">
        <v>0.0</v>
      </c>
      <c r="X177" s="19">
        <v>0.0</v>
      </c>
      <c r="Y177" s="19">
        <v>0.0</v>
      </c>
      <c r="Z177" s="19">
        <v>0.0</v>
      </c>
      <c r="AA177" s="19">
        <v>0.0</v>
      </c>
      <c r="AB177" s="19">
        <v>0.0</v>
      </c>
      <c r="AC177" s="19">
        <v>1.0</v>
      </c>
      <c r="AD177" s="19">
        <v>0.0</v>
      </c>
      <c r="AE177" s="19">
        <v>1.0</v>
      </c>
      <c r="AF177" s="19">
        <v>2.0</v>
      </c>
      <c r="AG177" s="19">
        <v>0.0</v>
      </c>
      <c r="AH177" s="19">
        <v>0.0</v>
      </c>
      <c r="AI177" s="19">
        <v>0.0</v>
      </c>
      <c r="AJ177" s="19">
        <v>0.0</v>
      </c>
      <c r="AK177" s="13">
        <f t="shared" ref="AK177:AK187" si="37">SUM(E177:AJ177)</f>
        <v>20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3.0</v>
      </c>
      <c r="G178" s="19">
        <v>1.0</v>
      </c>
      <c r="H178" s="19">
        <v>1.0</v>
      </c>
      <c r="I178" s="19">
        <v>0.0</v>
      </c>
      <c r="J178" s="19">
        <v>0.0</v>
      </c>
      <c r="K178" s="19">
        <v>0.0</v>
      </c>
      <c r="L178" s="19">
        <v>0.0</v>
      </c>
      <c r="M178" s="19">
        <v>1.0</v>
      </c>
      <c r="N178" s="19">
        <v>0.0</v>
      </c>
      <c r="O178" s="19">
        <v>0.0</v>
      </c>
      <c r="P178" s="19">
        <v>0.0</v>
      </c>
      <c r="Q178" s="19">
        <v>1.0</v>
      </c>
      <c r="R178" s="19">
        <v>2.0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0.0</v>
      </c>
      <c r="AB178" s="19">
        <v>0.0</v>
      </c>
      <c r="AC178" s="19">
        <v>0.0</v>
      </c>
      <c r="AD178" s="19">
        <v>0.0</v>
      </c>
      <c r="AE178" s="19">
        <v>0.0</v>
      </c>
      <c r="AF178" s="19">
        <v>0.0</v>
      </c>
      <c r="AG178" s="19">
        <v>0.0</v>
      </c>
      <c r="AH178" s="19">
        <v>0.0</v>
      </c>
      <c r="AI178" s="19">
        <v>0.0</v>
      </c>
      <c r="AJ178" s="19">
        <v>0.0</v>
      </c>
      <c r="AK178" s="13">
        <f t="shared" si="37"/>
        <v>9</v>
      </c>
      <c r="AL178" s="5"/>
      <c r="AM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4.0</v>
      </c>
      <c r="H179" s="19">
        <v>0.0</v>
      </c>
      <c r="I179" s="19">
        <v>2.0</v>
      </c>
      <c r="J179" s="19">
        <v>1.0</v>
      </c>
      <c r="K179" s="19">
        <v>0.0</v>
      </c>
      <c r="L179" s="19">
        <v>1.0</v>
      </c>
      <c r="M179" s="19">
        <v>0.0</v>
      </c>
      <c r="N179" s="19">
        <v>1.0</v>
      </c>
      <c r="O179" s="19">
        <v>1.0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>
        <v>1.0</v>
      </c>
      <c r="AA179" s="19">
        <v>0.0</v>
      </c>
      <c r="AB179" s="19">
        <v>0.0</v>
      </c>
      <c r="AC179" s="19">
        <v>2.0</v>
      </c>
      <c r="AD179" s="19">
        <v>0.0</v>
      </c>
      <c r="AE179" s="19">
        <v>0.0</v>
      </c>
      <c r="AF179" s="19">
        <v>0.0</v>
      </c>
      <c r="AG179" s="19">
        <v>0.0</v>
      </c>
      <c r="AH179" s="19">
        <v>0.0</v>
      </c>
      <c r="AI179" s="19">
        <v>1.0</v>
      </c>
      <c r="AJ179" s="19">
        <v>0.0</v>
      </c>
      <c r="AK179" s="13">
        <f t="shared" si="37"/>
        <v>14</v>
      </c>
      <c r="AL179" s="5"/>
      <c r="AM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1.0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1.0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0.0</v>
      </c>
      <c r="AI180" s="19">
        <v>1.0</v>
      </c>
      <c r="AJ180" s="19">
        <v>0.0</v>
      </c>
      <c r="AK180" s="13">
        <f t="shared" si="37"/>
        <v>3</v>
      </c>
      <c r="AL180" s="5"/>
      <c r="AM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1.0</v>
      </c>
      <c r="I181" s="19">
        <v>1.0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1.0</v>
      </c>
      <c r="R181" s="19">
        <v>2.0</v>
      </c>
      <c r="S181" s="19">
        <v>0.0</v>
      </c>
      <c r="T181" s="19">
        <v>0.0</v>
      </c>
      <c r="U181" s="19">
        <v>0.0</v>
      </c>
      <c r="V181" s="19">
        <v>0.0</v>
      </c>
      <c r="W181" s="19">
        <v>1.0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0.0</v>
      </c>
      <c r="AI181" s="19">
        <v>0.0</v>
      </c>
      <c r="AJ181" s="19">
        <v>0.0</v>
      </c>
      <c r="AK181" s="13">
        <f t="shared" si="37"/>
        <v>6</v>
      </c>
      <c r="AL181" s="5"/>
      <c r="AM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1.0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1.0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1.0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1.0</v>
      </c>
      <c r="AJ182" s="19">
        <v>0.0</v>
      </c>
      <c r="AK182" s="13">
        <f t="shared" si="37"/>
        <v>4</v>
      </c>
      <c r="AL182" s="5"/>
      <c r="AM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1.0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1.0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3">
        <f t="shared" si="37"/>
        <v>2</v>
      </c>
      <c r="AL183" s="5"/>
      <c r="AM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1.0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0.0</v>
      </c>
      <c r="AK184" s="13">
        <f t="shared" si="37"/>
        <v>1</v>
      </c>
      <c r="AL184" s="5"/>
      <c r="AM184" s="5"/>
    </row>
    <row r="185" ht="12.75" customHeight="1">
      <c r="A185" s="18"/>
      <c r="B185" s="71"/>
      <c r="C185" s="72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3">
        <f t="shared" si="37"/>
        <v>0</v>
      </c>
      <c r="AL185" s="5"/>
      <c r="AM185" s="5"/>
    </row>
    <row r="186" ht="12.75" customHeight="1">
      <c r="A186" s="18"/>
      <c r="B186" s="71"/>
      <c r="C186" s="72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3">
        <f t="shared" si="37"/>
        <v>0</v>
      </c>
      <c r="AL186" s="5"/>
      <c r="AM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J187" si="38">SUM(E177:E184)</f>
        <v>1</v>
      </c>
      <c r="F187" s="13">
        <f t="shared" si="38"/>
        <v>5</v>
      </c>
      <c r="G187" s="13">
        <f t="shared" si="38"/>
        <v>5</v>
      </c>
      <c r="H187" s="13">
        <f t="shared" si="38"/>
        <v>2</v>
      </c>
      <c r="I187" s="13">
        <f t="shared" si="38"/>
        <v>9</v>
      </c>
      <c r="J187" s="13">
        <f t="shared" si="38"/>
        <v>1</v>
      </c>
      <c r="K187" s="13">
        <f t="shared" si="38"/>
        <v>0</v>
      </c>
      <c r="L187" s="13">
        <f t="shared" si="38"/>
        <v>4</v>
      </c>
      <c r="M187" s="13">
        <f t="shared" si="38"/>
        <v>2</v>
      </c>
      <c r="N187" s="13">
        <f t="shared" si="38"/>
        <v>2</v>
      </c>
      <c r="O187" s="13">
        <f t="shared" si="38"/>
        <v>3</v>
      </c>
      <c r="P187" s="13">
        <f t="shared" si="38"/>
        <v>0</v>
      </c>
      <c r="Q187" s="13">
        <f t="shared" si="38"/>
        <v>4</v>
      </c>
      <c r="R187" s="13">
        <f t="shared" si="38"/>
        <v>5</v>
      </c>
      <c r="S187" s="13">
        <f t="shared" si="38"/>
        <v>0</v>
      </c>
      <c r="T187" s="13">
        <f t="shared" si="38"/>
        <v>0</v>
      </c>
      <c r="U187" s="13">
        <f t="shared" si="38"/>
        <v>1</v>
      </c>
      <c r="V187" s="13">
        <f t="shared" si="38"/>
        <v>2</v>
      </c>
      <c r="W187" s="13">
        <f t="shared" si="38"/>
        <v>1</v>
      </c>
      <c r="X187" s="13">
        <f t="shared" si="38"/>
        <v>0</v>
      </c>
      <c r="Y187" s="13">
        <f t="shared" si="38"/>
        <v>0</v>
      </c>
      <c r="Z187" s="13">
        <f t="shared" si="38"/>
        <v>2</v>
      </c>
      <c r="AA187" s="13">
        <f t="shared" si="38"/>
        <v>0</v>
      </c>
      <c r="AB187" s="13">
        <f t="shared" si="38"/>
        <v>0</v>
      </c>
      <c r="AC187" s="13">
        <f t="shared" si="38"/>
        <v>3</v>
      </c>
      <c r="AD187" s="13">
        <f t="shared" si="38"/>
        <v>1</v>
      </c>
      <c r="AE187" s="13">
        <f t="shared" si="38"/>
        <v>1</v>
      </c>
      <c r="AF187" s="13">
        <f t="shared" si="38"/>
        <v>2</v>
      </c>
      <c r="AG187" s="13">
        <f t="shared" si="38"/>
        <v>0</v>
      </c>
      <c r="AH187" s="13">
        <f t="shared" si="38"/>
        <v>0</v>
      </c>
      <c r="AI187" s="13">
        <f t="shared" si="38"/>
        <v>3</v>
      </c>
      <c r="AJ187" s="13">
        <f t="shared" si="38"/>
        <v>0</v>
      </c>
      <c r="AK187" s="13">
        <f t="shared" si="37"/>
        <v>59</v>
      </c>
      <c r="AL187" s="1"/>
      <c r="AM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75"/>
      <c r="AK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0.0</v>
      </c>
      <c r="AH189" s="19">
        <v>0.0</v>
      </c>
      <c r="AI189" s="19">
        <v>2.0</v>
      </c>
      <c r="AJ189" s="19">
        <v>0.0</v>
      </c>
      <c r="AK189" s="13">
        <f t="shared" ref="AK189:AK199" si="39">SUM(E189:AJ189)</f>
        <v>2</v>
      </c>
      <c r="AL189" s="5"/>
      <c r="AM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1.0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1.0</v>
      </c>
      <c r="AK190" s="13">
        <f t="shared" si="39"/>
        <v>2</v>
      </c>
      <c r="AL190" s="5"/>
      <c r="AM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0.0</v>
      </c>
      <c r="AJ191" s="19">
        <v>1.0</v>
      </c>
      <c r="AK191" s="13">
        <f t="shared" si="39"/>
        <v>1</v>
      </c>
      <c r="AL191" s="5"/>
      <c r="AM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3">
        <f t="shared" si="39"/>
        <v>0</v>
      </c>
      <c r="AL192" s="5"/>
      <c r="AM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3">
        <f t="shared" si="39"/>
        <v>0</v>
      </c>
      <c r="AL193" s="5"/>
      <c r="AM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1.0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3">
        <f t="shared" si="39"/>
        <v>1</v>
      </c>
      <c r="AL194" s="5"/>
      <c r="AM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3">
        <f t="shared" si="39"/>
        <v>0</v>
      </c>
      <c r="AL195" s="5"/>
      <c r="AM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3">
        <f t="shared" si="39"/>
        <v>0</v>
      </c>
      <c r="AL196" s="1"/>
      <c r="AM196" s="1"/>
    </row>
    <row r="197" ht="12.75" customHeight="1">
      <c r="A197" s="18"/>
      <c r="B197" s="71"/>
      <c r="C197" s="72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3">
        <f t="shared" si="39"/>
        <v>0</v>
      </c>
      <c r="AL197" s="1"/>
      <c r="AM197" s="1"/>
    </row>
    <row r="198" ht="12.75" customHeight="1">
      <c r="A198" s="18"/>
      <c r="B198" s="71"/>
      <c r="C198" s="72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3">
        <f t="shared" si="39"/>
        <v>0</v>
      </c>
      <c r="AL198" s="1"/>
      <c r="AM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AJ199" si="40">SUM(E189:E196)</f>
        <v>0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1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0</v>
      </c>
      <c r="T199" s="13">
        <f t="shared" si="40"/>
        <v>0</v>
      </c>
      <c r="U199" s="13">
        <f t="shared" si="40"/>
        <v>1</v>
      </c>
      <c r="V199" s="13">
        <f t="shared" si="40"/>
        <v>0</v>
      </c>
      <c r="W199" s="13">
        <f t="shared" si="40"/>
        <v>0</v>
      </c>
      <c r="X199" s="13">
        <f t="shared" si="40"/>
        <v>0</v>
      </c>
      <c r="Y199" s="13">
        <f t="shared" si="40"/>
        <v>0</v>
      </c>
      <c r="Z199" s="13">
        <f t="shared" si="40"/>
        <v>0</v>
      </c>
      <c r="AA199" s="13">
        <f t="shared" si="40"/>
        <v>0</v>
      </c>
      <c r="AB199" s="13">
        <f t="shared" si="40"/>
        <v>0</v>
      </c>
      <c r="AC199" s="13">
        <f t="shared" si="40"/>
        <v>0</v>
      </c>
      <c r="AD199" s="13">
        <f t="shared" si="40"/>
        <v>0</v>
      </c>
      <c r="AE199" s="13">
        <f t="shared" si="40"/>
        <v>0</v>
      </c>
      <c r="AF199" s="13">
        <f t="shared" si="40"/>
        <v>0</v>
      </c>
      <c r="AG199" s="13">
        <f t="shared" si="40"/>
        <v>0</v>
      </c>
      <c r="AH199" s="13">
        <f t="shared" si="40"/>
        <v>0</v>
      </c>
      <c r="AI199" s="13">
        <f t="shared" si="40"/>
        <v>2</v>
      </c>
      <c r="AJ199" s="13">
        <f t="shared" si="40"/>
        <v>2</v>
      </c>
      <c r="AK199" s="13">
        <f t="shared" si="39"/>
        <v>6</v>
      </c>
      <c r="AL199" s="52"/>
      <c r="AM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5"/>
      <c r="AM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1.0</v>
      </c>
      <c r="F201" s="19">
        <v>1.0</v>
      </c>
      <c r="G201" s="19">
        <v>2.0</v>
      </c>
      <c r="H201" s="19">
        <v>1.0</v>
      </c>
      <c r="I201" s="19">
        <v>5.0</v>
      </c>
      <c r="J201" s="19">
        <v>2.0</v>
      </c>
      <c r="K201" s="19">
        <v>1.0</v>
      </c>
      <c r="L201" s="19">
        <v>3.0</v>
      </c>
      <c r="M201" s="19">
        <v>1.0</v>
      </c>
      <c r="N201" s="19">
        <v>5.0</v>
      </c>
      <c r="O201" s="19">
        <v>2.0</v>
      </c>
      <c r="P201" s="19">
        <v>6.0</v>
      </c>
      <c r="Q201" s="19">
        <v>3.0</v>
      </c>
      <c r="R201" s="19">
        <v>2.0</v>
      </c>
      <c r="S201" s="19">
        <v>6.0</v>
      </c>
      <c r="T201" s="19">
        <v>5.0</v>
      </c>
      <c r="U201" s="19">
        <v>0.0</v>
      </c>
      <c r="V201" s="19">
        <v>6.0</v>
      </c>
      <c r="W201" s="19">
        <v>1.0</v>
      </c>
      <c r="X201" s="19">
        <v>1.0</v>
      </c>
      <c r="Y201" s="19">
        <v>5.0</v>
      </c>
      <c r="Z201" s="19">
        <v>3.0</v>
      </c>
      <c r="AA201" s="19">
        <v>3.0</v>
      </c>
      <c r="AB201" s="19">
        <v>2.0</v>
      </c>
      <c r="AC201" s="19">
        <v>1.0</v>
      </c>
      <c r="AD201" s="19">
        <v>1.0</v>
      </c>
      <c r="AE201" s="19">
        <v>1.0</v>
      </c>
      <c r="AF201" s="19">
        <v>1.0</v>
      </c>
      <c r="AG201" s="19">
        <v>2.0</v>
      </c>
      <c r="AH201" s="19">
        <v>0.0</v>
      </c>
      <c r="AI201" s="19">
        <v>1.0</v>
      </c>
      <c r="AJ201" s="19">
        <v>1.0</v>
      </c>
      <c r="AK201" s="13">
        <f t="shared" ref="AK201:AK211" si="41">SUM(E201:AJ201)</f>
        <v>75</v>
      </c>
      <c r="AL201" s="5"/>
      <c r="AM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4.0</v>
      </c>
      <c r="F202" s="19">
        <v>2.0</v>
      </c>
      <c r="G202" s="19">
        <v>1.0</v>
      </c>
      <c r="H202" s="19">
        <v>4.0</v>
      </c>
      <c r="I202" s="19">
        <v>6.0</v>
      </c>
      <c r="J202" s="19">
        <v>2.0</v>
      </c>
      <c r="K202" s="19">
        <v>4.0</v>
      </c>
      <c r="L202" s="19">
        <v>3.0</v>
      </c>
      <c r="M202" s="19">
        <v>6.0</v>
      </c>
      <c r="N202" s="19">
        <v>4.0</v>
      </c>
      <c r="O202" s="19">
        <v>10.0</v>
      </c>
      <c r="P202" s="19">
        <v>22.0</v>
      </c>
      <c r="Q202" s="19">
        <v>38.0</v>
      </c>
      <c r="R202" s="19">
        <v>12.0</v>
      </c>
      <c r="S202" s="19">
        <v>79.0</v>
      </c>
      <c r="T202" s="19">
        <v>13.0</v>
      </c>
      <c r="U202" s="19">
        <v>9.0</v>
      </c>
      <c r="V202" s="19">
        <v>5.0</v>
      </c>
      <c r="W202" s="19">
        <v>11.0</v>
      </c>
      <c r="X202" s="19">
        <v>5.0</v>
      </c>
      <c r="Y202" s="19">
        <v>1.0</v>
      </c>
      <c r="Z202" s="19">
        <v>3.0</v>
      </c>
      <c r="AA202" s="19">
        <v>5.0</v>
      </c>
      <c r="AB202" s="19">
        <v>4.0</v>
      </c>
      <c r="AC202" s="19">
        <v>2.0</v>
      </c>
      <c r="AD202" s="19">
        <v>2.0</v>
      </c>
      <c r="AE202" s="19">
        <v>0.0</v>
      </c>
      <c r="AF202" s="19">
        <v>3.0</v>
      </c>
      <c r="AG202" s="19">
        <v>3.0</v>
      </c>
      <c r="AH202" s="19">
        <v>0.0</v>
      </c>
      <c r="AI202" s="19">
        <v>2.0</v>
      </c>
      <c r="AJ202" s="19">
        <v>2.0</v>
      </c>
      <c r="AK202" s="13">
        <f t="shared" si="41"/>
        <v>267</v>
      </c>
      <c r="AL202" s="5"/>
      <c r="AM202" s="5"/>
    </row>
    <row r="203" ht="12.75" customHeight="1">
      <c r="A203" s="18"/>
      <c r="B203" s="55">
        <v>2.0</v>
      </c>
      <c r="C203" s="50" t="s">
        <v>149</v>
      </c>
      <c r="D203" s="57"/>
      <c r="E203" s="19">
        <v>3.0</v>
      </c>
      <c r="F203" s="19">
        <v>1.0</v>
      </c>
      <c r="G203" s="19">
        <v>0.0</v>
      </c>
      <c r="H203" s="19">
        <v>1.0</v>
      </c>
      <c r="I203" s="19">
        <v>2.0</v>
      </c>
      <c r="J203" s="19">
        <v>3.0</v>
      </c>
      <c r="K203" s="19">
        <v>2.0</v>
      </c>
      <c r="L203" s="19">
        <v>3.0</v>
      </c>
      <c r="M203" s="19">
        <v>5.0</v>
      </c>
      <c r="N203" s="19">
        <v>1.0</v>
      </c>
      <c r="O203" s="19">
        <v>0.0</v>
      </c>
      <c r="P203" s="19">
        <v>0.0</v>
      </c>
      <c r="Q203" s="19">
        <v>3.0</v>
      </c>
      <c r="R203" s="19">
        <v>1.0</v>
      </c>
      <c r="S203" s="19">
        <v>1.0</v>
      </c>
      <c r="T203" s="19">
        <v>0.0</v>
      </c>
      <c r="U203" s="19">
        <v>2.0</v>
      </c>
      <c r="V203" s="19">
        <v>0.0</v>
      </c>
      <c r="W203" s="19">
        <v>2.0</v>
      </c>
      <c r="X203" s="19">
        <v>3.0</v>
      </c>
      <c r="Y203" s="19">
        <v>2.0</v>
      </c>
      <c r="Z203" s="19">
        <v>2.0</v>
      </c>
      <c r="AA203" s="19">
        <v>3.0</v>
      </c>
      <c r="AB203" s="19">
        <v>0.0</v>
      </c>
      <c r="AC203" s="19">
        <v>0.0</v>
      </c>
      <c r="AD203" s="19">
        <v>0.0</v>
      </c>
      <c r="AE203" s="19">
        <v>0.0</v>
      </c>
      <c r="AF203" s="19">
        <v>1.0</v>
      </c>
      <c r="AG203" s="19">
        <v>2.0</v>
      </c>
      <c r="AH203" s="19">
        <v>0.0</v>
      </c>
      <c r="AI203" s="19">
        <v>1.0</v>
      </c>
      <c r="AJ203" s="19">
        <v>1.0</v>
      </c>
      <c r="AK203" s="13">
        <f t="shared" si="41"/>
        <v>45</v>
      </c>
      <c r="AL203" s="5"/>
      <c r="AM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1.0</v>
      </c>
      <c r="N204" s="19">
        <v>0.0</v>
      </c>
      <c r="O204" s="19">
        <v>0.0</v>
      </c>
      <c r="P204" s="19">
        <v>2.0</v>
      </c>
      <c r="Q204" s="19">
        <v>1.0</v>
      </c>
      <c r="R204" s="19">
        <v>0.0</v>
      </c>
      <c r="S204" s="19">
        <v>0.0</v>
      </c>
      <c r="T204" s="19">
        <v>1.0</v>
      </c>
      <c r="U204" s="19">
        <v>0.0</v>
      </c>
      <c r="V204" s="19">
        <v>0.0</v>
      </c>
      <c r="W204" s="19">
        <v>0.0</v>
      </c>
      <c r="X204" s="19">
        <v>1.0</v>
      </c>
      <c r="Y204" s="19">
        <v>1.0</v>
      </c>
      <c r="Z204" s="19">
        <v>0.0</v>
      </c>
      <c r="AA204" s="19">
        <v>0.0</v>
      </c>
      <c r="AB204" s="19">
        <v>0.0</v>
      </c>
      <c r="AC204" s="19">
        <v>0.0</v>
      </c>
      <c r="AD204" s="19">
        <v>0.0</v>
      </c>
      <c r="AE204" s="19">
        <v>0.0</v>
      </c>
      <c r="AF204" s="19">
        <v>0.0</v>
      </c>
      <c r="AG204" s="19">
        <v>1.0</v>
      </c>
      <c r="AH204" s="19">
        <v>0.0</v>
      </c>
      <c r="AI204" s="19">
        <v>0.0</v>
      </c>
      <c r="AJ204" s="19">
        <v>0.0</v>
      </c>
      <c r="AK204" s="13">
        <f t="shared" si="41"/>
        <v>8</v>
      </c>
      <c r="AL204" s="5"/>
      <c r="AM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0.0</v>
      </c>
      <c r="P205" s="19">
        <v>1.0</v>
      </c>
      <c r="Q205" s="19">
        <v>1.0</v>
      </c>
      <c r="R205" s="19">
        <v>1.0</v>
      </c>
      <c r="S205" s="19">
        <v>0.0</v>
      </c>
      <c r="T205" s="19">
        <v>2.0</v>
      </c>
      <c r="U205" s="19">
        <v>6.0</v>
      </c>
      <c r="V205" s="19">
        <v>0.0</v>
      </c>
      <c r="W205" s="19">
        <v>1.0</v>
      </c>
      <c r="X205" s="19">
        <v>2.0</v>
      </c>
      <c r="Y205" s="19">
        <v>5.0</v>
      </c>
      <c r="Z205" s="19">
        <v>15.0</v>
      </c>
      <c r="AA205" s="19">
        <v>6.0</v>
      </c>
      <c r="AB205" s="19">
        <v>8.0</v>
      </c>
      <c r="AC205" s="19">
        <v>1.0</v>
      </c>
      <c r="AD205" s="19">
        <v>1.0</v>
      </c>
      <c r="AE205" s="19">
        <v>0.0</v>
      </c>
      <c r="AF205" s="19">
        <v>1.0</v>
      </c>
      <c r="AG205" s="19">
        <v>0.0</v>
      </c>
      <c r="AH205" s="19">
        <v>0.0</v>
      </c>
      <c r="AI205" s="19">
        <v>0.0</v>
      </c>
      <c r="AJ205" s="19">
        <v>1.0</v>
      </c>
      <c r="AK205" s="13">
        <f t="shared" si="41"/>
        <v>52</v>
      </c>
      <c r="AL205" s="5"/>
      <c r="AM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1.0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1.0</v>
      </c>
      <c r="V206" s="19">
        <v>0.0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0.0</v>
      </c>
      <c r="AB206" s="19">
        <v>2.0</v>
      </c>
      <c r="AC206" s="19">
        <v>0.0</v>
      </c>
      <c r="AD206" s="19">
        <v>0.0</v>
      </c>
      <c r="AE206" s="19">
        <v>0.0</v>
      </c>
      <c r="AF206" s="19">
        <v>0.0</v>
      </c>
      <c r="AG206" s="19">
        <v>0.0</v>
      </c>
      <c r="AH206" s="19">
        <v>0.0</v>
      </c>
      <c r="AI206" s="19">
        <v>0.0</v>
      </c>
      <c r="AJ206" s="19">
        <v>0.0</v>
      </c>
      <c r="AK206" s="13">
        <f t="shared" si="41"/>
        <v>4</v>
      </c>
      <c r="AL206" s="5"/>
      <c r="AM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1.0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9">
        <v>0.0</v>
      </c>
      <c r="AK207" s="13">
        <f t="shared" si="41"/>
        <v>1</v>
      </c>
      <c r="AL207" s="1"/>
      <c r="AM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1.0</v>
      </c>
      <c r="G208" s="19">
        <v>0.0</v>
      </c>
      <c r="H208" s="19">
        <v>0.0</v>
      </c>
      <c r="I208" s="19">
        <v>2.0</v>
      </c>
      <c r="J208" s="19">
        <v>0.0</v>
      </c>
      <c r="K208" s="19">
        <v>0.0</v>
      </c>
      <c r="L208" s="19">
        <v>1.0</v>
      </c>
      <c r="M208" s="19">
        <v>2.0</v>
      </c>
      <c r="N208" s="19">
        <v>2.0</v>
      </c>
      <c r="O208" s="19">
        <v>1.0</v>
      </c>
      <c r="P208" s="19">
        <v>2.0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2.0</v>
      </c>
      <c r="AC208" s="19">
        <v>1.0</v>
      </c>
      <c r="AD208" s="19">
        <v>0.0</v>
      </c>
      <c r="AE208" s="19">
        <v>0.0</v>
      </c>
      <c r="AF208" s="19">
        <v>0.0</v>
      </c>
      <c r="AG208" s="19">
        <v>0.0</v>
      </c>
      <c r="AH208" s="19">
        <v>1.0</v>
      </c>
      <c r="AI208" s="19">
        <v>0.0</v>
      </c>
      <c r="AJ208" s="19">
        <v>1.0</v>
      </c>
      <c r="AK208" s="13">
        <f t="shared" si="41"/>
        <v>16</v>
      </c>
      <c r="AL208" s="52"/>
      <c r="AM208" s="52"/>
    </row>
    <row r="209" ht="12.75" customHeight="1">
      <c r="A209" s="18"/>
      <c r="B209" s="71"/>
      <c r="C209" s="72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3">
        <f t="shared" si="41"/>
        <v>0</v>
      </c>
      <c r="AL209" s="52"/>
      <c r="AM209" s="52"/>
    </row>
    <row r="210" ht="12.75" customHeight="1">
      <c r="A210" s="18"/>
      <c r="B210" s="71"/>
      <c r="C210" s="72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3">
        <f t="shared" si="41"/>
        <v>0</v>
      </c>
      <c r="AL210" s="52"/>
      <c r="AM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AJ211" si="42">SUM(E201:E208)</f>
        <v>8</v>
      </c>
      <c r="F211" s="13">
        <f t="shared" si="42"/>
        <v>5</v>
      </c>
      <c r="G211" s="13">
        <f t="shared" si="42"/>
        <v>3</v>
      </c>
      <c r="H211" s="13">
        <f t="shared" si="42"/>
        <v>6</v>
      </c>
      <c r="I211" s="13">
        <f t="shared" si="42"/>
        <v>15</v>
      </c>
      <c r="J211" s="13">
        <f t="shared" si="42"/>
        <v>7</v>
      </c>
      <c r="K211" s="13">
        <f t="shared" si="42"/>
        <v>7</v>
      </c>
      <c r="L211" s="13">
        <f t="shared" si="42"/>
        <v>10</v>
      </c>
      <c r="M211" s="13">
        <f t="shared" si="42"/>
        <v>15</v>
      </c>
      <c r="N211" s="13">
        <f t="shared" si="42"/>
        <v>12</v>
      </c>
      <c r="O211" s="13">
        <f t="shared" si="42"/>
        <v>14</v>
      </c>
      <c r="P211" s="13">
        <f t="shared" si="42"/>
        <v>33</v>
      </c>
      <c r="Q211" s="13">
        <f t="shared" si="42"/>
        <v>46</v>
      </c>
      <c r="R211" s="13">
        <f t="shared" si="42"/>
        <v>16</v>
      </c>
      <c r="S211" s="13">
        <f t="shared" si="42"/>
        <v>87</v>
      </c>
      <c r="T211" s="13">
        <f t="shared" si="42"/>
        <v>21</v>
      </c>
      <c r="U211" s="13">
        <f t="shared" si="42"/>
        <v>18</v>
      </c>
      <c r="V211" s="13">
        <f t="shared" si="42"/>
        <v>11</v>
      </c>
      <c r="W211" s="13">
        <f t="shared" si="42"/>
        <v>15</v>
      </c>
      <c r="X211" s="13">
        <f t="shared" si="42"/>
        <v>12</v>
      </c>
      <c r="Y211" s="13">
        <f t="shared" si="42"/>
        <v>14</v>
      </c>
      <c r="Z211" s="13">
        <f t="shared" si="42"/>
        <v>23</v>
      </c>
      <c r="AA211" s="13">
        <f t="shared" si="42"/>
        <v>17</v>
      </c>
      <c r="AB211" s="13">
        <f t="shared" si="42"/>
        <v>18</v>
      </c>
      <c r="AC211" s="13">
        <f t="shared" si="42"/>
        <v>5</v>
      </c>
      <c r="AD211" s="13">
        <f t="shared" si="42"/>
        <v>4</v>
      </c>
      <c r="AE211" s="13">
        <f t="shared" si="42"/>
        <v>1</v>
      </c>
      <c r="AF211" s="13">
        <f t="shared" si="42"/>
        <v>6</v>
      </c>
      <c r="AG211" s="13">
        <f t="shared" si="42"/>
        <v>8</v>
      </c>
      <c r="AH211" s="13">
        <f t="shared" si="42"/>
        <v>1</v>
      </c>
      <c r="AI211" s="13">
        <f t="shared" si="42"/>
        <v>4</v>
      </c>
      <c r="AJ211" s="13">
        <f t="shared" si="42"/>
        <v>6</v>
      </c>
      <c r="AK211" s="13">
        <f t="shared" si="41"/>
        <v>468</v>
      </c>
      <c r="AL211" s="5"/>
      <c r="AM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75"/>
      <c r="AK212" s="75"/>
      <c r="AL212" s="5"/>
      <c r="AM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1.0</v>
      </c>
      <c r="G213" s="19">
        <v>0.0</v>
      </c>
      <c r="H213" s="19">
        <v>3.0</v>
      </c>
      <c r="I213" s="19">
        <v>0.0</v>
      </c>
      <c r="J213" s="19">
        <v>3.0</v>
      </c>
      <c r="K213" s="19">
        <v>1.0</v>
      </c>
      <c r="L213" s="19">
        <v>6.0</v>
      </c>
      <c r="M213" s="19">
        <v>0.0</v>
      </c>
      <c r="N213" s="19">
        <v>2.0</v>
      </c>
      <c r="O213" s="19">
        <v>0.0</v>
      </c>
      <c r="P213" s="19">
        <v>2.0</v>
      </c>
      <c r="Q213" s="19">
        <v>2.0</v>
      </c>
      <c r="R213" s="19">
        <v>2.0</v>
      </c>
      <c r="S213" s="19">
        <v>0.0</v>
      </c>
      <c r="T213" s="19">
        <v>0.0</v>
      </c>
      <c r="U213" s="19">
        <v>0.0</v>
      </c>
      <c r="V213" s="19">
        <v>3.0</v>
      </c>
      <c r="W213" s="19">
        <v>1.0</v>
      </c>
      <c r="X213" s="19">
        <v>1.0</v>
      </c>
      <c r="Y213" s="19">
        <v>0.0</v>
      </c>
      <c r="Z213" s="19">
        <v>1.0</v>
      </c>
      <c r="AA213" s="19">
        <v>0.0</v>
      </c>
      <c r="AB213" s="19">
        <v>1.0</v>
      </c>
      <c r="AC213" s="19">
        <v>0.0</v>
      </c>
      <c r="AD213" s="19">
        <v>0.0</v>
      </c>
      <c r="AE213" s="19">
        <v>0.0</v>
      </c>
      <c r="AF213" s="19">
        <v>1.0</v>
      </c>
      <c r="AG213" s="19">
        <v>1.0</v>
      </c>
      <c r="AH213" s="19">
        <v>4.0</v>
      </c>
      <c r="AI213" s="19">
        <v>1.0</v>
      </c>
      <c r="AJ213" s="19">
        <v>0.0</v>
      </c>
      <c r="AK213" s="13">
        <f t="shared" ref="AK213:AK223" si="43">SUM(E213:AJ213)</f>
        <v>38</v>
      </c>
      <c r="AL213" s="5"/>
      <c r="AM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4.0</v>
      </c>
      <c r="F214" s="19">
        <v>0.0</v>
      </c>
      <c r="G214" s="19">
        <v>1.0</v>
      </c>
      <c r="H214" s="19">
        <v>2.0</v>
      </c>
      <c r="I214" s="19">
        <v>4.0</v>
      </c>
      <c r="J214" s="19">
        <v>8.0</v>
      </c>
      <c r="K214" s="19">
        <v>11.0</v>
      </c>
      <c r="L214" s="19">
        <v>2.0</v>
      </c>
      <c r="M214" s="19">
        <v>15.0</v>
      </c>
      <c r="N214" s="19">
        <v>12.0</v>
      </c>
      <c r="O214" s="19">
        <v>5.0</v>
      </c>
      <c r="P214" s="19">
        <v>14.0</v>
      </c>
      <c r="Q214" s="19">
        <v>20.0</v>
      </c>
      <c r="R214" s="19">
        <v>2.0</v>
      </c>
      <c r="S214" s="19">
        <v>0.0</v>
      </c>
      <c r="T214" s="19">
        <v>2.0</v>
      </c>
      <c r="U214" s="19">
        <v>1.0</v>
      </c>
      <c r="V214" s="19">
        <v>3.0</v>
      </c>
      <c r="W214" s="19">
        <v>2.0</v>
      </c>
      <c r="X214" s="19">
        <v>2.0</v>
      </c>
      <c r="Y214" s="19">
        <v>1.0</v>
      </c>
      <c r="Z214" s="19">
        <v>0.0</v>
      </c>
      <c r="AA214" s="19">
        <v>4.0</v>
      </c>
      <c r="AB214" s="19">
        <v>4.0</v>
      </c>
      <c r="AC214" s="19">
        <v>0.0</v>
      </c>
      <c r="AD214" s="19">
        <v>1.0</v>
      </c>
      <c r="AE214" s="19">
        <v>1.0</v>
      </c>
      <c r="AF214" s="19">
        <v>2.0</v>
      </c>
      <c r="AG214" s="19">
        <v>0.0</v>
      </c>
      <c r="AH214" s="19">
        <v>6.0</v>
      </c>
      <c r="AI214" s="19">
        <v>3.0</v>
      </c>
      <c r="AJ214" s="19">
        <v>0.0</v>
      </c>
      <c r="AK214" s="13">
        <f t="shared" si="43"/>
        <v>132</v>
      </c>
      <c r="AL214" s="5"/>
      <c r="AM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12.0</v>
      </c>
      <c r="G215" s="19">
        <v>0.0</v>
      </c>
      <c r="H215" s="19">
        <v>0.0</v>
      </c>
      <c r="I215" s="19">
        <v>0.0</v>
      </c>
      <c r="J215" s="19">
        <v>1.0</v>
      </c>
      <c r="K215" s="19">
        <v>0.0</v>
      </c>
      <c r="L215" s="19">
        <v>3.0</v>
      </c>
      <c r="M215" s="19">
        <v>4.0</v>
      </c>
      <c r="N215" s="19">
        <v>3.0</v>
      </c>
      <c r="O215" s="19">
        <v>0.0</v>
      </c>
      <c r="P215" s="19">
        <v>0.0</v>
      </c>
      <c r="Q215" s="19">
        <v>1.0</v>
      </c>
      <c r="R215" s="19">
        <v>0.0</v>
      </c>
      <c r="S215" s="19">
        <v>0.0</v>
      </c>
      <c r="T215" s="19">
        <v>1.0</v>
      </c>
      <c r="U215" s="19">
        <v>0.0</v>
      </c>
      <c r="V215" s="19">
        <v>2.0</v>
      </c>
      <c r="W215" s="19">
        <v>2.0</v>
      </c>
      <c r="X215" s="19">
        <v>0.0</v>
      </c>
      <c r="Y215" s="19">
        <v>7.0</v>
      </c>
      <c r="Z215" s="19">
        <v>2.0</v>
      </c>
      <c r="AA215" s="19">
        <v>0.0</v>
      </c>
      <c r="AB215" s="19">
        <v>1.0</v>
      </c>
      <c r="AC215" s="19">
        <v>2.0</v>
      </c>
      <c r="AD215" s="19">
        <v>3.0</v>
      </c>
      <c r="AE215" s="19">
        <v>0.0</v>
      </c>
      <c r="AF215" s="19">
        <v>0.0</v>
      </c>
      <c r="AG215" s="19">
        <v>2.0</v>
      </c>
      <c r="AH215" s="19">
        <v>0.0</v>
      </c>
      <c r="AI215" s="19">
        <v>1.0</v>
      </c>
      <c r="AJ215" s="19">
        <v>1.0</v>
      </c>
      <c r="AK215" s="13">
        <f t="shared" si="43"/>
        <v>48</v>
      </c>
      <c r="AL215" s="5"/>
      <c r="AM215" s="5"/>
    </row>
    <row r="216" ht="12.75" customHeight="1">
      <c r="A216" s="18"/>
      <c r="B216" s="55">
        <v>3.0</v>
      </c>
      <c r="C216" s="61" t="s">
        <v>159</v>
      </c>
      <c r="E216" s="19">
        <v>1.0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1.0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3.0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0.0</v>
      </c>
      <c r="AC216" s="19">
        <v>1.0</v>
      </c>
      <c r="AD216" s="19">
        <v>0.0</v>
      </c>
      <c r="AE216" s="19">
        <v>0.0</v>
      </c>
      <c r="AF216" s="19">
        <v>0.0</v>
      </c>
      <c r="AG216" s="19">
        <v>1.0</v>
      </c>
      <c r="AH216" s="19">
        <v>0.0</v>
      </c>
      <c r="AI216" s="19">
        <v>0.0</v>
      </c>
      <c r="AJ216" s="19">
        <v>1.0</v>
      </c>
      <c r="AK216" s="13">
        <f t="shared" si="43"/>
        <v>8</v>
      </c>
      <c r="AL216" s="5"/>
      <c r="AM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1.0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1.0</v>
      </c>
      <c r="M217" s="19">
        <v>0.0</v>
      </c>
      <c r="N217" s="19">
        <v>1.0</v>
      </c>
      <c r="O217" s="19">
        <v>0.0</v>
      </c>
      <c r="P217" s="19">
        <v>1.0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1.0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0.0</v>
      </c>
      <c r="AJ217" s="19">
        <v>0.0</v>
      </c>
      <c r="AK217" s="13">
        <f t="shared" si="43"/>
        <v>5</v>
      </c>
      <c r="AL217" s="5"/>
      <c r="AM217" s="5"/>
    </row>
    <row r="218" ht="12.75" customHeight="1">
      <c r="A218" s="18"/>
      <c r="B218" s="55">
        <v>5.0</v>
      </c>
      <c r="C218" s="50" t="s">
        <v>161</v>
      </c>
      <c r="D218" s="56"/>
      <c r="E218" s="19">
        <v>1.0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2.0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1.0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1.0</v>
      </c>
      <c r="AJ218" s="19">
        <v>1.0</v>
      </c>
      <c r="AK218" s="13">
        <f t="shared" si="43"/>
        <v>6</v>
      </c>
      <c r="AL218" s="1"/>
      <c r="AM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1.0</v>
      </c>
      <c r="J219" s="19">
        <v>0.0</v>
      </c>
      <c r="K219" s="19">
        <v>0.0</v>
      </c>
      <c r="L219" s="19">
        <v>1.0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1.0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1.0</v>
      </c>
      <c r="AB219" s="19">
        <v>1.0</v>
      </c>
      <c r="AC219" s="19">
        <v>0.0</v>
      </c>
      <c r="AD219" s="19">
        <v>0.0</v>
      </c>
      <c r="AE219" s="19">
        <v>0.0</v>
      </c>
      <c r="AF219" s="19">
        <v>1.0</v>
      </c>
      <c r="AG219" s="19">
        <v>0.0</v>
      </c>
      <c r="AH219" s="19">
        <v>0.0</v>
      </c>
      <c r="AI219" s="19">
        <v>0.0</v>
      </c>
      <c r="AJ219" s="19">
        <v>0.0</v>
      </c>
      <c r="AK219" s="13">
        <f t="shared" si="43"/>
        <v>6</v>
      </c>
      <c r="AL219" s="52"/>
      <c r="AM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1.0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1.0</v>
      </c>
      <c r="X220" s="19">
        <v>0.0</v>
      </c>
      <c r="Y220" s="19">
        <v>1.0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0.0</v>
      </c>
      <c r="AI220" s="19">
        <v>0.0</v>
      </c>
      <c r="AJ220" s="19">
        <v>0.0</v>
      </c>
      <c r="AK220" s="13">
        <f t="shared" si="43"/>
        <v>3</v>
      </c>
      <c r="AL220" s="5"/>
      <c r="AM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3">
        <f t="shared" si="43"/>
        <v>0</v>
      </c>
      <c r="AL221" s="5"/>
      <c r="AM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3">
        <f t="shared" si="43"/>
        <v>0</v>
      </c>
      <c r="AL222" s="5"/>
      <c r="AM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AJ223" si="44">SUM(E213:E220)</f>
        <v>8</v>
      </c>
      <c r="F223" s="13">
        <f t="shared" si="44"/>
        <v>14</v>
      </c>
      <c r="G223" s="13">
        <f t="shared" si="44"/>
        <v>2</v>
      </c>
      <c r="H223" s="13">
        <f t="shared" si="44"/>
        <v>5</v>
      </c>
      <c r="I223" s="13">
        <f t="shared" si="44"/>
        <v>5</v>
      </c>
      <c r="J223" s="13">
        <f t="shared" si="44"/>
        <v>12</v>
      </c>
      <c r="K223" s="13">
        <f t="shared" si="44"/>
        <v>12</v>
      </c>
      <c r="L223" s="13">
        <f t="shared" si="44"/>
        <v>14</v>
      </c>
      <c r="M223" s="13">
        <f t="shared" si="44"/>
        <v>19</v>
      </c>
      <c r="N223" s="13">
        <f t="shared" si="44"/>
        <v>18</v>
      </c>
      <c r="O223" s="13">
        <f t="shared" si="44"/>
        <v>7</v>
      </c>
      <c r="P223" s="13">
        <f t="shared" si="44"/>
        <v>17</v>
      </c>
      <c r="Q223" s="13">
        <f t="shared" si="44"/>
        <v>23</v>
      </c>
      <c r="R223" s="13">
        <f t="shared" si="44"/>
        <v>4</v>
      </c>
      <c r="S223" s="13">
        <f t="shared" si="44"/>
        <v>0</v>
      </c>
      <c r="T223" s="13">
        <f t="shared" si="44"/>
        <v>7</v>
      </c>
      <c r="U223" s="13">
        <f t="shared" si="44"/>
        <v>1</v>
      </c>
      <c r="V223" s="13">
        <f t="shared" si="44"/>
        <v>9</v>
      </c>
      <c r="W223" s="13">
        <f t="shared" si="44"/>
        <v>6</v>
      </c>
      <c r="X223" s="13">
        <f t="shared" si="44"/>
        <v>3</v>
      </c>
      <c r="Y223" s="13">
        <f t="shared" si="44"/>
        <v>9</v>
      </c>
      <c r="Z223" s="13">
        <f t="shared" si="44"/>
        <v>4</v>
      </c>
      <c r="AA223" s="13">
        <f t="shared" si="44"/>
        <v>5</v>
      </c>
      <c r="AB223" s="13">
        <f t="shared" si="44"/>
        <v>7</v>
      </c>
      <c r="AC223" s="13">
        <f t="shared" si="44"/>
        <v>3</v>
      </c>
      <c r="AD223" s="13">
        <f t="shared" si="44"/>
        <v>4</v>
      </c>
      <c r="AE223" s="13">
        <f t="shared" si="44"/>
        <v>1</v>
      </c>
      <c r="AF223" s="13">
        <f t="shared" si="44"/>
        <v>4</v>
      </c>
      <c r="AG223" s="13">
        <f t="shared" si="44"/>
        <v>4</v>
      </c>
      <c r="AH223" s="13">
        <f t="shared" si="44"/>
        <v>10</v>
      </c>
      <c r="AI223" s="13">
        <f t="shared" si="44"/>
        <v>6</v>
      </c>
      <c r="AJ223" s="13">
        <f t="shared" si="44"/>
        <v>3</v>
      </c>
      <c r="AK223" s="13">
        <f t="shared" si="43"/>
        <v>246</v>
      </c>
      <c r="AL223" s="5"/>
      <c r="AM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5"/>
      <c r="AK224" s="75"/>
      <c r="AL224" s="5"/>
      <c r="AM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1.0</v>
      </c>
      <c r="Z225" s="19">
        <v>2.0</v>
      </c>
      <c r="AA225" s="19">
        <v>0.0</v>
      </c>
      <c r="AB225" s="19">
        <v>1.0</v>
      </c>
      <c r="AC225" s="19">
        <v>0.0</v>
      </c>
      <c r="AD225" s="19">
        <v>0.0</v>
      </c>
      <c r="AE225" s="19">
        <v>0.0</v>
      </c>
      <c r="AF225" s="19">
        <v>0.0</v>
      </c>
      <c r="AG225" s="19">
        <v>0.0</v>
      </c>
      <c r="AH225" s="19">
        <v>2.0</v>
      </c>
      <c r="AI225" s="19">
        <v>0.0</v>
      </c>
      <c r="AJ225" s="19">
        <v>0.0</v>
      </c>
      <c r="AK225" s="13">
        <f t="shared" ref="AK225:AK235" si="45">SUM(E225:AJ225)</f>
        <v>6</v>
      </c>
      <c r="AL225" s="5"/>
      <c r="AM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1.0</v>
      </c>
      <c r="H226" s="19">
        <v>0.0</v>
      </c>
      <c r="I226" s="19">
        <v>0.0</v>
      </c>
      <c r="J226" s="19">
        <v>5.0</v>
      </c>
      <c r="K226" s="19">
        <v>11.0</v>
      </c>
      <c r="L226" s="19">
        <v>0.0</v>
      </c>
      <c r="M226" s="19">
        <v>0.0</v>
      </c>
      <c r="N226" s="19">
        <v>1.0</v>
      </c>
      <c r="O226" s="19">
        <v>0.0</v>
      </c>
      <c r="P226" s="19">
        <v>4.0</v>
      </c>
      <c r="Q226" s="19">
        <v>6.0</v>
      </c>
      <c r="R226" s="19">
        <v>1.0</v>
      </c>
      <c r="S226" s="19">
        <v>1.0</v>
      </c>
      <c r="T226" s="19">
        <v>0.0</v>
      </c>
      <c r="U226" s="19">
        <v>0.0</v>
      </c>
      <c r="V226" s="19">
        <v>2.0</v>
      </c>
      <c r="W226" s="19">
        <v>0.0</v>
      </c>
      <c r="X226" s="19">
        <v>0.0</v>
      </c>
      <c r="Y226" s="19">
        <v>0.0</v>
      </c>
      <c r="Z226" s="19">
        <v>4.0</v>
      </c>
      <c r="AA226" s="19">
        <v>2.0</v>
      </c>
      <c r="AB226" s="19">
        <v>4.0</v>
      </c>
      <c r="AC226" s="19">
        <v>0.0</v>
      </c>
      <c r="AD226" s="19">
        <v>0.0</v>
      </c>
      <c r="AE226" s="19">
        <v>0.0</v>
      </c>
      <c r="AF226" s="19">
        <v>0.0</v>
      </c>
      <c r="AG226" s="19">
        <v>0.0</v>
      </c>
      <c r="AH226" s="19">
        <v>0.0</v>
      </c>
      <c r="AI226" s="19">
        <v>0.0</v>
      </c>
      <c r="AJ226" s="19">
        <v>0.0</v>
      </c>
      <c r="AK226" s="13">
        <f t="shared" si="45"/>
        <v>42</v>
      </c>
      <c r="AL226" s="5"/>
      <c r="AM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1.0</v>
      </c>
      <c r="AG227" s="19">
        <v>0.0</v>
      </c>
      <c r="AH227" s="19">
        <v>0.0</v>
      </c>
      <c r="AI227" s="19">
        <v>0.0</v>
      </c>
      <c r="AJ227" s="19">
        <v>0.0</v>
      </c>
      <c r="AK227" s="13">
        <f t="shared" si="45"/>
        <v>1</v>
      </c>
      <c r="AL227" s="5"/>
      <c r="AM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1.0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1.0</v>
      </c>
      <c r="AH228" s="19">
        <v>0.0</v>
      </c>
      <c r="AI228" s="19">
        <v>0.0</v>
      </c>
      <c r="AJ228" s="19">
        <v>0.0</v>
      </c>
      <c r="AK228" s="13">
        <f t="shared" si="45"/>
        <v>2</v>
      </c>
      <c r="AL228" s="5"/>
      <c r="AM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1.0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3">
        <f t="shared" si="45"/>
        <v>1</v>
      </c>
      <c r="AL229" s="1"/>
      <c r="AM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3">
        <f t="shared" si="45"/>
        <v>0</v>
      </c>
      <c r="AL230" s="52"/>
      <c r="AM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3">
        <f t="shared" si="45"/>
        <v>0</v>
      </c>
      <c r="AL231" s="5"/>
      <c r="AM231" s="5"/>
    </row>
    <row r="232" ht="12.75" customHeight="1">
      <c r="A232" s="18"/>
      <c r="B232" s="55">
        <v>7.0</v>
      </c>
      <c r="C232" s="50" t="s">
        <v>172</v>
      </c>
      <c r="D232" s="57"/>
      <c r="E232" s="19">
        <v>1.0</v>
      </c>
      <c r="F232" s="19">
        <v>1.0</v>
      </c>
      <c r="G232" s="19">
        <v>0.0</v>
      </c>
      <c r="H232" s="19">
        <v>0.0</v>
      </c>
      <c r="I232" s="19">
        <v>0.0</v>
      </c>
      <c r="J232" s="19">
        <v>1.0</v>
      </c>
      <c r="K232" s="19">
        <v>10.0</v>
      </c>
      <c r="L232" s="19">
        <v>2.0</v>
      </c>
      <c r="M232" s="19">
        <v>0.0</v>
      </c>
      <c r="N232" s="19">
        <v>0.0</v>
      </c>
      <c r="O232" s="19">
        <v>1.0</v>
      </c>
      <c r="P232" s="19">
        <v>1.0</v>
      </c>
      <c r="Q232" s="19">
        <v>0.0</v>
      </c>
      <c r="R232" s="19">
        <v>0.0</v>
      </c>
      <c r="S232" s="19">
        <v>0.0</v>
      </c>
      <c r="T232" s="19">
        <v>1.0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1.0</v>
      </c>
      <c r="AC232" s="19">
        <v>0.0</v>
      </c>
      <c r="AD232" s="19">
        <v>0.0</v>
      </c>
      <c r="AE232" s="19">
        <v>3.0</v>
      </c>
      <c r="AF232" s="19">
        <v>3.0</v>
      </c>
      <c r="AG232" s="19">
        <v>3.0</v>
      </c>
      <c r="AH232" s="19">
        <v>12.0</v>
      </c>
      <c r="AI232" s="19">
        <v>0.0</v>
      </c>
      <c r="AJ232" s="19">
        <v>0.0</v>
      </c>
      <c r="AK232" s="13">
        <f t="shared" si="45"/>
        <v>40</v>
      </c>
      <c r="AL232" s="5"/>
      <c r="AM232" s="5"/>
    </row>
    <row r="233" ht="12.75" customHeight="1">
      <c r="A233" s="18"/>
      <c r="B233" s="71"/>
      <c r="C233" s="72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3">
        <f t="shared" si="45"/>
        <v>0</v>
      </c>
      <c r="AL233" s="5"/>
      <c r="AM233" s="5"/>
    </row>
    <row r="234" ht="12.75" customHeight="1">
      <c r="A234" s="18"/>
      <c r="B234" s="71"/>
      <c r="C234" s="72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3">
        <f t="shared" si="45"/>
        <v>0</v>
      </c>
      <c r="AL234" s="5"/>
      <c r="AM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AJ235" si="46">SUM(E225:E232)</f>
        <v>1</v>
      </c>
      <c r="F235" s="13">
        <f t="shared" si="46"/>
        <v>1</v>
      </c>
      <c r="G235" s="13">
        <f t="shared" si="46"/>
        <v>1</v>
      </c>
      <c r="H235" s="13">
        <f t="shared" si="46"/>
        <v>0</v>
      </c>
      <c r="I235" s="13">
        <f t="shared" si="46"/>
        <v>0</v>
      </c>
      <c r="J235" s="13">
        <f t="shared" si="46"/>
        <v>6</v>
      </c>
      <c r="K235" s="13">
        <f t="shared" si="46"/>
        <v>21</v>
      </c>
      <c r="L235" s="13">
        <f t="shared" si="46"/>
        <v>2</v>
      </c>
      <c r="M235" s="13">
        <f t="shared" si="46"/>
        <v>0</v>
      </c>
      <c r="N235" s="13">
        <f t="shared" si="46"/>
        <v>1</v>
      </c>
      <c r="O235" s="13">
        <f t="shared" si="46"/>
        <v>1</v>
      </c>
      <c r="P235" s="13">
        <f t="shared" si="46"/>
        <v>5</v>
      </c>
      <c r="Q235" s="13">
        <f t="shared" si="46"/>
        <v>6</v>
      </c>
      <c r="R235" s="13">
        <f t="shared" si="46"/>
        <v>1</v>
      </c>
      <c r="S235" s="13">
        <f t="shared" si="46"/>
        <v>1</v>
      </c>
      <c r="T235" s="13">
        <f t="shared" si="46"/>
        <v>1</v>
      </c>
      <c r="U235" s="13">
        <f t="shared" si="46"/>
        <v>0</v>
      </c>
      <c r="V235" s="13">
        <f t="shared" si="46"/>
        <v>3</v>
      </c>
      <c r="W235" s="13">
        <f t="shared" si="46"/>
        <v>0</v>
      </c>
      <c r="X235" s="13">
        <f t="shared" si="46"/>
        <v>1</v>
      </c>
      <c r="Y235" s="13">
        <f t="shared" si="46"/>
        <v>1</v>
      </c>
      <c r="Z235" s="13">
        <f t="shared" si="46"/>
        <v>6</v>
      </c>
      <c r="AA235" s="13">
        <f t="shared" si="46"/>
        <v>2</v>
      </c>
      <c r="AB235" s="13">
        <f t="shared" si="46"/>
        <v>6</v>
      </c>
      <c r="AC235" s="13">
        <f t="shared" si="46"/>
        <v>0</v>
      </c>
      <c r="AD235" s="13">
        <f t="shared" si="46"/>
        <v>0</v>
      </c>
      <c r="AE235" s="13">
        <f t="shared" si="46"/>
        <v>3</v>
      </c>
      <c r="AF235" s="13">
        <f t="shared" si="46"/>
        <v>4</v>
      </c>
      <c r="AG235" s="13">
        <f t="shared" si="46"/>
        <v>4</v>
      </c>
      <c r="AH235" s="13">
        <f t="shared" si="46"/>
        <v>14</v>
      </c>
      <c r="AI235" s="13">
        <f t="shared" si="46"/>
        <v>0</v>
      </c>
      <c r="AJ235" s="13">
        <f t="shared" si="46"/>
        <v>0</v>
      </c>
      <c r="AK235" s="13">
        <f t="shared" si="45"/>
        <v>92</v>
      </c>
      <c r="AL235" s="5"/>
      <c r="AM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75"/>
      <c r="AK236" s="75"/>
      <c r="AL236" s="5"/>
      <c r="AM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2.0</v>
      </c>
      <c r="F237" s="19">
        <v>1.0</v>
      </c>
      <c r="G237" s="19">
        <v>0.0</v>
      </c>
      <c r="H237" s="19">
        <v>0.0</v>
      </c>
      <c r="I237" s="19">
        <v>1.0</v>
      </c>
      <c r="J237" s="19">
        <v>0.0</v>
      </c>
      <c r="K237" s="19">
        <v>0.0</v>
      </c>
      <c r="L237" s="19">
        <v>0.0</v>
      </c>
      <c r="M237" s="19">
        <v>0.0</v>
      </c>
      <c r="N237" s="19">
        <v>0.0</v>
      </c>
      <c r="O237" s="19">
        <v>0.0</v>
      </c>
      <c r="P237" s="19">
        <v>1.0</v>
      </c>
      <c r="Q237" s="19">
        <v>1.0</v>
      </c>
      <c r="R237" s="19">
        <v>0.0</v>
      </c>
      <c r="S237" s="19">
        <v>0.0</v>
      </c>
      <c r="T237" s="19">
        <v>2.0</v>
      </c>
      <c r="U237" s="19">
        <v>0.0</v>
      </c>
      <c r="V237" s="19">
        <v>2.0</v>
      </c>
      <c r="W237" s="19">
        <v>0.0</v>
      </c>
      <c r="X237" s="19">
        <v>0.0</v>
      </c>
      <c r="Y237" s="19">
        <v>0.0</v>
      </c>
      <c r="Z237" s="19">
        <v>2.0</v>
      </c>
      <c r="AA237" s="19">
        <v>0.0</v>
      </c>
      <c r="AB237" s="19">
        <v>0.0</v>
      </c>
      <c r="AC237" s="19">
        <v>0.0</v>
      </c>
      <c r="AD237" s="19">
        <v>0.0</v>
      </c>
      <c r="AE237" s="19">
        <v>0.0</v>
      </c>
      <c r="AF237" s="19">
        <v>0.0</v>
      </c>
      <c r="AG237" s="19">
        <v>0.0</v>
      </c>
      <c r="AH237" s="19">
        <v>2.0</v>
      </c>
      <c r="AI237" s="19">
        <v>2.0</v>
      </c>
      <c r="AJ237" s="19">
        <v>2.0</v>
      </c>
      <c r="AK237" s="13">
        <f t="shared" ref="AK237:AK247" si="47">SUM(E237:AJ237)</f>
        <v>18</v>
      </c>
      <c r="AL237" s="5"/>
      <c r="AM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3.0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2.0</v>
      </c>
      <c r="Q238" s="19">
        <v>0.0</v>
      </c>
      <c r="R238" s="19">
        <v>0.0</v>
      </c>
      <c r="S238" s="19">
        <v>1.0</v>
      </c>
      <c r="T238" s="19">
        <v>0.0</v>
      </c>
      <c r="U238" s="19">
        <v>0.0</v>
      </c>
      <c r="V238" s="19">
        <v>0.0</v>
      </c>
      <c r="W238" s="19">
        <v>1.0</v>
      </c>
      <c r="X238" s="19">
        <v>0.0</v>
      </c>
      <c r="Y238" s="19">
        <v>0.0</v>
      </c>
      <c r="Z238" s="19">
        <v>1.0</v>
      </c>
      <c r="AA238" s="19">
        <v>0.0</v>
      </c>
      <c r="AB238" s="19">
        <v>0.0</v>
      </c>
      <c r="AC238" s="19">
        <v>0.0</v>
      </c>
      <c r="AD238" s="19">
        <v>0.0</v>
      </c>
      <c r="AE238" s="19">
        <v>0.0</v>
      </c>
      <c r="AF238" s="19">
        <v>0.0</v>
      </c>
      <c r="AG238" s="19">
        <v>0.0</v>
      </c>
      <c r="AH238" s="19">
        <v>5.0</v>
      </c>
      <c r="AI238" s="19">
        <v>2.0</v>
      </c>
      <c r="AJ238" s="19">
        <v>5.0</v>
      </c>
      <c r="AK238" s="13">
        <f t="shared" si="47"/>
        <v>20</v>
      </c>
      <c r="AL238" s="5"/>
      <c r="AM238" s="5"/>
    </row>
    <row r="239" ht="12.75" customHeight="1">
      <c r="A239" s="18"/>
      <c r="B239" s="55">
        <v>2.0</v>
      </c>
      <c r="C239" s="50" t="s">
        <v>176</v>
      </c>
      <c r="D239" s="57"/>
      <c r="E239" s="19">
        <v>1.0</v>
      </c>
      <c r="F239" s="19">
        <v>0.0</v>
      </c>
      <c r="G239" s="19">
        <v>1.0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1.0</v>
      </c>
      <c r="S239" s="19">
        <v>0.0</v>
      </c>
      <c r="T239" s="19">
        <v>0.0</v>
      </c>
      <c r="U239" s="19">
        <v>0.0</v>
      </c>
      <c r="V239" s="19">
        <v>0.0</v>
      </c>
      <c r="W239" s="19">
        <v>0.0</v>
      </c>
      <c r="X239" s="19">
        <v>0.0</v>
      </c>
      <c r="Y239" s="19">
        <v>0.0</v>
      </c>
      <c r="Z239" s="19">
        <v>0.0</v>
      </c>
      <c r="AA239" s="19">
        <v>0.0</v>
      </c>
      <c r="AB239" s="19">
        <v>0.0</v>
      </c>
      <c r="AC239" s="19">
        <v>0.0</v>
      </c>
      <c r="AD239" s="19">
        <v>0.0</v>
      </c>
      <c r="AE239" s="19">
        <v>0.0</v>
      </c>
      <c r="AF239" s="19">
        <v>0.0</v>
      </c>
      <c r="AG239" s="19">
        <v>0.0</v>
      </c>
      <c r="AH239" s="19">
        <v>2.0</v>
      </c>
      <c r="AI239" s="19">
        <v>1.0</v>
      </c>
      <c r="AJ239" s="19">
        <v>1.0</v>
      </c>
      <c r="AK239" s="13">
        <f t="shared" si="47"/>
        <v>7</v>
      </c>
      <c r="AL239" s="5"/>
      <c r="AM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1.0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1.0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1.0</v>
      </c>
      <c r="Y240" s="19">
        <v>0.0</v>
      </c>
      <c r="Z240" s="19">
        <v>0.0</v>
      </c>
      <c r="AA240" s="19">
        <v>0.0</v>
      </c>
      <c r="AB240" s="19">
        <v>0.0</v>
      </c>
      <c r="AC240" s="19">
        <v>0.0</v>
      </c>
      <c r="AD240" s="19">
        <v>0.0</v>
      </c>
      <c r="AE240" s="19">
        <v>0.0</v>
      </c>
      <c r="AF240" s="19">
        <v>0.0</v>
      </c>
      <c r="AG240" s="19">
        <v>0.0</v>
      </c>
      <c r="AH240" s="19">
        <v>0.0</v>
      </c>
      <c r="AI240" s="19">
        <v>0.0</v>
      </c>
      <c r="AJ240" s="19">
        <v>0.0</v>
      </c>
      <c r="AK240" s="13">
        <f t="shared" si="47"/>
        <v>3</v>
      </c>
      <c r="AL240" s="1"/>
      <c r="AM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1.0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0.0</v>
      </c>
      <c r="AH241" s="19">
        <v>2.0</v>
      </c>
      <c r="AI241" s="19">
        <v>1.0</v>
      </c>
      <c r="AJ241" s="19">
        <v>0.0</v>
      </c>
      <c r="AK241" s="13">
        <f t="shared" si="47"/>
        <v>4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1.0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3">
        <f t="shared" si="47"/>
        <v>1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3">
        <f t="shared" si="47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1.0</v>
      </c>
      <c r="F244" s="19">
        <v>0.0</v>
      </c>
      <c r="G244" s="19">
        <v>8.0</v>
      </c>
      <c r="H244" s="19">
        <v>1.0</v>
      </c>
      <c r="I244" s="19">
        <v>1.0</v>
      </c>
      <c r="J244" s="19">
        <v>5.0</v>
      </c>
      <c r="K244" s="19">
        <v>1.0</v>
      </c>
      <c r="L244" s="19">
        <v>0.0</v>
      </c>
      <c r="M244" s="19">
        <v>0.0</v>
      </c>
      <c r="N244" s="19">
        <v>0.0</v>
      </c>
      <c r="O244" s="19">
        <v>12.0</v>
      </c>
      <c r="P244" s="19">
        <v>3.0</v>
      </c>
      <c r="Q244" s="19">
        <v>2.0</v>
      </c>
      <c r="R244" s="19">
        <v>0.0</v>
      </c>
      <c r="S244" s="19">
        <v>1.0</v>
      </c>
      <c r="T244" s="19">
        <v>5.0</v>
      </c>
      <c r="U244" s="19">
        <v>0.0</v>
      </c>
      <c r="V244" s="19">
        <v>3.0</v>
      </c>
      <c r="W244" s="19">
        <v>0.0</v>
      </c>
      <c r="X244" s="19">
        <v>0.0</v>
      </c>
      <c r="Y244" s="19">
        <v>0.0</v>
      </c>
      <c r="Z244" s="19">
        <v>0.0</v>
      </c>
      <c r="AA244" s="19">
        <v>2.0</v>
      </c>
      <c r="AB244" s="19">
        <v>1.0</v>
      </c>
      <c r="AC244" s="19">
        <v>1.0</v>
      </c>
      <c r="AD244" s="19">
        <v>0.0</v>
      </c>
      <c r="AE244" s="19">
        <v>2.0</v>
      </c>
      <c r="AF244" s="19">
        <v>1.0</v>
      </c>
      <c r="AG244" s="19">
        <v>0.0</v>
      </c>
      <c r="AH244" s="19">
        <v>1.0</v>
      </c>
      <c r="AI244" s="19">
        <v>5.0</v>
      </c>
      <c r="AJ244" s="19">
        <v>2.0</v>
      </c>
      <c r="AK244" s="13">
        <f t="shared" si="47"/>
        <v>58</v>
      </c>
    </row>
    <row r="245" ht="12.75" customHeight="1">
      <c r="A245" s="18"/>
      <c r="B245" s="71"/>
      <c r="C245" s="72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3">
        <f t="shared" si="47"/>
        <v>0</v>
      </c>
    </row>
    <row r="246" ht="12.75" customHeight="1">
      <c r="A246" s="18"/>
      <c r="B246" s="71"/>
      <c r="C246" s="72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3">
        <f t="shared" si="47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J247" si="48">SUM(E237:E244)</f>
        <v>7</v>
      </c>
      <c r="F247" s="13">
        <f t="shared" si="48"/>
        <v>1</v>
      </c>
      <c r="G247" s="13">
        <f t="shared" si="48"/>
        <v>9</v>
      </c>
      <c r="H247" s="13">
        <f t="shared" si="48"/>
        <v>1</v>
      </c>
      <c r="I247" s="13">
        <f t="shared" si="48"/>
        <v>2</v>
      </c>
      <c r="J247" s="13">
        <f t="shared" si="48"/>
        <v>6</v>
      </c>
      <c r="K247" s="13">
        <f t="shared" si="48"/>
        <v>1</v>
      </c>
      <c r="L247" s="13">
        <f t="shared" si="48"/>
        <v>0</v>
      </c>
      <c r="M247" s="13">
        <f t="shared" si="48"/>
        <v>0</v>
      </c>
      <c r="N247" s="13">
        <f t="shared" si="48"/>
        <v>0</v>
      </c>
      <c r="O247" s="13">
        <f t="shared" si="48"/>
        <v>12</v>
      </c>
      <c r="P247" s="13">
        <f t="shared" si="48"/>
        <v>7</v>
      </c>
      <c r="Q247" s="13">
        <f t="shared" si="48"/>
        <v>3</v>
      </c>
      <c r="R247" s="13">
        <f t="shared" si="48"/>
        <v>1</v>
      </c>
      <c r="S247" s="13">
        <f t="shared" si="48"/>
        <v>2</v>
      </c>
      <c r="T247" s="13">
        <f t="shared" si="48"/>
        <v>8</v>
      </c>
      <c r="U247" s="13">
        <f t="shared" si="48"/>
        <v>0</v>
      </c>
      <c r="V247" s="13">
        <f t="shared" si="48"/>
        <v>5</v>
      </c>
      <c r="W247" s="13">
        <f t="shared" si="48"/>
        <v>1</v>
      </c>
      <c r="X247" s="13">
        <f t="shared" si="48"/>
        <v>2</v>
      </c>
      <c r="Y247" s="13">
        <f t="shared" si="48"/>
        <v>0</v>
      </c>
      <c r="Z247" s="13">
        <f t="shared" si="48"/>
        <v>3</v>
      </c>
      <c r="AA247" s="13">
        <f t="shared" si="48"/>
        <v>2</v>
      </c>
      <c r="AB247" s="13">
        <f t="shared" si="48"/>
        <v>1</v>
      </c>
      <c r="AC247" s="13">
        <f t="shared" si="48"/>
        <v>1</v>
      </c>
      <c r="AD247" s="13">
        <f t="shared" si="48"/>
        <v>0</v>
      </c>
      <c r="AE247" s="13">
        <f t="shared" si="48"/>
        <v>2</v>
      </c>
      <c r="AF247" s="13">
        <f t="shared" si="48"/>
        <v>1</v>
      </c>
      <c r="AG247" s="13">
        <f t="shared" si="48"/>
        <v>0</v>
      </c>
      <c r="AH247" s="13">
        <f t="shared" si="48"/>
        <v>12</v>
      </c>
      <c r="AI247" s="13">
        <f t="shared" si="48"/>
        <v>11</v>
      </c>
      <c r="AJ247" s="13">
        <f t="shared" si="48"/>
        <v>10</v>
      </c>
      <c r="AK247" s="13">
        <f t="shared" si="47"/>
        <v>111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1.0</v>
      </c>
      <c r="G249" s="19">
        <v>1.0</v>
      </c>
      <c r="H249" s="19">
        <v>0.0</v>
      </c>
      <c r="I249" s="19">
        <v>0.0</v>
      </c>
      <c r="J249" s="19">
        <v>1.0</v>
      </c>
      <c r="K249" s="19">
        <v>0.0</v>
      </c>
      <c r="L249" s="19">
        <v>0.0</v>
      </c>
      <c r="M249" s="19">
        <v>1.0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1.0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0.0</v>
      </c>
      <c r="AG249" s="19">
        <v>0.0</v>
      </c>
      <c r="AH249" s="19">
        <v>0.0</v>
      </c>
      <c r="AI249" s="19">
        <v>0.0</v>
      </c>
      <c r="AJ249" s="19">
        <v>0.0</v>
      </c>
      <c r="AK249" s="13">
        <f t="shared" ref="AK249:AK259" si="49">SUM(E249:AJ249)</f>
        <v>5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2.0</v>
      </c>
      <c r="G250" s="19">
        <v>1.0</v>
      </c>
      <c r="H250" s="19">
        <v>0.0</v>
      </c>
      <c r="I250" s="19">
        <v>0.0</v>
      </c>
      <c r="J250" s="19">
        <v>0.0</v>
      </c>
      <c r="K250" s="19">
        <v>0.0</v>
      </c>
      <c r="L250" s="19">
        <v>1.0</v>
      </c>
      <c r="M250" s="19">
        <v>2.0</v>
      </c>
      <c r="N250" s="19">
        <v>1.0</v>
      </c>
      <c r="O250" s="19">
        <v>0.0</v>
      </c>
      <c r="P250" s="19">
        <v>1.0</v>
      </c>
      <c r="Q250" s="19">
        <v>0.0</v>
      </c>
      <c r="R250" s="19">
        <v>0.0</v>
      </c>
      <c r="S250" s="19">
        <v>1.0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9">
        <v>0.0</v>
      </c>
      <c r="AH250" s="19">
        <v>0.0</v>
      </c>
      <c r="AI250" s="19">
        <v>0.0</v>
      </c>
      <c r="AJ250" s="19">
        <v>0.0</v>
      </c>
      <c r="AK250" s="13">
        <f t="shared" si="49"/>
        <v>9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1.0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1.0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1.0</v>
      </c>
      <c r="S251" s="19">
        <v>0.0</v>
      </c>
      <c r="T251" s="19">
        <v>0.0</v>
      </c>
      <c r="U251" s="19">
        <v>0.0</v>
      </c>
      <c r="V251" s="19">
        <v>1.0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2.0</v>
      </c>
      <c r="AB251" s="19">
        <v>1.0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0.0</v>
      </c>
      <c r="AH251" s="19">
        <v>0.0</v>
      </c>
      <c r="AI251" s="19">
        <v>0.0</v>
      </c>
      <c r="AJ251" s="19">
        <v>0.0</v>
      </c>
      <c r="AK251" s="13">
        <f t="shared" si="49"/>
        <v>7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1.0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3">
        <f t="shared" si="49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3">
        <f t="shared" si="49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1.0</v>
      </c>
      <c r="J254" s="19">
        <v>0.0</v>
      </c>
      <c r="K254" s="19">
        <v>0.0</v>
      </c>
      <c r="L254" s="19">
        <v>1.0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3">
        <f t="shared" si="49"/>
        <v>2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0.0</v>
      </c>
      <c r="AK255" s="13">
        <f t="shared" si="49"/>
        <v>0</v>
      </c>
    </row>
    <row r="256" ht="12.75" customHeight="1">
      <c r="A256" s="18"/>
      <c r="B256" s="71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3">
        <f t="shared" si="49"/>
        <v>0</v>
      </c>
    </row>
    <row r="257" ht="12.75" customHeight="1">
      <c r="A257" s="18"/>
      <c r="B257" s="71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3">
        <f t="shared" si="49"/>
        <v>0</v>
      </c>
    </row>
    <row r="258" ht="12.75" customHeight="1">
      <c r="A258" s="18"/>
      <c r="B258" s="71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3">
        <f t="shared" si="49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AJ259" si="50">SUM(E249:E255)</f>
        <v>1</v>
      </c>
      <c r="F259" s="13">
        <f t="shared" si="50"/>
        <v>4</v>
      </c>
      <c r="G259" s="13">
        <f t="shared" si="50"/>
        <v>2</v>
      </c>
      <c r="H259" s="13">
        <f t="shared" si="50"/>
        <v>0</v>
      </c>
      <c r="I259" s="13">
        <f t="shared" si="50"/>
        <v>1</v>
      </c>
      <c r="J259" s="13">
        <f t="shared" si="50"/>
        <v>1</v>
      </c>
      <c r="K259" s="13">
        <f t="shared" si="50"/>
        <v>1</v>
      </c>
      <c r="L259" s="13">
        <f t="shared" si="50"/>
        <v>2</v>
      </c>
      <c r="M259" s="13">
        <f t="shared" si="50"/>
        <v>3</v>
      </c>
      <c r="N259" s="13">
        <f t="shared" si="50"/>
        <v>1</v>
      </c>
      <c r="O259" s="13">
        <f t="shared" si="50"/>
        <v>0</v>
      </c>
      <c r="P259" s="13">
        <f t="shared" si="50"/>
        <v>1</v>
      </c>
      <c r="Q259" s="13">
        <f t="shared" si="50"/>
        <v>0</v>
      </c>
      <c r="R259" s="13">
        <f t="shared" si="50"/>
        <v>1</v>
      </c>
      <c r="S259" s="13">
        <f t="shared" si="50"/>
        <v>1</v>
      </c>
      <c r="T259" s="13">
        <f t="shared" si="50"/>
        <v>0</v>
      </c>
      <c r="U259" s="13">
        <f t="shared" si="50"/>
        <v>0</v>
      </c>
      <c r="V259" s="13">
        <f t="shared" si="50"/>
        <v>2</v>
      </c>
      <c r="W259" s="13">
        <f t="shared" si="50"/>
        <v>0</v>
      </c>
      <c r="X259" s="13">
        <f t="shared" si="50"/>
        <v>0</v>
      </c>
      <c r="Y259" s="13">
        <f t="shared" si="50"/>
        <v>0</v>
      </c>
      <c r="Z259" s="13">
        <f t="shared" si="50"/>
        <v>0</v>
      </c>
      <c r="AA259" s="13">
        <f t="shared" si="50"/>
        <v>2</v>
      </c>
      <c r="AB259" s="13">
        <f t="shared" si="50"/>
        <v>1</v>
      </c>
      <c r="AC259" s="13">
        <f t="shared" si="50"/>
        <v>0</v>
      </c>
      <c r="AD259" s="13">
        <f t="shared" si="50"/>
        <v>0</v>
      </c>
      <c r="AE259" s="13">
        <f t="shared" si="50"/>
        <v>0</v>
      </c>
      <c r="AF259" s="13">
        <f t="shared" si="50"/>
        <v>0</v>
      </c>
      <c r="AG259" s="13">
        <f t="shared" si="50"/>
        <v>0</v>
      </c>
      <c r="AH259" s="13">
        <f t="shared" si="50"/>
        <v>0</v>
      </c>
      <c r="AI259" s="13">
        <f t="shared" si="50"/>
        <v>0</v>
      </c>
      <c r="AJ259" s="13">
        <f t="shared" si="50"/>
        <v>0</v>
      </c>
      <c r="AK259" s="13">
        <f t="shared" si="49"/>
        <v>24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0"/>
      <c r="O261" s="13"/>
      <c r="P261" s="13"/>
      <c r="Q261" s="13"/>
      <c r="R261" s="13"/>
      <c r="S261" s="70"/>
      <c r="T261" s="13"/>
      <c r="U261" s="13"/>
      <c r="V261" s="13"/>
      <c r="W261" s="13"/>
      <c r="X261" s="70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70"/>
      <c r="AJ261" s="13"/>
      <c r="AK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J262" si="51">E55+E67+E79+E91+E103+E115+E127+E139+E151+E163+E175+E187+E199+E211+E223+E235+E247+E259</f>
        <v>172</v>
      </c>
      <c r="F262" s="19">
        <f t="shared" si="51"/>
        <v>177</v>
      </c>
      <c r="G262" s="19">
        <f t="shared" si="51"/>
        <v>175</v>
      </c>
      <c r="H262" s="19">
        <f t="shared" si="51"/>
        <v>217</v>
      </c>
      <c r="I262" s="19">
        <f t="shared" si="51"/>
        <v>166</v>
      </c>
      <c r="J262" s="19">
        <f t="shared" si="51"/>
        <v>176</v>
      </c>
      <c r="K262" s="19">
        <f t="shared" si="51"/>
        <v>182</v>
      </c>
      <c r="L262" s="19">
        <f t="shared" si="51"/>
        <v>169</v>
      </c>
      <c r="M262" s="19">
        <f t="shared" si="51"/>
        <v>207</v>
      </c>
      <c r="N262" s="19">
        <f t="shared" si="51"/>
        <v>185</v>
      </c>
      <c r="O262" s="19">
        <f t="shared" si="51"/>
        <v>210</v>
      </c>
      <c r="P262" s="19">
        <f t="shared" si="51"/>
        <v>220</v>
      </c>
      <c r="Q262" s="19">
        <f t="shared" si="51"/>
        <v>201</v>
      </c>
      <c r="R262" s="19">
        <f t="shared" si="51"/>
        <v>208</v>
      </c>
      <c r="S262" s="19">
        <f t="shared" si="51"/>
        <v>185</v>
      </c>
      <c r="T262" s="19">
        <f t="shared" si="51"/>
        <v>204</v>
      </c>
      <c r="U262" s="19">
        <f t="shared" si="51"/>
        <v>217</v>
      </c>
      <c r="V262" s="19">
        <f t="shared" si="51"/>
        <v>190</v>
      </c>
      <c r="W262" s="19">
        <f t="shared" si="51"/>
        <v>165</v>
      </c>
      <c r="X262" s="19">
        <f t="shared" si="51"/>
        <v>175</v>
      </c>
      <c r="Y262" s="19">
        <f t="shared" si="51"/>
        <v>173</v>
      </c>
      <c r="Z262" s="19">
        <f t="shared" si="51"/>
        <v>188</v>
      </c>
      <c r="AA262" s="19">
        <f t="shared" si="51"/>
        <v>200</v>
      </c>
      <c r="AB262" s="19">
        <f t="shared" si="51"/>
        <v>179</v>
      </c>
      <c r="AC262" s="19">
        <f t="shared" si="51"/>
        <v>172</v>
      </c>
      <c r="AD262" s="19">
        <f t="shared" si="51"/>
        <v>185</v>
      </c>
      <c r="AE262" s="19">
        <f t="shared" si="51"/>
        <v>189</v>
      </c>
      <c r="AF262" s="19">
        <f t="shared" si="51"/>
        <v>191</v>
      </c>
      <c r="AG262" s="19">
        <f t="shared" si="51"/>
        <v>203</v>
      </c>
      <c r="AH262" s="19">
        <f t="shared" si="51"/>
        <v>201</v>
      </c>
      <c r="AI262" s="19">
        <f t="shared" si="51"/>
        <v>177</v>
      </c>
      <c r="AJ262" s="19">
        <f t="shared" si="51"/>
        <v>170</v>
      </c>
      <c r="AK262" s="13">
        <f t="shared" ref="AK262:AK264" si="52">SUM(E262:AJ262)</f>
        <v>6029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24.0</v>
      </c>
      <c r="F263" s="19">
        <v>38.0</v>
      </c>
      <c r="G263" s="19">
        <v>33.0</v>
      </c>
      <c r="H263" s="19">
        <v>30.0</v>
      </c>
      <c r="I263" s="19">
        <v>40.0</v>
      </c>
      <c r="J263" s="19">
        <v>52.0</v>
      </c>
      <c r="K263" s="19">
        <v>32.0</v>
      </c>
      <c r="L263" s="19">
        <v>32.0</v>
      </c>
      <c r="M263" s="19">
        <v>29.0</v>
      </c>
      <c r="N263" s="19">
        <v>18.0</v>
      </c>
      <c r="O263" s="19">
        <v>17.0</v>
      </c>
      <c r="P263" s="19">
        <v>19.0</v>
      </c>
      <c r="Q263" s="19">
        <v>11.0</v>
      </c>
      <c r="R263" s="19">
        <v>16.0</v>
      </c>
      <c r="S263" s="19">
        <v>14.0</v>
      </c>
      <c r="T263" s="19">
        <v>17.0</v>
      </c>
      <c r="U263" s="19">
        <v>21.0</v>
      </c>
      <c r="V263" s="19">
        <v>19.0</v>
      </c>
      <c r="W263" s="19">
        <v>42.0</v>
      </c>
      <c r="X263" s="19">
        <v>26.0</v>
      </c>
      <c r="Y263" s="19">
        <v>13.0</v>
      </c>
      <c r="Z263" s="19">
        <v>25.0</v>
      </c>
      <c r="AA263" s="19">
        <v>17.0</v>
      </c>
      <c r="AB263" s="19">
        <v>30.0</v>
      </c>
      <c r="AC263" s="19">
        <v>7.0</v>
      </c>
      <c r="AD263" s="19">
        <v>19.0</v>
      </c>
      <c r="AE263" s="19">
        <v>20.0</v>
      </c>
      <c r="AF263" s="19">
        <v>35.0</v>
      </c>
      <c r="AG263" s="19">
        <v>14.0</v>
      </c>
      <c r="AH263" s="19">
        <v>41.0</v>
      </c>
      <c r="AI263" s="19">
        <v>30.0</v>
      </c>
      <c r="AJ263" s="19">
        <v>63.0</v>
      </c>
      <c r="AK263" s="13">
        <f t="shared" si="52"/>
        <v>844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J264" si="53">SUM(E262:E263)</f>
        <v>196</v>
      </c>
      <c r="F264" s="13">
        <f t="shared" si="53"/>
        <v>215</v>
      </c>
      <c r="G264" s="13">
        <f t="shared" si="53"/>
        <v>208</v>
      </c>
      <c r="H264" s="13">
        <f t="shared" si="53"/>
        <v>247</v>
      </c>
      <c r="I264" s="13">
        <f t="shared" si="53"/>
        <v>206</v>
      </c>
      <c r="J264" s="13">
        <f t="shared" si="53"/>
        <v>228</v>
      </c>
      <c r="K264" s="13">
        <f t="shared" si="53"/>
        <v>214</v>
      </c>
      <c r="L264" s="13">
        <f t="shared" si="53"/>
        <v>201</v>
      </c>
      <c r="M264" s="13">
        <f t="shared" si="53"/>
        <v>236</v>
      </c>
      <c r="N264" s="13">
        <f t="shared" si="53"/>
        <v>203</v>
      </c>
      <c r="O264" s="13">
        <f t="shared" si="53"/>
        <v>227</v>
      </c>
      <c r="P264" s="13">
        <f t="shared" si="53"/>
        <v>239</v>
      </c>
      <c r="Q264" s="13">
        <f t="shared" si="53"/>
        <v>212</v>
      </c>
      <c r="R264" s="13">
        <f t="shared" si="53"/>
        <v>224</v>
      </c>
      <c r="S264" s="13">
        <f t="shared" si="53"/>
        <v>199</v>
      </c>
      <c r="T264" s="13">
        <f t="shared" si="53"/>
        <v>221</v>
      </c>
      <c r="U264" s="13">
        <f t="shared" si="53"/>
        <v>238</v>
      </c>
      <c r="V264" s="13">
        <f t="shared" si="53"/>
        <v>209</v>
      </c>
      <c r="W264" s="13">
        <f t="shared" si="53"/>
        <v>207</v>
      </c>
      <c r="X264" s="13">
        <f t="shared" si="53"/>
        <v>201</v>
      </c>
      <c r="Y264" s="13">
        <f t="shared" si="53"/>
        <v>186</v>
      </c>
      <c r="Z264" s="13">
        <f t="shared" si="53"/>
        <v>213</v>
      </c>
      <c r="AA264" s="13">
        <f t="shared" si="53"/>
        <v>217</v>
      </c>
      <c r="AB264" s="13">
        <f t="shared" si="53"/>
        <v>209</v>
      </c>
      <c r="AC264" s="13">
        <f t="shared" si="53"/>
        <v>179</v>
      </c>
      <c r="AD264" s="13">
        <f t="shared" si="53"/>
        <v>204</v>
      </c>
      <c r="AE264" s="13">
        <f t="shared" si="53"/>
        <v>209</v>
      </c>
      <c r="AF264" s="13">
        <f t="shared" si="53"/>
        <v>226</v>
      </c>
      <c r="AG264" s="13">
        <f t="shared" si="53"/>
        <v>217</v>
      </c>
      <c r="AH264" s="13">
        <f t="shared" si="53"/>
        <v>242</v>
      </c>
      <c r="AI264" s="13">
        <f t="shared" si="53"/>
        <v>207</v>
      </c>
      <c r="AJ264" s="13">
        <f t="shared" si="53"/>
        <v>233</v>
      </c>
      <c r="AK264" s="13">
        <f t="shared" si="52"/>
        <v>6873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C50:D50"/>
    <mergeCell ref="C51:D51"/>
    <mergeCell ref="C52:D52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C249:D249"/>
    <mergeCell ref="B259:D259"/>
    <mergeCell ref="B261:D261"/>
    <mergeCell ref="C262:D262"/>
    <mergeCell ref="C263:D263"/>
    <mergeCell ref="C264:D264"/>
    <mergeCell ref="A224:E224"/>
    <mergeCell ref="C225:D225"/>
    <mergeCell ref="B235:D235"/>
    <mergeCell ref="A236:E236"/>
    <mergeCell ref="C237:D237"/>
    <mergeCell ref="B247:D247"/>
    <mergeCell ref="A248:E248"/>
    <mergeCell ref="B12:D12"/>
    <mergeCell ref="E12:AJ12"/>
    <mergeCell ref="AK12:A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D37"/>
    <mergeCell ref="B38:D38"/>
    <mergeCell ref="B39:C41"/>
    <mergeCell ref="A42:D42"/>
    <mergeCell ref="E42:AD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93:D93"/>
    <mergeCell ref="B103:D103"/>
    <mergeCell ref="A104:E104"/>
    <mergeCell ref="C105:D105"/>
  </mergeCells>
  <conditionalFormatting sqref="E34:AJ34">
    <cfRule type="expression" dxfId="0" priority="1">
      <formula>E34&lt;&gt;E64</formula>
    </cfRule>
  </conditionalFormatting>
  <conditionalFormatting sqref="E14:AJ15">
    <cfRule type="containsBlanks" dxfId="1" priority="2">
      <formula>LEN(TRIM(E14))=0</formula>
    </cfRule>
  </conditionalFormatting>
  <conditionalFormatting sqref="E19:AJ20">
    <cfRule type="containsBlanks" dxfId="1" priority="3">
      <formula>LEN(TRIM(E19))=0</formula>
    </cfRule>
  </conditionalFormatting>
  <conditionalFormatting sqref="E22:AJ23 E25:AJ26 E33:AJ33 E35:AJ35 E39:AJ40">
    <cfRule type="containsBlanks" dxfId="1" priority="4">
      <formula>LEN(TRIM(E22))=0</formula>
    </cfRule>
  </conditionalFormatting>
  <conditionalFormatting sqref="E30:AJ30">
    <cfRule type="expression" dxfId="0" priority="5">
      <formula>E30&lt;&gt;E47</formula>
    </cfRule>
  </conditionalFormatting>
  <conditionalFormatting sqref="E30:AJ30">
    <cfRule type="expression" dxfId="0" priority="6">
      <formula>E30&lt;&gt;E34</formula>
    </cfRule>
  </conditionalFormatting>
  <conditionalFormatting sqref="E34:AJ34">
    <cfRule type="expression" dxfId="2" priority="7">
      <formula>E30&lt;&gt;E34</formula>
    </cfRule>
  </conditionalFormatting>
  <conditionalFormatting sqref="E34:AJ34">
    <cfRule type="expression" dxfId="3" priority="8">
      <formula>E30=E34</formula>
    </cfRule>
  </conditionalFormatting>
  <conditionalFormatting sqref="E34:AJ34">
    <cfRule type="expression" dxfId="0" priority="9">
      <formula>E34&lt;&gt;E30</formula>
    </cfRule>
  </conditionalFormatting>
  <conditionalFormatting sqref="F45:AJ54">
    <cfRule type="containsBlanks" dxfId="1" priority="10">
      <formula>LEN(TRIM(F45))=0</formula>
    </cfRule>
  </conditionalFormatting>
  <conditionalFormatting sqref="F57:AJ66">
    <cfRule type="containsBlanks" dxfId="1" priority="11">
      <formula>LEN(TRIM(F57))=0</formula>
    </cfRule>
  </conditionalFormatting>
  <conditionalFormatting sqref="F69:AJ78">
    <cfRule type="containsBlanks" dxfId="1" priority="12">
      <formula>LEN(TRIM(F69))=0</formula>
    </cfRule>
  </conditionalFormatting>
  <conditionalFormatting sqref="F81:AJ90">
    <cfRule type="containsBlanks" dxfId="1" priority="13">
      <formula>LEN(TRIM(F81))=0</formula>
    </cfRule>
  </conditionalFormatting>
  <conditionalFormatting sqref="F93:AJ102">
    <cfRule type="containsBlanks" dxfId="1" priority="14">
      <formula>LEN(TRIM(F93))=0</formula>
    </cfRule>
  </conditionalFormatting>
  <conditionalFormatting sqref="F105:AJ114">
    <cfRule type="containsBlanks" dxfId="1" priority="15">
      <formula>LEN(TRIM(F105))=0</formula>
    </cfRule>
  </conditionalFormatting>
  <conditionalFormatting sqref="F117:AJ126">
    <cfRule type="containsBlanks" dxfId="1" priority="16">
      <formula>LEN(TRIM(F117))=0</formula>
    </cfRule>
  </conditionalFormatting>
  <conditionalFormatting sqref="F129:AJ138">
    <cfRule type="containsBlanks" dxfId="1" priority="17">
      <formula>LEN(TRIM(F129))=0</formula>
    </cfRule>
  </conditionalFormatting>
  <conditionalFormatting sqref="F141:AJ150">
    <cfRule type="containsBlanks" dxfId="1" priority="18">
      <formula>LEN(TRIM(F141))=0</formula>
    </cfRule>
  </conditionalFormatting>
  <conditionalFormatting sqref="F153:AJ162">
    <cfRule type="containsBlanks" dxfId="1" priority="19">
      <formula>LEN(TRIM(F153))=0</formula>
    </cfRule>
  </conditionalFormatting>
  <conditionalFormatting sqref="F165:AJ174">
    <cfRule type="containsBlanks" dxfId="1" priority="20">
      <formula>LEN(TRIM(F165))=0</formula>
    </cfRule>
  </conditionalFormatting>
  <conditionalFormatting sqref="F177:AJ186">
    <cfRule type="containsBlanks" dxfId="1" priority="21">
      <formula>LEN(TRIM(F177))=0</formula>
    </cfRule>
  </conditionalFormatting>
  <conditionalFormatting sqref="F189:AJ198">
    <cfRule type="containsBlanks" dxfId="1" priority="22">
      <formula>LEN(TRIM(F189))=0</formula>
    </cfRule>
  </conditionalFormatting>
  <conditionalFormatting sqref="F201:AJ210">
    <cfRule type="containsBlanks" dxfId="1" priority="23">
      <formula>LEN(TRIM(F201))=0</formula>
    </cfRule>
  </conditionalFormatting>
  <conditionalFormatting sqref="F213:AJ222">
    <cfRule type="containsBlanks" dxfId="1" priority="24">
      <formula>LEN(TRIM(F213))=0</formula>
    </cfRule>
  </conditionalFormatting>
  <conditionalFormatting sqref="F225:AJ234">
    <cfRule type="containsBlanks" dxfId="1" priority="25">
      <formula>LEN(TRIM(F225))=0</formula>
    </cfRule>
  </conditionalFormatting>
  <conditionalFormatting sqref="F237:AJ246">
    <cfRule type="containsBlanks" dxfId="1" priority="26">
      <formula>LEN(TRIM(F237))=0</formula>
    </cfRule>
  </conditionalFormatting>
  <conditionalFormatting sqref="F249:AJ259">
    <cfRule type="containsBlanks" dxfId="1" priority="27">
      <formula>LEN(TRIM(F249))=0</formula>
    </cfRule>
  </conditionalFormatting>
  <conditionalFormatting sqref="F262:AJ263">
    <cfRule type="containsBlanks" dxfId="1" priority="28">
      <formula>LEN(TRIM(F262))=0</formula>
    </cfRule>
  </conditionalFormatting>
  <conditionalFormatting sqref="E45:E54">
    <cfRule type="containsBlanks" dxfId="1" priority="29">
      <formula>LEN(TRIM(E45))=0</formula>
    </cfRule>
  </conditionalFormatting>
  <conditionalFormatting sqref="E57:E66">
    <cfRule type="containsBlanks" dxfId="1" priority="30">
      <formula>LEN(TRIM(E57))=0</formula>
    </cfRule>
  </conditionalFormatting>
  <conditionalFormatting sqref="E69:E78">
    <cfRule type="containsBlanks" dxfId="1" priority="31">
      <formula>LEN(TRIM(E69))=0</formula>
    </cfRule>
  </conditionalFormatting>
  <conditionalFormatting sqref="E81:E90">
    <cfRule type="containsBlanks" dxfId="1" priority="32">
      <formula>LEN(TRIM(E81))=0</formula>
    </cfRule>
  </conditionalFormatting>
  <conditionalFormatting sqref="E93:E102">
    <cfRule type="containsBlanks" dxfId="1" priority="33">
      <formula>LEN(TRIM(E93))=0</formula>
    </cfRule>
  </conditionalFormatting>
  <conditionalFormatting sqref="E105:E114">
    <cfRule type="containsBlanks" dxfId="1" priority="34">
      <formula>LEN(TRIM(E105))=0</formula>
    </cfRule>
  </conditionalFormatting>
  <conditionalFormatting sqref="E117:E126">
    <cfRule type="containsBlanks" dxfId="1" priority="35">
      <formula>LEN(TRIM(E117))=0</formula>
    </cfRule>
  </conditionalFormatting>
  <conditionalFormatting sqref="E129:E138">
    <cfRule type="containsBlanks" dxfId="1" priority="36">
      <formula>LEN(TRIM(E129))=0</formula>
    </cfRule>
  </conditionalFormatting>
  <conditionalFormatting sqref="E141:E150">
    <cfRule type="containsBlanks" dxfId="1" priority="37">
      <formula>LEN(TRIM(E141))=0</formula>
    </cfRule>
  </conditionalFormatting>
  <conditionalFormatting sqref="E153:E162">
    <cfRule type="containsBlanks" dxfId="1" priority="38">
      <formula>LEN(TRIM(E153))=0</formula>
    </cfRule>
  </conditionalFormatting>
  <conditionalFormatting sqref="E165:E174">
    <cfRule type="containsBlanks" dxfId="1" priority="39">
      <formula>LEN(TRIM(E165))=0</formula>
    </cfRule>
  </conditionalFormatting>
  <conditionalFormatting sqref="E177:E186">
    <cfRule type="containsBlanks" dxfId="1" priority="40">
      <formula>LEN(TRIM(E177))=0</formula>
    </cfRule>
  </conditionalFormatting>
  <conditionalFormatting sqref="E189:E198">
    <cfRule type="containsBlanks" dxfId="1" priority="41">
      <formula>LEN(TRIM(E189))=0</formula>
    </cfRule>
  </conditionalFormatting>
  <conditionalFormatting sqref="E201:E210">
    <cfRule type="containsBlanks" dxfId="1" priority="42">
      <formula>LEN(TRIM(E201))=0</formula>
    </cfRule>
  </conditionalFormatting>
  <conditionalFormatting sqref="E213:E222">
    <cfRule type="containsBlanks" dxfId="1" priority="43">
      <formula>LEN(TRIM(E213))=0</formula>
    </cfRule>
  </conditionalFormatting>
  <conditionalFormatting sqref="E225:E234">
    <cfRule type="containsBlanks" dxfId="1" priority="44">
      <formula>LEN(TRIM(E225))=0</formula>
    </cfRule>
  </conditionalFormatting>
  <conditionalFormatting sqref="E237:E246">
    <cfRule type="containsBlanks" dxfId="1" priority="45">
      <formula>LEN(TRIM(E237))=0</formula>
    </cfRule>
  </conditionalFormatting>
  <conditionalFormatting sqref="E249:E259">
    <cfRule type="containsBlanks" dxfId="1" priority="46">
      <formula>LEN(TRIM(E249))=0</formula>
    </cfRule>
  </conditionalFormatting>
  <conditionalFormatting sqref="E262:E263">
    <cfRule type="containsBlanks" dxfId="1" priority="47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  <col customWidth="1" min="1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36"/>
    </row>
    <row r="14" ht="12.75" customHeight="1">
      <c r="A14" s="18"/>
      <c r="B14" s="22" t="s">
        <v>11</v>
      </c>
      <c r="C14" s="23"/>
      <c r="D14" s="19" t="s">
        <v>12</v>
      </c>
      <c r="E14" s="19">
        <v>147.0</v>
      </c>
      <c r="F14" s="19">
        <v>122.0</v>
      </c>
      <c r="G14" s="19">
        <v>126.0</v>
      </c>
      <c r="H14" s="19">
        <v>132.0</v>
      </c>
      <c r="I14" s="19">
        <v>134.0</v>
      </c>
      <c r="J14" s="19">
        <v>128.0</v>
      </c>
      <c r="K14" s="19">
        <v>123.0</v>
      </c>
      <c r="L14" s="19">
        <v>106.0</v>
      </c>
      <c r="M14" s="19">
        <v>105.0</v>
      </c>
      <c r="N14" s="19">
        <v>122.0</v>
      </c>
      <c r="O14" s="13">
        <f t="shared" ref="O14:O16" si="1">SUM(E14:N14)</f>
        <v>1245</v>
      </c>
    </row>
    <row r="15" ht="12.75" customHeight="1">
      <c r="A15" s="18"/>
      <c r="B15" s="26"/>
      <c r="C15" s="27"/>
      <c r="D15" s="19" t="s">
        <v>13</v>
      </c>
      <c r="E15" s="19">
        <v>146.0</v>
      </c>
      <c r="F15" s="19">
        <v>147.0</v>
      </c>
      <c r="G15" s="19">
        <v>135.0</v>
      </c>
      <c r="H15" s="19">
        <v>140.0</v>
      </c>
      <c r="I15" s="19">
        <v>111.0</v>
      </c>
      <c r="J15" s="19">
        <v>127.0</v>
      </c>
      <c r="K15" s="19">
        <v>140.0</v>
      </c>
      <c r="L15" s="19">
        <v>105.0</v>
      </c>
      <c r="M15" s="19">
        <v>108.0</v>
      </c>
      <c r="N15" s="19">
        <v>134.0</v>
      </c>
      <c r="O15" s="13">
        <f t="shared" si="1"/>
        <v>1293</v>
      </c>
    </row>
    <row r="16" ht="12.75" customHeight="1">
      <c r="A16" s="25"/>
      <c r="B16" s="21"/>
      <c r="C16" s="28"/>
      <c r="D16" s="13" t="s">
        <v>14</v>
      </c>
      <c r="E16" s="13">
        <f t="shared" ref="E16:N16" si="2">SUM(E14:E15)</f>
        <v>293</v>
      </c>
      <c r="F16" s="13">
        <f t="shared" si="2"/>
        <v>269</v>
      </c>
      <c r="G16" s="13">
        <f t="shared" si="2"/>
        <v>261</v>
      </c>
      <c r="H16" s="13">
        <f t="shared" si="2"/>
        <v>272</v>
      </c>
      <c r="I16" s="13">
        <f t="shared" si="2"/>
        <v>245</v>
      </c>
      <c r="J16" s="13">
        <f t="shared" si="2"/>
        <v>255</v>
      </c>
      <c r="K16" s="13">
        <f t="shared" si="2"/>
        <v>263</v>
      </c>
      <c r="L16" s="13">
        <f t="shared" si="2"/>
        <v>211</v>
      </c>
      <c r="M16" s="13">
        <f t="shared" si="2"/>
        <v>213</v>
      </c>
      <c r="N16" s="13">
        <f t="shared" si="2"/>
        <v>256</v>
      </c>
      <c r="O16" s="13">
        <f t="shared" si="1"/>
        <v>2538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89.0</v>
      </c>
      <c r="G19" s="19">
        <v>94.0</v>
      </c>
      <c r="H19" s="19">
        <v>89.0</v>
      </c>
      <c r="I19" s="19">
        <v>94.0</v>
      </c>
      <c r="J19" s="19">
        <v>97.0</v>
      </c>
      <c r="K19" s="19">
        <v>84.0</v>
      </c>
      <c r="L19" s="19">
        <v>71.0</v>
      </c>
      <c r="M19" s="19">
        <v>68.0</v>
      </c>
      <c r="N19" s="19">
        <v>70.0</v>
      </c>
      <c r="O19" s="13">
        <f t="shared" ref="O19:O30" si="3">SUM(E19:N19)</f>
        <v>867</v>
      </c>
    </row>
    <row r="20" ht="12.75" customHeight="1">
      <c r="A20" s="33"/>
      <c r="B20" s="27"/>
      <c r="C20" s="34"/>
      <c r="D20" s="19" t="s">
        <v>13</v>
      </c>
      <c r="E20" s="19">
        <v>118.0</v>
      </c>
      <c r="F20" s="19">
        <v>113.0</v>
      </c>
      <c r="G20" s="19">
        <v>106.0</v>
      </c>
      <c r="H20" s="19">
        <v>96.0</v>
      </c>
      <c r="I20" s="19">
        <v>80.0</v>
      </c>
      <c r="J20" s="19">
        <v>97.0</v>
      </c>
      <c r="K20" s="19">
        <v>96.0</v>
      </c>
      <c r="L20" s="19">
        <v>86.0</v>
      </c>
      <c r="M20" s="19">
        <v>71.0</v>
      </c>
      <c r="N20" s="19">
        <v>92.0</v>
      </c>
      <c r="O20" s="13">
        <f t="shared" si="3"/>
        <v>955</v>
      </c>
    </row>
    <row r="21" ht="12.75" customHeight="1">
      <c r="A21" s="35"/>
      <c r="B21" s="28"/>
      <c r="C21" s="36"/>
      <c r="D21" s="13" t="s">
        <v>14</v>
      </c>
      <c r="E21" s="13">
        <f t="shared" ref="E21:N21" si="4">SUM(E19:E20)</f>
        <v>229</v>
      </c>
      <c r="F21" s="13">
        <f t="shared" si="4"/>
        <v>202</v>
      </c>
      <c r="G21" s="13">
        <f t="shared" si="4"/>
        <v>200</v>
      </c>
      <c r="H21" s="13">
        <f t="shared" si="4"/>
        <v>185</v>
      </c>
      <c r="I21" s="13">
        <f t="shared" si="4"/>
        <v>174</v>
      </c>
      <c r="J21" s="13">
        <f t="shared" si="4"/>
        <v>194</v>
      </c>
      <c r="K21" s="13">
        <f t="shared" si="4"/>
        <v>180</v>
      </c>
      <c r="L21" s="13">
        <f t="shared" si="4"/>
        <v>157</v>
      </c>
      <c r="M21" s="13">
        <f t="shared" si="4"/>
        <v>139</v>
      </c>
      <c r="N21" s="13">
        <f t="shared" si="4"/>
        <v>162</v>
      </c>
      <c r="O21" s="13">
        <f t="shared" si="3"/>
        <v>1822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N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2.0</v>
      </c>
      <c r="G25" s="19">
        <v>0.0</v>
      </c>
      <c r="H25" s="19">
        <v>1.0</v>
      </c>
      <c r="I25" s="19">
        <v>4.0</v>
      </c>
      <c r="J25" s="19">
        <v>1.0</v>
      </c>
      <c r="K25" s="19">
        <v>1.0</v>
      </c>
      <c r="L25" s="19">
        <v>0.0</v>
      </c>
      <c r="M25" s="19">
        <v>0.0</v>
      </c>
      <c r="N25" s="19">
        <v>0.0</v>
      </c>
      <c r="O25" s="13">
        <f t="shared" si="3"/>
        <v>10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0.0</v>
      </c>
      <c r="H26" s="19">
        <v>1.0</v>
      </c>
      <c r="I26" s="19">
        <v>0.0</v>
      </c>
      <c r="J26" s="19">
        <v>0.0</v>
      </c>
      <c r="K26" s="19">
        <v>2.0</v>
      </c>
      <c r="L26" s="19">
        <v>0.0</v>
      </c>
      <c r="M26" s="19">
        <v>0.0</v>
      </c>
      <c r="N26" s="19">
        <v>0.0</v>
      </c>
      <c r="O26" s="13">
        <f t="shared" si="3"/>
        <v>5</v>
      </c>
    </row>
    <row r="27" ht="12.75" customHeight="1">
      <c r="A27" s="35"/>
      <c r="B27" s="28"/>
      <c r="C27" s="36"/>
      <c r="D27" s="13" t="s">
        <v>14</v>
      </c>
      <c r="E27" s="13">
        <f t="shared" ref="E27:N27" si="6">SUM(E25:E26)</f>
        <v>3</v>
      </c>
      <c r="F27" s="13">
        <f t="shared" si="6"/>
        <v>2</v>
      </c>
      <c r="G27" s="13">
        <f t="shared" si="6"/>
        <v>0</v>
      </c>
      <c r="H27" s="13">
        <f t="shared" si="6"/>
        <v>2</v>
      </c>
      <c r="I27" s="13">
        <f t="shared" si="6"/>
        <v>4</v>
      </c>
      <c r="J27" s="13">
        <f t="shared" si="6"/>
        <v>1</v>
      </c>
      <c r="K27" s="13">
        <f t="shared" si="6"/>
        <v>3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3"/>
        <v>15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N28" si="7">SUM(E19,E22,E25)</f>
        <v>112</v>
      </c>
      <c r="F28" s="13">
        <f t="shared" si="7"/>
        <v>91</v>
      </c>
      <c r="G28" s="13">
        <f t="shared" si="7"/>
        <v>94</v>
      </c>
      <c r="H28" s="13">
        <f t="shared" si="7"/>
        <v>90</v>
      </c>
      <c r="I28" s="13">
        <f t="shared" si="7"/>
        <v>98</v>
      </c>
      <c r="J28" s="13">
        <f t="shared" si="7"/>
        <v>98</v>
      </c>
      <c r="K28" s="13">
        <f t="shared" si="7"/>
        <v>85</v>
      </c>
      <c r="L28" s="13">
        <f t="shared" si="7"/>
        <v>71</v>
      </c>
      <c r="M28" s="13">
        <f t="shared" si="7"/>
        <v>68</v>
      </c>
      <c r="N28" s="13">
        <f t="shared" si="7"/>
        <v>70</v>
      </c>
      <c r="O28" s="13">
        <f t="shared" si="3"/>
        <v>877</v>
      </c>
    </row>
    <row r="29" ht="12.75" customHeight="1">
      <c r="A29" s="35"/>
      <c r="B29" s="27"/>
      <c r="C29" s="34"/>
      <c r="D29" s="13" t="s">
        <v>13</v>
      </c>
      <c r="E29" s="13">
        <f t="shared" ref="E29:N29" si="8">SUM(E20,E23,E26)</f>
        <v>120</v>
      </c>
      <c r="F29" s="13">
        <f t="shared" si="8"/>
        <v>113</v>
      </c>
      <c r="G29" s="13">
        <f t="shared" si="8"/>
        <v>106</v>
      </c>
      <c r="H29" s="13">
        <f t="shared" si="8"/>
        <v>97</v>
      </c>
      <c r="I29" s="13">
        <f t="shared" si="8"/>
        <v>80</v>
      </c>
      <c r="J29" s="13">
        <f t="shared" si="8"/>
        <v>97</v>
      </c>
      <c r="K29" s="13">
        <f t="shared" si="8"/>
        <v>98</v>
      </c>
      <c r="L29" s="13">
        <f t="shared" si="8"/>
        <v>86</v>
      </c>
      <c r="M29" s="13">
        <f t="shared" si="8"/>
        <v>71</v>
      </c>
      <c r="N29" s="13">
        <f t="shared" si="8"/>
        <v>92</v>
      </c>
      <c r="O29" s="13">
        <f t="shared" si="3"/>
        <v>960</v>
      </c>
    </row>
    <row r="30" ht="12.75" customHeight="1">
      <c r="A30" s="35"/>
      <c r="B30" s="28"/>
      <c r="C30" s="36"/>
      <c r="D30" s="13" t="s">
        <v>14</v>
      </c>
      <c r="E30" s="13">
        <f t="shared" ref="E30:N30" si="9">SUM(E28:E29)</f>
        <v>232</v>
      </c>
      <c r="F30" s="13">
        <f t="shared" si="9"/>
        <v>204</v>
      </c>
      <c r="G30" s="13">
        <f t="shared" si="9"/>
        <v>200</v>
      </c>
      <c r="H30" s="13">
        <f t="shared" si="9"/>
        <v>187</v>
      </c>
      <c r="I30" s="13">
        <f t="shared" si="9"/>
        <v>178</v>
      </c>
      <c r="J30" s="13">
        <f t="shared" si="9"/>
        <v>195</v>
      </c>
      <c r="K30" s="13">
        <f t="shared" si="9"/>
        <v>183</v>
      </c>
      <c r="L30" s="13">
        <f t="shared" si="9"/>
        <v>157</v>
      </c>
      <c r="M30" s="13">
        <f t="shared" si="9"/>
        <v>139</v>
      </c>
      <c r="N30" s="13">
        <f t="shared" si="9"/>
        <v>162</v>
      </c>
      <c r="O30" s="13">
        <f t="shared" si="3"/>
        <v>1837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0"/>
      <c r="O32" s="68"/>
    </row>
    <row r="33" ht="12.75" customHeight="1">
      <c r="A33" s="19">
        <v>1.0</v>
      </c>
      <c r="B33" s="20" t="s">
        <v>27</v>
      </c>
      <c r="C33" s="15"/>
      <c r="D33" s="16"/>
      <c r="E33" s="19">
        <v>299.0</v>
      </c>
      <c r="F33" s="19">
        <v>275.0</v>
      </c>
      <c r="G33" s="19">
        <v>267.0</v>
      </c>
      <c r="H33" s="19">
        <v>278.0</v>
      </c>
      <c r="I33" s="19">
        <v>250.0</v>
      </c>
      <c r="J33" s="19">
        <v>261.0</v>
      </c>
      <c r="K33" s="19">
        <v>269.0</v>
      </c>
      <c r="L33" s="19">
        <v>216.0</v>
      </c>
      <c r="M33" s="19">
        <v>218.0</v>
      </c>
      <c r="N33" s="19">
        <v>262.0</v>
      </c>
      <c r="O33" s="13">
        <f t="shared" ref="O33:O36" si="10">SUM(E33:N33)</f>
        <v>2595</v>
      </c>
    </row>
    <row r="34" ht="12.75" customHeight="1">
      <c r="A34" s="19">
        <v>2.0</v>
      </c>
      <c r="B34" s="20" t="s">
        <v>28</v>
      </c>
      <c r="C34" s="15"/>
      <c r="D34" s="16"/>
      <c r="E34" s="13">
        <v>232.0</v>
      </c>
      <c r="F34" s="13">
        <v>204.0</v>
      </c>
      <c r="G34" s="13">
        <v>200.0</v>
      </c>
      <c r="H34" s="13">
        <v>187.0</v>
      </c>
      <c r="I34" s="13">
        <v>178.0</v>
      </c>
      <c r="J34" s="13">
        <v>195.0</v>
      </c>
      <c r="K34" s="13">
        <v>183.0</v>
      </c>
      <c r="L34" s="13">
        <v>157.0</v>
      </c>
      <c r="M34" s="13">
        <v>139.0</v>
      </c>
      <c r="N34" s="13">
        <v>162.0</v>
      </c>
      <c r="O34" s="13">
        <f t="shared" si="10"/>
        <v>1837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N36" si="11">E33-(E34+E35)</f>
        <v>67</v>
      </c>
      <c r="F36" s="13">
        <f t="shared" si="11"/>
        <v>71</v>
      </c>
      <c r="G36" s="13">
        <f t="shared" si="11"/>
        <v>66</v>
      </c>
      <c r="H36" s="13">
        <f t="shared" si="11"/>
        <v>91</v>
      </c>
      <c r="I36" s="13">
        <f t="shared" si="11"/>
        <v>72</v>
      </c>
      <c r="J36" s="13">
        <f t="shared" si="11"/>
        <v>66</v>
      </c>
      <c r="K36" s="13">
        <f t="shared" si="11"/>
        <v>86</v>
      </c>
      <c r="L36" s="13">
        <f t="shared" si="11"/>
        <v>59</v>
      </c>
      <c r="M36" s="13">
        <f t="shared" si="11"/>
        <v>79</v>
      </c>
      <c r="N36" s="13">
        <f t="shared" si="11"/>
        <v>100</v>
      </c>
      <c r="O36" s="13">
        <f t="shared" si="10"/>
        <v>757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0"/>
      <c r="O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3">
        <f t="shared" ref="O39:O41" si="12">SUM(E39:N39)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2.0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N41" si="13">SUM(E39:E40)</f>
        <v>0</v>
      </c>
      <c r="F41" s="13">
        <f t="shared" si="13"/>
        <v>3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0"/>
      <c r="O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10.0</v>
      </c>
      <c r="F45" s="19">
        <v>5.0</v>
      </c>
      <c r="G45" s="19">
        <v>4.0</v>
      </c>
      <c r="H45" s="19">
        <v>5.0</v>
      </c>
      <c r="I45" s="19">
        <v>6.0</v>
      </c>
      <c r="J45" s="19">
        <v>3.0</v>
      </c>
      <c r="K45" s="19">
        <v>6.0</v>
      </c>
      <c r="L45" s="19">
        <v>5.0</v>
      </c>
      <c r="M45" s="19">
        <v>10.0</v>
      </c>
      <c r="N45" s="19">
        <v>6.0</v>
      </c>
      <c r="O45" s="13">
        <f t="shared" ref="O45:O55" si="14">SUM(E45:N45)</f>
        <v>60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36.0</v>
      </c>
      <c r="F46" s="19">
        <v>28.0</v>
      </c>
      <c r="G46" s="19">
        <v>13.0</v>
      </c>
      <c r="H46" s="19">
        <v>41.0</v>
      </c>
      <c r="I46" s="19">
        <v>13.0</v>
      </c>
      <c r="J46" s="19">
        <v>3.0</v>
      </c>
      <c r="K46" s="19">
        <v>12.0</v>
      </c>
      <c r="L46" s="19">
        <v>9.0</v>
      </c>
      <c r="M46" s="19">
        <v>7.0</v>
      </c>
      <c r="N46" s="19">
        <v>3.0</v>
      </c>
      <c r="O46" s="13">
        <f t="shared" si="14"/>
        <v>165</v>
      </c>
    </row>
    <row r="47" ht="12.75" customHeight="1">
      <c r="A47" s="18"/>
      <c r="B47" s="55">
        <v>2.0</v>
      </c>
      <c r="C47" s="50" t="s">
        <v>41</v>
      </c>
      <c r="D47" s="16"/>
      <c r="E47" s="19">
        <v>3.0</v>
      </c>
      <c r="F47" s="19">
        <v>5.0</v>
      </c>
      <c r="G47" s="19">
        <v>3.0</v>
      </c>
      <c r="H47" s="19">
        <v>2.0</v>
      </c>
      <c r="I47" s="19">
        <v>7.0</v>
      </c>
      <c r="J47" s="19">
        <v>3.0</v>
      </c>
      <c r="K47" s="19">
        <v>9.0</v>
      </c>
      <c r="L47" s="19">
        <v>42.0</v>
      </c>
      <c r="M47" s="19">
        <v>24.0</v>
      </c>
      <c r="N47" s="19">
        <v>1.0</v>
      </c>
      <c r="O47" s="13">
        <f t="shared" si="14"/>
        <v>99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1.0</v>
      </c>
      <c r="I48" s="19">
        <v>0.0</v>
      </c>
      <c r="J48" s="19">
        <v>0.0</v>
      </c>
      <c r="K48" s="19">
        <v>0.0</v>
      </c>
      <c r="L48" s="19">
        <v>1.0</v>
      </c>
      <c r="M48" s="19">
        <v>0.0</v>
      </c>
      <c r="N48" s="19">
        <v>1.0</v>
      </c>
      <c r="O48" s="13">
        <f t="shared" si="14"/>
        <v>3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2.0</v>
      </c>
      <c r="M49" s="19">
        <v>0.0</v>
      </c>
      <c r="N49" s="19">
        <v>0.0</v>
      </c>
      <c r="O49" s="13">
        <f t="shared" si="14"/>
        <v>3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1.0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3">
        <f t="shared" si="14"/>
        <v>1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1.0</v>
      </c>
      <c r="I51" s="19">
        <v>0.0</v>
      </c>
      <c r="J51" s="19">
        <v>0.0</v>
      </c>
      <c r="K51" s="19">
        <v>1.0</v>
      </c>
      <c r="L51" s="19">
        <v>0.0</v>
      </c>
      <c r="M51" s="19">
        <v>1.0</v>
      </c>
      <c r="N51" s="19">
        <v>0.0</v>
      </c>
      <c r="O51" s="13">
        <f t="shared" si="14"/>
        <v>3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1.0</v>
      </c>
      <c r="O52" s="13">
        <f t="shared" si="14"/>
        <v>1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3">
        <f t="shared" si="14"/>
        <v>0</v>
      </c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N55" si="15">SUM(E45:E52)</f>
        <v>50</v>
      </c>
      <c r="F55" s="13">
        <f t="shared" si="15"/>
        <v>38</v>
      </c>
      <c r="G55" s="13">
        <f t="shared" si="15"/>
        <v>20</v>
      </c>
      <c r="H55" s="13">
        <f t="shared" si="15"/>
        <v>50</v>
      </c>
      <c r="I55" s="13">
        <f t="shared" si="15"/>
        <v>27</v>
      </c>
      <c r="J55" s="13">
        <f t="shared" si="15"/>
        <v>9</v>
      </c>
      <c r="K55" s="13">
        <f t="shared" si="15"/>
        <v>28</v>
      </c>
      <c r="L55" s="13">
        <f t="shared" si="15"/>
        <v>59</v>
      </c>
      <c r="M55" s="13">
        <f t="shared" si="15"/>
        <v>42</v>
      </c>
      <c r="N55" s="13">
        <f t="shared" si="15"/>
        <v>12</v>
      </c>
      <c r="O55" s="13">
        <f t="shared" si="14"/>
        <v>335</v>
      </c>
    </row>
    <row r="56" ht="12.75" customHeight="1">
      <c r="A56" s="45"/>
      <c r="B56" s="44"/>
      <c r="C56" s="44"/>
      <c r="D56" s="44"/>
      <c r="E56" s="44"/>
      <c r="O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11.0</v>
      </c>
      <c r="F57" s="19">
        <v>13.0</v>
      </c>
      <c r="G57" s="19">
        <v>7.0</v>
      </c>
      <c r="H57" s="19">
        <v>11.0</v>
      </c>
      <c r="I57" s="19">
        <v>11.0</v>
      </c>
      <c r="J57" s="19">
        <v>10.0</v>
      </c>
      <c r="K57" s="19">
        <v>6.0</v>
      </c>
      <c r="L57" s="19">
        <v>9.0</v>
      </c>
      <c r="M57" s="19">
        <v>11.0</v>
      </c>
      <c r="N57" s="19">
        <v>6.0</v>
      </c>
      <c r="O57" s="13">
        <f t="shared" ref="O57:O67" si="16">SUM(E57:N57)</f>
        <v>95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9.0</v>
      </c>
      <c r="F58" s="19">
        <v>8.0</v>
      </c>
      <c r="G58" s="19">
        <v>4.0</v>
      </c>
      <c r="H58" s="19">
        <v>7.0</v>
      </c>
      <c r="I58" s="19">
        <v>4.0</v>
      </c>
      <c r="J58" s="19">
        <v>8.0</v>
      </c>
      <c r="K58" s="19">
        <v>5.0</v>
      </c>
      <c r="L58" s="19">
        <v>1.0</v>
      </c>
      <c r="M58" s="19">
        <v>5.0</v>
      </c>
      <c r="N58" s="19">
        <v>2.0</v>
      </c>
      <c r="O58" s="13">
        <f t="shared" si="16"/>
        <v>53</v>
      </c>
    </row>
    <row r="59" ht="12.75" customHeight="1">
      <c r="A59" s="18"/>
      <c r="B59" s="55">
        <v>2.0</v>
      </c>
      <c r="C59" s="50" t="s">
        <v>50</v>
      </c>
      <c r="D59" s="56"/>
      <c r="E59" s="19">
        <v>1.0</v>
      </c>
      <c r="F59" s="19">
        <v>4.0</v>
      </c>
      <c r="G59" s="19">
        <v>3.0</v>
      </c>
      <c r="H59" s="19">
        <v>5.0</v>
      </c>
      <c r="I59" s="19">
        <v>4.0</v>
      </c>
      <c r="J59" s="19">
        <v>5.0</v>
      </c>
      <c r="K59" s="19">
        <v>3.0</v>
      </c>
      <c r="L59" s="19">
        <v>5.0</v>
      </c>
      <c r="M59" s="19">
        <v>4.0</v>
      </c>
      <c r="N59" s="19">
        <v>3.0</v>
      </c>
      <c r="O59" s="13">
        <f t="shared" si="16"/>
        <v>37</v>
      </c>
    </row>
    <row r="60" ht="12.75" customHeight="1">
      <c r="A60" s="18"/>
      <c r="B60" s="55">
        <v>3.0</v>
      </c>
      <c r="C60" s="50" t="s">
        <v>51</v>
      </c>
      <c r="D60" s="56"/>
      <c r="E60" s="19">
        <v>4.0</v>
      </c>
      <c r="F60" s="19">
        <v>2.0</v>
      </c>
      <c r="G60" s="19">
        <v>2.0</v>
      </c>
      <c r="H60" s="19">
        <v>0.0</v>
      </c>
      <c r="I60" s="19">
        <v>3.0</v>
      </c>
      <c r="J60" s="19">
        <v>1.0</v>
      </c>
      <c r="K60" s="19">
        <v>1.0</v>
      </c>
      <c r="L60" s="19">
        <v>1.0</v>
      </c>
      <c r="M60" s="19">
        <v>1.0</v>
      </c>
      <c r="N60" s="19">
        <v>0.0</v>
      </c>
      <c r="O60" s="13">
        <f t="shared" si="16"/>
        <v>15</v>
      </c>
    </row>
    <row r="61" ht="12.75" customHeight="1">
      <c r="A61" s="18"/>
      <c r="B61" s="55">
        <v>4.0</v>
      </c>
      <c r="C61" s="50" t="s">
        <v>52</v>
      </c>
      <c r="D61" s="56"/>
      <c r="E61" s="19">
        <v>5.0</v>
      </c>
      <c r="F61" s="19">
        <v>0.0</v>
      </c>
      <c r="G61" s="19">
        <v>1.0</v>
      </c>
      <c r="H61" s="19">
        <v>4.0</v>
      </c>
      <c r="I61" s="19">
        <v>2.0</v>
      </c>
      <c r="J61" s="19">
        <v>3.0</v>
      </c>
      <c r="K61" s="19">
        <v>3.0</v>
      </c>
      <c r="L61" s="19">
        <v>1.0</v>
      </c>
      <c r="M61" s="19">
        <v>2.0</v>
      </c>
      <c r="N61" s="19">
        <v>3.0</v>
      </c>
      <c r="O61" s="13">
        <f t="shared" si="16"/>
        <v>24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1.0</v>
      </c>
      <c r="J62" s="19">
        <v>0.0</v>
      </c>
      <c r="K62" s="19">
        <v>1.0</v>
      </c>
      <c r="L62" s="19">
        <v>1.0</v>
      </c>
      <c r="M62" s="19">
        <v>0.0</v>
      </c>
      <c r="N62" s="19">
        <v>1.0</v>
      </c>
      <c r="O62" s="13">
        <f t="shared" si="16"/>
        <v>4</v>
      </c>
    </row>
    <row r="63" ht="12.75" customHeight="1">
      <c r="A63" s="18"/>
      <c r="B63" s="55">
        <v>6.0</v>
      </c>
      <c r="C63" s="50" t="s">
        <v>54</v>
      </c>
      <c r="D63" s="57"/>
      <c r="E63" s="19">
        <v>2.0</v>
      </c>
      <c r="F63" s="19">
        <v>1.0</v>
      </c>
      <c r="G63" s="19">
        <v>0.0</v>
      </c>
      <c r="H63" s="19">
        <v>1.0</v>
      </c>
      <c r="I63" s="19">
        <v>2.0</v>
      </c>
      <c r="J63" s="19">
        <v>1.0</v>
      </c>
      <c r="K63" s="19">
        <v>0.0</v>
      </c>
      <c r="L63" s="19">
        <v>0.0</v>
      </c>
      <c r="M63" s="19">
        <v>4.0</v>
      </c>
      <c r="N63" s="19">
        <v>0.0</v>
      </c>
      <c r="O63" s="13">
        <f t="shared" si="16"/>
        <v>11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1.0</v>
      </c>
      <c r="I64" s="19">
        <v>0.0</v>
      </c>
      <c r="J64" s="19">
        <v>0.0</v>
      </c>
      <c r="K64" s="19">
        <v>0.0</v>
      </c>
      <c r="L64" s="19">
        <v>0.0</v>
      </c>
      <c r="M64" s="19">
        <v>1.0</v>
      </c>
      <c r="N64" s="19">
        <v>0.0</v>
      </c>
      <c r="O64" s="13">
        <f t="shared" si="16"/>
        <v>2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3">
        <f t="shared" si="16"/>
        <v>0</v>
      </c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N67" si="17">SUM(E57:E64)</f>
        <v>32</v>
      </c>
      <c r="F67" s="13">
        <f t="shared" si="17"/>
        <v>28</v>
      </c>
      <c r="G67" s="13">
        <f t="shared" si="17"/>
        <v>17</v>
      </c>
      <c r="H67" s="13">
        <f t="shared" si="17"/>
        <v>29</v>
      </c>
      <c r="I67" s="13">
        <f t="shared" si="17"/>
        <v>27</v>
      </c>
      <c r="J67" s="13">
        <f t="shared" si="17"/>
        <v>28</v>
      </c>
      <c r="K67" s="13">
        <f t="shared" si="17"/>
        <v>19</v>
      </c>
      <c r="L67" s="13">
        <f t="shared" si="17"/>
        <v>18</v>
      </c>
      <c r="M67" s="13">
        <f t="shared" si="17"/>
        <v>28</v>
      </c>
      <c r="N67" s="13">
        <f t="shared" si="17"/>
        <v>15</v>
      </c>
      <c r="O67" s="13">
        <f t="shared" si="16"/>
        <v>241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14.0</v>
      </c>
      <c r="F69" s="19">
        <v>16.0</v>
      </c>
      <c r="G69" s="19">
        <v>18.0</v>
      </c>
      <c r="H69" s="19">
        <v>3.0</v>
      </c>
      <c r="I69" s="19">
        <v>12.0</v>
      </c>
      <c r="J69" s="19">
        <v>16.0</v>
      </c>
      <c r="K69" s="19">
        <v>11.0</v>
      </c>
      <c r="L69" s="19">
        <v>3.0</v>
      </c>
      <c r="M69" s="19">
        <v>12.0</v>
      </c>
      <c r="N69" s="19">
        <v>10.0</v>
      </c>
      <c r="O69" s="13">
        <f t="shared" ref="O69:O79" si="18">SUM(E69:N69)</f>
        <v>115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9.0</v>
      </c>
      <c r="F70" s="19">
        <v>6.0</v>
      </c>
      <c r="G70" s="19">
        <v>12.0</v>
      </c>
      <c r="H70" s="19">
        <v>6.0</v>
      </c>
      <c r="I70" s="19">
        <v>6.0</v>
      </c>
      <c r="J70" s="19">
        <v>11.0</v>
      </c>
      <c r="K70" s="19">
        <v>7.0</v>
      </c>
      <c r="L70" s="19">
        <v>1.0</v>
      </c>
      <c r="M70" s="19">
        <v>2.0</v>
      </c>
      <c r="N70" s="19">
        <v>2.0</v>
      </c>
      <c r="O70" s="13">
        <f t="shared" si="18"/>
        <v>62</v>
      </c>
    </row>
    <row r="71" ht="12.75" customHeight="1">
      <c r="A71" s="18"/>
      <c r="B71" s="55">
        <v>2.0</v>
      </c>
      <c r="C71" s="50" t="s">
        <v>58</v>
      </c>
      <c r="D71" s="57"/>
      <c r="E71" s="19">
        <v>10.0</v>
      </c>
      <c r="F71" s="19">
        <v>18.0</v>
      </c>
      <c r="G71" s="19">
        <v>55.0</v>
      </c>
      <c r="H71" s="19">
        <v>9.0</v>
      </c>
      <c r="I71" s="19">
        <v>12.0</v>
      </c>
      <c r="J71" s="19">
        <v>13.0</v>
      </c>
      <c r="K71" s="19">
        <v>14.0</v>
      </c>
      <c r="L71" s="19">
        <v>4.0</v>
      </c>
      <c r="M71" s="19">
        <v>1.0</v>
      </c>
      <c r="N71" s="19">
        <v>8.0</v>
      </c>
      <c r="O71" s="13">
        <f t="shared" si="18"/>
        <v>144</v>
      </c>
    </row>
    <row r="72" ht="12.75" customHeight="1">
      <c r="A72" s="18"/>
      <c r="B72" s="55">
        <v>3.0</v>
      </c>
      <c r="C72" s="50" t="s">
        <v>59</v>
      </c>
      <c r="D72" s="57"/>
      <c r="E72" s="19">
        <v>5.0</v>
      </c>
      <c r="F72" s="19">
        <v>6.0</v>
      </c>
      <c r="G72" s="19">
        <v>10.0</v>
      </c>
      <c r="H72" s="19">
        <v>7.0</v>
      </c>
      <c r="I72" s="19">
        <v>4.0</v>
      </c>
      <c r="J72" s="19">
        <v>5.0</v>
      </c>
      <c r="K72" s="19">
        <v>2.0</v>
      </c>
      <c r="L72" s="19">
        <v>0.0</v>
      </c>
      <c r="M72" s="19">
        <v>5.0</v>
      </c>
      <c r="N72" s="19">
        <v>4.0</v>
      </c>
      <c r="O72" s="13">
        <f t="shared" si="18"/>
        <v>48</v>
      </c>
    </row>
    <row r="73" ht="12.75" customHeight="1">
      <c r="A73" s="18"/>
      <c r="B73" s="55">
        <v>4.0</v>
      </c>
      <c r="C73" s="50" t="s">
        <v>60</v>
      </c>
      <c r="D73" s="57"/>
      <c r="E73" s="19">
        <v>2.0</v>
      </c>
      <c r="F73" s="19">
        <v>3.0</v>
      </c>
      <c r="G73" s="19">
        <v>5.0</v>
      </c>
      <c r="H73" s="19">
        <v>1.0</v>
      </c>
      <c r="I73" s="19">
        <v>1.0</v>
      </c>
      <c r="J73" s="19">
        <v>2.0</v>
      </c>
      <c r="K73" s="19">
        <v>1.0</v>
      </c>
      <c r="L73" s="19">
        <v>1.0</v>
      </c>
      <c r="M73" s="19">
        <v>0.0</v>
      </c>
      <c r="N73" s="19">
        <v>0.0</v>
      </c>
      <c r="O73" s="13">
        <f t="shared" si="18"/>
        <v>16</v>
      </c>
    </row>
    <row r="74" ht="12.75" customHeight="1">
      <c r="A74" s="18"/>
      <c r="B74" s="55">
        <v>5.0</v>
      </c>
      <c r="C74" s="50" t="s">
        <v>61</v>
      </c>
      <c r="D74" s="57"/>
      <c r="E74" s="19">
        <v>2.0</v>
      </c>
      <c r="F74" s="19">
        <v>5.0</v>
      </c>
      <c r="G74" s="19">
        <v>5.0</v>
      </c>
      <c r="H74" s="19">
        <v>3.0</v>
      </c>
      <c r="I74" s="19">
        <v>0.0</v>
      </c>
      <c r="J74" s="19">
        <v>2.0</v>
      </c>
      <c r="K74" s="19">
        <v>3.0</v>
      </c>
      <c r="L74" s="19">
        <v>1.0</v>
      </c>
      <c r="M74" s="19">
        <v>1.0</v>
      </c>
      <c r="N74" s="19">
        <v>2.0</v>
      </c>
      <c r="O74" s="13">
        <f t="shared" si="18"/>
        <v>24</v>
      </c>
    </row>
    <row r="75" ht="12.75" customHeight="1">
      <c r="A75" s="18"/>
      <c r="B75" s="55">
        <v>6.0</v>
      </c>
      <c r="C75" s="50" t="s">
        <v>62</v>
      </c>
      <c r="D75" s="57"/>
      <c r="E75" s="19">
        <v>5.0</v>
      </c>
      <c r="F75" s="19">
        <v>5.0</v>
      </c>
      <c r="G75" s="19">
        <v>4.0</v>
      </c>
      <c r="H75" s="19">
        <v>3.0</v>
      </c>
      <c r="I75" s="19">
        <v>2.0</v>
      </c>
      <c r="J75" s="19">
        <v>1.0</v>
      </c>
      <c r="K75" s="19">
        <v>2.0</v>
      </c>
      <c r="L75" s="19">
        <v>0.0</v>
      </c>
      <c r="M75" s="19">
        <v>3.0</v>
      </c>
      <c r="N75" s="19">
        <v>1.0</v>
      </c>
      <c r="O75" s="13">
        <f t="shared" si="18"/>
        <v>26</v>
      </c>
    </row>
    <row r="76" ht="12.75" customHeight="1">
      <c r="A76" s="18"/>
      <c r="B76" s="55">
        <v>7.0</v>
      </c>
      <c r="C76" s="50" t="s">
        <v>63</v>
      </c>
      <c r="D76" s="57"/>
      <c r="E76" s="19">
        <v>28.0</v>
      </c>
      <c r="F76" s="19">
        <v>1.0</v>
      </c>
      <c r="G76" s="19">
        <v>13.0</v>
      </c>
      <c r="H76" s="19">
        <v>2.0</v>
      </c>
      <c r="I76" s="19">
        <v>1.0</v>
      </c>
      <c r="J76" s="19">
        <v>1.0</v>
      </c>
      <c r="K76" s="19">
        <v>30.0</v>
      </c>
      <c r="L76" s="19">
        <v>5.0</v>
      </c>
      <c r="M76" s="19">
        <v>2.0</v>
      </c>
      <c r="N76" s="19">
        <v>0.0</v>
      </c>
      <c r="O76" s="13">
        <f t="shared" si="18"/>
        <v>83</v>
      </c>
    </row>
    <row r="77" ht="12.75" customHeight="1">
      <c r="A77" s="18"/>
      <c r="B77" s="71"/>
      <c r="C77" s="72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3">
        <f t="shared" si="18"/>
        <v>0</v>
      </c>
    </row>
    <row r="78" ht="12.75" customHeight="1">
      <c r="A78" s="18"/>
      <c r="B78" s="71"/>
      <c r="C78" s="72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N79" si="19">SUM(E69:E76)</f>
        <v>75</v>
      </c>
      <c r="F79" s="13">
        <f t="shared" si="19"/>
        <v>60</v>
      </c>
      <c r="G79" s="13">
        <f t="shared" si="19"/>
        <v>122</v>
      </c>
      <c r="H79" s="13">
        <f t="shared" si="19"/>
        <v>34</v>
      </c>
      <c r="I79" s="13">
        <f t="shared" si="19"/>
        <v>38</v>
      </c>
      <c r="J79" s="13">
        <f t="shared" si="19"/>
        <v>51</v>
      </c>
      <c r="K79" s="13">
        <f t="shared" si="19"/>
        <v>70</v>
      </c>
      <c r="L79" s="13">
        <f t="shared" si="19"/>
        <v>15</v>
      </c>
      <c r="M79" s="13">
        <f t="shared" si="19"/>
        <v>26</v>
      </c>
      <c r="N79" s="13">
        <f t="shared" si="19"/>
        <v>27</v>
      </c>
      <c r="O79" s="13">
        <f t="shared" si="18"/>
        <v>518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2.0</v>
      </c>
      <c r="F81" s="19">
        <v>3.0</v>
      </c>
      <c r="G81" s="19">
        <v>0.0</v>
      </c>
      <c r="H81" s="19">
        <v>6.0</v>
      </c>
      <c r="I81" s="19">
        <v>4.0</v>
      </c>
      <c r="J81" s="19">
        <v>8.0</v>
      </c>
      <c r="K81" s="19">
        <v>2.0</v>
      </c>
      <c r="L81" s="19">
        <v>2.0</v>
      </c>
      <c r="M81" s="19">
        <v>1.0</v>
      </c>
      <c r="N81" s="19">
        <v>13.0</v>
      </c>
      <c r="O81" s="13">
        <f t="shared" ref="O81:O91" si="20">SUM(E81:N81)</f>
        <v>41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11.0</v>
      </c>
      <c r="F82" s="19">
        <v>5.0</v>
      </c>
      <c r="G82" s="19">
        <v>2.0</v>
      </c>
      <c r="H82" s="19">
        <v>4.0</v>
      </c>
      <c r="I82" s="19">
        <v>19.0</v>
      </c>
      <c r="J82" s="19">
        <v>8.0</v>
      </c>
      <c r="K82" s="19">
        <v>2.0</v>
      </c>
      <c r="L82" s="19">
        <v>1.0</v>
      </c>
      <c r="M82" s="19">
        <v>1.0</v>
      </c>
      <c r="N82" s="19">
        <v>34.0</v>
      </c>
      <c r="O82" s="13">
        <f t="shared" si="20"/>
        <v>87</v>
      </c>
    </row>
    <row r="83" ht="12.75" customHeight="1">
      <c r="A83" s="18"/>
      <c r="B83" s="55">
        <v>2.0</v>
      </c>
      <c r="C83" s="50" t="s">
        <v>66</v>
      </c>
      <c r="D83" s="57"/>
      <c r="E83" s="19">
        <v>0.0</v>
      </c>
      <c r="F83" s="19">
        <v>8.0</v>
      </c>
      <c r="G83" s="19">
        <v>2.0</v>
      </c>
      <c r="H83" s="19">
        <v>2.0</v>
      </c>
      <c r="I83" s="19">
        <v>1.0</v>
      </c>
      <c r="J83" s="19">
        <v>10.0</v>
      </c>
      <c r="K83" s="19">
        <v>7.0</v>
      </c>
      <c r="L83" s="19">
        <v>1.0</v>
      </c>
      <c r="M83" s="19">
        <v>1.0</v>
      </c>
      <c r="N83" s="19">
        <v>6.0</v>
      </c>
      <c r="O83" s="13">
        <f t="shared" si="20"/>
        <v>38</v>
      </c>
    </row>
    <row r="84" ht="12.75" customHeight="1">
      <c r="A84" s="18"/>
      <c r="B84" s="55">
        <v>3.0</v>
      </c>
      <c r="C84" s="50" t="s">
        <v>67</v>
      </c>
      <c r="D84" s="57"/>
      <c r="E84" s="19">
        <v>2.0</v>
      </c>
      <c r="F84" s="19">
        <v>2.0</v>
      </c>
      <c r="G84" s="19">
        <v>0.0</v>
      </c>
      <c r="H84" s="19">
        <v>1.0</v>
      </c>
      <c r="I84" s="19">
        <v>0.0</v>
      </c>
      <c r="J84" s="19">
        <v>2.0</v>
      </c>
      <c r="K84" s="19">
        <v>0.0</v>
      </c>
      <c r="L84" s="19">
        <v>0.0</v>
      </c>
      <c r="M84" s="19">
        <v>0.0</v>
      </c>
      <c r="N84" s="19">
        <v>0.0</v>
      </c>
      <c r="O84" s="13">
        <f t="shared" si="20"/>
        <v>7</v>
      </c>
    </row>
    <row r="85" ht="12.75" customHeight="1">
      <c r="A85" s="18"/>
      <c r="B85" s="55">
        <v>4.0</v>
      </c>
      <c r="C85" s="50" t="s">
        <v>68</v>
      </c>
      <c r="D85" s="57"/>
      <c r="E85" s="19">
        <v>1.0</v>
      </c>
      <c r="F85" s="19">
        <v>0.0</v>
      </c>
      <c r="G85" s="19">
        <v>0.0</v>
      </c>
      <c r="H85" s="19">
        <v>0.0</v>
      </c>
      <c r="I85" s="19">
        <v>0.0</v>
      </c>
      <c r="J85" s="19">
        <v>2.0</v>
      </c>
      <c r="K85" s="19">
        <v>0.0</v>
      </c>
      <c r="L85" s="19">
        <v>0.0</v>
      </c>
      <c r="M85" s="19">
        <v>0.0</v>
      </c>
      <c r="N85" s="19">
        <v>1.0</v>
      </c>
      <c r="O85" s="13">
        <f t="shared" si="20"/>
        <v>4</v>
      </c>
    </row>
    <row r="86" ht="12.75" customHeight="1">
      <c r="A86" s="18"/>
      <c r="B86" s="55">
        <v>5.0</v>
      </c>
      <c r="C86" s="50" t="s">
        <v>69</v>
      </c>
      <c r="D86" s="57"/>
      <c r="E86" s="19">
        <v>1.0</v>
      </c>
      <c r="F86" s="19">
        <v>2.0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3.0</v>
      </c>
      <c r="O86" s="13">
        <f t="shared" si="20"/>
        <v>6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3">
        <f t="shared" si="20"/>
        <v>0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1.0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3">
        <f t="shared" si="20"/>
        <v>1</v>
      </c>
    </row>
    <row r="89" ht="12.75" customHeight="1">
      <c r="A89" s="18"/>
      <c r="B89" s="71"/>
      <c r="C89" s="72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3">
        <f t="shared" si="20"/>
        <v>0</v>
      </c>
    </row>
    <row r="90" ht="12.75" customHeight="1">
      <c r="A90" s="18"/>
      <c r="B90" s="71"/>
      <c r="C90" s="72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N91" si="21">SUM(E81:E88)</f>
        <v>17</v>
      </c>
      <c r="F91" s="13">
        <f t="shared" si="21"/>
        <v>20</v>
      </c>
      <c r="G91" s="13">
        <f t="shared" si="21"/>
        <v>4</v>
      </c>
      <c r="H91" s="13">
        <f t="shared" si="21"/>
        <v>13</v>
      </c>
      <c r="I91" s="13">
        <f t="shared" si="21"/>
        <v>25</v>
      </c>
      <c r="J91" s="13">
        <f t="shared" si="21"/>
        <v>30</v>
      </c>
      <c r="K91" s="13">
        <f t="shared" si="21"/>
        <v>11</v>
      </c>
      <c r="L91" s="13">
        <f t="shared" si="21"/>
        <v>4</v>
      </c>
      <c r="M91" s="13">
        <f t="shared" si="21"/>
        <v>3</v>
      </c>
      <c r="N91" s="13">
        <f t="shared" si="21"/>
        <v>57</v>
      </c>
      <c r="O91" s="13">
        <f t="shared" si="20"/>
        <v>184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1.0</v>
      </c>
      <c r="G93" s="19">
        <v>0.0</v>
      </c>
      <c r="H93" s="19">
        <v>3.0</v>
      </c>
      <c r="I93" s="19">
        <v>4.0</v>
      </c>
      <c r="J93" s="19">
        <v>1.0</v>
      </c>
      <c r="K93" s="19">
        <v>1.0</v>
      </c>
      <c r="L93" s="19">
        <v>2.0</v>
      </c>
      <c r="M93" s="19">
        <v>3.0</v>
      </c>
      <c r="N93" s="19">
        <v>4.0</v>
      </c>
      <c r="O93" s="13">
        <f t="shared" ref="O93:O103" si="22">SUM(E93:N93)</f>
        <v>19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0.0</v>
      </c>
      <c r="G94" s="19">
        <v>1.0</v>
      </c>
      <c r="H94" s="19">
        <v>0.0</v>
      </c>
      <c r="I94" s="19">
        <v>1.0</v>
      </c>
      <c r="J94" s="19">
        <v>0.0</v>
      </c>
      <c r="K94" s="19">
        <v>0.0</v>
      </c>
      <c r="L94" s="19">
        <v>3.0</v>
      </c>
      <c r="M94" s="19">
        <v>3.0</v>
      </c>
      <c r="N94" s="19">
        <v>1.0</v>
      </c>
      <c r="O94" s="13">
        <f t="shared" si="22"/>
        <v>9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1.0</v>
      </c>
      <c r="I95" s="19">
        <v>4.0</v>
      </c>
      <c r="J95" s="19">
        <v>0.0</v>
      </c>
      <c r="K95" s="19">
        <v>0.0</v>
      </c>
      <c r="L95" s="19">
        <v>5.0</v>
      </c>
      <c r="M95" s="19">
        <v>6.0</v>
      </c>
      <c r="N95" s="19">
        <v>1.0</v>
      </c>
      <c r="O95" s="13">
        <f t="shared" si="22"/>
        <v>17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2.0</v>
      </c>
      <c r="G96" s="19">
        <v>0.0</v>
      </c>
      <c r="H96" s="19">
        <v>2.0</v>
      </c>
      <c r="I96" s="19">
        <v>1.0</v>
      </c>
      <c r="J96" s="19">
        <v>1.0</v>
      </c>
      <c r="K96" s="19">
        <v>1.0</v>
      </c>
      <c r="L96" s="19">
        <v>2.0</v>
      </c>
      <c r="M96" s="19">
        <v>1.0</v>
      </c>
      <c r="N96" s="19">
        <v>1.0</v>
      </c>
      <c r="O96" s="13">
        <f t="shared" si="22"/>
        <v>11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2.0</v>
      </c>
      <c r="G97" s="19">
        <v>2.0</v>
      </c>
      <c r="H97" s="19">
        <v>1.0</v>
      </c>
      <c r="I97" s="19">
        <v>3.0</v>
      </c>
      <c r="J97" s="19">
        <v>2.0</v>
      </c>
      <c r="K97" s="19">
        <v>0.0</v>
      </c>
      <c r="L97" s="19">
        <v>2.0</v>
      </c>
      <c r="M97" s="19">
        <v>2.0</v>
      </c>
      <c r="N97" s="19">
        <v>2.0</v>
      </c>
      <c r="O97" s="13">
        <f t="shared" si="22"/>
        <v>16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3.0</v>
      </c>
      <c r="I98" s="19">
        <v>0.0</v>
      </c>
      <c r="J98" s="19">
        <v>1.0</v>
      </c>
      <c r="K98" s="19">
        <v>0.0</v>
      </c>
      <c r="L98" s="19">
        <v>0.0</v>
      </c>
      <c r="M98" s="19">
        <v>1.0</v>
      </c>
      <c r="N98" s="19">
        <v>0.0</v>
      </c>
      <c r="O98" s="13">
        <f t="shared" si="22"/>
        <v>5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1.0</v>
      </c>
      <c r="O100" s="13">
        <f t="shared" si="22"/>
        <v>1</v>
      </c>
    </row>
    <row r="101" ht="12.75" customHeight="1">
      <c r="A101" s="18"/>
      <c r="B101" s="71"/>
      <c r="C101" s="72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3">
        <f t="shared" si="22"/>
        <v>0</v>
      </c>
    </row>
    <row r="102" ht="12.75" customHeight="1">
      <c r="A102" s="18"/>
      <c r="B102" s="71"/>
      <c r="C102" s="72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N103" si="23">SUM(E93:E100)</f>
        <v>0</v>
      </c>
      <c r="F103" s="13">
        <f t="shared" si="23"/>
        <v>5</v>
      </c>
      <c r="G103" s="13">
        <f t="shared" si="23"/>
        <v>3</v>
      </c>
      <c r="H103" s="13">
        <f t="shared" si="23"/>
        <v>10</v>
      </c>
      <c r="I103" s="13">
        <f t="shared" si="23"/>
        <v>13</v>
      </c>
      <c r="J103" s="13">
        <f t="shared" si="23"/>
        <v>5</v>
      </c>
      <c r="K103" s="13">
        <f t="shared" si="23"/>
        <v>2</v>
      </c>
      <c r="L103" s="13">
        <f t="shared" si="23"/>
        <v>14</v>
      </c>
      <c r="M103" s="13">
        <f t="shared" si="23"/>
        <v>16</v>
      </c>
      <c r="N103" s="13">
        <f t="shared" si="23"/>
        <v>10</v>
      </c>
      <c r="O103" s="13">
        <f t="shared" si="22"/>
        <v>78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1.0</v>
      </c>
      <c r="J105" s="19">
        <v>2.0</v>
      </c>
      <c r="K105" s="19">
        <v>0.0</v>
      </c>
      <c r="L105" s="19">
        <v>0.0</v>
      </c>
      <c r="M105" s="19">
        <v>1.0</v>
      </c>
      <c r="N105" s="19">
        <v>0.0</v>
      </c>
      <c r="O105" s="13">
        <f t="shared" ref="O105:O115" si="24">SUM(E105:N105)</f>
        <v>4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1.0</v>
      </c>
      <c r="J106" s="19">
        <v>0.0</v>
      </c>
      <c r="K106" s="19">
        <v>0.0</v>
      </c>
      <c r="L106" s="19">
        <v>1.0</v>
      </c>
      <c r="M106" s="19">
        <v>0.0</v>
      </c>
      <c r="N106" s="19">
        <v>0.0</v>
      </c>
      <c r="O106" s="13">
        <f t="shared" si="24"/>
        <v>2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1.0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3">
        <f t="shared" si="24"/>
        <v>1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1.0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3">
        <f t="shared" si="24"/>
        <v>1</v>
      </c>
    </row>
    <row r="113" ht="12.75" customHeight="1">
      <c r="A113" s="18"/>
      <c r="B113" s="71"/>
      <c r="C113" s="72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3">
        <f t="shared" si="24"/>
        <v>0</v>
      </c>
    </row>
    <row r="114" ht="12.75" customHeight="1">
      <c r="A114" s="18"/>
      <c r="B114" s="71"/>
      <c r="C114" s="72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N115" si="25">SUM(E105:E112)</f>
        <v>1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3</v>
      </c>
      <c r="J115" s="13">
        <f t="shared" si="25"/>
        <v>2</v>
      </c>
      <c r="K115" s="13">
        <f t="shared" si="25"/>
        <v>0</v>
      </c>
      <c r="L115" s="13">
        <f t="shared" si="25"/>
        <v>1</v>
      </c>
      <c r="M115" s="13">
        <f t="shared" si="25"/>
        <v>1</v>
      </c>
      <c r="N115" s="13">
        <f t="shared" si="25"/>
        <v>0</v>
      </c>
      <c r="O115" s="13">
        <f t="shared" si="24"/>
        <v>8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4.0</v>
      </c>
      <c r="F117" s="19">
        <v>0.0</v>
      </c>
      <c r="G117" s="19">
        <v>1.0</v>
      </c>
      <c r="H117" s="19">
        <v>1.0</v>
      </c>
      <c r="I117" s="19">
        <v>3.0</v>
      </c>
      <c r="J117" s="19">
        <v>0.0</v>
      </c>
      <c r="K117" s="19">
        <v>1.0</v>
      </c>
      <c r="L117" s="19">
        <v>1.0</v>
      </c>
      <c r="M117" s="19">
        <v>2.0</v>
      </c>
      <c r="N117" s="19">
        <v>0.0</v>
      </c>
      <c r="O117" s="13">
        <f t="shared" ref="O117:O127" si="26">SUM(E117:N117)</f>
        <v>13</v>
      </c>
      <c r="P117" s="5"/>
      <c r="Q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1.0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3">
        <f t="shared" si="26"/>
        <v>1</v>
      </c>
      <c r="P118" s="5"/>
      <c r="Q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1.0</v>
      </c>
      <c r="J119" s="19">
        <v>0.0</v>
      </c>
      <c r="K119" s="19">
        <v>1.0</v>
      </c>
      <c r="L119" s="19">
        <v>1.0</v>
      </c>
      <c r="M119" s="19">
        <v>0.0</v>
      </c>
      <c r="N119" s="19">
        <v>0.0</v>
      </c>
      <c r="O119" s="13">
        <f t="shared" si="26"/>
        <v>3</v>
      </c>
      <c r="P119" s="5"/>
      <c r="Q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1.0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3">
        <f t="shared" si="26"/>
        <v>1</v>
      </c>
      <c r="P120" s="5"/>
      <c r="Q120" s="5"/>
    </row>
    <row r="121" ht="12.75" customHeight="1">
      <c r="A121" s="18"/>
      <c r="B121" s="71"/>
      <c r="C121" s="72"/>
      <c r="D121" s="74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3">
        <f t="shared" si="26"/>
        <v>0</v>
      </c>
      <c r="P121" s="5"/>
      <c r="Q121" s="5"/>
    </row>
    <row r="122" ht="12.75" customHeight="1">
      <c r="A122" s="18"/>
      <c r="B122" s="71"/>
      <c r="C122" s="72"/>
      <c r="D122" s="74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3">
        <f t="shared" si="26"/>
        <v>0</v>
      </c>
      <c r="P122" s="5"/>
      <c r="Q122" s="5"/>
    </row>
    <row r="123" ht="12.75" customHeight="1">
      <c r="A123" s="18"/>
      <c r="B123" s="71"/>
      <c r="C123" s="72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13">
        <f t="shared" si="26"/>
        <v>0</v>
      </c>
      <c r="P123" s="5"/>
      <c r="Q123" s="5"/>
    </row>
    <row r="124" ht="12.75" customHeight="1">
      <c r="A124" s="18"/>
      <c r="B124" s="71"/>
      <c r="C124" s="72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13">
        <f t="shared" si="26"/>
        <v>0</v>
      </c>
      <c r="P124" s="5"/>
      <c r="Q124" s="5"/>
    </row>
    <row r="125" ht="12.75" customHeight="1">
      <c r="A125" s="18"/>
      <c r="B125" s="71"/>
      <c r="C125" s="72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13">
        <f t="shared" si="26"/>
        <v>0</v>
      </c>
      <c r="P125" s="5"/>
      <c r="Q125" s="5"/>
    </row>
    <row r="126" ht="12.75" customHeight="1">
      <c r="A126" s="18"/>
      <c r="B126" s="71"/>
      <c r="C126" s="72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13">
        <f t="shared" si="26"/>
        <v>0</v>
      </c>
      <c r="P126" s="5"/>
      <c r="Q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N127" si="27">SUM(E117:E120)</f>
        <v>4</v>
      </c>
      <c r="F127" s="58">
        <f t="shared" si="27"/>
        <v>0</v>
      </c>
      <c r="G127" s="58">
        <f t="shared" si="27"/>
        <v>3</v>
      </c>
      <c r="H127" s="58">
        <f t="shared" si="27"/>
        <v>1</v>
      </c>
      <c r="I127" s="58">
        <f t="shared" si="27"/>
        <v>4</v>
      </c>
      <c r="J127" s="58">
        <f t="shared" si="27"/>
        <v>0</v>
      </c>
      <c r="K127" s="58">
        <f t="shared" si="27"/>
        <v>2</v>
      </c>
      <c r="L127" s="58">
        <f t="shared" si="27"/>
        <v>2</v>
      </c>
      <c r="M127" s="58">
        <f t="shared" si="27"/>
        <v>2</v>
      </c>
      <c r="N127" s="58">
        <f t="shared" si="27"/>
        <v>0</v>
      </c>
      <c r="O127" s="13">
        <f t="shared" si="26"/>
        <v>18</v>
      </c>
      <c r="P127" s="5"/>
      <c r="Q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5"/>
      <c r="Q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0.0</v>
      </c>
      <c r="J129" s="19">
        <v>0.0</v>
      </c>
      <c r="K129" s="19">
        <v>0.0</v>
      </c>
      <c r="L129" s="19">
        <v>1.0</v>
      </c>
      <c r="M129" s="19">
        <v>0.0</v>
      </c>
      <c r="N129" s="19">
        <v>2.0</v>
      </c>
      <c r="O129" s="13">
        <f t="shared" ref="O129:O139" si="28">SUM(E129:N129)</f>
        <v>3</v>
      </c>
      <c r="P129" s="5"/>
      <c r="Q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2.0</v>
      </c>
      <c r="F130" s="19">
        <v>2.0</v>
      </c>
      <c r="G130" s="19">
        <v>0.0</v>
      </c>
      <c r="H130" s="19">
        <v>0.0</v>
      </c>
      <c r="I130" s="19">
        <v>0.0</v>
      </c>
      <c r="J130" s="19">
        <v>0.0</v>
      </c>
      <c r="K130" s="19">
        <v>0.0</v>
      </c>
      <c r="L130" s="19">
        <v>0.0</v>
      </c>
      <c r="M130" s="19">
        <v>0.0</v>
      </c>
      <c r="N130" s="19">
        <v>2.0</v>
      </c>
      <c r="O130" s="13">
        <f t="shared" si="28"/>
        <v>6</v>
      </c>
      <c r="P130" s="1"/>
      <c r="Q130" s="1"/>
    </row>
    <row r="131" ht="12.75" customHeight="1">
      <c r="A131" s="18"/>
      <c r="B131" s="55">
        <v>2.0</v>
      </c>
      <c r="C131" s="50" t="s">
        <v>98</v>
      </c>
      <c r="D131" s="56"/>
      <c r="E131" s="19">
        <v>1.0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3">
        <f t="shared" si="28"/>
        <v>1</v>
      </c>
      <c r="P131" s="52"/>
      <c r="Q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1.0</v>
      </c>
      <c r="O132" s="13">
        <f t="shared" si="28"/>
        <v>1</v>
      </c>
      <c r="P132" s="5"/>
      <c r="Q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1.0</v>
      </c>
      <c r="L133" s="19">
        <v>0.0</v>
      </c>
      <c r="M133" s="19">
        <v>0.0</v>
      </c>
      <c r="N133" s="19">
        <v>0.0</v>
      </c>
      <c r="O133" s="13">
        <f t="shared" si="28"/>
        <v>1</v>
      </c>
      <c r="P133" s="5"/>
      <c r="Q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3">
        <f t="shared" si="28"/>
        <v>0</v>
      </c>
      <c r="P134" s="5"/>
      <c r="Q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3">
        <f t="shared" si="28"/>
        <v>0</v>
      </c>
      <c r="P135" s="5"/>
      <c r="Q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3">
        <f t="shared" si="28"/>
        <v>0</v>
      </c>
      <c r="P136" s="5"/>
      <c r="Q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3">
        <f t="shared" si="28"/>
        <v>0</v>
      </c>
      <c r="P137" s="5"/>
      <c r="Q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3">
        <f t="shared" si="28"/>
        <v>0</v>
      </c>
      <c r="P138" s="5"/>
      <c r="Q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N139" si="29">SUM(E129:E136)</f>
        <v>3</v>
      </c>
      <c r="F139" s="13">
        <f t="shared" si="29"/>
        <v>2</v>
      </c>
      <c r="G139" s="13">
        <f t="shared" si="29"/>
        <v>0</v>
      </c>
      <c r="H139" s="13">
        <f t="shared" si="29"/>
        <v>0</v>
      </c>
      <c r="I139" s="13">
        <f t="shared" si="29"/>
        <v>0</v>
      </c>
      <c r="J139" s="13">
        <f t="shared" si="29"/>
        <v>0</v>
      </c>
      <c r="K139" s="13">
        <f t="shared" si="29"/>
        <v>1</v>
      </c>
      <c r="L139" s="13">
        <f t="shared" si="29"/>
        <v>1</v>
      </c>
      <c r="M139" s="13">
        <f t="shared" si="29"/>
        <v>0</v>
      </c>
      <c r="N139" s="13">
        <f t="shared" si="29"/>
        <v>5</v>
      </c>
      <c r="O139" s="13">
        <f t="shared" si="28"/>
        <v>12</v>
      </c>
      <c r="P139" s="5"/>
      <c r="Q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5"/>
      <c r="Q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3">
        <f t="shared" ref="O141:O151" si="30">SUM(E141:N141)</f>
        <v>0</v>
      </c>
      <c r="P141" s="1"/>
      <c r="Q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3">
        <f t="shared" si="30"/>
        <v>0</v>
      </c>
      <c r="P142" s="52"/>
      <c r="Q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3">
        <f t="shared" si="30"/>
        <v>0</v>
      </c>
      <c r="P143" s="5"/>
      <c r="Q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3">
        <f t="shared" si="30"/>
        <v>0</v>
      </c>
      <c r="P144" s="5"/>
      <c r="Q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3">
        <f t="shared" si="30"/>
        <v>0</v>
      </c>
      <c r="P145" s="5"/>
      <c r="Q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3">
        <f t="shared" si="30"/>
        <v>0</v>
      </c>
      <c r="P146" s="5"/>
      <c r="Q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3">
        <f t="shared" si="30"/>
        <v>0</v>
      </c>
      <c r="P147" s="5"/>
      <c r="Q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3">
        <f t="shared" si="30"/>
        <v>0</v>
      </c>
      <c r="P148" s="5"/>
      <c r="Q148" s="5"/>
    </row>
    <row r="149" ht="12.75" customHeight="1">
      <c r="A149" s="18"/>
      <c r="B149" s="71"/>
      <c r="C149" s="72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3">
        <f t="shared" si="30"/>
        <v>0</v>
      </c>
      <c r="P149" s="5"/>
      <c r="Q149" s="5"/>
    </row>
    <row r="150" ht="12.75" customHeight="1">
      <c r="A150" s="18"/>
      <c r="B150" s="71"/>
      <c r="C150" s="72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3">
        <f t="shared" si="30"/>
        <v>0</v>
      </c>
      <c r="P150" s="5"/>
      <c r="Q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N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0"/>
        <v>0</v>
      </c>
      <c r="P151" s="1"/>
      <c r="Q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13"/>
      <c r="P152" s="52"/>
      <c r="Q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1.0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3">
        <f t="shared" ref="O153:O163" si="32">SUM(E153:N153)</f>
        <v>1</v>
      </c>
      <c r="P153" s="5"/>
      <c r="Q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1.0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3">
        <f t="shared" si="32"/>
        <v>1</v>
      </c>
      <c r="P154" s="5"/>
      <c r="Q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1.0</v>
      </c>
      <c r="L155" s="19">
        <v>0.0</v>
      </c>
      <c r="M155" s="19">
        <v>0.0</v>
      </c>
      <c r="N155" s="19">
        <v>0.0</v>
      </c>
      <c r="O155" s="13">
        <f t="shared" si="32"/>
        <v>1</v>
      </c>
      <c r="P155" s="5"/>
      <c r="Q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1.0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3">
        <f t="shared" si="32"/>
        <v>1</v>
      </c>
      <c r="P156" s="5"/>
      <c r="Q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3">
        <f t="shared" si="32"/>
        <v>0</v>
      </c>
      <c r="P157" s="5"/>
      <c r="Q157" s="5"/>
    </row>
    <row r="158" ht="12.75" customHeight="1">
      <c r="A158" s="18"/>
      <c r="B158" s="71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3">
        <f t="shared" si="32"/>
        <v>0</v>
      </c>
      <c r="P158" s="5"/>
      <c r="Q158" s="5"/>
    </row>
    <row r="159" ht="12.75" customHeight="1">
      <c r="A159" s="18"/>
      <c r="B159" s="71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3">
        <f t="shared" si="32"/>
        <v>0</v>
      </c>
      <c r="P159" s="5"/>
      <c r="Q159" s="5"/>
    </row>
    <row r="160" ht="12.75" customHeight="1">
      <c r="A160" s="18"/>
      <c r="B160" s="71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3">
        <f t="shared" si="32"/>
        <v>0</v>
      </c>
      <c r="P160" s="5"/>
      <c r="Q160" s="5"/>
    </row>
    <row r="161" ht="12.75" customHeight="1">
      <c r="A161" s="18"/>
      <c r="B161" s="71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3">
        <f t="shared" si="32"/>
        <v>0</v>
      </c>
      <c r="P161" s="5"/>
      <c r="Q161" s="5"/>
    </row>
    <row r="162" ht="12.75" customHeight="1">
      <c r="A162" s="18"/>
      <c r="B162" s="71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3">
        <f t="shared" si="32"/>
        <v>0</v>
      </c>
      <c r="P162" s="5"/>
      <c r="Q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N163" si="33">SUM(E153:E157)</f>
        <v>0</v>
      </c>
      <c r="F163" s="13">
        <f t="shared" si="33"/>
        <v>1</v>
      </c>
      <c r="G163" s="13">
        <f t="shared" si="33"/>
        <v>0</v>
      </c>
      <c r="H163" s="13">
        <f t="shared" si="33"/>
        <v>0</v>
      </c>
      <c r="I163" s="13">
        <f t="shared" si="33"/>
        <v>2</v>
      </c>
      <c r="J163" s="13">
        <f t="shared" si="33"/>
        <v>0</v>
      </c>
      <c r="K163" s="13">
        <f t="shared" si="33"/>
        <v>1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2"/>
        <v>4</v>
      </c>
      <c r="P163" s="5"/>
      <c r="Q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5"/>
      <c r="Q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3">
        <f t="shared" ref="O165:O175" si="34">SUM(E165:N165)</f>
        <v>0</v>
      </c>
      <c r="P165" s="1"/>
      <c r="Q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1.0</v>
      </c>
      <c r="F166" s="19">
        <v>1.0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1.0</v>
      </c>
      <c r="O166" s="13">
        <f t="shared" si="34"/>
        <v>3</v>
      </c>
      <c r="P166" s="52"/>
      <c r="Q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1.0</v>
      </c>
      <c r="M167" s="19">
        <v>0.0</v>
      </c>
      <c r="N167" s="19">
        <v>0.0</v>
      </c>
      <c r="O167" s="13">
        <f t="shared" si="34"/>
        <v>1</v>
      </c>
      <c r="P167" s="5"/>
      <c r="Q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3">
        <f t="shared" si="34"/>
        <v>0</v>
      </c>
      <c r="P168" s="5"/>
      <c r="Q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3">
        <f t="shared" si="34"/>
        <v>0</v>
      </c>
      <c r="P169" s="5"/>
      <c r="Q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3">
        <f t="shared" si="34"/>
        <v>0</v>
      </c>
      <c r="P170" s="5"/>
      <c r="Q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3">
        <f t="shared" si="34"/>
        <v>0</v>
      </c>
      <c r="P171" s="5"/>
      <c r="Q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1.0</v>
      </c>
      <c r="M172" s="19">
        <v>0.0</v>
      </c>
      <c r="N172" s="19">
        <v>0.0</v>
      </c>
      <c r="O172" s="13">
        <f t="shared" si="34"/>
        <v>1</v>
      </c>
      <c r="P172" s="5"/>
      <c r="Q172" s="5"/>
    </row>
    <row r="173" ht="12.75" customHeight="1">
      <c r="A173" s="18"/>
      <c r="B173" s="71"/>
      <c r="C173" s="72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3">
        <f t="shared" si="34"/>
        <v>0</v>
      </c>
      <c r="P173" s="5"/>
      <c r="Q173" s="5"/>
    </row>
    <row r="174" ht="12.75" customHeight="1">
      <c r="A174" s="18"/>
      <c r="B174" s="71"/>
      <c r="C174" s="72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3">
        <f t="shared" si="34"/>
        <v>0</v>
      </c>
      <c r="P174" s="5"/>
      <c r="Q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N175" si="35">SUM(E165:E172)</f>
        <v>1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2</v>
      </c>
      <c r="M175" s="13">
        <f t="shared" si="35"/>
        <v>0</v>
      </c>
      <c r="N175" s="13">
        <f t="shared" si="35"/>
        <v>1</v>
      </c>
      <c r="O175" s="13">
        <f t="shared" si="34"/>
        <v>5</v>
      </c>
      <c r="P175" s="5"/>
      <c r="Q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1"/>
      <c r="Q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1.0</v>
      </c>
      <c r="H177" s="19">
        <v>0.0</v>
      </c>
      <c r="I177" s="19">
        <v>2.0</v>
      </c>
      <c r="J177" s="19">
        <v>0.0</v>
      </c>
      <c r="K177" s="19">
        <v>1.0</v>
      </c>
      <c r="L177" s="19">
        <v>1.0</v>
      </c>
      <c r="M177" s="19">
        <v>1.0</v>
      </c>
      <c r="N177" s="19">
        <v>0.0</v>
      </c>
      <c r="O177" s="13">
        <f t="shared" ref="O177:O187" si="36">SUM(E177:N177)</f>
        <v>6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1.0</v>
      </c>
      <c r="G178" s="19">
        <v>0.0</v>
      </c>
      <c r="H178" s="19">
        <v>1.0</v>
      </c>
      <c r="I178" s="19">
        <v>0.0</v>
      </c>
      <c r="J178" s="19">
        <v>0.0</v>
      </c>
      <c r="K178" s="19">
        <v>1.0</v>
      </c>
      <c r="L178" s="19">
        <v>0.0</v>
      </c>
      <c r="M178" s="19">
        <v>0.0</v>
      </c>
      <c r="N178" s="19">
        <v>0.0</v>
      </c>
      <c r="O178" s="13">
        <f t="shared" si="36"/>
        <v>3</v>
      </c>
      <c r="P178" s="5"/>
      <c r="Q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1.0</v>
      </c>
      <c r="K179" s="19">
        <v>1.0</v>
      </c>
      <c r="L179" s="19">
        <v>0.0</v>
      </c>
      <c r="M179" s="19">
        <v>0.0</v>
      </c>
      <c r="N179" s="19">
        <v>0.0</v>
      </c>
      <c r="O179" s="13">
        <f t="shared" si="36"/>
        <v>2</v>
      </c>
      <c r="P179" s="5"/>
      <c r="Q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3">
        <f t="shared" si="36"/>
        <v>0</v>
      </c>
      <c r="P180" s="5"/>
      <c r="Q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1.0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3">
        <f t="shared" si="36"/>
        <v>1</v>
      </c>
      <c r="P181" s="5"/>
      <c r="Q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1.0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3">
        <f t="shared" si="36"/>
        <v>1</v>
      </c>
      <c r="P182" s="5"/>
      <c r="Q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3">
        <f t="shared" si="36"/>
        <v>0</v>
      </c>
      <c r="P183" s="5"/>
      <c r="Q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3">
        <f t="shared" si="36"/>
        <v>0</v>
      </c>
      <c r="P184" s="5"/>
      <c r="Q184" s="5"/>
    </row>
    <row r="185" ht="12.75" customHeight="1">
      <c r="A185" s="18"/>
      <c r="B185" s="71"/>
      <c r="C185" s="72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3">
        <f t="shared" si="36"/>
        <v>0</v>
      </c>
      <c r="P185" s="5"/>
      <c r="Q185" s="5"/>
    </row>
    <row r="186" ht="12.75" customHeight="1">
      <c r="A186" s="18"/>
      <c r="B186" s="71"/>
      <c r="C186" s="72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3">
        <f t="shared" si="36"/>
        <v>0</v>
      </c>
      <c r="P186" s="5"/>
      <c r="Q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N187" si="37">SUM(E177:E184)</f>
        <v>0</v>
      </c>
      <c r="F187" s="13">
        <f t="shared" si="37"/>
        <v>2</v>
      </c>
      <c r="G187" s="13">
        <f t="shared" si="37"/>
        <v>2</v>
      </c>
      <c r="H187" s="13">
        <f t="shared" si="37"/>
        <v>1</v>
      </c>
      <c r="I187" s="13">
        <f t="shared" si="37"/>
        <v>2</v>
      </c>
      <c r="J187" s="13">
        <f t="shared" si="37"/>
        <v>1</v>
      </c>
      <c r="K187" s="13">
        <f t="shared" si="37"/>
        <v>3</v>
      </c>
      <c r="L187" s="13">
        <f t="shared" si="37"/>
        <v>1</v>
      </c>
      <c r="M187" s="13">
        <f t="shared" si="37"/>
        <v>1</v>
      </c>
      <c r="N187" s="13">
        <f t="shared" si="37"/>
        <v>0</v>
      </c>
      <c r="O187" s="13">
        <f t="shared" si="36"/>
        <v>13</v>
      </c>
      <c r="P187" s="1"/>
      <c r="Q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O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1.0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1.0</v>
      </c>
      <c r="L189" s="19">
        <v>0.0</v>
      </c>
      <c r="M189" s="19">
        <v>0.0</v>
      </c>
      <c r="N189" s="19">
        <v>0.0</v>
      </c>
      <c r="O189" s="13">
        <f t="shared" ref="O189:O199" si="38">SUM(E189:N189)</f>
        <v>2</v>
      </c>
      <c r="P189" s="5"/>
      <c r="Q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3">
        <f t="shared" si="38"/>
        <v>0</v>
      </c>
      <c r="P190" s="5"/>
      <c r="Q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3">
        <f t="shared" si="38"/>
        <v>0</v>
      </c>
      <c r="P191" s="5"/>
      <c r="Q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3">
        <f t="shared" si="38"/>
        <v>0</v>
      </c>
      <c r="P192" s="5"/>
      <c r="Q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3">
        <f t="shared" si="38"/>
        <v>0</v>
      </c>
      <c r="P193" s="5"/>
      <c r="Q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3">
        <f t="shared" si="38"/>
        <v>0</v>
      </c>
      <c r="P194" s="5"/>
      <c r="Q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3">
        <f t="shared" si="38"/>
        <v>0</v>
      </c>
      <c r="P195" s="5"/>
      <c r="Q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3">
        <f t="shared" si="38"/>
        <v>0</v>
      </c>
      <c r="P196" s="1"/>
      <c r="Q196" s="1"/>
    </row>
    <row r="197" ht="12.75" customHeight="1">
      <c r="A197" s="18"/>
      <c r="B197" s="71"/>
      <c r="C197" s="72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3">
        <f t="shared" si="38"/>
        <v>0</v>
      </c>
      <c r="P197" s="1"/>
      <c r="Q197" s="1"/>
    </row>
    <row r="198" ht="12.75" customHeight="1">
      <c r="A198" s="18"/>
      <c r="B198" s="71"/>
      <c r="C198" s="72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3">
        <f t="shared" si="38"/>
        <v>0</v>
      </c>
      <c r="P198" s="1"/>
      <c r="Q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N199" si="39">SUM(E189:E196)</f>
        <v>1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8"/>
        <v>2</v>
      </c>
      <c r="P199" s="52"/>
      <c r="Q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5"/>
      <c r="Q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1.0</v>
      </c>
      <c r="F201" s="19">
        <v>3.0</v>
      </c>
      <c r="G201" s="19">
        <v>1.0</v>
      </c>
      <c r="H201" s="19">
        <v>2.0</v>
      </c>
      <c r="I201" s="19">
        <v>5.0</v>
      </c>
      <c r="J201" s="19">
        <v>3.0</v>
      </c>
      <c r="K201" s="19">
        <v>2.0</v>
      </c>
      <c r="L201" s="19">
        <v>5.0</v>
      </c>
      <c r="M201" s="19">
        <v>2.0</v>
      </c>
      <c r="N201" s="19">
        <v>3.0</v>
      </c>
      <c r="O201" s="13">
        <f t="shared" ref="O201:O211" si="40">SUM(E201:N201)</f>
        <v>27</v>
      </c>
      <c r="P201" s="5"/>
      <c r="Q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6.0</v>
      </c>
      <c r="F202" s="19">
        <v>3.0</v>
      </c>
      <c r="G202" s="19">
        <v>4.0</v>
      </c>
      <c r="H202" s="19">
        <v>1.0</v>
      </c>
      <c r="I202" s="19">
        <v>6.0</v>
      </c>
      <c r="J202" s="19">
        <v>10.0</v>
      </c>
      <c r="K202" s="19">
        <v>5.0</v>
      </c>
      <c r="L202" s="19">
        <v>1.0</v>
      </c>
      <c r="M202" s="19">
        <v>2.0</v>
      </c>
      <c r="N202" s="19">
        <v>4.0</v>
      </c>
      <c r="O202" s="13">
        <f t="shared" si="40"/>
        <v>42</v>
      </c>
      <c r="P202" s="5"/>
      <c r="Q202" s="5"/>
    </row>
    <row r="203" ht="12.75" customHeight="1">
      <c r="A203" s="18"/>
      <c r="B203" s="55">
        <v>2.0</v>
      </c>
      <c r="C203" s="50" t="s">
        <v>149</v>
      </c>
      <c r="D203" s="57"/>
      <c r="E203" s="19">
        <v>2.0</v>
      </c>
      <c r="F203" s="19">
        <v>4.0</v>
      </c>
      <c r="G203" s="19">
        <v>1.0</v>
      </c>
      <c r="H203" s="19">
        <v>2.0</v>
      </c>
      <c r="I203" s="19">
        <v>0.0</v>
      </c>
      <c r="J203" s="19">
        <v>1.0</v>
      </c>
      <c r="K203" s="19">
        <v>3.0</v>
      </c>
      <c r="L203" s="19">
        <v>5.0</v>
      </c>
      <c r="M203" s="19">
        <v>2.0</v>
      </c>
      <c r="N203" s="19">
        <v>1.0</v>
      </c>
      <c r="O203" s="13">
        <f t="shared" si="40"/>
        <v>21</v>
      </c>
      <c r="P203" s="5"/>
      <c r="Q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0.0</v>
      </c>
      <c r="H204" s="19">
        <v>1.0</v>
      </c>
      <c r="I204" s="19">
        <v>0.0</v>
      </c>
      <c r="J204" s="19">
        <v>0.0</v>
      </c>
      <c r="K204" s="19">
        <v>0.0</v>
      </c>
      <c r="L204" s="19">
        <v>1.0</v>
      </c>
      <c r="M204" s="19">
        <v>0.0</v>
      </c>
      <c r="N204" s="19">
        <v>0.0</v>
      </c>
      <c r="O204" s="13">
        <f t="shared" si="40"/>
        <v>2</v>
      </c>
      <c r="P204" s="5"/>
      <c r="Q204" s="5"/>
    </row>
    <row r="205" ht="12.75" customHeight="1">
      <c r="A205" s="18"/>
      <c r="B205" s="55">
        <v>4.0</v>
      </c>
      <c r="C205" s="50" t="s">
        <v>151</v>
      </c>
      <c r="D205" s="57"/>
      <c r="E205" s="19">
        <v>8.0</v>
      </c>
      <c r="F205" s="19">
        <v>0.0</v>
      </c>
      <c r="G205" s="19">
        <v>0.0</v>
      </c>
      <c r="H205" s="19">
        <v>6.0</v>
      </c>
      <c r="I205" s="19">
        <v>0.0</v>
      </c>
      <c r="J205" s="19">
        <v>1.0</v>
      </c>
      <c r="K205" s="19">
        <v>1.0</v>
      </c>
      <c r="L205" s="19">
        <v>0.0</v>
      </c>
      <c r="M205" s="19">
        <v>0.0</v>
      </c>
      <c r="N205" s="19">
        <v>0.0</v>
      </c>
      <c r="O205" s="13">
        <f t="shared" si="40"/>
        <v>16</v>
      </c>
      <c r="P205" s="5"/>
      <c r="Q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3">
        <f t="shared" si="40"/>
        <v>0</v>
      </c>
      <c r="P206" s="5"/>
      <c r="Q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3">
        <f t="shared" si="40"/>
        <v>0</v>
      </c>
      <c r="P207" s="1"/>
      <c r="Q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1.0</v>
      </c>
      <c r="G208" s="19">
        <v>0.0</v>
      </c>
      <c r="H208" s="19">
        <v>0.0</v>
      </c>
      <c r="I208" s="19">
        <v>0.0</v>
      </c>
      <c r="J208" s="19">
        <v>0.0</v>
      </c>
      <c r="K208" s="19">
        <v>1.0</v>
      </c>
      <c r="L208" s="19">
        <v>0.0</v>
      </c>
      <c r="M208" s="19">
        <v>0.0</v>
      </c>
      <c r="N208" s="19">
        <v>0.0</v>
      </c>
      <c r="O208" s="13">
        <f t="shared" si="40"/>
        <v>2</v>
      </c>
      <c r="P208" s="52"/>
      <c r="Q208" s="52"/>
    </row>
    <row r="209" ht="12.75" customHeight="1">
      <c r="A209" s="18"/>
      <c r="B209" s="71"/>
      <c r="C209" s="72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3">
        <f t="shared" si="40"/>
        <v>0</v>
      </c>
      <c r="P209" s="52"/>
      <c r="Q209" s="52"/>
    </row>
    <row r="210" ht="12.75" customHeight="1">
      <c r="A210" s="18"/>
      <c r="B210" s="71"/>
      <c r="C210" s="72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3">
        <f t="shared" si="40"/>
        <v>0</v>
      </c>
      <c r="P210" s="52"/>
      <c r="Q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N211" si="41">SUM(E201:E208)</f>
        <v>17</v>
      </c>
      <c r="F211" s="13">
        <f t="shared" si="41"/>
        <v>11</v>
      </c>
      <c r="G211" s="13">
        <f t="shared" si="41"/>
        <v>6</v>
      </c>
      <c r="H211" s="13">
        <f t="shared" si="41"/>
        <v>12</v>
      </c>
      <c r="I211" s="13">
        <f t="shared" si="41"/>
        <v>11</v>
      </c>
      <c r="J211" s="13">
        <f t="shared" si="41"/>
        <v>15</v>
      </c>
      <c r="K211" s="13">
        <f t="shared" si="41"/>
        <v>12</v>
      </c>
      <c r="L211" s="13">
        <f t="shared" si="41"/>
        <v>12</v>
      </c>
      <c r="M211" s="13">
        <f t="shared" si="41"/>
        <v>6</v>
      </c>
      <c r="N211" s="13">
        <f t="shared" si="41"/>
        <v>8</v>
      </c>
      <c r="O211" s="13">
        <f t="shared" si="40"/>
        <v>110</v>
      </c>
      <c r="P211" s="5"/>
      <c r="Q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5"/>
      <c r="Q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3.0</v>
      </c>
      <c r="F213" s="19">
        <v>3.0</v>
      </c>
      <c r="G213" s="19">
        <v>3.0</v>
      </c>
      <c r="H213" s="19">
        <v>1.0</v>
      </c>
      <c r="I213" s="19">
        <v>1.0</v>
      </c>
      <c r="J213" s="19">
        <v>3.0</v>
      </c>
      <c r="K213" s="19">
        <v>6.0</v>
      </c>
      <c r="L213" s="19">
        <v>2.0</v>
      </c>
      <c r="M213" s="19">
        <v>0.0</v>
      </c>
      <c r="N213" s="19">
        <v>6.0</v>
      </c>
      <c r="O213" s="13">
        <f t="shared" ref="O213:O223" si="42">SUM(E213:N213)</f>
        <v>28</v>
      </c>
      <c r="P213" s="5"/>
      <c r="Q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2.0</v>
      </c>
      <c r="F214" s="19">
        <v>1.0</v>
      </c>
      <c r="G214" s="19">
        <v>3.0</v>
      </c>
      <c r="H214" s="19">
        <v>4.0</v>
      </c>
      <c r="I214" s="19">
        <v>5.0</v>
      </c>
      <c r="J214" s="19">
        <v>2.0</v>
      </c>
      <c r="K214" s="19">
        <v>2.0</v>
      </c>
      <c r="L214" s="19">
        <v>3.0</v>
      </c>
      <c r="M214" s="19">
        <v>0.0</v>
      </c>
      <c r="N214" s="19">
        <v>1.0</v>
      </c>
      <c r="O214" s="13">
        <f t="shared" si="42"/>
        <v>23</v>
      </c>
      <c r="P214" s="5"/>
      <c r="Q214" s="5"/>
    </row>
    <row r="215" ht="12.75" customHeight="1">
      <c r="A215" s="18"/>
      <c r="B215" s="55">
        <v>2.0</v>
      </c>
      <c r="C215" s="50" t="s">
        <v>158</v>
      </c>
      <c r="D215" s="56"/>
      <c r="E215" s="19">
        <v>2.0</v>
      </c>
      <c r="F215" s="19">
        <v>1.0</v>
      </c>
      <c r="G215" s="19">
        <v>1.0</v>
      </c>
      <c r="H215" s="19">
        <v>2.0</v>
      </c>
      <c r="I215" s="19">
        <v>1.0</v>
      </c>
      <c r="J215" s="19">
        <v>0.0</v>
      </c>
      <c r="K215" s="19">
        <v>4.0</v>
      </c>
      <c r="L215" s="19">
        <v>0.0</v>
      </c>
      <c r="M215" s="19">
        <v>0.0</v>
      </c>
      <c r="N215" s="19">
        <v>0.0</v>
      </c>
      <c r="O215" s="13">
        <f t="shared" si="42"/>
        <v>11</v>
      </c>
      <c r="P215" s="5"/>
      <c r="Q215" s="5"/>
    </row>
    <row r="216" ht="12.75" customHeight="1">
      <c r="A216" s="18"/>
      <c r="B216" s="55">
        <v>3.0</v>
      </c>
      <c r="C216" s="61" t="s">
        <v>159</v>
      </c>
      <c r="E216" s="19">
        <v>1.0</v>
      </c>
      <c r="F216" s="19">
        <v>0.0</v>
      </c>
      <c r="G216" s="19">
        <v>4.0</v>
      </c>
      <c r="H216" s="19">
        <v>1.0</v>
      </c>
      <c r="I216" s="19">
        <v>0.0</v>
      </c>
      <c r="J216" s="19">
        <v>0.0</v>
      </c>
      <c r="K216" s="19">
        <v>1.0</v>
      </c>
      <c r="L216" s="19">
        <v>0.0</v>
      </c>
      <c r="M216" s="19">
        <v>0.0</v>
      </c>
      <c r="N216" s="19">
        <v>0.0</v>
      </c>
      <c r="O216" s="13">
        <f t="shared" si="42"/>
        <v>7</v>
      </c>
      <c r="P216" s="5"/>
      <c r="Q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1.0</v>
      </c>
      <c r="O217" s="13">
        <f t="shared" si="42"/>
        <v>1</v>
      </c>
      <c r="P217" s="5"/>
      <c r="Q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1.0</v>
      </c>
      <c r="K218" s="19">
        <v>0.0</v>
      </c>
      <c r="L218" s="19">
        <v>0.0</v>
      </c>
      <c r="M218" s="19">
        <v>0.0</v>
      </c>
      <c r="N218" s="19">
        <v>0.0</v>
      </c>
      <c r="O218" s="13">
        <f t="shared" si="42"/>
        <v>1</v>
      </c>
      <c r="P218" s="1"/>
      <c r="Q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1.0</v>
      </c>
      <c r="H219" s="19">
        <v>0.0</v>
      </c>
      <c r="I219" s="19">
        <v>0.0</v>
      </c>
      <c r="J219" s="19">
        <v>2.0</v>
      </c>
      <c r="K219" s="19">
        <v>0.0</v>
      </c>
      <c r="L219" s="19">
        <v>0.0</v>
      </c>
      <c r="M219" s="19">
        <v>0.0</v>
      </c>
      <c r="N219" s="19">
        <v>0.0</v>
      </c>
      <c r="O219" s="13">
        <f t="shared" si="42"/>
        <v>3</v>
      </c>
      <c r="P219" s="52"/>
      <c r="Q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1.0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1.0</v>
      </c>
      <c r="L220" s="19">
        <v>0.0</v>
      </c>
      <c r="M220" s="19">
        <v>1.0</v>
      </c>
      <c r="N220" s="19">
        <v>0.0</v>
      </c>
      <c r="O220" s="13">
        <f t="shared" si="42"/>
        <v>3</v>
      </c>
      <c r="P220" s="5"/>
      <c r="Q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3">
        <f t="shared" si="42"/>
        <v>0</v>
      </c>
      <c r="P221" s="5"/>
      <c r="Q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3">
        <f t="shared" si="42"/>
        <v>0</v>
      </c>
      <c r="P222" s="5"/>
      <c r="Q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N223" si="43">SUM(E213:E220)</f>
        <v>9</v>
      </c>
      <c r="F223" s="13">
        <f t="shared" si="43"/>
        <v>5</v>
      </c>
      <c r="G223" s="13">
        <f t="shared" si="43"/>
        <v>12</v>
      </c>
      <c r="H223" s="13">
        <f t="shared" si="43"/>
        <v>8</v>
      </c>
      <c r="I223" s="13">
        <f t="shared" si="43"/>
        <v>7</v>
      </c>
      <c r="J223" s="13">
        <f t="shared" si="43"/>
        <v>8</v>
      </c>
      <c r="K223" s="13">
        <f t="shared" si="43"/>
        <v>14</v>
      </c>
      <c r="L223" s="13">
        <f t="shared" si="43"/>
        <v>5</v>
      </c>
      <c r="M223" s="13">
        <f t="shared" si="43"/>
        <v>1</v>
      </c>
      <c r="N223" s="13">
        <f t="shared" si="43"/>
        <v>8</v>
      </c>
      <c r="O223" s="13">
        <f t="shared" si="42"/>
        <v>77</v>
      </c>
      <c r="P223" s="5"/>
      <c r="Q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5"/>
      <c r="Q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1.0</v>
      </c>
      <c r="M225" s="19">
        <v>0.0</v>
      </c>
      <c r="N225" s="19">
        <v>0.0</v>
      </c>
      <c r="O225" s="13">
        <f t="shared" ref="O225:O235" si="44">SUM(E225:N225)</f>
        <v>1</v>
      </c>
      <c r="P225" s="5"/>
      <c r="Q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1.0</v>
      </c>
      <c r="I226" s="19">
        <v>3.0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3">
        <f t="shared" si="44"/>
        <v>4</v>
      </c>
      <c r="P226" s="5"/>
      <c r="Q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3">
        <f t="shared" si="44"/>
        <v>0</v>
      </c>
      <c r="P227" s="5"/>
      <c r="Q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3">
        <f t="shared" si="44"/>
        <v>0</v>
      </c>
      <c r="P228" s="5"/>
      <c r="Q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1.0</v>
      </c>
      <c r="K229" s="19">
        <v>0.0</v>
      </c>
      <c r="L229" s="19">
        <v>0.0</v>
      </c>
      <c r="M229" s="19">
        <v>0.0</v>
      </c>
      <c r="N229" s="19">
        <v>0.0</v>
      </c>
      <c r="O229" s="13">
        <f t="shared" si="44"/>
        <v>1</v>
      </c>
      <c r="P229" s="1"/>
      <c r="Q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3">
        <f t="shared" si="44"/>
        <v>0</v>
      </c>
      <c r="P230" s="52"/>
      <c r="Q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3">
        <f t="shared" si="44"/>
        <v>0</v>
      </c>
      <c r="P231" s="5"/>
      <c r="Q231" s="5"/>
    </row>
    <row r="232" ht="12.75" customHeight="1">
      <c r="A232" s="18"/>
      <c r="B232" s="55">
        <v>7.0</v>
      </c>
      <c r="C232" s="50" t="s">
        <v>172</v>
      </c>
      <c r="D232" s="57"/>
      <c r="E232" s="19">
        <v>1.0</v>
      </c>
      <c r="F232" s="19">
        <v>3.0</v>
      </c>
      <c r="G232" s="19">
        <v>0.0</v>
      </c>
      <c r="H232" s="19">
        <v>1.0</v>
      </c>
      <c r="I232" s="19">
        <v>2.0</v>
      </c>
      <c r="J232" s="19">
        <v>1.0</v>
      </c>
      <c r="K232" s="19">
        <v>2.0</v>
      </c>
      <c r="L232" s="19">
        <v>0.0</v>
      </c>
      <c r="M232" s="19">
        <v>0.0</v>
      </c>
      <c r="N232" s="19">
        <v>2.0</v>
      </c>
      <c r="O232" s="13">
        <f t="shared" si="44"/>
        <v>12</v>
      </c>
      <c r="P232" s="5"/>
      <c r="Q232" s="5"/>
    </row>
    <row r="233" ht="12.75" customHeight="1">
      <c r="A233" s="18"/>
      <c r="B233" s="71"/>
      <c r="C233" s="72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3">
        <f t="shared" si="44"/>
        <v>0</v>
      </c>
      <c r="P233" s="5"/>
      <c r="Q233" s="5"/>
    </row>
    <row r="234" ht="12.75" customHeight="1">
      <c r="A234" s="18"/>
      <c r="B234" s="71"/>
      <c r="C234" s="72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3">
        <f t="shared" si="44"/>
        <v>0</v>
      </c>
      <c r="P234" s="5"/>
      <c r="Q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N235" si="45">SUM(E225:E232)</f>
        <v>1</v>
      </c>
      <c r="F235" s="13">
        <f t="shared" si="45"/>
        <v>3</v>
      </c>
      <c r="G235" s="13">
        <f t="shared" si="45"/>
        <v>0</v>
      </c>
      <c r="H235" s="13">
        <f t="shared" si="45"/>
        <v>2</v>
      </c>
      <c r="I235" s="13">
        <f t="shared" si="45"/>
        <v>5</v>
      </c>
      <c r="J235" s="13">
        <f t="shared" si="45"/>
        <v>2</v>
      </c>
      <c r="K235" s="13">
        <f t="shared" si="45"/>
        <v>2</v>
      </c>
      <c r="L235" s="13">
        <f t="shared" si="45"/>
        <v>1</v>
      </c>
      <c r="M235" s="13">
        <f t="shared" si="45"/>
        <v>0</v>
      </c>
      <c r="N235" s="13">
        <f t="shared" si="45"/>
        <v>2</v>
      </c>
      <c r="O235" s="13">
        <f t="shared" si="44"/>
        <v>18</v>
      </c>
      <c r="P235" s="5"/>
      <c r="Q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5"/>
      <c r="Q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0.0</v>
      </c>
      <c r="I237" s="19">
        <v>0.0</v>
      </c>
      <c r="J237" s="19">
        <v>2.0</v>
      </c>
      <c r="K237" s="19">
        <v>0.0</v>
      </c>
      <c r="L237" s="19">
        <v>1.0</v>
      </c>
      <c r="M237" s="19">
        <v>0.0</v>
      </c>
      <c r="N237" s="19">
        <v>0.0</v>
      </c>
      <c r="O237" s="13">
        <f t="shared" ref="O237:O247" si="46">SUM(E237:N237)</f>
        <v>3</v>
      </c>
      <c r="P237" s="5"/>
      <c r="Q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1.0</v>
      </c>
      <c r="M238" s="19">
        <v>0.0</v>
      </c>
      <c r="N238" s="19">
        <v>0.0</v>
      </c>
      <c r="O238" s="13">
        <f t="shared" si="46"/>
        <v>1</v>
      </c>
      <c r="P238" s="5"/>
      <c r="Q238" s="5"/>
    </row>
    <row r="239" ht="12.75" customHeight="1">
      <c r="A239" s="18"/>
      <c r="B239" s="55">
        <v>2.0</v>
      </c>
      <c r="C239" s="50" t="s">
        <v>176</v>
      </c>
      <c r="D239" s="57"/>
      <c r="E239" s="19">
        <v>1.0</v>
      </c>
      <c r="F239" s="19">
        <v>0.0</v>
      </c>
      <c r="G239" s="19">
        <v>0.0</v>
      </c>
      <c r="H239" s="19">
        <v>0.0</v>
      </c>
      <c r="I239" s="19">
        <v>1.0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3">
        <f t="shared" si="46"/>
        <v>2</v>
      </c>
      <c r="P239" s="5"/>
      <c r="Q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1.0</v>
      </c>
      <c r="L240" s="19">
        <v>0.0</v>
      </c>
      <c r="M240" s="19">
        <v>0.0</v>
      </c>
      <c r="N240" s="19">
        <v>0.0</v>
      </c>
      <c r="O240" s="13">
        <f t="shared" si="46"/>
        <v>1</v>
      </c>
      <c r="P240" s="1"/>
      <c r="Q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1.0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1.0</v>
      </c>
      <c r="N241" s="19">
        <v>0.0</v>
      </c>
      <c r="O241" s="13">
        <f t="shared" si="46"/>
        <v>2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1.0</v>
      </c>
      <c r="G244" s="19">
        <v>0.0</v>
      </c>
      <c r="H244" s="19">
        <v>0.0</v>
      </c>
      <c r="I244" s="19">
        <v>0.0</v>
      </c>
      <c r="J244" s="19">
        <v>2.0</v>
      </c>
      <c r="K244" s="19">
        <v>0.0</v>
      </c>
      <c r="L244" s="19">
        <v>0.0</v>
      </c>
      <c r="M244" s="19">
        <v>0.0</v>
      </c>
      <c r="N244" s="19">
        <v>0.0</v>
      </c>
      <c r="O244" s="13">
        <f t="shared" si="46"/>
        <v>3</v>
      </c>
    </row>
    <row r="245" ht="12.75" customHeight="1">
      <c r="A245" s="18"/>
      <c r="B245" s="71"/>
      <c r="C245" s="72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3">
        <f t="shared" si="46"/>
        <v>0</v>
      </c>
    </row>
    <row r="246" ht="12.75" customHeight="1">
      <c r="A246" s="18"/>
      <c r="B246" s="71"/>
      <c r="C246" s="72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N247" si="47">SUM(E237:E244)</f>
        <v>1</v>
      </c>
      <c r="F247" s="13">
        <f t="shared" si="47"/>
        <v>1</v>
      </c>
      <c r="G247" s="13">
        <f t="shared" si="47"/>
        <v>1</v>
      </c>
      <c r="H247" s="13">
        <f t="shared" si="47"/>
        <v>0</v>
      </c>
      <c r="I247" s="13">
        <f t="shared" si="47"/>
        <v>1</v>
      </c>
      <c r="J247" s="13">
        <f t="shared" si="47"/>
        <v>4</v>
      </c>
      <c r="K247" s="13">
        <f t="shared" si="47"/>
        <v>1</v>
      </c>
      <c r="L247" s="13">
        <f t="shared" si="47"/>
        <v>2</v>
      </c>
      <c r="M247" s="13">
        <f t="shared" si="47"/>
        <v>1</v>
      </c>
      <c r="N247" s="13">
        <f t="shared" si="47"/>
        <v>0</v>
      </c>
      <c r="O247" s="13">
        <f t="shared" si="46"/>
        <v>12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1.0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1.0</v>
      </c>
      <c r="M249" s="19">
        <v>0.0</v>
      </c>
      <c r="N249" s="19">
        <v>0.0</v>
      </c>
      <c r="O249" s="13">
        <f t="shared" ref="O249:O259" si="48">SUM(E249:N249)</f>
        <v>2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1.0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3">
        <f t="shared" si="48"/>
        <v>1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3">
        <f t="shared" si="48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1.0</v>
      </c>
      <c r="L252" s="19">
        <v>0.0</v>
      </c>
      <c r="M252" s="19">
        <v>0.0</v>
      </c>
      <c r="N252" s="19">
        <v>0.0</v>
      </c>
      <c r="O252" s="13">
        <f t="shared" si="48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3">
        <f t="shared" si="48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3">
        <f t="shared" si="48"/>
        <v>0</v>
      </c>
    </row>
    <row r="256" ht="12.75" customHeight="1">
      <c r="A256" s="18"/>
      <c r="B256" s="71"/>
      <c r="C256" s="76"/>
      <c r="D256" s="74"/>
      <c r="E256" s="19">
        <v>0.0</v>
      </c>
      <c r="F256" s="19">
        <v>0.0</v>
      </c>
      <c r="G256" s="19">
        <v>0.0</v>
      </c>
      <c r="H256" s="19">
        <v>0.0</v>
      </c>
      <c r="I256" s="19">
        <v>0.0</v>
      </c>
      <c r="J256" s="19">
        <v>0.0</v>
      </c>
      <c r="K256" s="19">
        <v>0.0</v>
      </c>
      <c r="L256" s="19">
        <v>0.0</v>
      </c>
      <c r="M256" s="19">
        <v>0.0</v>
      </c>
      <c r="N256" s="19">
        <v>0.0</v>
      </c>
      <c r="O256" s="13">
        <f t="shared" si="48"/>
        <v>0</v>
      </c>
    </row>
    <row r="257" ht="12.75" customHeight="1">
      <c r="A257" s="18"/>
      <c r="B257" s="71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3">
        <f t="shared" si="48"/>
        <v>0</v>
      </c>
    </row>
    <row r="258" ht="12.75" customHeight="1">
      <c r="A258" s="18"/>
      <c r="B258" s="71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3">
        <f t="shared" si="48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N259" si="49">SUM(E249:E255)</f>
        <v>1</v>
      </c>
      <c r="F259" s="13">
        <f t="shared" si="49"/>
        <v>0</v>
      </c>
      <c r="G259" s="13">
        <f t="shared" si="49"/>
        <v>1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1</v>
      </c>
      <c r="L259" s="13">
        <f t="shared" si="49"/>
        <v>1</v>
      </c>
      <c r="M259" s="13">
        <f t="shared" si="49"/>
        <v>0</v>
      </c>
      <c r="N259" s="13">
        <f t="shared" si="49"/>
        <v>0</v>
      </c>
      <c r="O259" s="13">
        <f t="shared" si="48"/>
        <v>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0"/>
      <c r="O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N262" si="50">E55+E67+E79+E91+E103+E115+E127+E139+E151+E163+E175+E187+E199+E211+E223+E235+E247+E259</f>
        <v>213</v>
      </c>
      <c r="F262" s="19">
        <f t="shared" si="50"/>
        <v>177</v>
      </c>
      <c r="G262" s="19">
        <f t="shared" si="50"/>
        <v>191</v>
      </c>
      <c r="H262" s="19">
        <f t="shared" si="50"/>
        <v>160</v>
      </c>
      <c r="I262" s="19">
        <f t="shared" si="50"/>
        <v>165</v>
      </c>
      <c r="J262" s="19">
        <f t="shared" si="50"/>
        <v>155</v>
      </c>
      <c r="K262" s="19">
        <f t="shared" si="50"/>
        <v>168</v>
      </c>
      <c r="L262" s="19">
        <f t="shared" si="50"/>
        <v>138</v>
      </c>
      <c r="M262" s="19">
        <f t="shared" si="50"/>
        <v>127</v>
      </c>
      <c r="N262" s="19">
        <f t="shared" si="50"/>
        <v>145</v>
      </c>
      <c r="O262" s="13">
        <f t="shared" ref="O262:O264" si="51">SUM(E262:N262)</f>
        <v>1639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19.0</v>
      </c>
      <c r="F263" s="19">
        <v>27.0</v>
      </c>
      <c r="G263" s="19">
        <v>9.0</v>
      </c>
      <c r="H263" s="19">
        <v>27.0</v>
      </c>
      <c r="I263" s="19">
        <v>13.0</v>
      </c>
      <c r="J263" s="19">
        <v>40.0</v>
      </c>
      <c r="K263" s="19">
        <v>15.0</v>
      </c>
      <c r="L263" s="19">
        <v>19.0</v>
      </c>
      <c r="M263" s="19">
        <v>12.0</v>
      </c>
      <c r="N263" s="19">
        <v>17.0</v>
      </c>
      <c r="O263" s="13">
        <f t="shared" si="51"/>
        <v>198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N264" si="52">SUM(E262:E263)</f>
        <v>232</v>
      </c>
      <c r="F264" s="13">
        <f t="shared" si="52"/>
        <v>204</v>
      </c>
      <c r="G264" s="13">
        <f t="shared" si="52"/>
        <v>200</v>
      </c>
      <c r="H264" s="13">
        <f t="shared" si="52"/>
        <v>187</v>
      </c>
      <c r="I264" s="13">
        <f t="shared" si="52"/>
        <v>178</v>
      </c>
      <c r="J264" s="13">
        <f t="shared" si="52"/>
        <v>195</v>
      </c>
      <c r="K264" s="13">
        <f t="shared" si="52"/>
        <v>183</v>
      </c>
      <c r="L264" s="13">
        <f t="shared" si="52"/>
        <v>157</v>
      </c>
      <c r="M264" s="13">
        <f t="shared" si="52"/>
        <v>139</v>
      </c>
      <c r="N264" s="13">
        <f t="shared" si="52"/>
        <v>162</v>
      </c>
      <c r="O264" s="13">
        <f t="shared" si="51"/>
        <v>1837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N34">
    <cfRule type="expression" dxfId="0" priority="1">
      <formula>E34&lt;&gt;E64</formula>
    </cfRule>
  </conditionalFormatting>
  <conditionalFormatting sqref="E14:N15">
    <cfRule type="containsBlanks" dxfId="1" priority="2">
      <formula>LEN(TRIM(E14))=0</formula>
    </cfRule>
  </conditionalFormatting>
  <conditionalFormatting sqref="E19:N20">
    <cfRule type="containsBlanks" dxfId="1" priority="3">
      <formula>LEN(TRIM(E19))=0</formula>
    </cfRule>
  </conditionalFormatting>
  <conditionalFormatting sqref="E22:N23 E25:N26 E33:N33 E35:N35 E39:N40">
    <cfRule type="containsBlanks" dxfId="1" priority="4">
      <formula>LEN(TRIM(E22))=0</formula>
    </cfRule>
  </conditionalFormatting>
  <conditionalFormatting sqref="E30:N30">
    <cfRule type="expression" dxfId="0" priority="5">
      <formula>E30&lt;&gt;E47</formula>
    </cfRule>
  </conditionalFormatting>
  <conditionalFormatting sqref="E30:N30">
    <cfRule type="expression" dxfId="0" priority="6">
      <formula>E30&lt;&gt;E34</formula>
    </cfRule>
  </conditionalFormatting>
  <conditionalFormatting sqref="E34:N34">
    <cfRule type="expression" dxfId="2" priority="7">
      <formula>E30&lt;&gt;E34</formula>
    </cfRule>
  </conditionalFormatting>
  <conditionalFormatting sqref="E34:N34">
    <cfRule type="expression" dxfId="3" priority="8">
      <formula>E30=E34</formula>
    </cfRule>
  </conditionalFormatting>
  <conditionalFormatting sqref="E34:N34">
    <cfRule type="expression" dxfId="0" priority="9">
      <formula>E34&lt;&gt;E30</formula>
    </cfRule>
  </conditionalFormatting>
  <conditionalFormatting sqref="F45:N54">
    <cfRule type="containsBlanks" dxfId="1" priority="10">
      <formula>LEN(TRIM(F45))=0</formula>
    </cfRule>
  </conditionalFormatting>
  <conditionalFormatting sqref="F57:N66">
    <cfRule type="containsBlanks" dxfId="1" priority="11">
      <formula>LEN(TRIM(F57))=0</formula>
    </cfRule>
  </conditionalFormatting>
  <conditionalFormatting sqref="F69:N78">
    <cfRule type="containsBlanks" dxfId="1" priority="12">
      <formula>LEN(TRIM(F69))=0</formula>
    </cfRule>
  </conditionalFormatting>
  <conditionalFormatting sqref="F81:N90">
    <cfRule type="containsBlanks" dxfId="1" priority="13">
      <formula>LEN(TRIM(F81))=0</formula>
    </cfRule>
  </conditionalFormatting>
  <conditionalFormatting sqref="F93:N102">
    <cfRule type="containsBlanks" dxfId="1" priority="14">
      <formula>LEN(TRIM(F93))=0</formula>
    </cfRule>
  </conditionalFormatting>
  <conditionalFormatting sqref="F105:N114">
    <cfRule type="containsBlanks" dxfId="1" priority="15">
      <formula>LEN(TRIM(F105))=0</formula>
    </cfRule>
  </conditionalFormatting>
  <conditionalFormatting sqref="F117:N126">
    <cfRule type="containsBlanks" dxfId="1" priority="16">
      <formula>LEN(TRIM(F117))=0</formula>
    </cfRule>
  </conditionalFormatting>
  <conditionalFormatting sqref="F129:N138">
    <cfRule type="containsBlanks" dxfId="1" priority="17">
      <formula>LEN(TRIM(F129))=0</formula>
    </cfRule>
  </conditionalFormatting>
  <conditionalFormatting sqref="F141:N150">
    <cfRule type="containsBlanks" dxfId="1" priority="18">
      <formula>LEN(TRIM(F141))=0</formula>
    </cfRule>
  </conditionalFormatting>
  <conditionalFormatting sqref="F153:N162">
    <cfRule type="containsBlanks" dxfId="1" priority="19">
      <formula>LEN(TRIM(F153))=0</formula>
    </cfRule>
  </conditionalFormatting>
  <conditionalFormatting sqref="F165:N174">
    <cfRule type="containsBlanks" dxfId="1" priority="20">
      <formula>LEN(TRIM(F165))=0</formula>
    </cfRule>
  </conditionalFormatting>
  <conditionalFormatting sqref="F177:N186">
    <cfRule type="containsBlanks" dxfId="1" priority="21">
      <formula>LEN(TRIM(F177))=0</formula>
    </cfRule>
  </conditionalFormatting>
  <conditionalFormatting sqref="F189:N198">
    <cfRule type="containsBlanks" dxfId="1" priority="22">
      <formula>LEN(TRIM(F189))=0</formula>
    </cfRule>
  </conditionalFormatting>
  <conditionalFormatting sqref="F201:N210">
    <cfRule type="containsBlanks" dxfId="1" priority="23">
      <formula>LEN(TRIM(F201))=0</formula>
    </cfRule>
  </conditionalFormatting>
  <conditionalFormatting sqref="F213:N222">
    <cfRule type="containsBlanks" dxfId="1" priority="24">
      <formula>LEN(TRIM(F213))=0</formula>
    </cfRule>
  </conditionalFormatting>
  <conditionalFormatting sqref="F225:N234">
    <cfRule type="containsBlanks" dxfId="1" priority="25">
      <formula>LEN(TRIM(F225))=0</formula>
    </cfRule>
  </conditionalFormatting>
  <conditionalFormatting sqref="F237:N246">
    <cfRule type="containsBlanks" dxfId="1" priority="26">
      <formula>LEN(TRIM(F237))=0</formula>
    </cfRule>
  </conditionalFormatting>
  <conditionalFormatting sqref="F249:N259">
    <cfRule type="containsBlanks" dxfId="1" priority="27">
      <formula>LEN(TRIM(F249))=0</formula>
    </cfRule>
  </conditionalFormatting>
  <conditionalFormatting sqref="F262:N263">
    <cfRule type="containsBlanks" dxfId="1" priority="28">
      <formula>LEN(TRIM(F262))=0</formula>
    </cfRule>
  </conditionalFormatting>
  <conditionalFormatting sqref="E45:E54">
    <cfRule type="containsBlanks" dxfId="1" priority="29">
      <formula>LEN(TRIM(E45))=0</formula>
    </cfRule>
  </conditionalFormatting>
  <conditionalFormatting sqref="E57:E66">
    <cfRule type="containsBlanks" dxfId="1" priority="30">
      <formula>LEN(TRIM(E57))=0</formula>
    </cfRule>
  </conditionalFormatting>
  <conditionalFormatting sqref="E69:E78">
    <cfRule type="containsBlanks" dxfId="1" priority="31">
      <formula>LEN(TRIM(E69))=0</formula>
    </cfRule>
  </conditionalFormatting>
  <conditionalFormatting sqref="E81:E90">
    <cfRule type="containsBlanks" dxfId="1" priority="32">
      <formula>LEN(TRIM(E81))=0</formula>
    </cfRule>
  </conditionalFormatting>
  <conditionalFormatting sqref="E93:E102">
    <cfRule type="containsBlanks" dxfId="1" priority="33">
      <formula>LEN(TRIM(E93))=0</formula>
    </cfRule>
  </conditionalFormatting>
  <conditionalFormatting sqref="E105:E114">
    <cfRule type="containsBlanks" dxfId="1" priority="34">
      <formula>LEN(TRIM(E105))=0</formula>
    </cfRule>
  </conditionalFormatting>
  <conditionalFormatting sqref="E117:E126">
    <cfRule type="containsBlanks" dxfId="1" priority="35">
      <formula>LEN(TRIM(E117))=0</formula>
    </cfRule>
  </conditionalFormatting>
  <conditionalFormatting sqref="E129:E138">
    <cfRule type="containsBlanks" dxfId="1" priority="36">
      <formula>LEN(TRIM(E129))=0</formula>
    </cfRule>
  </conditionalFormatting>
  <conditionalFormatting sqref="E141:E150">
    <cfRule type="containsBlanks" dxfId="1" priority="37">
      <formula>LEN(TRIM(E141))=0</formula>
    </cfRule>
  </conditionalFormatting>
  <conditionalFormatting sqref="E153:E162">
    <cfRule type="containsBlanks" dxfId="1" priority="38">
      <formula>LEN(TRIM(E153))=0</formula>
    </cfRule>
  </conditionalFormatting>
  <conditionalFormatting sqref="E165:E174">
    <cfRule type="containsBlanks" dxfId="1" priority="39">
      <formula>LEN(TRIM(E165))=0</formula>
    </cfRule>
  </conditionalFormatting>
  <conditionalFormatting sqref="E177:E186">
    <cfRule type="containsBlanks" dxfId="1" priority="40">
      <formula>LEN(TRIM(E177))=0</formula>
    </cfRule>
  </conditionalFormatting>
  <conditionalFormatting sqref="E189:E198">
    <cfRule type="containsBlanks" dxfId="1" priority="41">
      <formula>LEN(TRIM(E189))=0</formula>
    </cfRule>
  </conditionalFormatting>
  <conditionalFormatting sqref="E201:E210">
    <cfRule type="containsBlanks" dxfId="1" priority="42">
      <formula>LEN(TRIM(E201))=0</formula>
    </cfRule>
  </conditionalFormatting>
  <conditionalFormatting sqref="E213:E222">
    <cfRule type="containsBlanks" dxfId="1" priority="43">
      <formula>LEN(TRIM(E213))=0</formula>
    </cfRule>
  </conditionalFormatting>
  <conditionalFormatting sqref="E225:E234">
    <cfRule type="containsBlanks" dxfId="1" priority="44">
      <formula>LEN(TRIM(E225))=0</formula>
    </cfRule>
  </conditionalFormatting>
  <conditionalFormatting sqref="E237:E246">
    <cfRule type="containsBlanks" dxfId="1" priority="45">
      <formula>LEN(TRIM(E237))=0</formula>
    </cfRule>
  </conditionalFormatting>
  <conditionalFormatting sqref="E249:E259">
    <cfRule type="containsBlanks" dxfId="1" priority="46">
      <formula>LEN(TRIM(E249))=0</formula>
    </cfRule>
  </conditionalFormatting>
  <conditionalFormatting sqref="E262:E263">
    <cfRule type="containsBlanks" dxfId="1" priority="47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