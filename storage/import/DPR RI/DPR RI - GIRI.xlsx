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OYOLANGU" sheetId="2" r:id="rId5"/>
    <sheet state="visible" name="GIRI" sheetId="3" r:id="rId6"/>
    <sheet state="visible" name="GROGOL" sheetId="4" r:id="rId7"/>
    <sheet state="visible" name="JAMBESARI" sheetId="5" r:id="rId8"/>
    <sheet state="visible" name="MOJOPANGGUNG" sheetId="6" r:id="rId9"/>
    <sheet state="visible" name="PENATABAN" sheetId="7" r:id="rId10"/>
  </sheets>
  <definedNames/>
  <calcPr/>
  <extLst>
    <ext uri="GoogleSheetsCustomDataVersion2">
      <go:sheetsCustomData xmlns:go="http://customooxmlschemas.google.com/" r:id="rId11" roundtripDataChecksum="PA1UDVXpNbCcKxmLcV1u3xrELzDldyvexSQrnAMfPbU="/>
    </ext>
  </extLst>
</workbook>
</file>

<file path=xl/sharedStrings.xml><?xml version="1.0" encoding="utf-8"?>
<sst xmlns="http://schemas.openxmlformats.org/spreadsheetml/2006/main" count="2108" uniqueCount="225">
  <si>
    <t>Kecamatan</t>
  </si>
  <si>
    <t>GIRI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</si>
  <si>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</si>
  <si>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</si>
  <si>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</si>
  <si>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</si>
  <si>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</si>
  <si>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</si>
  <si>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</si>
  <si>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</si>
  <si>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</si>
  <si>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</si>
  <si>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</si>
  <si>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</si>
  <si>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</si>
  <si>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</si>
  <si>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</si>
  <si>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</si>
  <si>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</si>
  <si>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</si>
  <si>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</si>
  <si>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</si>
  <si>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</si>
  <si>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</si>
  <si>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</si>
  <si>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</si>
  <si>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</si>
  <si>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</si>
  <si>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</si>
  <si>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</si>
  <si>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</si>
  <si>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</si>
  <si>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</si>
  <si>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</si>
  <si>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</si>
  <si>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</si>
  <si>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</si>
  <si>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</si>
  <si>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</si>
  <si>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</si>
  <si>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</si>
  <si>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</si>
  <si>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</si>
  <si>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</si>
  <si>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</si>
  <si>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</si>
  <si>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</si>
  <si>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</si>
  <si>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</si>
  <si>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</si>
  <si>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</si>
  <si>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</si>
  <si>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</si>
  <si>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</si>
  <si>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</si>
  <si>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</si>
  <si>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</si>
  <si>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</si>
  <si>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</si>
  <si>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</si>
  <si>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</si>
  <si>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</si>
  <si>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</si>
  <si>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</si>
  <si>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</si>
  <si>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</si>
  <si>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</si>
  <si>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</si>
  <si>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</si>
  <si>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</si>
  <si>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</si>
  <si>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</si>
  <si>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</si>
  <si>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</si>
  <si>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</si>
  <si>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</si>
  <si>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</si>
  <si>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</si>
  <si>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</si>
  <si>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</si>
  <si>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</si>
  <si>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</si>
  <si>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</si>
  <si>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</si>
  <si>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</si>
  <si>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</si>
  <si>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</si>
  <si>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</si>
  <si>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</si>
  <si>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</si>
  <si>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</si>
  <si>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</si>
  <si>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</si>
  <si>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</si>
  <si>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</si>
  <si>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</si>
  <si>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</si>
  <si>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</si>
  <si>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</si>
  <si>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</si>
  <si>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</si>
  <si>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</si>
  <si>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</si>
  <si>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</si>
  <si>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</si>
  <si>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</si>
  <si>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</si>
  <si>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</si>
  <si>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</si>
  <si>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</si>
  <si>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</si>
  <si>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</si>
  <si>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</si>
  <si>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</si>
  <si>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</si>
  <si>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</si>
  <si>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</si>
  <si>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</si>
  <si>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</si>
  <si>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</si>
  <si>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</si>
  <si>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</si>
  <si>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</si>
  <si>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</si>
  <si>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</si>
  <si>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</si>
  <si>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</si>
  <si>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</si>
  <si>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</si>
  <si>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</si>
  <si>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</si>
  <si>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</si>
  <si>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</si>
  <si>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</si>
  <si>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</si>
  <si>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</si>
  <si>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</si>
  <si>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</si>
  <si>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</si>
  <si>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</si>
  <si>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</si>
  <si>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</si>
  <si>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</si>
  <si>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</si>
  <si>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</si>
  <si>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</si>
  <si>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</si>
  <si>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</si>
  <si>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</si>
  <si>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</si>
  <si>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</si>
  <si>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</si>
  <si>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</si>
  <si>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</si>
  <si>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</si>
  <si>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</si>
  <si>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</si>
  <si>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</si>
  <si>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</si>
  <si>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</si>
  <si>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</si>
  <si>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</si>
  <si>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</si>
  <si>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</si>
  <si>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</si>
  <si>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</si>
  <si>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</si>
  <si>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</si>
  <si>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</si>
  <si>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</si>
  <si>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</si>
  <si>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</si>
  <si>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</si>
  <si>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</si>
  <si>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</si>
  <si>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</si>
  <si>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</si>
  <si>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</si>
  <si>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</si>
  <si>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</si>
  <si>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</si>
  <si>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</si>
  <si>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</si>
  <si>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</si>
  <si>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</si>
  <si>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</si>
  <si>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</si>
  <si>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</si>
  <si>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</si>
  <si>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</si>
  <si>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</si>
  <si>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</si>
  <si>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</si>
  <si>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</si>
  <si>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</si>
  <si>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</si>
  <si>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</si>
  <si>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</si>
  <si>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</si>
  <si>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BOYOLANGU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</si>
  <si>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</si>
  <si>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</si>
  <si>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</si>
  <si>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</si>
  <si>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</si>
  <si>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</si>
  <si>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</si>
  <si>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</si>
  <si>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</si>
  <si>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</si>
  <si>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</si>
  <si>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</si>
  <si>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</si>
  <si>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</si>
  <si>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</si>
  <si>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</si>
  <si>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</si>
  <si>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GROGOL</t>
  </si>
  <si>
    <t>JAMBESARI</t>
  </si>
  <si>
    <t>MOJOPANGGUNG</t>
  </si>
  <si>
    <t>PENATABAN</t>
  </si>
  <si>
    <t>TPS 901</t>
  </si>
  <si>
    <t>TPS 902</t>
  </si>
  <si>
    <t>TPS 903</t>
  </si>
  <si>
    <t>TPS 904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</si>
</sst>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  <scheme val="minor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20" fillId="3" fontId="2" numFmtId="0" xfId="0" applyBorder="1" applyFont="1"/>
    <xf borderId="3" fillId="0" fontId="1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7" fillId="3" fontId="6" numFmtId="0" xfId="0" applyAlignment="1" applyBorder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15" fillId="0" fontId="2" numFmtId="0" xfId="0" applyBorder="1" applyFont="1"/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BOYOLANGU!U14+GIRI!V14+GROGOL!V14+JAMBESARI!O14+MOJOPANGGUNG!V14+PENATABAN!V14</f>
        <v>12715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BOYOLANGU!U15+GIRI!V15+GROGOL!V15+JAMBESARI!O15+MOJOPANGGUNG!V15+PENATABAN!V15</f>
        <v>12285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25000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BOYOLANGU!U19+GIRI!V19+GROGOL!V19+JAMBESARI!O19+MOJOPANGGUNG!V19+PENATABAN!V19</f>
        <v>9671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BOYOLANGU!U20+GIRI!V20+GROGOL!V20+JAMBESARI!O20+MOJOPANGGUNG!V20+PENATABAN!V20</f>
        <v>10223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19894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BOYOLANGU!U22+GIRI!V22+GROGOL!V22+JAMBESARI!O22+MOJOPANGGUNG!V22+PENATABAN!V22</f>
        <v>324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BOYOLANGU!U23+GIRI!V23+GROGOL!V23+JAMBESARI!O23+MOJOPANGGUNG!V23+PENATABAN!V23</f>
        <v>32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356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BOYOLANGU!U25+GIRI!V25+GROGOL!V25+JAMBESARI!O25+MOJOPANGGUNG!V25+PENATABAN!V25</f>
        <v>52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BOYOLANGU!U26+GIRI!V26+GROGOL!V26+JAMBESARI!O26+MOJOPANGGUNG!V26+PENATABAN!V26</f>
        <v>95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147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10047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10350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20397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BOYOLANGU!U33+GIRI!V33+GROGOL!V33+JAMBESARI!O33+MOJOPANGGUNG!V33+PENATABAN!V33</f>
        <v>25554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BOYOLANGU!U34+GIRI!V34+GROGOL!V34+JAMBESARI!O34+MOJOPANGGUNG!V34+PENATABAN!V34</f>
        <v>20397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BOYOLANGU!U35+GIRI!V35+GROGOL!V35+JAMBESARI!O35+MOJOPANGGUNG!V35+PENATABAN!V35</f>
        <v>56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5101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BOYOLANGU!U39+GIRI!V39+GROGOL!V39+JAMBESARI!O39+MOJOPANGGUNG!V39+PENATABAN!V39</f>
        <v>28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BOYOLANGU!U40+GIRI!V40+GROGOL!V40+JAMBESARI!O40+MOJOPANGGUNG!V40+PENATABAN!V40</f>
        <v>20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BOYOLANGU!U45+GIRI!V45+GROGOL!V45+JAMBESARI!O45+MOJOPANGGUNG!V45+PENATABAN!V45</f>
        <v>989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BOYOLANGU!U46+GIRI!V46+GROGOL!V46+JAMBESARI!O46+MOJOPANGGUNG!V46+PENATABAN!V46</f>
        <v>2938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BOYOLANGU!U47+GIRI!V47+GROGOL!V47+JAMBESARI!O47+MOJOPANGGUNG!V47+PENATABAN!V47</f>
        <v>217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BOYOLANGU!U48+GIRI!V48+GROGOL!V48+JAMBESARI!O48+MOJOPANGGUNG!V48+PENATABAN!V48</f>
        <v>48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BOYOLANGU!U49+GIRI!V49+GROGOL!V49+JAMBESARI!O49+MOJOPANGGUNG!V49+PENATABAN!V49</f>
        <v>49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BOYOLANGU!U50+GIRI!V50+GROGOL!V50+JAMBESARI!O50+MOJOPANGGUNG!V50+PENATABAN!V50</f>
        <v>28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BOYOLANGU!U51+GIRI!V51+GROGOL!V51+JAMBESARI!O51+MOJOPANGGUNG!V51+PENATABAN!V51</f>
        <v>20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BOYOLANGU!U52+GIRI!V52+GROGOL!V52+JAMBESARI!O52+MOJOPANGGUNG!V52+PENATABAN!V52</f>
        <v>31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8"/>
      <c r="E53" s="19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8"/>
      <c r="E54" s="19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4320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BOYOLANGU!U57+GIRI!V57+GROGOL!V57+JAMBESARI!O57+MOJOPANGGUNG!V57+PENATABAN!V57</f>
        <v>985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9"/>
      <c r="E58" s="24">
        <f>BOYOLANGU!U58+GIRI!V58+GROGOL!V58+JAMBESARI!O58+MOJOPANGGUNG!V58+PENATABAN!V58</f>
        <v>1180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9"/>
      <c r="E59" s="24">
        <f>BOYOLANGU!U59+GIRI!V59+GROGOL!V59+JAMBESARI!O59+MOJOPANGGUNG!V59+PENATABAN!V59</f>
        <v>276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9"/>
      <c r="E60" s="24">
        <f>BOYOLANGU!U60+GIRI!V60+GROGOL!V60+JAMBESARI!O60+MOJOPANGGUNG!V60+PENATABAN!V60</f>
        <v>87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9"/>
      <c r="E61" s="24">
        <f>BOYOLANGU!U61+GIRI!V61+GROGOL!V61+JAMBESARI!O61+MOJOPANGGUNG!V61+PENATABAN!V61</f>
        <v>112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9"/>
      <c r="E62" s="24">
        <f>BOYOLANGU!U62+GIRI!V62+GROGOL!V62+JAMBESARI!O62+MOJOPANGGUNG!V62+PENATABAN!V62</f>
        <v>30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60"/>
      <c r="E63" s="24">
        <f>BOYOLANGU!U63+GIRI!V63+GROGOL!V63+JAMBESARI!O63+MOJOPANGGUNG!V63+PENATABAN!V63</f>
        <v>79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9"/>
      <c r="E64" s="24">
        <f>BOYOLANGU!U64+GIRI!V64+GROGOL!V64+JAMBESARI!O64+MOJOPANGGUNG!V64+PENATABAN!V64</f>
        <v>27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58"/>
      <c r="E65" s="19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58"/>
      <c r="E66" s="19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2776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BOYOLANGU!U69+GIRI!V69+GROGOL!V69+JAMBESARI!O69+MOJOPANGGUNG!V69+PENATABAN!V69</f>
        <v>889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60"/>
      <c r="E70" s="24">
        <f>BOYOLANGU!U70+GIRI!V70+GROGOL!V70+JAMBESARI!O70+MOJOPANGGUNG!V70+PENATABAN!V70</f>
        <v>1368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60"/>
      <c r="E71" s="24">
        <f>BOYOLANGU!U71+GIRI!V71+GROGOL!V71+JAMBESARI!O71+MOJOPANGGUNG!V71+PENATABAN!V71</f>
        <v>551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60"/>
      <c r="E72" s="24">
        <f>BOYOLANGU!U72+GIRI!V72+GROGOL!V72+JAMBESARI!O72+MOJOPANGGUNG!V72+PENATABAN!V72</f>
        <v>1331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60"/>
      <c r="E73" s="24">
        <f>BOYOLANGU!U73+GIRI!V73+GROGOL!V73+JAMBESARI!O73+MOJOPANGGUNG!V73+PENATABAN!V73</f>
        <v>64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60"/>
      <c r="E74" s="24">
        <f>BOYOLANGU!U74+GIRI!V74+GROGOL!V74+JAMBESARI!O74+MOJOPANGGUNG!V74+PENATABAN!V74</f>
        <v>577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60"/>
      <c r="E75" s="24">
        <f>BOYOLANGU!U75+GIRI!V75+GROGOL!V75+JAMBESARI!O75+MOJOPANGGUNG!V75+PENATABAN!V75</f>
        <v>59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60"/>
      <c r="E76" s="24">
        <f>BOYOLANGU!U76+GIRI!V76+GROGOL!V76+JAMBESARI!O76+MOJOPANGGUNG!V76+PENATABAN!V76</f>
        <v>258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1"/>
      <c r="E77" s="19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1"/>
      <c r="E78" s="19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5097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BOYOLANGU!U81+GIRI!V81+GROGOL!V81+JAMBESARI!O81+MOJOPANGGUNG!V81+PENATABAN!V81</f>
        <v>459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60"/>
      <c r="E82" s="24">
        <f>BOYOLANGU!U82+GIRI!V82+GROGOL!V82+JAMBESARI!O82+MOJOPANGGUNG!V82+PENATABAN!V82</f>
        <v>832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60"/>
      <c r="E83" s="24">
        <f>BOYOLANGU!U83+GIRI!V83+GROGOL!V83+JAMBESARI!O83+MOJOPANGGUNG!V83+PENATABAN!V83</f>
        <v>342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60"/>
      <c r="E84" s="24">
        <f>BOYOLANGU!U84+GIRI!V84+GROGOL!V84+JAMBESARI!O84+MOJOPANGGUNG!V84+PENATABAN!V84</f>
        <v>77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60"/>
      <c r="E85" s="24">
        <f>BOYOLANGU!U85+GIRI!V85+GROGOL!V85+JAMBESARI!O85+MOJOPANGGUNG!V85+PENATABAN!V85</f>
        <v>80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60"/>
      <c r="E86" s="24">
        <f>BOYOLANGU!U86+GIRI!V86+GROGOL!V86+JAMBESARI!O86+MOJOPANGGUNG!V86+PENATABAN!V86</f>
        <v>67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60"/>
      <c r="E87" s="24">
        <f>BOYOLANGU!U87+GIRI!V87+GROGOL!V87+JAMBESARI!O87+MOJOPANGGUNG!V87+PENATABAN!V87</f>
        <v>12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60"/>
      <c r="E88" s="24">
        <f>BOYOLANGU!U88+GIRI!V88+GROGOL!V88+JAMBESARI!O88+MOJOPANGGUNG!V88+PENATABAN!V88</f>
        <v>9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1"/>
      <c r="E89" s="19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1"/>
      <c r="E90" s="19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1878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BOYOLANGU!U93+GIRI!V93+GROGOL!V93+JAMBESARI!O93+MOJOPANGGUNG!V93+PENATABAN!V93</f>
        <v>153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60"/>
      <c r="E94" s="24">
        <f>BOYOLANGU!U94+GIRI!V94+GROGOL!V94+JAMBESARI!O94+MOJOPANGGUNG!V94+PENATABAN!V94</f>
        <v>306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60"/>
      <c r="E95" s="24">
        <f>BOYOLANGU!U95+GIRI!V95+GROGOL!V95+JAMBESARI!O95+MOJOPANGGUNG!V95+PENATABAN!V95</f>
        <v>137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60"/>
      <c r="E96" s="24">
        <f>BOYOLANGU!U96+GIRI!V96+GROGOL!V96+JAMBESARI!O96+MOJOPANGGUNG!V96+PENATABAN!V96</f>
        <v>18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60"/>
      <c r="E97" s="24">
        <f>BOYOLANGU!U97+GIRI!V97+GROGOL!V97+JAMBESARI!O97+MOJOPANGGUNG!V97+PENATABAN!V97</f>
        <v>25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60"/>
      <c r="E98" s="24">
        <f>BOYOLANGU!U98+GIRI!V98+GROGOL!V98+JAMBESARI!O98+MOJOPANGGUNG!V98+PENATABAN!V98</f>
        <v>22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60"/>
      <c r="E99" s="24">
        <f>BOYOLANGU!U99+GIRI!V99+GROGOL!V99+JAMBESARI!O99+MOJOPANGGUNG!V99+PENATABAN!V99</f>
        <v>26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60"/>
      <c r="E100" s="24">
        <f>BOYOLANGU!U100+GIRI!V100+GROGOL!V100+JAMBESARI!O100+MOJOPANGGUNG!V100+PENATABAN!V100</f>
        <v>11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1"/>
      <c r="E101" s="19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1"/>
      <c r="E102" s="19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698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BOYOLANGU!U105+GIRI!V105+GROGOL!V105+JAMBESARI!O105+MOJOPANGGUNG!V105+PENATABAN!V105</f>
        <v>39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60"/>
      <c r="E106" s="24">
        <f>BOYOLANGU!U106+GIRI!V106+GROGOL!V106+JAMBESARI!O106+MOJOPANGGUNG!V106+PENATABAN!V106</f>
        <v>10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60"/>
      <c r="E107" s="24">
        <f>BOYOLANGU!U107+GIRI!V107+GROGOL!V107+JAMBESARI!O107+MOJOPANGGUNG!V107+PENATABAN!V107</f>
        <v>6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60"/>
      <c r="E108" s="24">
        <f>BOYOLANGU!U108+GIRI!V108+GROGOL!V108+JAMBESARI!O108+MOJOPANGGUNG!V108+PENATABAN!V108</f>
        <v>2</v>
      </c>
      <c r="F108" s="51"/>
      <c r="G108" s="52"/>
      <c r="H108" s="52"/>
      <c r="I108" s="52"/>
      <c r="J108" s="52"/>
      <c r="K108" s="52"/>
      <c r="L108" s="52"/>
      <c r="M108" s="52"/>
      <c r="N108" s="52"/>
      <c r="O108" s="52"/>
      <c r="P108" s="53"/>
      <c r="Q108" s="3"/>
      <c r="R108" s="3"/>
      <c r="S108" s="3"/>
      <c r="T108" s="3"/>
      <c r="U108" s="3"/>
      <c r="V108" s="3"/>
      <c r="W108" s="54"/>
      <c r="X108" s="3"/>
      <c r="Y108" s="3"/>
      <c r="Z108" s="3"/>
    </row>
    <row r="109" ht="15.75" customHeight="1">
      <c r="A109" s="18"/>
      <c r="B109" s="55">
        <v>4.0</v>
      </c>
      <c r="C109" s="50" t="s">
        <v>86</v>
      </c>
      <c r="D109" s="60"/>
      <c r="E109" s="24">
        <f>BOYOLANGU!U109+GIRI!V109+GROGOL!V109+JAMBESARI!O109+MOJOPANGGUNG!V109+PENATABAN!V109</f>
        <v>3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60"/>
      <c r="E110" s="24">
        <f>BOYOLANGU!U110+GIRI!V110+GROGOL!V110+JAMBESARI!O110+MOJOPANGGUNG!V110+PENATABAN!V110</f>
        <v>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60"/>
      <c r="E111" s="24">
        <f>BOYOLANGU!U111+GIRI!V111+GROGOL!V111+JAMBESARI!O111+MOJOPANGGUNG!V111+PENATABAN!V111</f>
        <v>4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60"/>
      <c r="E112" s="24">
        <f>BOYOLANGU!U112+GIRI!V112+GROGOL!V112+JAMBESARI!O112+MOJOPANGGUNG!V112+PENATABAN!V112</f>
        <v>0</v>
      </c>
      <c r="F112" s="18"/>
      <c r="G112" s="5"/>
      <c r="H112" s="5"/>
      <c r="I112" s="5"/>
      <c r="J112" s="5"/>
      <c r="K112" s="5"/>
      <c r="L112" s="5"/>
      <c r="M112" s="5"/>
      <c r="N112" s="5"/>
      <c r="O112" s="5"/>
      <c r="P112" s="6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8"/>
      <c r="B113" s="56"/>
      <c r="C113" s="57"/>
      <c r="D113" s="61"/>
      <c r="E113" s="24"/>
      <c r="F113" s="18"/>
      <c r="G113" s="5"/>
      <c r="H113" s="5"/>
      <c r="I113" s="5"/>
      <c r="J113" s="5"/>
      <c r="K113" s="5"/>
      <c r="L113" s="5"/>
      <c r="M113" s="5"/>
      <c r="N113" s="5"/>
      <c r="O113" s="5"/>
      <c r="P113" s="6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8"/>
      <c r="B114" s="56"/>
      <c r="C114" s="57"/>
      <c r="D114" s="61"/>
      <c r="E114" s="19"/>
      <c r="F114" s="18"/>
      <c r="G114" s="5"/>
      <c r="H114" s="5"/>
      <c r="I114" s="5"/>
      <c r="J114" s="5"/>
      <c r="K114" s="5"/>
      <c r="L114" s="5"/>
      <c r="M114" s="5"/>
      <c r="N114" s="5"/>
      <c r="O114" s="5"/>
      <c r="P114" s="6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64</v>
      </c>
      <c r="F115" s="18"/>
      <c r="G115" s="5"/>
      <c r="H115" s="5"/>
      <c r="I115" s="5"/>
      <c r="J115" s="5"/>
      <c r="K115" s="5"/>
      <c r="L115" s="5"/>
      <c r="M115" s="5"/>
      <c r="N115" s="5"/>
      <c r="O115" s="5"/>
      <c r="P115" s="6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BOYOLANGU!U117+GIRI!V117+GROGOL!V117+JAMBESARI!O117+MOJOPANGGUNG!V117+PENATABAN!V117</f>
        <v>44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60"/>
      <c r="E118" s="24">
        <f>BOYOLANGU!U118+GIRI!V118+GROGOL!V118+JAMBESARI!O118+MOJOPANGGUNG!V118+PENATABAN!V118</f>
        <v>14</v>
      </c>
      <c r="F118" s="25"/>
      <c r="G118" s="1"/>
      <c r="H118" s="1"/>
      <c r="I118" s="1"/>
      <c r="J118" s="1"/>
      <c r="K118" s="1"/>
      <c r="L118" s="1"/>
      <c r="M118" s="1"/>
      <c r="N118" s="1"/>
      <c r="O118" s="1"/>
      <c r="P118" s="9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8"/>
      <c r="B119" s="55">
        <v>2.0</v>
      </c>
      <c r="C119" s="50" t="s">
        <v>93</v>
      </c>
      <c r="D119" s="60"/>
      <c r="E119" s="24">
        <f>BOYOLANGU!U119+GIRI!V119+GROGOL!V119+JAMBESARI!O119+MOJOPANGGUNG!V119+PENATABAN!V119</f>
        <v>10</v>
      </c>
      <c r="F119" s="51"/>
      <c r="G119" s="52"/>
      <c r="H119" s="52"/>
      <c r="I119" s="52"/>
      <c r="J119" s="52"/>
      <c r="K119" s="52"/>
      <c r="L119" s="52"/>
      <c r="M119" s="52"/>
      <c r="N119" s="52"/>
      <c r="O119" s="52"/>
      <c r="P119" s="53"/>
      <c r="Q119" s="3"/>
      <c r="R119" s="3"/>
      <c r="S119" s="3"/>
      <c r="T119" s="3"/>
      <c r="U119" s="3"/>
      <c r="V119" s="3"/>
      <c r="W119" s="54"/>
      <c r="X119" s="3"/>
      <c r="Y119" s="3"/>
      <c r="Z119" s="3"/>
    </row>
    <row r="120" ht="15.75" customHeight="1">
      <c r="A120" s="18"/>
      <c r="B120" s="55">
        <v>3.0</v>
      </c>
      <c r="C120" s="50" t="s">
        <v>94</v>
      </c>
      <c r="D120" s="60"/>
      <c r="E120" s="24">
        <f>BOYOLANGU!U120+GIRI!V120+GROGOL!V120+JAMBESARI!O120+MOJOPANGGUNG!V120+PENATABAN!V120</f>
        <v>5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1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1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1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1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1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1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62">
        <f>SUM(E117:E120)</f>
        <v>73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BOYOLANGU!U129+GIRI!V129+GROGOL!V129+JAMBESARI!O129+MOJOPANGGUNG!V129+PENATABAN!V129</f>
        <v>160</v>
      </c>
      <c r="F129" s="18"/>
      <c r="G129" s="5"/>
      <c r="H129" s="5"/>
      <c r="I129" s="5"/>
      <c r="J129" s="5"/>
      <c r="K129" s="5"/>
      <c r="L129" s="5"/>
      <c r="M129" s="5"/>
      <c r="N129" s="5"/>
      <c r="O129" s="5"/>
      <c r="P129" s="6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0" t="s">
        <v>39</v>
      </c>
      <c r="B130" s="55">
        <v>1.0</v>
      </c>
      <c r="C130" s="50" t="s">
        <v>97</v>
      </c>
      <c r="D130" s="59"/>
      <c r="E130" s="24">
        <f>BOYOLANGU!U130+GIRI!V130+GROGOL!V130+JAMBESARI!O130+MOJOPANGGUNG!V130+PENATABAN!V130</f>
        <v>230</v>
      </c>
      <c r="F130" s="25"/>
      <c r="G130" s="1"/>
      <c r="H130" s="1"/>
      <c r="I130" s="1"/>
      <c r="J130" s="1"/>
      <c r="K130" s="1"/>
      <c r="L130" s="1"/>
      <c r="M130" s="1"/>
      <c r="N130" s="1"/>
      <c r="O130" s="1"/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8"/>
      <c r="B131" s="55">
        <v>2.0</v>
      </c>
      <c r="C131" s="50" t="s">
        <v>98</v>
      </c>
      <c r="D131" s="59"/>
      <c r="E131" s="24">
        <f>BOYOLANGU!U131+GIRI!V131+GROGOL!V131+JAMBESARI!O131+MOJOPANGGUNG!V131+PENATABAN!V131</f>
        <v>168</v>
      </c>
      <c r="F131" s="51"/>
      <c r="G131" s="52"/>
      <c r="H131" s="52"/>
      <c r="I131" s="52"/>
      <c r="J131" s="52"/>
      <c r="K131" s="52"/>
      <c r="L131" s="52"/>
      <c r="M131" s="52"/>
      <c r="N131" s="52"/>
      <c r="O131" s="52"/>
      <c r="P131" s="53"/>
      <c r="Q131" s="3"/>
      <c r="R131" s="3"/>
      <c r="S131" s="3"/>
      <c r="T131" s="3"/>
      <c r="U131" s="3"/>
      <c r="V131" s="3"/>
      <c r="W131" s="54"/>
      <c r="X131" s="3"/>
      <c r="Y131" s="3"/>
      <c r="Z131" s="3"/>
    </row>
    <row r="132" ht="15.75" customHeight="1">
      <c r="A132" s="18"/>
      <c r="B132" s="55">
        <v>3.0</v>
      </c>
      <c r="C132" s="50" t="s">
        <v>99</v>
      </c>
      <c r="D132" s="59"/>
      <c r="E132" s="24">
        <f>BOYOLANGU!U132+GIRI!V132+GROGOL!V132+JAMBESARI!O132+MOJOPANGGUNG!V132+PENATABAN!V132</f>
        <v>27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9"/>
      <c r="E133" s="24">
        <f>BOYOLANGU!U133+GIRI!V133+GROGOL!V133+JAMBESARI!O133+MOJOPANGGUNG!V133+PENATABAN!V133</f>
        <v>7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9"/>
      <c r="E134" s="24">
        <f>BOYOLANGU!U134+GIRI!V134+GROGOL!V134+JAMBESARI!O134+MOJOPANGGUNG!V134+PENATABAN!V134</f>
        <v>4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60"/>
      <c r="E135" s="24">
        <f>BOYOLANGU!U135+GIRI!V135+GROGOL!V135+JAMBESARI!O135+MOJOPANGGUNG!V135+PENATABAN!V135</f>
        <v>10</v>
      </c>
      <c r="F135" s="25"/>
      <c r="G135" s="1"/>
      <c r="H135" s="1"/>
      <c r="I135" s="1"/>
      <c r="J135" s="1"/>
      <c r="K135" s="1"/>
      <c r="L135" s="1"/>
      <c r="M135" s="1"/>
      <c r="N135" s="1"/>
      <c r="O135" s="1"/>
      <c r="P135" s="9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8"/>
      <c r="B136" s="55">
        <v>7.0</v>
      </c>
      <c r="C136" s="50" t="s">
        <v>103</v>
      </c>
      <c r="D136" s="59"/>
      <c r="E136" s="24">
        <f>BOYOLANGU!U136+GIRI!V136+GROGOL!V136+JAMBESARI!O136+MOJOPANGGUNG!V136+PENATABAN!V136</f>
        <v>2</v>
      </c>
      <c r="F136" s="51"/>
      <c r="G136" s="52"/>
      <c r="H136" s="52"/>
      <c r="I136" s="52"/>
      <c r="J136" s="52"/>
      <c r="K136" s="52"/>
      <c r="L136" s="52"/>
      <c r="M136" s="52"/>
      <c r="N136" s="52"/>
      <c r="O136" s="52"/>
      <c r="P136" s="53"/>
      <c r="Q136" s="3"/>
      <c r="R136" s="3"/>
      <c r="S136" s="3"/>
      <c r="T136" s="3"/>
      <c r="U136" s="3"/>
      <c r="V136" s="3"/>
      <c r="W136" s="54"/>
      <c r="X136" s="3"/>
      <c r="Y136" s="3"/>
      <c r="Z136" s="3"/>
    </row>
    <row r="137" ht="15.75" customHeight="1">
      <c r="A137" s="18"/>
      <c r="B137" s="56"/>
      <c r="C137" s="57"/>
      <c r="D137" s="58"/>
      <c r="E137" s="19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58"/>
      <c r="E138" s="19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608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BOYOLANGU!U141+GIRI!V141+GROGOL!V141+JAMBESARI!O141+MOJOPANGGUNG!V141+PENATABAN!V141</f>
        <v>4</v>
      </c>
      <c r="F141" s="18"/>
      <c r="G141" s="5"/>
      <c r="H141" s="5"/>
      <c r="I141" s="5"/>
      <c r="J141" s="5"/>
      <c r="K141" s="5"/>
      <c r="L141" s="5"/>
      <c r="M141" s="5"/>
      <c r="N141" s="5"/>
      <c r="O141" s="5"/>
      <c r="P141" s="6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30" t="s">
        <v>39</v>
      </c>
      <c r="B142" s="55">
        <v>1.0</v>
      </c>
      <c r="C142" s="50" t="s">
        <v>106</v>
      </c>
      <c r="D142" s="60"/>
      <c r="E142" s="24">
        <f>BOYOLANGU!U142+GIRI!V142+GROGOL!V142+JAMBESARI!O142+MOJOPANGGUNG!V142+PENATABAN!V142</f>
        <v>1</v>
      </c>
      <c r="F142" s="18"/>
      <c r="G142" s="5"/>
      <c r="H142" s="5"/>
      <c r="I142" s="5"/>
      <c r="J142" s="5"/>
      <c r="K142" s="5"/>
      <c r="L142" s="5"/>
      <c r="M142" s="5"/>
      <c r="N142" s="5"/>
      <c r="O142" s="5"/>
      <c r="P142" s="6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8"/>
      <c r="B143" s="55">
        <v>2.0</v>
      </c>
      <c r="C143" s="50" t="s">
        <v>107</v>
      </c>
      <c r="D143" s="60"/>
      <c r="E143" s="24">
        <f>BOYOLANGU!U143+GIRI!V143+GROGOL!V143+JAMBESARI!O143+MOJOPANGGUNG!V143+PENATABAN!V143</f>
        <v>4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60"/>
      <c r="E144" s="24">
        <f>BOYOLANGU!U144+GIRI!V144+GROGOL!V144+JAMBESARI!O144+MOJOPANGGUNG!V144+PENATABAN!V144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60"/>
      <c r="E145" s="24">
        <f>BOYOLANGU!U145+GIRI!V145+GROGOL!V145+JAMBESARI!O145+MOJOPANGGUNG!V145+PENATABAN!V145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60"/>
      <c r="E146" s="24">
        <f>BOYOLANGU!U146+GIRI!V146+GROGOL!V146+JAMBESARI!O146+MOJOPANGGUNG!V146+PENATABAN!V146</f>
        <v>0</v>
      </c>
      <c r="F146" s="25"/>
      <c r="G146" s="1"/>
      <c r="H146" s="1"/>
      <c r="I146" s="1"/>
      <c r="J146" s="1"/>
      <c r="K146" s="1"/>
      <c r="L146" s="1"/>
      <c r="M146" s="1"/>
      <c r="N146" s="1"/>
      <c r="O146" s="1"/>
      <c r="P146" s="9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8"/>
      <c r="B147" s="55">
        <v>6.0</v>
      </c>
      <c r="C147" s="50" t="s">
        <v>111</v>
      </c>
      <c r="D147" s="60"/>
      <c r="E147" s="24">
        <f>BOYOLANGU!U147+GIRI!V147+GROGOL!V147+JAMBESARI!O147+MOJOPANGGUNG!V147+PENATABAN!V147</f>
        <v>2</v>
      </c>
      <c r="F147" s="51"/>
      <c r="G147" s="52"/>
      <c r="H147" s="52"/>
      <c r="I147" s="52"/>
      <c r="J147" s="52"/>
      <c r="K147" s="52"/>
      <c r="L147" s="52"/>
      <c r="M147" s="52"/>
      <c r="N147" s="52"/>
      <c r="O147" s="52"/>
      <c r="P147" s="53"/>
      <c r="Q147" s="3"/>
      <c r="R147" s="3"/>
      <c r="S147" s="3"/>
      <c r="T147" s="3"/>
      <c r="U147" s="3"/>
      <c r="V147" s="3"/>
      <c r="W147" s="54"/>
      <c r="X147" s="3"/>
      <c r="Y147" s="3"/>
      <c r="Z147" s="3"/>
    </row>
    <row r="148" ht="15.75" customHeight="1">
      <c r="A148" s="18"/>
      <c r="B148" s="55">
        <v>7.0</v>
      </c>
      <c r="C148" s="50" t="s">
        <v>112</v>
      </c>
      <c r="D148" s="60"/>
      <c r="E148" s="24">
        <f>BOYOLANGU!U148+GIRI!V148+GROGOL!V148+JAMBESARI!O148+MOJOPANGGUNG!V148+PENATABAN!V148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1"/>
      <c r="E149" s="19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1"/>
      <c r="E150" s="19"/>
      <c r="F150" s="25"/>
      <c r="G150" s="1"/>
      <c r="H150" s="1"/>
      <c r="I150" s="1"/>
      <c r="J150" s="1"/>
      <c r="K150" s="1"/>
      <c r="L150" s="1"/>
      <c r="M150" s="1"/>
      <c r="N150" s="1"/>
      <c r="O150" s="1"/>
      <c r="P150" s="9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13</v>
      </c>
      <c r="F151" s="51"/>
      <c r="G151" s="52"/>
      <c r="H151" s="52"/>
      <c r="I151" s="52"/>
      <c r="J151" s="52"/>
      <c r="K151" s="52"/>
      <c r="L151" s="52"/>
      <c r="M151" s="52"/>
      <c r="N151" s="52"/>
      <c r="O151" s="52"/>
      <c r="P151" s="53"/>
      <c r="Q151" s="3"/>
      <c r="R151" s="3"/>
      <c r="S151" s="3"/>
      <c r="T151" s="3"/>
      <c r="U151" s="3"/>
      <c r="V151" s="3"/>
      <c r="W151" s="54"/>
      <c r="X151" s="3"/>
      <c r="Y151" s="3"/>
      <c r="Z151" s="3"/>
    </row>
    <row r="152" ht="15.75" customHeight="1">
      <c r="A152" s="24"/>
      <c r="B152" s="15"/>
      <c r="C152" s="15"/>
      <c r="D152" s="15"/>
      <c r="E152" s="16"/>
      <c r="F152" s="18"/>
      <c r="G152" s="5"/>
      <c r="H152" s="5"/>
      <c r="I152" s="5"/>
      <c r="J152" s="5"/>
      <c r="K152" s="5"/>
      <c r="L152" s="5"/>
      <c r="M152" s="5"/>
      <c r="N152" s="5"/>
      <c r="O152" s="5"/>
      <c r="P152" s="6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BOYOLANGU!U153+GIRI!V153+GROGOL!V153+JAMBESARI!O153+MOJOPANGGUNG!V153+PENATABAN!V153</f>
        <v>18</v>
      </c>
      <c r="F153" s="18"/>
      <c r="G153" s="5"/>
      <c r="H153" s="5"/>
      <c r="I153" s="5"/>
      <c r="J153" s="5"/>
      <c r="K153" s="5"/>
      <c r="L153" s="5"/>
      <c r="M153" s="5"/>
      <c r="N153" s="5"/>
      <c r="O153" s="5"/>
      <c r="P153" s="6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30" t="s">
        <v>39</v>
      </c>
      <c r="B154" s="55">
        <v>1.0</v>
      </c>
      <c r="C154" s="63" t="s">
        <v>115</v>
      </c>
      <c r="D154" s="60"/>
      <c r="E154" s="24">
        <f>BOYOLANGU!U154+GIRI!V154+GROGOL!V154+JAMBESARI!O154+MOJOPANGGUNG!V154+PENATABAN!V154</f>
        <v>21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63" t="s">
        <v>116</v>
      </c>
      <c r="D155" s="60"/>
      <c r="E155" s="24">
        <f>BOYOLANGU!U155+GIRI!V155+GROGOL!V155+JAMBESARI!O155+MOJOPANGGUNG!V155+PENATABAN!V155</f>
        <v>9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63" t="s">
        <v>117</v>
      </c>
      <c r="D156" s="60"/>
      <c r="E156" s="24">
        <f>BOYOLANGU!U156+GIRI!V156+GROGOL!V156+JAMBESARI!O156+MOJOPANGGUNG!V156+PENATABAN!V156</f>
        <v>5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63" t="s">
        <v>118</v>
      </c>
      <c r="D157" s="60"/>
      <c r="E157" s="24">
        <f>BOYOLANGU!U157+GIRI!V157+GROGOL!V157+JAMBESARI!O157+MOJOPANGGUNG!V157+PENATABAN!V157</f>
        <v>2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64"/>
      <c r="D158" s="61"/>
      <c r="E158" s="19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64"/>
      <c r="D159" s="61"/>
      <c r="E159" s="19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64"/>
      <c r="D160" s="61"/>
      <c r="E160" s="19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4"/>
      <c r="D161" s="61"/>
      <c r="E161" s="19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4"/>
      <c r="D162" s="61"/>
      <c r="E162" s="19"/>
      <c r="F162" s="25"/>
      <c r="G162" s="1"/>
      <c r="H162" s="1"/>
      <c r="I162" s="1"/>
      <c r="J162" s="1"/>
      <c r="K162" s="1"/>
      <c r="L162" s="1"/>
      <c r="M162" s="1"/>
      <c r="N162" s="1"/>
      <c r="O162" s="1"/>
      <c r="P162" s="9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55</v>
      </c>
      <c r="F163" s="51"/>
      <c r="G163" s="52"/>
      <c r="H163" s="52"/>
      <c r="I163" s="52"/>
      <c r="J163" s="52"/>
      <c r="K163" s="52"/>
      <c r="L163" s="52"/>
      <c r="M163" s="52"/>
      <c r="N163" s="52"/>
      <c r="O163" s="52"/>
      <c r="P163" s="53"/>
      <c r="Q163" s="3"/>
      <c r="R163" s="3"/>
      <c r="S163" s="3"/>
      <c r="T163" s="3"/>
      <c r="U163" s="3"/>
      <c r="V163" s="3"/>
      <c r="W163" s="54"/>
      <c r="X163" s="3"/>
      <c r="Y163" s="3"/>
      <c r="Z163" s="3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BOYOLANGU!U165+GIRI!V165+GROGOL!V165+JAMBESARI!O165+MOJOPANGGUNG!V165+PENATABAN!V165</f>
        <v>19</v>
      </c>
      <c r="F165" s="18"/>
      <c r="G165" s="5"/>
      <c r="H165" s="5"/>
      <c r="I165" s="5"/>
      <c r="J165" s="5"/>
      <c r="K165" s="5"/>
      <c r="L165" s="5"/>
      <c r="M165" s="5"/>
      <c r="N165" s="5"/>
      <c r="O165" s="5"/>
      <c r="P165" s="6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30" t="s">
        <v>39</v>
      </c>
      <c r="B166" s="55">
        <v>1.0</v>
      </c>
      <c r="C166" s="50" t="s">
        <v>121</v>
      </c>
      <c r="D166" s="60"/>
      <c r="E166" s="24">
        <f>BOYOLANGU!U166+GIRI!V166+GROGOL!V166+JAMBESARI!O166+MOJOPANGGUNG!V166+PENATABAN!V166</f>
        <v>11</v>
      </c>
      <c r="F166" s="18"/>
      <c r="G166" s="5"/>
      <c r="H166" s="5"/>
      <c r="I166" s="5"/>
      <c r="J166" s="5"/>
      <c r="K166" s="5"/>
      <c r="L166" s="5"/>
      <c r="M166" s="5"/>
      <c r="N166" s="5"/>
      <c r="O166" s="5"/>
      <c r="P166" s="6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8"/>
      <c r="B167" s="55">
        <v>2.0</v>
      </c>
      <c r="C167" s="50" t="s">
        <v>122</v>
      </c>
      <c r="D167" s="60"/>
      <c r="E167" s="24">
        <f>BOYOLANGU!U167+GIRI!V167+GROGOL!V167+JAMBESARI!O167+MOJOPANGGUNG!V167+PENATABAN!V167</f>
        <v>2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60"/>
      <c r="E168" s="24">
        <f>BOYOLANGU!U168+GIRI!V168+GROGOL!V168+JAMBESARI!O168+MOJOPANGGUNG!V168+PENATABAN!V168</f>
        <v>6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60"/>
      <c r="E169" s="24">
        <f>BOYOLANGU!U169+GIRI!V169+GROGOL!V169+JAMBESARI!O169+MOJOPANGGUNG!V169+PENATABAN!V169</f>
        <v>3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60"/>
      <c r="E170" s="24">
        <f>BOYOLANGU!U170+GIRI!V170+GROGOL!V170+JAMBESARI!O170+MOJOPANGGUNG!V170+PENATABAN!V170</f>
        <v>4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60"/>
      <c r="E171" s="24">
        <f>BOYOLANGU!U171+GIRI!V171+GROGOL!V171+JAMBESARI!O171+MOJOPANGGUNG!V171+PENATABAN!V171</f>
        <v>2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60"/>
      <c r="E172" s="24">
        <f>BOYOLANGU!U172+GIRI!V172+GROGOL!V172+JAMBESARI!O172+MOJOPANGGUNG!V172+PENATABAN!V172</f>
        <v>3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1"/>
      <c r="E173" s="19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1"/>
      <c r="E174" s="19"/>
      <c r="F174" s="25"/>
      <c r="G174" s="1"/>
      <c r="H174" s="1"/>
      <c r="I174" s="1"/>
      <c r="J174" s="1"/>
      <c r="K174" s="1"/>
      <c r="L174" s="1"/>
      <c r="M174" s="1"/>
      <c r="N174" s="1"/>
      <c r="O174" s="1"/>
      <c r="P174" s="9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50</v>
      </c>
      <c r="F175" s="51"/>
      <c r="G175" s="52"/>
      <c r="H175" s="52"/>
      <c r="I175" s="52"/>
      <c r="J175" s="52"/>
      <c r="K175" s="52"/>
      <c r="L175" s="52"/>
      <c r="M175" s="52"/>
      <c r="N175" s="52"/>
      <c r="O175" s="52"/>
      <c r="P175" s="53"/>
      <c r="Q175" s="3"/>
      <c r="R175" s="3"/>
      <c r="S175" s="3"/>
      <c r="T175" s="3"/>
      <c r="U175" s="3"/>
      <c r="V175" s="3"/>
      <c r="W175" s="54"/>
      <c r="X175" s="3"/>
      <c r="Y175" s="3"/>
      <c r="Z175" s="3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BOYOLANGU!U177+GIRI!V177+GROGOL!V177+JAMBESARI!O177+MOJOPANGGUNG!V177+PENATABAN!V177</f>
        <v>94</v>
      </c>
      <c r="F177" s="18"/>
      <c r="G177" s="5"/>
      <c r="H177" s="5"/>
      <c r="I177" s="5"/>
      <c r="J177" s="5"/>
      <c r="K177" s="5"/>
      <c r="L177" s="5"/>
      <c r="M177" s="5"/>
      <c r="N177" s="5"/>
      <c r="O177" s="5"/>
      <c r="P177" s="6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0" t="s">
        <v>39</v>
      </c>
      <c r="B178" s="55">
        <v>1.0</v>
      </c>
      <c r="C178" s="50" t="s">
        <v>130</v>
      </c>
      <c r="D178" s="60"/>
      <c r="E178" s="24">
        <f>BOYOLANGU!U178+GIRI!V178+GROGOL!V178+JAMBESARI!O178+MOJOPANGGUNG!V178+PENATABAN!V178</f>
        <v>97</v>
      </c>
      <c r="F178" s="18"/>
      <c r="G178" s="5"/>
      <c r="H178" s="5"/>
      <c r="I178" s="5"/>
      <c r="J178" s="5"/>
      <c r="K178" s="5"/>
      <c r="L178" s="5"/>
      <c r="M178" s="5"/>
      <c r="N178" s="5"/>
      <c r="O178" s="5"/>
      <c r="P178" s="6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8"/>
      <c r="B179" s="55">
        <v>2.0</v>
      </c>
      <c r="C179" s="50" t="s">
        <v>131</v>
      </c>
      <c r="D179" s="60"/>
      <c r="E179" s="24">
        <f>BOYOLANGU!U179+GIRI!V179+GROGOL!V179+JAMBESARI!O179+MOJOPANGGUNG!V179+PENATABAN!V179</f>
        <v>54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60"/>
      <c r="E180" s="24">
        <f>BOYOLANGU!U180+GIRI!V180+GROGOL!V180+JAMBESARI!O180+MOJOPANGGUNG!V180+PENATABAN!V180</f>
        <v>45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60"/>
      <c r="E181" s="24">
        <f>BOYOLANGU!U181+GIRI!V181+GROGOL!V181+JAMBESARI!O181+MOJOPANGGUNG!V181+PENATABAN!V181</f>
        <v>19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60"/>
      <c r="E182" s="24">
        <f>BOYOLANGU!U182+GIRI!V182+GROGOL!V182+JAMBESARI!O182+MOJOPANGGUNG!V182+PENATABAN!V182</f>
        <v>23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60"/>
      <c r="E183" s="24">
        <f>BOYOLANGU!U183+GIRI!V183+GROGOL!V183+JAMBESARI!O183+MOJOPANGGUNG!V183+PENATABAN!V183</f>
        <v>5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60"/>
      <c r="E184" s="24">
        <f>BOYOLANGU!U184+GIRI!V184+GROGOL!V184+JAMBESARI!O184+MOJOPANGGUNG!V184+PENATABAN!V184</f>
        <v>13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1"/>
      <c r="E185" s="19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1"/>
      <c r="E186" s="19"/>
      <c r="F186" s="25"/>
      <c r="G186" s="1"/>
      <c r="H186" s="1"/>
      <c r="I186" s="1"/>
      <c r="J186" s="1"/>
      <c r="K186" s="1"/>
      <c r="L186" s="1"/>
      <c r="M186" s="1"/>
      <c r="N186" s="1"/>
      <c r="O186" s="1"/>
      <c r="P186" s="9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350</v>
      </c>
      <c r="F187" s="51"/>
      <c r="G187" s="52"/>
      <c r="H187" s="52"/>
      <c r="I187" s="52"/>
      <c r="J187" s="52"/>
      <c r="K187" s="52"/>
      <c r="L187" s="52"/>
      <c r="M187" s="52"/>
      <c r="N187" s="52"/>
      <c r="O187" s="52"/>
      <c r="P187" s="53"/>
      <c r="Q187" s="3"/>
      <c r="R187" s="3"/>
      <c r="S187" s="3"/>
      <c r="T187" s="3"/>
      <c r="U187" s="3"/>
      <c r="V187" s="3"/>
      <c r="W187" s="54"/>
      <c r="X187" s="3"/>
      <c r="Y187" s="3"/>
      <c r="Z187" s="3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BOYOLANGU!U189+GIRI!V189+GROGOL!V189+JAMBESARI!O189+MOJOPANGGUNG!V189+PENATABAN!V189</f>
        <v>16</v>
      </c>
      <c r="F189" s="18"/>
      <c r="G189" s="5"/>
      <c r="H189" s="5"/>
      <c r="I189" s="5"/>
      <c r="J189" s="5"/>
      <c r="K189" s="5"/>
      <c r="L189" s="5"/>
      <c r="M189" s="5"/>
      <c r="N189" s="5"/>
      <c r="O189" s="5"/>
      <c r="P189" s="6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30" t="s">
        <v>39</v>
      </c>
      <c r="B190" s="55">
        <v>1.0</v>
      </c>
      <c r="C190" s="50" t="s">
        <v>139</v>
      </c>
      <c r="D190" s="60"/>
      <c r="E190" s="24">
        <f>BOYOLANGU!U190+GIRI!V190+GROGOL!V190+JAMBESARI!O190+MOJOPANGGUNG!V190+PENATABAN!V190</f>
        <v>6</v>
      </c>
      <c r="F190" s="18"/>
      <c r="G190" s="5"/>
      <c r="H190" s="5"/>
      <c r="I190" s="5"/>
      <c r="J190" s="5"/>
      <c r="K190" s="5"/>
      <c r="L190" s="5"/>
      <c r="M190" s="5"/>
      <c r="N190" s="5"/>
      <c r="O190" s="5"/>
      <c r="P190" s="6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8"/>
      <c r="B191" s="55">
        <v>2.0</v>
      </c>
      <c r="C191" s="50" t="s">
        <v>140</v>
      </c>
      <c r="D191" s="60"/>
      <c r="E191" s="24">
        <f>BOYOLANGU!U191+GIRI!V191+GROGOL!V191+JAMBESARI!O191+MOJOPANGGUNG!V191+PENATABAN!V191</f>
        <v>6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60"/>
      <c r="E192" s="24">
        <f>BOYOLANGU!U192+GIRI!V192+GROGOL!V192+JAMBESARI!O192+MOJOPANGGUNG!V192+PENATABAN!V192</f>
        <v>1</v>
      </c>
      <c r="F192" s="25"/>
      <c r="G192" s="1"/>
      <c r="H192" s="1"/>
      <c r="I192" s="1"/>
      <c r="J192" s="1"/>
      <c r="K192" s="1"/>
      <c r="L192" s="1"/>
      <c r="M192" s="1"/>
      <c r="N192" s="1"/>
      <c r="O192" s="1"/>
      <c r="P192" s="9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8"/>
      <c r="B193" s="55">
        <v>4.0</v>
      </c>
      <c r="C193" s="50" t="s">
        <v>142</v>
      </c>
      <c r="D193" s="60"/>
      <c r="E193" s="24">
        <f>BOYOLANGU!U193+GIRI!V193+GROGOL!V193+JAMBESARI!O193+MOJOPANGGUNG!V193+PENATABAN!V193</f>
        <v>0</v>
      </c>
      <c r="F193" s="51"/>
      <c r="G193" s="52"/>
      <c r="H193" s="52"/>
      <c r="I193" s="52"/>
      <c r="J193" s="52"/>
      <c r="K193" s="52"/>
      <c r="L193" s="52"/>
      <c r="M193" s="52"/>
      <c r="N193" s="52"/>
      <c r="O193" s="52"/>
      <c r="P193" s="53"/>
      <c r="Q193" s="3"/>
      <c r="R193" s="3"/>
      <c r="S193" s="3"/>
      <c r="T193" s="3"/>
      <c r="U193" s="3"/>
      <c r="V193" s="3"/>
      <c r="W193" s="54"/>
      <c r="X193" s="3"/>
      <c r="Y193" s="3"/>
      <c r="Z193" s="3"/>
    </row>
    <row r="194" ht="15.75" customHeight="1">
      <c r="A194" s="18"/>
      <c r="B194" s="55">
        <v>5.0</v>
      </c>
      <c r="C194" s="50" t="s">
        <v>143</v>
      </c>
      <c r="D194" s="60"/>
      <c r="E194" s="24">
        <f>BOYOLANGU!U194+GIRI!V194+GROGOL!V194+JAMBESARI!O194+MOJOPANGGUNG!V194+PENATABAN!V194</f>
        <v>2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60"/>
      <c r="E195" s="24">
        <f>BOYOLANGU!U195+GIRI!V195+GROGOL!V195+JAMBESARI!O195+MOJOPANGGUNG!V195+PENATABAN!V195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60"/>
      <c r="E196" s="24">
        <f>BOYOLANGU!U196+GIRI!V196+GROGOL!V196+JAMBESARI!O196+MOJOPANGGUNG!V196+PENATABAN!V196</f>
        <v>3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1"/>
      <c r="E197" s="19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1"/>
      <c r="E198" s="19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34</v>
      </c>
      <c r="F199" s="25"/>
      <c r="G199" s="1"/>
      <c r="H199" s="1"/>
      <c r="I199" s="1"/>
      <c r="J199" s="1"/>
      <c r="K199" s="1"/>
      <c r="L199" s="1"/>
      <c r="M199" s="1"/>
      <c r="N199" s="1"/>
      <c r="O199" s="1"/>
      <c r="P199" s="9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4"/>
      <c r="B200" s="15"/>
      <c r="C200" s="15"/>
      <c r="D200" s="15"/>
      <c r="E200" s="16"/>
      <c r="F200" s="51"/>
      <c r="G200" s="52"/>
      <c r="H200" s="52"/>
      <c r="I200" s="52"/>
      <c r="J200" s="52"/>
      <c r="K200" s="52"/>
      <c r="L200" s="52"/>
      <c r="M200" s="52"/>
      <c r="N200" s="52"/>
      <c r="O200" s="52"/>
      <c r="P200" s="53"/>
      <c r="Q200" s="3"/>
      <c r="R200" s="3"/>
      <c r="S200" s="3"/>
      <c r="T200" s="3"/>
      <c r="U200" s="3"/>
      <c r="V200" s="3"/>
      <c r="W200" s="54"/>
      <c r="X200" s="3"/>
      <c r="Y200" s="3"/>
      <c r="Z200" s="3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BOYOLANGU!U201+GIRI!V201+GROGOL!V201+JAMBESARI!O201+MOJOPANGGUNG!V201+PENATABAN!V201</f>
        <v>314</v>
      </c>
      <c r="F201" s="18"/>
      <c r="G201" s="5"/>
      <c r="H201" s="5"/>
      <c r="I201" s="5"/>
      <c r="J201" s="5"/>
      <c r="K201" s="5"/>
      <c r="L201" s="5"/>
      <c r="M201" s="5"/>
      <c r="N201" s="5"/>
      <c r="O201" s="5"/>
      <c r="P201" s="6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30" t="s">
        <v>39</v>
      </c>
      <c r="B202" s="55">
        <v>1.0</v>
      </c>
      <c r="C202" s="50" t="s">
        <v>148</v>
      </c>
      <c r="D202" s="60"/>
      <c r="E202" s="24">
        <f>BOYOLANGU!U202+GIRI!V202+GROGOL!V202+JAMBESARI!O202+MOJOPANGGUNG!V202+PENATABAN!V202</f>
        <v>249</v>
      </c>
      <c r="F202" s="18"/>
      <c r="G202" s="5"/>
      <c r="H202" s="5"/>
      <c r="I202" s="5"/>
      <c r="J202" s="5"/>
      <c r="K202" s="5"/>
      <c r="L202" s="5"/>
      <c r="M202" s="5"/>
      <c r="N202" s="5"/>
      <c r="O202" s="5"/>
      <c r="P202" s="6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8"/>
      <c r="B203" s="55">
        <v>2.0</v>
      </c>
      <c r="C203" s="50" t="s">
        <v>149</v>
      </c>
      <c r="D203" s="60"/>
      <c r="E203" s="24">
        <f>BOYOLANGU!U203+GIRI!V203+GROGOL!V203+JAMBESARI!O203+MOJOPANGGUNG!V203+PENATABAN!V203</f>
        <v>239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60"/>
      <c r="E204" s="24">
        <f>BOYOLANGU!U204+GIRI!V204+GROGOL!V204+JAMBESARI!O204+MOJOPANGGUNG!V204+PENATABAN!V204</f>
        <v>39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60"/>
      <c r="E205" s="24">
        <f>BOYOLANGU!U205+GIRI!V205+GROGOL!V205+JAMBESARI!O205+MOJOPANGGUNG!V205+PENATABAN!V205</f>
        <v>29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60"/>
      <c r="E206" s="24">
        <f>BOYOLANGU!U206+GIRI!V206+GROGOL!V206+JAMBESARI!O206+MOJOPANGGUNG!V206+PENATABAN!V206</f>
        <v>15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60"/>
      <c r="E207" s="24">
        <f>BOYOLANGU!U207+GIRI!V207+GROGOL!V207+JAMBESARI!O207+MOJOPANGGUNG!V207+PENATABAN!V207</f>
        <v>20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60"/>
      <c r="E208" s="24">
        <f>BOYOLANGU!U208+GIRI!V208+GROGOL!V208+JAMBESARI!O208+MOJOPANGGUNG!V208+PENATABAN!V208</f>
        <v>21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1"/>
      <c r="E209" s="19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1"/>
      <c r="E210" s="19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926</v>
      </c>
      <c r="F211" s="25"/>
      <c r="G211" s="1"/>
      <c r="H211" s="1"/>
      <c r="I211" s="1"/>
      <c r="J211" s="1"/>
      <c r="K211" s="1"/>
      <c r="L211" s="1"/>
      <c r="M211" s="1"/>
      <c r="N211" s="1"/>
      <c r="O211" s="1"/>
      <c r="P211" s="9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10"/>
      <c r="P212" s="11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BOYOLANGU!U213+GIRI!V213+GROGOL!V213+JAMBESARI!O213+MOJOPANGGUNG!V213+PENATABAN!V213</f>
        <v>160</v>
      </c>
      <c r="F213" s="25"/>
      <c r="G213" s="1"/>
      <c r="H213" s="1"/>
      <c r="I213" s="1"/>
      <c r="J213" s="1"/>
      <c r="K213" s="1"/>
      <c r="L213" s="1"/>
      <c r="M213" s="1"/>
      <c r="N213" s="1"/>
      <c r="O213" s="2"/>
      <c r="P213" s="11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0" t="s">
        <v>39</v>
      </c>
      <c r="B214" s="55">
        <v>1.0</v>
      </c>
      <c r="C214" s="50" t="s">
        <v>157</v>
      </c>
      <c r="D214" s="59"/>
      <c r="E214" s="24">
        <f>BOYOLANGU!U214+GIRI!V214+GROGOL!V214+JAMBESARI!O214+MOJOPANGGUNG!V214+PENATABAN!V214</f>
        <v>91</v>
      </c>
      <c r="F214" s="25"/>
      <c r="G214" s="1"/>
      <c r="H214" s="1"/>
      <c r="I214" s="1"/>
      <c r="J214" s="1"/>
      <c r="K214" s="1"/>
      <c r="L214" s="1"/>
      <c r="M214" s="1"/>
      <c r="N214" s="1"/>
      <c r="O214" s="1"/>
      <c r="P214" s="9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8"/>
      <c r="B215" s="55">
        <v>2.0</v>
      </c>
      <c r="C215" s="50" t="s">
        <v>158</v>
      </c>
      <c r="D215" s="59"/>
      <c r="E215" s="24">
        <f>BOYOLANGU!U215+GIRI!V215+GROGOL!V215+JAMBESARI!O215+MOJOPANGGUNG!V215+PENATABAN!V215</f>
        <v>176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8"/>
      <c r="B216" s="55">
        <v>3.0</v>
      </c>
      <c r="C216" s="65" t="s">
        <v>159</v>
      </c>
      <c r="E216" s="24">
        <f>BOYOLANGU!U216+GIRI!V216+GROGOL!V216+JAMBESARI!O216+MOJOPANGGUNG!V216+PENATABAN!V216</f>
        <v>21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8"/>
      <c r="B217" s="55">
        <v>4.0</v>
      </c>
      <c r="C217" s="50" t="s">
        <v>160</v>
      </c>
      <c r="D217" s="59"/>
      <c r="E217" s="24">
        <f>BOYOLANGU!U217+GIRI!V217+GROGOL!V217+JAMBESARI!O217+MOJOPANGGUNG!V217+PENATABAN!V217</f>
        <v>6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8"/>
      <c r="B218" s="55">
        <v>5.0</v>
      </c>
      <c r="C218" s="50" t="s">
        <v>161</v>
      </c>
      <c r="D218" s="59"/>
      <c r="E218" s="24">
        <f>BOYOLANGU!U218+GIRI!V218+GROGOL!V218+JAMBESARI!O218+MOJOPANGGUNG!V218+PENATABAN!V218</f>
        <v>7</v>
      </c>
      <c r="F218" s="18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8"/>
      <c r="B219" s="55">
        <v>6.0</v>
      </c>
      <c r="C219" s="50" t="s">
        <v>162</v>
      </c>
      <c r="D219" s="59"/>
      <c r="E219" s="24">
        <f>BOYOLANGU!U219+GIRI!V219+GROGOL!V219+JAMBESARI!O219+MOJOPANGGUNG!V219+PENATABAN!V219</f>
        <v>15</v>
      </c>
      <c r="F219" s="18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8"/>
      <c r="B220" s="55">
        <v>7.0</v>
      </c>
      <c r="C220" s="50" t="s">
        <v>163</v>
      </c>
      <c r="D220" s="59"/>
      <c r="E220" s="24">
        <f>BOYOLANGU!U220+GIRI!V220+GROGOL!V220+JAMBESARI!O220+MOJOPANGGUNG!V220+PENATABAN!V220</f>
        <v>11</v>
      </c>
      <c r="F220" s="18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8"/>
      <c r="B221" s="56"/>
      <c r="C221" s="57"/>
      <c r="D221" s="58"/>
      <c r="E221" s="19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8"/>
      <c r="B222" s="56"/>
      <c r="C222" s="57"/>
      <c r="D222" s="58"/>
      <c r="E222" s="19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487</v>
      </c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4"/>
      <c r="B224" s="15"/>
      <c r="C224" s="15"/>
      <c r="D224" s="15"/>
      <c r="E224" s="16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BOYOLANGU!U225+GIRI!V225+GROGOL!V225+JAMBESARI!O225+MOJOPANGGUNG!V225+PENATABAN!V225</f>
        <v>18</v>
      </c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0" t="s">
        <v>39</v>
      </c>
      <c r="B226" s="55">
        <v>1.0</v>
      </c>
      <c r="C226" s="50" t="s">
        <v>166</v>
      </c>
      <c r="D226" s="60"/>
      <c r="E226" s="24">
        <f>BOYOLANGU!U226+GIRI!V226+GROGOL!V226+JAMBESARI!O226+MOJOPANGGUNG!V226+PENATABAN!V226</f>
        <v>17</v>
      </c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60"/>
      <c r="E227" s="24">
        <f>BOYOLANGU!U227+GIRI!V227+GROGOL!V227+JAMBESARI!O227+MOJOPANGGUNG!V227+PENATABAN!V227</f>
        <v>6</v>
      </c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8"/>
      <c r="B228" s="55">
        <v>3.0</v>
      </c>
      <c r="C228" s="50" t="s">
        <v>168</v>
      </c>
      <c r="D228" s="60"/>
      <c r="E228" s="24">
        <f>BOYOLANGU!U228+GIRI!V228+GROGOL!V228+JAMBESARI!O228+MOJOPANGGUNG!V228+PENATABAN!V228</f>
        <v>4</v>
      </c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8"/>
      <c r="B229" s="55">
        <v>4.0</v>
      </c>
      <c r="C229" s="50" t="s">
        <v>169</v>
      </c>
      <c r="D229" s="60"/>
      <c r="E229" s="24">
        <f>BOYOLANGU!U229+GIRI!V229+GROGOL!V229+JAMBESARI!O229+MOJOPANGGUNG!V229+PENATABAN!V229</f>
        <v>1</v>
      </c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8"/>
      <c r="B230" s="55">
        <v>5.0</v>
      </c>
      <c r="C230" s="50" t="s">
        <v>170</v>
      </c>
      <c r="D230" s="60"/>
      <c r="E230" s="24">
        <f>BOYOLANGU!U230+GIRI!V230+GROGOL!V230+JAMBESARI!O230+MOJOPANGGUNG!V230+PENATABAN!V230</f>
        <v>1</v>
      </c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8"/>
      <c r="B231" s="55">
        <v>6.0</v>
      </c>
      <c r="C231" s="50" t="s">
        <v>171</v>
      </c>
      <c r="D231" s="60"/>
      <c r="E231" s="24">
        <f>BOYOLANGU!U231+GIRI!V231+GROGOL!V231+JAMBESARI!O231+MOJOPANGGUNG!V231+PENATABAN!V231</f>
        <v>0</v>
      </c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8"/>
      <c r="B232" s="55">
        <v>7.0</v>
      </c>
      <c r="C232" s="50" t="s">
        <v>172</v>
      </c>
      <c r="D232" s="60"/>
      <c r="E232" s="24">
        <f>BOYOLANGU!U232+GIRI!V232+GROGOL!V232+JAMBESARI!O232+MOJOPANGGUNG!V232+PENATABAN!V232</f>
        <v>56</v>
      </c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8"/>
      <c r="B233" s="56"/>
      <c r="C233" s="57"/>
      <c r="D233" s="61"/>
      <c r="E233" s="19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8"/>
      <c r="B234" s="56"/>
      <c r="C234" s="57"/>
      <c r="D234" s="61"/>
      <c r="E234" s="19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103</v>
      </c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4"/>
      <c r="B236" s="15"/>
      <c r="C236" s="15"/>
      <c r="D236" s="15"/>
      <c r="E236" s="16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BOYOLANGU!U237+GIRI!V237+GROGOL!V237+JAMBESARI!O237+MOJOPANGGUNG!V237+PENATABAN!V237</f>
        <v>97</v>
      </c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0" t="s">
        <v>39</v>
      </c>
      <c r="B238" s="55">
        <v>1.0</v>
      </c>
      <c r="C238" s="50" t="s">
        <v>175</v>
      </c>
      <c r="D238" s="60"/>
      <c r="E238" s="24">
        <f>BOYOLANGU!U238+GIRI!V238+GROGOL!V238+JAMBESARI!O238+MOJOPANGGUNG!V238+PENATABAN!V238</f>
        <v>76</v>
      </c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60"/>
      <c r="E239" s="24">
        <f>BOYOLANGU!U239+GIRI!V239+GROGOL!V239+JAMBESARI!O239+MOJOPANGGUNG!V239+PENATABAN!V239</f>
        <v>291</v>
      </c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8"/>
      <c r="B240" s="55">
        <v>3.0</v>
      </c>
      <c r="C240" s="50" t="s">
        <v>177</v>
      </c>
      <c r="D240" s="60"/>
      <c r="E240" s="24">
        <f>BOYOLANGU!U240+GIRI!V240+GROGOL!V240+JAMBESARI!O240+MOJOPANGGUNG!V240+PENATABAN!V240</f>
        <v>14</v>
      </c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8"/>
      <c r="B241" s="55">
        <v>4.0</v>
      </c>
      <c r="C241" s="50" t="s">
        <v>178</v>
      </c>
      <c r="D241" s="60"/>
      <c r="E241" s="24">
        <f>BOYOLANGU!U241+GIRI!V241+GROGOL!V241+JAMBESARI!O241+MOJOPANGGUNG!V241+PENATABAN!V241</f>
        <v>7</v>
      </c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8"/>
      <c r="B242" s="55">
        <v>5.0</v>
      </c>
      <c r="C242" s="50" t="s">
        <v>179</v>
      </c>
      <c r="D242" s="60"/>
      <c r="E242" s="24">
        <f>BOYOLANGU!U242+GIRI!V242+GROGOL!V242+JAMBESARI!O242+MOJOPANGGUNG!V242+PENATABAN!V242</f>
        <v>2</v>
      </c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8"/>
      <c r="B243" s="55">
        <v>6.0</v>
      </c>
      <c r="C243" s="50" t="s">
        <v>180</v>
      </c>
      <c r="D243" s="60"/>
      <c r="E243" s="24">
        <f>BOYOLANGU!U243+GIRI!V243+GROGOL!V243+JAMBESARI!O243+MOJOPANGGUNG!V243+PENATABAN!V243</f>
        <v>9</v>
      </c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8"/>
      <c r="B244" s="55">
        <v>7.0</v>
      </c>
      <c r="C244" s="50" t="s">
        <v>181</v>
      </c>
      <c r="D244" s="60"/>
      <c r="E244" s="24">
        <f>BOYOLANGU!U244+GIRI!V244+GROGOL!V244+JAMBESARI!O244+MOJOPANGGUNG!V244+PENATABAN!V244</f>
        <v>50</v>
      </c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8"/>
      <c r="B245" s="56"/>
      <c r="C245" s="57"/>
      <c r="D245" s="61"/>
      <c r="E245" s="19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8"/>
      <c r="B246" s="56"/>
      <c r="C246" s="57"/>
      <c r="D246" s="61"/>
      <c r="E246" s="19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546</v>
      </c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4"/>
      <c r="B248" s="15"/>
      <c r="C248" s="15"/>
      <c r="D248" s="15"/>
      <c r="E248" s="16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BOYOLANGU!U249+GIRI!V249+GROGOL!V249+JAMBESARI!O249+MOJOPANGGUNG!V249+PENATABAN!V249</f>
        <v>34</v>
      </c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0" t="s">
        <v>39</v>
      </c>
      <c r="B250" s="55">
        <v>1.0</v>
      </c>
      <c r="C250" s="63" t="s">
        <v>184</v>
      </c>
      <c r="D250" s="60"/>
      <c r="E250" s="24">
        <f>BOYOLANGU!U250+GIRI!V250+GROGOL!V250+JAMBESARI!O250+MOJOPANGGUNG!V250+PENATABAN!V250</f>
        <v>19</v>
      </c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63" t="s">
        <v>185</v>
      </c>
      <c r="D251" s="60"/>
      <c r="E251" s="24">
        <f>BOYOLANGU!U251+GIRI!V251+GROGOL!V251+JAMBESARI!O251+MOJOPANGGUNG!V251+PENATABAN!V251</f>
        <v>15</v>
      </c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63" t="s">
        <v>186</v>
      </c>
      <c r="D252" s="60"/>
      <c r="E252" s="24">
        <f>BOYOLANGU!U252+GIRI!V252+GROGOL!V252+JAMBESARI!O252+MOJOPANGGUNG!V252+PENATABAN!V252</f>
        <v>2</v>
      </c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8"/>
      <c r="B253" s="55">
        <v>4.0</v>
      </c>
      <c r="C253" s="63" t="s">
        <v>187</v>
      </c>
      <c r="D253" s="60"/>
      <c r="E253" s="24">
        <f>BOYOLANGU!U253+GIRI!V253+GROGOL!V253+JAMBESARI!O253+MOJOPANGGUNG!V253+PENATABAN!V253</f>
        <v>2</v>
      </c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8"/>
      <c r="B254" s="55">
        <v>5.0</v>
      </c>
      <c r="C254" s="63" t="s">
        <v>188</v>
      </c>
      <c r="D254" s="60"/>
      <c r="E254" s="24">
        <f>BOYOLANGU!U254+GIRI!V254+GROGOL!V254+JAMBESARI!O254+MOJOPANGGUNG!V254+PENATABAN!V254</f>
        <v>7</v>
      </c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8"/>
      <c r="B255" s="55">
        <v>6.0</v>
      </c>
      <c r="C255" s="63" t="s">
        <v>189</v>
      </c>
      <c r="D255" s="60"/>
      <c r="E255" s="24">
        <f>BOYOLANGU!U255+GIRI!V255+GROGOL!V255+JAMBESARI!O255+MOJOPANGGUNG!V255+PENATABAN!V255</f>
        <v>7</v>
      </c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4"/>
      <c r="D256" s="61"/>
      <c r="E256" s="19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4"/>
      <c r="D257" s="61"/>
      <c r="E257" s="19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4"/>
      <c r="D258" s="61"/>
      <c r="E258" s="19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86</v>
      </c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6" t="s">
        <v>192</v>
      </c>
      <c r="C262" s="67" t="s">
        <v>193</v>
      </c>
      <c r="D262" s="16"/>
      <c r="E262" s="19">
        <f>E55+E67+E79+E91+E103+E115+E127+E139+E151+E163+E175+E187+E199+E211+E223+E235+E247+E259</f>
        <v>18164</v>
      </c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6" t="s">
        <v>194</v>
      </c>
      <c r="C263" s="67" t="s">
        <v>195</v>
      </c>
      <c r="D263" s="16"/>
      <c r="E263" s="24">
        <f>BOYOLANGU!U263+GIRI!V263+GROGOL!V263+JAMBESARI!O263+MOJOPANGGUNG!V263+PENATABAN!V263</f>
        <v>2233</v>
      </c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6" t="s">
        <v>196</v>
      </c>
      <c r="C264" s="67" t="s">
        <v>197</v>
      </c>
      <c r="D264" s="16"/>
      <c r="E264" s="13">
        <f>SUM(E262:E263)</f>
        <v>20397</v>
      </c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8"/>
      <c r="C265" s="6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8"/>
      <c r="C266" s="6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8"/>
      <c r="C267" s="6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"/>
      <c r="B268" s="68"/>
      <c r="C268" s="6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"/>
      <c r="B269" s="68"/>
      <c r="C269" s="6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"/>
      <c r="B270" s="68"/>
      <c r="C270" s="6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"/>
      <c r="B271" s="68"/>
      <c r="C271" s="6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"/>
      <c r="B272" s="68"/>
      <c r="C272" s="6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"/>
      <c r="B273" s="68"/>
      <c r="C273" s="6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"/>
      <c r="B274" s="68"/>
      <c r="C274" s="6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"/>
      <c r="B275" s="68"/>
      <c r="C275" s="6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"/>
      <c r="B276" s="68"/>
      <c r="C276" s="6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"/>
      <c r="B277" s="68"/>
      <c r="C277" s="6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"/>
      <c r="B278" s="68"/>
      <c r="C278" s="6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"/>
      <c r="B279" s="68"/>
      <c r="C279" s="6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"/>
      <c r="B280" s="68"/>
      <c r="C280" s="6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"/>
      <c r="B281" s="68"/>
      <c r="C281" s="6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"/>
      <c r="B282" s="68"/>
      <c r="C282" s="6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"/>
      <c r="B283" s="68"/>
      <c r="C283" s="6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"/>
      <c r="B284" s="68"/>
      <c r="C284" s="6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"/>
      <c r="B285" s="68"/>
      <c r="C285" s="6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"/>
      <c r="B286" s="68"/>
      <c r="C286" s="6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"/>
      <c r="B287" s="68"/>
      <c r="C287" s="6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"/>
      <c r="B288" s="68"/>
      <c r="C288" s="6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"/>
      <c r="B289" s="68"/>
      <c r="C289" s="6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"/>
      <c r="B290" s="68"/>
      <c r="C290" s="6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"/>
      <c r="B291" s="68"/>
      <c r="C291" s="6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"/>
      <c r="B292" s="68"/>
      <c r="C292" s="6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"/>
      <c r="B293" s="68"/>
      <c r="C293" s="6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"/>
      <c r="B294" s="68"/>
      <c r="C294" s="6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"/>
      <c r="B295" s="68"/>
      <c r="C295" s="6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"/>
      <c r="B296" s="68"/>
      <c r="C296" s="6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"/>
      <c r="B297" s="68"/>
      <c r="C297" s="6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"/>
      <c r="B298" s="68"/>
      <c r="C298" s="6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"/>
      <c r="B299" s="68"/>
      <c r="C299" s="6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"/>
      <c r="B300" s="68"/>
      <c r="C300" s="6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"/>
      <c r="B301" s="68"/>
      <c r="C301" s="6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"/>
      <c r="B302" s="68"/>
      <c r="C302" s="6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"/>
      <c r="B303" s="68"/>
      <c r="C303" s="6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"/>
      <c r="B304" s="68"/>
      <c r="C304" s="6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"/>
      <c r="B305" s="68"/>
      <c r="C305" s="6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"/>
      <c r="B306" s="68"/>
      <c r="C306" s="6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"/>
      <c r="B307" s="68"/>
      <c r="C307" s="6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"/>
      <c r="B308" s="68"/>
      <c r="C308" s="6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"/>
      <c r="B309" s="68"/>
      <c r="C309" s="6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"/>
      <c r="B310" s="68"/>
      <c r="C310" s="6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"/>
      <c r="B311" s="68"/>
      <c r="C311" s="6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"/>
      <c r="B312" s="68"/>
      <c r="C312" s="6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"/>
      <c r="B313" s="68"/>
      <c r="C313" s="6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"/>
      <c r="B314" s="68"/>
      <c r="C314" s="6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"/>
      <c r="B315" s="68"/>
      <c r="C315" s="6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"/>
      <c r="B316" s="68"/>
      <c r="C316" s="6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"/>
      <c r="B317" s="68"/>
      <c r="C317" s="6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"/>
      <c r="B318" s="68"/>
      <c r="C318" s="6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"/>
      <c r="B319" s="68"/>
      <c r="C319" s="6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"/>
      <c r="B320" s="68"/>
      <c r="C320" s="6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"/>
      <c r="B321" s="68"/>
      <c r="C321" s="6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"/>
      <c r="B322" s="68"/>
      <c r="C322" s="6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"/>
      <c r="B323" s="68"/>
      <c r="C323" s="6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"/>
      <c r="B324" s="68"/>
      <c r="C324" s="6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"/>
      <c r="B325" s="68"/>
      <c r="C325" s="6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"/>
      <c r="B326" s="68"/>
      <c r="C326" s="6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"/>
      <c r="B327" s="68"/>
      <c r="C327" s="6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"/>
      <c r="B328" s="68"/>
      <c r="C328" s="6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"/>
      <c r="B329" s="68"/>
      <c r="C329" s="6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"/>
      <c r="B330" s="68"/>
      <c r="C330" s="6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"/>
      <c r="B331" s="68"/>
      <c r="C331" s="6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"/>
      <c r="B332" s="68"/>
      <c r="C332" s="6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"/>
      <c r="B333" s="68"/>
      <c r="C333" s="6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"/>
      <c r="B334" s="68"/>
      <c r="C334" s="6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"/>
      <c r="B335" s="68"/>
      <c r="C335" s="6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"/>
      <c r="B336" s="68"/>
      <c r="C336" s="6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"/>
      <c r="B337" s="68"/>
      <c r="C337" s="6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"/>
      <c r="B338" s="68"/>
      <c r="C338" s="6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"/>
      <c r="B339" s="68"/>
      <c r="C339" s="6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"/>
      <c r="B340" s="68"/>
      <c r="C340" s="6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"/>
      <c r="B341" s="68"/>
      <c r="C341" s="6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"/>
      <c r="B342" s="68"/>
      <c r="C342" s="6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"/>
      <c r="B343" s="68"/>
      <c r="C343" s="6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"/>
      <c r="B344" s="68"/>
      <c r="C344" s="6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"/>
      <c r="B345" s="68"/>
      <c r="C345" s="6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"/>
      <c r="B346" s="68"/>
      <c r="C346" s="6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"/>
      <c r="B347" s="68"/>
      <c r="C347" s="6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"/>
      <c r="B348" s="68"/>
      <c r="C348" s="6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"/>
      <c r="B349" s="68"/>
      <c r="C349" s="6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"/>
      <c r="B350" s="68"/>
      <c r="C350" s="6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"/>
      <c r="B351" s="68"/>
      <c r="C351" s="6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"/>
      <c r="B352" s="68"/>
      <c r="C352" s="6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"/>
      <c r="B353" s="68"/>
      <c r="C353" s="6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"/>
      <c r="B354" s="68"/>
      <c r="C354" s="6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"/>
      <c r="B355" s="68"/>
      <c r="C355" s="6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"/>
      <c r="B356" s="68"/>
      <c r="C356" s="6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"/>
      <c r="B357" s="68"/>
      <c r="C357" s="6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"/>
      <c r="B358" s="68"/>
      <c r="C358" s="6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"/>
      <c r="B359" s="68"/>
      <c r="C359" s="6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"/>
      <c r="B360" s="68"/>
      <c r="C360" s="6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"/>
      <c r="B361" s="68"/>
      <c r="C361" s="6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"/>
      <c r="B362" s="68"/>
      <c r="C362" s="6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"/>
      <c r="B363" s="68"/>
      <c r="C363" s="6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"/>
      <c r="B364" s="68"/>
      <c r="C364" s="6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"/>
      <c r="B365" s="68"/>
      <c r="C365" s="6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"/>
      <c r="B366" s="68"/>
      <c r="C366" s="6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"/>
      <c r="B367" s="68"/>
      <c r="C367" s="6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"/>
      <c r="B368" s="68"/>
      <c r="C368" s="6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"/>
      <c r="B369" s="68"/>
      <c r="C369" s="6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"/>
      <c r="B370" s="68"/>
      <c r="C370" s="6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"/>
      <c r="B371" s="68"/>
      <c r="C371" s="6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"/>
      <c r="B372" s="68"/>
      <c r="C372" s="6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"/>
      <c r="B373" s="68"/>
      <c r="C373" s="6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"/>
      <c r="B374" s="68"/>
      <c r="C374" s="6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"/>
      <c r="B375" s="68"/>
      <c r="C375" s="6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"/>
      <c r="B376" s="68"/>
      <c r="C376" s="6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"/>
      <c r="B377" s="68"/>
      <c r="C377" s="6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"/>
      <c r="B378" s="68"/>
      <c r="C378" s="6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"/>
      <c r="B379" s="68"/>
      <c r="C379" s="6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"/>
      <c r="B380" s="68"/>
      <c r="C380" s="6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"/>
      <c r="B381" s="68"/>
      <c r="C381" s="6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"/>
      <c r="B382" s="68"/>
      <c r="C382" s="6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"/>
      <c r="B383" s="68"/>
      <c r="C383" s="6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"/>
      <c r="B384" s="68"/>
      <c r="C384" s="6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"/>
      <c r="B385" s="68"/>
      <c r="C385" s="6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"/>
      <c r="B386" s="68"/>
      <c r="C386" s="6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"/>
      <c r="B387" s="68"/>
      <c r="C387" s="6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"/>
      <c r="B388" s="68"/>
      <c r="C388" s="6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"/>
      <c r="B389" s="68"/>
      <c r="C389" s="6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"/>
      <c r="B390" s="68"/>
      <c r="C390" s="6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"/>
      <c r="B391" s="68"/>
      <c r="C391" s="6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"/>
      <c r="B392" s="68"/>
      <c r="C392" s="6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"/>
      <c r="B393" s="68"/>
      <c r="C393" s="6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"/>
      <c r="B394" s="68"/>
      <c r="C394" s="6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"/>
      <c r="B395" s="68"/>
      <c r="C395" s="6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"/>
      <c r="B396" s="68"/>
      <c r="C396" s="6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"/>
      <c r="B397" s="68"/>
      <c r="C397" s="6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"/>
      <c r="B398" s="68"/>
      <c r="C398" s="6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"/>
      <c r="B399" s="68"/>
      <c r="C399" s="6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"/>
      <c r="B400" s="68"/>
      <c r="C400" s="6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"/>
      <c r="B401" s="68"/>
      <c r="C401" s="6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"/>
      <c r="B402" s="68"/>
      <c r="C402" s="6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"/>
      <c r="B403" s="68"/>
      <c r="C403" s="6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"/>
      <c r="B404" s="68"/>
      <c r="C404" s="6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"/>
      <c r="B405" s="68"/>
      <c r="C405" s="6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"/>
      <c r="B406" s="68"/>
      <c r="C406" s="6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"/>
      <c r="B407" s="68"/>
      <c r="C407" s="6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"/>
      <c r="B408" s="68"/>
      <c r="C408" s="6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"/>
      <c r="B409" s="68"/>
      <c r="C409" s="6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"/>
      <c r="B410" s="68"/>
      <c r="C410" s="6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"/>
      <c r="B411" s="68"/>
      <c r="C411" s="6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"/>
      <c r="B412" s="68"/>
      <c r="C412" s="6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"/>
      <c r="B413" s="68"/>
      <c r="C413" s="6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"/>
      <c r="B414" s="68"/>
      <c r="C414" s="6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"/>
      <c r="B415" s="68"/>
      <c r="C415" s="6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"/>
      <c r="B416" s="68"/>
      <c r="C416" s="6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"/>
      <c r="B417" s="68"/>
      <c r="C417" s="6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"/>
      <c r="B418" s="68"/>
      <c r="C418" s="69"/>
      <c r="D418" s="5"/>
      <c r="E418" s="5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"/>
      <c r="B419" s="68"/>
      <c r="C419" s="69"/>
      <c r="D419" s="5"/>
      <c r="E419" s="5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"/>
      <c r="B420" s="68"/>
      <c r="C420" s="69"/>
      <c r="D420" s="5"/>
      <c r="E420" s="5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"/>
      <c r="B421" s="68"/>
      <c r="C421" s="69"/>
      <c r="D421" s="5"/>
      <c r="E421" s="5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"/>
      <c r="B422" s="68"/>
      <c r="C422" s="69"/>
      <c r="D422" s="5"/>
      <c r="E422" s="5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"/>
      <c r="B423" s="68"/>
      <c r="C423" s="69"/>
      <c r="D423" s="5"/>
      <c r="E423" s="5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"/>
      <c r="B424" s="68"/>
      <c r="C424" s="69"/>
      <c r="D424" s="5"/>
      <c r="E424" s="5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E30&lt;&gt;E220</formula>
    </cfRule>
  </conditionalFormatting>
  <conditionalFormatting sqref="E30">
    <cfRule type="expression" dxfId="0" priority="2">
      <formula>E30&lt;&gt;E34</formula>
    </cfRule>
  </conditionalFormatting>
  <conditionalFormatting sqref="E53:E54">
    <cfRule type="containsBlanks" dxfId="1" priority="3">
      <formula>LEN(TRIM(E53))=0</formula>
    </cfRule>
  </conditionalFormatting>
  <conditionalFormatting sqref="E65:E66">
    <cfRule type="containsBlanks" dxfId="1" priority="4">
      <formula>LEN(TRIM(E65))=0</formula>
    </cfRule>
  </conditionalFormatting>
  <conditionalFormatting sqref="E77:E78">
    <cfRule type="containsBlanks" dxfId="1" priority="5">
      <formula>LEN(TRIM(E77))=0</formula>
    </cfRule>
  </conditionalFormatting>
  <conditionalFormatting sqref="E89:E90">
    <cfRule type="containsBlanks" dxfId="1" priority="6">
      <formula>LEN(TRIM(E89))=0</formula>
    </cfRule>
  </conditionalFormatting>
  <conditionalFormatting sqref="E101:E102">
    <cfRule type="containsBlanks" dxfId="1" priority="7">
      <formula>LEN(TRIM(E101))=0</formula>
    </cfRule>
  </conditionalFormatting>
  <conditionalFormatting sqref="E114">
    <cfRule type="containsBlanks" dxfId="1" priority="8">
      <formula>LEN(TRIM(E114))=0</formula>
    </cfRule>
  </conditionalFormatting>
  <conditionalFormatting sqref="E121:E126">
    <cfRule type="containsBlanks" dxfId="1" priority="9">
      <formula>LEN(TRIM(E121))=0</formula>
    </cfRule>
  </conditionalFormatting>
  <conditionalFormatting sqref="E137:E138">
    <cfRule type="containsBlanks" dxfId="1" priority="10">
      <formula>LEN(TRIM(E137))=0</formula>
    </cfRule>
  </conditionalFormatting>
  <conditionalFormatting sqref="E149:E150">
    <cfRule type="containsBlanks" dxfId="1" priority="11">
      <formula>LEN(TRIM(E149))=0</formula>
    </cfRule>
  </conditionalFormatting>
  <conditionalFormatting sqref="E158:E162">
    <cfRule type="containsBlanks" dxfId="1" priority="12">
      <formula>LEN(TRIM(E158))=0</formula>
    </cfRule>
  </conditionalFormatting>
  <conditionalFormatting sqref="E173:E174">
    <cfRule type="containsBlanks" dxfId="1" priority="13">
      <formula>LEN(TRIM(E173))=0</formula>
    </cfRule>
  </conditionalFormatting>
  <conditionalFormatting sqref="E185:E186">
    <cfRule type="containsBlanks" dxfId="1" priority="14">
      <formula>LEN(TRIM(E185))=0</formula>
    </cfRule>
  </conditionalFormatting>
  <conditionalFormatting sqref="E197:E198">
    <cfRule type="containsBlanks" dxfId="1" priority="15">
      <formula>LEN(TRIM(E197))=0</formula>
    </cfRule>
  </conditionalFormatting>
  <conditionalFormatting sqref="E209:E210">
    <cfRule type="containsBlanks" dxfId="1" priority="16">
      <formula>LEN(TRIM(E209))=0</formula>
    </cfRule>
  </conditionalFormatting>
  <conditionalFormatting sqref="E221:E222">
    <cfRule type="containsBlanks" dxfId="1" priority="17">
      <formula>LEN(TRIM(E221))=0</formula>
    </cfRule>
  </conditionalFormatting>
  <conditionalFormatting sqref="E233:E234">
    <cfRule type="containsBlanks" dxfId="1" priority="18">
      <formula>LEN(TRIM(E233))=0</formula>
    </cfRule>
  </conditionalFormatting>
  <conditionalFormatting sqref="E245:E246">
    <cfRule type="containsBlanks" dxfId="1" priority="19">
      <formula>LEN(TRIM(E245))=0</formula>
    </cfRule>
  </conditionalFormatting>
  <conditionalFormatting sqref="E256:E259">
    <cfRule type="containsBlanks" dxfId="1" priority="20">
      <formula>LEN(TRIM(E256))=0</formula>
    </cfRule>
  </conditionalFormatting>
  <conditionalFormatting sqref="E262">
    <cfRule type="containsBlanks" dxfId="1" priority="21">
      <formula>LEN(TRIM(E262))=0</formula>
    </cfRule>
  </conditionalFormatting>
  <conditionalFormatting sqref="F215:O217">
    <cfRule type="cellIs" dxfId="0" priority="22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142.0</v>
      </c>
      <c r="G14" s="19">
        <v>142.0</v>
      </c>
      <c r="H14" s="19">
        <v>141.0</v>
      </c>
      <c r="I14" s="19">
        <v>150.0</v>
      </c>
      <c r="J14" s="19">
        <v>155.0</v>
      </c>
      <c r="K14" s="19">
        <v>146.0</v>
      </c>
      <c r="L14" s="19">
        <v>155.0</v>
      </c>
      <c r="M14" s="19">
        <v>152.0</v>
      </c>
      <c r="N14" s="19">
        <v>139.0</v>
      </c>
      <c r="O14" s="19">
        <v>110.0</v>
      </c>
      <c r="P14" s="19">
        <v>125.0</v>
      </c>
      <c r="Q14" s="19">
        <v>110.0</v>
      </c>
      <c r="R14" s="19">
        <v>108.0</v>
      </c>
      <c r="S14" s="19">
        <v>70.0</v>
      </c>
      <c r="T14" s="19">
        <v>139.0</v>
      </c>
      <c r="U14" s="13">
        <f t="shared" ref="U14:U16" si="1">SUM(E14:T14)</f>
        <v>2121</v>
      </c>
    </row>
    <row r="15" ht="12.75" customHeight="1">
      <c r="A15" s="18"/>
      <c r="B15" s="26"/>
      <c r="C15" s="27"/>
      <c r="D15" s="19" t="s">
        <v>13</v>
      </c>
      <c r="E15" s="19">
        <v>158.0</v>
      </c>
      <c r="F15" s="19">
        <v>154.0</v>
      </c>
      <c r="G15" s="19">
        <v>155.0</v>
      </c>
      <c r="H15" s="19">
        <v>156.0</v>
      </c>
      <c r="I15" s="19">
        <v>146.0</v>
      </c>
      <c r="J15" s="19">
        <v>142.0</v>
      </c>
      <c r="K15" s="19">
        <v>152.0</v>
      </c>
      <c r="L15" s="19">
        <v>143.0</v>
      </c>
      <c r="M15" s="19">
        <v>145.0</v>
      </c>
      <c r="N15" s="19">
        <v>159.0</v>
      </c>
      <c r="O15" s="19">
        <v>111.0</v>
      </c>
      <c r="P15" s="19">
        <v>133.0</v>
      </c>
      <c r="Q15" s="19">
        <v>117.0</v>
      </c>
      <c r="R15" s="19">
        <v>117.0</v>
      </c>
      <c r="S15" s="19">
        <v>78.0</v>
      </c>
      <c r="T15" s="19">
        <v>128.0</v>
      </c>
      <c r="U15" s="13">
        <f t="shared" si="1"/>
        <v>2194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295</v>
      </c>
      <c r="F16" s="13">
        <f t="shared" si="2"/>
        <v>296</v>
      </c>
      <c r="G16" s="13">
        <f t="shared" si="2"/>
        <v>297</v>
      </c>
      <c r="H16" s="13">
        <f t="shared" si="2"/>
        <v>297</v>
      </c>
      <c r="I16" s="13">
        <f t="shared" si="2"/>
        <v>296</v>
      </c>
      <c r="J16" s="13">
        <f t="shared" si="2"/>
        <v>297</v>
      </c>
      <c r="K16" s="13">
        <f t="shared" si="2"/>
        <v>298</v>
      </c>
      <c r="L16" s="13">
        <f t="shared" si="2"/>
        <v>298</v>
      </c>
      <c r="M16" s="13">
        <f t="shared" si="2"/>
        <v>297</v>
      </c>
      <c r="N16" s="13">
        <f t="shared" si="2"/>
        <v>298</v>
      </c>
      <c r="O16" s="13">
        <f t="shared" si="2"/>
        <v>221</v>
      </c>
      <c r="P16" s="13">
        <f t="shared" si="2"/>
        <v>258</v>
      </c>
      <c r="Q16" s="13">
        <f t="shared" si="2"/>
        <v>227</v>
      </c>
      <c r="R16" s="13">
        <f t="shared" si="2"/>
        <v>225</v>
      </c>
      <c r="S16" s="13">
        <f t="shared" si="2"/>
        <v>148</v>
      </c>
      <c r="T16" s="13">
        <f t="shared" si="2"/>
        <v>267</v>
      </c>
      <c r="U16" s="13">
        <f t="shared" si="1"/>
        <v>4315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19"/>
      <c r="T17" s="19"/>
      <c r="U17" s="7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1"/>
      <c r="O18" s="19"/>
      <c r="P18" s="19"/>
      <c r="Q18" s="19"/>
      <c r="R18" s="19"/>
      <c r="S18" s="19"/>
      <c r="T18" s="19"/>
      <c r="U18" s="7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113.0</v>
      </c>
      <c r="G19" s="19">
        <v>117.0</v>
      </c>
      <c r="H19" s="19">
        <v>118.0</v>
      </c>
      <c r="I19" s="19">
        <v>115.0</v>
      </c>
      <c r="J19" s="19">
        <v>121.0</v>
      </c>
      <c r="K19" s="19">
        <v>107.0</v>
      </c>
      <c r="L19" s="19">
        <v>115.0</v>
      </c>
      <c r="M19" s="19">
        <v>129.0</v>
      </c>
      <c r="N19" s="19">
        <v>105.0</v>
      </c>
      <c r="O19" s="19">
        <v>88.0</v>
      </c>
      <c r="P19" s="19">
        <v>101.0</v>
      </c>
      <c r="Q19" s="19">
        <v>99.0</v>
      </c>
      <c r="R19" s="19">
        <v>90.0</v>
      </c>
      <c r="S19" s="19">
        <v>51.0</v>
      </c>
      <c r="T19" s="19">
        <v>106.0</v>
      </c>
      <c r="U19" s="13">
        <f t="shared" ref="U19:U30" si="3">SUM(E19:T19)</f>
        <v>1664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120.0</v>
      </c>
      <c r="G20" s="19">
        <v>134.0</v>
      </c>
      <c r="H20" s="19">
        <v>136.0</v>
      </c>
      <c r="I20" s="19">
        <v>114.0</v>
      </c>
      <c r="J20" s="19">
        <v>123.0</v>
      </c>
      <c r="K20" s="19">
        <v>135.0</v>
      </c>
      <c r="L20" s="19">
        <v>121.0</v>
      </c>
      <c r="M20" s="19">
        <v>131.0</v>
      </c>
      <c r="N20" s="19">
        <v>128.0</v>
      </c>
      <c r="O20" s="19">
        <v>103.0</v>
      </c>
      <c r="P20" s="19">
        <v>112.0</v>
      </c>
      <c r="Q20" s="19">
        <v>110.0</v>
      </c>
      <c r="R20" s="19">
        <v>100.0</v>
      </c>
      <c r="S20" s="19">
        <v>68.0</v>
      </c>
      <c r="T20" s="19">
        <v>109.0</v>
      </c>
      <c r="U20" s="13">
        <f t="shared" si="3"/>
        <v>1861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206</v>
      </c>
      <c r="F21" s="13">
        <f t="shared" si="4"/>
        <v>233</v>
      </c>
      <c r="G21" s="13">
        <f t="shared" si="4"/>
        <v>251</v>
      </c>
      <c r="H21" s="13">
        <f t="shared" si="4"/>
        <v>254</v>
      </c>
      <c r="I21" s="13">
        <f t="shared" si="4"/>
        <v>229</v>
      </c>
      <c r="J21" s="13">
        <f t="shared" si="4"/>
        <v>244</v>
      </c>
      <c r="K21" s="13">
        <f t="shared" si="4"/>
        <v>242</v>
      </c>
      <c r="L21" s="13">
        <f t="shared" si="4"/>
        <v>236</v>
      </c>
      <c r="M21" s="13">
        <f t="shared" si="4"/>
        <v>260</v>
      </c>
      <c r="N21" s="13">
        <f t="shared" si="4"/>
        <v>233</v>
      </c>
      <c r="O21" s="13">
        <f t="shared" si="4"/>
        <v>191</v>
      </c>
      <c r="P21" s="13">
        <f t="shared" si="4"/>
        <v>213</v>
      </c>
      <c r="Q21" s="13">
        <f t="shared" si="4"/>
        <v>209</v>
      </c>
      <c r="R21" s="13">
        <f t="shared" si="4"/>
        <v>190</v>
      </c>
      <c r="S21" s="13">
        <f t="shared" si="4"/>
        <v>119</v>
      </c>
      <c r="T21" s="13">
        <f t="shared" si="4"/>
        <v>215</v>
      </c>
      <c r="U21" s="13">
        <f t="shared" si="3"/>
        <v>3525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2.0</v>
      </c>
      <c r="G25" s="19">
        <v>0.0</v>
      </c>
      <c r="H25" s="19">
        <v>2.0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0.0</v>
      </c>
      <c r="G26" s="19">
        <v>0.0</v>
      </c>
      <c r="H26" s="19">
        <v>1.0</v>
      </c>
      <c r="I26" s="19">
        <v>1.0</v>
      </c>
      <c r="J26" s="19">
        <v>0.0</v>
      </c>
      <c r="K26" s="19">
        <v>0.0</v>
      </c>
      <c r="L26" s="19">
        <v>1.0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1.0</v>
      </c>
      <c r="S26" s="19">
        <v>0.0</v>
      </c>
      <c r="T26" s="19">
        <v>0.0</v>
      </c>
      <c r="U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8</v>
      </c>
      <c r="F27" s="13">
        <f t="shared" si="6"/>
        <v>2</v>
      </c>
      <c r="G27" s="13">
        <f t="shared" si="6"/>
        <v>0</v>
      </c>
      <c r="H27" s="13">
        <f t="shared" si="6"/>
        <v>3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6"/>
        <v>0</v>
      </c>
      <c r="U27" s="13">
        <f t="shared" si="3"/>
        <v>19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92</v>
      </c>
      <c r="F28" s="13">
        <f t="shared" si="7"/>
        <v>115</v>
      </c>
      <c r="G28" s="13">
        <f t="shared" si="7"/>
        <v>117</v>
      </c>
      <c r="H28" s="13">
        <f t="shared" si="7"/>
        <v>120</v>
      </c>
      <c r="I28" s="13">
        <f t="shared" si="7"/>
        <v>115</v>
      </c>
      <c r="J28" s="13">
        <f t="shared" si="7"/>
        <v>121</v>
      </c>
      <c r="K28" s="13">
        <f t="shared" si="7"/>
        <v>107</v>
      </c>
      <c r="L28" s="13">
        <f t="shared" si="7"/>
        <v>115</v>
      </c>
      <c r="M28" s="13">
        <f t="shared" si="7"/>
        <v>129</v>
      </c>
      <c r="N28" s="13">
        <f t="shared" si="7"/>
        <v>106</v>
      </c>
      <c r="O28" s="13">
        <f t="shared" si="7"/>
        <v>88</v>
      </c>
      <c r="P28" s="13">
        <f t="shared" si="7"/>
        <v>101</v>
      </c>
      <c r="Q28" s="13">
        <f t="shared" si="7"/>
        <v>99</v>
      </c>
      <c r="R28" s="13">
        <f t="shared" si="7"/>
        <v>90</v>
      </c>
      <c r="S28" s="13">
        <f t="shared" si="7"/>
        <v>52</v>
      </c>
      <c r="T28" s="13">
        <f t="shared" si="7"/>
        <v>106</v>
      </c>
      <c r="U28" s="13">
        <f t="shared" si="3"/>
        <v>1673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123</v>
      </c>
      <c r="F29" s="13">
        <f t="shared" si="8"/>
        <v>120</v>
      </c>
      <c r="G29" s="13">
        <f t="shared" si="8"/>
        <v>134</v>
      </c>
      <c r="H29" s="13">
        <f t="shared" si="8"/>
        <v>137</v>
      </c>
      <c r="I29" s="13">
        <f t="shared" si="8"/>
        <v>115</v>
      </c>
      <c r="J29" s="13">
        <f t="shared" si="8"/>
        <v>123</v>
      </c>
      <c r="K29" s="13">
        <f t="shared" si="8"/>
        <v>135</v>
      </c>
      <c r="L29" s="13">
        <f t="shared" si="8"/>
        <v>122</v>
      </c>
      <c r="M29" s="13">
        <f t="shared" si="8"/>
        <v>131</v>
      </c>
      <c r="N29" s="13">
        <f t="shared" si="8"/>
        <v>129</v>
      </c>
      <c r="O29" s="13">
        <f t="shared" si="8"/>
        <v>103</v>
      </c>
      <c r="P29" s="13">
        <f t="shared" si="8"/>
        <v>112</v>
      </c>
      <c r="Q29" s="13">
        <f t="shared" si="8"/>
        <v>110</v>
      </c>
      <c r="R29" s="13">
        <f t="shared" si="8"/>
        <v>101</v>
      </c>
      <c r="S29" s="13">
        <f t="shared" si="8"/>
        <v>68</v>
      </c>
      <c r="T29" s="13">
        <f t="shared" si="8"/>
        <v>109</v>
      </c>
      <c r="U29" s="13">
        <f t="shared" si="3"/>
        <v>1872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215</v>
      </c>
      <c r="F30" s="13">
        <f t="shared" si="9"/>
        <v>235</v>
      </c>
      <c r="G30" s="13">
        <f t="shared" si="9"/>
        <v>251</v>
      </c>
      <c r="H30" s="13">
        <f t="shared" si="9"/>
        <v>257</v>
      </c>
      <c r="I30" s="13">
        <f t="shared" si="9"/>
        <v>230</v>
      </c>
      <c r="J30" s="13">
        <f t="shared" si="9"/>
        <v>244</v>
      </c>
      <c r="K30" s="13">
        <f t="shared" si="9"/>
        <v>242</v>
      </c>
      <c r="L30" s="13">
        <f t="shared" si="9"/>
        <v>237</v>
      </c>
      <c r="M30" s="13">
        <f t="shared" si="9"/>
        <v>260</v>
      </c>
      <c r="N30" s="13">
        <f t="shared" si="9"/>
        <v>235</v>
      </c>
      <c r="O30" s="13">
        <f t="shared" si="9"/>
        <v>191</v>
      </c>
      <c r="P30" s="13">
        <f t="shared" si="9"/>
        <v>213</v>
      </c>
      <c r="Q30" s="13">
        <f t="shared" si="9"/>
        <v>209</v>
      </c>
      <c r="R30" s="13">
        <f t="shared" si="9"/>
        <v>191</v>
      </c>
      <c r="S30" s="13">
        <f t="shared" si="9"/>
        <v>120</v>
      </c>
      <c r="T30" s="13">
        <f t="shared" si="9"/>
        <v>215</v>
      </c>
      <c r="U30" s="13">
        <f t="shared" si="3"/>
        <v>3545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19"/>
      <c r="T31" s="19"/>
      <c r="U31" s="72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3"/>
      <c r="O32" s="13"/>
      <c r="P32" s="13"/>
      <c r="Q32" s="13"/>
      <c r="R32" s="13"/>
      <c r="S32" s="13"/>
      <c r="T32" s="13"/>
      <c r="U32" s="72"/>
    </row>
    <row r="33" ht="12.75" customHeight="1">
      <c r="A33" s="19">
        <v>1.0</v>
      </c>
      <c r="B33" s="20" t="s">
        <v>27</v>
      </c>
      <c r="C33" s="15"/>
      <c r="D33" s="16"/>
      <c r="E33" s="19">
        <v>302.0</v>
      </c>
      <c r="F33" s="19">
        <v>302.0</v>
      </c>
      <c r="G33" s="19">
        <v>303.0</v>
      </c>
      <c r="H33" s="19">
        <v>303.0</v>
      </c>
      <c r="I33" s="19">
        <v>302.0</v>
      </c>
      <c r="J33" s="19">
        <v>303.0</v>
      </c>
      <c r="K33" s="19">
        <v>304.0</v>
      </c>
      <c r="L33" s="19">
        <v>305.0</v>
      </c>
      <c r="M33" s="19">
        <v>303.0</v>
      </c>
      <c r="N33" s="19">
        <v>304.0</v>
      </c>
      <c r="O33" s="19">
        <v>226.0</v>
      </c>
      <c r="P33" s="19">
        <v>264.0</v>
      </c>
      <c r="Q33" s="19">
        <v>232.0</v>
      </c>
      <c r="R33" s="19">
        <v>230.0</v>
      </c>
      <c r="S33" s="19">
        <v>151.0</v>
      </c>
      <c r="T33" s="19">
        <v>274.0</v>
      </c>
      <c r="U33" s="13">
        <f t="shared" ref="U33:U36" si="10">SUM(E33:T33)</f>
        <v>4408</v>
      </c>
    </row>
    <row r="34" ht="12.75" customHeight="1">
      <c r="A34" s="19">
        <v>2.0</v>
      </c>
      <c r="B34" s="20" t="s">
        <v>28</v>
      </c>
      <c r="C34" s="15"/>
      <c r="D34" s="16"/>
      <c r="E34" s="13">
        <v>215.0</v>
      </c>
      <c r="F34" s="13">
        <v>235.0</v>
      </c>
      <c r="G34" s="13">
        <v>251.0</v>
      </c>
      <c r="H34" s="13">
        <v>257.0</v>
      </c>
      <c r="I34" s="13">
        <v>230.0</v>
      </c>
      <c r="J34" s="13">
        <v>244.0</v>
      </c>
      <c r="K34" s="13">
        <v>242.0</v>
      </c>
      <c r="L34" s="13">
        <v>237.0</v>
      </c>
      <c r="M34" s="13">
        <v>260.0</v>
      </c>
      <c r="N34" s="13">
        <v>235.0</v>
      </c>
      <c r="O34" s="13">
        <v>191.0</v>
      </c>
      <c r="P34" s="13">
        <v>213.0</v>
      </c>
      <c r="Q34" s="13">
        <v>209.0</v>
      </c>
      <c r="R34" s="13">
        <v>191.0</v>
      </c>
      <c r="S34" s="13">
        <v>120.0</v>
      </c>
      <c r="T34" s="13">
        <v>215.0</v>
      </c>
      <c r="U34" s="13">
        <f t="shared" si="10"/>
        <v>3545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86</v>
      </c>
      <c r="F36" s="13">
        <f t="shared" si="11"/>
        <v>66</v>
      </c>
      <c r="G36" s="13">
        <f t="shared" si="11"/>
        <v>52</v>
      </c>
      <c r="H36" s="13">
        <f t="shared" si="11"/>
        <v>45</v>
      </c>
      <c r="I36" s="13">
        <f t="shared" si="11"/>
        <v>72</v>
      </c>
      <c r="J36" s="13">
        <f t="shared" si="11"/>
        <v>59</v>
      </c>
      <c r="K36" s="13">
        <f t="shared" si="11"/>
        <v>62</v>
      </c>
      <c r="L36" s="13">
        <f t="shared" si="11"/>
        <v>68</v>
      </c>
      <c r="M36" s="13">
        <f t="shared" si="11"/>
        <v>43</v>
      </c>
      <c r="N36" s="13">
        <f t="shared" si="11"/>
        <v>69</v>
      </c>
      <c r="O36" s="13">
        <f t="shared" si="11"/>
        <v>35</v>
      </c>
      <c r="P36" s="13">
        <f t="shared" si="11"/>
        <v>51</v>
      </c>
      <c r="Q36" s="13">
        <f t="shared" si="11"/>
        <v>23</v>
      </c>
      <c r="R36" s="13">
        <f t="shared" si="11"/>
        <v>39</v>
      </c>
      <c r="S36" s="13">
        <f t="shared" si="11"/>
        <v>31</v>
      </c>
      <c r="T36" s="13">
        <f t="shared" si="11"/>
        <v>59</v>
      </c>
      <c r="U36" s="13">
        <f t="shared" si="10"/>
        <v>860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72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3"/>
      <c r="O38" s="13"/>
      <c r="P38" s="13"/>
      <c r="Q38" s="13"/>
      <c r="R38" s="13"/>
      <c r="S38" s="13"/>
      <c r="T38" s="13"/>
      <c r="U38" s="72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3">
        <f t="shared" ref="U39:U41" si="12">SUM(E39:T39)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10.0</v>
      </c>
      <c r="G45" s="19">
        <v>13.0</v>
      </c>
      <c r="H45" s="19">
        <v>17.0</v>
      </c>
      <c r="I45" s="19">
        <v>5.0</v>
      </c>
      <c r="J45" s="19">
        <v>13.0</v>
      </c>
      <c r="K45" s="19">
        <v>10.0</v>
      </c>
      <c r="L45" s="19">
        <v>6.0</v>
      </c>
      <c r="M45" s="19">
        <v>7.0</v>
      </c>
      <c r="N45" s="19">
        <v>7.0</v>
      </c>
      <c r="O45" s="19">
        <v>15.0</v>
      </c>
      <c r="P45" s="19">
        <v>4.0</v>
      </c>
      <c r="Q45" s="19">
        <v>7.0</v>
      </c>
      <c r="R45" s="19">
        <v>3.0</v>
      </c>
      <c r="S45" s="19">
        <v>4.0</v>
      </c>
      <c r="T45" s="19">
        <v>4.0</v>
      </c>
      <c r="U45" s="13">
        <f t="shared" ref="U45:U55" si="14">SUM(E45:T45)</f>
        <v>130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10.0</v>
      </c>
      <c r="F46" s="19">
        <v>13.0</v>
      </c>
      <c r="G46" s="19">
        <v>47.0</v>
      </c>
      <c r="H46" s="19">
        <v>67.0</v>
      </c>
      <c r="I46" s="19">
        <v>20.0</v>
      </c>
      <c r="J46" s="19">
        <v>15.0</v>
      </c>
      <c r="K46" s="19">
        <v>14.0</v>
      </c>
      <c r="L46" s="19">
        <v>21.0</v>
      </c>
      <c r="M46" s="19">
        <v>26.0</v>
      </c>
      <c r="N46" s="19">
        <v>11.0</v>
      </c>
      <c r="O46" s="19">
        <v>19.0</v>
      </c>
      <c r="P46" s="19">
        <v>27.0</v>
      </c>
      <c r="Q46" s="19">
        <v>15.0</v>
      </c>
      <c r="R46" s="19">
        <v>4.0</v>
      </c>
      <c r="S46" s="19">
        <v>5.0</v>
      </c>
      <c r="T46" s="19">
        <v>26.0</v>
      </c>
      <c r="U46" s="13">
        <f t="shared" si="14"/>
        <v>340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0.0</v>
      </c>
      <c r="G47" s="19">
        <v>2.0</v>
      </c>
      <c r="H47" s="19">
        <v>5.0</v>
      </c>
      <c r="I47" s="19">
        <v>3.0</v>
      </c>
      <c r="J47" s="19">
        <v>4.0</v>
      </c>
      <c r="K47" s="19">
        <v>1.0</v>
      </c>
      <c r="L47" s="19">
        <v>3.0</v>
      </c>
      <c r="M47" s="19">
        <v>1.0</v>
      </c>
      <c r="N47" s="19">
        <v>1.0</v>
      </c>
      <c r="O47" s="19">
        <v>1.0</v>
      </c>
      <c r="P47" s="19">
        <v>1.0</v>
      </c>
      <c r="Q47" s="19">
        <v>1.0</v>
      </c>
      <c r="R47" s="19">
        <v>1.0</v>
      </c>
      <c r="S47" s="19">
        <v>2.0</v>
      </c>
      <c r="T47" s="19">
        <v>0.0</v>
      </c>
      <c r="U47" s="13">
        <f t="shared" si="14"/>
        <v>26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1.0</v>
      </c>
      <c r="L48" s="19">
        <v>0.0</v>
      </c>
      <c r="M48" s="19">
        <v>0.0</v>
      </c>
      <c r="N48" s="19">
        <v>1.0</v>
      </c>
      <c r="O48" s="19">
        <v>1.0</v>
      </c>
      <c r="P48" s="19">
        <v>2.0</v>
      </c>
      <c r="Q48" s="19">
        <v>0.0</v>
      </c>
      <c r="R48" s="19">
        <v>0.0</v>
      </c>
      <c r="S48" s="19">
        <v>0.0</v>
      </c>
      <c r="T48" s="19">
        <v>0.0</v>
      </c>
      <c r="U48" s="13">
        <f t="shared" si="14"/>
        <v>7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10.0</v>
      </c>
      <c r="I49" s="19">
        <v>0.0</v>
      </c>
      <c r="J49" s="19">
        <v>4.0</v>
      </c>
      <c r="K49" s="19">
        <v>0.0</v>
      </c>
      <c r="L49" s="19">
        <v>3.0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3">
        <f t="shared" si="14"/>
        <v>19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1.0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1.0</v>
      </c>
      <c r="H51" s="19">
        <v>1.0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2.0</v>
      </c>
      <c r="G52" s="19">
        <v>0.0</v>
      </c>
      <c r="H52" s="19">
        <v>1.0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3">
        <f t="shared" si="14"/>
        <v>4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T55" si="15">SUM(E45:E52)</f>
        <v>18</v>
      </c>
      <c r="F55" s="13">
        <f t="shared" si="15"/>
        <v>26</v>
      </c>
      <c r="G55" s="13">
        <f t="shared" si="15"/>
        <v>64</v>
      </c>
      <c r="H55" s="13">
        <f t="shared" si="15"/>
        <v>101</v>
      </c>
      <c r="I55" s="13">
        <f t="shared" si="15"/>
        <v>28</v>
      </c>
      <c r="J55" s="13">
        <f t="shared" si="15"/>
        <v>38</v>
      </c>
      <c r="K55" s="13">
        <f t="shared" si="15"/>
        <v>29</v>
      </c>
      <c r="L55" s="13">
        <f t="shared" si="15"/>
        <v>33</v>
      </c>
      <c r="M55" s="13">
        <f t="shared" si="15"/>
        <v>34</v>
      </c>
      <c r="N55" s="13">
        <f t="shared" si="15"/>
        <v>20</v>
      </c>
      <c r="O55" s="13">
        <f t="shared" si="15"/>
        <v>36</v>
      </c>
      <c r="P55" s="13">
        <f t="shared" si="15"/>
        <v>34</v>
      </c>
      <c r="Q55" s="13">
        <f t="shared" si="15"/>
        <v>23</v>
      </c>
      <c r="R55" s="13">
        <f t="shared" si="15"/>
        <v>8</v>
      </c>
      <c r="S55" s="13">
        <f t="shared" si="15"/>
        <v>11</v>
      </c>
      <c r="T55" s="13">
        <f t="shared" si="15"/>
        <v>31</v>
      </c>
      <c r="U55" s="13">
        <f t="shared" si="14"/>
        <v>534</v>
      </c>
    </row>
    <row r="56" ht="12.75" customHeight="1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16.0</v>
      </c>
      <c r="F57" s="19">
        <v>8.0</v>
      </c>
      <c r="G57" s="19">
        <v>10.0</v>
      </c>
      <c r="H57" s="19">
        <v>7.0</v>
      </c>
      <c r="I57" s="19">
        <v>12.0</v>
      </c>
      <c r="J57" s="19">
        <v>9.0</v>
      </c>
      <c r="K57" s="19">
        <v>18.0</v>
      </c>
      <c r="L57" s="19">
        <v>6.0</v>
      </c>
      <c r="M57" s="19">
        <v>10.0</v>
      </c>
      <c r="N57" s="19">
        <v>9.0</v>
      </c>
      <c r="O57" s="19">
        <v>3.0</v>
      </c>
      <c r="P57" s="19">
        <v>9.0</v>
      </c>
      <c r="Q57" s="19">
        <v>15.0</v>
      </c>
      <c r="R57" s="19">
        <v>22.0</v>
      </c>
      <c r="S57" s="19">
        <v>8.0</v>
      </c>
      <c r="T57" s="19">
        <v>11.0</v>
      </c>
      <c r="U57" s="13">
        <f t="shared" ref="U57:U67" si="16">SUM(E57:T57)</f>
        <v>173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19.0</v>
      </c>
      <c r="F58" s="19">
        <v>19.0</v>
      </c>
      <c r="G58" s="19">
        <v>16.0</v>
      </c>
      <c r="H58" s="19">
        <v>6.0</v>
      </c>
      <c r="I58" s="19">
        <v>4.0</v>
      </c>
      <c r="J58" s="19">
        <v>9.0</v>
      </c>
      <c r="K58" s="19">
        <v>15.0</v>
      </c>
      <c r="L58" s="19">
        <v>7.0</v>
      </c>
      <c r="M58" s="19">
        <v>28.0</v>
      </c>
      <c r="N58" s="19">
        <v>2.0</v>
      </c>
      <c r="O58" s="19">
        <v>9.0</v>
      </c>
      <c r="P58" s="19">
        <v>8.0</v>
      </c>
      <c r="Q58" s="19">
        <v>8.0</v>
      </c>
      <c r="R58" s="19">
        <v>4.0</v>
      </c>
      <c r="S58" s="19">
        <v>3.0</v>
      </c>
      <c r="T58" s="19">
        <v>7.0</v>
      </c>
      <c r="U58" s="13">
        <f t="shared" si="16"/>
        <v>164</v>
      </c>
    </row>
    <row r="59" ht="12.75" customHeight="1">
      <c r="A59" s="18"/>
      <c r="B59" s="55">
        <v>2.0</v>
      </c>
      <c r="C59" s="50" t="s">
        <v>50</v>
      </c>
      <c r="D59" s="59"/>
      <c r="E59" s="19">
        <v>2.0</v>
      </c>
      <c r="F59" s="19">
        <v>7.0</v>
      </c>
      <c r="G59" s="19">
        <v>2.0</v>
      </c>
      <c r="H59" s="19">
        <v>2.0</v>
      </c>
      <c r="I59" s="19">
        <v>2.0</v>
      </c>
      <c r="J59" s="19">
        <v>3.0</v>
      </c>
      <c r="K59" s="19">
        <v>2.0</v>
      </c>
      <c r="L59" s="19">
        <v>2.0</v>
      </c>
      <c r="M59" s="19">
        <v>1.0</v>
      </c>
      <c r="N59" s="19">
        <v>4.0</v>
      </c>
      <c r="O59" s="19">
        <v>1.0</v>
      </c>
      <c r="P59" s="19">
        <v>2.0</v>
      </c>
      <c r="Q59" s="19">
        <v>4.0</v>
      </c>
      <c r="R59" s="19">
        <v>6.0</v>
      </c>
      <c r="S59" s="19">
        <v>0.0</v>
      </c>
      <c r="T59" s="19">
        <v>2.0</v>
      </c>
      <c r="U59" s="13">
        <f t="shared" si="16"/>
        <v>42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1.0</v>
      </c>
      <c r="G60" s="19">
        <v>0.0</v>
      </c>
      <c r="H60" s="19">
        <v>0.0</v>
      </c>
      <c r="I60" s="19">
        <v>1.0</v>
      </c>
      <c r="J60" s="19">
        <v>1.0</v>
      </c>
      <c r="K60" s="19">
        <v>0.0</v>
      </c>
      <c r="L60" s="19">
        <v>0.0</v>
      </c>
      <c r="M60" s="19">
        <v>1.0</v>
      </c>
      <c r="N60" s="19">
        <v>1.0</v>
      </c>
      <c r="O60" s="19">
        <v>0.0</v>
      </c>
      <c r="P60" s="19">
        <v>1.0</v>
      </c>
      <c r="Q60" s="19">
        <v>0.0</v>
      </c>
      <c r="R60" s="19">
        <v>0.0</v>
      </c>
      <c r="S60" s="19">
        <v>0.0</v>
      </c>
      <c r="T60" s="19">
        <v>0.0</v>
      </c>
      <c r="U60" s="13">
        <f t="shared" si="16"/>
        <v>7</v>
      </c>
    </row>
    <row r="61" ht="12.75" customHeight="1">
      <c r="A61" s="18"/>
      <c r="B61" s="55">
        <v>4.0</v>
      </c>
      <c r="C61" s="50" t="s">
        <v>52</v>
      </c>
      <c r="D61" s="59"/>
      <c r="E61" s="19">
        <v>2.0</v>
      </c>
      <c r="F61" s="19">
        <v>1.0</v>
      </c>
      <c r="G61" s="19">
        <v>0.0</v>
      </c>
      <c r="H61" s="19">
        <v>3.0</v>
      </c>
      <c r="I61" s="19">
        <v>0.0</v>
      </c>
      <c r="J61" s="19">
        <v>2.0</v>
      </c>
      <c r="K61" s="19">
        <v>0.0</v>
      </c>
      <c r="L61" s="19">
        <v>1.0</v>
      </c>
      <c r="M61" s="19">
        <v>1.0</v>
      </c>
      <c r="N61" s="19">
        <v>0.0</v>
      </c>
      <c r="O61" s="19">
        <v>1.0</v>
      </c>
      <c r="P61" s="19">
        <v>0.0</v>
      </c>
      <c r="Q61" s="19">
        <v>1.0</v>
      </c>
      <c r="R61" s="19">
        <v>0.0</v>
      </c>
      <c r="S61" s="19">
        <v>0.0</v>
      </c>
      <c r="T61" s="19">
        <v>0.0</v>
      </c>
      <c r="U61" s="13">
        <f t="shared" si="16"/>
        <v>12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2.0</v>
      </c>
      <c r="G63" s="19">
        <v>0.0</v>
      </c>
      <c r="H63" s="19">
        <v>2.0</v>
      </c>
      <c r="I63" s="19">
        <v>2.0</v>
      </c>
      <c r="J63" s="19">
        <v>2.0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1.0</v>
      </c>
      <c r="Q63" s="19">
        <v>1.0</v>
      </c>
      <c r="R63" s="19">
        <v>0.0</v>
      </c>
      <c r="S63" s="19">
        <v>0.0</v>
      </c>
      <c r="T63" s="19">
        <v>0.0</v>
      </c>
      <c r="U63" s="13">
        <f t="shared" si="16"/>
        <v>11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1.0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3">
        <f t="shared" si="16"/>
        <v>3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T67" si="17">SUM(E57:E64)</f>
        <v>41</v>
      </c>
      <c r="F67" s="13">
        <f t="shared" si="17"/>
        <v>40</v>
      </c>
      <c r="G67" s="13">
        <f t="shared" si="17"/>
        <v>28</v>
      </c>
      <c r="H67" s="13">
        <f t="shared" si="17"/>
        <v>20</v>
      </c>
      <c r="I67" s="13">
        <f t="shared" si="17"/>
        <v>21</v>
      </c>
      <c r="J67" s="13">
        <f t="shared" si="17"/>
        <v>26</v>
      </c>
      <c r="K67" s="13">
        <f t="shared" si="17"/>
        <v>35</v>
      </c>
      <c r="L67" s="13">
        <f t="shared" si="17"/>
        <v>18</v>
      </c>
      <c r="M67" s="13">
        <f t="shared" si="17"/>
        <v>41</v>
      </c>
      <c r="N67" s="13">
        <f t="shared" si="17"/>
        <v>17</v>
      </c>
      <c r="O67" s="13">
        <f t="shared" si="17"/>
        <v>14</v>
      </c>
      <c r="P67" s="13">
        <f t="shared" si="17"/>
        <v>21</v>
      </c>
      <c r="Q67" s="13">
        <f t="shared" si="17"/>
        <v>29</v>
      </c>
      <c r="R67" s="13">
        <f t="shared" si="17"/>
        <v>32</v>
      </c>
      <c r="S67" s="13">
        <f t="shared" si="17"/>
        <v>11</v>
      </c>
      <c r="T67" s="13">
        <f t="shared" si="17"/>
        <v>21</v>
      </c>
      <c r="U67" s="13">
        <f t="shared" si="16"/>
        <v>415</v>
      </c>
    </row>
    <row r="68" ht="12.75" customHeight="1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13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7.0</v>
      </c>
      <c r="F69" s="19">
        <v>14.0</v>
      </c>
      <c r="G69" s="19">
        <v>4.0</v>
      </c>
      <c r="H69" s="19">
        <v>3.0</v>
      </c>
      <c r="I69" s="19">
        <v>18.0</v>
      </c>
      <c r="J69" s="19">
        <v>11.0</v>
      </c>
      <c r="K69" s="19">
        <v>15.0</v>
      </c>
      <c r="L69" s="19">
        <v>10.0</v>
      </c>
      <c r="M69" s="19">
        <v>9.0</v>
      </c>
      <c r="N69" s="19">
        <v>15.0</v>
      </c>
      <c r="O69" s="19">
        <v>4.0</v>
      </c>
      <c r="P69" s="19">
        <v>3.0</v>
      </c>
      <c r="Q69" s="19">
        <v>15.0</v>
      </c>
      <c r="R69" s="19">
        <v>14.0</v>
      </c>
      <c r="S69" s="19">
        <v>9.0</v>
      </c>
      <c r="T69" s="19">
        <v>17.0</v>
      </c>
      <c r="U69" s="13">
        <f t="shared" ref="U69:U79" si="18">SUM(E69:T69)</f>
        <v>168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14.0</v>
      </c>
      <c r="F70" s="19">
        <v>9.0</v>
      </c>
      <c r="G70" s="19">
        <v>10.0</v>
      </c>
      <c r="H70" s="19">
        <v>11.0</v>
      </c>
      <c r="I70" s="19">
        <v>30.0</v>
      </c>
      <c r="J70" s="19">
        <v>61.0</v>
      </c>
      <c r="K70" s="19">
        <v>28.0</v>
      </c>
      <c r="L70" s="19">
        <v>41.0</v>
      </c>
      <c r="M70" s="19">
        <v>55.0</v>
      </c>
      <c r="N70" s="19">
        <v>20.0</v>
      </c>
      <c r="O70" s="19">
        <v>5.0</v>
      </c>
      <c r="P70" s="19">
        <v>9.0</v>
      </c>
      <c r="Q70" s="19">
        <v>86.0</v>
      </c>
      <c r="R70" s="19">
        <v>24.0</v>
      </c>
      <c r="S70" s="19">
        <v>6.0</v>
      </c>
      <c r="T70" s="19">
        <v>15.0</v>
      </c>
      <c r="U70" s="13">
        <f t="shared" si="18"/>
        <v>424</v>
      </c>
    </row>
    <row r="71" ht="12.75" customHeight="1">
      <c r="A71" s="18"/>
      <c r="B71" s="55">
        <v>2.0</v>
      </c>
      <c r="C71" s="50" t="s">
        <v>58</v>
      </c>
      <c r="D71" s="60"/>
      <c r="E71" s="19">
        <v>7.0</v>
      </c>
      <c r="F71" s="19">
        <v>9.0</v>
      </c>
      <c r="G71" s="19">
        <v>8.0</v>
      </c>
      <c r="H71" s="19">
        <v>4.0</v>
      </c>
      <c r="I71" s="19">
        <v>9.0</v>
      </c>
      <c r="J71" s="19">
        <v>12.0</v>
      </c>
      <c r="K71" s="19">
        <v>6.0</v>
      </c>
      <c r="L71" s="19">
        <v>7.0</v>
      </c>
      <c r="M71" s="19">
        <v>12.0</v>
      </c>
      <c r="N71" s="19">
        <v>10.0</v>
      </c>
      <c r="O71" s="19">
        <v>1.0</v>
      </c>
      <c r="P71" s="19">
        <v>2.0</v>
      </c>
      <c r="Q71" s="19">
        <v>2.0</v>
      </c>
      <c r="R71" s="19">
        <v>4.0</v>
      </c>
      <c r="S71" s="19">
        <v>4.0</v>
      </c>
      <c r="T71" s="19">
        <v>5.0</v>
      </c>
      <c r="U71" s="13">
        <f t="shared" si="18"/>
        <v>102</v>
      </c>
    </row>
    <row r="72" ht="12.75" customHeight="1">
      <c r="A72" s="18"/>
      <c r="B72" s="55">
        <v>3.0</v>
      </c>
      <c r="C72" s="50" t="s">
        <v>59</v>
      </c>
      <c r="D72" s="60"/>
      <c r="E72" s="19">
        <v>6.0</v>
      </c>
      <c r="F72" s="19">
        <v>20.0</v>
      </c>
      <c r="G72" s="19">
        <v>8.0</v>
      </c>
      <c r="H72" s="19">
        <v>6.0</v>
      </c>
      <c r="I72" s="19">
        <v>15.0</v>
      </c>
      <c r="J72" s="19">
        <v>26.0</v>
      </c>
      <c r="K72" s="19">
        <v>28.0</v>
      </c>
      <c r="L72" s="19">
        <v>10.0</v>
      </c>
      <c r="M72" s="19">
        <v>14.0</v>
      </c>
      <c r="N72" s="19">
        <v>14.0</v>
      </c>
      <c r="O72" s="19">
        <v>1.0</v>
      </c>
      <c r="P72" s="19">
        <v>0.0</v>
      </c>
      <c r="Q72" s="19">
        <v>3.0</v>
      </c>
      <c r="R72" s="19">
        <v>22.0</v>
      </c>
      <c r="S72" s="19">
        <v>10.0</v>
      </c>
      <c r="T72" s="19">
        <v>48.0</v>
      </c>
      <c r="U72" s="13">
        <f t="shared" si="18"/>
        <v>231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1.0</v>
      </c>
      <c r="H73" s="19">
        <v>0.0</v>
      </c>
      <c r="I73" s="19">
        <v>0.0</v>
      </c>
      <c r="J73" s="19">
        <v>1.0</v>
      </c>
      <c r="K73" s="19">
        <v>0.0</v>
      </c>
      <c r="L73" s="19">
        <v>0.0</v>
      </c>
      <c r="M73" s="19">
        <v>2.0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9">
        <v>1.0</v>
      </c>
      <c r="U73" s="13">
        <f t="shared" si="18"/>
        <v>6</v>
      </c>
    </row>
    <row r="74" ht="12.75" customHeight="1">
      <c r="A74" s="18"/>
      <c r="B74" s="55">
        <v>5.0</v>
      </c>
      <c r="C74" s="50" t="s">
        <v>61</v>
      </c>
      <c r="D74" s="60"/>
      <c r="E74" s="19">
        <v>16.0</v>
      </c>
      <c r="F74" s="19">
        <v>11.0</v>
      </c>
      <c r="G74" s="19">
        <v>4.0</v>
      </c>
      <c r="H74" s="19">
        <v>12.0</v>
      </c>
      <c r="I74" s="19">
        <v>13.0</v>
      </c>
      <c r="J74" s="19">
        <v>3.0</v>
      </c>
      <c r="K74" s="19">
        <v>9.0</v>
      </c>
      <c r="L74" s="19">
        <v>12.0</v>
      </c>
      <c r="M74" s="19">
        <v>2.0</v>
      </c>
      <c r="N74" s="19">
        <v>1.0</v>
      </c>
      <c r="O74" s="19">
        <v>3.0</v>
      </c>
      <c r="P74" s="19">
        <v>1.0</v>
      </c>
      <c r="Q74" s="19">
        <v>0.0</v>
      </c>
      <c r="R74" s="19">
        <v>2.0</v>
      </c>
      <c r="S74" s="19">
        <v>3.0</v>
      </c>
      <c r="T74" s="19">
        <v>7.0</v>
      </c>
      <c r="U74" s="13">
        <f t="shared" si="18"/>
        <v>99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60"/>
      <c r="E76" s="19">
        <v>6.0</v>
      </c>
      <c r="F76" s="19">
        <v>1.0</v>
      </c>
      <c r="G76" s="19">
        <v>0.0</v>
      </c>
      <c r="H76" s="19">
        <v>1.0</v>
      </c>
      <c r="I76" s="19">
        <v>5.0</v>
      </c>
      <c r="J76" s="19">
        <v>1.0</v>
      </c>
      <c r="K76" s="19">
        <v>1.0</v>
      </c>
      <c r="L76" s="19">
        <v>2.0</v>
      </c>
      <c r="M76" s="19">
        <v>0.0</v>
      </c>
      <c r="N76" s="19">
        <v>0.0</v>
      </c>
      <c r="O76" s="19">
        <v>1.0</v>
      </c>
      <c r="P76" s="19">
        <v>0.0</v>
      </c>
      <c r="Q76" s="19">
        <v>2.0</v>
      </c>
      <c r="R76" s="19">
        <v>0.0</v>
      </c>
      <c r="S76" s="19">
        <v>0.0</v>
      </c>
      <c r="T76" s="19">
        <v>2.0</v>
      </c>
      <c r="U76" s="13">
        <f t="shared" si="18"/>
        <v>22</v>
      </c>
    </row>
    <row r="77" ht="12.75" customHeight="1">
      <c r="A77" s="18"/>
      <c r="B77" s="56"/>
      <c r="C77" s="57"/>
      <c r="D77" s="6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3">
        <f t="shared" si="18"/>
        <v>0</v>
      </c>
    </row>
    <row r="78" ht="12.75" customHeight="1">
      <c r="A78" s="18"/>
      <c r="B78" s="56"/>
      <c r="C78" s="57"/>
      <c r="D78" s="6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T79" si="19">SUM(E69:E76)</f>
        <v>57</v>
      </c>
      <c r="F79" s="13">
        <f t="shared" si="19"/>
        <v>64</v>
      </c>
      <c r="G79" s="13">
        <f t="shared" si="19"/>
        <v>35</v>
      </c>
      <c r="H79" s="13">
        <f t="shared" si="19"/>
        <v>37</v>
      </c>
      <c r="I79" s="13">
        <f t="shared" si="19"/>
        <v>91</v>
      </c>
      <c r="J79" s="13">
        <f t="shared" si="19"/>
        <v>115</v>
      </c>
      <c r="K79" s="13">
        <f t="shared" si="19"/>
        <v>87</v>
      </c>
      <c r="L79" s="13">
        <f t="shared" si="19"/>
        <v>83</v>
      </c>
      <c r="M79" s="13">
        <f t="shared" si="19"/>
        <v>94</v>
      </c>
      <c r="N79" s="13">
        <f t="shared" si="19"/>
        <v>60</v>
      </c>
      <c r="O79" s="13">
        <f t="shared" si="19"/>
        <v>15</v>
      </c>
      <c r="P79" s="13">
        <f t="shared" si="19"/>
        <v>15</v>
      </c>
      <c r="Q79" s="13">
        <f t="shared" si="19"/>
        <v>109</v>
      </c>
      <c r="R79" s="13">
        <f t="shared" si="19"/>
        <v>66</v>
      </c>
      <c r="S79" s="13">
        <f t="shared" si="19"/>
        <v>32</v>
      </c>
      <c r="T79" s="13">
        <f t="shared" si="19"/>
        <v>95</v>
      </c>
      <c r="U79" s="13">
        <f t="shared" si="18"/>
        <v>1055</v>
      </c>
    </row>
    <row r="80" ht="12.75" customHeight="1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13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6.0</v>
      </c>
      <c r="G81" s="19">
        <v>10.0</v>
      </c>
      <c r="H81" s="19">
        <v>11.0</v>
      </c>
      <c r="I81" s="19">
        <v>9.0</v>
      </c>
      <c r="J81" s="19">
        <v>0.0</v>
      </c>
      <c r="K81" s="19">
        <v>7.0</v>
      </c>
      <c r="L81" s="19">
        <v>9.0</v>
      </c>
      <c r="M81" s="19">
        <v>6.0</v>
      </c>
      <c r="N81" s="19">
        <v>9.0</v>
      </c>
      <c r="O81" s="19">
        <v>10.0</v>
      </c>
      <c r="P81" s="19">
        <v>6.0</v>
      </c>
      <c r="Q81" s="19">
        <v>3.0</v>
      </c>
      <c r="R81" s="19">
        <v>16.0</v>
      </c>
      <c r="S81" s="19">
        <v>8.0</v>
      </c>
      <c r="T81" s="19">
        <v>2.0</v>
      </c>
      <c r="U81" s="13">
        <f t="shared" ref="U81:U91" si="20">SUM(E81:T81)</f>
        <v>115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4.0</v>
      </c>
      <c r="F82" s="19">
        <v>2.0</v>
      </c>
      <c r="G82" s="19">
        <v>19.0</v>
      </c>
      <c r="H82" s="19">
        <v>14.0</v>
      </c>
      <c r="I82" s="19">
        <v>3.0</v>
      </c>
      <c r="J82" s="19">
        <v>9.0</v>
      </c>
      <c r="K82" s="19">
        <v>18.0</v>
      </c>
      <c r="L82" s="19">
        <v>13.0</v>
      </c>
      <c r="M82" s="19">
        <v>1.0</v>
      </c>
      <c r="N82" s="19">
        <v>7.0</v>
      </c>
      <c r="O82" s="19">
        <v>52.0</v>
      </c>
      <c r="P82" s="19">
        <v>25.0</v>
      </c>
      <c r="Q82" s="19">
        <v>4.0</v>
      </c>
      <c r="R82" s="19">
        <v>4.0</v>
      </c>
      <c r="S82" s="19">
        <v>10.0</v>
      </c>
      <c r="T82" s="19">
        <v>8.0</v>
      </c>
      <c r="U82" s="13">
        <f t="shared" si="20"/>
        <v>193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1.0</v>
      </c>
      <c r="G83" s="19">
        <v>8.0</v>
      </c>
      <c r="H83" s="19">
        <v>10.0</v>
      </c>
      <c r="I83" s="19">
        <v>11.0</v>
      </c>
      <c r="J83" s="19">
        <v>1.0</v>
      </c>
      <c r="K83" s="19">
        <v>2.0</v>
      </c>
      <c r="L83" s="19">
        <v>5.0</v>
      </c>
      <c r="M83" s="19">
        <v>3.0</v>
      </c>
      <c r="N83" s="19">
        <v>11.0</v>
      </c>
      <c r="O83" s="19">
        <v>7.0</v>
      </c>
      <c r="P83" s="19">
        <v>1.0</v>
      </c>
      <c r="Q83" s="19">
        <v>6.0</v>
      </c>
      <c r="R83" s="19">
        <v>10.0</v>
      </c>
      <c r="S83" s="19">
        <v>2.0</v>
      </c>
      <c r="T83" s="19">
        <v>3.0</v>
      </c>
      <c r="U83" s="13">
        <f t="shared" si="20"/>
        <v>81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0.0</v>
      </c>
      <c r="G84" s="19">
        <v>2.0</v>
      </c>
      <c r="H84" s="19">
        <v>0.0</v>
      </c>
      <c r="I84" s="19">
        <v>2.0</v>
      </c>
      <c r="J84" s="19">
        <v>0.0</v>
      </c>
      <c r="K84" s="19">
        <v>0.0</v>
      </c>
      <c r="L84" s="19">
        <v>2.0</v>
      </c>
      <c r="M84" s="19">
        <v>0.0</v>
      </c>
      <c r="N84" s="19">
        <v>3.0</v>
      </c>
      <c r="O84" s="19">
        <v>0.0</v>
      </c>
      <c r="P84" s="19">
        <v>1.0</v>
      </c>
      <c r="Q84" s="19">
        <v>2.0</v>
      </c>
      <c r="R84" s="19">
        <v>1.0</v>
      </c>
      <c r="S84" s="19">
        <v>1.0</v>
      </c>
      <c r="T84" s="19">
        <v>0.0</v>
      </c>
      <c r="U84" s="13">
        <f t="shared" si="20"/>
        <v>15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3.0</v>
      </c>
      <c r="G85" s="19">
        <v>4.0</v>
      </c>
      <c r="H85" s="19">
        <v>0.0</v>
      </c>
      <c r="I85" s="19">
        <v>2.0</v>
      </c>
      <c r="J85" s="19">
        <v>1.0</v>
      </c>
      <c r="K85" s="19">
        <v>1.0</v>
      </c>
      <c r="L85" s="19">
        <v>0.0</v>
      </c>
      <c r="M85" s="19">
        <v>0.0</v>
      </c>
      <c r="N85" s="19">
        <v>2.0</v>
      </c>
      <c r="O85" s="19">
        <v>0.0</v>
      </c>
      <c r="P85" s="19">
        <v>1.0</v>
      </c>
      <c r="Q85" s="19">
        <v>0.0</v>
      </c>
      <c r="R85" s="19">
        <v>1.0</v>
      </c>
      <c r="S85" s="19">
        <v>0.0</v>
      </c>
      <c r="T85" s="19">
        <v>1.0</v>
      </c>
      <c r="U85" s="13">
        <f t="shared" si="20"/>
        <v>16</v>
      </c>
    </row>
    <row r="86" ht="12.75" customHeight="1">
      <c r="A86" s="18"/>
      <c r="B86" s="55">
        <v>5.0</v>
      </c>
      <c r="C86" s="50" t="s">
        <v>69</v>
      </c>
      <c r="D86" s="60"/>
      <c r="E86" s="19">
        <v>2.0</v>
      </c>
      <c r="F86" s="19">
        <v>0.0</v>
      </c>
      <c r="G86" s="19">
        <v>0.0</v>
      </c>
      <c r="H86" s="19">
        <v>0.0</v>
      </c>
      <c r="I86" s="19">
        <v>0.0</v>
      </c>
      <c r="J86" s="19">
        <v>2.0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1.0</v>
      </c>
      <c r="T86" s="19">
        <v>1.0</v>
      </c>
      <c r="U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1.0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60"/>
      <c r="E88" s="19">
        <v>2.0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3">
        <f t="shared" si="20"/>
        <v>2</v>
      </c>
    </row>
    <row r="89" ht="12.75" customHeight="1">
      <c r="A89" s="18"/>
      <c r="B89" s="56"/>
      <c r="C89" s="57"/>
      <c r="D89" s="6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3">
        <f t="shared" si="20"/>
        <v>0</v>
      </c>
    </row>
    <row r="90" ht="12.75" customHeight="1">
      <c r="A90" s="18"/>
      <c r="B90" s="56"/>
      <c r="C90" s="57"/>
      <c r="D90" s="6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T91" si="21">SUM(E81:E88)</f>
        <v>12</v>
      </c>
      <c r="F91" s="13">
        <f t="shared" si="21"/>
        <v>12</v>
      </c>
      <c r="G91" s="13">
        <f t="shared" si="21"/>
        <v>44</v>
      </c>
      <c r="H91" s="13">
        <f t="shared" si="21"/>
        <v>35</v>
      </c>
      <c r="I91" s="13">
        <f t="shared" si="21"/>
        <v>28</v>
      </c>
      <c r="J91" s="13">
        <f t="shared" si="21"/>
        <v>13</v>
      </c>
      <c r="K91" s="13">
        <f t="shared" si="21"/>
        <v>28</v>
      </c>
      <c r="L91" s="13">
        <f t="shared" si="21"/>
        <v>29</v>
      </c>
      <c r="M91" s="13">
        <f t="shared" si="21"/>
        <v>10</v>
      </c>
      <c r="N91" s="13">
        <f t="shared" si="21"/>
        <v>33</v>
      </c>
      <c r="O91" s="13">
        <f t="shared" si="21"/>
        <v>69</v>
      </c>
      <c r="P91" s="13">
        <f t="shared" si="21"/>
        <v>34</v>
      </c>
      <c r="Q91" s="13">
        <f t="shared" si="21"/>
        <v>15</v>
      </c>
      <c r="R91" s="13">
        <f t="shared" si="21"/>
        <v>32</v>
      </c>
      <c r="S91" s="13">
        <f t="shared" si="21"/>
        <v>22</v>
      </c>
      <c r="T91" s="13">
        <f t="shared" si="21"/>
        <v>15</v>
      </c>
      <c r="U91" s="13">
        <f t="shared" si="20"/>
        <v>431</v>
      </c>
    </row>
    <row r="92" ht="12.75" customHeight="1">
      <c r="A92" s="74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13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5.0</v>
      </c>
      <c r="F93" s="19">
        <v>3.0</v>
      </c>
      <c r="G93" s="19">
        <v>1.0</v>
      </c>
      <c r="H93" s="19">
        <v>0.0</v>
      </c>
      <c r="I93" s="19">
        <v>2.0</v>
      </c>
      <c r="J93" s="19">
        <v>1.0</v>
      </c>
      <c r="K93" s="19">
        <v>3.0</v>
      </c>
      <c r="L93" s="19">
        <v>1.0</v>
      </c>
      <c r="M93" s="19">
        <v>0.0</v>
      </c>
      <c r="N93" s="19">
        <v>3.0</v>
      </c>
      <c r="O93" s="19">
        <v>3.0</v>
      </c>
      <c r="P93" s="19">
        <v>4.0</v>
      </c>
      <c r="Q93" s="19">
        <v>0.0</v>
      </c>
      <c r="R93" s="19">
        <v>0.0</v>
      </c>
      <c r="S93" s="19">
        <v>1.0</v>
      </c>
      <c r="T93" s="19">
        <v>0.0</v>
      </c>
      <c r="U93" s="13">
        <f t="shared" ref="U93:U103" si="22">SUM(E93:T93)</f>
        <v>27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2.0</v>
      </c>
      <c r="G94" s="19">
        <v>3.0</v>
      </c>
      <c r="H94" s="19">
        <v>2.0</v>
      </c>
      <c r="I94" s="19">
        <v>1.0</v>
      </c>
      <c r="J94" s="19">
        <v>2.0</v>
      </c>
      <c r="K94" s="19">
        <v>0.0</v>
      </c>
      <c r="L94" s="19">
        <v>1.0</v>
      </c>
      <c r="M94" s="19">
        <v>0.0</v>
      </c>
      <c r="N94" s="19">
        <v>1.0</v>
      </c>
      <c r="O94" s="19">
        <v>21.0</v>
      </c>
      <c r="P94" s="19">
        <v>37.0</v>
      </c>
      <c r="Q94" s="19">
        <v>0.0</v>
      </c>
      <c r="R94" s="19">
        <v>1.0</v>
      </c>
      <c r="S94" s="19">
        <v>1.0</v>
      </c>
      <c r="T94" s="19">
        <v>1.0</v>
      </c>
      <c r="U94" s="13">
        <f t="shared" si="22"/>
        <v>74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4.0</v>
      </c>
      <c r="G95" s="19">
        <v>7.0</v>
      </c>
      <c r="H95" s="19">
        <v>9.0</v>
      </c>
      <c r="I95" s="19">
        <v>1.0</v>
      </c>
      <c r="J95" s="19">
        <v>6.0</v>
      </c>
      <c r="K95" s="19">
        <v>2.0</v>
      </c>
      <c r="L95" s="19">
        <v>26.0</v>
      </c>
      <c r="M95" s="19">
        <v>3.0</v>
      </c>
      <c r="N95" s="19">
        <v>31.0</v>
      </c>
      <c r="O95" s="19">
        <v>2.0</v>
      </c>
      <c r="P95" s="19">
        <v>0.0</v>
      </c>
      <c r="Q95" s="19">
        <v>1.0</v>
      </c>
      <c r="R95" s="19">
        <v>0.0</v>
      </c>
      <c r="S95" s="19">
        <v>0.0</v>
      </c>
      <c r="T95" s="19">
        <v>1.0</v>
      </c>
      <c r="U95" s="13">
        <f t="shared" si="22"/>
        <v>93</v>
      </c>
    </row>
    <row r="96" ht="12.75" customHeight="1">
      <c r="A96" s="18"/>
      <c r="B96" s="55">
        <v>3.0</v>
      </c>
      <c r="C96" s="50" t="s">
        <v>76</v>
      </c>
      <c r="D96" s="60"/>
      <c r="E96" s="19">
        <v>2.0</v>
      </c>
      <c r="F96" s="19">
        <v>2.0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1.0</v>
      </c>
      <c r="T96" s="19">
        <v>0.0</v>
      </c>
      <c r="U96" s="13">
        <f t="shared" si="22"/>
        <v>7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3">
        <f t="shared" si="22"/>
        <v>0</v>
      </c>
    </row>
    <row r="98" ht="12.75" customHeight="1">
      <c r="A98" s="18"/>
      <c r="B98" s="55">
        <v>5.0</v>
      </c>
      <c r="C98" s="50" t="s">
        <v>78</v>
      </c>
      <c r="D98" s="60"/>
      <c r="E98" s="19">
        <v>2.0</v>
      </c>
      <c r="F98" s="19">
        <v>2.0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3">
        <f t="shared" si="22"/>
        <v>6</v>
      </c>
    </row>
    <row r="99" ht="12.75" customHeight="1">
      <c r="A99" s="18"/>
      <c r="B99" s="55">
        <v>6.0</v>
      </c>
      <c r="C99" s="50" t="s">
        <v>79</v>
      </c>
      <c r="D99" s="60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3">
        <f t="shared" si="22"/>
        <v>0</v>
      </c>
    </row>
    <row r="101" ht="12.75" customHeight="1">
      <c r="A101" s="18"/>
      <c r="B101" s="56"/>
      <c r="C101" s="57"/>
      <c r="D101" s="6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3">
        <f t="shared" si="22"/>
        <v>0</v>
      </c>
    </row>
    <row r="102" ht="12.75" customHeight="1">
      <c r="A102" s="18"/>
      <c r="B102" s="56"/>
      <c r="C102" s="57"/>
      <c r="D102" s="6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23">SUM(E93:E100)</f>
        <v>11</v>
      </c>
      <c r="F103" s="13">
        <f t="shared" si="23"/>
        <v>13</v>
      </c>
      <c r="G103" s="13">
        <f t="shared" si="23"/>
        <v>12</v>
      </c>
      <c r="H103" s="13">
        <f t="shared" si="23"/>
        <v>11</v>
      </c>
      <c r="I103" s="13">
        <f t="shared" si="23"/>
        <v>4</v>
      </c>
      <c r="J103" s="13">
        <f t="shared" si="23"/>
        <v>9</v>
      </c>
      <c r="K103" s="13">
        <f t="shared" si="23"/>
        <v>5</v>
      </c>
      <c r="L103" s="13">
        <f t="shared" si="23"/>
        <v>29</v>
      </c>
      <c r="M103" s="13">
        <f t="shared" si="23"/>
        <v>4</v>
      </c>
      <c r="N103" s="13">
        <f t="shared" si="23"/>
        <v>36</v>
      </c>
      <c r="O103" s="13">
        <f t="shared" si="23"/>
        <v>26</v>
      </c>
      <c r="P103" s="13">
        <f t="shared" si="23"/>
        <v>42</v>
      </c>
      <c r="Q103" s="13">
        <f t="shared" si="23"/>
        <v>1</v>
      </c>
      <c r="R103" s="13">
        <f t="shared" si="23"/>
        <v>1</v>
      </c>
      <c r="S103" s="13">
        <f t="shared" si="23"/>
        <v>3</v>
      </c>
      <c r="T103" s="13">
        <f t="shared" si="23"/>
        <v>2</v>
      </c>
      <c r="U103" s="13">
        <f t="shared" si="22"/>
        <v>209</v>
      </c>
    </row>
    <row r="104" ht="12.75" customHeight="1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13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3">
        <f t="shared" ref="U105:U115" si="24">SUM(E105:T105)</f>
        <v>1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2.0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3">
        <f t="shared" si="24"/>
        <v>3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3">
        <f t="shared" si="24"/>
        <v>0</v>
      </c>
    </row>
    <row r="113" ht="12.75" customHeight="1">
      <c r="A113" s="18"/>
      <c r="B113" s="56"/>
      <c r="C113" s="57"/>
      <c r="D113" s="6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3">
        <f t="shared" si="24"/>
        <v>0</v>
      </c>
    </row>
    <row r="114" ht="12.75" customHeight="1">
      <c r="A114" s="18"/>
      <c r="B114" s="56"/>
      <c r="C114" s="57"/>
      <c r="D114" s="6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T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2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4"/>
        <v>4</v>
      </c>
    </row>
    <row r="116" ht="12.75" customHeight="1">
      <c r="A116" s="76"/>
      <c r="B116" s="77"/>
      <c r="C116" s="77"/>
      <c r="D116" s="77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2.0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1.0</v>
      </c>
      <c r="M117" s="19">
        <v>0.0</v>
      </c>
      <c r="N117" s="19">
        <v>0.0</v>
      </c>
      <c r="O117" s="19">
        <v>1.0</v>
      </c>
      <c r="P117" s="19">
        <v>2.0</v>
      </c>
      <c r="Q117" s="19">
        <v>1.0</v>
      </c>
      <c r="R117" s="19">
        <v>0.0</v>
      </c>
      <c r="S117" s="19">
        <v>0.0</v>
      </c>
      <c r="T117" s="19">
        <v>2.0</v>
      </c>
      <c r="U117" s="13">
        <f t="shared" ref="U117:U127" si="26">SUM(E117:T117)</f>
        <v>12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1.0</v>
      </c>
      <c r="Q119" s="19">
        <v>0.0</v>
      </c>
      <c r="R119" s="19">
        <v>0.0</v>
      </c>
      <c r="S119" s="19">
        <v>0.0</v>
      </c>
      <c r="T119" s="19">
        <v>0.0</v>
      </c>
      <c r="U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3">
        <f t="shared" si="26"/>
        <v>1</v>
      </c>
    </row>
    <row r="121" ht="12.75" customHeight="1">
      <c r="A121" s="18"/>
      <c r="B121" s="56"/>
      <c r="C121" s="57"/>
      <c r="D121" s="61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13">
        <f t="shared" si="26"/>
        <v>0</v>
      </c>
    </row>
    <row r="122" ht="12.75" customHeight="1">
      <c r="A122" s="18"/>
      <c r="B122" s="56"/>
      <c r="C122" s="57"/>
      <c r="D122" s="61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13">
        <f t="shared" si="26"/>
        <v>0</v>
      </c>
    </row>
    <row r="123" ht="12.75" customHeight="1">
      <c r="A123" s="18"/>
      <c r="B123" s="56"/>
      <c r="C123" s="57"/>
      <c r="D123" s="6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13">
        <f t="shared" si="26"/>
        <v>0</v>
      </c>
    </row>
    <row r="124" ht="12.75" customHeight="1">
      <c r="A124" s="18"/>
      <c r="B124" s="56"/>
      <c r="C124" s="57"/>
      <c r="D124" s="6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13">
        <f t="shared" si="26"/>
        <v>0</v>
      </c>
    </row>
    <row r="125" ht="12.75" customHeight="1">
      <c r="A125" s="18"/>
      <c r="B125" s="56"/>
      <c r="C125" s="57"/>
      <c r="D125" s="6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13">
        <f t="shared" si="26"/>
        <v>0</v>
      </c>
    </row>
    <row r="126" ht="12.75" customHeight="1">
      <c r="A126" s="18"/>
      <c r="B126" s="56"/>
      <c r="C126" s="57"/>
      <c r="D126" s="6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62">
        <f t="shared" ref="E127:T127" si="27">SUM(E117:E120)</f>
        <v>2</v>
      </c>
      <c r="F127" s="62">
        <f t="shared" si="27"/>
        <v>2</v>
      </c>
      <c r="G127" s="62">
        <f t="shared" si="27"/>
        <v>2</v>
      </c>
      <c r="H127" s="62">
        <f t="shared" si="27"/>
        <v>0</v>
      </c>
      <c r="I127" s="62">
        <f t="shared" si="27"/>
        <v>0</v>
      </c>
      <c r="J127" s="62">
        <f t="shared" si="27"/>
        <v>0</v>
      </c>
      <c r="K127" s="62">
        <f t="shared" si="27"/>
        <v>0</v>
      </c>
      <c r="L127" s="62">
        <f t="shared" si="27"/>
        <v>1</v>
      </c>
      <c r="M127" s="62">
        <f t="shared" si="27"/>
        <v>0</v>
      </c>
      <c r="N127" s="62">
        <f t="shared" si="27"/>
        <v>0</v>
      </c>
      <c r="O127" s="62">
        <f t="shared" si="27"/>
        <v>1</v>
      </c>
      <c r="P127" s="62">
        <f t="shared" si="27"/>
        <v>3</v>
      </c>
      <c r="Q127" s="62">
        <f t="shared" si="27"/>
        <v>1</v>
      </c>
      <c r="R127" s="62">
        <f t="shared" si="27"/>
        <v>1</v>
      </c>
      <c r="S127" s="62">
        <f t="shared" si="27"/>
        <v>0</v>
      </c>
      <c r="T127" s="62">
        <f t="shared" si="27"/>
        <v>2</v>
      </c>
      <c r="U127" s="13">
        <f t="shared" si="26"/>
        <v>15</v>
      </c>
    </row>
    <row r="128" ht="12.75" customHeight="1">
      <c r="A128" s="76"/>
      <c r="B128" s="77"/>
      <c r="C128" s="77"/>
      <c r="D128" s="77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13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2.0</v>
      </c>
      <c r="H129" s="19">
        <v>1.0</v>
      </c>
      <c r="I129" s="19">
        <v>0.0</v>
      </c>
      <c r="J129" s="19">
        <v>0.0</v>
      </c>
      <c r="K129" s="19">
        <v>2.0</v>
      </c>
      <c r="L129" s="19">
        <v>0.0</v>
      </c>
      <c r="M129" s="19">
        <v>1.0</v>
      </c>
      <c r="N129" s="19">
        <v>1.0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1.0</v>
      </c>
      <c r="U129" s="13">
        <f t="shared" ref="U129:U139" si="28">SUM(E129:T129)</f>
        <v>11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4.0</v>
      </c>
      <c r="F130" s="19">
        <v>3.0</v>
      </c>
      <c r="G130" s="19">
        <v>0.0</v>
      </c>
      <c r="H130" s="19">
        <v>5.0</v>
      </c>
      <c r="I130" s="19">
        <v>1.0</v>
      </c>
      <c r="J130" s="19">
        <v>1.0</v>
      </c>
      <c r="K130" s="19">
        <v>1.0</v>
      </c>
      <c r="L130" s="19">
        <v>2.0</v>
      </c>
      <c r="M130" s="19">
        <v>0.0</v>
      </c>
      <c r="N130" s="19">
        <v>2.0</v>
      </c>
      <c r="O130" s="19">
        <v>1.0</v>
      </c>
      <c r="P130" s="19">
        <v>1.0</v>
      </c>
      <c r="Q130" s="19">
        <v>0.0</v>
      </c>
      <c r="R130" s="19">
        <v>0.0</v>
      </c>
      <c r="S130" s="19">
        <v>0.0</v>
      </c>
      <c r="T130" s="19">
        <v>2.0</v>
      </c>
      <c r="U130" s="13">
        <f t="shared" si="28"/>
        <v>23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6.0</v>
      </c>
      <c r="F131" s="19">
        <v>2.0</v>
      </c>
      <c r="G131" s="19">
        <v>0.0</v>
      </c>
      <c r="H131" s="19">
        <v>0.0</v>
      </c>
      <c r="I131" s="19">
        <v>1.0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9">
        <v>2.0</v>
      </c>
      <c r="U131" s="13">
        <f t="shared" si="28"/>
        <v>13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2.0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T139" si="29">SUM(E129:E136)</f>
        <v>11</v>
      </c>
      <c r="F139" s="13">
        <f t="shared" si="29"/>
        <v>7</v>
      </c>
      <c r="G139" s="13">
        <f t="shared" si="29"/>
        <v>2</v>
      </c>
      <c r="H139" s="13">
        <f t="shared" si="29"/>
        <v>6</v>
      </c>
      <c r="I139" s="13">
        <f t="shared" si="29"/>
        <v>2</v>
      </c>
      <c r="J139" s="13">
        <f t="shared" si="29"/>
        <v>1</v>
      </c>
      <c r="K139" s="13">
        <f t="shared" si="29"/>
        <v>7</v>
      </c>
      <c r="L139" s="13">
        <f t="shared" si="29"/>
        <v>3</v>
      </c>
      <c r="M139" s="13">
        <f t="shared" si="29"/>
        <v>1</v>
      </c>
      <c r="N139" s="13">
        <f t="shared" si="29"/>
        <v>3</v>
      </c>
      <c r="O139" s="13">
        <f t="shared" si="29"/>
        <v>2</v>
      </c>
      <c r="P139" s="13">
        <f t="shared" si="29"/>
        <v>1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6</v>
      </c>
      <c r="U139" s="13">
        <f t="shared" si="28"/>
        <v>52</v>
      </c>
    </row>
    <row r="140" ht="12.75" customHeight="1">
      <c r="A140" s="76"/>
      <c r="B140" s="77"/>
      <c r="C140" s="77"/>
      <c r="D140" s="77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13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1.0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3">
        <f t="shared" ref="U141:U151" si="30">SUM(E141:T141)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1.0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1.0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3">
        <f t="shared" si="30"/>
        <v>1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3">
        <f t="shared" si="30"/>
        <v>0</v>
      </c>
    </row>
    <row r="149" ht="12.75" customHeight="1">
      <c r="A149" s="18"/>
      <c r="B149" s="56"/>
      <c r="C149" s="57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3">
        <f t="shared" si="30"/>
        <v>0</v>
      </c>
    </row>
    <row r="150" ht="12.75" customHeight="1">
      <c r="A150" s="18"/>
      <c r="B150" s="56"/>
      <c r="C150" s="57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T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2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0"/>
        <v>3</v>
      </c>
    </row>
    <row r="152" ht="12.75" customHeight="1">
      <c r="A152" s="76"/>
      <c r="B152" s="77"/>
      <c r="C152" s="77"/>
      <c r="D152" s="77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13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3">
        <f t="shared" ref="U153:U163" si="32">SUM(E153:T153)</f>
        <v>3</v>
      </c>
    </row>
    <row r="154" ht="12.75" customHeight="1">
      <c r="A154" s="30" t="s">
        <v>39</v>
      </c>
      <c r="B154" s="55">
        <v>1.0</v>
      </c>
      <c r="C154" s="63" t="s">
        <v>115</v>
      </c>
      <c r="D154" s="60"/>
      <c r="E154" s="19">
        <v>0.0</v>
      </c>
      <c r="F154" s="19">
        <v>0.0</v>
      </c>
      <c r="G154" s="19">
        <v>0.0</v>
      </c>
      <c r="H154" s="19">
        <v>1.0</v>
      </c>
      <c r="I154" s="19">
        <v>1.0</v>
      </c>
      <c r="J154" s="19">
        <v>3.0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3">
        <f t="shared" si="32"/>
        <v>7</v>
      </c>
    </row>
    <row r="155" ht="12.75" customHeight="1">
      <c r="A155" s="18"/>
      <c r="B155" s="55">
        <v>2.0</v>
      </c>
      <c r="C155" s="63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3">
        <f t="shared" si="32"/>
        <v>2</v>
      </c>
    </row>
    <row r="156" ht="12.75" customHeight="1">
      <c r="A156" s="18"/>
      <c r="B156" s="55">
        <v>3.0</v>
      </c>
      <c r="C156" s="63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1.0</v>
      </c>
      <c r="U156" s="13">
        <f t="shared" si="32"/>
        <v>1</v>
      </c>
    </row>
    <row r="157" ht="12.75" customHeight="1">
      <c r="A157" s="18"/>
      <c r="B157" s="55">
        <v>4.0</v>
      </c>
      <c r="C157" s="63" t="s">
        <v>118</v>
      </c>
      <c r="D157" s="60"/>
      <c r="E157" s="19">
        <v>0.0</v>
      </c>
      <c r="F157" s="19">
        <v>0.0</v>
      </c>
      <c r="G157" s="19">
        <v>0.0</v>
      </c>
      <c r="H157" s="19">
        <v>1.0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3">
        <f t="shared" si="32"/>
        <v>1</v>
      </c>
    </row>
    <row r="158" ht="12.75" customHeight="1">
      <c r="A158" s="18"/>
      <c r="B158" s="56"/>
      <c r="C158" s="64"/>
      <c r="D158" s="6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3">
        <f t="shared" si="32"/>
        <v>0</v>
      </c>
    </row>
    <row r="159" ht="12.75" customHeight="1">
      <c r="A159" s="18"/>
      <c r="B159" s="56"/>
      <c r="C159" s="64"/>
      <c r="D159" s="6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3">
        <f t="shared" si="32"/>
        <v>0</v>
      </c>
    </row>
    <row r="160" ht="12.75" customHeight="1">
      <c r="A160" s="18"/>
      <c r="B160" s="56"/>
      <c r="C160" s="64"/>
      <c r="D160" s="6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3">
        <f t="shared" si="32"/>
        <v>0</v>
      </c>
    </row>
    <row r="161" ht="12.75" customHeight="1">
      <c r="A161" s="18"/>
      <c r="B161" s="56"/>
      <c r="C161" s="64"/>
      <c r="D161" s="6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3">
        <f t="shared" si="32"/>
        <v>0</v>
      </c>
    </row>
    <row r="162" ht="12.75" customHeight="1">
      <c r="A162" s="18"/>
      <c r="B162" s="56"/>
      <c r="C162" s="64"/>
      <c r="D162" s="6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3">
        <f t="shared" si="32"/>
        <v>0</v>
      </c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T163" si="33">SUM(E153:E157)</f>
        <v>0</v>
      </c>
      <c r="F163" s="13">
        <f t="shared" si="33"/>
        <v>0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4</v>
      </c>
      <c r="K163" s="13">
        <f t="shared" si="33"/>
        <v>0</v>
      </c>
      <c r="L163" s="13">
        <f t="shared" si="33"/>
        <v>2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2"/>
        <v>14</v>
      </c>
    </row>
    <row r="164" ht="12.75" customHeight="1">
      <c r="A164" s="76"/>
      <c r="B164" s="77"/>
      <c r="C164" s="77"/>
      <c r="D164" s="77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13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1.0</v>
      </c>
      <c r="U165" s="13">
        <f t="shared" ref="U165:U175" si="34">SUM(E165:T165)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3">
        <f t="shared" si="34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>
        <v>0.0</v>
      </c>
      <c r="U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1.0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1.0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2.0</v>
      </c>
      <c r="S172" s="19">
        <v>0.0</v>
      </c>
      <c r="T172" s="19">
        <v>0.0</v>
      </c>
      <c r="U172" s="13">
        <f t="shared" si="34"/>
        <v>3</v>
      </c>
    </row>
    <row r="173" ht="12.75" customHeight="1">
      <c r="A173" s="18"/>
      <c r="B173" s="56"/>
      <c r="C173" s="57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3">
        <f t="shared" si="34"/>
        <v>0</v>
      </c>
    </row>
    <row r="174" ht="12.75" customHeight="1">
      <c r="A174" s="18"/>
      <c r="B174" s="56"/>
      <c r="C174" s="57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T175" si="35">SUM(E165:E172)</f>
        <v>0</v>
      </c>
      <c r="F175" s="13">
        <f t="shared" si="35"/>
        <v>3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2</v>
      </c>
      <c r="S175" s="13">
        <f t="shared" si="35"/>
        <v>1</v>
      </c>
      <c r="T175" s="13">
        <f t="shared" si="35"/>
        <v>1</v>
      </c>
      <c r="U175" s="13">
        <f t="shared" si="34"/>
        <v>10</v>
      </c>
    </row>
    <row r="176" ht="12.75" customHeight="1">
      <c r="A176" s="76"/>
      <c r="B176" s="77"/>
      <c r="C176" s="77"/>
      <c r="D176" s="77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13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2.0</v>
      </c>
      <c r="G177" s="19">
        <v>0.0</v>
      </c>
      <c r="H177" s="19">
        <v>1.0</v>
      </c>
      <c r="I177" s="19">
        <v>2.0</v>
      </c>
      <c r="J177" s="19">
        <v>1.0</v>
      </c>
      <c r="K177" s="19">
        <v>1.0</v>
      </c>
      <c r="L177" s="19">
        <v>0.0</v>
      </c>
      <c r="M177" s="19">
        <v>2.0</v>
      </c>
      <c r="N177" s="19">
        <v>3.0</v>
      </c>
      <c r="O177" s="19">
        <v>1.0</v>
      </c>
      <c r="P177" s="19">
        <v>1.0</v>
      </c>
      <c r="Q177" s="19">
        <v>0.0</v>
      </c>
      <c r="R177" s="19">
        <v>0.0</v>
      </c>
      <c r="S177" s="19">
        <v>5.0</v>
      </c>
      <c r="T177" s="19">
        <v>1.0</v>
      </c>
      <c r="U177" s="13">
        <f t="shared" ref="U177:U187" si="36">SUM(E177:T177)</f>
        <v>22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2.0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1.0</v>
      </c>
      <c r="N178" s="19">
        <v>1.0</v>
      </c>
      <c r="O178" s="19">
        <v>0.0</v>
      </c>
      <c r="P178" s="19">
        <v>0.0</v>
      </c>
      <c r="Q178" s="19">
        <v>1.0</v>
      </c>
      <c r="R178" s="19">
        <v>0.0</v>
      </c>
      <c r="S178" s="19">
        <v>3.0</v>
      </c>
      <c r="T178" s="19">
        <v>0.0</v>
      </c>
      <c r="U178" s="13">
        <f t="shared" si="36"/>
        <v>9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1.0</v>
      </c>
      <c r="G179" s="19">
        <v>0.0</v>
      </c>
      <c r="H179" s="19">
        <v>1.0</v>
      </c>
      <c r="I179" s="19">
        <v>2.0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3">
        <f t="shared" si="36"/>
        <v>6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1.0</v>
      </c>
      <c r="O180" s="19">
        <v>0.0</v>
      </c>
      <c r="P180" s="19">
        <v>0.0</v>
      </c>
      <c r="Q180" s="19">
        <v>0.0</v>
      </c>
      <c r="R180" s="19">
        <v>2.0</v>
      </c>
      <c r="S180" s="19">
        <v>0.0</v>
      </c>
      <c r="T180" s="19">
        <v>1.0</v>
      </c>
      <c r="U180" s="13">
        <f t="shared" si="36"/>
        <v>6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1.0</v>
      </c>
      <c r="F182" s="19">
        <v>1.0</v>
      </c>
      <c r="G182" s="19">
        <v>0.0</v>
      </c>
      <c r="H182" s="19">
        <v>0.0</v>
      </c>
      <c r="I182" s="19">
        <v>1.0</v>
      </c>
      <c r="J182" s="19">
        <v>1.0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3">
        <f t="shared" si="36"/>
        <v>4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9">
        <v>0.0</v>
      </c>
      <c r="U183" s="13">
        <f t="shared" si="36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3">
        <f t="shared" si="36"/>
        <v>0</v>
      </c>
    </row>
    <row r="185" ht="12.75" customHeight="1">
      <c r="A185" s="18"/>
      <c r="B185" s="56"/>
      <c r="C185" s="57"/>
      <c r="D185" s="6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3">
        <f t="shared" si="36"/>
        <v>0</v>
      </c>
    </row>
    <row r="186" ht="12.75" customHeight="1">
      <c r="A186" s="18"/>
      <c r="B186" s="56"/>
      <c r="C186" s="57"/>
      <c r="D186" s="6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T187" si="37">SUM(E177:E184)</f>
        <v>4</v>
      </c>
      <c r="F187" s="13">
        <f t="shared" si="37"/>
        <v>4</v>
      </c>
      <c r="G187" s="13">
        <f t="shared" si="37"/>
        <v>2</v>
      </c>
      <c r="H187" s="13">
        <f t="shared" si="37"/>
        <v>3</v>
      </c>
      <c r="I187" s="13">
        <f t="shared" si="37"/>
        <v>7</v>
      </c>
      <c r="J187" s="13">
        <f t="shared" si="37"/>
        <v>2</v>
      </c>
      <c r="K187" s="13">
        <f t="shared" si="37"/>
        <v>1</v>
      </c>
      <c r="L187" s="13">
        <f t="shared" si="37"/>
        <v>0</v>
      </c>
      <c r="M187" s="13">
        <f t="shared" si="37"/>
        <v>4</v>
      </c>
      <c r="N187" s="13">
        <f t="shared" si="37"/>
        <v>5</v>
      </c>
      <c r="O187" s="13">
        <f t="shared" si="37"/>
        <v>2</v>
      </c>
      <c r="P187" s="13">
        <f t="shared" si="37"/>
        <v>2</v>
      </c>
      <c r="Q187" s="13">
        <f t="shared" si="37"/>
        <v>2</v>
      </c>
      <c r="R187" s="13">
        <f t="shared" si="37"/>
        <v>2</v>
      </c>
      <c r="S187" s="13">
        <f t="shared" si="37"/>
        <v>8</v>
      </c>
      <c r="T187" s="13">
        <f t="shared" si="37"/>
        <v>2</v>
      </c>
      <c r="U187" s="13">
        <f t="shared" si="36"/>
        <v>50</v>
      </c>
    </row>
    <row r="188" ht="12.75" customHeight="1">
      <c r="A188" s="76"/>
      <c r="B188" s="77"/>
      <c r="C188" s="77"/>
      <c r="D188" s="77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2.0</v>
      </c>
      <c r="U189" s="13">
        <f t="shared" ref="U189:U199" si="38">SUM(E189:T189)</f>
        <v>4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1.0</v>
      </c>
      <c r="S190" s="19">
        <v>0.0</v>
      </c>
      <c r="T190" s="19"/>
      <c r="U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/>
      <c r="U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/>
      <c r="U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/>
      <c r="U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/>
      <c r="U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/>
      <c r="U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1.0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/>
      <c r="U196" s="13">
        <f t="shared" si="38"/>
        <v>1</v>
      </c>
    </row>
    <row r="197" ht="12.75" customHeight="1">
      <c r="A197" s="18"/>
      <c r="B197" s="56"/>
      <c r="C197" s="57"/>
      <c r="D197" s="6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3">
        <f t="shared" si="38"/>
        <v>0</v>
      </c>
    </row>
    <row r="198" ht="12.75" customHeight="1">
      <c r="A198" s="18"/>
      <c r="B198" s="56"/>
      <c r="C198" s="57"/>
      <c r="D198" s="6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T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2</v>
      </c>
      <c r="U199" s="13">
        <f t="shared" si="38"/>
        <v>6</v>
      </c>
    </row>
    <row r="200" ht="12.75" customHeight="1">
      <c r="A200" s="76"/>
      <c r="B200" s="77"/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13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7.0</v>
      </c>
      <c r="G201" s="19">
        <v>4.0</v>
      </c>
      <c r="H201" s="19">
        <v>2.0</v>
      </c>
      <c r="I201" s="19">
        <v>6.0</v>
      </c>
      <c r="J201" s="19">
        <v>1.0</v>
      </c>
      <c r="K201" s="19">
        <v>4.0</v>
      </c>
      <c r="L201" s="19">
        <v>0.0</v>
      </c>
      <c r="M201" s="19">
        <v>2.0</v>
      </c>
      <c r="N201" s="19">
        <v>6.0</v>
      </c>
      <c r="O201" s="19">
        <v>1.0</v>
      </c>
      <c r="P201" s="19">
        <v>0.0</v>
      </c>
      <c r="Q201" s="19">
        <v>0.0</v>
      </c>
      <c r="R201" s="19">
        <v>2.0</v>
      </c>
      <c r="S201" s="19">
        <v>4.0</v>
      </c>
      <c r="T201" s="19">
        <v>2.0</v>
      </c>
      <c r="U201" s="13">
        <f t="shared" ref="U201:U211" si="40">SUM(E201:T201)</f>
        <v>45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7.0</v>
      </c>
      <c r="F202" s="19">
        <v>3.0</v>
      </c>
      <c r="G202" s="19">
        <v>3.0</v>
      </c>
      <c r="H202" s="19">
        <v>3.0</v>
      </c>
      <c r="I202" s="19">
        <v>2.0</v>
      </c>
      <c r="J202" s="19">
        <v>2.0</v>
      </c>
      <c r="K202" s="19">
        <v>8.0</v>
      </c>
      <c r="L202" s="19">
        <v>0.0</v>
      </c>
      <c r="M202" s="19">
        <v>4.0</v>
      </c>
      <c r="N202" s="19">
        <v>2.0</v>
      </c>
      <c r="O202" s="19">
        <v>1.0</v>
      </c>
      <c r="P202" s="19">
        <v>0.0</v>
      </c>
      <c r="Q202" s="19">
        <v>1.0</v>
      </c>
      <c r="R202" s="19">
        <v>0.0</v>
      </c>
      <c r="S202" s="19">
        <v>3.0</v>
      </c>
      <c r="T202" s="19"/>
      <c r="U202" s="13">
        <f t="shared" si="40"/>
        <v>39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2.0</v>
      </c>
      <c r="F203" s="19">
        <v>3.0</v>
      </c>
      <c r="G203" s="19">
        <v>0.0</v>
      </c>
      <c r="H203" s="19">
        <v>0.0</v>
      </c>
      <c r="I203" s="19">
        <v>3.0</v>
      </c>
      <c r="J203" s="19">
        <v>0.0</v>
      </c>
      <c r="K203" s="19">
        <v>2.0</v>
      </c>
      <c r="L203" s="19">
        <v>2.0</v>
      </c>
      <c r="M203" s="19">
        <v>3.0</v>
      </c>
      <c r="N203" s="19">
        <v>6.0</v>
      </c>
      <c r="O203" s="19">
        <v>0.0</v>
      </c>
      <c r="P203" s="19">
        <v>0.0</v>
      </c>
      <c r="Q203" s="19">
        <v>0.0</v>
      </c>
      <c r="R203" s="19">
        <v>0.0</v>
      </c>
      <c r="S203" s="19">
        <v>2.0</v>
      </c>
      <c r="T203" s="19">
        <v>1.0</v>
      </c>
      <c r="U203" s="13">
        <f t="shared" si="40"/>
        <v>24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7.0</v>
      </c>
      <c r="F204" s="19">
        <v>1.0</v>
      </c>
      <c r="G204" s="19">
        <v>0.0</v>
      </c>
      <c r="H204" s="19">
        <v>0.0</v>
      </c>
      <c r="I204" s="19">
        <v>0.0</v>
      </c>
      <c r="J204" s="19">
        <v>1.0</v>
      </c>
      <c r="K204" s="19">
        <v>1.0</v>
      </c>
      <c r="L204" s="19">
        <v>0.0</v>
      </c>
      <c r="M204" s="19">
        <v>0.0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/>
      <c r="U204" s="13">
        <f t="shared" si="40"/>
        <v>11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/>
      <c r="U205" s="13">
        <f t="shared" si="40"/>
        <v>2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1.0</v>
      </c>
      <c r="T206" s="19"/>
      <c r="U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/>
      <c r="U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/>
      <c r="U208" s="13">
        <f t="shared" si="40"/>
        <v>4</v>
      </c>
    </row>
    <row r="209" ht="12.75" customHeight="1">
      <c r="A209" s="18"/>
      <c r="B209" s="56"/>
      <c r="C209" s="57"/>
      <c r="D209" s="6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3">
        <f t="shared" si="40"/>
        <v>0</v>
      </c>
    </row>
    <row r="210" ht="12.75" customHeight="1">
      <c r="A210" s="18"/>
      <c r="B210" s="56"/>
      <c r="C210" s="57"/>
      <c r="D210" s="6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T211" si="41">SUM(E201:E208)</f>
        <v>21</v>
      </c>
      <c r="F211" s="13">
        <f t="shared" si="41"/>
        <v>15</v>
      </c>
      <c r="G211" s="13">
        <f t="shared" si="41"/>
        <v>7</v>
      </c>
      <c r="H211" s="13">
        <f t="shared" si="41"/>
        <v>5</v>
      </c>
      <c r="I211" s="13">
        <f t="shared" si="41"/>
        <v>11</v>
      </c>
      <c r="J211" s="13">
        <f t="shared" si="41"/>
        <v>4</v>
      </c>
      <c r="K211" s="13">
        <f t="shared" si="41"/>
        <v>15</v>
      </c>
      <c r="L211" s="13">
        <f t="shared" si="41"/>
        <v>4</v>
      </c>
      <c r="M211" s="13">
        <f t="shared" si="41"/>
        <v>10</v>
      </c>
      <c r="N211" s="13">
        <f t="shared" si="41"/>
        <v>16</v>
      </c>
      <c r="O211" s="13">
        <f t="shared" si="41"/>
        <v>2</v>
      </c>
      <c r="P211" s="13">
        <f t="shared" si="41"/>
        <v>0</v>
      </c>
      <c r="Q211" s="13">
        <f t="shared" si="41"/>
        <v>1</v>
      </c>
      <c r="R211" s="13">
        <f t="shared" si="41"/>
        <v>2</v>
      </c>
      <c r="S211" s="13">
        <f t="shared" si="41"/>
        <v>12</v>
      </c>
      <c r="T211" s="13">
        <f t="shared" si="41"/>
        <v>3</v>
      </c>
      <c r="U211" s="13">
        <f t="shared" si="40"/>
        <v>128</v>
      </c>
    </row>
    <row r="212" ht="12.75" customHeight="1">
      <c r="A212" s="76"/>
      <c r="B212" s="77"/>
      <c r="C212" s="77"/>
      <c r="D212" s="77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13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1.0</v>
      </c>
      <c r="G213" s="19">
        <v>1.0</v>
      </c>
      <c r="H213" s="19">
        <v>0.0</v>
      </c>
      <c r="I213" s="19">
        <v>1.0</v>
      </c>
      <c r="J213" s="19">
        <v>1.0</v>
      </c>
      <c r="K213" s="19">
        <v>1.0</v>
      </c>
      <c r="L213" s="19">
        <v>0.0</v>
      </c>
      <c r="M213" s="19">
        <v>0.0</v>
      </c>
      <c r="N213" s="19">
        <v>1.0</v>
      </c>
      <c r="O213" s="19">
        <v>1.0</v>
      </c>
      <c r="P213" s="19">
        <v>0.0</v>
      </c>
      <c r="Q213" s="19">
        <v>1.0</v>
      </c>
      <c r="R213" s="19">
        <v>0.0</v>
      </c>
      <c r="S213" s="19">
        <v>1.0</v>
      </c>
      <c r="T213" s="19">
        <v>0.0</v>
      </c>
      <c r="U213" s="13">
        <f t="shared" ref="U213:U223" si="42">SUM(E213:T213)</f>
        <v>13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2.0</v>
      </c>
      <c r="F214" s="19">
        <v>2.0</v>
      </c>
      <c r="G214" s="19">
        <v>2.0</v>
      </c>
      <c r="H214" s="19">
        <v>0.0</v>
      </c>
      <c r="I214" s="19">
        <v>0.0</v>
      </c>
      <c r="J214" s="19">
        <v>1.0</v>
      </c>
      <c r="K214" s="19">
        <v>0.0</v>
      </c>
      <c r="L214" s="19">
        <v>1.0</v>
      </c>
      <c r="M214" s="19">
        <v>1.0</v>
      </c>
      <c r="N214" s="19">
        <v>0.0</v>
      </c>
      <c r="O214" s="19">
        <v>0.0</v>
      </c>
      <c r="P214" s="19">
        <v>0.0</v>
      </c>
      <c r="Q214" s="19">
        <v>2.0</v>
      </c>
      <c r="R214" s="19">
        <v>1.0</v>
      </c>
      <c r="S214" s="19">
        <v>1.0</v>
      </c>
      <c r="T214" s="19">
        <v>0.0</v>
      </c>
      <c r="U214" s="13">
        <f t="shared" si="42"/>
        <v>13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5.0</v>
      </c>
      <c r="F215" s="19">
        <v>3.0</v>
      </c>
      <c r="G215" s="19">
        <v>0.0</v>
      </c>
      <c r="H215" s="19">
        <v>1.0</v>
      </c>
      <c r="I215" s="19">
        <v>0.0</v>
      </c>
      <c r="J215" s="19">
        <v>0.0</v>
      </c>
      <c r="K215" s="19">
        <v>1.0</v>
      </c>
      <c r="L215" s="19">
        <v>0.0</v>
      </c>
      <c r="M215" s="19">
        <v>0.0</v>
      </c>
      <c r="N215" s="19">
        <v>1.0</v>
      </c>
      <c r="O215" s="19">
        <v>0.0</v>
      </c>
      <c r="P215" s="19">
        <v>0.0</v>
      </c>
      <c r="Q215" s="19">
        <v>2.0</v>
      </c>
      <c r="R215" s="19">
        <v>2.0</v>
      </c>
      <c r="S215" s="19">
        <v>0.0</v>
      </c>
      <c r="T215" s="19">
        <v>5.0</v>
      </c>
      <c r="U215" s="13">
        <f t="shared" si="42"/>
        <v>20</v>
      </c>
    </row>
    <row r="216" ht="12.75" customHeight="1">
      <c r="A216" s="18"/>
      <c r="B216" s="55">
        <v>3.0</v>
      </c>
      <c r="C216" s="65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1.0</v>
      </c>
      <c r="U216" s="13">
        <f t="shared" si="42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1.0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2.0</v>
      </c>
      <c r="S219" s="19">
        <v>0.0</v>
      </c>
      <c r="T219" s="19">
        <v>0.0</v>
      </c>
      <c r="U219" s="13">
        <f t="shared" si="42"/>
        <v>3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3">
        <f t="shared" si="42"/>
        <v>0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T223" si="43">SUM(E213:E220)</f>
        <v>12</v>
      </c>
      <c r="F223" s="13">
        <f t="shared" si="43"/>
        <v>6</v>
      </c>
      <c r="G223" s="13">
        <f t="shared" si="43"/>
        <v>4</v>
      </c>
      <c r="H223" s="13">
        <f t="shared" si="43"/>
        <v>2</v>
      </c>
      <c r="I223" s="13">
        <f t="shared" si="43"/>
        <v>1</v>
      </c>
      <c r="J223" s="13">
        <f t="shared" si="43"/>
        <v>2</v>
      </c>
      <c r="K223" s="13">
        <f t="shared" si="43"/>
        <v>3</v>
      </c>
      <c r="L223" s="13">
        <f t="shared" si="43"/>
        <v>1</v>
      </c>
      <c r="M223" s="13">
        <f t="shared" si="43"/>
        <v>1</v>
      </c>
      <c r="N223" s="13">
        <f t="shared" si="43"/>
        <v>2</v>
      </c>
      <c r="O223" s="13">
        <f t="shared" si="43"/>
        <v>1</v>
      </c>
      <c r="P223" s="13">
        <f t="shared" si="43"/>
        <v>0</v>
      </c>
      <c r="Q223" s="13">
        <f t="shared" si="43"/>
        <v>5</v>
      </c>
      <c r="R223" s="13">
        <f t="shared" si="43"/>
        <v>5</v>
      </c>
      <c r="S223" s="13">
        <f t="shared" si="43"/>
        <v>3</v>
      </c>
      <c r="T223" s="13">
        <f t="shared" si="43"/>
        <v>6</v>
      </c>
      <c r="U223" s="13">
        <f t="shared" si="42"/>
        <v>54</v>
      </c>
    </row>
    <row r="224" ht="12.75" customHeight="1">
      <c r="A224" s="76"/>
      <c r="B224" s="77"/>
      <c r="C224" s="77"/>
      <c r="D224" s="77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13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3">
        <f t="shared" ref="U225:U235" si="44">SUM(E225:T225)</f>
        <v>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3">
        <f t="shared" si="44"/>
        <v>0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1.0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1.0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3">
        <f t="shared" si="44"/>
        <v>3</v>
      </c>
    </row>
    <row r="233" ht="12.75" customHeight="1">
      <c r="A233" s="18"/>
      <c r="B233" s="56"/>
      <c r="C233" s="57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3">
        <f t="shared" si="44"/>
        <v>0</v>
      </c>
    </row>
    <row r="234" ht="12.75" customHeight="1">
      <c r="A234" s="18"/>
      <c r="B234" s="56"/>
      <c r="C234" s="57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T235" si="45">SUM(E225:E232)</f>
        <v>0</v>
      </c>
      <c r="F235" s="13">
        <f t="shared" si="45"/>
        <v>1</v>
      </c>
      <c r="G235" s="13">
        <f t="shared" si="45"/>
        <v>3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4"/>
        <v>8</v>
      </c>
    </row>
    <row r="236" ht="12.75" customHeight="1">
      <c r="A236" s="76"/>
      <c r="B236" s="77"/>
      <c r="C236" s="77"/>
      <c r="D236" s="77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13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2.0</v>
      </c>
      <c r="H237" s="19">
        <v>2.0</v>
      </c>
      <c r="I237" s="19">
        <v>1.0</v>
      </c>
      <c r="J237" s="19">
        <v>0.0</v>
      </c>
      <c r="K237" s="19">
        <v>0.0</v>
      </c>
      <c r="L237" s="19">
        <v>0.0</v>
      </c>
      <c r="M237" s="19">
        <v>5.0</v>
      </c>
      <c r="N237" s="19">
        <v>0.0</v>
      </c>
      <c r="O237" s="19">
        <v>2.0</v>
      </c>
      <c r="P237" s="19">
        <v>12.0</v>
      </c>
      <c r="Q237" s="19">
        <v>2.0</v>
      </c>
      <c r="R237" s="19">
        <v>2.0</v>
      </c>
      <c r="S237" s="19">
        <v>0.0</v>
      </c>
      <c r="T237" s="19">
        <v>1.0</v>
      </c>
      <c r="U237" s="13">
        <f t="shared" ref="U237:U247" si="46">SUM(E237:T237)</f>
        <v>30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2.0</v>
      </c>
      <c r="G238" s="19">
        <v>2.0</v>
      </c>
      <c r="H238" s="19">
        <v>5.0</v>
      </c>
      <c r="I238" s="19">
        <v>1.0</v>
      </c>
      <c r="J238" s="19">
        <v>1.0</v>
      </c>
      <c r="K238" s="19">
        <v>1.0</v>
      </c>
      <c r="L238" s="19">
        <v>6.0</v>
      </c>
      <c r="M238" s="19">
        <v>24.0</v>
      </c>
      <c r="N238" s="19">
        <v>0.0</v>
      </c>
      <c r="O238" s="19">
        <v>1.0</v>
      </c>
      <c r="P238" s="19">
        <v>2.0</v>
      </c>
      <c r="Q238" s="19">
        <v>1.0</v>
      </c>
      <c r="R238" s="19">
        <v>0.0</v>
      </c>
      <c r="S238" s="19">
        <v>0.0</v>
      </c>
      <c r="T238" s="19"/>
      <c r="U238" s="13">
        <f t="shared" si="46"/>
        <v>46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3.0</v>
      </c>
      <c r="H239" s="19">
        <v>1.0</v>
      </c>
      <c r="I239" s="19">
        <v>1.0</v>
      </c>
      <c r="J239" s="19">
        <v>0.0</v>
      </c>
      <c r="K239" s="19">
        <v>0.0</v>
      </c>
      <c r="L239" s="19">
        <v>1.0</v>
      </c>
      <c r="M239" s="19">
        <v>1.0</v>
      </c>
      <c r="N239" s="19">
        <v>0.0</v>
      </c>
      <c r="O239" s="19">
        <v>2.0</v>
      </c>
      <c r="P239" s="19">
        <v>10.0</v>
      </c>
      <c r="Q239" s="19">
        <v>12.0</v>
      </c>
      <c r="R239" s="19">
        <v>16.0</v>
      </c>
      <c r="S239" s="19">
        <v>1.0</v>
      </c>
      <c r="T239" s="19"/>
      <c r="U239" s="13">
        <f t="shared" si="46"/>
        <v>48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1.0</v>
      </c>
      <c r="F240" s="19">
        <v>0.0</v>
      </c>
      <c r="G240" s="19">
        <v>0.0</v>
      </c>
      <c r="H240" s="19">
        <v>0.0</v>
      </c>
      <c r="I240" s="19">
        <v>1.0</v>
      </c>
      <c r="J240" s="19">
        <v>1.0</v>
      </c>
      <c r="K240" s="19">
        <v>0.0</v>
      </c>
      <c r="L240" s="19">
        <v>0.0</v>
      </c>
      <c r="M240" s="19">
        <v>2.0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/>
      <c r="U240" s="13">
        <f t="shared" si="46"/>
        <v>5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/>
      <c r="U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/>
      <c r="U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2.0</v>
      </c>
      <c r="I243" s="19">
        <v>0.0</v>
      </c>
      <c r="J243" s="19">
        <v>0.0</v>
      </c>
      <c r="K243" s="19">
        <v>0.0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/>
      <c r="U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1.0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/>
      <c r="U244" s="13">
        <f t="shared" si="46"/>
        <v>2</v>
      </c>
    </row>
    <row r="245" ht="12.75" customHeight="1">
      <c r="A245" s="18"/>
      <c r="B245" s="56"/>
      <c r="C245" s="57"/>
      <c r="D245" s="6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3">
        <f t="shared" si="46"/>
        <v>0</v>
      </c>
    </row>
    <row r="246" ht="12.75" customHeight="1">
      <c r="A246" s="18"/>
      <c r="B246" s="56"/>
      <c r="C246" s="57"/>
      <c r="D246" s="6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T247" si="47">SUM(E237:E244)</f>
        <v>2</v>
      </c>
      <c r="F247" s="13">
        <f t="shared" si="47"/>
        <v>3</v>
      </c>
      <c r="G247" s="13">
        <f t="shared" si="47"/>
        <v>7</v>
      </c>
      <c r="H247" s="13">
        <f t="shared" si="47"/>
        <v>10</v>
      </c>
      <c r="I247" s="13">
        <f t="shared" si="47"/>
        <v>4</v>
      </c>
      <c r="J247" s="13">
        <f t="shared" si="47"/>
        <v>2</v>
      </c>
      <c r="K247" s="13">
        <f t="shared" si="47"/>
        <v>1</v>
      </c>
      <c r="L247" s="13">
        <f t="shared" si="47"/>
        <v>7</v>
      </c>
      <c r="M247" s="13">
        <f t="shared" si="47"/>
        <v>33</v>
      </c>
      <c r="N247" s="13">
        <f t="shared" si="47"/>
        <v>1</v>
      </c>
      <c r="O247" s="13">
        <f t="shared" si="47"/>
        <v>5</v>
      </c>
      <c r="P247" s="13">
        <f t="shared" si="47"/>
        <v>24</v>
      </c>
      <c r="Q247" s="13">
        <f t="shared" si="47"/>
        <v>15</v>
      </c>
      <c r="R247" s="13">
        <f t="shared" si="47"/>
        <v>18</v>
      </c>
      <c r="S247" s="13">
        <f t="shared" si="47"/>
        <v>1</v>
      </c>
      <c r="T247" s="13">
        <f t="shared" si="47"/>
        <v>1</v>
      </c>
      <c r="U247" s="13">
        <f t="shared" si="46"/>
        <v>134</v>
      </c>
    </row>
    <row r="248" ht="12.75" customHeight="1">
      <c r="A248" s="76"/>
      <c r="B248" s="77"/>
      <c r="C248" s="77"/>
      <c r="D248" s="77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13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2.0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/>
      <c r="U249" s="13">
        <f t="shared" ref="U249:U259" si="48">SUM(E249:T249)</f>
        <v>3</v>
      </c>
    </row>
    <row r="250" ht="12.75" customHeight="1">
      <c r="A250" s="30" t="s">
        <v>39</v>
      </c>
      <c r="B250" s="55">
        <v>1.0</v>
      </c>
      <c r="C250" s="63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1.0</v>
      </c>
      <c r="T250" s="19"/>
      <c r="U250" s="13">
        <f t="shared" si="48"/>
        <v>2</v>
      </c>
    </row>
    <row r="251" ht="12.75" customHeight="1">
      <c r="A251" s="18"/>
      <c r="B251" s="55">
        <v>2.0</v>
      </c>
      <c r="C251" s="63" t="s">
        <v>185</v>
      </c>
      <c r="D251" s="60"/>
      <c r="E251" s="19">
        <v>0.0</v>
      </c>
      <c r="F251" s="19">
        <v>1.0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/>
      <c r="U251" s="13">
        <f t="shared" si="48"/>
        <v>1</v>
      </c>
    </row>
    <row r="252" ht="12.75" customHeight="1">
      <c r="A252" s="18"/>
      <c r="B252" s="55">
        <v>3.0</v>
      </c>
      <c r="C252" s="63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/>
      <c r="U252" s="13">
        <f t="shared" si="48"/>
        <v>0</v>
      </c>
    </row>
    <row r="253" ht="12.75" customHeight="1">
      <c r="A253" s="18"/>
      <c r="B253" s="55">
        <v>4.0</v>
      </c>
      <c r="C253" s="63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/>
      <c r="U253" s="13">
        <f t="shared" si="48"/>
        <v>0</v>
      </c>
    </row>
    <row r="254" ht="12.75" customHeight="1">
      <c r="A254" s="18"/>
      <c r="B254" s="55">
        <v>5.0</v>
      </c>
      <c r="C254" s="63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1.0</v>
      </c>
      <c r="R254" s="19">
        <v>0.0</v>
      </c>
      <c r="S254" s="19">
        <v>0.0</v>
      </c>
      <c r="T254" s="19"/>
      <c r="U254" s="13">
        <f t="shared" si="48"/>
        <v>1</v>
      </c>
    </row>
    <row r="255" ht="12.75" customHeight="1">
      <c r="A255" s="18"/>
      <c r="B255" s="55">
        <v>6.0</v>
      </c>
      <c r="C255" s="63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/>
      <c r="U255" s="13">
        <f t="shared" si="48"/>
        <v>0</v>
      </c>
    </row>
    <row r="256" ht="12.75" customHeight="1">
      <c r="A256" s="18"/>
      <c r="B256" s="56"/>
      <c r="C256" s="64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3">
        <f t="shared" si="48"/>
        <v>0</v>
      </c>
    </row>
    <row r="257" ht="12.75" customHeight="1">
      <c r="A257" s="18"/>
      <c r="B257" s="56"/>
      <c r="C257" s="64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3">
        <f t="shared" si="48"/>
        <v>0</v>
      </c>
    </row>
    <row r="258" ht="12.75" customHeight="1">
      <c r="A258" s="18"/>
      <c r="B258" s="56"/>
      <c r="C258" s="64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T259" si="49">SUM(E249:E255)</f>
        <v>0</v>
      </c>
      <c r="F259" s="13">
        <f t="shared" si="49"/>
        <v>3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8"/>
        <v>7</v>
      </c>
    </row>
    <row r="260" ht="12.75" customHeight="1">
      <c r="U260" s="13"/>
    </row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>
        <f t="shared" ref="U261:U264" si="51">SUM(E261:T261)</f>
        <v>0</v>
      </c>
    </row>
    <row r="262" ht="12.75" customHeight="1">
      <c r="A262" s="42"/>
      <c r="B262" s="66" t="s">
        <v>192</v>
      </c>
      <c r="C262" s="67" t="s">
        <v>193</v>
      </c>
      <c r="D262" s="16"/>
      <c r="E262" s="19">
        <f t="shared" ref="E262:T262" si="50">E55+E67+E79+E91+E103+E115+E127+E139+E151+E163+E175+E187+E199+E211+E223+E235+E247+E259</f>
        <v>191</v>
      </c>
      <c r="F262" s="19">
        <f t="shared" si="50"/>
        <v>199</v>
      </c>
      <c r="G262" s="19">
        <f t="shared" si="50"/>
        <v>212</v>
      </c>
      <c r="H262" s="19">
        <f t="shared" si="50"/>
        <v>234</v>
      </c>
      <c r="I262" s="19">
        <f t="shared" si="50"/>
        <v>199</v>
      </c>
      <c r="J262" s="19">
        <f t="shared" si="50"/>
        <v>217</v>
      </c>
      <c r="K262" s="19">
        <f t="shared" si="50"/>
        <v>212</v>
      </c>
      <c r="L262" s="19">
        <f t="shared" si="50"/>
        <v>215</v>
      </c>
      <c r="M262" s="19">
        <f t="shared" si="50"/>
        <v>233</v>
      </c>
      <c r="N262" s="19">
        <f t="shared" si="50"/>
        <v>194</v>
      </c>
      <c r="O262" s="19">
        <f t="shared" si="50"/>
        <v>178</v>
      </c>
      <c r="P262" s="19">
        <f t="shared" si="50"/>
        <v>178</v>
      </c>
      <c r="Q262" s="19">
        <f t="shared" si="50"/>
        <v>202</v>
      </c>
      <c r="R262" s="19">
        <f t="shared" si="50"/>
        <v>170</v>
      </c>
      <c r="S262" s="19">
        <f t="shared" si="50"/>
        <v>105</v>
      </c>
      <c r="T262" s="19">
        <f t="shared" si="50"/>
        <v>190</v>
      </c>
      <c r="U262" s="13">
        <f t="shared" si="51"/>
        <v>3129</v>
      </c>
    </row>
    <row r="263" ht="12.75" customHeight="1">
      <c r="A263" s="35"/>
      <c r="B263" s="66" t="s">
        <v>194</v>
      </c>
      <c r="C263" s="67" t="s">
        <v>195</v>
      </c>
      <c r="D263" s="16"/>
      <c r="E263" s="19">
        <v>24.0</v>
      </c>
      <c r="F263" s="19">
        <v>36.0</v>
      </c>
      <c r="G263" s="19">
        <v>39.0</v>
      </c>
      <c r="H263" s="19">
        <v>23.0</v>
      </c>
      <c r="I263" s="19">
        <v>31.0</v>
      </c>
      <c r="J263" s="19">
        <v>27.0</v>
      </c>
      <c r="K263" s="19">
        <v>30.0</v>
      </c>
      <c r="L263" s="19">
        <v>22.0</v>
      </c>
      <c r="M263" s="19">
        <v>27.0</v>
      </c>
      <c r="N263" s="19">
        <v>41.0</v>
      </c>
      <c r="O263" s="19">
        <v>13.0</v>
      </c>
      <c r="P263" s="19">
        <v>35.0</v>
      </c>
      <c r="Q263" s="19">
        <v>7.0</v>
      </c>
      <c r="R263" s="19">
        <v>21.0</v>
      </c>
      <c r="S263" s="19">
        <v>15.0</v>
      </c>
      <c r="T263" s="19">
        <v>25.0</v>
      </c>
      <c r="U263" s="13">
        <f t="shared" si="51"/>
        <v>416</v>
      </c>
    </row>
    <row r="264" ht="12.75" customHeight="1">
      <c r="A264" s="41"/>
      <c r="B264" s="66" t="s">
        <v>196</v>
      </c>
      <c r="C264" s="67" t="s">
        <v>197</v>
      </c>
      <c r="D264" s="16"/>
      <c r="E264" s="13">
        <f t="shared" ref="E264:T264" si="52">SUM(E262:E263)</f>
        <v>215</v>
      </c>
      <c r="F264" s="13">
        <f t="shared" si="52"/>
        <v>235</v>
      </c>
      <c r="G264" s="13">
        <f t="shared" si="52"/>
        <v>251</v>
      </c>
      <c r="H264" s="13">
        <f t="shared" si="52"/>
        <v>257</v>
      </c>
      <c r="I264" s="13">
        <f t="shared" si="52"/>
        <v>230</v>
      </c>
      <c r="J264" s="13">
        <f t="shared" si="52"/>
        <v>244</v>
      </c>
      <c r="K264" s="13">
        <f t="shared" si="52"/>
        <v>242</v>
      </c>
      <c r="L264" s="13">
        <f t="shared" si="52"/>
        <v>237</v>
      </c>
      <c r="M264" s="13">
        <f t="shared" si="52"/>
        <v>260</v>
      </c>
      <c r="N264" s="13">
        <f t="shared" si="52"/>
        <v>235</v>
      </c>
      <c r="O264" s="13">
        <f t="shared" si="52"/>
        <v>191</v>
      </c>
      <c r="P264" s="13">
        <f t="shared" si="52"/>
        <v>213</v>
      </c>
      <c r="Q264" s="13">
        <f t="shared" si="52"/>
        <v>209</v>
      </c>
      <c r="R264" s="13">
        <f t="shared" si="52"/>
        <v>191</v>
      </c>
      <c r="S264" s="13">
        <f t="shared" si="52"/>
        <v>120</v>
      </c>
      <c r="T264" s="13">
        <f t="shared" si="52"/>
        <v>215</v>
      </c>
      <c r="U264" s="13">
        <f t="shared" si="51"/>
        <v>3545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6">
    <mergeCell ref="B55:D55"/>
    <mergeCell ref="C57:D57"/>
    <mergeCell ref="B67:D67"/>
    <mergeCell ref="C69:D69"/>
    <mergeCell ref="B79:D79"/>
    <mergeCell ref="C81:D81"/>
    <mergeCell ref="B91:D91"/>
    <mergeCell ref="C93:D93"/>
    <mergeCell ref="B103:D103"/>
    <mergeCell ref="C105:D105"/>
    <mergeCell ref="B115:D115"/>
    <mergeCell ref="C117:D117"/>
    <mergeCell ref="B127:D127"/>
    <mergeCell ref="C129:D129"/>
    <mergeCell ref="B151:D151"/>
    <mergeCell ref="C153:D153"/>
    <mergeCell ref="B163:D163"/>
    <mergeCell ref="C165:D165"/>
    <mergeCell ref="B175:D175"/>
    <mergeCell ref="C177:D177"/>
    <mergeCell ref="B187:D187"/>
    <mergeCell ref="C189:D189"/>
    <mergeCell ref="B199:D199"/>
    <mergeCell ref="C201:D201"/>
    <mergeCell ref="B211:D211"/>
    <mergeCell ref="C213:D213"/>
    <mergeCell ref="B223:D223"/>
    <mergeCell ref="C225:D225"/>
    <mergeCell ref="C263:D263"/>
    <mergeCell ref="C264:D264"/>
    <mergeCell ref="B235:D235"/>
    <mergeCell ref="C237:D237"/>
    <mergeCell ref="B247:D247"/>
    <mergeCell ref="C249:D249"/>
    <mergeCell ref="B259:D259"/>
    <mergeCell ref="B261:D261"/>
    <mergeCell ref="C262:D262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T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T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B139:D139"/>
    <mergeCell ref="C141:D141"/>
  </mergeCells>
  <conditionalFormatting sqref="E14:T15 E33:T33 E35:T35 E39:T40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">
    <cfRule type="containsBlanks" dxfId="1" priority="3">
      <formula>LEN(TRIM(E22))=0</formula>
    </cfRule>
  </conditionalFormatting>
  <conditionalFormatting sqref="E25:T26">
    <cfRule type="containsBlanks" dxfId="1" priority="4">
      <formula>LEN(TRIM(E25))=0</formula>
    </cfRule>
  </conditionalFormatting>
  <conditionalFormatting sqref="E30:T30">
    <cfRule type="expression" dxfId="0" priority="5">
      <formula>E30&lt;&gt;E47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34:T34">
    <cfRule type="expression" dxfId="0" priority="10">
      <formula>E34&lt;&gt;E64</formula>
    </cfRule>
  </conditionalFormatting>
  <conditionalFormatting sqref="E45:T54">
    <cfRule type="containsBlanks" dxfId="1" priority="11">
      <formula>LEN(TRIM(E45))=0</formula>
    </cfRule>
  </conditionalFormatting>
  <conditionalFormatting sqref="E57:T66">
    <cfRule type="containsBlanks" dxfId="1" priority="12">
      <formula>LEN(TRIM(E57))=0</formula>
    </cfRule>
  </conditionalFormatting>
  <conditionalFormatting sqref="E69:T78">
    <cfRule type="containsBlanks" dxfId="1" priority="13">
      <formula>LEN(TRIM(E69))=0</formula>
    </cfRule>
  </conditionalFormatting>
  <conditionalFormatting sqref="E81:T90">
    <cfRule type="containsBlanks" dxfId="1" priority="14">
      <formula>LEN(TRIM(E81))=0</formula>
    </cfRule>
  </conditionalFormatting>
  <conditionalFormatting sqref="E93:T102">
    <cfRule type="containsBlanks" dxfId="1" priority="15">
      <formula>LEN(TRIM(E93))=0</formula>
    </cfRule>
  </conditionalFormatting>
  <conditionalFormatting sqref="E105:T114">
    <cfRule type="containsBlanks" dxfId="1" priority="16">
      <formula>LEN(TRIM(E105))=0</formula>
    </cfRule>
  </conditionalFormatting>
  <conditionalFormatting sqref="E117:T126">
    <cfRule type="containsBlanks" dxfId="1" priority="17">
      <formula>LEN(TRIM(E117))=0</formula>
    </cfRule>
  </conditionalFormatting>
  <conditionalFormatting sqref="E129:T138">
    <cfRule type="containsBlanks" dxfId="1" priority="18">
      <formula>LEN(TRIM(E129))=0</formula>
    </cfRule>
  </conditionalFormatting>
  <conditionalFormatting sqref="E141:T150">
    <cfRule type="containsBlanks" dxfId="1" priority="19">
      <formula>LEN(TRIM(E141))=0</formula>
    </cfRule>
  </conditionalFormatting>
  <conditionalFormatting sqref="E153:T162">
    <cfRule type="containsBlanks" dxfId="1" priority="20">
      <formula>LEN(TRIM(E153))=0</formula>
    </cfRule>
  </conditionalFormatting>
  <conditionalFormatting sqref="E165:T174">
    <cfRule type="containsBlanks" dxfId="1" priority="21">
      <formula>LEN(TRIM(E165))=0</formula>
    </cfRule>
  </conditionalFormatting>
  <conditionalFormatting sqref="E177:T186">
    <cfRule type="containsBlanks" dxfId="1" priority="22">
      <formula>LEN(TRIM(E177))=0</formula>
    </cfRule>
  </conditionalFormatting>
  <conditionalFormatting sqref="E189:T198">
    <cfRule type="containsBlanks" dxfId="1" priority="23">
      <formula>LEN(TRIM(E189))=0</formula>
    </cfRule>
  </conditionalFormatting>
  <conditionalFormatting sqref="E201:T210">
    <cfRule type="containsBlanks" dxfId="1" priority="24">
      <formula>LEN(TRIM(E201))=0</formula>
    </cfRule>
  </conditionalFormatting>
  <conditionalFormatting sqref="E213:T222">
    <cfRule type="containsBlanks" dxfId="1" priority="25">
      <formula>LEN(TRIM(E213))=0</formula>
    </cfRule>
  </conditionalFormatting>
  <conditionalFormatting sqref="E225:T234">
    <cfRule type="containsBlanks" dxfId="1" priority="26">
      <formula>LEN(TRIM(E225))=0</formula>
    </cfRule>
  </conditionalFormatting>
  <conditionalFormatting sqref="E237:T246">
    <cfRule type="containsBlanks" dxfId="1" priority="27">
      <formula>LEN(TRIM(E237))=0</formula>
    </cfRule>
  </conditionalFormatting>
  <conditionalFormatting sqref="E249:T259">
    <cfRule type="containsBlanks" dxfId="1" priority="28">
      <formula>LEN(TRIM(E249))=0</formula>
    </cfRule>
  </conditionalFormatting>
  <conditionalFormatting sqref="E262:T263">
    <cfRule type="containsBlanks" dxfId="1" priority="29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148.0</v>
      </c>
      <c r="G14" s="19">
        <v>141.0</v>
      </c>
      <c r="H14" s="19">
        <v>141.0</v>
      </c>
      <c r="I14" s="19">
        <v>140.0</v>
      </c>
      <c r="J14" s="19">
        <v>132.0</v>
      </c>
      <c r="K14" s="19">
        <v>121.0</v>
      </c>
      <c r="L14" s="19">
        <v>134.0</v>
      </c>
      <c r="M14" s="19">
        <v>142.0</v>
      </c>
      <c r="N14" s="19">
        <v>112.0</v>
      </c>
      <c r="O14" s="19">
        <v>135.0</v>
      </c>
      <c r="P14" s="19">
        <v>125.0</v>
      </c>
      <c r="Q14" s="19">
        <v>110.0</v>
      </c>
      <c r="R14" s="19">
        <v>128.0</v>
      </c>
      <c r="S14" s="19">
        <v>139.0</v>
      </c>
      <c r="T14" s="19">
        <v>134.0</v>
      </c>
      <c r="U14" s="19">
        <v>141.0</v>
      </c>
      <c r="V14" s="13">
        <f t="shared" ref="V14:V16" si="1">SUM(E14:U14)</f>
        <v>2263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140.0</v>
      </c>
      <c r="G15" s="19">
        <v>148.0</v>
      </c>
      <c r="H15" s="19">
        <v>145.0</v>
      </c>
      <c r="I15" s="19">
        <v>148.0</v>
      </c>
      <c r="J15" s="19">
        <v>147.0</v>
      </c>
      <c r="K15" s="19">
        <v>124.0</v>
      </c>
      <c r="L15" s="19">
        <v>143.0</v>
      </c>
      <c r="M15" s="19">
        <v>135.0</v>
      </c>
      <c r="N15" s="19">
        <v>122.0</v>
      </c>
      <c r="O15" s="19">
        <v>151.0</v>
      </c>
      <c r="P15" s="19">
        <v>147.0</v>
      </c>
      <c r="Q15" s="19">
        <v>111.0</v>
      </c>
      <c r="R15" s="19">
        <v>137.0</v>
      </c>
      <c r="S15" s="19">
        <v>138.0</v>
      </c>
      <c r="T15" s="19">
        <v>135.0</v>
      </c>
      <c r="U15" s="19">
        <v>143.0</v>
      </c>
      <c r="V15" s="13">
        <f t="shared" si="1"/>
        <v>2362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288</v>
      </c>
      <c r="F16" s="13">
        <f t="shared" si="2"/>
        <v>288</v>
      </c>
      <c r="G16" s="13">
        <f t="shared" si="2"/>
        <v>289</v>
      </c>
      <c r="H16" s="13">
        <f t="shared" si="2"/>
        <v>286</v>
      </c>
      <c r="I16" s="13">
        <f t="shared" si="2"/>
        <v>288</v>
      </c>
      <c r="J16" s="13">
        <f t="shared" si="2"/>
        <v>279</v>
      </c>
      <c r="K16" s="13">
        <f t="shared" si="2"/>
        <v>245</v>
      </c>
      <c r="L16" s="13">
        <f t="shared" si="2"/>
        <v>277</v>
      </c>
      <c r="M16" s="13">
        <f t="shared" si="2"/>
        <v>277</v>
      </c>
      <c r="N16" s="13">
        <f t="shared" si="2"/>
        <v>234</v>
      </c>
      <c r="O16" s="13">
        <f t="shared" si="2"/>
        <v>286</v>
      </c>
      <c r="P16" s="13">
        <f t="shared" si="2"/>
        <v>272</v>
      </c>
      <c r="Q16" s="13">
        <f t="shared" si="2"/>
        <v>221</v>
      </c>
      <c r="R16" s="13">
        <f t="shared" si="2"/>
        <v>265</v>
      </c>
      <c r="S16" s="13">
        <f t="shared" si="2"/>
        <v>277</v>
      </c>
      <c r="T16" s="13">
        <f t="shared" si="2"/>
        <v>269</v>
      </c>
      <c r="U16" s="13">
        <f t="shared" si="2"/>
        <v>284</v>
      </c>
      <c r="V16" s="13">
        <f t="shared" si="1"/>
        <v>4625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7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7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99.0</v>
      </c>
      <c r="G19" s="19">
        <v>107.0</v>
      </c>
      <c r="H19" s="19">
        <v>107.0</v>
      </c>
      <c r="I19" s="19">
        <v>90.0</v>
      </c>
      <c r="J19" s="19">
        <v>96.0</v>
      </c>
      <c r="K19" s="19">
        <v>99.0</v>
      </c>
      <c r="L19" s="19">
        <v>101.0</v>
      </c>
      <c r="M19" s="19">
        <v>114.0</v>
      </c>
      <c r="N19" s="19">
        <v>76.0</v>
      </c>
      <c r="O19" s="19">
        <v>98.0</v>
      </c>
      <c r="P19" s="19">
        <v>95.0</v>
      </c>
      <c r="Q19" s="19">
        <v>84.0</v>
      </c>
      <c r="R19" s="19">
        <v>94.0</v>
      </c>
      <c r="S19" s="19">
        <v>110.0</v>
      </c>
      <c r="T19" s="19">
        <v>93.0</v>
      </c>
      <c r="U19" s="19">
        <v>119.0</v>
      </c>
      <c r="V19" s="13">
        <f t="shared" ref="V19:V30" si="3">SUM(E19:U19)</f>
        <v>1674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105.0</v>
      </c>
      <c r="G20" s="19">
        <v>129.0</v>
      </c>
      <c r="H20" s="19">
        <v>117.0</v>
      </c>
      <c r="I20" s="19">
        <v>116.0</v>
      </c>
      <c r="J20" s="19">
        <v>122.0</v>
      </c>
      <c r="K20" s="19">
        <v>103.0</v>
      </c>
      <c r="L20" s="19">
        <v>128.0</v>
      </c>
      <c r="M20" s="19">
        <v>108.0</v>
      </c>
      <c r="N20" s="19">
        <v>84.0</v>
      </c>
      <c r="O20" s="19">
        <v>123.0</v>
      </c>
      <c r="P20" s="19">
        <v>122.0</v>
      </c>
      <c r="Q20" s="19">
        <v>91.0</v>
      </c>
      <c r="R20" s="19">
        <v>104.0</v>
      </c>
      <c r="S20" s="19">
        <v>104.0</v>
      </c>
      <c r="T20" s="19">
        <v>107.0</v>
      </c>
      <c r="U20" s="19">
        <v>124.0</v>
      </c>
      <c r="V20" s="13">
        <f t="shared" si="3"/>
        <v>1905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210</v>
      </c>
      <c r="F21" s="13">
        <f t="shared" si="4"/>
        <v>204</v>
      </c>
      <c r="G21" s="13">
        <f t="shared" si="4"/>
        <v>236</v>
      </c>
      <c r="H21" s="13">
        <f t="shared" si="4"/>
        <v>224</v>
      </c>
      <c r="I21" s="13">
        <f t="shared" si="4"/>
        <v>206</v>
      </c>
      <c r="J21" s="13">
        <f t="shared" si="4"/>
        <v>218</v>
      </c>
      <c r="K21" s="13">
        <f t="shared" si="4"/>
        <v>202</v>
      </c>
      <c r="L21" s="13">
        <f t="shared" si="4"/>
        <v>229</v>
      </c>
      <c r="M21" s="13">
        <f t="shared" si="4"/>
        <v>222</v>
      </c>
      <c r="N21" s="13">
        <f t="shared" si="4"/>
        <v>160</v>
      </c>
      <c r="O21" s="13">
        <f t="shared" si="4"/>
        <v>221</v>
      </c>
      <c r="P21" s="13">
        <f t="shared" si="4"/>
        <v>217</v>
      </c>
      <c r="Q21" s="13">
        <f t="shared" si="4"/>
        <v>175</v>
      </c>
      <c r="R21" s="13">
        <f t="shared" si="4"/>
        <v>198</v>
      </c>
      <c r="S21" s="13">
        <f t="shared" si="4"/>
        <v>214</v>
      </c>
      <c r="T21" s="13">
        <f t="shared" si="4"/>
        <v>200</v>
      </c>
      <c r="U21" s="13">
        <f t="shared" si="4"/>
        <v>243</v>
      </c>
      <c r="V21" s="13">
        <f t="shared" si="3"/>
        <v>3579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2.0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3.0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5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3.0</v>
      </c>
      <c r="H25" s="19">
        <v>3.0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3.0</v>
      </c>
      <c r="S25" s="19">
        <v>0.0</v>
      </c>
      <c r="T25" s="19">
        <v>0.0</v>
      </c>
      <c r="U25" s="19">
        <v>0.0</v>
      </c>
      <c r="V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4.0</v>
      </c>
      <c r="G26" s="19">
        <v>3.0</v>
      </c>
      <c r="H26" s="19">
        <v>3.0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0.0</v>
      </c>
      <c r="O26" s="19">
        <v>0.0</v>
      </c>
      <c r="P26" s="19">
        <v>3.0</v>
      </c>
      <c r="Q26" s="19">
        <v>2.0</v>
      </c>
      <c r="R26" s="19">
        <v>6.0</v>
      </c>
      <c r="S26" s="19">
        <v>1.0</v>
      </c>
      <c r="T26" s="19">
        <v>2.0</v>
      </c>
      <c r="U26" s="19">
        <v>1.0</v>
      </c>
      <c r="V26" s="13">
        <f t="shared" si="3"/>
        <v>28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2</v>
      </c>
      <c r="F27" s="13">
        <f t="shared" si="6"/>
        <v>6</v>
      </c>
      <c r="G27" s="13">
        <f t="shared" si="6"/>
        <v>6</v>
      </c>
      <c r="H27" s="13">
        <f t="shared" si="6"/>
        <v>6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4</v>
      </c>
      <c r="R27" s="13">
        <f t="shared" si="6"/>
        <v>9</v>
      </c>
      <c r="S27" s="13">
        <f t="shared" si="6"/>
        <v>1</v>
      </c>
      <c r="T27" s="13">
        <f t="shared" si="6"/>
        <v>2</v>
      </c>
      <c r="U27" s="13">
        <f t="shared" si="6"/>
        <v>1</v>
      </c>
      <c r="V27" s="13">
        <f t="shared" si="3"/>
        <v>42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92</v>
      </c>
      <c r="F28" s="13">
        <f t="shared" si="7"/>
        <v>101</v>
      </c>
      <c r="G28" s="13">
        <f t="shared" si="7"/>
        <v>112</v>
      </c>
      <c r="H28" s="13">
        <f t="shared" si="7"/>
        <v>110</v>
      </c>
      <c r="I28" s="13">
        <f t="shared" si="7"/>
        <v>90</v>
      </c>
      <c r="J28" s="13">
        <f t="shared" si="7"/>
        <v>96</v>
      </c>
      <c r="K28" s="13">
        <f t="shared" si="7"/>
        <v>99</v>
      </c>
      <c r="L28" s="13">
        <f t="shared" si="7"/>
        <v>102</v>
      </c>
      <c r="M28" s="13">
        <f t="shared" si="7"/>
        <v>114</v>
      </c>
      <c r="N28" s="13">
        <f t="shared" si="7"/>
        <v>77</v>
      </c>
      <c r="O28" s="13">
        <f t="shared" si="7"/>
        <v>98</v>
      </c>
      <c r="P28" s="13">
        <f t="shared" si="7"/>
        <v>95</v>
      </c>
      <c r="Q28" s="13">
        <f t="shared" si="7"/>
        <v>86</v>
      </c>
      <c r="R28" s="13">
        <f t="shared" si="7"/>
        <v>97</v>
      </c>
      <c r="S28" s="13">
        <f t="shared" si="7"/>
        <v>110</v>
      </c>
      <c r="T28" s="13">
        <f t="shared" si="7"/>
        <v>93</v>
      </c>
      <c r="U28" s="13">
        <f t="shared" si="7"/>
        <v>119</v>
      </c>
      <c r="V28" s="13">
        <f t="shared" si="3"/>
        <v>1691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120</v>
      </c>
      <c r="F29" s="13">
        <f t="shared" si="8"/>
        <v>109</v>
      </c>
      <c r="G29" s="13">
        <f t="shared" si="8"/>
        <v>135</v>
      </c>
      <c r="H29" s="13">
        <f t="shared" si="8"/>
        <v>120</v>
      </c>
      <c r="I29" s="13">
        <f t="shared" si="8"/>
        <v>116</v>
      </c>
      <c r="J29" s="13">
        <f t="shared" si="8"/>
        <v>122</v>
      </c>
      <c r="K29" s="13">
        <f t="shared" si="8"/>
        <v>105</v>
      </c>
      <c r="L29" s="13">
        <f t="shared" si="8"/>
        <v>128</v>
      </c>
      <c r="M29" s="13">
        <f t="shared" si="8"/>
        <v>108</v>
      </c>
      <c r="N29" s="13">
        <f t="shared" si="8"/>
        <v>85</v>
      </c>
      <c r="O29" s="13">
        <f t="shared" si="8"/>
        <v>123</v>
      </c>
      <c r="P29" s="13">
        <f t="shared" si="8"/>
        <v>125</v>
      </c>
      <c r="Q29" s="13">
        <f t="shared" si="8"/>
        <v>93</v>
      </c>
      <c r="R29" s="13">
        <f t="shared" si="8"/>
        <v>111</v>
      </c>
      <c r="S29" s="13">
        <f t="shared" si="8"/>
        <v>105</v>
      </c>
      <c r="T29" s="13">
        <f t="shared" si="8"/>
        <v>109</v>
      </c>
      <c r="U29" s="13">
        <f t="shared" si="8"/>
        <v>125</v>
      </c>
      <c r="V29" s="13">
        <f t="shared" si="3"/>
        <v>1939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212</v>
      </c>
      <c r="F30" s="13">
        <f t="shared" si="9"/>
        <v>210</v>
      </c>
      <c r="G30" s="13">
        <f t="shared" si="9"/>
        <v>247</v>
      </c>
      <c r="H30" s="13">
        <f t="shared" si="9"/>
        <v>230</v>
      </c>
      <c r="I30" s="13">
        <f t="shared" si="9"/>
        <v>206</v>
      </c>
      <c r="J30" s="13">
        <f t="shared" si="9"/>
        <v>218</v>
      </c>
      <c r="K30" s="13">
        <f t="shared" si="9"/>
        <v>204</v>
      </c>
      <c r="L30" s="13">
        <f t="shared" si="9"/>
        <v>230</v>
      </c>
      <c r="M30" s="13">
        <f t="shared" si="9"/>
        <v>222</v>
      </c>
      <c r="N30" s="13">
        <f t="shared" si="9"/>
        <v>162</v>
      </c>
      <c r="O30" s="13">
        <f t="shared" si="9"/>
        <v>221</v>
      </c>
      <c r="P30" s="13">
        <f t="shared" si="9"/>
        <v>220</v>
      </c>
      <c r="Q30" s="13">
        <f t="shared" si="9"/>
        <v>179</v>
      </c>
      <c r="R30" s="13">
        <f t="shared" si="9"/>
        <v>208</v>
      </c>
      <c r="S30" s="13">
        <f t="shared" si="9"/>
        <v>215</v>
      </c>
      <c r="T30" s="13">
        <f t="shared" si="9"/>
        <v>202</v>
      </c>
      <c r="U30" s="13">
        <f t="shared" si="9"/>
        <v>244</v>
      </c>
      <c r="V30" s="13">
        <f t="shared" si="3"/>
        <v>3630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72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72"/>
    </row>
    <row r="33" ht="12.75" customHeight="1">
      <c r="A33" s="19">
        <v>1.0</v>
      </c>
      <c r="B33" s="20" t="s">
        <v>27</v>
      </c>
      <c r="C33" s="15"/>
      <c r="D33" s="16"/>
      <c r="E33" s="19">
        <v>292.0</v>
      </c>
      <c r="F33" s="19">
        <v>293.0</v>
      </c>
      <c r="G33" s="19">
        <v>293.0</v>
      </c>
      <c r="H33" s="19">
        <v>292.0</v>
      </c>
      <c r="I33" s="19">
        <v>292.0</v>
      </c>
      <c r="J33" s="19">
        <v>283.0</v>
      </c>
      <c r="K33" s="19">
        <v>248.0</v>
      </c>
      <c r="L33" s="19">
        <v>282.0</v>
      </c>
      <c r="M33" s="19">
        <v>281.0</v>
      </c>
      <c r="N33" s="19">
        <v>237.0</v>
      </c>
      <c r="O33" s="19">
        <v>292.0</v>
      </c>
      <c r="P33" s="19">
        <v>278.0</v>
      </c>
      <c r="Q33" s="19">
        <v>226.0</v>
      </c>
      <c r="R33" s="19">
        <v>271.0</v>
      </c>
      <c r="S33" s="19">
        <v>284.0</v>
      </c>
      <c r="T33" s="19">
        <v>275.0</v>
      </c>
      <c r="U33" s="19">
        <v>300.0</v>
      </c>
      <c r="V33" s="13">
        <f t="shared" ref="V33:V36" si="10">SUM(E33:U33)</f>
        <v>4719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210.0</v>
      </c>
      <c r="G34" s="13">
        <v>247.0</v>
      </c>
      <c r="H34" s="13">
        <v>230.0</v>
      </c>
      <c r="I34" s="13">
        <v>206.0</v>
      </c>
      <c r="J34" s="13">
        <v>218.0</v>
      </c>
      <c r="K34" s="13">
        <v>204.0</v>
      </c>
      <c r="L34" s="13">
        <v>230.0</v>
      </c>
      <c r="M34" s="13">
        <v>222.0</v>
      </c>
      <c r="N34" s="13">
        <v>162.0</v>
      </c>
      <c r="O34" s="13">
        <v>221.0</v>
      </c>
      <c r="P34" s="13">
        <v>220.0</v>
      </c>
      <c r="Q34" s="13">
        <v>179.0</v>
      </c>
      <c r="R34" s="13">
        <v>208.0</v>
      </c>
      <c r="S34" s="13">
        <v>215.0</v>
      </c>
      <c r="T34" s="13">
        <v>202.0</v>
      </c>
      <c r="U34" s="13">
        <v>244.0</v>
      </c>
      <c r="V34" s="13">
        <f t="shared" si="10"/>
        <v>3630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80</v>
      </c>
      <c r="F36" s="13">
        <f t="shared" si="11"/>
        <v>83</v>
      </c>
      <c r="G36" s="13">
        <f t="shared" si="11"/>
        <v>46</v>
      </c>
      <c r="H36" s="13">
        <f t="shared" si="11"/>
        <v>61</v>
      </c>
      <c r="I36" s="13">
        <f t="shared" si="11"/>
        <v>86</v>
      </c>
      <c r="J36" s="13">
        <f t="shared" si="11"/>
        <v>65</v>
      </c>
      <c r="K36" s="13">
        <f t="shared" si="11"/>
        <v>44</v>
      </c>
      <c r="L36" s="13">
        <f t="shared" si="11"/>
        <v>52</v>
      </c>
      <c r="M36" s="13">
        <f t="shared" si="11"/>
        <v>58</v>
      </c>
      <c r="N36" s="13">
        <f t="shared" si="11"/>
        <v>75</v>
      </c>
      <c r="O36" s="13">
        <v>69.0</v>
      </c>
      <c r="P36" s="13">
        <f t="shared" ref="P36:U36" si="12">P33-(P34+P35)</f>
        <v>58</v>
      </c>
      <c r="Q36" s="13">
        <f t="shared" si="12"/>
        <v>47</v>
      </c>
      <c r="R36" s="13">
        <f t="shared" si="12"/>
        <v>63</v>
      </c>
      <c r="S36" s="13">
        <f t="shared" si="12"/>
        <v>69</v>
      </c>
      <c r="T36" s="13">
        <f t="shared" si="12"/>
        <v>73</v>
      </c>
      <c r="U36" s="13">
        <f t="shared" si="12"/>
        <v>56</v>
      </c>
      <c r="V36" s="13">
        <f t="shared" si="10"/>
        <v>1085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  <c r="S37" s="19"/>
      <c r="T37" s="19"/>
      <c r="U37" s="19"/>
      <c r="V37" s="72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72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3">
        <f t="shared" ref="V39:V41" si="13">SUM(E39:U39)</f>
        <v>3</v>
      </c>
    </row>
    <row r="40" ht="12.75" customHeight="1">
      <c r="A40" s="33"/>
      <c r="C40" s="27"/>
      <c r="D40" s="19" t="s">
        <v>13</v>
      </c>
      <c r="E40" s="19">
        <v>2.0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3">
        <f t="shared" si="13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U41" si="14">SUM(E39:E40)</f>
        <v>4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1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2</v>
      </c>
      <c r="T41" s="13">
        <f t="shared" si="14"/>
        <v>0</v>
      </c>
      <c r="U41" s="13">
        <f t="shared" si="14"/>
        <v>0</v>
      </c>
      <c r="V41" s="13">
        <f t="shared" si="13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/>
      <c r="S42" s="19"/>
      <c r="T42" s="19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6.0</v>
      </c>
      <c r="G45" s="19">
        <v>2.0</v>
      </c>
      <c r="H45" s="19">
        <v>6.0</v>
      </c>
      <c r="I45" s="19">
        <v>3.0</v>
      </c>
      <c r="J45" s="19">
        <v>8.0</v>
      </c>
      <c r="K45" s="19">
        <v>5.0</v>
      </c>
      <c r="L45" s="19">
        <v>16.0</v>
      </c>
      <c r="M45" s="19">
        <v>14.0</v>
      </c>
      <c r="N45" s="19">
        <v>5.0</v>
      </c>
      <c r="O45" s="19">
        <v>6.0</v>
      </c>
      <c r="P45" s="19">
        <v>4.0</v>
      </c>
      <c r="Q45" s="19">
        <v>10.0</v>
      </c>
      <c r="R45" s="19">
        <v>17.0</v>
      </c>
      <c r="S45" s="19">
        <v>18.0</v>
      </c>
      <c r="T45" s="19">
        <v>15.0</v>
      </c>
      <c r="U45" s="19">
        <v>14.0</v>
      </c>
      <c r="V45" s="13">
        <f t="shared" ref="V45:V55" si="15">SUM(E45:U45)</f>
        <v>152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5.0</v>
      </c>
      <c r="F46" s="19">
        <v>22.0</v>
      </c>
      <c r="G46" s="19">
        <v>14.0</v>
      </c>
      <c r="H46" s="19">
        <v>7.0</v>
      </c>
      <c r="I46" s="19">
        <v>8.0</v>
      </c>
      <c r="J46" s="19">
        <v>29.0</v>
      </c>
      <c r="K46" s="19">
        <v>59.0</v>
      </c>
      <c r="L46" s="19">
        <v>39.0</v>
      </c>
      <c r="M46" s="19">
        <v>28.0</v>
      </c>
      <c r="N46" s="19">
        <v>20.0</v>
      </c>
      <c r="O46" s="19">
        <v>15.0</v>
      </c>
      <c r="P46" s="19">
        <v>12.0</v>
      </c>
      <c r="Q46" s="19">
        <v>26.0</v>
      </c>
      <c r="R46" s="19">
        <v>44.0</v>
      </c>
      <c r="S46" s="19">
        <v>31.0</v>
      </c>
      <c r="T46" s="19">
        <v>13.0</v>
      </c>
      <c r="U46" s="19">
        <v>34.0</v>
      </c>
      <c r="V46" s="13">
        <f t="shared" si="15"/>
        <v>406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3.0</v>
      </c>
      <c r="G47" s="19">
        <v>0.0</v>
      </c>
      <c r="H47" s="19">
        <v>2.0</v>
      </c>
      <c r="I47" s="19">
        <v>3.0</v>
      </c>
      <c r="J47" s="19">
        <v>2.0</v>
      </c>
      <c r="K47" s="19">
        <v>2.0</v>
      </c>
      <c r="L47" s="19">
        <v>5.0</v>
      </c>
      <c r="M47" s="19">
        <v>5.0</v>
      </c>
      <c r="N47" s="19">
        <v>2.0</v>
      </c>
      <c r="O47" s="19">
        <v>1.0</v>
      </c>
      <c r="P47" s="19">
        <v>5.0</v>
      </c>
      <c r="Q47" s="19">
        <v>4.0</v>
      </c>
      <c r="R47" s="19">
        <v>0.0</v>
      </c>
      <c r="S47" s="19">
        <v>2.0</v>
      </c>
      <c r="T47" s="19">
        <v>6.0</v>
      </c>
      <c r="U47" s="19">
        <v>5.0</v>
      </c>
      <c r="V47" s="13">
        <f t="shared" si="15"/>
        <v>47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1.0</v>
      </c>
      <c r="R48" s="19">
        <v>1.0</v>
      </c>
      <c r="S48" s="19">
        <v>1.0</v>
      </c>
      <c r="T48" s="19">
        <v>0.0</v>
      </c>
      <c r="U48" s="19">
        <v>2.0</v>
      </c>
      <c r="V48" s="13">
        <f t="shared" si="15"/>
        <v>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0.0</v>
      </c>
      <c r="L49" s="19">
        <v>1.0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3">
        <f t="shared" si="15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2.0</v>
      </c>
      <c r="H50" s="19">
        <v>0.0</v>
      </c>
      <c r="I50" s="19">
        <v>0.0</v>
      </c>
      <c r="J50" s="19">
        <v>1.0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3">
        <f t="shared" si="15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3">
        <f t="shared" si="15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1.0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3">
        <f t="shared" si="15"/>
        <v>4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3">
        <f t="shared" si="15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3">
        <f t="shared" si="15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U55" si="16">SUM(E45:E52)</f>
        <v>9</v>
      </c>
      <c r="F55" s="13">
        <f t="shared" si="16"/>
        <v>34</v>
      </c>
      <c r="G55" s="13">
        <f t="shared" si="16"/>
        <v>20</v>
      </c>
      <c r="H55" s="13">
        <f t="shared" si="16"/>
        <v>16</v>
      </c>
      <c r="I55" s="13">
        <f t="shared" si="16"/>
        <v>15</v>
      </c>
      <c r="J55" s="13">
        <f t="shared" si="16"/>
        <v>41</v>
      </c>
      <c r="K55" s="13">
        <f t="shared" si="16"/>
        <v>67</v>
      </c>
      <c r="L55" s="13">
        <f t="shared" si="16"/>
        <v>63</v>
      </c>
      <c r="M55" s="13">
        <f t="shared" si="16"/>
        <v>47</v>
      </c>
      <c r="N55" s="13">
        <f t="shared" si="16"/>
        <v>28</v>
      </c>
      <c r="O55" s="13">
        <f t="shared" si="16"/>
        <v>22</v>
      </c>
      <c r="P55" s="13">
        <f t="shared" si="16"/>
        <v>21</v>
      </c>
      <c r="Q55" s="13">
        <f t="shared" si="16"/>
        <v>41</v>
      </c>
      <c r="R55" s="13">
        <f t="shared" si="16"/>
        <v>62</v>
      </c>
      <c r="S55" s="13">
        <f t="shared" si="16"/>
        <v>52</v>
      </c>
      <c r="T55" s="13">
        <f t="shared" si="16"/>
        <v>34</v>
      </c>
      <c r="U55" s="13">
        <f t="shared" si="16"/>
        <v>58</v>
      </c>
      <c r="V55" s="13">
        <f t="shared" si="15"/>
        <v>630</v>
      </c>
    </row>
    <row r="56" ht="12.75" customHeight="1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7.0</v>
      </c>
      <c r="F57" s="19">
        <v>16.0</v>
      </c>
      <c r="G57" s="19">
        <v>21.0</v>
      </c>
      <c r="H57" s="19">
        <v>11.0</v>
      </c>
      <c r="I57" s="19">
        <v>6.0</v>
      </c>
      <c r="J57" s="19">
        <v>11.0</v>
      </c>
      <c r="K57" s="19">
        <v>10.0</v>
      </c>
      <c r="L57" s="19">
        <v>9.0</v>
      </c>
      <c r="M57" s="19">
        <v>15.0</v>
      </c>
      <c r="N57" s="19">
        <v>8.0</v>
      </c>
      <c r="O57" s="19">
        <v>10.0</v>
      </c>
      <c r="P57" s="19">
        <v>16.0</v>
      </c>
      <c r="Q57" s="19">
        <v>8.0</v>
      </c>
      <c r="R57" s="19">
        <v>7.0</v>
      </c>
      <c r="S57" s="19">
        <v>20.0</v>
      </c>
      <c r="T57" s="19">
        <v>21.0</v>
      </c>
      <c r="U57" s="19">
        <v>15.0</v>
      </c>
      <c r="V57" s="13">
        <f t="shared" ref="V57:V67" si="17">SUM(E57:U57)</f>
        <v>211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12.0</v>
      </c>
      <c r="F58" s="19">
        <v>21.0</v>
      </c>
      <c r="G58" s="19">
        <v>22.0</v>
      </c>
      <c r="H58" s="19">
        <v>17.0</v>
      </c>
      <c r="I58" s="19">
        <v>8.0</v>
      </c>
      <c r="J58" s="19">
        <v>20.0</v>
      </c>
      <c r="K58" s="19">
        <v>9.0</v>
      </c>
      <c r="L58" s="19">
        <v>15.0</v>
      </c>
      <c r="M58" s="19">
        <v>21.0</v>
      </c>
      <c r="N58" s="19">
        <v>20.0</v>
      </c>
      <c r="O58" s="19">
        <v>33.0</v>
      </c>
      <c r="P58" s="19">
        <v>35.0</v>
      </c>
      <c r="Q58" s="19">
        <v>12.0</v>
      </c>
      <c r="R58" s="19">
        <v>16.0</v>
      </c>
      <c r="S58" s="19">
        <v>12.0</v>
      </c>
      <c r="T58" s="19">
        <v>11.0</v>
      </c>
      <c r="U58" s="19">
        <v>9.0</v>
      </c>
      <c r="V58" s="13">
        <f t="shared" si="17"/>
        <v>293</v>
      </c>
    </row>
    <row r="59" ht="12.75" customHeight="1">
      <c r="A59" s="18"/>
      <c r="B59" s="55">
        <v>2.0</v>
      </c>
      <c r="C59" s="50" t="s">
        <v>50</v>
      </c>
      <c r="D59" s="59"/>
      <c r="E59" s="19">
        <v>0.0</v>
      </c>
      <c r="F59" s="19">
        <v>5.0</v>
      </c>
      <c r="G59" s="19">
        <v>4.0</v>
      </c>
      <c r="H59" s="19">
        <v>4.0</v>
      </c>
      <c r="I59" s="19">
        <v>0.0</v>
      </c>
      <c r="J59" s="19">
        <v>2.0</v>
      </c>
      <c r="K59" s="19">
        <v>4.0</v>
      </c>
      <c r="L59" s="19">
        <v>4.0</v>
      </c>
      <c r="M59" s="19">
        <v>6.0</v>
      </c>
      <c r="N59" s="19">
        <v>0.0</v>
      </c>
      <c r="O59" s="19">
        <v>3.0</v>
      </c>
      <c r="P59" s="19">
        <v>2.0</v>
      </c>
      <c r="Q59" s="19">
        <v>3.0</v>
      </c>
      <c r="R59" s="19">
        <v>3.0</v>
      </c>
      <c r="S59" s="19">
        <v>2.0</v>
      </c>
      <c r="T59" s="19">
        <v>6.0</v>
      </c>
      <c r="U59" s="19">
        <v>3.0</v>
      </c>
      <c r="V59" s="13">
        <f t="shared" si="17"/>
        <v>51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2.0</v>
      </c>
      <c r="G60" s="19">
        <v>0.0</v>
      </c>
      <c r="H60" s="19">
        <v>1.0</v>
      </c>
      <c r="I60" s="19">
        <v>0.0</v>
      </c>
      <c r="J60" s="19">
        <v>2.0</v>
      </c>
      <c r="K60" s="19">
        <v>0.0</v>
      </c>
      <c r="L60" s="19">
        <v>3.0</v>
      </c>
      <c r="M60" s="19">
        <v>0.0</v>
      </c>
      <c r="N60" s="19">
        <v>2.0</v>
      </c>
      <c r="O60" s="19">
        <v>0.0</v>
      </c>
      <c r="P60" s="19">
        <v>2.0</v>
      </c>
      <c r="Q60" s="19">
        <v>1.0</v>
      </c>
      <c r="R60" s="19">
        <v>0.0</v>
      </c>
      <c r="S60" s="19">
        <v>3.0</v>
      </c>
      <c r="T60" s="19">
        <v>0.0</v>
      </c>
      <c r="U60" s="19">
        <v>1.0</v>
      </c>
      <c r="V60" s="13">
        <f t="shared" si="17"/>
        <v>17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1.0</v>
      </c>
      <c r="G61" s="19">
        <v>4.0</v>
      </c>
      <c r="H61" s="19">
        <v>1.0</v>
      </c>
      <c r="I61" s="19">
        <v>2.0</v>
      </c>
      <c r="J61" s="19">
        <v>2.0</v>
      </c>
      <c r="K61" s="19">
        <v>1.0</v>
      </c>
      <c r="L61" s="19">
        <v>2.0</v>
      </c>
      <c r="M61" s="19">
        <v>0.0</v>
      </c>
      <c r="N61" s="19">
        <v>3.0</v>
      </c>
      <c r="O61" s="19">
        <v>3.0</v>
      </c>
      <c r="P61" s="19">
        <v>1.0</v>
      </c>
      <c r="Q61" s="19">
        <v>0.0</v>
      </c>
      <c r="R61" s="19">
        <v>2.0</v>
      </c>
      <c r="S61" s="19">
        <v>0.0</v>
      </c>
      <c r="T61" s="19">
        <v>2.0</v>
      </c>
      <c r="U61" s="19">
        <v>2.0</v>
      </c>
      <c r="V61" s="13">
        <f t="shared" si="17"/>
        <v>27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1.0</v>
      </c>
      <c r="H62" s="19">
        <v>1.0</v>
      </c>
      <c r="I62" s="19">
        <v>0.0</v>
      </c>
      <c r="J62" s="19">
        <v>2.0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2.0</v>
      </c>
      <c r="T62" s="19">
        <v>0.0</v>
      </c>
      <c r="U62" s="19">
        <v>1.0</v>
      </c>
      <c r="V62" s="13">
        <f t="shared" si="17"/>
        <v>9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2.0</v>
      </c>
      <c r="G63" s="19">
        <v>2.0</v>
      </c>
      <c r="H63" s="19">
        <v>0.0</v>
      </c>
      <c r="I63" s="19">
        <v>2.0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3.0</v>
      </c>
      <c r="P63" s="19">
        <v>0.0</v>
      </c>
      <c r="Q63" s="19">
        <v>1.0</v>
      </c>
      <c r="R63" s="19">
        <v>0.0</v>
      </c>
      <c r="S63" s="19">
        <v>0.0</v>
      </c>
      <c r="T63" s="19">
        <v>3.0</v>
      </c>
      <c r="U63" s="19">
        <v>0.0</v>
      </c>
      <c r="V63" s="13">
        <f t="shared" si="17"/>
        <v>14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3">
        <f t="shared" si="17"/>
        <v>2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3">
        <f t="shared" si="17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3">
        <f t="shared" si="17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U67" si="18">SUM(E57:E64)</f>
        <v>20</v>
      </c>
      <c r="F67" s="13">
        <f t="shared" si="18"/>
        <v>49</v>
      </c>
      <c r="G67" s="13">
        <f t="shared" si="18"/>
        <v>55</v>
      </c>
      <c r="H67" s="13">
        <f t="shared" si="18"/>
        <v>35</v>
      </c>
      <c r="I67" s="13">
        <f t="shared" si="18"/>
        <v>18</v>
      </c>
      <c r="J67" s="13">
        <f t="shared" si="18"/>
        <v>39</v>
      </c>
      <c r="K67" s="13">
        <f t="shared" si="18"/>
        <v>24</v>
      </c>
      <c r="L67" s="13">
        <f t="shared" si="18"/>
        <v>33</v>
      </c>
      <c r="M67" s="13">
        <f t="shared" si="18"/>
        <v>42</v>
      </c>
      <c r="N67" s="13">
        <f t="shared" si="18"/>
        <v>34</v>
      </c>
      <c r="O67" s="13">
        <f t="shared" si="18"/>
        <v>52</v>
      </c>
      <c r="P67" s="13">
        <f t="shared" si="18"/>
        <v>56</v>
      </c>
      <c r="Q67" s="13">
        <f t="shared" si="18"/>
        <v>26</v>
      </c>
      <c r="R67" s="13">
        <f t="shared" si="18"/>
        <v>28</v>
      </c>
      <c r="S67" s="13">
        <f t="shared" si="18"/>
        <v>39</v>
      </c>
      <c r="T67" s="13">
        <f t="shared" si="18"/>
        <v>43</v>
      </c>
      <c r="U67" s="13">
        <f t="shared" si="18"/>
        <v>31</v>
      </c>
      <c r="V67" s="13">
        <f t="shared" si="17"/>
        <v>624</v>
      </c>
    </row>
    <row r="68" ht="12.75" customHeight="1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13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15.0</v>
      </c>
      <c r="F69" s="19">
        <v>2.0</v>
      </c>
      <c r="G69" s="19">
        <v>4.0</v>
      </c>
      <c r="H69" s="19">
        <v>15.0</v>
      </c>
      <c r="I69" s="19">
        <v>19.0</v>
      </c>
      <c r="J69" s="19">
        <v>5.0</v>
      </c>
      <c r="K69" s="19">
        <v>3.0</v>
      </c>
      <c r="L69" s="19">
        <v>4.0</v>
      </c>
      <c r="M69" s="19">
        <v>7.0</v>
      </c>
      <c r="N69" s="19">
        <v>1.0</v>
      </c>
      <c r="O69" s="19">
        <v>3.0</v>
      </c>
      <c r="P69" s="19">
        <v>12.0</v>
      </c>
      <c r="Q69" s="19">
        <v>9.0</v>
      </c>
      <c r="R69" s="19">
        <v>7.0</v>
      </c>
      <c r="S69" s="19">
        <v>7.0</v>
      </c>
      <c r="T69" s="19">
        <v>5.0</v>
      </c>
      <c r="U69" s="19">
        <v>6.0</v>
      </c>
      <c r="V69" s="13">
        <f t="shared" ref="V69:V79" si="19">SUM(E69:U69)</f>
        <v>124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53.0</v>
      </c>
      <c r="F70" s="19">
        <v>13.0</v>
      </c>
      <c r="G70" s="19">
        <v>8.0</v>
      </c>
      <c r="H70" s="19">
        <v>6.0</v>
      </c>
      <c r="I70" s="19">
        <v>10.0</v>
      </c>
      <c r="J70" s="19">
        <v>21.0</v>
      </c>
      <c r="K70" s="19">
        <v>8.0</v>
      </c>
      <c r="L70" s="19">
        <v>15.0</v>
      </c>
      <c r="M70" s="19">
        <v>8.0</v>
      </c>
      <c r="N70" s="19">
        <v>5.0</v>
      </c>
      <c r="O70" s="19">
        <v>11.0</v>
      </c>
      <c r="P70" s="19">
        <v>25.0</v>
      </c>
      <c r="Q70" s="19">
        <v>11.0</v>
      </c>
      <c r="R70" s="19">
        <v>40.0</v>
      </c>
      <c r="S70" s="19">
        <v>9.0</v>
      </c>
      <c r="T70" s="19">
        <v>5.0</v>
      </c>
      <c r="U70" s="19">
        <v>20.0</v>
      </c>
      <c r="V70" s="13">
        <f t="shared" si="19"/>
        <v>268</v>
      </c>
    </row>
    <row r="71" ht="12.75" customHeight="1">
      <c r="A71" s="18"/>
      <c r="B71" s="55">
        <v>2.0</v>
      </c>
      <c r="C71" s="50" t="s">
        <v>58</v>
      </c>
      <c r="D71" s="60"/>
      <c r="E71" s="19">
        <v>3.0</v>
      </c>
      <c r="F71" s="19">
        <v>0.0</v>
      </c>
      <c r="G71" s="19">
        <v>6.0</v>
      </c>
      <c r="H71" s="19">
        <v>3.0</v>
      </c>
      <c r="I71" s="19">
        <v>5.0</v>
      </c>
      <c r="J71" s="19">
        <v>2.0</v>
      </c>
      <c r="K71" s="19">
        <v>2.0</v>
      </c>
      <c r="L71" s="19">
        <v>2.0</v>
      </c>
      <c r="M71" s="19">
        <v>1.0</v>
      </c>
      <c r="N71" s="19">
        <v>5.0</v>
      </c>
      <c r="O71" s="19">
        <v>25.0</v>
      </c>
      <c r="P71" s="19">
        <v>11.0</v>
      </c>
      <c r="Q71" s="19">
        <v>1.0</v>
      </c>
      <c r="R71" s="19">
        <v>1.0</v>
      </c>
      <c r="S71" s="19">
        <v>15.0</v>
      </c>
      <c r="T71" s="19">
        <v>3.0</v>
      </c>
      <c r="U71" s="19">
        <v>6.0</v>
      </c>
      <c r="V71" s="13">
        <f t="shared" si="19"/>
        <v>91</v>
      </c>
    </row>
    <row r="72" ht="12.75" customHeight="1">
      <c r="A72" s="18"/>
      <c r="B72" s="55">
        <v>3.0</v>
      </c>
      <c r="C72" s="50" t="s">
        <v>59</v>
      </c>
      <c r="D72" s="60"/>
      <c r="E72" s="19">
        <v>6.0</v>
      </c>
      <c r="F72" s="19">
        <v>11.0</v>
      </c>
      <c r="G72" s="19">
        <v>14.0</v>
      </c>
      <c r="H72" s="19">
        <v>32.0</v>
      </c>
      <c r="I72" s="19">
        <v>35.0</v>
      </c>
      <c r="J72" s="19">
        <v>15.0</v>
      </c>
      <c r="K72" s="19">
        <v>17.0</v>
      </c>
      <c r="L72" s="19">
        <v>15.0</v>
      </c>
      <c r="M72" s="19">
        <v>1.0</v>
      </c>
      <c r="N72" s="19">
        <v>2.0</v>
      </c>
      <c r="O72" s="19">
        <v>2.0</v>
      </c>
      <c r="P72" s="19">
        <v>5.0</v>
      </c>
      <c r="Q72" s="19">
        <v>2.0</v>
      </c>
      <c r="R72" s="19">
        <v>3.0</v>
      </c>
      <c r="S72" s="19">
        <v>3.0</v>
      </c>
      <c r="T72" s="19">
        <v>1.0</v>
      </c>
      <c r="U72" s="19">
        <v>14.0</v>
      </c>
      <c r="V72" s="13">
        <f t="shared" si="19"/>
        <v>178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1.0</v>
      </c>
      <c r="H73" s="19">
        <v>0.0</v>
      </c>
      <c r="I73" s="19">
        <v>0.0</v>
      </c>
      <c r="J73" s="19">
        <v>2.0</v>
      </c>
      <c r="K73" s="19">
        <v>0.0</v>
      </c>
      <c r="L73" s="19">
        <v>0.0</v>
      </c>
      <c r="M73" s="19">
        <v>2.0</v>
      </c>
      <c r="N73" s="19">
        <v>0.0</v>
      </c>
      <c r="O73" s="19">
        <v>1.0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0.0</v>
      </c>
      <c r="V73" s="13">
        <f t="shared" si="19"/>
        <v>6</v>
      </c>
    </row>
    <row r="74" ht="12.75" customHeight="1">
      <c r="A74" s="18"/>
      <c r="B74" s="55">
        <v>5.0</v>
      </c>
      <c r="C74" s="50" t="s">
        <v>61</v>
      </c>
      <c r="D74" s="60"/>
      <c r="E74" s="19">
        <v>8.0</v>
      </c>
      <c r="F74" s="19">
        <v>18.0</v>
      </c>
      <c r="G74" s="19">
        <v>24.0</v>
      </c>
      <c r="H74" s="19">
        <v>14.0</v>
      </c>
      <c r="I74" s="19">
        <v>17.0</v>
      </c>
      <c r="J74" s="19">
        <v>6.0</v>
      </c>
      <c r="K74" s="19">
        <v>3.0</v>
      </c>
      <c r="L74" s="19">
        <v>5.0</v>
      </c>
      <c r="M74" s="19">
        <v>2.0</v>
      </c>
      <c r="N74" s="19">
        <v>2.0</v>
      </c>
      <c r="O74" s="19">
        <v>4.0</v>
      </c>
      <c r="P74" s="19">
        <v>4.0</v>
      </c>
      <c r="Q74" s="19">
        <v>7.0</v>
      </c>
      <c r="R74" s="19">
        <v>3.0</v>
      </c>
      <c r="S74" s="19">
        <v>3.0</v>
      </c>
      <c r="T74" s="19">
        <v>1.0</v>
      </c>
      <c r="U74" s="19">
        <v>3.0</v>
      </c>
      <c r="V74" s="13">
        <f t="shared" si="19"/>
        <v>124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1.0</v>
      </c>
      <c r="L75" s="19">
        <v>0.0</v>
      </c>
      <c r="M75" s="19">
        <v>0.0</v>
      </c>
      <c r="N75" s="19">
        <v>0.0</v>
      </c>
      <c r="O75" s="19">
        <v>0.0</v>
      </c>
      <c r="P75" s="19">
        <v>1.0</v>
      </c>
      <c r="Q75" s="19">
        <v>0.0</v>
      </c>
      <c r="R75" s="19">
        <v>0.0</v>
      </c>
      <c r="S75" s="19">
        <v>0.0</v>
      </c>
      <c r="T75" s="19">
        <v>1.0</v>
      </c>
      <c r="U75" s="19">
        <v>1.0</v>
      </c>
      <c r="V75" s="13">
        <f t="shared" si="19"/>
        <v>4</v>
      </c>
    </row>
    <row r="76" ht="12.75" customHeight="1">
      <c r="A76" s="18"/>
      <c r="B76" s="55">
        <v>7.0</v>
      </c>
      <c r="C76" s="50" t="s">
        <v>63</v>
      </c>
      <c r="D76" s="60"/>
      <c r="E76" s="19">
        <v>5.0</v>
      </c>
      <c r="F76" s="19">
        <v>2.0</v>
      </c>
      <c r="G76" s="19">
        <v>2.0</v>
      </c>
      <c r="H76" s="19">
        <v>18.0</v>
      </c>
      <c r="I76" s="19">
        <v>15.0</v>
      </c>
      <c r="J76" s="19">
        <v>8.0</v>
      </c>
      <c r="K76" s="19">
        <v>1.0</v>
      </c>
      <c r="L76" s="19">
        <v>5.0</v>
      </c>
      <c r="M76" s="19">
        <v>3.0</v>
      </c>
      <c r="N76" s="19">
        <v>1.0</v>
      </c>
      <c r="O76" s="19">
        <v>1.0</v>
      </c>
      <c r="P76" s="19">
        <v>0.0</v>
      </c>
      <c r="Q76" s="19">
        <v>0.0</v>
      </c>
      <c r="R76" s="19">
        <v>2.0</v>
      </c>
      <c r="S76" s="19">
        <v>2.0</v>
      </c>
      <c r="T76" s="19">
        <v>0.0</v>
      </c>
      <c r="U76" s="19">
        <v>1.0</v>
      </c>
      <c r="V76" s="13">
        <f t="shared" si="19"/>
        <v>66</v>
      </c>
    </row>
    <row r="77" ht="12.75" customHeight="1">
      <c r="A77" s="18"/>
      <c r="B77" s="56"/>
      <c r="C77" s="57"/>
      <c r="D77" s="6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19"/>
        <v>0</v>
      </c>
    </row>
    <row r="78" ht="12.75" customHeight="1">
      <c r="A78" s="18"/>
      <c r="B78" s="56"/>
      <c r="C78" s="57"/>
      <c r="D78" s="6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19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U79" si="20">SUM(E69:E76)</f>
        <v>90</v>
      </c>
      <c r="F79" s="13">
        <f t="shared" si="20"/>
        <v>46</v>
      </c>
      <c r="G79" s="13">
        <f t="shared" si="20"/>
        <v>59</v>
      </c>
      <c r="H79" s="13">
        <f t="shared" si="20"/>
        <v>88</v>
      </c>
      <c r="I79" s="13">
        <f t="shared" si="20"/>
        <v>101</v>
      </c>
      <c r="J79" s="13">
        <f t="shared" si="20"/>
        <v>59</v>
      </c>
      <c r="K79" s="13">
        <f t="shared" si="20"/>
        <v>35</v>
      </c>
      <c r="L79" s="13">
        <f t="shared" si="20"/>
        <v>46</v>
      </c>
      <c r="M79" s="13">
        <f t="shared" si="20"/>
        <v>24</v>
      </c>
      <c r="N79" s="13">
        <f t="shared" si="20"/>
        <v>16</v>
      </c>
      <c r="O79" s="13">
        <f t="shared" si="20"/>
        <v>47</v>
      </c>
      <c r="P79" s="13">
        <f t="shared" si="20"/>
        <v>58</v>
      </c>
      <c r="Q79" s="13">
        <f t="shared" si="20"/>
        <v>30</v>
      </c>
      <c r="R79" s="13">
        <f t="shared" si="20"/>
        <v>56</v>
      </c>
      <c r="S79" s="13">
        <f t="shared" si="20"/>
        <v>39</v>
      </c>
      <c r="T79" s="13">
        <f t="shared" si="20"/>
        <v>16</v>
      </c>
      <c r="U79" s="13">
        <f t="shared" si="20"/>
        <v>51</v>
      </c>
      <c r="V79" s="13">
        <f t="shared" si="19"/>
        <v>861</v>
      </c>
    </row>
    <row r="80" ht="12.75" customHeight="1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13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3.0</v>
      </c>
      <c r="G81" s="19">
        <v>4.0</v>
      </c>
      <c r="H81" s="19">
        <v>5.0</v>
      </c>
      <c r="I81" s="19">
        <v>2.0</v>
      </c>
      <c r="J81" s="19">
        <v>2.0</v>
      </c>
      <c r="K81" s="19">
        <v>1.0</v>
      </c>
      <c r="L81" s="19">
        <v>0.0</v>
      </c>
      <c r="M81" s="19">
        <v>3.0</v>
      </c>
      <c r="N81" s="19">
        <v>3.0</v>
      </c>
      <c r="O81" s="19">
        <v>6.0</v>
      </c>
      <c r="P81" s="19">
        <v>4.0</v>
      </c>
      <c r="Q81" s="19">
        <v>5.0</v>
      </c>
      <c r="R81" s="19">
        <v>6.0</v>
      </c>
      <c r="S81" s="19">
        <v>10.0</v>
      </c>
      <c r="T81" s="19">
        <v>12.0</v>
      </c>
      <c r="U81" s="19">
        <v>10.0</v>
      </c>
      <c r="V81" s="13">
        <f t="shared" ref="V81:V91" si="21">SUM(E81:U81)</f>
        <v>81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2.0</v>
      </c>
      <c r="G82" s="19">
        <v>1.0</v>
      </c>
      <c r="H82" s="19">
        <v>3.0</v>
      </c>
      <c r="I82" s="19">
        <v>2.0</v>
      </c>
      <c r="J82" s="19">
        <v>3.0</v>
      </c>
      <c r="K82" s="19">
        <v>1.0</v>
      </c>
      <c r="L82" s="19">
        <v>4.0</v>
      </c>
      <c r="M82" s="19">
        <v>2.0</v>
      </c>
      <c r="N82" s="19">
        <v>30.0</v>
      </c>
      <c r="O82" s="19">
        <v>10.0</v>
      </c>
      <c r="P82" s="19">
        <v>4.0</v>
      </c>
      <c r="Q82" s="19">
        <v>29.0</v>
      </c>
      <c r="R82" s="19">
        <v>20.0</v>
      </c>
      <c r="S82" s="19">
        <v>5.0</v>
      </c>
      <c r="T82" s="19">
        <v>7.0</v>
      </c>
      <c r="U82" s="19">
        <v>7.0</v>
      </c>
      <c r="V82" s="13">
        <f t="shared" si="21"/>
        <v>131</v>
      </c>
    </row>
    <row r="83" ht="12.75" customHeight="1">
      <c r="A83" s="18"/>
      <c r="B83" s="55">
        <v>2.0</v>
      </c>
      <c r="C83" s="50" t="s">
        <v>66</v>
      </c>
      <c r="D83" s="60"/>
      <c r="E83" s="19">
        <v>4.0</v>
      </c>
      <c r="F83" s="19">
        <v>1.0</v>
      </c>
      <c r="G83" s="19">
        <v>2.0</v>
      </c>
      <c r="H83" s="19">
        <v>3.0</v>
      </c>
      <c r="I83" s="19">
        <v>2.0</v>
      </c>
      <c r="J83" s="19">
        <v>2.0</v>
      </c>
      <c r="K83" s="19">
        <v>1.0</v>
      </c>
      <c r="L83" s="19">
        <v>1.0</v>
      </c>
      <c r="M83" s="19">
        <v>3.0</v>
      </c>
      <c r="N83" s="19">
        <v>6.0</v>
      </c>
      <c r="O83" s="19">
        <v>3.0</v>
      </c>
      <c r="P83" s="19">
        <v>2.0</v>
      </c>
      <c r="Q83" s="19">
        <v>1.0</v>
      </c>
      <c r="R83" s="19">
        <v>1.0</v>
      </c>
      <c r="S83" s="19">
        <v>2.0</v>
      </c>
      <c r="T83" s="19">
        <v>7.0</v>
      </c>
      <c r="U83" s="19">
        <v>25.0</v>
      </c>
      <c r="V83" s="13">
        <f t="shared" si="21"/>
        <v>66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1.0</v>
      </c>
      <c r="L84" s="19">
        <v>0.0</v>
      </c>
      <c r="M84" s="19">
        <v>1.0</v>
      </c>
      <c r="N84" s="19">
        <v>0.0</v>
      </c>
      <c r="O84" s="19">
        <v>1.0</v>
      </c>
      <c r="P84" s="19">
        <v>0.0</v>
      </c>
      <c r="Q84" s="19">
        <v>0.0</v>
      </c>
      <c r="R84" s="19">
        <v>0.0</v>
      </c>
      <c r="S84" s="19">
        <v>1.0</v>
      </c>
      <c r="T84" s="19">
        <v>2.0</v>
      </c>
      <c r="U84" s="19">
        <v>5.0</v>
      </c>
      <c r="V84" s="13">
        <f t="shared" si="21"/>
        <v>13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3.0</v>
      </c>
      <c r="J85" s="19">
        <v>0.0</v>
      </c>
      <c r="K85" s="19">
        <v>0.0</v>
      </c>
      <c r="L85" s="19">
        <v>0.0</v>
      </c>
      <c r="M85" s="19">
        <v>9.0</v>
      </c>
      <c r="N85" s="19">
        <v>4.0</v>
      </c>
      <c r="O85" s="19">
        <v>0.0</v>
      </c>
      <c r="P85" s="19">
        <v>2.0</v>
      </c>
      <c r="Q85" s="19">
        <v>0.0</v>
      </c>
      <c r="R85" s="19">
        <v>0.0</v>
      </c>
      <c r="S85" s="19">
        <v>2.0</v>
      </c>
      <c r="T85" s="19">
        <v>3.0</v>
      </c>
      <c r="U85" s="19">
        <v>1.0</v>
      </c>
      <c r="V85" s="13">
        <f t="shared" si="21"/>
        <v>24</v>
      </c>
    </row>
    <row r="86" ht="12.75" customHeight="1">
      <c r="A86" s="18"/>
      <c r="B86" s="55">
        <v>5.0</v>
      </c>
      <c r="C86" s="50" t="s">
        <v>69</v>
      </c>
      <c r="D86" s="60"/>
      <c r="E86" s="19">
        <v>5.0</v>
      </c>
      <c r="F86" s="19">
        <v>1.0</v>
      </c>
      <c r="G86" s="19">
        <v>1.0</v>
      </c>
      <c r="H86" s="19">
        <v>0.0</v>
      </c>
      <c r="I86" s="19">
        <v>0.0</v>
      </c>
      <c r="J86" s="19">
        <v>0.0</v>
      </c>
      <c r="K86" s="19">
        <v>2.0</v>
      </c>
      <c r="L86" s="19">
        <v>0.0</v>
      </c>
      <c r="M86" s="19">
        <v>0.0</v>
      </c>
      <c r="N86" s="19">
        <v>0.0</v>
      </c>
      <c r="O86" s="19">
        <v>5.0</v>
      </c>
      <c r="P86" s="19">
        <v>0.0</v>
      </c>
      <c r="Q86" s="19">
        <v>2.0</v>
      </c>
      <c r="R86" s="19">
        <v>1.0</v>
      </c>
      <c r="S86" s="19">
        <v>0.0</v>
      </c>
      <c r="T86" s="19">
        <v>0.0</v>
      </c>
      <c r="U86" s="19">
        <v>3.0</v>
      </c>
      <c r="V86" s="13">
        <f t="shared" si="21"/>
        <v>20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1.0</v>
      </c>
      <c r="V87" s="13">
        <f t="shared" si="21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3">
        <f t="shared" si="21"/>
        <v>0</v>
      </c>
    </row>
    <row r="89" ht="12.75" customHeight="1">
      <c r="A89" s="18"/>
      <c r="B89" s="56"/>
      <c r="C89" s="57"/>
      <c r="D89" s="6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3">
        <f t="shared" si="21"/>
        <v>0</v>
      </c>
    </row>
    <row r="90" ht="12.75" customHeight="1">
      <c r="A90" s="18"/>
      <c r="B90" s="56"/>
      <c r="C90" s="57"/>
      <c r="D90" s="6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3">
        <f t="shared" si="21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U91" si="22">SUM(E81:E88)</f>
        <v>15</v>
      </c>
      <c r="F91" s="13">
        <f t="shared" si="22"/>
        <v>7</v>
      </c>
      <c r="G91" s="13">
        <f t="shared" si="22"/>
        <v>8</v>
      </c>
      <c r="H91" s="13">
        <f t="shared" si="22"/>
        <v>12</v>
      </c>
      <c r="I91" s="13">
        <f t="shared" si="22"/>
        <v>10</v>
      </c>
      <c r="J91" s="13">
        <f t="shared" si="22"/>
        <v>7</v>
      </c>
      <c r="K91" s="13">
        <f t="shared" si="22"/>
        <v>6</v>
      </c>
      <c r="L91" s="13">
        <f t="shared" si="22"/>
        <v>5</v>
      </c>
      <c r="M91" s="13">
        <f t="shared" si="22"/>
        <v>18</v>
      </c>
      <c r="N91" s="13">
        <f t="shared" si="22"/>
        <v>43</v>
      </c>
      <c r="O91" s="13">
        <f t="shared" si="22"/>
        <v>25</v>
      </c>
      <c r="P91" s="13">
        <f t="shared" si="22"/>
        <v>12</v>
      </c>
      <c r="Q91" s="13">
        <f t="shared" si="22"/>
        <v>38</v>
      </c>
      <c r="R91" s="13">
        <f t="shared" si="22"/>
        <v>28</v>
      </c>
      <c r="S91" s="13">
        <f t="shared" si="22"/>
        <v>20</v>
      </c>
      <c r="T91" s="13">
        <f t="shared" si="22"/>
        <v>31</v>
      </c>
      <c r="U91" s="13">
        <f t="shared" si="22"/>
        <v>52</v>
      </c>
      <c r="V91" s="13">
        <f t="shared" si="21"/>
        <v>337</v>
      </c>
    </row>
    <row r="92" ht="12.75" customHeight="1">
      <c r="A92" s="74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13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2.0</v>
      </c>
      <c r="G93" s="19">
        <v>2.0</v>
      </c>
      <c r="H93" s="19">
        <v>2.0</v>
      </c>
      <c r="I93" s="19">
        <v>3.0</v>
      </c>
      <c r="J93" s="19">
        <v>0.0</v>
      </c>
      <c r="K93" s="19">
        <v>1.0</v>
      </c>
      <c r="L93" s="19">
        <v>1.0</v>
      </c>
      <c r="M93" s="19">
        <v>4.0</v>
      </c>
      <c r="N93" s="19">
        <v>1.0</v>
      </c>
      <c r="O93" s="19">
        <v>4.0</v>
      </c>
      <c r="P93" s="19">
        <v>4.0</v>
      </c>
      <c r="Q93" s="19">
        <v>1.0</v>
      </c>
      <c r="R93" s="19">
        <v>0.0</v>
      </c>
      <c r="S93" s="19">
        <v>0.0</v>
      </c>
      <c r="T93" s="19">
        <v>3.0</v>
      </c>
      <c r="U93" s="19">
        <v>0.0</v>
      </c>
      <c r="V93" s="13">
        <f t="shared" ref="V93:V103" si="23">SUM(E93:U93)</f>
        <v>31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1.0</v>
      </c>
      <c r="G94" s="19">
        <v>0.0</v>
      </c>
      <c r="H94" s="19">
        <v>1.0</v>
      </c>
      <c r="I94" s="19">
        <v>1.0</v>
      </c>
      <c r="J94" s="19">
        <v>2.0</v>
      </c>
      <c r="K94" s="19">
        <v>3.0</v>
      </c>
      <c r="L94" s="19">
        <v>3.0</v>
      </c>
      <c r="M94" s="19">
        <v>7.0</v>
      </c>
      <c r="N94" s="19">
        <v>1.0</v>
      </c>
      <c r="O94" s="19">
        <v>1.0</v>
      </c>
      <c r="P94" s="19">
        <v>1.0</v>
      </c>
      <c r="Q94" s="19">
        <v>2.0</v>
      </c>
      <c r="R94" s="19">
        <v>0.0</v>
      </c>
      <c r="S94" s="19">
        <v>1.0</v>
      </c>
      <c r="T94" s="19">
        <v>4.0</v>
      </c>
      <c r="U94" s="19">
        <v>1.0</v>
      </c>
      <c r="V94" s="13">
        <f t="shared" si="23"/>
        <v>29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2.0</v>
      </c>
      <c r="H95" s="19">
        <v>2.0</v>
      </c>
      <c r="I95" s="19">
        <v>2.0</v>
      </c>
      <c r="J95" s="19">
        <v>1.0</v>
      </c>
      <c r="K95" s="19">
        <v>5.0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2.0</v>
      </c>
      <c r="S95" s="19">
        <v>2.0</v>
      </c>
      <c r="T95" s="19">
        <v>1.0</v>
      </c>
      <c r="U95" s="19">
        <v>2.0</v>
      </c>
      <c r="V95" s="13">
        <f t="shared" si="23"/>
        <v>20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3">
        <f t="shared" si="23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0.0</v>
      </c>
      <c r="G97" s="19">
        <v>2.0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6.0</v>
      </c>
      <c r="P97" s="19">
        <v>3.0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3">
        <f t="shared" si="23"/>
        <v>13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9">
        <v>0.0</v>
      </c>
      <c r="T98" s="19">
        <v>0.0</v>
      </c>
      <c r="U98" s="19">
        <v>0.0</v>
      </c>
      <c r="V98" s="13">
        <f t="shared" si="23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3">
        <f t="shared" si="23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3">
        <f t="shared" si="23"/>
        <v>1</v>
      </c>
    </row>
    <row r="101" ht="12.75" customHeight="1">
      <c r="A101" s="18"/>
      <c r="B101" s="56"/>
      <c r="C101" s="57"/>
      <c r="D101" s="6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3">
        <f t="shared" si="23"/>
        <v>0</v>
      </c>
    </row>
    <row r="102" ht="12.75" customHeight="1">
      <c r="A102" s="18"/>
      <c r="B102" s="56"/>
      <c r="C102" s="57"/>
      <c r="D102" s="6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3">
        <f t="shared" si="23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U103" si="24">SUM(E93:E100)</f>
        <v>5</v>
      </c>
      <c r="F103" s="13">
        <f t="shared" si="24"/>
        <v>4</v>
      </c>
      <c r="G103" s="13">
        <f t="shared" si="24"/>
        <v>6</v>
      </c>
      <c r="H103" s="13">
        <f t="shared" si="24"/>
        <v>5</v>
      </c>
      <c r="I103" s="13">
        <f t="shared" si="24"/>
        <v>6</v>
      </c>
      <c r="J103" s="13">
        <f t="shared" si="24"/>
        <v>3</v>
      </c>
      <c r="K103" s="13">
        <f t="shared" si="24"/>
        <v>9</v>
      </c>
      <c r="L103" s="13">
        <f t="shared" si="24"/>
        <v>4</v>
      </c>
      <c r="M103" s="13">
        <f t="shared" si="24"/>
        <v>12</v>
      </c>
      <c r="N103" s="13">
        <f t="shared" si="24"/>
        <v>2</v>
      </c>
      <c r="O103" s="13">
        <f t="shared" si="24"/>
        <v>11</v>
      </c>
      <c r="P103" s="13">
        <f t="shared" si="24"/>
        <v>9</v>
      </c>
      <c r="Q103" s="13">
        <f t="shared" si="24"/>
        <v>4</v>
      </c>
      <c r="R103" s="13">
        <f t="shared" si="24"/>
        <v>2</v>
      </c>
      <c r="S103" s="13">
        <f t="shared" si="24"/>
        <v>3</v>
      </c>
      <c r="T103" s="13">
        <f t="shared" si="24"/>
        <v>8</v>
      </c>
      <c r="U103" s="13">
        <f t="shared" si="24"/>
        <v>4</v>
      </c>
      <c r="V103" s="13">
        <f t="shared" si="23"/>
        <v>97</v>
      </c>
    </row>
    <row r="104" ht="12.75" customHeight="1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13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1.0</v>
      </c>
      <c r="P105" s="19">
        <v>0.0</v>
      </c>
      <c r="Q105" s="19">
        <v>0.0</v>
      </c>
      <c r="R105" s="19">
        <v>0.0</v>
      </c>
      <c r="S105" s="19">
        <v>0.0</v>
      </c>
      <c r="T105" s="19">
        <v>1.0</v>
      </c>
      <c r="U105" s="19">
        <v>0.0</v>
      </c>
      <c r="V105" s="13">
        <f t="shared" ref="V105:V115" si="25">SUM(E105:U105)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3">
        <f t="shared" si="25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1.0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3">
        <f t="shared" si="25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3">
        <f t="shared" si="25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3">
        <f t="shared" si="25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3">
        <f t="shared" si="25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3">
        <f t="shared" si="25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3">
        <f t="shared" si="25"/>
        <v>0</v>
      </c>
    </row>
    <row r="113" ht="12.75" customHeight="1">
      <c r="A113" s="18"/>
      <c r="B113" s="56"/>
      <c r="C113" s="57"/>
      <c r="D113" s="6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5"/>
        <v>0</v>
      </c>
    </row>
    <row r="114" ht="12.75" customHeight="1">
      <c r="A114" s="18"/>
      <c r="B114" s="56"/>
      <c r="C114" s="57"/>
      <c r="D114" s="6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5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U115" si="26">SUM(E105:E112)</f>
        <v>3</v>
      </c>
      <c r="F115" s="13">
        <f t="shared" si="26"/>
        <v>0</v>
      </c>
      <c r="G115" s="13">
        <f t="shared" si="26"/>
        <v>0</v>
      </c>
      <c r="H115" s="13">
        <f t="shared" si="26"/>
        <v>1</v>
      </c>
      <c r="I115" s="13">
        <f t="shared" si="26"/>
        <v>0</v>
      </c>
      <c r="J115" s="13">
        <f t="shared" si="26"/>
        <v>0</v>
      </c>
      <c r="K115" s="13">
        <f t="shared" si="26"/>
        <v>1</v>
      </c>
      <c r="L115" s="13">
        <f t="shared" si="26"/>
        <v>1</v>
      </c>
      <c r="M115" s="13">
        <f t="shared" si="26"/>
        <v>1</v>
      </c>
      <c r="N115" s="13">
        <f t="shared" si="26"/>
        <v>1</v>
      </c>
      <c r="O115" s="13">
        <f t="shared" si="26"/>
        <v>1</v>
      </c>
      <c r="P115" s="13">
        <f t="shared" si="26"/>
        <v>0</v>
      </c>
      <c r="Q115" s="13">
        <f t="shared" si="26"/>
        <v>0</v>
      </c>
      <c r="R115" s="13">
        <f t="shared" si="26"/>
        <v>0</v>
      </c>
      <c r="S115" s="13">
        <f t="shared" si="26"/>
        <v>0</v>
      </c>
      <c r="T115" s="13">
        <f t="shared" si="26"/>
        <v>1</v>
      </c>
      <c r="U115" s="13">
        <f t="shared" si="26"/>
        <v>0</v>
      </c>
      <c r="V115" s="13">
        <f t="shared" si="25"/>
        <v>10</v>
      </c>
    </row>
    <row r="116" ht="12.75" customHeight="1">
      <c r="A116" s="76"/>
      <c r="B116" s="77"/>
      <c r="C116" s="77"/>
      <c r="D116" s="77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0.0</v>
      </c>
      <c r="J117" s="19">
        <v>1.0</v>
      </c>
      <c r="K117" s="19">
        <v>0.0</v>
      </c>
      <c r="L117" s="19">
        <v>1.0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1.0</v>
      </c>
      <c r="S117" s="19">
        <v>1.0</v>
      </c>
      <c r="T117" s="19">
        <v>0.0</v>
      </c>
      <c r="U117" s="19">
        <v>0.0</v>
      </c>
      <c r="V117" s="13">
        <f t="shared" ref="V117:V127" si="27">SUM(E117:U117)</f>
        <v>5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1.0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2.0</v>
      </c>
      <c r="S118" s="19">
        <v>0.0</v>
      </c>
      <c r="T118" s="19">
        <v>0.0</v>
      </c>
      <c r="U118" s="19">
        <v>0.0</v>
      </c>
      <c r="V118" s="13">
        <f t="shared" si="27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3">
        <f t="shared" si="27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1.0</v>
      </c>
      <c r="T120" s="19">
        <v>0.0</v>
      </c>
      <c r="U120" s="19">
        <v>0.0</v>
      </c>
      <c r="V120" s="13">
        <f t="shared" si="27"/>
        <v>1</v>
      </c>
    </row>
    <row r="121" ht="12.75" customHeight="1">
      <c r="A121" s="18"/>
      <c r="B121" s="56"/>
      <c r="C121" s="57"/>
      <c r="D121" s="61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13">
        <f t="shared" si="27"/>
        <v>0</v>
      </c>
    </row>
    <row r="122" ht="12.75" customHeight="1">
      <c r="A122" s="18"/>
      <c r="B122" s="56"/>
      <c r="C122" s="57"/>
      <c r="D122" s="61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13">
        <f t="shared" si="27"/>
        <v>0</v>
      </c>
    </row>
    <row r="123" ht="12.75" customHeight="1">
      <c r="A123" s="18"/>
      <c r="B123" s="56"/>
      <c r="C123" s="57"/>
      <c r="D123" s="6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3">
        <f t="shared" si="27"/>
        <v>0</v>
      </c>
    </row>
    <row r="124" ht="12.75" customHeight="1">
      <c r="A124" s="18"/>
      <c r="B124" s="56"/>
      <c r="C124" s="57"/>
      <c r="D124" s="6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3">
        <f t="shared" si="27"/>
        <v>0</v>
      </c>
    </row>
    <row r="125" ht="12.75" customHeight="1">
      <c r="A125" s="18"/>
      <c r="B125" s="56"/>
      <c r="C125" s="57"/>
      <c r="D125" s="6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13">
        <f t="shared" si="27"/>
        <v>0</v>
      </c>
    </row>
    <row r="126" ht="12.75" customHeight="1">
      <c r="A126" s="18"/>
      <c r="B126" s="56"/>
      <c r="C126" s="57"/>
      <c r="D126" s="6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13">
        <f t="shared" si="27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62">
        <f t="shared" ref="E127:U127" si="28">SUM(E117:E120)</f>
        <v>0</v>
      </c>
      <c r="F127" s="62">
        <f t="shared" si="28"/>
        <v>1</v>
      </c>
      <c r="G127" s="62">
        <f t="shared" si="28"/>
        <v>0</v>
      </c>
      <c r="H127" s="62">
        <f t="shared" si="28"/>
        <v>2</v>
      </c>
      <c r="I127" s="62">
        <f t="shared" si="28"/>
        <v>0</v>
      </c>
      <c r="J127" s="62">
        <f t="shared" si="28"/>
        <v>1</v>
      </c>
      <c r="K127" s="62">
        <f t="shared" si="28"/>
        <v>0</v>
      </c>
      <c r="L127" s="62">
        <f t="shared" si="28"/>
        <v>1</v>
      </c>
      <c r="M127" s="62">
        <f t="shared" si="28"/>
        <v>0</v>
      </c>
      <c r="N127" s="62">
        <f t="shared" si="28"/>
        <v>0</v>
      </c>
      <c r="O127" s="62">
        <f t="shared" si="28"/>
        <v>0</v>
      </c>
      <c r="P127" s="62">
        <f t="shared" si="28"/>
        <v>0</v>
      </c>
      <c r="Q127" s="62">
        <f t="shared" si="28"/>
        <v>0</v>
      </c>
      <c r="R127" s="62">
        <f t="shared" si="28"/>
        <v>3</v>
      </c>
      <c r="S127" s="62">
        <f t="shared" si="28"/>
        <v>2</v>
      </c>
      <c r="T127" s="62">
        <f t="shared" si="28"/>
        <v>1</v>
      </c>
      <c r="U127" s="62">
        <f t="shared" si="28"/>
        <v>0</v>
      </c>
      <c r="V127" s="13">
        <f t="shared" si="27"/>
        <v>11</v>
      </c>
    </row>
    <row r="128" ht="12.75" customHeight="1">
      <c r="A128" s="76"/>
      <c r="B128" s="77"/>
      <c r="C128" s="77"/>
      <c r="D128" s="77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13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6.0</v>
      </c>
      <c r="F129" s="19">
        <v>7.0</v>
      </c>
      <c r="G129" s="19">
        <v>2.0</v>
      </c>
      <c r="H129" s="19">
        <v>3.0</v>
      </c>
      <c r="I129" s="19">
        <v>4.0</v>
      </c>
      <c r="J129" s="19">
        <v>2.0</v>
      </c>
      <c r="K129" s="19">
        <v>1.0</v>
      </c>
      <c r="L129" s="19">
        <v>1.0</v>
      </c>
      <c r="M129" s="19">
        <v>2.0</v>
      </c>
      <c r="N129" s="19">
        <v>1.0</v>
      </c>
      <c r="O129" s="19">
        <v>2.0</v>
      </c>
      <c r="P129" s="19">
        <v>0.0</v>
      </c>
      <c r="Q129" s="19">
        <v>4.0</v>
      </c>
      <c r="R129" s="19">
        <v>0.0</v>
      </c>
      <c r="S129" s="19">
        <v>2.0</v>
      </c>
      <c r="T129" s="19">
        <v>0.0</v>
      </c>
      <c r="U129" s="19">
        <v>2.0</v>
      </c>
      <c r="V129" s="13">
        <f t="shared" ref="V129:V139" si="29">SUM(E129:U129)</f>
        <v>39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8.0</v>
      </c>
      <c r="F130" s="19">
        <v>8.0</v>
      </c>
      <c r="G130" s="19">
        <v>6.0</v>
      </c>
      <c r="H130" s="19">
        <v>8.0</v>
      </c>
      <c r="I130" s="19">
        <v>7.0</v>
      </c>
      <c r="J130" s="19">
        <v>5.0</v>
      </c>
      <c r="K130" s="19">
        <v>4.0</v>
      </c>
      <c r="L130" s="19">
        <v>3.0</v>
      </c>
      <c r="M130" s="19">
        <v>7.0</v>
      </c>
      <c r="N130" s="19">
        <v>0.0</v>
      </c>
      <c r="O130" s="19">
        <v>0.0</v>
      </c>
      <c r="P130" s="19">
        <v>2.0</v>
      </c>
      <c r="Q130" s="19">
        <v>4.0</v>
      </c>
      <c r="R130" s="19">
        <v>1.0</v>
      </c>
      <c r="S130" s="19">
        <v>1.0</v>
      </c>
      <c r="T130" s="19">
        <v>2.0</v>
      </c>
      <c r="U130" s="19">
        <v>0.0</v>
      </c>
      <c r="V130" s="13">
        <f t="shared" si="29"/>
        <v>66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5.0</v>
      </c>
      <c r="F131" s="19">
        <v>8.0</v>
      </c>
      <c r="G131" s="19">
        <v>7.0</v>
      </c>
      <c r="H131" s="19">
        <v>2.0</v>
      </c>
      <c r="I131" s="19">
        <v>3.0</v>
      </c>
      <c r="J131" s="19">
        <v>0.0</v>
      </c>
      <c r="K131" s="19">
        <v>2.0</v>
      </c>
      <c r="L131" s="19">
        <v>0.0</v>
      </c>
      <c r="M131" s="19">
        <v>9.0</v>
      </c>
      <c r="N131" s="19">
        <v>0.0</v>
      </c>
      <c r="O131" s="19">
        <v>3.0</v>
      </c>
      <c r="P131" s="19">
        <v>8.0</v>
      </c>
      <c r="Q131" s="19">
        <v>3.0</v>
      </c>
      <c r="R131" s="19">
        <v>1.0</v>
      </c>
      <c r="S131" s="19">
        <v>7.0</v>
      </c>
      <c r="T131" s="19">
        <v>2.0</v>
      </c>
      <c r="U131" s="19">
        <v>0.0</v>
      </c>
      <c r="V131" s="13">
        <f t="shared" si="29"/>
        <v>60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2.0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1.0</v>
      </c>
      <c r="T132" s="19">
        <v>0.0</v>
      </c>
      <c r="U132" s="19">
        <v>1.0</v>
      </c>
      <c r="V132" s="13">
        <f t="shared" si="29"/>
        <v>6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1.0</v>
      </c>
      <c r="G133" s="19">
        <v>1.0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3">
        <f t="shared" si="29"/>
        <v>4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3">
        <f t="shared" si="29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1.0</v>
      </c>
      <c r="S135" s="19">
        <v>0.0</v>
      </c>
      <c r="T135" s="19">
        <v>0.0</v>
      </c>
      <c r="U135" s="19">
        <v>0.0</v>
      </c>
      <c r="V135" s="13">
        <f t="shared" si="29"/>
        <v>2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3">
        <f t="shared" si="29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3">
        <f t="shared" si="29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3">
        <f t="shared" si="29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U139" si="30">SUM(E129:E136)</f>
        <v>21</v>
      </c>
      <c r="F139" s="13">
        <f t="shared" si="30"/>
        <v>24</v>
      </c>
      <c r="G139" s="13">
        <f t="shared" si="30"/>
        <v>16</v>
      </c>
      <c r="H139" s="13">
        <f t="shared" si="30"/>
        <v>13</v>
      </c>
      <c r="I139" s="13">
        <f t="shared" si="30"/>
        <v>16</v>
      </c>
      <c r="J139" s="13">
        <f t="shared" si="30"/>
        <v>8</v>
      </c>
      <c r="K139" s="13">
        <f t="shared" si="30"/>
        <v>7</v>
      </c>
      <c r="L139" s="13">
        <f t="shared" si="30"/>
        <v>4</v>
      </c>
      <c r="M139" s="13">
        <f t="shared" si="30"/>
        <v>19</v>
      </c>
      <c r="N139" s="13">
        <f t="shared" si="30"/>
        <v>2</v>
      </c>
      <c r="O139" s="13">
        <f t="shared" si="30"/>
        <v>5</v>
      </c>
      <c r="P139" s="13">
        <f t="shared" si="30"/>
        <v>11</v>
      </c>
      <c r="Q139" s="13">
        <f t="shared" si="30"/>
        <v>11</v>
      </c>
      <c r="R139" s="13">
        <f t="shared" si="30"/>
        <v>3</v>
      </c>
      <c r="S139" s="13">
        <f t="shared" si="30"/>
        <v>11</v>
      </c>
      <c r="T139" s="13">
        <f t="shared" si="30"/>
        <v>4</v>
      </c>
      <c r="U139" s="13">
        <f t="shared" si="30"/>
        <v>3</v>
      </c>
      <c r="V139" s="13">
        <f t="shared" si="29"/>
        <v>178</v>
      </c>
    </row>
    <row r="140" ht="12.75" customHeight="1">
      <c r="A140" s="76"/>
      <c r="B140" s="77"/>
      <c r="C140" s="77"/>
      <c r="D140" s="77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13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1.0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3">
        <f t="shared" ref="V141:V151" si="31">SUM(E141:U141)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3">
        <f t="shared" si="31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3">
        <f t="shared" si="31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3">
        <f t="shared" si="31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3">
        <f t="shared" si="31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3">
        <f t="shared" si="31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1.0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3">
        <f t="shared" si="31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3">
        <f t="shared" si="31"/>
        <v>0</v>
      </c>
    </row>
    <row r="149" ht="12.75" customHeight="1">
      <c r="A149" s="18"/>
      <c r="B149" s="56"/>
      <c r="C149" s="57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1"/>
        <v>0</v>
      </c>
    </row>
    <row r="150" ht="12.75" customHeight="1">
      <c r="A150" s="18"/>
      <c r="B150" s="56"/>
      <c r="C150" s="57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1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U151" si="32">SUM(E141:E148)</f>
        <v>0</v>
      </c>
      <c r="F151" s="13">
        <f t="shared" si="32"/>
        <v>0</v>
      </c>
      <c r="G151" s="13">
        <f t="shared" si="32"/>
        <v>0</v>
      </c>
      <c r="H151" s="13">
        <f t="shared" si="32"/>
        <v>0</v>
      </c>
      <c r="I151" s="13">
        <f t="shared" si="32"/>
        <v>0</v>
      </c>
      <c r="J151" s="13">
        <f t="shared" si="32"/>
        <v>0</v>
      </c>
      <c r="K151" s="13">
        <f t="shared" si="32"/>
        <v>0</v>
      </c>
      <c r="L151" s="13">
        <f t="shared" si="32"/>
        <v>0</v>
      </c>
      <c r="M151" s="13">
        <f t="shared" si="32"/>
        <v>0</v>
      </c>
      <c r="N151" s="13">
        <f t="shared" si="32"/>
        <v>0</v>
      </c>
      <c r="O151" s="13">
        <f t="shared" si="32"/>
        <v>0</v>
      </c>
      <c r="P151" s="13">
        <f t="shared" si="32"/>
        <v>2</v>
      </c>
      <c r="Q151" s="13">
        <f t="shared" si="32"/>
        <v>0</v>
      </c>
      <c r="R151" s="13">
        <f t="shared" si="32"/>
        <v>0</v>
      </c>
      <c r="S151" s="13">
        <f t="shared" si="32"/>
        <v>0</v>
      </c>
      <c r="T151" s="13">
        <f t="shared" si="32"/>
        <v>0</v>
      </c>
      <c r="U151" s="13">
        <f t="shared" si="32"/>
        <v>0</v>
      </c>
      <c r="V151" s="13">
        <f t="shared" si="31"/>
        <v>2</v>
      </c>
    </row>
    <row r="152" ht="12.75" customHeight="1">
      <c r="A152" s="76"/>
      <c r="B152" s="77"/>
      <c r="C152" s="77"/>
      <c r="D152" s="77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3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5.0</v>
      </c>
      <c r="T153" s="19">
        <v>0.0</v>
      </c>
      <c r="U153" s="19">
        <v>0.0</v>
      </c>
      <c r="V153" s="13">
        <f t="shared" ref="V153:V163" si="33">SUM(E153:U153)</f>
        <v>7</v>
      </c>
    </row>
    <row r="154" ht="12.75" customHeight="1">
      <c r="A154" s="30" t="s">
        <v>39</v>
      </c>
      <c r="B154" s="55">
        <v>1.0</v>
      </c>
      <c r="C154" s="63" t="s">
        <v>115</v>
      </c>
      <c r="D154" s="60"/>
      <c r="E154" s="19">
        <v>0.0</v>
      </c>
      <c r="F154" s="19">
        <v>1.0</v>
      </c>
      <c r="G154" s="19">
        <v>1.0</v>
      </c>
      <c r="H154" s="19">
        <v>0.0</v>
      </c>
      <c r="I154" s="19">
        <v>0.0</v>
      </c>
      <c r="J154" s="19">
        <v>2.0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1.0</v>
      </c>
      <c r="T154" s="19">
        <v>0.0</v>
      </c>
      <c r="U154" s="19">
        <v>0.0</v>
      </c>
      <c r="V154" s="13">
        <f t="shared" si="33"/>
        <v>6</v>
      </c>
    </row>
    <row r="155" ht="12.75" customHeight="1">
      <c r="A155" s="18"/>
      <c r="B155" s="55">
        <v>2.0</v>
      </c>
      <c r="C155" s="63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1.0</v>
      </c>
      <c r="L155" s="19">
        <v>1.0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3">
        <f t="shared" si="33"/>
        <v>3</v>
      </c>
    </row>
    <row r="156" ht="12.75" customHeight="1">
      <c r="A156" s="18"/>
      <c r="B156" s="55">
        <v>3.0</v>
      </c>
      <c r="C156" s="63" t="s">
        <v>117</v>
      </c>
      <c r="D156" s="60"/>
      <c r="E156" s="19">
        <v>0.0</v>
      </c>
      <c r="F156" s="19">
        <v>0.0</v>
      </c>
      <c r="G156" s="19">
        <v>1.0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3">
        <f t="shared" si="33"/>
        <v>2</v>
      </c>
    </row>
    <row r="157" ht="12.75" customHeight="1">
      <c r="A157" s="18"/>
      <c r="B157" s="55">
        <v>4.0</v>
      </c>
      <c r="C157" s="63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3">
        <f t="shared" si="33"/>
        <v>0</v>
      </c>
    </row>
    <row r="158" ht="12.75" customHeight="1">
      <c r="A158" s="18"/>
      <c r="B158" s="56"/>
      <c r="C158" s="64"/>
      <c r="D158" s="6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3">
        <f t="shared" si="33"/>
        <v>0</v>
      </c>
    </row>
    <row r="159" ht="12.75" customHeight="1">
      <c r="A159" s="18"/>
      <c r="B159" s="56"/>
      <c r="C159" s="64"/>
      <c r="D159" s="6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3">
        <f t="shared" si="33"/>
        <v>0</v>
      </c>
    </row>
    <row r="160" ht="12.75" customHeight="1">
      <c r="A160" s="18"/>
      <c r="B160" s="56"/>
      <c r="C160" s="64"/>
      <c r="D160" s="6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3">
        <f t="shared" si="33"/>
        <v>0</v>
      </c>
    </row>
    <row r="161" ht="12.75" customHeight="1">
      <c r="A161" s="18"/>
      <c r="B161" s="56"/>
      <c r="C161" s="64"/>
      <c r="D161" s="6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3"/>
        <v>0</v>
      </c>
    </row>
    <row r="162" ht="12.75" customHeight="1">
      <c r="A162" s="18"/>
      <c r="B162" s="56"/>
      <c r="C162" s="64"/>
      <c r="D162" s="6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3"/>
        <v>0</v>
      </c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U163" si="34">SUM(E153:E157)</f>
        <v>0</v>
      </c>
      <c r="F163" s="13">
        <f t="shared" si="34"/>
        <v>1</v>
      </c>
      <c r="G163" s="13">
        <f t="shared" si="34"/>
        <v>2</v>
      </c>
      <c r="H163" s="13">
        <f t="shared" si="34"/>
        <v>1</v>
      </c>
      <c r="I163" s="13">
        <f t="shared" si="34"/>
        <v>0</v>
      </c>
      <c r="J163" s="13">
        <f t="shared" si="34"/>
        <v>2</v>
      </c>
      <c r="K163" s="13">
        <f t="shared" si="34"/>
        <v>1</v>
      </c>
      <c r="L163" s="13">
        <f t="shared" si="34"/>
        <v>1</v>
      </c>
      <c r="M163" s="13">
        <f t="shared" si="34"/>
        <v>0</v>
      </c>
      <c r="N163" s="13">
        <f t="shared" si="34"/>
        <v>3</v>
      </c>
      <c r="O163" s="13">
        <f t="shared" si="34"/>
        <v>0</v>
      </c>
      <c r="P163" s="13">
        <f t="shared" si="34"/>
        <v>0</v>
      </c>
      <c r="Q163" s="13">
        <f t="shared" si="34"/>
        <v>1</v>
      </c>
      <c r="R163" s="13">
        <f t="shared" si="34"/>
        <v>0</v>
      </c>
      <c r="S163" s="13">
        <f t="shared" si="34"/>
        <v>6</v>
      </c>
      <c r="T163" s="13">
        <f t="shared" si="34"/>
        <v>0</v>
      </c>
      <c r="U163" s="13">
        <f t="shared" si="34"/>
        <v>0</v>
      </c>
      <c r="V163" s="13">
        <f t="shared" si="33"/>
        <v>18</v>
      </c>
    </row>
    <row r="164" ht="12.75" customHeight="1">
      <c r="A164" s="76"/>
      <c r="B164" s="77"/>
      <c r="C164" s="77"/>
      <c r="D164" s="77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13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1.0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3">
        <f t="shared" ref="V165:V175" si="35">SUM(E165:U165)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3">
        <f t="shared" si="35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1.0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3">
        <f t="shared" si="35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1.0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3">
        <f t="shared" si="35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1.0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1.0</v>
      </c>
      <c r="S170" s="19">
        <v>0.0</v>
      </c>
      <c r="T170" s="19">
        <v>0.0</v>
      </c>
      <c r="U170" s="19">
        <v>0.0</v>
      </c>
      <c r="V170" s="13">
        <f t="shared" si="35"/>
        <v>2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3">
        <f t="shared" si="35"/>
        <v>0</v>
      </c>
    </row>
    <row r="173" ht="12.75" customHeight="1">
      <c r="A173" s="18"/>
      <c r="B173" s="56"/>
      <c r="C173" s="57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5"/>
        <v>0</v>
      </c>
    </row>
    <row r="174" ht="12.75" customHeight="1">
      <c r="A174" s="18"/>
      <c r="B174" s="56"/>
      <c r="C174" s="57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U175" si="36">SUM(E165:E172)</f>
        <v>1</v>
      </c>
      <c r="F175" s="13">
        <f t="shared" si="36"/>
        <v>1</v>
      </c>
      <c r="G175" s="13">
        <f t="shared" si="36"/>
        <v>1</v>
      </c>
      <c r="H175" s="13">
        <f t="shared" si="36"/>
        <v>0</v>
      </c>
      <c r="I175" s="13">
        <f t="shared" si="36"/>
        <v>1</v>
      </c>
      <c r="J175" s="13">
        <f t="shared" si="36"/>
        <v>1</v>
      </c>
      <c r="K175" s="13">
        <f t="shared" si="36"/>
        <v>0</v>
      </c>
      <c r="L175" s="13">
        <f t="shared" si="36"/>
        <v>2</v>
      </c>
      <c r="M175" s="13">
        <f t="shared" si="36"/>
        <v>0</v>
      </c>
      <c r="N175" s="13">
        <f t="shared" si="36"/>
        <v>1</v>
      </c>
      <c r="O175" s="13">
        <f t="shared" si="36"/>
        <v>0</v>
      </c>
      <c r="P175" s="13">
        <f t="shared" si="36"/>
        <v>1</v>
      </c>
      <c r="Q175" s="13">
        <f t="shared" si="36"/>
        <v>0</v>
      </c>
      <c r="R175" s="13">
        <f t="shared" si="36"/>
        <v>1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5"/>
        <v>10</v>
      </c>
    </row>
    <row r="176" ht="12.75" customHeight="1">
      <c r="A176" s="76"/>
      <c r="B176" s="77"/>
      <c r="C176" s="77"/>
      <c r="D176" s="77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13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2.0</v>
      </c>
      <c r="H177" s="19">
        <v>1.0</v>
      </c>
      <c r="I177" s="19">
        <v>0.0</v>
      </c>
      <c r="J177" s="19">
        <v>0.0</v>
      </c>
      <c r="K177" s="19">
        <v>3.0</v>
      </c>
      <c r="L177" s="19">
        <v>2.0</v>
      </c>
      <c r="M177" s="19">
        <v>0.0</v>
      </c>
      <c r="N177" s="19">
        <v>1.0</v>
      </c>
      <c r="O177" s="19">
        <v>0.0</v>
      </c>
      <c r="P177" s="19">
        <v>2.0</v>
      </c>
      <c r="Q177" s="19">
        <v>1.0</v>
      </c>
      <c r="R177" s="19">
        <v>0.0</v>
      </c>
      <c r="S177" s="19">
        <v>1.0</v>
      </c>
      <c r="T177" s="19">
        <v>1.0</v>
      </c>
      <c r="U177" s="19">
        <v>0.0</v>
      </c>
      <c r="V177" s="13">
        <f t="shared" ref="V177:V187" si="37">SUM(E177:U177)</f>
        <v>16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3.0</v>
      </c>
      <c r="G178" s="19">
        <v>2.0</v>
      </c>
      <c r="H178" s="19">
        <v>0.0</v>
      </c>
      <c r="I178" s="19">
        <v>0.0</v>
      </c>
      <c r="J178" s="19">
        <v>2.0</v>
      </c>
      <c r="K178" s="19">
        <v>0.0</v>
      </c>
      <c r="L178" s="19">
        <v>0.0</v>
      </c>
      <c r="M178" s="19">
        <v>6.0</v>
      </c>
      <c r="N178" s="19">
        <v>1.0</v>
      </c>
      <c r="O178" s="19">
        <v>1.0</v>
      </c>
      <c r="P178" s="19">
        <v>0.0</v>
      </c>
      <c r="Q178" s="19">
        <v>0.0</v>
      </c>
      <c r="R178" s="19">
        <v>0.0</v>
      </c>
      <c r="S178" s="19">
        <v>2.0</v>
      </c>
      <c r="T178" s="19">
        <v>1.0</v>
      </c>
      <c r="U178" s="19">
        <v>1.0</v>
      </c>
      <c r="V178" s="13">
        <f t="shared" si="37"/>
        <v>19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2.0</v>
      </c>
      <c r="G179" s="19">
        <v>1.0</v>
      </c>
      <c r="H179" s="19">
        <v>2.0</v>
      </c>
      <c r="I179" s="19">
        <v>1.0</v>
      </c>
      <c r="J179" s="19">
        <v>1.0</v>
      </c>
      <c r="K179" s="19">
        <v>0.0</v>
      </c>
      <c r="L179" s="19">
        <v>0.0</v>
      </c>
      <c r="M179" s="19">
        <v>1.0</v>
      </c>
      <c r="N179" s="19">
        <v>0.0</v>
      </c>
      <c r="O179" s="19">
        <v>3.0</v>
      </c>
      <c r="P179" s="19">
        <v>0.0</v>
      </c>
      <c r="Q179" s="19">
        <v>0.0</v>
      </c>
      <c r="R179" s="19">
        <v>1.0</v>
      </c>
      <c r="S179" s="19">
        <v>0.0</v>
      </c>
      <c r="T179" s="19">
        <v>0.0</v>
      </c>
      <c r="U179" s="19">
        <v>0.0</v>
      </c>
      <c r="V179" s="13">
        <f t="shared" si="37"/>
        <v>13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1.0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3.0</v>
      </c>
      <c r="L180" s="19">
        <v>2.0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1.0</v>
      </c>
      <c r="V180" s="13">
        <f t="shared" si="37"/>
        <v>10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2.0</v>
      </c>
      <c r="T181" s="19">
        <v>0.0</v>
      </c>
      <c r="U181" s="19">
        <v>0.0</v>
      </c>
      <c r="V181" s="13">
        <f t="shared" si="37"/>
        <v>4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1.0</v>
      </c>
      <c r="K182" s="19">
        <v>0.0</v>
      </c>
      <c r="L182" s="19">
        <v>0.0</v>
      </c>
      <c r="M182" s="19">
        <v>4.0</v>
      </c>
      <c r="N182" s="19">
        <v>0.0</v>
      </c>
      <c r="O182" s="19">
        <v>1.0</v>
      </c>
      <c r="P182" s="19">
        <v>0.0</v>
      </c>
      <c r="Q182" s="19">
        <v>0.0</v>
      </c>
      <c r="R182" s="19">
        <v>1.0</v>
      </c>
      <c r="S182" s="19">
        <v>0.0</v>
      </c>
      <c r="T182" s="19">
        <v>6.0</v>
      </c>
      <c r="U182" s="19">
        <v>0.0</v>
      </c>
      <c r="V182" s="13">
        <f t="shared" si="37"/>
        <v>14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3">
        <f t="shared" si="37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1.0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1.0</v>
      </c>
      <c r="U184" s="19">
        <v>0.0</v>
      </c>
      <c r="V184" s="13">
        <f t="shared" si="37"/>
        <v>2</v>
      </c>
    </row>
    <row r="185" ht="12.75" customHeight="1">
      <c r="A185" s="18"/>
      <c r="B185" s="56"/>
      <c r="C185" s="57"/>
      <c r="D185" s="6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3">
        <f t="shared" si="37"/>
        <v>0</v>
      </c>
    </row>
    <row r="186" ht="12.75" customHeight="1">
      <c r="A186" s="18"/>
      <c r="B186" s="56"/>
      <c r="C186" s="57"/>
      <c r="D186" s="6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U187" si="38">SUM(E177:E184)</f>
        <v>5</v>
      </c>
      <c r="F187" s="13">
        <f t="shared" si="38"/>
        <v>6</v>
      </c>
      <c r="G187" s="13">
        <f t="shared" si="38"/>
        <v>5</v>
      </c>
      <c r="H187" s="13">
        <f t="shared" si="38"/>
        <v>4</v>
      </c>
      <c r="I187" s="13">
        <f t="shared" si="38"/>
        <v>1</v>
      </c>
      <c r="J187" s="13">
        <f t="shared" si="38"/>
        <v>5</v>
      </c>
      <c r="K187" s="13">
        <f t="shared" si="38"/>
        <v>6</v>
      </c>
      <c r="L187" s="13">
        <f t="shared" si="38"/>
        <v>6</v>
      </c>
      <c r="M187" s="13">
        <f t="shared" si="38"/>
        <v>12</v>
      </c>
      <c r="N187" s="13">
        <f t="shared" si="38"/>
        <v>2</v>
      </c>
      <c r="O187" s="13">
        <f t="shared" si="38"/>
        <v>5</v>
      </c>
      <c r="P187" s="13">
        <f t="shared" si="38"/>
        <v>2</v>
      </c>
      <c r="Q187" s="13">
        <f t="shared" si="38"/>
        <v>1</v>
      </c>
      <c r="R187" s="13">
        <f t="shared" si="38"/>
        <v>3</v>
      </c>
      <c r="S187" s="13">
        <f t="shared" si="38"/>
        <v>5</v>
      </c>
      <c r="T187" s="13">
        <f t="shared" si="38"/>
        <v>9</v>
      </c>
      <c r="U187" s="13">
        <f t="shared" si="38"/>
        <v>2</v>
      </c>
      <c r="V187" s="13">
        <f t="shared" si="37"/>
        <v>79</v>
      </c>
    </row>
    <row r="188" ht="12.75" customHeight="1">
      <c r="A188" s="76"/>
      <c r="B188" s="77"/>
      <c r="C188" s="77"/>
      <c r="D188" s="77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3.0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3">
        <f t="shared" ref="V189:V199" si="39">SUM(E189:U189)</f>
        <v>4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3">
        <f t="shared" si="39"/>
        <v>0</v>
      </c>
    </row>
    <row r="197" ht="12.75" customHeight="1">
      <c r="A197" s="18"/>
      <c r="B197" s="56"/>
      <c r="C197" s="57"/>
      <c r="D197" s="6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3">
        <f t="shared" si="39"/>
        <v>0</v>
      </c>
    </row>
    <row r="198" ht="12.75" customHeight="1">
      <c r="A198" s="18"/>
      <c r="B198" s="56"/>
      <c r="C198" s="57"/>
      <c r="D198" s="6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U199" si="40">SUM(E189:E196)</f>
        <v>0</v>
      </c>
      <c r="F199" s="13">
        <f t="shared" si="40"/>
        <v>0</v>
      </c>
      <c r="G199" s="13">
        <f t="shared" si="40"/>
        <v>3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39"/>
        <v>4</v>
      </c>
    </row>
    <row r="200" ht="12.75" customHeight="1">
      <c r="A200" s="76"/>
      <c r="B200" s="77"/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13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2.0</v>
      </c>
      <c r="G201" s="19">
        <v>5.0</v>
      </c>
      <c r="H201" s="19">
        <v>2.0</v>
      </c>
      <c r="I201" s="19">
        <v>2.0</v>
      </c>
      <c r="J201" s="19">
        <v>2.0</v>
      </c>
      <c r="K201" s="19">
        <v>11.0</v>
      </c>
      <c r="L201" s="19">
        <v>8.0</v>
      </c>
      <c r="M201" s="19">
        <v>8.0</v>
      </c>
      <c r="N201" s="19">
        <v>2.0</v>
      </c>
      <c r="O201" s="19">
        <v>4.0</v>
      </c>
      <c r="P201" s="19">
        <v>5.0</v>
      </c>
      <c r="Q201" s="19">
        <v>2.0</v>
      </c>
      <c r="R201" s="19">
        <v>1.0</v>
      </c>
      <c r="S201" s="19">
        <v>2.0</v>
      </c>
      <c r="T201" s="19">
        <v>5.0</v>
      </c>
      <c r="U201" s="19">
        <v>6.0</v>
      </c>
      <c r="V201" s="13">
        <f t="shared" ref="V201:V211" si="41">SUM(E201:U201)</f>
        <v>71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3.0</v>
      </c>
      <c r="F202" s="19">
        <v>3.0</v>
      </c>
      <c r="G202" s="19">
        <v>13.0</v>
      </c>
      <c r="H202" s="19">
        <v>9.0</v>
      </c>
      <c r="I202" s="19">
        <v>0.0</v>
      </c>
      <c r="J202" s="19">
        <v>5.0</v>
      </c>
      <c r="K202" s="19">
        <v>4.0</v>
      </c>
      <c r="L202" s="19">
        <v>6.0</v>
      </c>
      <c r="M202" s="19">
        <v>1.0</v>
      </c>
      <c r="N202" s="19">
        <v>1.0</v>
      </c>
      <c r="O202" s="19">
        <v>3.0</v>
      </c>
      <c r="P202" s="19">
        <v>4.0</v>
      </c>
      <c r="Q202" s="19">
        <v>1.0</v>
      </c>
      <c r="R202" s="19">
        <v>1.0</v>
      </c>
      <c r="S202" s="19">
        <v>2.0</v>
      </c>
      <c r="T202" s="19">
        <v>3.0</v>
      </c>
      <c r="U202" s="19">
        <v>4.0</v>
      </c>
      <c r="V202" s="13">
        <f t="shared" si="41"/>
        <v>63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5.0</v>
      </c>
      <c r="F203" s="19">
        <v>1.0</v>
      </c>
      <c r="G203" s="19">
        <v>6.0</v>
      </c>
      <c r="H203" s="19">
        <v>2.0</v>
      </c>
      <c r="I203" s="19">
        <v>1.0</v>
      </c>
      <c r="J203" s="19">
        <v>7.0</v>
      </c>
      <c r="K203" s="19">
        <v>2.0</v>
      </c>
      <c r="L203" s="19">
        <v>3.0</v>
      </c>
      <c r="M203" s="19">
        <v>3.0</v>
      </c>
      <c r="N203" s="19">
        <v>1.0</v>
      </c>
      <c r="O203" s="19">
        <v>1.0</v>
      </c>
      <c r="P203" s="19">
        <v>0.0</v>
      </c>
      <c r="Q203" s="19">
        <v>0.0</v>
      </c>
      <c r="R203" s="19">
        <v>1.0</v>
      </c>
      <c r="S203" s="19">
        <v>0.0</v>
      </c>
      <c r="T203" s="19">
        <v>1.0</v>
      </c>
      <c r="U203" s="19">
        <v>6.0</v>
      </c>
      <c r="V203" s="13">
        <f t="shared" si="41"/>
        <v>40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0.0</v>
      </c>
      <c r="K204" s="19">
        <v>0.0</v>
      </c>
      <c r="L204" s="19">
        <v>3.0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3">
        <f t="shared" si="41"/>
        <v>4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0.0</v>
      </c>
      <c r="G205" s="19">
        <v>3.0</v>
      </c>
      <c r="H205" s="19">
        <v>0.0</v>
      </c>
      <c r="I205" s="19">
        <v>2.0</v>
      </c>
      <c r="J205" s="19">
        <v>1.0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1.0</v>
      </c>
      <c r="T205" s="19">
        <v>0.0</v>
      </c>
      <c r="U205" s="19">
        <v>0.0</v>
      </c>
      <c r="V205" s="13">
        <f t="shared" si="41"/>
        <v>10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2.0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3">
        <f t="shared" si="41"/>
        <v>4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2.0</v>
      </c>
      <c r="G207" s="19">
        <v>0.0</v>
      </c>
      <c r="H207" s="19">
        <v>0.0</v>
      </c>
      <c r="I207" s="19">
        <v>0.0</v>
      </c>
      <c r="J207" s="19">
        <v>0.0</v>
      </c>
      <c r="K207" s="19">
        <v>1.0</v>
      </c>
      <c r="L207" s="19">
        <v>1.0</v>
      </c>
      <c r="M207" s="19">
        <v>1.0</v>
      </c>
      <c r="N207" s="19">
        <v>0.0</v>
      </c>
      <c r="O207" s="19">
        <v>1.0</v>
      </c>
      <c r="P207" s="19">
        <v>0.0</v>
      </c>
      <c r="Q207" s="19">
        <v>2.0</v>
      </c>
      <c r="R207" s="19">
        <v>0.0</v>
      </c>
      <c r="S207" s="19">
        <v>0.0</v>
      </c>
      <c r="T207" s="19">
        <v>1.0</v>
      </c>
      <c r="U207" s="19">
        <v>0.0</v>
      </c>
      <c r="V207" s="13">
        <f t="shared" si="41"/>
        <v>9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1.0</v>
      </c>
      <c r="M208" s="19">
        <v>0.0</v>
      </c>
      <c r="N208" s="19">
        <v>0.0</v>
      </c>
      <c r="O208" s="19">
        <v>1.0</v>
      </c>
      <c r="P208" s="19">
        <v>0.0</v>
      </c>
      <c r="Q208" s="19">
        <v>0.0</v>
      </c>
      <c r="R208" s="19">
        <v>1.0</v>
      </c>
      <c r="S208" s="19">
        <v>0.0</v>
      </c>
      <c r="T208" s="19">
        <v>0.0</v>
      </c>
      <c r="U208" s="19">
        <v>0.0</v>
      </c>
      <c r="V208" s="13">
        <f t="shared" si="41"/>
        <v>4</v>
      </c>
    </row>
    <row r="209" ht="12.75" customHeight="1">
      <c r="A209" s="18"/>
      <c r="B209" s="56"/>
      <c r="C209" s="57"/>
      <c r="D209" s="6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3">
        <f t="shared" si="41"/>
        <v>0</v>
      </c>
    </row>
    <row r="210" ht="12.75" customHeight="1">
      <c r="A210" s="18"/>
      <c r="B210" s="56"/>
      <c r="C210" s="57"/>
      <c r="D210" s="6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U211" si="42">SUM(E201:E208)</f>
        <v>13</v>
      </c>
      <c r="F211" s="13">
        <f t="shared" si="42"/>
        <v>8</v>
      </c>
      <c r="G211" s="13">
        <f t="shared" si="42"/>
        <v>27</v>
      </c>
      <c r="H211" s="13">
        <f t="shared" si="42"/>
        <v>14</v>
      </c>
      <c r="I211" s="13">
        <f t="shared" si="42"/>
        <v>6</v>
      </c>
      <c r="J211" s="13">
        <f t="shared" si="42"/>
        <v>16</v>
      </c>
      <c r="K211" s="13">
        <f t="shared" si="42"/>
        <v>19</v>
      </c>
      <c r="L211" s="13">
        <f t="shared" si="42"/>
        <v>22</v>
      </c>
      <c r="M211" s="13">
        <f t="shared" si="42"/>
        <v>13</v>
      </c>
      <c r="N211" s="13">
        <f t="shared" si="42"/>
        <v>4</v>
      </c>
      <c r="O211" s="13">
        <f t="shared" si="42"/>
        <v>12</v>
      </c>
      <c r="P211" s="13">
        <f t="shared" si="42"/>
        <v>9</v>
      </c>
      <c r="Q211" s="13">
        <f t="shared" si="42"/>
        <v>5</v>
      </c>
      <c r="R211" s="13">
        <f t="shared" si="42"/>
        <v>5</v>
      </c>
      <c r="S211" s="13">
        <f t="shared" si="42"/>
        <v>5</v>
      </c>
      <c r="T211" s="13">
        <f t="shared" si="42"/>
        <v>11</v>
      </c>
      <c r="U211" s="13">
        <f t="shared" si="42"/>
        <v>16</v>
      </c>
      <c r="V211" s="13">
        <f t="shared" si="41"/>
        <v>205</v>
      </c>
    </row>
    <row r="212" ht="12.75" customHeight="1">
      <c r="A212" s="76"/>
      <c r="B212" s="77"/>
      <c r="C212" s="77"/>
      <c r="D212" s="77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13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4.0</v>
      </c>
      <c r="G213" s="19">
        <v>2.0</v>
      </c>
      <c r="H213" s="19">
        <v>3.0</v>
      </c>
      <c r="I213" s="19">
        <v>1.0</v>
      </c>
      <c r="J213" s="19">
        <v>1.0</v>
      </c>
      <c r="K213" s="19">
        <v>1.0</v>
      </c>
      <c r="L213" s="19">
        <v>3.0</v>
      </c>
      <c r="M213" s="19">
        <v>0.0</v>
      </c>
      <c r="N213" s="19">
        <v>1.0</v>
      </c>
      <c r="O213" s="19">
        <v>7.0</v>
      </c>
      <c r="P213" s="19">
        <v>8.0</v>
      </c>
      <c r="Q213" s="19">
        <v>5.0</v>
      </c>
      <c r="R213" s="19">
        <v>2.0</v>
      </c>
      <c r="S213" s="19">
        <v>1.0</v>
      </c>
      <c r="T213" s="19">
        <v>1.0</v>
      </c>
      <c r="U213" s="19">
        <v>1.0</v>
      </c>
      <c r="V213" s="13">
        <f t="shared" ref="V213:V223" si="43">SUM(E213:U213)</f>
        <v>44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2.0</v>
      </c>
      <c r="F214" s="19">
        <v>2.0</v>
      </c>
      <c r="G214" s="19">
        <v>3.0</v>
      </c>
      <c r="H214" s="19">
        <v>1.0</v>
      </c>
      <c r="I214" s="19">
        <v>0.0</v>
      </c>
      <c r="J214" s="19">
        <v>0.0</v>
      </c>
      <c r="K214" s="19">
        <v>1.0</v>
      </c>
      <c r="L214" s="19">
        <v>4.0</v>
      </c>
      <c r="M214" s="19">
        <v>2.0</v>
      </c>
      <c r="N214" s="19">
        <v>0.0</v>
      </c>
      <c r="O214" s="19">
        <v>3.0</v>
      </c>
      <c r="P214" s="19">
        <v>0.0</v>
      </c>
      <c r="Q214" s="19">
        <v>3.0</v>
      </c>
      <c r="R214" s="19">
        <v>0.0</v>
      </c>
      <c r="S214" s="19">
        <v>1.0</v>
      </c>
      <c r="T214" s="19">
        <v>1.0</v>
      </c>
      <c r="U214" s="19">
        <v>0.0</v>
      </c>
      <c r="V214" s="13">
        <f t="shared" si="43"/>
        <v>23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3.0</v>
      </c>
      <c r="G215" s="19">
        <v>5.0</v>
      </c>
      <c r="H215" s="19">
        <v>0.0</v>
      </c>
      <c r="I215" s="19">
        <v>0.0</v>
      </c>
      <c r="J215" s="19">
        <v>2.0</v>
      </c>
      <c r="K215" s="19">
        <v>0.0</v>
      </c>
      <c r="L215" s="19">
        <v>1.0</v>
      </c>
      <c r="M215" s="19">
        <v>0.0</v>
      </c>
      <c r="N215" s="19">
        <v>0.0</v>
      </c>
      <c r="O215" s="19">
        <v>1.0</v>
      </c>
      <c r="P215" s="19">
        <v>5.0</v>
      </c>
      <c r="Q215" s="19">
        <v>0.0</v>
      </c>
      <c r="R215" s="19">
        <v>1.0</v>
      </c>
      <c r="S215" s="19">
        <v>1.0</v>
      </c>
      <c r="T215" s="19">
        <v>1.0</v>
      </c>
      <c r="U215" s="19">
        <v>0.0</v>
      </c>
      <c r="V215" s="13">
        <f t="shared" si="43"/>
        <v>20</v>
      </c>
    </row>
    <row r="216" ht="12.75" customHeight="1">
      <c r="A216" s="18"/>
      <c r="B216" s="55">
        <v>3.0</v>
      </c>
      <c r="C216" s="65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3">
        <f t="shared" si="43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3">
        <f t="shared" si="43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3">
        <f t="shared" si="43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1.0</v>
      </c>
      <c r="K219" s="19">
        <v>0.0</v>
      </c>
      <c r="L219" s="19">
        <v>0.0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3">
        <f t="shared" si="43"/>
        <v>3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3">
        <f t="shared" si="43"/>
        <v>2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3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U223" si="44">SUM(E213:E220)</f>
        <v>6</v>
      </c>
      <c r="F223" s="13">
        <f t="shared" si="44"/>
        <v>10</v>
      </c>
      <c r="G223" s="13">
        <f t="shared" si="44"/>
        <v>11</v>
      </c>
      <c r="H223" s="13">
        <f t="shared" si="44"/>
        <v>4</v>
      </c>
      <c r="I223" s="13">
        <f t="shared" si="44"/>
        <v>2</v>
      </c>
      <c r="J223" s="13">
        <f t="shared" si="44"/>
        <v>4</v>
      </c>
      <c r="K223" s="13">
        <f t="shared" si="44"/>
        <v>2</v>
      </c>
      <c r="L223" s="13">
        <f t="shared" si="44"/>
        <v>8</v>
      </c>
      <c r="M223" s="13">
        <f t="shared" si="44"/>
        <v>3</v>
      </c>
      <c r="N223" s="13">
        <f t="shared" si="44"/>
        <v>2</v>
      </c>
      <c r="O223" s="13">
        <f t="shared" si="44"/>
        <v>12</v>
      </c>
      <c r="P223" s="13">
        <f t="shared" si="44"/>
        <v>14</v>
      </c>
      <c r="Q223" s="13">
        <f t="shared" si="44"/>
        <v>8</v>
      </c>
      <c r="R223" s="13">
        <f t="shared" si="44"/>
        <v>3</v>
      </c>
      <c r="S223" s="13">
        <f t="shared" si="44"/>
        <v>4</v>
      </c>
      <c r="T223" s="13">
        <f t="shared" si="44"/>
        <v>3</v>
      </c>
      <c r="U223" s="13">
        <f t="shared" si="44"/>
        <v>1</v>
      </c>
      <c r="V223" s="13">
        <f t="shared" si="43"/>
        <v>97</v>
      </c>
    </row>
    <row r="224" ht="12.75" customHeight="1">
      <c r="A224" s="76"/>
      <c r="B224" s="77"/>
      <c r="C224" s="77"/>
      <c r="D224" s="77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13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2.0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3">
        <f t="shared" ref="V225:V235" si="45">SUM(E225:U225)</f>
        <v>4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3">
        <f t="shared" si="45"/>
        <v>2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1.0</v>
      </c>
      <c r="T227" s="19">
        <v>0.0</v>
      </c>
      <c r="U227" s="19">
        <v>0.0</v>
      </c>
      <c r="V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1.0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3">
        <f t="shared" si="45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1.0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3">
        <f t="shared" si="45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2.0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0.0</v>
      </c>
      <c r="N232" s="19">
        <v>0.0</v>
      </c>
      <c r="O232" s="19">
        <v>0.0</v>
      </c>
      <c r="P232" s="19">
        <v>2.0</v>
      </c>
      <c r="Q232" s="19">
        <v>0.0</v>
      </c>
      <c r="R232" s="19">
        <v>0.0</v>
      </c>
      <c r="S232" s="19">
        <v>0.0</v>
      </c>
      <c r="T232" s="19"/>
      <c r="U232" s="19"/>
      <c r="V232" s="13">
        <f t="shared" si="45"/>
        <v>5</v>
      </c>
    </row>
    <row r="233" ht="12.75" customHeight="1">
      <c r="A233" s="18"/>
      <c r="B233" s="56"/>
      <c r="C233" s="57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5"/>
        <v>0</v>
      </c>
    </row>
    <row r="234" ht="12.75" customHeight="1">
      <c r="A234" s="18"/>
      <c r="B234" s="56"/>
      <c r="C234" s="57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U235" si="46">SUM(E225:E232)</f>
        <v>1</v>
      </c>
      <c r="F235" s="13">
        <f t="shared" si="46"/>
        <v>2</v>
      </c>
      <c r="G235" s="13">
        <f t="shared" si="46"/>
        <v>0</v>
      </c>
      <c r="H235" s="13">
        <f t="shared" si="46"/>
        <v>0</v>
      </c>
      <c r="I235" s="13">
        <f t="shared" si="46"/>
        <v>1</v>
      </c>
      <c r="J235" s="13">
        <f t="shared" si="46"/>
        <v>1</v>
      </c>
      <c r="K235" s="13">
        <f t="shared" si="46"/>
        <v>2</v>
      </c>
      <c r="L235" s="13">
        <f t="shared" si="46"/>
        <v>0</v>
      </c>
      <c r="M235" s="13">
        <f t="shared" si="46"/>
        <v>2</v>
      </c>
      <c r="N235" s="13">
        <f t="shared" si="46"/>
        <v>1</v>
      </c>
      <c r="O235" s="13">
        <f t="shared" si="46"/>
        <v>1</v>
      </c>
      <c r="P235" s="13">
        <f t="shared" si="46"/>
        <v>2</v>
      </c>
      <c r="Q235" s="13">
        <f t="shared" si="46"/>
        <v>0</v>
      </c>
      <c r="R235" s="13">
        <f t="shared" si="46"/>
        <v>0</v>
      </c>
      <c r="S235" s="13">
        <f t="shared" si="46"/>
        <v>1</v>
      </c>
      <c r="T235" s="13">
        <f t="shared" si="46"/>
        <v>0</v>
      </c>
      <c r="U235" s="13">
        <f t="shared" si="46"/>
        <v>0</v>
      </c>
      <c r="V235" s="13">
        <f t="shared" si="45"/>
        <v>14</v>
      </c>
    </row>
    <row r="236" ht="12.75" customHeight="1">
      <c r="A236" s="76"/>
      <c r="B236" s="77"/>
      <c r="C236" s="77"/>
      <c r="D236" s="77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13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0.0</v>
      </c>
      <c r="H237" s="19">
        <v>1.0</v>
      </c>
      <c r="I237" s="19">
        <v>0.0</v>
      </c>
      <c r="J237" s="19">
        <v>0.0</v>
      </c>
      <c r="K237" s="19">
        <v>0.0</v>
      </c>
      <c r="L237" s="19">
        <v>0.0</v>
      </c>
      <c r="M237" s="19">
        <v>1.0</v>
      </c>
      <c r="N237" s="19">
        <v>1.0</v>
      </c>
      <c r="O237" s="19">
        <v>0.0</v>
      </c>
      <c r="P237" s="19">
        <v>0.0</v>
      </c>
      <c r="Q237" s="19">
        <v>3.0</v>
      </c>
      <c r="R237" s="19">
        <v>1.0</v>
      </c>
      <c r="S237" s="19">
        <v>1.0</v>
      </c>
      <c r="T237" s="19">
        <v>1.0</v>
      </c>
      <c r="U237" s="19">
        <v>1.0</v>
      </c>
      <c r="V237" s="13">
        <f t="shared" ref="V237:V247" si="47">SUM(E237:U237)</f>
        <v>11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2.0</v>
      </c>
      <c r="I238" s="19">
        <v>1.0</v>
      </c>
      <c r="J238" s="19">
        <v>0.0</v>
      </c>
      <c r="K238" s="19">
        <v>0.0</v>
      </c>
      <c r="L238" s="19">
        <v>1.0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1.0</v>
      </c>
      <c r="U238" s="19">
        <v>2.0</v>
      </c>
      <c r="V238" s="13">
        <f t="shared" si="47"/>
        <v>8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3.0</v>
      </c>
      <c r="F239" s="19">
        <v>1.0</v>
      </c>
      <c r="G239" s="19">
        <v>4.0</v>
      </c>
      <c r="H239" s="19">
        <v>1.0</v>
      </c>
      <c r="I239" s="19">
        <v>0.0</v>
      </c>
      <c r="J239" s="19">
        <v>4.0</v>
      </c>
      <c r="K239" s="19">
        <v>1.0</v>
      </c>
      <c r="L239" s="19">
        <v>0.0</v>
      </c>
      <c r="M239" s="19">
        <v>0.0</v>
      </c>
      <c r="N239" s="19">
        <v>1.0</v>
      </c>
      <c r="O239" s="19">
        <v>3.0</v>
      </c>
      <c r="P239" s="19">
        <v>2.0</v>
      </c>
      <c r="Q239" s="19">
        <v>1.0</v>
      </c>
      <c r="R239" s="19">
        <v>1.0</v>
      </c>
      <c r="S239" s="19">
        <v>1.0</v>
      </c>
      <c r="T239" s="19">
        <v>2.0</v>
      </c>
      <c r="U239" s="19">
        <v>0.0</v>
      </c>
      <c r="V239" s="13">
        <f t="shared" si="47"/>
        <v>25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1.0</v>
      </c>
      <c r="P240" s="19">
        <v>0.0</v>
      </c>
      <c r="Q240" s="19">
        <v>1.0</v>
      </c>
      <c r="R240" s="19">
        <v>0.0</v>
      </c>
      <c r="S240" s="19">
        <v>0.0</v>
      </c>
      <c r="T240" s="19">
        <v>0.0</v>
      </c>
      <c r="U240" s="19">
        <v>0.0</v>
      </c>
      <c r="V240" s="13">
        <f t="shared" si="47"/>
        <v>3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0.0</v>
      </c>
      <c r="N241" s="19">
        <v>1.0</v>
      </c>
      <c r="O241" s="19">
        <v>0.0</v>
      </c>
      <c r="P241" s="19">
        <v>0.0</v>
      </c>
      <c r="Q241" s="19">
        <v>1.0</v>
      </c>
      <c r="R241" s="19">
        <v>0.0</v>
      </c>
      <c r="S241" s="19">
        <v>0.0</v>
      </c>
      <c r="T241" s="19">
        <v>0.0</v>
      </c>
      <c r="U241" s="19">
        <v>0.0</v>
      </c>
      <c r="V241" s="13">
        <f t="shared" si="47"/>
        <v>3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3.0</v>
      </c>
      <c r="F244" s="19">
        <v>0.0</v>
      </c>
      <c r="G244" s="19">
        <v>2.0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4.0</v>
      </c>
      <c r="U244" s="19">
        <v>0.0</v>
      </c>
      <c r="V244" s="13">
        <f t="shared" si="47"/>
        <v>9</v>
      </c>
    </row>
    <row r="245" ht="12.75" customHeight="1">
      <c r="A245" s="18"/>
      <c r="B245" s="56"/>
      <c r="C245" s="57"/>
      <c r="D245" s="6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3">
        <f t="shared" si="47"/>
        <v>0</v>
      </c>
    </row>
    <row r="246" ht="12.75" customHeight="1">
      <c r="A246" s="18"/>
      <c r="B246" s="56"/>
      <c r="C246" s="57"/>
      <c r="D246" s="6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U247" si="48">SUM(E237:E244)</f>
        <v>6</v>
      </c>
      <c r="F247" s="13">
        <f t="shared" si="48"/>
        <v>2</v>
      </c>
      <c r="G247" s="13">
        <f t="shared" si="48"/>
        <v>6</v>
      </c>
      <c r="H247" s="13">
        <f t="shared" si="48"/>
        <v>4</v>
      </c>
      <c r="I247" s="13">
        <f t="shared" si="48"/>
        <v>1</v>
      </c>
      <c r="J247" s="13">
        <f t="shared" si="48"/>
        <v>4</v>
      </c>
      <c r="K247" s="13">
        <f t="shared" si="48"/>
        <v>1</v>
      </c>
      <c r="L247" s="13">
        <f t="shared" si="48"/>
        <v>2</v>
      </c>
      <c r="M247" s="13">
        <f t="shared" si="48"/>
        <v>3</v>
      </c>
      <c r="N247" s="13">
        <f t="shared" si="48"/>
        <v>3</v>
      </c>
      <c r="O247" s="13">
        <f t="shared" si="48"/>
        <v>4</v>
      </c>
      <c r="P247" s="13">
        <f t="shared" si="48"/>
        <v>2</v>
      </c>
      <c r="Q247" s="13">
        <f t="shared" si="48"/>
        <v>6</v>
      </c>
      <c r="R247" s="13">
        <f t="shared" si="48"/>
        <v>2</v>
      </c>
      <c r="S247" s="13">
        <f t="shared" si="48"/>
        <v>2</v>
      </c>
      <c r="T247" s="13">
        <f t="shared" si="48"/>
        <v>8</v>
      </c>
      <c r="U247" s="13">
        <f t="shared" si="48"/>
        <v>3</v>
      </c>
      <c r="V247" s="13">
        <f t="shared" si="47"/>
        <v>59</v>
      </c>
    </row>
    <row r="248" ht="12.75" customHeight="1">
      <c r="A248" s="76"/>
      <c r="B248" s="77"/>
      <c r="C248" s="77"/>
      <c r="D248" s="77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13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3.0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3">
        <f t="shared" ref="V249:V259" si="49">SUM(E249:U249)</f>
        <v>6</v>
      </c>
    </row>
    <row r="250" ht="12.75" customHeight="1">
      <c r="A250" s="30" t="s">
        <v>39</v>
      </c>
      <c r="B250" s="55">
        <v>1.0</v>
      </c>
      <c r="C250" s="63" t="s">
        <v>184</v>
      </c>
      <c r="D250" s="60"/>
      <c r="E250" s="19">
        <v>0.0</v>
      </c>
      <c r="F250" s="19">
        <v>0.0</v>
      </c>
      <c r="G250" s="19">
        <v>2.0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1.0</v>
      </c>
      <c r="O250" s="19">
        <v>0.0</v>
      </c>
      <c r="P250" s="19">
        <v>1.0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3">
        <f t="shared" si="49"/>
        <v>4</v>
      </c>
    </row>
    <row r="251" ht="12.75" customHeight="1">
      <c r="A251" s="18"/>
      <c r="B251" s="55">
        <v>2.0</v>
      </c>
      <c r="C251" s="63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2.0</v>
      </c>
      <c r="K251" s="19">
        <v>0.0</v>
      </c>
      <c r="L251" s="19">
        <v>0.0</v>
      </c>
      <c r="M251" s="19">
        <v>0.0</v>
      </c>
      <c r="N251" s="19">
        <v>0.0</v>
      </c>
      <c r="O251" s="19">
        <v>1.0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3">
        <f t="shared" si="49"/>
        <v>3</v>
      </c>
    </row>
    <row r="252" ht="12.75" customHeight="1">
      <c r="A252" s="18"/>
      <c r="B252" s="55">
        <v>3.0</v>
      </c>
      <c r="C252" s="63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3">
        <f t="shared" si="49"/>
        <v>0</v>
      </c>
    </row>
    <row r="253" ht="12.75" customHeight="1">
      <c r="A253" s="18"/>
      <c r="B253" s="55">
        <v>4.0</v>
      </c>
      <c r="C253" s="63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3">
        <f t="shared" si="49"/>
        <v>0</v>
      </c>
    </row>
    <row r="254" ht="12.75" customHeight="1">
      <c r="A254" s="18"/>
      <c r="B254" s="55">
        <v>5.0</v>
      </c>
      <c r="C254" s="63" t="s">
        <v>188</v>
      </c>
      <c r="D254" s="60"/>
      <c r="E254" s="19">
        <v>0.0</v>
      </c>
      <c r="F254" s="19">
        <v>0.0</v>
      </c>
      <c r="G254" s="19">
        <v>0.0</v>
      </c>
      <c r="H254" s="19">
        <v>1.0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1.0</v>
      </c>
      <c r="T254" s="19">
        <v>0.0</v>
      </c>
      <c r="U254" s="19">
        <v>0.0</v>
      </c>
      <c r="V254" s="13">
        <f t="shared" si="49"/>
        <v>2</v>
      </c>
    </row>
    <row r="255" ht="12.75" customHeight="1">
      <c r="A255" s="18"/>
      <c r="B255" s="55">
        <v>6.0</v>
      </c>
      <c r="C255" s="63" t="s">
        <v>189</v>
      </c>
      <c r="D255" s="60"/>
      <c r="E255" s="19">
        <v>0.0</v>
      </c>
      <c r="F255" s="19">
        <v>0.0</v>
      </c>
      <c r="G255" s="19">
        <v>0.0</v>
      </c>
      <c r="H255" s="19">
        <v>1.0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1.0</v>
      </c>
      <c r="V255" s="13">
        <f t="shared" si="49"/>
        <v>2</v>
      </c>
    </row>
    <row r="256" ht="12.75" customHeight="1">
      <c r="A256" s="18"/>
      <c r="B256" s="56"/>
      <c r="C256" s="64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3">
        <f t="shared" si="49"/>
        <v>0</v>
      </c>
    </row>
    <row r="257" ht="12.75" customHeight="1">
      <c r="A257" s="18"/>
      <c r="B257" s="56"/>
      <c r="C257" s="64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9"/>
        <v>0</v>
      </c>
    </row>
    <row r="258" ht="12.75" customHeight="1">
      <c r="A258" s="18"/>
      <c r="B258" s="56"/>
      <c r="C258" s="64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U259" si="50">SUM(E249:E255)</f>
        <v>1</v>
      </c>
      <c r="F259" s="13">
        <f t="shared" si="50"/>
        <v>3</v>
      </c>
      <c r="G259" s="13">
        <f t="shared" si="50"/>
        <v>2</v>
      </c>
      <c r="H259" s="13">
        <f t="shared" si="50"/>
        <v>2</v>
      </c>
      <c r="I259" s="13">
        <f t="shared" si="50"/>
        <v>0</v>
      </c>
      <c r="J259" s="13">
        <f t="shared" si="50"/>
        <v>3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1</v>
      </c>
      <c r="O259" s="13">
        <f t="shared" si="50"/>
        <v>1</v>
      </c>
      <c r="P259" s="13">
        <f t="shared" si="50"/>
        <v>2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1</v>
      </c>
      <c r="V259" s="13">
        <f t="shared" si="49"/>
        <v>17</v>
      </c>
    </row>
    <row r="260" ht="12.75" customHeight="1">
      <c r="V260" s="13"/>
    </row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 ht="12.75" customHeight="1">
      <c r="A262" s="42"/>
      <c r="B262" s="66" t="s">
        <v>192</v>
      </c>
      <c r="C262" s="67" t="s">
        <v>193</v>
      </c>
      <c r="D262" s="16"/>
      <c r="E262" s="19">
        <f t="shared" ref="E262:U262" si="51">E55+E67+E79+E91+E103+E115+E127+E139+E151+E163+E175+E187+E199+E211+E223+E235+E247+E259</f>
        <v>196</v>
      </c>
      <c r="F262" s="19">
        <f t="shared" si="51"/>
        <v>198</v>
      </c>
      <c r="G262" s="19">
        <f t="shared" si="51"/>
        <v>221</v>
      </c>
      <c r="H262" s="19">
        <f t="shared" si="51"/>
        <v>201</v>
      </c>
      <c r="I262" s="19">
        <f t="shared" si="51"/>
        <v>178</v>
      </c>
      <c r="J262" s="19">
        <f t="shared" si="51"/>
        <v>194</v>
      </c>
      <c r="K262" s="19">
        <f t="shared" si="51"/>
        <v>180</v>
      </c>
      <c r="L262" s="19">
        <f t="shared" si="51"/>
        <v>198</v>
      </c>
      <c r="M262" s="19">
        <f t="shared" si="51"/>
        <v>197</v>
      </c>
      <c r="N262" s="19">
        <f t="shared" si="51"/>
        <v>143</v>
      </c>
      <c r="O262" s="19">
        <f t="shared" si="51"/>
        <v>198</v>
      </c>
      <c r="P262" s="19">
        <f t="shared" si="51"/>
        <v>201</v>
      </c>
      <c r="Q262" s="19">
        <f t="shared" si="51"/>
        <v>171</v>
      </c>
      <c r="R262" s="19">
        <f t="shared" si="51"/>
        <v>196</v>
      </c>
      <c r="S262" s="19">
        <f t="shared" si="51"/>
        <v>190</v>
      </c>
      <c r="T262" s="19">
        <f t="shared" si="51"/>
        <v>169</v>
      </c>
      <c r="U262" s="19">
        <f t="shared" si="51"/>
        <v>222</v>
      </c>
      <c r="V262" s="13">
        <f t="shared" ref="V262:V264" si="52">SUM(E262:U262)</f>
        <v>3253</v>
      </c>
    </row>
    <row r="263" ht="12.75" customHeight="1">
      <c r="A263" s="35"/>
      <c r="B263" s="66" t="s">
        <v>194</v>
      </c>
      <c r="C263" s="67" t="s">
        <v>195</v>
      </c>
      <c r="D263" s="16"/>
      <c r="E263" s="19">
        <v>16.0</v>
      </c>
      <c r="F263" s="19">
        <v>12.0</v>
      </c>
      <c r="G263" s="19">
        <v>26.0</v>
      </c>
      <c r="H263" s="19">
        <v>29.0</v>
      </c>
      <c r="I263" s="19">
        <v>28.0</v>
      </c>
      <c r="J263" s="19">
        <v>24.0</v>
      </c>
      <c r="K263" s="19">
        <v>24.0</v>
      </c>
      <c r="L263" s="19">
        <v>32.0</v>
      </c>
      <c r="M263" s="19">
        <v>25.0</v>
      </c>
      <c r="N263" s="19">
        <v>19.0</v>
      </c>
      <c r="O263" s="19">
        <v>23.0</v>
      </c>
      <c r="P263" s="19">
        <v>19.0</v>
      </c>
      <c r="Q263" s="19">
        <v>8.0</v>
      </c>
      <c r="R263" s="19">
        <v>12.0</v>
      </c>
      <c r="S263" s="19">
        <v>25.0</v>
      </c>
      <c r="T263" s="19">
        <v>33.0</v>
      </c>
      <c r="U263" s="19">
        <v>22.0</v>
      </c>
      <c r="V263" s="13">
        <f t="shared" si="52"/>
        <v>377</v>
      </c>
    </row>
    <row r="264" ht="12.75" customHeight="1">
      <c r="A264" s="41"/>
      <c r="B264" s="66" t="s">
        <v>196</v>
      </c>
      <c r="C264" s="67" t="s">
        <v>197</v>
      </c>
      <c r="D264" s="16"/>
      <c r="E264" s="13">
        <f t="shared" ref="E264:U264" si="53">SUM(E262:E263)</f>
        <v>212</v>
      </c>
      <c r="F264" s="13">
        <f t="shared" si="53"/>
        <v>210</v>
      </c>
      <c r="G264" s="13">
        <f t="shared" si="53"/>
        <v>247</v>
      </c>
      <c r="H264" s="13">
        <f t="shared" si="53"/>
        <v>230</v>
      </c>
      <c r="I264" s="13">
        <f t="shared" si="53"/>
        <v>206</v>
      </c>
      <c r="J264" s="13">
        <f t="shared" si="53"/>
        <v>218</v>
      </c>
      <c r="K264" s="13">
        <f t="shared" si="53"/>
        <v>204</v>
      </c>
      <c r="L264" s="13">
        <f t="shared" si="53"/>
        <v>230</v>
      </c>
      <c r="M264" s="13">
        <f t="shared" si="53"/>
        <v>222</v>
      </c>
      <c r="N264" s="13">
        <f t="shared" si="53"/>
        <v>162</v>
      </c>
      <c r="O264" s="13">
        <f t="shared" si="53"/>
        <v>221</v>
      </c>
      <c r="P264" s="13">
        <f t="shared" si="53"/>
        <v>220</v>
      </c>
      <c r="Q264" s="13">
        <f t="shared" si="53"/>
        <v>179</v>
      </c>
      <c r="R264" s="13">
        <f t="shared" si="53"/>
        <v>208</v>
      </c>
      <c r="S264" s="13">
        <f t="shared" si="53"/>
        <v>215</v>
      </c>
      <c r="T264" s="13">
        <f t="shared" si="53"/>
        <v>202</v>
      </c>
      <c r="U264" s="13">
        <f t="shared" si="53"/>
        <v>244</v>
      </c>
      <c r="V264" s="13">
        <f t="shared" si="52"/>
        <v>3630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6">
    <mergeCell ref="B55:D55"/>
    <mergeCell ref="C57:D57"/>
    <mergeCell ref="B67:D67"/>
    <mergeCell ref="C69:D69"/>
    <mergeCell ref="B79:D79"/>
    <mergeCell ref="C81:D81"/>
    <mergeCell ref="B91:D91"/>
    <mergeCell ref="C93:D93"/>
    <mergeCell ref="B103:D103"/>
    <mergeCell ref="C105:D105"/>
    <mergeCell ref="B115:D115"/>
    <mergeCell ref="C117:D117"/>
    <mergeCell ref="B127:D127"/>
    <mergeCell ref="C129:D129"/>
    <mergeCell ref="B151:D151"/>
    <mergeCell ref="C153:D153"/>
    <mergeCell ref="B163:D163"/>
    <mergeCell ref="C165:D165"/>
    <mergeCell ref="B175:D175"/>
    <mergeCell ref="C177:D177"/>
    <mergeCell ref="B187:D187"/>
    <mergeCell ref="C189:D189"/>
    <mergeCell ref="B199:D199"/>
    <mergeCell ref="C201:D201"/>
    <mergeCell ref="B211:D211"/>
    <mergeCell ref="C213:D213"/>
    <mergeCell ref="B223:D223"/>
    <mergeCell ref="C225:D225"/>
    <mergeCell ref="C263:D263"/>
    <mergeCell ref="C264:D264"/>
    <mergeCell ref="B235:D235"/>
    <mergeCell ref="C237:D237"/>
    <mergeCell ref="B247:D247"/>
    <mergeCell ref="C249:D249"/>
    <mergeCell ref="B259:D259"/>
    <mergeCell ref="B261:D261"/>
    <mergeCell ref="C262:D262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R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B139:D139"/>
    <mergeCell ref="C141:D141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E34&lt;&gt;E64</formula>
    </cfRule>
  </conditionalFormatting>
  <conditionalFormatting sqref="E45:U54">
    <cfRule type="containsBlanks" dxfId="1" priority="10">
      <formula>LEN(TRIM(E45))=0</formula>
    </cfRule>
  </conditionalFormatting>
  <conditionalFormatting sqref="E57:U66">
    <cfRule type="containsBlanks" dxfId="1" priority="11">
      <formula>LEN(TRIM(E57))=0</formula>
    </cfRule>
  </conditionalFormatting>
  <conditionalFormatting sqref="E69:U78">
    <cfRule type="containsBlanks" dxfId="1" priority="12">
      <formula>LEN(TRIM(E69))=0</formula>
    </cfRule>
  </conditionalFormatting>
  <conditionalFormatting sqref="E81:U90">
    <cfRule type="containsBlanks" dxfId="1" priority="13">
      <formula>LEN(TRIM(E81))=0</formula>
    </cfRule>
  </conditionalFormatting>
  <conditionalFormatting sqref="E93:U102">
    <cfRule type="containsBlanks" dxfId="1" priority="14">
      <formula>LEN(TRIM(E93))=0</formula>
    </cfRule>
  </conditionalFormatting>
  <conditionalFormatting sqref="E105:U114">
    <cfRule type="containsBlanks" dxfId="1" priority="15">
      <formula>LEN(TRIM(E105))=0</formula>
    </cfRule>
  </conditionalFormatting>
  <conditionalFormatting sqref="E117:U126">
    <cfRule type="containsBlanks" dxfId="1" priority="16">
      <formula>LEN(TRIM(E117))=0</formula>
    </cfRule>
  </conditionalFormatting>
  <conditionalFormatting sqref="E129:U138">
    <cfRule type="containsBlanks" dxfId="1" priority="17">
      <formula>LEN(TRIM(E129))=0</formula>
    </cfRule>
  </conditionalFormatting>
  <conditionalFormatting sqref="E141:U150">
    <cfRule type="containsBlanks" dxfId="1" priority="18">
      <formula>LEN(TRIM(E141))=0</formula>
    </cfRule>
  </conditionalFormatting>
  <conditionalFormatting sqref="E153:U162">
    <cfRule type="containsBlanks" dxfId="1" priority="19">
      <formula>LEN(TRIM(E153))=0</formula>
    </cfRule>
  </conditionalFormatting>
  <conditionalFormatting sqref="E165:U174">
    <cfRule type="containsBlanks" dxfId="1" priority="20">
      <formula>LEN(TRIM(E165))=0</formula>
    </cfRule>
  </conditionalFormatting>
  <conditionalFormatting sqref="E177:U186">
    <cfRule type="containsBlanks" dxfId="1" priority="21">
      <formula>LEN(TRIM(E177))=0</formula>
    </cfRule>
  </conditionalFormatting>
  <conditionalFormatting sqref="E189:U198">
    <cfRule type="containsBlanks" dxfId="1" priority="22">
      <formula>LEN(TRIM(E189))=0</formula>
    </cfRule>
  </conditionalFormatting>
  <conditionalFormatting sqref="E201:U210">
    <cfRule type="containsBlanks" dxfId="1" priority="23">
      <formula>LEN(TRIM(E201))=0</formula>
    </cfRule>
  </conditionalFormatting>
  <conditionalFormatting sqref="E213:U222">
    <cfRule type="containsBlanks" dxfId="1" priority="24">
      <formula>LEN(TRIM(E213))=0</formula>
    </cfRule>
  </conditionalFormatting>
  <conditionalFormatting sqref="E225:U234">
    <cfRule type="containsBlanks" dxfId="1" priority="25">
      <formula>LEN(TRIM(E225))=0</formula>
    </cfRule>
  </conditionalFormatting>
  <conditionalFormatting sqref="E237:U246">
    <cfRule type="containsBlanks" dxfId="1" priority="26">
      <formula>LEN(TRIM(E237))=0</formula>
    </cfRule>
  </conditionalFormatting>
  <conditionalFormatting sqref="E249:U259">
    <cfRule type="containsBlanks" dxfId="1" priority="27">
      <formula>LEN(TRIM(E249))=0</formula>
    </cfRule>
  </conditionalFormatting>
  <conditionalFormatting sqref="E262: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128.0</v>
      </c>
      <c r="G14" s="19">
        <v>99.0</v>
      </c>
      <c r="H14" s="19">
        <v>119.0</v>
      </c>
      <c r="I14" s="19">
        <v>112.0</v>
      </c>
      <c r="J14" s="19">
        <v>141.0</v>
      </c>
      <c r="K14" s="19">
        <v>133.0</v>
      </c>
      <c r="L14" s="19">
        <v>137.0</v>
      </c>
      <c r="M14" s="19">
        <v>126.0</v>
      </c>
      <c r="N14" s="19">
        <v>121.0</v>
      </c>
      <c r="O14" s="19">
        <v>109.0</v>
      </c>
      <c r="P14" s="19">
        <v>113.0</v>
      </c>
      <c r="Q14" s="19">
        <v>144.0</v>
      </c>
      <c r="R14" s="19">
        <v>122.0</v>
      </c>
      <c r="S14" s="19">
        <v>93.0</v>
      </c>
      <c r="T14" s="19">
        <v>96.0</v>
      </c>
      <c r="U14" s="19">
        <v>116.0</v>
      </c>
      <c r="V14" s="13">
        <f t="shared" ref="V14:V16" si="1">SUM(E14:U14)</f>
        <v>2048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135.0</v>
      </c>
      <c r="G15" s="19">
        <v>104.0</v>
      </c>
      <c r="H15" s="19">
        <v>131.0</v>
      </c>
      <c r="I15" s="19">
        <v>104.0</v>
      </c>
      <c r="J15" s="19">
        <v>148.0</v>
      </c>
      <c r="K15" s="19">
        <v>146.0</v>
      </c>
      <c r="L15" s="19">
        <v>151.0</v>
      </c>
      <c r="M15" s="19">
        <v>144.0</v>
      </c>
      <c r="N15" s="19">
        <v>123.0</v>
      </c>
      <c r="O15" s="19">
        <v>119.0</v>
      </c>
      <c r="P15" s="19">
        <v>114.0</v>
      </c>
      <c r="Q15" s="19">
        <v>132.0</v>
      </c>
      <c r="R15" s="19">
        <v>128.0</v>
      </c>
      <c r="S15" s="19">
        <v>108.0</v>
      </c>
      <c r="T15" s="19">
        <v>102.0</v>
      </c>
      <c r="U15" s="19">
        <v>103.0</v>
      </c>
      <c r="V15" s="13">
        <f t="shared" si="1"/>
        <v>2138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285</v>
      </c>
      <c r="F16" s="13">
        <f t="shared" si="2"/>
        <v>263</v>
      </c>
      <c r="G16" s="13">
        <f t="shared" si="2"/>
        <v>203</v>
      </c>
      <c r="H16" s="13">
        <f t="shared" si="2"/>
        <v>250</v>
      </c>
      <c r="I16" s="13">
        <f t="shared" si="2"/>
        <v>216</v>
      </c>
      <c r="J16" s="13">
        <f t="shared" si="2"/>
        <v>289</v>
      </c>
      <c r="K16" s="13">
        <f t="shared" si="2"/>
        <v>279</v>
      </c>
      <c r="L16" s="13">
        <f t="shared" si="2"/>
        <v>288</v>
      </c>
      <c r="M16" s="13">
        <f t="shared" si="2"/>
        <v>270</v>
      </c>
      <c r="N16" s="13">
        <f t="shared" si="2"/>
        <v>244</v>
      </c>
      <c r="O16" s="13">
        <f t="shared" si="2"/>
        <v>228</v>
      </c>
      <c r="P16" s="13">
        <f t="shared" si="2"/>
        <v>227</v>
      </c>
      <c r="Q16" s="13">
        <f t="shared" si="2"/>
        <v>276</v>
      </c>
      <c r="R16" s="13">
        <f t="shared" si="2"/>
        <v>250</v>
      </c>
      <c r="S16" s="13">
        <f t="shared" si="2"/>
        <v>201</v>
      </c>
      <c r="T16" s="13">
        <f t="shared" si="2"/>
        <v>198</v>
      </c>
      <c r="U16" s="13">
        <f t="shared" si="2"/>
        <v>219</v>
      </c>
      <c r="V16" s="13">
        <f t="shared" si="1"/>
        <v>4186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71"/>
      <c r="P17" s="71"/>
      <c r="Q17" s="71"/>
      <c r="R17" s="71"/>
      <c r="S17" s="71"/>
      <c r="T17" s="71"/>
      <c r="U17" s="71"/>
      <c r="V17" s="7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1"/>
      <c r="O18" s="71"/>
      <c r="P18" s="71"/>
      <c r="Q18" s="71"/>
      <c r="R18" s="71"/>
      <c r="S18" s="71"/>
      <c r="T18" s="71"/>
      <c r="U18" s="71"/>
      <c r="V18" s="7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109.0</v>
      </c>
      <c r="G19" s="19">
        <v>76.0</v>
      </c>
      <c r="H19" s="19">
        <v>89.0</v>
      </c>
      <c r="I19" s="19">
        <v>99.0</v>
      </c>
      <c r="J19" s="19">
        <v>106.0</v>
      </c>
      <c r="K19" s="19">
        <v>94.0</v>
      </c>
      <c r="L19" s="19">
        <v>105.0</v>
      </c>
      <c r="M19" s="19">
        <v>99.0</v>
      </c>
      <c r="N19" s="19">
        <v>90.0</v>
      </c>
      <c r="O19" s="19">
        <v>88.0</v>
      </c>
      <c r="P19" s="19">
        <v>96.0</v>
      </c>
      <c r="Q19" s="19">
        <v>120.0</v>
      </c>
      <c r="R19" s="19">
        <v>95.0</v>
      </c>
      <c r="S19" s="19">
        <v>75.0</v>
      </c>
      <c r="T19" s="19">
        <v>80.0</v>
      </c>
      <c r="U19" s="19">
        <v>87.0</v>
      </c>
      <c r="V19" s="13">
        <f t="shared" ref="V19:V30" si="3">SUM(E19:U19)</f>
        <v>1621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113.0</v>
      </c>
      <c r="G20" s="19">
        <v>83.0</v>
      </c>
      <c r="H20" s="19">
        <v>110.0</v>
      </c>
      <c r="I20" s="19">
        <v>96.0</v>
      </c>
      <c r="J20" s="19">
        <v>117.0</v>
      </c>
      <c r="K20" s="19">
        <v>127.0</v>
      </c>
      <c r="L20" s="19">
        <v>127.0</v>
      </c>
      <c r="M20" s="19">
        <v>122.0</v>
      </c>
      <c r="N20" s="19">
        <v>102.0</v>
      </c>
      <c r="O20" s="19">
        <v>99.0</v>
      </c>
      <c r="P20" s="19">
        <v>102.0</v>
      </c>
      <c r="Q20" s="19">
        <v>109.0</v>
      </c>
      <c r="R20" s="19">
        <v>109.0</v>
      </c>
      <c r="S20" s="19">
        <v>94.0</v>
      </c>
      <c r="T20" s="19">
        <v>85.0</v>
      </c>
      <c r="U20" s="19">
        <v>79.0</v>
      </c>
      <c r="V20" s="13">
        <f t="shared" si="3"/>
        <v>1791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230</v>
      </c>
      <c r="F21" s="13">
        <f t="shared" si="4"/>
        <v>222</v>
      </c>
      <c r="G21" s="13">
        <f t="shared" si="4"/>
        <v>159</v>
      </c>
      <c r="H21" s="13">
        <f t="shared" si="4"/>
        <v>199</v>
      </c>
      <c r="I21" s="13">
        <f t="shared" si="4"/>
        <v>195</v>
      </c>
      <c r="J21" s="13">
        <f t="shared" si="4"/>
        <v>223</v>
      </c>
      <c r="K21" s="13">
        <f t="shared" si="4"/>
        <v>221</v>
      </c>
      <c r="L21" s="13">
        <f t="shared" si="4"/>
        <v>232</v>
      </c>
      <c r="M21" s="13">
        <f t="shared" si="4"/>
        <v>221</v>
      </c>
      <c r="N21" s="13">
        <f t="shared" si="4"/>
        <v>192</v>
      </c>
      <c r="O21" s="13">
        <f t="shared" si="4"/>
        <v>187</v>
      </c>
      <c r="P21" s="13">
        <f t="shared" si="4"/>
        <v>198</v>
      </c>
      <c r="Q21" s="13">
        <f t="shared" si="4"/>
        <v>229</v>
      </c>
      <c r="R21" s="13">
        <f t="shared" si="4"/>
        <v>204</v>
      </c>
      <c r="S21" s="13">
        <f t="shared" si="4"/>
        <v>169</v>
      </c>
      <c r="T21" s="13">
        <f t="shared" si="4"/>
        <v>165</v>
      </c>
      <c r="U21" s="13">
        <f t="shared" si="4"/>
        <v>166</v>
      </c>
      <c r="V21" s="13">
        <f t="shared" si="3"/>
        <v>3412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/>
      <c r="U22" s="19"/>
      <c r="V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1.0</v>
      </c>
      <c r="R23" s="19">
        <v>0.0</v>
      </c>
      <c r="S23" s="19">
        <v>0.0</v>
      </c>
      <c r="T23" s="19"/>
      <c r="U23" s="19"/>
      <c r="V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/>
      <c r="U25" s="19"/>
      <c r="V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0.0</v>
      </c>
      <c r="H26" s="19">
        <v>1.0</v>
      </c>
      <c r="I26" s="19">
        <v>1.0</v>
      </c>
      <c r="J26" s="19">
        <v>0.0</v>
      </c>
      <c r="K26" s="19">
        <v>0.0</v>
      </c>
      <c r="L26" s="19">
        <v>0.0</v>
      </c>
      <c r="M26" s="19">
        <v>1.0</v>
      </c>
      <c r="N26" s="19">
        <v>3.0</v>
      </c>
      <c r="O26" s="19">
        <v>1.0</v>
      </c>
      <c r="P26" s="19">
        <v>2.0</v>
      </c>
      <c r="Q26" s="19">
        <v>0.0</v>
      </c>
      <c r="R26" s="19">
        <v>0.0</v>
      </c>
      <c r="S26" s="19">
        <v>1.0</v>
      </c>
      <c r="T26" s="19">
        <v>2.0</v>
      </c>
      <c r="U26" s="19"/>
      <c r="V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2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3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0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114</v>
      </c>
      <c r="F28" s="13">
        <f t="shared" si="7"/>
        <v>109</v>
      </c>
      <c r="G28" s="13">
        <f t="shared" si="7"/>
        <v>76</v>
      </c>
      <c r="H28" s="13">
        <f t="shared" si="7"/>
        <v>90</v>
      </c>
      <c r="I28" s="13">
        <f t="shared" si="7"/>
        <v>100</v>
      </c>
      <c r="J28" s="13">
        <f t="shared" si="7"/>
        <v>106</v>
      </c>
      <c r="K28" s="13">
        <f t="shared" si="7"/>
        <v>94</v>
      </c>
      <c r="L28" s="13">
        <f t="shared" si="7"/>
        <v>105</v>
      </c>
      <c r="M28" s="13">
        <f t="shared" si="7"/>
        <v>99</v>
      </c>
      <c r="N28" s="13">
        <f t="shared" si="7"/>
        <v>90</v>
      </c>
      <c r="O28" s="13">
        <f t="shared" si="7"/>
        <v>88</v>
      </c>
      <c r="P28" s="13">
        <f t="shared" si="7"/>
        <v>96</v>
      </c>
      <c r="Q28" s="13">
        <f t="shared" si="7"/>
        <v>122</v>
      </c>
      <c r="R28" s="13">
        <f t="shared" si="7"/>
        <v>95</v>
      </c>
      <c r="S28" s="13">
        <f t="shared" si="7"/>
        <v>75</v>
      </c>
      <c r="T28" s="13">
        <f t="shared" si="7"/>
        <v>80</v>
      </c>
      <c r="U28" s="13">
        <f t="shared" si="7"/>
        <v>87</v>
      </c>
      <c r="V28" s="13">
        <f t="shared" si="3"/>
        <v>1626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119</v>
      </c>
      <c r="F29" s="13">
        <f t="shared" si="8"/>
        <v>114</v>
      </c>
      <c r="G29" s="13">
        <f t="shared" si="8"/>
        <v>83</v>
      </c>
      <c r="H29" s="13">
        <f t="shared" si="8"/>
        <v>111</v>
      </c>
      <c r="I29" s="13">
        <f t="shared" si="8"/>
        <v>97</v>
      </c>
      <c r="J29" s="13">
        <f t="shared" si="8"/>
        <v>117</v>
      </c>
      <c r="K29" s="13">
        <f t="shared" si="8"/>
        <v>127</v>
      </c>
      <c r="L29" s="13">
        <f t="shared" si="8"/>
        <v>127</v>
      </c>
      <c r="M29" s="13">
        <f t="shared" si="8"/>
        <v>123</v>
      </c>
      <c r="N29" s="13">
        <f t="shared" si="8"/>
        <v>105</v>
      </c>
      <c r="O29" s="13">
        <f t="shared" si="8"/>
        <v>101</v>
      </c>
      <c r="P29" s="13">
        <f t="shared" si="8"/>
        <v>104</v>
      </c>
      <c r="Q29" s="13">
        <f t="shared" si="8"/>
        <v>110</v>
      </c>
      <c r="R29" s="13">
        <f t="shared" si="8"/>
        <v>109</v>
      </c>
      <c r="S29" s="13">
        <f t="shared" si="8"/>
        <v>95</v>
      </c>
      <c r="T29" s="13">
        <f t="shared" si="8"/>
        <v>87</v>
      </c>
      <c r="U29" s="13">
        <f t="shared" si="8"/>
        <v>79</v>
      </c>
      <c r="V29" s="13">
        <f t="shared" si="3"/>
        <v>1808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233</v>
      </c>
      <c r="F30" s="13">
        <f t="shared" si="9"/>
        <v>223</v>
      </c>
      <c r="G30" s="13">
        <f t="shared" si="9"/>
        <v>159</v>
      </c>
      <c r="H30" s="13">
        <f t="shared" si="9"/>
        <v>201</v>
      </c>
      <c r="I30" s="13">
        <f t="shared" si="9"/>
        <v>197</v>
      </c>
      <c r="J30" s="13">
        <f t="shared" si="9"/>
        <v>223</v>
      </c>
      <c r="K30" s="13">
        <f t="shared" si="9"/>
        <v>221</v>
      </c>
      <c r="L30" s="13">
        <f t="shared" si="9"/>
        <v>232</v>
      </c>
      <c r="M30" s="13">
        <f t="shared" si="9"/>
        <v>222</v>
      </c>
      <c r="N30" s="13">
        <f t="shared" si="9"/>
        <v>195</v>
      </c>
      <c r="O30" s="13">
        <f t="shared" si="9"/>
        <v>189</v>
      </c>
      <c r="P30" s="13">
        <f t="shared" si="9"/>
        <v>200</v>
      </c>
      <c r="Q30" s="13">
        <f t="shared" si="9"/>
        <v>232</v>
      </c>
      <c r="R30" s="13">
        <f t="shared" si="9"/>
        <v>204</v>
      </c>
      <c r="S30" s="13">
        <f t="shared" si="9"/>
        <v>170</v>
      </c>
      <c r="T30" s="13">
        <f t="shared" si="9"/>
        <v>167</v>
      </c>
      <c r="U30" s="13">
        <f t="shared" si="9"/>
        <v>166</v>
      </c>
      <c r="V30" s="13">
        <f t="shared" si="3"/>
        <v>3434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71"/>
      <c r="P31" s="71"/>
      <c r="Q31" s="71"/>
      <c r="R31" s="71"/>
      <c r="S31" s="71"/>
      <c r="T31" s="71"/>
      <c r="U31" s="71"/>
      <c r="V31" s="72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3"/>
      <c r="O32" s="73"/>
      <c r="P32" s="73"/>
      <c r="Q32" s="73"/>
      <c r="R32" s="73"/>
      <c r="S32" s="73"/>
      <c r="T32" s="73"/>
      <c r="U32" s="73"/>
      <c r="V32" s="72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267.0</v>
      </c>
      <c r="G33" s="19">
        <v>206.0</v>
      </c>
      <c r="H33" s="19">
        <v>253.0</v>
      </c>
      <c r="I33" s="19">
        <v>219.0</v>
      </c>
      <c r="J33" s="19">
        <v>292.0</v>
      </c>
      <c r="K33" s="19">
        <v>283.0</v>
      </c>
      <c r="L33" s="19">
        <v>292.0</v>
      </c>
      <c r="M33" s="19">
        <v>274.0</v>
      </c>
      <c r="N33" s="19">
        <v>248.0</v>
      </c>
      <c r="O33" s="19">
        <v>240.0</v>
      </c>
      <c r="P33" s="19">
        <v>231.0</v>
      </c>
      <c r="Q33" s="19">
        <v>280.0</v>
      </c>
      <c r="R33" s="19">
        <v>253.0</v>
      </c>
      <c r="S33" s="19">
        <v>204.0</v>
      </c>
      <c r="T33" s="19">
        <v>200.0</v>
      </c>
      <c r="U33" s="19">
        <v>222.0</v>
      </c>
      <c r="V33" s="13">
        <f t="shared" ref="V33:V36" si="10">SUM(E33:U33)</f>
        <v>4253</v>
      </c>
    </row>
    <row r="34" ht="12.75" customHeight="1">
      <c r="A34" s="19">
        <v>2.0</v>
      </c>
      <c r="B34" s="20" t="s">
        <v>28</v>
      </c>
      <c r="C34" s="15"/>
      <c r="D34" s="16"/>
      <c r="E34" s="13">
        <v>233.0</v>
      </c>
      <c r="F34" s="13">
        <v>223.0</v>
      </c>
      <c r="G34" s="13">
        <v>159.0</v>
      </c>
      <c r="H34" s="13">
        <v>201.0</v>
      </c>
      <c r="I34" s="13">
        <v>197.0</v>
      </c>
      <c r="J34" s="13">
        <v>223.0</v>
      </c>
      <c r="K34" s="13">
        <v>221.0</v>
      </c>
      <c r="L34" s="13">
        <v>232.0</v>
      </c>
      <c r="M34" s="13">
        <v>222.0</v>
      </c>
      <c r="N34" s="13">
        <v>195.0</v>
      </c>
      <c r="O34" s="13">
        <v>189.0</v>
      </c>
      <c r="P34" s="13">
        <v>200.0</v>
      </c>
      <c r="Q34" s="13">
        <v>232.0</v>
      </c>
      <c r="R34" s="13">
        <v>204.0</v>
      </c>
      <c r="S34" s="13">
        <v>170.0</v>
      </c>
      <c r="T34" s="13">
        <v>167.0</v>
      </c>
      <c r="U34" s="13">
        <v>166.0</v>
      </c>
      <c r="V34" s="13">
        <f t="shared" si="10"/>
        <v>3434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9"/>
      <c r="V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56</v>
      </c>
      <c r="F36" s="13">
        <f t="shared" si="11"/>
        <v>44</v>
      </c>
      <c r="G36" s="13">
        <f t="shared" si="11"/>
        <v>47</v>
      </c>
      <c r="H36" s="13">
        <f t="shared" si="11"/>
        <v>52</v>
      </c>
      <c r="I36" s="13">
        <f t="shared" si="11"/>
        <v>21</v>
      </c>
      <c r="J36" s="13">
        <f t="shared" si="11"/>
        <v>69</v>
      </c>
      <c r="K36" s="13">
        <f t="shared" si="11"/>
        <v>62</v>
      </c>
      <c r="L36" s="13">
        <f t="shared" si="11"/>
        <v>59</v>
      </c>
      <c r="M36" s="13">
        <f t="shared" si="11"/>
        <v>52</v>
      </c>
      <c r="N36" s="13">
        <f t="shared" si="11"/>
        <v>53</v>
      </c>
      <c r="O36" s="13">
        <f t="shared" si="11"/>
        <v>50</v>
      </c>
      <c r="P36" s="13">
        <f t="shared" si="11"/>
        <v>31</v>
      </c>
      <c r="Q36" s="13">
        <f t="shared" si="11"/>
        <v>48</v>
      </c>
      <c r="R36" s="13">
        <f t="shared" si="11"/>
        <v>49</v>
      </c>
      <c r="S36" s="13">
        <f t="shared" si="11"/>
        <v>34</v>
      </c>
      <c r="T36" s="13">
        <f t="shared" si="11"/>
        <v>33</v>
      </c>
      <c r="U36" s="13">
        <f t="shared" si="11"/>
        <v>56</v>
      </c>
      <c r="V36" s="13">
        <f t="shared" si="10"/>
        <v>816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1"/>
      <c r="O37" s="76"/>
      <c r="P37" s="76"/>
      <c r="Q37" s="76"/>
      <c r="R37" s="76"/>
      <c r="S37" s="76"/>
      <c r="T37" s="76"/>
      <c r="U37" s="76"/>
      <c r="V37" s="72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3"/>
      <c r="O38" s="73"/>
      <c r="P38" s="73"/>
      <c r="Q38" s="73"/>
      <c r="R38" s="73"/>
      <c r="S38" s="73"/>
      <c r="T38" s="73"/>
      <c r="U38" s="73"/>
      <c r="V38" s="72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>
        <v>3.0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3">
        <f t="shared" ref="V39:V41" si="12">SUM(E39:U39)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1.0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71"/>
      <c r="Q42" s="19"/>
      <c r="R42" s="71"/>
      <c r="S42" s="19"/>
      <c r="T42" s="71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6.0</v>
      </c>
      <c r="G45" s="19">
        <v>12.0</v>
      </c>
      <c r="H45" s="19">
        <v>13.0</v>
      </c>
      <c r="I45" s="19">
        <v>26.0</v>
      </c>
      <c r="J45" s="19">
        <v>19.0</v>
      </c>
      <c r="K45" s="19">
        <v>23.0</v>
      </c>
      <c r="L45" s="19">
        <v>14.0</v>
      </c>
      <c r="M45" s="19">
        <v>15.0</v>
      </c>
      <c r="N45" s="19">
        <v>18.0</v>
      </c>
      <c r="O45" s="19">
        <v>17.0</v>
      </c>
      <c r="P45" s="19">
        <v>19.0</v>
      </c>
      <c r="Q45" s="19">
        <v>22.0</v>
      </c>
      <c r="R45" s="19">
        <v>15.0</v>
      </c>
      <c r="S45" s="19">
        <v>12.0</v>
      </c>
      <c r="T45" s="19">
        <v>12.0</v>
      </c>
      <c r="U45" s="19">
        <v>8.0</v>
      </c>
      <c r="V45" s="13">
        <f t="shared" ref="V45:V55" si="14">SUM(E45:U45)</f>
        <v>257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49.0</v>
      </c>
      <c r="F46" s="19">
        <v>33.0</v>
      </c>
      <c r="G46" s="19">
        <v>30.0</v>
      </c>
      <c r="H46" s="19">
        <v>45.0</v>
      </c>
      <c r="I46" s="19">
        <v>66.0</v>
      </c>
      <c r="J46" s="19">
        <v>72.0</v>
      </c>
      <c r="K46" s="19">
        <v>83.0</v>
      </c>
      <c r="L46" s="19">
        <v>80.0</v>
      </c>
      <c r="M46" s="19">
        <v>47.0</v>
      </c>
      <c r="N46" s="19">
        <v>39.0</v>
      </c>
      <c r="O46" s="19">
        <v>83.0</v>
      </c>
      <c r="P46" s="19">
        <v>84.0</v>
      </c>
      <c r="Q46" s="19">
        <v>61.0</v>
      </c>
      <c r="R46" s="19">
        <v>27.0</v>
      </c>
      <c r="S46" s="19">
        <v>28.0</v>
      </c>
      <c r="T46" s="19">
        <v>47.0</v>
      </c>
      <c r="U46" s="19">
        <v>38.0</v>
      </c>
      <c r="V46" s="13">
        <f t="shared" si="14"/>
        <v>912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4.0</v>
      </c>
      <c r="G47" s="19">
        <v>1.0</v>
      </c>
      <c r="H47" s="19">
        <v>1.0</v>
      </c>
      <c r="I47" s="19">
        <v>3.0</v>
      </c>
      <c r="J47" s="19">
        <v>2.0</v>
      </c>
      <c r="K47" s="19">
        <v>1.0</v>
      </c>
      <c r="L47" s="19">
        <v>0.0</v>
      </c>
      <c r="M47" s="19">
        <v>3.0</v>
      </c>
      <c r="N47" s="19">
        <v>1.0</v>
      </c>
      <c r="O47" s="19">
        <v>2.0</v>
      </c>
      <c r="P47" s="19">
        <v>0.0</v>
      </c>
      <c r="Q47" s="19">
        <v>4.0</v>
      </c>
      <c r="R47" s="19">
        <v>1.0</v>
      </c>
      <c r="S47" s="19">
        <v>2.0</v>
      </c>
      <c r="T47" s="19">
        <v>1.0</v>
      </c>
      <c r="U47" s="19">
        <v>2.0</v>
      </c>
      <c r="V47" s="13">
        <f t="shared" si="14"/>
        <v>31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0.0</v>
      </c>
      <c r="H48" s="19">
        <v>1.0</v>
      </c>
      <c r="I48" s="19">
        <v>1.0</v>
      </c>
      <c r="J48" s="19">
        <v>1.0</v>
      </c>
      <c r="K48" s="19">
        <v>0.0</v>
      </c>
      <c r="L48" s="19">
        <v>0.0</v>
      </c>
      <c r="M48" s="19">
        <v>2.0</v>
      </c>
      <c r="N48" s="19">
        <v>0.0</v>
      </c>
      <c r="O48" s="19">
        <v>0.0</v>
      </c>
      <c r="P48" s="19">
        <v>0.0</v>
      </c>
      <c r="Q48" s="19">
        <v>1.0</v>
      </c>
      <c r="R48" s="19">
        <v>1.0</v>
      </c>
      <c r="S48" s="19">
        <v>0.0</v>
      </c>
      <c r="T48" s="19">
        <v>0.0</v>
      </c>
      <c r="U48" s="19">
        <v>0.0</v>
      </c>
      <c r="V48" s="13">
        <f t="shared" si="14"/>
        <v>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3">
        <f t="shared" si="14"/>
        <v>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1.0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1.0</v>
      </c>
      <c r="T50" s="19">
        <v>0.0</v>
      </c>
      <c r="U50" s="19">
        <v>0.0</v>
      </c>
      <c r="V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0.0</v>
      </c>
      <c r="T51" s="19">
        <v>0.0</v>
      </c>
      <c r="U51" s="19">
        <v>0.0</v>
      </c>
      <c r="V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2.0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1.0</v>
      </c>
      <c r="T52" s="19">
        <v>0.0</v>
      </c>
      <c r="U52" s="19">
        <v>0.0</v>
      </c>
      <c r="V52" s="13">
        <f t="shared" si="14"/>
        <v>4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U55" si="15">SUM(E45:E52)</f>
        <v>59</v>
      </c>
      <c r="F55" s="13">
        <f t="shared" si="15"/>
        <v>44</v>
      </c>
      <c r="G55" s="13">
        <f t="shared" si="15"/>
        <v>43</v>
      </c>
      <c r="H55" s="13">
        <f t="shared" si="15"/>
        <v>64</v>
      </c>
      <c r="I55" s="13">
        <f t="shared" si="15"/>
        <v>97</v>
      </c>
      <c r="J55" s="13">
        <f t="shared" si="15"/>
        <v>95</v>
      </c>
      <c r="K55" s="13">
        <f t="shared" si="15"/>
        <v>109</v>
      </c>
      <c r="L55" s="13">
        <f t="shared" si="15"/>
        <v>94</v>
      </c>
      <c r="M55" s="13">
        <f t="shared" si="15"/>
        <v>67</v>
      </c>
      <c r="N55" s="13">
        <f t="shared" si="15"/>
        <v>58</v>
      </c>
      <c r="O55" s="13">
        <f t="shared" si="15"/>
        <v>102</v>
      </c>
      <c r="P55" s="13">
        <f t="shared" si="15"/>
        <v>103</v>
      </c>
      <c r="Q55" s="13">
        <f t="shared" si="15"/>
        <v>88</v>
      </c>
      <c r="R55" s="13">
        <f t="shared" si="15"/>
        <v>45</v>
      </c>
      <c r="S55" s="13">
        <f t="shared" si="15"/>
        <v>44</v>
      </c>
      <c r="T55" s="13">
        <f t="shared" si="15"/>
        <v>60</v>
      </c>
      <c r="U55" s="13">
        <f t="shared" si="15"/>
        <v>48</v>
      </c>
      <c r="V55" s="13">
        <f t="shared" si="14"/>
        <v>1220</v>
      </c>
    </row>
    <row r="56" ht="12.75" customHeight="1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10.0</v>
      </c>
      <c r="F57" s="19">
        <v>7.0</v>
      </c>
      <c r="G57" s="19">
        <v>10.0</v>
      </c>
      <c r="H57" s="19">
        <v>14.0</v>
      </c>
      <c r="I57" s="19">
        <v>7.0</v>
      </c>
      <c r="J57" s="19">
        <v>11.0</v>
      </c>
      <c r="K57" s="19">
        <v>11.0</v>
      </c>
      <c r="L57" s="19">
        <v>5.0</v>
      </c>
      <c r="M57" s="19">
        <v>4.0</v>
      </c>
      <c r="N57" s="19">
        <v>8.0</v>
      </c>
      <c r="O57" s="19">
        <v>3.0</v>
      </c>
      <c r="P57" s="19">
        <v>9.0</v>
      </c>
      <c r="Q57" s="19">
        <v>15.0</v>
      </c>
      <c r="R57" s="19">
        <v>9.0</v>
      </c>
      <c r="S57" s="19">
        <v>4.0</v>
      </c>
      <c r="T57" s="19">
        <v>5.0</v>
      </c>
      <c r="U57" s="19">
        <v>10.0</v>
      </c>
      <c r="V57" s="13">
        <f t="shared" ref="V57:V67" si="16">SUM(E57:U57)</f>
        <v>142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10.0</v>
      </c>
      <c r="F58" s="19">
        <v>9.0</v>
      </c>
      <c r="G58" s="19">
        <v>4.0</v>
      </c>
      <c r="H58" s="19">
        <v>5.0</v>
      </c>
      <c r="I58" s="19">
        <v>7.0</v>
      </c>
      <c r="J58" s="19">
        <v>8.0</v>
      </c>
      <c r="K58" s="19">
        <v>8.0</v>
      </c>
      <c r="L58" s="19">
        <v>11.0</v>
      </c>
      <c r="M58" s="19">
        <v>9.0</v>
      </c>
      <c r="N58" s="19">
        <v>6.0</v>
      </c>
      <c r="O58" s="19">
        <v>6.0</v>
      </c>
      <c r="P58" s="19">
        <v>4.0</v>
      </c>
      <c r="Q58" s="19">
        <v>14.0</v>
      </c>
      <c r="R58" s="19">
        <v>18.0</v>
      </c>
      <c r="S58" s="19">
        <v>30.0</v>
      </c>
      <c r="T58" s="19">
        <v>19.0</v>
      </c>
      <c r="U58" s="19">
        <v>8.0</v>
      </c>
      <c r="V58" s="13">
        <f t="shared" si="16"/>
        <v>176</v>
      </c>
    </row>
    <row r="59" ht="12.75" customHeight="1">
      <c r="A59" s="18"/>
      <c r="B59" s="55">
        <v>2.0</v>
      </c>
      <c r="C59" s="50" t="s">
        <v>50</v>
      </c>
      <c r="D59" s="59"/>
      <c r="E59" s="19">
        <v>2.0</v>
      </c>
      <c r="F59" s="19">
        <v>1.0</v>
      </c>
      <c r="G59" s="19">
        <v>2.0</v>
      </c>
      <c r="H59" s="19">
        <v>3.0</v>
      </c>
      <c r="I59" s="19">
        <v>0.0</v>
      </c>
      <c r="J59" s="19">
        <v>6.0</v>
      </c>
      <c r="K59" s="19">
        <v>1.0</v>
      </c>
      <c r="L59" s="19">
        <v>2.0</v>
      </c>
      <c r="M59" s="19">
        <v>1.0</v>
      </c>
      <c r="N59" s="19">
        <v>1.0</v>
      </c>
      <c r="O59" s="19">
        <v>2.0</v>
      </c>
      <c r="P59" s="19">
        <v>5.0</v>
      </c>
      <c r="Q59" s="19">
        <v>1.0</v>
      </c>
      <c r="R59" s="19">
        <v>8.0</v>
      </c>
      <c r="S59" s="19">
        <v>3.0</v>
      </c>
      <c r="T59" s="19">
        <v>0.0</v>
      </c>
      <c r="U59" s="19">
        <v>2.0</v>
      </c>
      <c r="V59" s="13">
        <f t="shared" si="16"/>
        <v>40</v>
      </c>
    </row>
    <row r="60" ht="12.75" customHeight="1">
      <c r="A60" s="18"/>
      <c r="B60" s="55">
        <v>3.0</v>
      </c>
      <c r="C60" s="50" t="s">
        <v>51</v>
      </c>
      <c r="D60" s="59"/>
      <c r="E60" s="19">
        <v>3.0</v>
      </c>
      <c r="F60" s="19">
        <v>0.0</v>
      </c>
      <c r="G60" s="19">
        <v>0.0</v>
      </c>
      <c r="H60" s="19">
        <v>1.0</v>
      </c>
      <c r="I60" s="19">
        <v>0.0</v>
      </c>
      <c r="J60" s="19">
        <v>3.0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1.0</v>
      </c>
      <c r="Q60" s="19">
        <v>5.0</v>
      </c>
      <c r="R60" s="19">
        <v>1.0</v>
      </c>
      <c r="S60" s="19">
        <v>0.0</v>
      </c>
      <c r="T60" s="19">
        <v>0.0</v>
      </c>
      <c r="U60" s="19">
        <v>0.0</v>
      </c>
      <c r="V60" s="13">
        <f t="shared" si="16"/>
        <v>15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2.0</v>
      </c>
      <c r="K61" s="19">
        <v>1.0</v>
      </c>
      <c r="L61" s="19">
        <v>5.0</v>
      </c>
      <c r="M61" s="19">
        <v>0.0</v>
      </c>
      <c r="N61" s="19">
        <v>1.0</v>
      </c>
      <c r="O61" s="19">
        <v>0.0</v>
      </c>
      <c r="P61" s="19">
        <v>0.0</v>
      </c>
      <c r="Q61" s="19">
        <v>2.0</v>
      </c>
      <c r="R61" s="19">
        <v>0.0</v>
      </c>
      <c r="S61" s="19">
        <v>0.0</v>
      </c>
      <c r="T61" s="19">
        <v>0.0</v>
      </c>
      <c r="U61" s="19">
        <v>1.0</v>
      </c>
      <c r="V61" s="13">
        <f t="shared" si="16"/>
        <v>12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3">
        <f t="shared" si="16"/>
        <v>1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0.0</v>
      </c>
      <c r="G63" s="19">
        <v>1.0</v>
      </c>
      <c r="H63" s="19">
        <v>0.0</v>
      </c>
      <c r="I63" s="19">
        <v>0.0</v>
      </c>
      <c r="J63" s="19">
        <v>1.0</v>
      </c>
      <c r="K63" s="19">
        <v>1.0</v>
      </c>
      <c r="L63" s="19">
        <v>1.0</v>
      </c>
      <c r="M63" s="19">
        <v>0.0</v>
      </c>
      <c r="N63" s="19">
        <v>0.0</v>
      </c>
      <c r="O63" s="19">
        <v>0.0</v>
      </c>
      <c r="P63" s="19">
        <v>0.0</v>
      </c>
      <c r="Q63" s="19">
        <v>5.0</v>
      </c>
      <c r="R63" s="19">
        <v>5.0</v>
      </c>
      <c r="S63" s="19">
        <v>0.0</v>
      </c>
      <c r="T63" s="19">
        <v>0.0</v>
      </c>
      <c r="U63" s="19">
        <v>0.0</v>
      </c>
      <c r="V63" s="13">
        <f t="shared" si="16"/>
        <v>15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2.0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3">
        <f t="shared" si="16"/>
        <v>3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U67" si="17">SUM(E57:E64)</f>
        <v>26</v>
      </c>
      <c r="F67" s="13">
        <f t="shared" si="17"/>
        <v>17</v>
      </c>
      <c r="G67" s="13">
        <f t="shared" si="17"/>
        <v>18</v>
      </c>
      <c r="H67" s="13">
        <f t="shared" si="17"/>
        <v>23</v>
      </c>
      <c r="I67" s="13">
        <f t="shared" si="17"/>
        <v>14</v>
      </c>
      <c r="J67" s="13">
        <f t="shared" si="17"/>
        <v>33</v>
      </c>
      <c r="K67" s="13">
        <f t="shared" si="17"/>
        <v>22</v>
      </c>
      <c r="L67" s="13">
        <f t="shared" si="17"/>
        <v>25</v>
      </c>
      <c r="M67" s="13">
        <f t="shared" si="17"/>
        <v>14</v>
      </c>
      <c r="N67" s="13">
        <f t="shared" si="17"/>
        <v>16</v>
      </c>
      <c r="O67" s="13">
        <f t="shared" si="17"/>
        <v>12</v>
      </c>
      <c r="P67" s="13">
        <f t="shared" si="17"/>
        <v>19</v>
      </c>
      <c r="Q67" s="13">
        <f t="shared" si="17"/>
        <v>42</v>
      </c>
      <c r="R67" s="13">
        <f t="shared" si="17"/>
        <v>41</v>
      </c>
      <c r="S67" s="13">
        <f t="shared" si="17"/>
        <v>37</v>
      </c>
      <c r="T67" s="13">
        <f t="shared" si="17"/>
        <v>24</v>
      </c>
      <c r="U67" s="13">
        <f t="shared" si="17"/>
        <v>21</v>
      </c>
      <c r="V67" s="13">
        <f t="shared" si="16"/>
        <v>404</v>
      </c>
    </row>
    <row r="68" ht="12.75" customHeight="1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13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21.0</v>
      </c>
      <c r="F69" s="19">
        <v>18.0</v>
      </c>
      <c r="G69" s="19">
        <v>10.0</v>
      </c>
      <c r="H69" s="19">
        <v>9.0</v>
      </c>
      <c r="I69" s="19">
        <v>7.0</v>
      </c>
      <c r="J69" s="19">
        <v>5.0</v>
      </c>
      <c r="K69" s="19">
        <v>3.0</v>
      </c>
      <c r="L69" s="19">
        <v>10.0</v>
      </c>
      <c r="M69" s="19">
        <v>4.0</v>
      </c>
      <c r="N69" s="19">
        <v>4.0</v>
      </c>
      <c r="O69" s="19">
        <v>2.0</v>
      </c>
      <c r="P69" s="19">
        <v>2.0</v>
      </c>
      <c r="Q69" s="19">
        <v>5.0</v>
      </c>
      <c r="R69" s="19">
        <v>6.0</v>
      </c>
      <c r="S69" s="19">
        <v>1.0</v>
      </c>
      <c r="T69" s="19">
        <v>3.0</v>
      </c>
      <c r="U69" s="19">
        <v>3.0</v>
      </c>
      <c r="V69" s="13">
        <f t="shared" ref="V69:V79" si="18">SUM(E69:U69)</f>
        <v>113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9.0</v>
      </c>
      <c r="F70" s="19">
        <v>38.0</v>
      </c>
      <c r="G70" s="19">
        <v>6.0</v>
      </c>
      <c r="H70" s="19">
        <v>5.0</v>
      </c>
      <c r="I70" s="19">
        <v>29.0</v>
      </c>
      <c r="J70" s="19">
        <v>6.0</v>
      </c>
      <c r="K70" s="19">
        <v>5.0</v>
      </c>
      <c r="L70" s="19">
        <v>2.0</v>
      </c>
      <c r="M70" s="19">
        <v>5.0</v>
      </c>
      <c r="N70" s="19">
        <v>1.0</v>
      </c>
      <c r="O70" s="19">
        <v>1.0</v>
      </c>
      <c r="P70" s="19">
        <v>4.0</v>
      </c>
      <c r="Q70" s="19">
        <v>3.0</v>
      </c>
      <c r="R70" s="19">
        <v>1.0</v>
      </c>
      <c r="S70" s="19">
        <v>1.0</v>
      </c>
      <c r="T70" s="19">
        <v>3.0</v>
      </c>
      <c r="U70" s="19">
        <v>54.0</v>
      </c>
      <c r="V70" s="13">
        <f t="shared" si="18"/>
        <v>173</v>
      </c>
    </row>
    <row r="71" ht="12.75" customHeight="1">
      <c r="A71" s="18"/>
      <c r="B71" s="55">
        <v>2.0</v>
      </c>
      <c r="C71" s="50" t="s">
        <v>58</v>
      </c>
      <c r="D71" s="60"/>
      <c r="E71" s="19">
        <v>4.0</v>
      </c>
      <c r="F71" s="19">
        <v>4.0</v>
      </c>
      <c r="G71" s="19">
        <v>1.0</v>
      </c>
      <c r="H71" s="19">
        <v>4.0</v>
      </c>
      <c r="I71" s="19">
        <v>0.0</v>
      </c>
      <c r="J71" s="19">
        <v>3.0</v>
      </c>
      <c r="K71" s="19">
        <v>20.0</v>
      </c>
      <c r="L71" s="19">
        <v>6.0</v>
      </c>
      <c r="M71" s="19">
        <v>27.0</v>
      </c>
      <c r="N71" s="19">
        <v>14.0</v>
      </c>
      <c r="O71" s="19">
        <v>5.0</v>
      </c>
      <c r="P71" s="19">
        <v>7.0</v>
      </c>
      <c r="Q71" s="19">
        <v>6.0</v>
      </c>
      <c r="R71" s="19">
        <v>1.0</v>
      </c>
      <c r="S71" s="19">
        <v>0.0</v>
      </c>
      <c r="T71" s="19">
        <v>1.0</v>
      </c>
      <c r="U71" s="19">
        <v>3.0</v>
      </c>
      <c r="V71" s="13">
        <f t="shared" si="18"/>
        <v>106</v>
      </c>
    </row>
    <row r="72" ht="12.75" customHeight="1">
      <c r="A72" s="18"/>
      <c r="B72" s="55">
        <v>3.0</v>
      </c>
      <c r="C72" s="50" t="s">
        <v>59</v>
      </c>
      <c r="D72" s="60"/>
      <c r="E72" s="19">
        <v>52.0</v>
      </c>
      <c r="F72" s="19">
        <v>52.0</v>
      </c>
      <c r="G72" s="19">
        <v>13.0</v>
      </c>
      <c r="H72" s="19">
        <v>26.0</v>
      </c>
      <c r="I72" s="19">
        <v>0.0</v>
      </c>
      <c r="J72" s="19">
        <v>4.0</v>
      </c>
      <c r="K72" s="19">
        <v>0.0</v>
      </c>
      <c r="L72" s="19">
        <v>1.0</v>
      </c>
      <c r="M72" s="19">
        <v>2.0</v>
      </c>
      <c r="N72" s="19">
        <v>1.0</v>
      </c>
      <c r="O72" s="19">
        <v>0.0</v>
      </c>
      <c r="P72" s="19">
        <v>1.0</v>
      </c>
      <c r="Q72" s="19">
        <v>0.0</v>
      </c>
      <c r="R72" s="19">
        <v>1.0</v>
      </c>
      <c r="S72" s="19">
        <v>1.0</v>
      </c>
      <c r="T72" s="19">
        <v>0.0</v>
      </c>
      <c r="U72" s="19">
        <v>1.0</v>
      </c>
      <c r="V72" s="13">
        <f t="shared" si="18"/>
        <v>155</v>
      </c>
    </row>
    <row r="73" ht="12.75" customHeight="1">
      <c r="A73" s="18"/>
      <c r="B73" s="55">
        <v>4.0</v>
      </c>
      <c r="C73" s="50" t="s">
        <v>60</v>
      </c>
      <c r="D73" s="60"/>
      <c r="E73" s="19">
        <v>2.0</v>
      </c>
      <c r="F73" s="19">
        <v>1.0</v>
      </c>
      <c r="G73" s="19">
        <v>2.0</v>
      </c>
      <c r="H73" s="19">
        <v>1.0</v>
      </c>
      <c r="I73" s="19">
        <v>0.0</v>
      </c>
      <c r="J73" s="19">
        <v>1.0</v>
      </c>
      <c r="K73" s="19">
        <v>0.0</v>
      </c>
      <c r="L73" s="19">
        <v>8.0</v>
      </c>
      <c r="M73" s="19">
        <v>3.0</v>
      </c>
      <c r="N73" s="19">
        <v>0.0</v>
      </c>
      <c r="O73" s="19">
        <v>1.0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0.0</v>
      </c>
      <c r="V73" s="13">
        <f t="shared" si="18"/>
        <v>19</v>
      </c>
    </row>
    <row r="74" ht="12.75" customHeight="1">
      <c r="A74" s="18"/>
      <c r="B74" s="55">
        <v>5.0</v>
      </c>
      <c r="C74" s="50" t="s">
        <v>61</v>
      </c>
      <c r="D74" s="60"/>
      <c r="E74" s="19">
        <v>3.0</v>
      </c>
      <c r="F74" s="19">
        <v>5.0</v>
      </c>
      <c r="G74" s="19">
        <v>4.0</v>
      </c>
      <c r="H74" s="19">
        <v>9.0</v>
      </c>
      <c r="I74" s="19">
        <v>3.0</v>
      </c>
      <c r="J74" s="19">
        <v>11.0</v>
      </c>
      <c r="K74" s="19">
        <v>0.0</v>
      </c>
      <c r="L74" s="19">
        <v>12.0</v>
      </c>
      <c r="M74" s="19">
        <v>2.0</v>
      </c>
      <c r="N74" s="19">
        <v>5.0</v>
      </c>
      <c r="O74" s="19">
        <v>4.0</v>
      </c>
      <c r="P74" s="19">
        <v>4.0</v>
      </c>
      <c r="Q74" s="19">
        <v>3.0</v>
      </c>
      <c r="R74" s="19">
        <v>1.0</v>
      </c>
      <c r="S74" s="19">
        <v>1.0</v>
      </c>
      <c r="T74" s="19">
        <v>1.0</v>
      </c>
      <c r="U74" s="19">
        <v>6.0</v>
      </c>
      <c r="V74" s="13">
        <f t="shared" si="18"/>
        <v>74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3.0</v>
      </c>
      <c r="H75" s="19">
        <v>2.0</v>
      </c>
      <c r="I75" s="19">
        <v>2.0</v>
      </c>
      <c r="J75" s="19">
        <v>1.0</v>
      </c>
      <c r="K75" s="19">
        <v>0.0</v>
      </c>
      <c r="L75" s="19">
        <v>1.0</v>
      </c>
      <c r="M75" s="19">
        <v>0.0</v>
      </c>
      <c r="N75" s="19">
        <v>1.0</v>
      </c>
      <c r="O75" s="19">
        <v>1.0</v>
      </c>
      <c r="P75" s="19">
        <v>1.0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3">
        <f t="shared" si="18"/>
        <v>13</v>
      </c>
    </row>
    <row r="76" ht="12.75" customHeight="1">
      <c r="A76" s="18"/>
      <c r="B76" s="55">
        <v>7.0</v>
      </c>
      <c r="C76" s="50" t="s">
        <v>63</v>
      </c>
      <c r="D76" s="60"/>
      <c r="E76" s="19">
        <v>2.0</v>
      </c>
      <c r="F76" s="19">
        <v>1.0</v>
      </c>
      <c r="G76" s="19">
        <v>3.0</v>
      </c>
      <c r="H76" s="19">
        <v>2.0</v>
      </c>
      <c r="I76" s="19">
        <v>2.0</v>
      </c>
      <c r="J76" s="19">
        <v>2.0</v>
      </c>
      <c r="K76" s="19">
        <v>2.0</v>
      </c>
      <c r="L76" s="19">
        <v>1.0</v>
      </c>
      <c r="M76" s="19">
        <v>2.0</v>
      </c>
      <c r="N76" s="19">
        <v>2.0</v>
      </c>
      <c r="O76" s="19">
        <v>1.0</v>
      </c>
      <c r="P76" s="19">
        <v>4.0</v>
      </c>
      <c r="Q76" s="19">
        <v>3.0</v>
      </c>
      <c r="R76" s="19">
        <v>0.0</v>
      </c>
      <c r="S76" s="19">
        <v>1.0</v>
      </c>
      <c r="T76" s="19">
        <v>0.0</v>
      </c>
      <c r="U76" s="19">
        <v>2.0</v>
      </c>
      <c r="V76" s="13">
        <f t="shared" si="18"/>
        <v>30</v>
      </c>
    </row>
    <row r="77" ht="12.75" customHeight="1">
      <c r="A77" s="18"/>
      <c r="B77" s="56"/>
      <c r="C77" s="57"/>
      <c r="D77" s="6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18"/>
        <v>0</v>
      </c>
    </row>
    <row r="78" ht="12.75" customHeight="1">
      <c r="A78" s="18"/>
      <c r="B78" s="56"/>
      <c r="C78" s="57"/>
      <c r="D78" s="6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U79" si="19">SUM(E69:E76)</f>
        <v>93</v>
      </c>
      <c r="F79" s="13">
        <f t="shared" si="19"/>
        <v>119</v>
      </c>
      <c r="G79" s="13">
        <f t="shared" si="19"/>
        <v>42</v>
      </c>
      <c r="H79" s="13">
        <f t="shared" si="19"/>
        <v>58</v>
      </c>
      <c r="I79" s="13">
        <f t="shared" si="19"/>
        <v>43</v>
      </c>
      <c r="J79" s="13">
        <f t="shared" si="19"/>
        <v>33</v>
      </c>
      <c r="K79" s="13">
        <f t="shared" si="19"/>
        <v>30</v>
      </c>
      <c r="L79" s="13">
        <f t="shared" si="19"/>
        <v>41</v>
      </c>
      <c r="M79" s="13">
        <f t="shared" si="19"/>
        <v>45</v>
      </c>
      <c r="N79" s="13">
        <f t="shared" si="19"/>
        <v>28</v>
      </c>
      <c r="O79" s="13">
        <f t="shared" si="19"/>
        <v>15</v>
      </c>
      <c r="P79" s="13">
        <f t="shared" si="19"/>
        <v>23</v>
      </c>
      <c r="Q79" s="13">
        <f t="shared" si="19"/>
        <v>21</v>
      </c>
      <c r="R79" s="13">
        <f t="shared" si="19"/>
        <v>10</v>
      </c>
      <c r="S79" s="13">
        <f t="shared" si="19"/>
        <v>5</v>
      </c>
      <c r="T79" s="13">
        <f t="shared" si="19"/>
        <v>8</v>
      </c>
      <c r="U79" s="13">
        <f t="shared" si="19"/>
        <v>69</v>
      </c>
      <c r="V79" s="13">
        <f t="shared" si="18"/>
        <v>683</v>
      </c>
    </row>
    <row r="80" ht="12.75" customHeight="1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13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2.0</v>
      </c>
      <c r="G81" s="19">
        <v>0.0</v>
      </c>
      <c r="H81" s="19">
        <v>7.0</v>
      </c>
      <c r="I81" s="19">
        <v>6.0</v>
      </c>
      <c r="J81" s="19">
        <v>2.0</v>
      </c>
      <c r="K81" s="19">
        <v>5.0</v>
      </c>
      <c r="L81" s="19">
        <v>0.0</v>
      </c>
      <c r="M81" s="19">
        <v>2.0</v>
      </c>
      <c r="N81" s="19">
        <v>7.0</v>
      </c>
      <c r="O81" s="19">
        <v>2.0</v>
      </c>
      <c r="P81" s="19">
        <v>1.0</v>
      </c>
      <c r="Q81" s="19">
        <v>2.0</v>
      </c>
      <c r="R81" s="19">
        <v>14.0</v>
      </c>
      <c r="S81" s="19">
        <v>6.0</v>
      </c>
      <c r="T81" s="19">
        <v>15.0</v>
      </c>
      <c r="U81" s="19">
        <v>0.0</v>
      </c>
      <c r="V81" s="13">
        <f t="shared" ref="V81:V91" si="20">SUM(E81:U81)</f>
        <v>74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2.0</v>
      </c>
      <c r="F82" s="19">
        <v>1.0</v>
      </c>
      <c r="G82" s="19">
        <v>3.0</v>
      </c>
      <c r="H82" s="19">
        <v>1.0</v>
      </c>
      <c r="I82" s="19">
        <v>4.0</v>
      </c>
      <c r="J82" s="19">
        <v>2.0</v>
      </c>
      <c r="K82" s="19">
        <v>7.0</v>
      </c>
      <c r="L82" s="19">
        <v>3.0</v>
      </c>
      <c r="M82" s="19">
        <v>5.0</v>
      </c>
      <c r="N82" s="19">
        <v>35.0</v>
      </c>
      <c r="O82" s="19">
        <v>4.0</v>
      </c>
      <c r="P82" s="19">
        <v>3.0</v>
      </c>
      <c r="Q82" s="19">
        <v>2.0</v>
      </c>
      <c r="R82" s="19">
        <v>38.0</v>
      </c>
      <c r="S82" s="19">
        <v>34.0</v>
      </c>
      <c r="T82" s="19">
        <v>23.0</v>
      </c>
      <c r="U82" s="19">
        <v>0.0</v>
      </c>
      <c r="V82" s="13">
        <f t="shared" si="20"/>
        <v>167</v>
      </c>
    </row>
    <row r="83" ht="12.75" customHeight="1">
      <c r="A83" s="18"/>
      <c r="B83" s="55">
        <v>2.0</v>
      </c>
      <c r="C83" s="50" t="s">
        <v>66</v>
      </c>
      <c r="D83" s="60"/>
      <c r="E83" s="19">
        <v>3.0</v>
      </c>
      <c r="F83" s="19">
        <v>1.0</v>
      </c>
      <c r="G83" s="19">
        <v>0.0</v>
      </c>
      <c r="H83" s="19">
        <v>0.0</v>
      </c>
      <c r="I83" s="19">
        <v>2.0</v>
      </c>
      <c r="J83" s="19">
        <v>1.0</v>
      </c>
      <c r="K83" s="19">
        <v>3.0</v>
      </c>
      <c r="L83" s="19">
        <v>1.0</v>
      </c>
      <c r="M83" s="19">
        <v>1.0</v>
      </c>
      <c r="N83" s="19">
        <v>0.0</v>
      </c>
      <c r="O83" s="19">
        <v>2.0</v>
      </c>
      <c r="P83" s="19">
        <v>3.0</v>
      </c>
      <c r="Q83" s="19">
        <v>1.0</v>
      </c>
      <c r="R83" s="19">
        <v>1.0</v>
      </c>
      <c r="S83" s="19">
        <v>1.0</v>
      </c>
      <c r="T83" s="19">
        <v>0.0</v>
      </c>
      <c r="U83" s="19">
        <v>1.0</v>
      </c>
      <c r="V83" s="13">
        <f t="shared" si="20"/>
        <v>21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1.0</v>
      </c>
      <c r="G84" s="19">
        <v>0.0</v>
      </c>
      <c r="H84" s="19">
        <v>0.0</v>
      </c>
      <c r="I84" s="19">
        <v>0.0</v>
      </c>
      <c r="J84" s="19">
        <v>0.0</v>
      </c>
      <c r="K84" s="19">
        <v>1.0</v>
      </c>
      <c r="L84" s="19">
        <v>1.0</v>
      </c>
      <c r="M84" s="19">
        <v>0.0</v>
      </c>
      <c r="N84" s="19">
        <v>0.0</v>
      </c>
      <c r="O84" s="19">
        <v>0.0</v>
      </c>
      <c r="P84" s="19">
        <v>0.0</v>
      </c>
      <c r="Q84" s="19">
        <v>1.0</v>
      </c>
      <c r="R84" s="19">
        <v>3.0</v>
      </c>
      <c r="S84" s="19">
        <v>2.0</v>
      </c>
      <c r="T84" s="19">
        <v>1.0</v>
      </c>
      <c r="U84" s="19">
        <v>0.0</v>
      </c>
      <c r="V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1.0</v>
      </c>
      <c r="J85" s="19">
        <v>0.0</v>
      </c>
      <c r="K85" s="19">
        <v>0.0</v>
      </c>
      <c r="L85" s="19">
        <v>1.0</v>
      </c>
      <c r="M85" s="19">
        <v>2.0</v>
      </c>
      <c r="N85" s="19">
        <v>1.0</v>
      </c>
      <c r="O85" s="19">
        <v>2.0</v>
      </c>
      <c r="P85" s="19">
        <v>0.0</v>
      </c>
      <c r="Q85" s="19">
        <v>0.0</v>
      </c>
      <c r="R85" s="19">
        <v>1.0</v>
      </c>
      <c r="S85" s="19">
        <v>0.0</v>
      </c>
      <c r="T85" s="19">
        <v>1.0</v>
      </c>
      <c r="U85" s="19">
        <v>0.0</v>
      </c>
      <c r="V85" s="13">
        <f t="shared" si="20"/>
        <v>9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1.0</v>
      </c>
      <c r="K86" s="19">
        <v>2.0</v>
      </c>
      <c r="L86" s="19">
        <v>0.0</v>
      </c>
      <c r="M86" s="19">
        <v>2.0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2.0</v>
      </c>
      <c r="T86" s="19">
        <v>1.0</v>
      </c>
      <c r="U86" s="19">
        <v>0.0</v>
      </c>
      <c r="V86" s="13">
        <f t="shared" si="20"/>
        <v>9</v>
      </c>
    </row>
    <row r="87" ht="12.75" customHeight="1">
      <c r="A87" s="18"/>
      <c r="B87" s="55">
        <v>6.0</v>
      </c>
      <c r="C87" s="50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1.0</v>
      </c>
      <c r="M88" s="19">
        <v>1.0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3">
        <f t="shared" si="20"/>
        <v>3</v>
      </c>
    </row>
    <row r="89" ht="12.75" customHeight="1">
      <c r="A89" s="18"/>
      <c r="B89" s="56"/>
      <c r="C89" s="57"/>
      <c r="D89" s="6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3">
        <f t="shared" si="20"/>
        <v>0</v>
      </c>
    </row>
    <row r="90" ht="12.75" customHeight="1">
      <c r="A90" s="18"/>
      <c r="B90" s="56"/>
      <c r="C90" s="57"/>
      <c r="D90" s="6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U91" si="21">SUM(E81:E88)</f>
        <v>9</v>
      </c>
      <c r="F91" s="13">
        <f t="shared" si="21"/>
        <v>5</v>
      </c>
      <c r="G91" s="13">
        <f t="shared" si="21"/>
        <v>3</v>
      </c>
      <c r="H91" s="13">
        <f t="shared" si="21"/>
        <v>8</v>
      </c>
      <c r="I91" s="13">
        <f t="shared" si="21"/>
        <v>13</v>
      </c>
      <c r="J91" s="13">
        <f t="shared" si="21"/>
        <v>6</v>
      </c>
      <c r="K91" s="13">
        <f t="shared" si="21"/>
        <v>19</v>
      </c>
      <c r="L91" s="13">
        <f t="shared" si="21"/>
        <v>7</v>
      </c>
      <c r="M91" s="13">
        <f t="shared" si="21"/>
        <v>13</v>
      </c>
      <c r="N91" s="13">
        <f t="shared" si="21"/>
        <v>43</v>
      </c>
      <c r="O91" s="13">
        <f t="shared" si="21"/>
        <v>11</v>
      </c>
      <c r="P91" s="13">
        <f t="shared" si="21"/>
        <v>7</v>
      </c>
      <c r="Q91" s="13">
        <f t="shared" si="21"/>
        <v>6</v>
      </c>
      <c r="R91" s="13">
        <f t="shared" si="21"/>
        <v>57</v>
      </c>
      <c r="S91" s="13">
        <f t="shared" si="21"/>
        <v>45</v>
      </c>
      <c r="T91" s="13">
        <f t="shared" si="21"/>
        <v>41</v>
      </c>
      <c r="U91" s="13">
        <f t="shared" si="21"/>
        <v>1</v>
      </c>
      <c r="V91" s="13">
        <f t="shared" si="20"/>
        <v>294</v>
      </c>
    </row>
    <row r="92" ht="12.75" customHeight="1">
      <c r="A92" s="74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13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2.0</v>
      </c>
      <c r="G93" s="19">
        <v>0.0</v>
      </c>
      <c r="H93" s="19">
        <v>1.0</v>
      </c>
      <c r="I93" s="19">
        <v>1.0</v>
      </c>
      <c r="J93" s="19">
        <v>1.0</v>
      </c>
      <c r="K93" s="19">
        <v>0.0</v>
      </c>
      <c r="L93" s="19">
        <v>4.0</v>
      </c>
      <c r="M93" s="19">
        <v>4.0</v>
      </c>
      <c r="N93" s="19">
        <v>1.0</v>
      </c>
      <c r="O93" s="19">
        <v>1.0</v>
      </c>
      <c r="P93" s="19">
        <v>2.0</v>
      </c>
      <c r="Q93" s="19">
        <v>0.0</v>
      </c>
      <c r="R93" s="19">
        <v>0.0</v>
      </c>
      <c r="S93" s="19">
        <v>1.0</v>
      </c>
      <c r="T93" s="19">
        <v>1.0</v>
      </c>
      <c r="U93" s="19">
        <v>0.0</v>
      </c>
      <c r="V93" s="13">
        <f t="shared" ref="V93:V103" si="22">SUM(E93:U93)</f>
        <v>19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1.0</v>
      </c>
      <c r="G94" s="19">
        <v>1.0</v>
      </c>
      <c r="H94" s="19">
        <v>0.0</v>
      </c>
      <c r="I94" s="19">
        <v>2.0</v>
      </c>
      <c r="J94" s="19">
        <v>3.0</v>
      </c>
      <c r="K94" s="19">
        <v>2.0</v>
      </c>
      <c r="L94" s="19">
        <v>6.0</v>
      </c>
      <c r="M94" s="19">
        <v>19.0</v>
      </c>
      <c r="N94" s="19">
        <v>5.0</v>
      </c>
      <c r="O94" s="19">
        <v>17.0</v>
      </c>
      <c r="P94" s="19">
        <v>8.0</v>
      </c>
      <c r="Q94" s="19">
        <v>5.0</v>
      </c>
      <c r="R94" s="19">
        <v>10.0</v>
      </c>
      <c r="S94" s="19">
        <v>3.0</v>
      </c>
      <c r="T94" s="19">
        <v>1.0</v>
      </c>
      <c r="U94" s="19">
        <v>2.0</v>
      </c>
      <c r="V94" s="13">
        <f t="shared" si="22"/>
        <v>86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1.0</v>
      </c>
      <c r="O95" s="19">
        <v>0.0</v>
      </c>
      <c r="P95" s="19">
        <v>0.0</v>
      </c>
      <c r="Q95" s="19">
        <v>2.0</v>
      </c>
      <c r="R95" s="19">
        <v>1.0</v>
      </c>
      <c r="S95" s="19">
        <v>0.0</v>
      </c>
      <c r="T95" s="19">
        <v>0.0</v>
      </c>
      <c r="U95" s="19">
        <v>0.0</v>
      </c>
      <c r="V95" s="13">
        <f t="shared" si="22"/>
        <v>5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1.0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1.0</v>
      </c>
      <c r="M97" s="19">
        <v>1.0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9">
        <v>0.0</v>
      </c>
      <c r="T97" s="19">
        <v>0.0</v>
      </c>
      <c r="U97" s="19">
        <v>0.0</v>
      </c>
      <c r="V97" s="13">
        <f t="shared" si="22"/>
        <v>3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1.0</v>
      </c>
      <c r="L98" s="19">
        <v>1.0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0"/>
      <c r="E99" s="19">
        <v>1.0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2.0</v>
      </c>
      <c r="T99" s="19">
        <v>4.0</v>
      </c>
      <c r="U99" s="19">
        <v>0.0</v>
      </c>
      <c r="V99" s="13">
        <f t="shared" si="22"/>
        <v>9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2.0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3">
        <f t="shared" si="22"/>
        <v>2</v>
      </c>
    </row>
    <row r="101" ht="12.75" customHeight="1">
      <c r="A101" s="18"/>
      <c r="B101" s="56"/>
      <c r="C101" s="57"/>
      <c r="D101" s="6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3">
        <f t="shared" si="22"/>
        <v>0</v>
      </c>
    </row>
    <row r="102" ht="12.75" customHeight="1">
      <c r="A102" s="18"/>
      <c r="B102" s="56"/>
      <c r="C102" s="57"/>
      <c r="D102" s="6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U103" si="23">SUM(E93:E100)</f>
        <v>2</v>
      </c>
      <c r="F103" s="13">
        <f t="shared" si="23"/>
        <v>4</v>
      </c>
      <c r="G103" s="13">
        <f t="shared" si="23"/>
        <v>3</v>
      </c>
      <c r="H103" s="13">
        <f t="shared" si="23"/>
        <v>3</v>
      </c>
      <c r="I103" s="13">
        <f t="shared" si="23"/>
        <v>4</v>
      </c>
      <c r="J103" s="13">
        <f t="shared" si="23"/>
        <v>4</v>
      </c>
      <c r="K103" s="13">
        <f t="shared" si="23"/>
        <v>3</v>
      </c>
      <c r="L103" s="13">
        <f t="shared" si="23"/>
        <v>12</v>
      </c>
      <c r="M103" s="13">
        <f t="shared" si="23"/>
        <v>25</v>
      </c>
      <c r="N103" s="13">
        <f t="shared" si="23"/>
        <v>8</v>
      </c>
      <c r="O103" s="13">
        <f t="shared" si="23"/>
        <v>19</v>
      </c>
      <c r="P103" s="13">
        <f t="shared" si="23"/>
        <v>10</v>
      </c>
      <c r="Q103" s="13">
        <f t="shared" si="23"/>
        <v>9</v>
      </c>
      <c r="R103" s="13">
        <f t="shared" si="23"/>
        <v>12</v>
      </c>
      <c r="S103" s="13">
        <f t="shared" si="23"/>
        <v>6</v>
      </c>
      <c r="T103" s="13">
        <f t="shared" si="23"/>
        <v>6</v>
      </c>
      <c r="U103" s="13">
        <f t="shared" si="23"/>
        <v>2</v>
      </c>
      <c r="V103" s="13">
        <f t="shared" si="22"/>
        <v>132</v>
      </c>
    </row>
    <row r="104" ht="12.75" customHeight="1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13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2.0</v>
      </c>
      <c r="L105" s="19">
        <v>3.0</v>
      </c>
      <c r="M105" s="19">
        <v>3.0</v>
      </c>
      <c r="N105" s="19">
        <v>0.0</v>
      </c>
      <c r="O105" s="19">
        <v>0.0</v>
      </c>
      <c r="P105" s="19">
        <v>1.0</v>
      </c>
      <c r="Q105" s="19">
        <v>3.0</v>
      </c>
      <c r="R105" s="19">
        <v>1.0</v>
      </c>
      <c r="S105" s="19">
        <v>0.0</v>
      </c>
      <c r="T105" s="19">
        <v>1.0</v>
      </c>
      <c r="U105" s="19">
        <v>1.0</v>
      </c>
      <c r="V105" s="13">
        <f t="shared" ref="V105:V115" si="24">SUM(E105:U105)</f>
        <v>16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3.0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1.0</v>
      </c>
      <c r="R108" s="19">
        <v>0.0</v>
      </c>
      <c r="S108" s="19">
        <v>0.0</v>
      </c>
      <c r="T108" s="19">
        <v>0.0</v>
      </c>
      <c r="U108" s="19">
        <v>0.0</v>
      </c>
      <c r="V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1.0</v>
      </c>
      <c r="J109" s="19">
        <v>0.0</v>
      </c>
      <c r="K109" s="19">
        <v>0.0</v>
      </c>
      <c r="L109" s="19">
        <v>0.0</v>
      </c>
      <c r="M109" s="19">
        <v>1.0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1.0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3">
        <f t="shared" si="24"/>
        <v>0</v>
      </c>
    </row>
    <row r="113" ht="12.75" customHeight="1">
      <c r="A113" s="18"/>
      <c r="B113" s="56"/>
      <c r="C113" s="57"/>
      <c r="D113" s="6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4"/>
        <v>0</v>
      </c>
    </row>
    <row r="114" ht="12.75" customHeight="1">
      <c r="A114" s="18"/>
      <c r="B114" s="56"/>
      <c r="C114" s="57"/>
      <c r="D114" s="6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U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3</v>
      </c>
      <c r="L115" s="13">
        <f t="shared" si="25"/>
        <v>4</v>
      </c>
      <c r="M115" s="13">
        <f t="shared" si="25"/>
        <v>4</v>
      </c>
      <c r="N115" s="13">
        <f t="shared" si="25"/>
        <v>3</v>
      </c>
      <c r="O115" s="13">
        <f t="shared" si="25"/>
        <v>0</v>
      </c>
      <c r="P115" s="13">
        <f t="shared" si="25"/>
        <v>1</v>
      </c>
      <c r="Q115" s="13">
        <f t="shared" si="25"/>
        <v>4</v>
      </c>
      <c r="R115" s="13">
        <f t="shared" si="25"/>
        <v>1</v>
      </c>
      <c r="S115" s="13">
        <f t="shared" si="25"/>
        <v>0</v>
      </c>
      <c r="T115" s="13">
        <f t="shared" si="25"/>
        <v>1</v>
      </c>
      <c r="U115" s="13">
        <f t="shared" si="25"/>
        <v>1</v>
      </c>
      <c r="V115" s="13">
        <f t="shared" si="24"/>
        <v>25</v>
      </c>
    </row>
    <row r="116" ht="12.75" customHeight="1">
      <c r="A116" s="76"/>
      <c r="B116" s="77"/>
      <c r="C116" s="77"/>
      <c r="D116" s="77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1.0</v>
      </c>
      <c r="I117" s="19">
        <v>0.0</v>
      </c>
      <c r="J117" s="19">
        <v>0.0</v>
      </c>
      <c r="K117" s="19">
        <v>0.0</v>
      </c>
      <c r="L117" s="19">
        <v>2.0</v>
      </c>
      <c r="M117" s="19">
        <v>0.0</v>
      </c>
      <c r="N117" s="19">
        <v>0.0</v>
      </c>
      <c r="O117" s="19">
        <v>0.0</v>
      </c>
      <c r="P117" s="19">
        <v>0.0</v>
      </c>
      <c r="Q117" s="19">
        <v>2.0</v>
      </c>
      <c r="R117" s="19">
        <v>0.0</v>
      </c>
      <c r="S117" s="19">
        <v>1.0</v>
      </c>
      <c r="T117" s="19">
        <v>0.0</v>
      </c>
      <c r="U117" s="19">
        <v>0.0</v>
      </c>
      <c r="V117" s="13">
        <f t="shared" ref="V117:V127" si="26">SUM(E117:U117)</f>
        <v>7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3">
        <f t="shared" si="26"/>
        <v>3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3">
        <f t="shared" si="26"/>
        <v>1</v>
      </c>
    </row>
    <row r="121" ht="12.75" customHeight="1">
      <c r="A121" s="18"/>
      <c r="B121" s="56"/>
      <c r="C121" s="57"/>
      <c r="D121" s="61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13">
        <f t="shared" si="26"/>
        <v>0</v>
      </c>
    </row>
    <row r="122" ht="12.75" customHeight="1">
      <c r="A122" s="18"/>
      <c r="B122" s="56"/>
      <c r="C122" s="57"/>
      <c r="D122" s="61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13">
        <f t="shared" si="26"/>
        <v>0</v>
      </c>
    </row>
    <row r="123" ht="12.75" customHeight="1">
      <c r="A123" s="18"/>
      <c r="B123" s="56"/>
      <c r="C123" s="57"/>
      <c r="D123" s="6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3">
        <f t="shared" si="26"/>
        <v>0</v>
      </c>
    </row>
    <row r="124" ht="12.75" customHeight="1">
      <c r="A124" s="18"/>
      <c r="B124" s="56"/>
      <c r="C124" s="57"/>
      <c r="D124" s="6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3">
        <f t="shared" si="26"/>
        <v>0</v>
      </c>
    </row>
    <row r="125" ht="12.75" customHeight="1">
      <c r="A125" s="18"/>
      <c r="B125" s="56"/>
      <c r="C125" s="57"/>
      <c r="D125" s="6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13">
        <f t="shared" si="26"/>
        <v>0</v>
      </c>
    </row>
    <row r="126" ht="12.75" customHeight="1">
      <c r="A126" s="18"/>
      <c r="B126" s="56"/>
      <c r="C126" s="57"/>
      <c r="D126" s="6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62">
        <f t="shared" ref="E127:U127" si="27">SUM(E117:E124)</f>
        <v>1</v>
      </c>
      <c r="F127" s="62">
        <f t="shared" si="27"/>
        <v>0</v>
      </c>
      <c r="G127" s="62">
        <f t="shared" si="27"/>
        <v>0</v>
      </c>
      <c r="H127" s="62">
        <f t="shared" si="27"/>
        <v>1</v>
      </c>
      <c r="I127" s="62">
        <f t="shared" si="27"/>
        <v>1</v>
      </c>
      <c r="J127" s="62">
        <f t="shared" si="27"/>
        <v>1</v>
      </c>
      <c r="K127" s="62">
        <f t="shared" si="27"/>
        <v>0</v>
      </c>
      <c r="L127" s="62">
        <f t="shared" si="27"/>
        <v>3</v>
      </c>
      <c r="M127" s="62">
        <f t="shared" si="27"/>
        <v>0</v>
      </c>
      <c r="N127" s="62">
        <f t="shared" si="27"/>
        <v>0</v>
      </c>
      <c r="O127" s="62">
        <f t="shared" si="27"/>
        <v>0</v>
      </c>
      <c r="P127" s="62">
        <f t="shared" si="27"/>
        <v>2</v>
      </c>
      <c r="Q127" s="62">
        <f t="shared" si="27"/>
        <v>2</v>
      </c>
      <c r="R127" s="62">
        <f t="shared" si="27"/>
        <v>1</v>
      </c>
      <c r="S127" s="62">
        <f t="shared" si="27"/>
        <v>1</v>
      </c>
      <c r="T127" s="62">
        <f t="shared" si="27"/>
        <v>0</v>
      </c>
      <c r="U127" s="62">
        <f t="shared" si="27"/>
        <v>0</v>
      </c>
      <c r="V127" s="13">
        <f t="shared" si="26"/>
        <v>13</v>
      </c>
    </row>
    <row r="128" ht="12.75" customHeight="1">
      <c r="A128" s="76"/>
      <c r="B128" s="77"/>
      <c r="C128" s="77"/>
      <c r="D128" s="77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13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1.0</v>
      </c>
      <c r="H129" s="19">
        <v>1.0</v>
      </c>
      <c r="I129" s="19">
        <v>0.0</v>
      </c>
      <c r="J129" s="19">
        <v>3.0</v>
      </c>
      <c r="K129" s="19">
        <v>0.0</v>
      </c>
      <c r="L129" s="19">
        <v>0.0</v>
      </c>
      <c r="M129" s="19">
        <v>0.0</v>
      </c>
      <c r="N129" s="19">
        <v>1.0</v>
      </c>
      <c r="O129" s="19">
        <v>1.0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1.0</v>
      </c>
      <c r="V129" s="13">
        <f t="shared" ref="V129:V139" si="28">SUM(E129:U129)</f>
        <v>11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2.0</v>
      </c>
      <c r="H130" s="19">
        <v>1.0</v>
      </c>
      <c r="I130" s="19">
        <v>0.0</v>
      </c>
      <c r="J130" s="19">
        <v>9.0</v>
      </c>
      <c r="K130" s="19">
        <v>8.0</v>
      </c>
      <c r="L130" s="19">
        <v>0.0</v>
      </c>
      <c r="M130" s="19">
        <v>0.0</v>
      </c>
      <c r="N130" s="19">
        <v>1.0</v>
      </c>
      <c r="O130" s="19">
        <v>1.0</v>
      </c>
      <c r="P130" s="19">
        <v>0.0</v>
      </c>
      <c r="Q130" s="19">
        <v>0.0</v>
      </c>
      <c r="R130" s="19">
        <v>1.0</v>
      </c>
      <c r="S130" s="19">
        <v>1.0</v>
      </c>
      <c r="T130" s="19">
        <v>1.0</v>
      </c>
      <c r="U130" s="19">
        <v>0.0</v>
      </c>
      <c r="V130" s="13">
        <f t="shared" si="28"/>
        <v>25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3">
        <f t="shared" si="28"/>
        <v>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U139" si="29">SUM(E129:E136)</f>
        <v>2</v>
      </c>
      <c r="F139" s="13">
        <f t="shared" si="29"/>
        <v>3</v>
      </c>
      <c r="G139" s="13">
        <f t="shared" si="29"/>
        <v>3</v>
      </c>
      <c r="H139" s="13">
        <f t="shared" si="29"/>
        <v>2</v>
      </c>
      <c r="I139" s="13">
        <f t="shared" si="29"/>
        <v>0</v>
      </c>
      <c r="J139" s="13">
        <f t="shared" si="29"/>
        <v>13</v>
      </c>
      <c r="K139" s="13">
        <f t="shared" si="29"/>
        <v>8</v>
      </c>
      <c r="L139" s="13">
        <f t="shared" si="29"/>
        <v>0</v>
      </c>
      <c r="M139" s="13">
        <f t="shared" si="29"/>
        <v>0</v>
      </c>
      <c r="N139" s="13">
        <f t="shared" si="29"/>
        <v>2</v>
      </c>
      <c r="O139" s="13">
        <f t="shared" si="29"/>
        <v>2</v>
      </c>
      <c r="P139" s="13">
        <f t="shared" si="29"/>
        <v>0</v>
      </c>
      <c r="Q139" s="13">
        <f t="shared" si="29"/>
        <v>0</v>
      </c>
      <c r="R139" s="13">
        <f t="shared" si="29"/>
        <v>1</v>
      </c>
      <c r="S139" s="13">
        <f t="shared" si="29"/>
        <v>1</v>
      </c>
      <c r="T139" s="13">
        <f t="shared" si="29"/>
        <v>1</v>
      </c>
      <c r="U139" s="13">
        <f t="shared" si="29"/>
        <v>2</v>
      </c>
      <c r="V139" s="13">
        <f t="shared" si="28"/>
        <v>40</v>
      </c>
    </row>
    <row r="140" ht="12.75" customHeight="1">
      <c r="A140" s="76"/>
      <c r="B140" s="77"/>
      <c r="C140" s="77"/>
      <c r="D140" s="77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13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3">
        <f t="shared" ref="V141:V151" si="30">SUM(E141:U141)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1.0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1.0</v>
      </c>
      <c r="V143" s="13">
        <f t="shared" si="30"/>
        <v>2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3">
        <f t="shared" si="30"/>
        <v>0</v>
      </c>
    </row>
    <row r="149" ht="12.75" customHeight="1">
      <c r="A149" s="18"/>
      <c r="B149" s="56"/>
      <c r="C149" s="57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0"/>
        <v>0</v>
      </c>
    </row>
    <row r="150" ht="12.75" customHeight="1">
      <c r="A150" s="18"/>
      <c r="B150" s="56"/>
      <c r="C150" s="57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U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0"/>
        <v>3</v>
      </c>
    </row>
    <row r="152" ht="12.75" customHeight="1">
      <c r="A152" s="76"/>
      <c r="B152" s="77"/>
      <c r="C152" s="77"/>
      <c r="D152" s="77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3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1.0</v>
      </c>
      <c r="T153" s="19">
        <v>0.0</v>
      </c>
      <c r="U153" s="19">
        <v>0.0</v>
      </c>
      <c r="V153" s="13">
        <f t="shared" ref="V153:V163" si="32">SUM(E153:U153)</f>
        <v>2</v>
      </c>
    </row>
    <row r="154" ht="12.75" customHeight="1">
      <c r="A154" s="30" t="s">
        <v>39</v>
      </c>
      <c r="B154" s="55">
        <v>1.0</v>
      </c>
      <c r="C154" s="63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3.0</v>
      </c>
      <c r="R154" s="19">
        <v>0.0</v>
      </c>
      <c r="S154" s="19">
        <v>0.0</v>
      </c>
      <c r="T154" s="19">
        <v>0.0</v>
      </c>
      <c r="U154" s="19">
        <v>1.0</v>
      </c>
      <c r="V154" s="13">
        <f t="shared" si="32"/>
        <v>4</v>
      </c>
    </row>
    <row r="155" ht="12.75" customHeight="1">
      <c r="A155" s="18"/>
      <c r="B155" s="55">
        <v>2.0</v>
      </c>
      <c r="C155" s="63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3">
        <f t="shared" si="32"/>
        <v>2</v>
      </c>
    </row>
    <row r="156" ht="12.75" customHeight="1">
      <c r="A156" s="18"/>
      <c r="B156" s="55">
        <v>3.0</v>
      </c>
      <c r="C156" s="63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3">
        <f t="shared" si="32"/>
        <v>0</v>
      </c>
    </row>
    <row r="157" ht="12.75" customHeight="1">
      <c r="A157" s="18"/>
      <c r="B157" s="55">
        <v>4.0</v>
      </c>
      <c r="C157" s="63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3">
        <f t="shared" si="32"/>
        <v>0</v>
      </c>
    </row>
    <row r="158" ht="12.75" customHeight="1">
      <c r="A158" s="18"/>
      <c r="B158" s="56"/>
      <c r="C158" s="64"/>
      <c r="D158" s="6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3">
        <f t="shared" si="32"/>
        <v>0</v>
      </c>
    </row>
    <row r="159" ht="12.75" customHeight="1">
      <c r="A159" s="18"/>
      <c r="B159" s="56"/>
      <c r="C159" s="64"/>
      <c r="D159" s="6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3">
        <f t="shared" si="32"/>
        <v>0</v>
      </c>
    </row>
    <row r="160" ht="12.75" customHeight="1">
      <c r="A160" s="18"/>
      <c r="B160" s="56"/>
      <c r="C160" s="64"/>
      <c r="D160" s="6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3">
        <f t="shared" si="32"/>
        <v>0</v>
      </c>
    </row>
    <row r="161" ht="12.75" customHeight="1">
      <c r="A161" s="18"/>
      <c r="B161" s="56"/>
      <c r="C161" s="64"/>
      <c r="D161" s="6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2"/>
        <v>0</v>
      </c>
    </row>
    <row r="162" ht="12.75" customHeight="1">
      <c r="A162" s="18"/>
      <c r="B162" s="56"/>
      <c r="C162" s="64"/>
      <c r="D162" s="6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2"/>
        <v>0</v>
      </c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U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5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1</v>
      </c>
      <c r="V163" s="13">
        <f t="shared" si="32"/>
        <v>8</v>
      </c>
    </row>
    <row r="164" ht="12.75" customHeight="1">
      <c r="A164" s="76"/>
      <c r="B164" s="77"/>
      <c r="C164" s="77"/>
      <c r="D164" s="77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13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2.0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3">
        <f t="shared" ref="V165:V175" si="34">SUM(E165:U165)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1.0</v>
      </c>
      <c r="O166" s="19">
        <v>0.0</v>
      </c>
      <c r="P166" s="19">
        <v>1.0</v>
      </c>
      <c r="Q166" s="19">
        <v>0.0</v>
      </c>
      <c r="R166" s="19">
        <v>0.0</v>
      </c>
      <c r="S166" s="19">
        <v>0.0</v>
      </c>
      <c r="T166" s="19">
        <v>0.0</v>
      </c>
      <c r="U166" s="19">
        <v>2.0</v>
      </c>
      <c r="V166" s="13">
        <f t="shared" si="34"/>
        <v>4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3">
        <f t="shared" si="34"/>
        <v>0</v>
      </c>
    </row>
    <row r="173" ht="12.75" customHeight="1">
      <c r="A173" s="18"/>
      <c r="B173" s="56"/>
      <c r="C173" s="57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4"/>
        <v>0</v>
      </c>
    </row>
    <row r="174" ht="12.75" customHeight="1">
      <c r="A174" s="18"/>
      <c r="B174" s="56"/>
      <c r="C174" s="57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U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2</v>
      </c>
      <c r="J175" s="13">
        <f t="shared" si="35"/>
        <v>2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2</v>
      </c>
      <c r="V175" s="13">
        <f t="shared" si="34"/>
        <v>10</v>
      </c>
    </row>
    <row r="176" ht="12.75" customHeight="1">
      <c r="A176" s="76"/>
      <c r="B176" s="77"/>
      <c r="C176" s="77"/>
      <c r="D176" s="77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13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1.0</v>
      </c>
      <c r="K177" s="19">
        <v>0.0</v>
      </c>
      <c r="L177" s="19">
        <v>1.0</v>
      </c>
      <c r="M177" s="19">
        <v>1.0</v>
      </c>
      <c r="N177" s="19">
        <v>1.0</v>
      </c>
      <c r="O177" s="19">
        <v>2.0</v>
      </c>
      <c r="P177" s="19">
        <v>1.0</v>
      </c>
      <c r="Q177" s="19">
        <v>0.0</v>
      </c>
      <c r="R177" s="19">
        <v>0.0</v>
      </c>
      <c r="S177" s="19">
        <v>0.0</v>
      </c>
      <c r="T177" s="19">
        <v>0.0</v>
      </c>
      <c r="U177" s="19">
        <v>1.0</v>
      </c>
      <c r="V177" s="13">
        <f t="shared" ref="V177:V187" si="36">SUM(E177:U177)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2.0</v>
      </c>
      <c r="M178" s="19">
        <v>2.0</v>
      </c>
      <c r="N178" s="19">
        <v>3.0</v>
      </c>
      <c r="O178" s="19">
        <v>1.0</v>
      </c>
      <c r="P178" s="19">
        <v>2.0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3">
        <f t="shared" si="36"/>
        <v>10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2.0</v>
      </c>
      <c r="M179" s="19">
        <v>2.0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3">
        <f t="shared" si="36"/>
        <v>6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9.0</v>
      </c>
      <c r="M180" s="19">
        <v>5.0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3">
        <f t="shared" si="36"/>
        <v>16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3">
        <f t="shared" si="36"/>
        <v>0</v>
      </c>
    </row>
    <row r="185" ht="12.75" customHeight="1">
      <c r="A185" s="18"/>
      <c r="B185" s="56"/>
      <c r="C185" s="57"/>
      <c r="D185" s="6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3">
        <f t="shared" si="36"/>
        <v>0</v>
      </c>
    </row>
    <row r="186" ht="12.75" customHeight="1">
      <c r="A186" s="18"/>
      <c r="B186" s="56"/>
      <c r="C186" s="57"/>
      <c r="D186" s="6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U187" si="37">SUM(E177:E184)</f>
        <v>0</v>
      </c>
      <c r="F187" s="13">
        <f t="shared" si="37"/>
        <v>1</v>
      </c>
      <c r="G187" s="13">
        <f t="shared" si="37"/>
        <v>0</v>
      </c>
      <c r="H187" s="13">
        <f t="shared" si="37"/>
        <v>2</v>
      </c>
      <c r="I187" s="13">
        <f t="shared" si="37"/>
        <v>0</v>
      </c>
      <c r="J187" s="13">
        <f t="shared" si="37"/>
        <v>2</v>
      </c>
      <c r="K187" s="13">
        <f t="shared" si="37"/>
        <v>0</v>
      </c>
      <c r="L187" s="13">
        <f t="shared" si="37"/>
        <v>14</v>
      </c>
      <c r="M187" s="13">
        <f t="shared" si="37"/>
        <v>11</v>
      </c>
      <c r="N187" s="13">
        <f t="shared" si="37"/>
        <v>5</v>
      </c>
      <c r="O187" s="13">
        <f t="shared" si="37"/>
        <v>3</v>
      </c>
      <c r="P187" s="13">
        <f t="shared" si="37"/>
        <v>3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1</v>
      </c>
      <c r="V187" s="13">
        <f t="shared" si="36"/>
        <v>42</v>
      </c>
    </row>
    <row r="188" ht="12.75" customHeight="1">
      <c r="A188" s="76"/>
      <c r="B188" s="77"/>
      <c r="C188" s="77"/>
      <c r="D188" s="77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2.0</v>
      </c>
      <c r="R189" s="19">
        <v>0.0</v>
      </c>
      <c r="S189" s="19">
        <v>0.0</v>
      </c>
      <c r="T189" s="19">
        <v>0.0</v>
      </c>
      <c r="U189" s="19">
        <v>0.0</v>
      </c>
      <c r="V189" s="13">
        <f t="shared" ref="V189:V199" si="38">SUM(E189:U189)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3">
        <f t="shared" si="38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1.0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3">
        <f t="shared" si="38"/>
        <v>0</v>
      </c>
    </row>
    <row r="197" ht="12.75" customHeight="1">
      <c r="A197" s="18"/>
      <c r="B197" s="56"/>
      <c r="C197" s="57"/>
      <c r="D197" s="6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3">
        <f t="shared" si="38"/>
        <v>0</v>
      </c>
    </row>
    <row r="198" ht="12.75" customHeight="1">
      <c r="A198" s="18"/>
      <c r="B198" s="56"/>
      <c r="C198" s="57"/>
      <c r="D198" s="6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U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8"/>
        <v>6</v>
      </c>
    </row>
    <row r="200" ht="12.75" customHeight="1">
      <c r="A200" s="76"/>
      <c r="B200" s="77"/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13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2.0</v>
      </c>
      <c r="G201" s="19">
        <v>13.0</v>
      </c>
      <c r="H201" s="19">
        <v>4.0</v>
      </c>
      <c r="I201" s="19">
        <v>1.0</v>
      </c>
      <c r="J201" s="19">
        <v>0.0</v>
      </c>
      <c r="K201" s="19">
        <v>1.0</v>
      </c>
      <c r="L201" s="19">
        <v>0.0</v>
      </c>
      <c r="M201" s="19">
        <v>1.0</v>
      </c>
      <c r="N201" s="19">
        <v>0.0</v>
      </c>
      <c r="O201" s="19">
        <v>2.0</v>
      </c>
      <c r="P201" s="19">
        <v>0.0</v>
      </c>
      <c r="Q201" s="19">
        <v>10.0</v>
      </c>
      <c r="R201" s="19">
        <v>2.0</v>
      </c>
      <c r="S201" s="19">
        <v>1.0</v>
      </c>
      <c r="T201" s="19">
        <v>0.0</v>
      </c>
      <c r="U201" s="19">
        <v>2.0</v>
      </c>
      <c r="V201" s="13">
        <f t="shared" ref="V201:V211" si="40">SUM(E201:U201)</f>
        <v>44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4.0</v>
      </c>
      <c r="F202" s="19">
        <v>1.0</v>
      </c>
      <c r="G202" s="19">
        <v>6.0</v>
      </c>
      <c r="H202" s="19">
        <v>3.0</v>
      </c>
      <c r="I202" s="19">
        <v>0.0</v>
      </c>
      <c r="J202" s="19">
        <v>1.0</v>
      </c>
      <c r="K202" s="19">
        <v>1.0</v>
      </c>
      <c r="L202" s="19">
        <v>0.0</v>
      </c>
      <c r="M202" s="19">
        <v>0.0</v>
      </c>
      <c r="N202" s="19">
        <v>0.0</v>
      </c>
      <c r="O202" s="19">
        <v>2.0</v>
      </c>
      <c r="P202" s="19">
        <v>0.0</v>
      </c>
      <c r="Q202" s="19">
        <v>4.0</v>
      </c>
      <c r="R202" s="19">
        <v>1.0</v>
      </c>
      <c r="S202" s="19">
        <v>0.0</v>
      </c>
      <c r="T202" s="19">
        <v>2.0</v>
      </c>
      <c r="U202" s="19">
        <v>1.0</v>
      </c>
      <c r="V202" s="13">
        <f t="shared" si="40"/>
        <v>26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3.0</v>
      </c>
      <c r="F203" s="19">
        <v>3.0</v>
      </c>
      <c r="G203" s="19">
        <v>6.0</v>
      </c>
      <c r="H203" s="19">
        <v>7.0</v>
      </c>
      <c r="I203" s="19">
        <v>1.0</v>
      </c>
      <c r="J203" s="19">
        <v>1.0</v>
      </c>
      <c r="K203" s="19">
        <v>1.0</v>
      </c>
      <c r="L203" s="19">
        <v>0.0</v>
      </c>
      <c r="M203" s="19">
        <v>1.0</v>
      </c>
      <c r="N203" s="19">
        <v>0.0</v>
      </c>
      <c r="O203" s="19">
        <v>1.0</v>
      </c>
      <c r="P203" s="19">
        <v>6.0</v>
      </c>
      <c r="Q203" s="19">
        <v>9.0</v>
      </c>
      <c r="R203" s="19">
        <v>1.0</v>
      </c>
      <c r="S203" s="19">
        <v>1.0</v>
      </c>
      <c r="T203" s="19">
        <v>0.0</v>
      </c>
      <c r="U203" s="19">
        <v>2.0</v>
      </c>
      <c r="V203" s="13">
        <f t="shared" si="40"/>
        <v>43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1.0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9">
        <v>1.0</v>
      </c>
      <c r="S204" s="19">
        <v>0.0</v>
      </c>
      <c r="T204" s="19">
        <v>1.0</v>
      </c>
      <c r="U204" s="19">
        <v>0.0</v>
      </c>
      <c r="V204" s="13">
        <f t="shared" si="40"/>
        <v>5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3.0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1.0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3">
        <f t="shared" si="40"/>
        <v>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2.0</v>
      </c>
      <c r="R206" s="19">
        <v>0.0</v>
      </c>
      <c r="S206" s="19">
        <v>0.0</v>
      </c>
      <c r="T206" s="19">
        <v>0.0</v>
      </c>
      <c r="U206" s="19">
        <v>0.0</v>
      </c>
      <c r="V206" s="13">
        <f t="shared" si="40"/>
        <v>3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1.0</v>
      </c>
      <c r="R207" s="19">
        <v>0.0</v>
      </c>
      <c r="S207" s="19">
        <v>0.0</v>
      </c>
      <c r="T207" s="19">
        <v>0.0</v>
      </c>
      <c r="U207" s="19">
        <v>0.0</v>
      </c>
      <c r="V207" s="13">
        <f t="shared" si="40"/>
        <v>2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9">
        <v>1.0</v>
      </c>
      <c r="R208" s="19">
        <v>0.0</v>
      </c>
      <c r="S208" s="19">
        <v>0.0</v>
      </c>
      <c r="T208" s="19">
        <v>1.0</v>
      </c>
      <c r="U208" s="19">
        <v>0.0</v>
      </c>
      <c r="V208" s="13">
        <f t="shared" si="40"/>
        <v>3</v>
      </c>
    </row>
    <row r="209" ht="12.75" customHeight="1">
      <c r="A209" s="18"/>
      <c r="B209" s="56"/>
      <c r="C209" s="57"/>
      <c r="D209" s="6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3">
        <f t="shared" si="40"/>
        <v>0</v>
      </c>
    </row>
    <row r="210" ht="12.75" customHeight="1">
      <c r="A210" s="18"/>
      <c r="B210" s="56"/>
      <c r="C210" s="57"/>
      <c r="D210" s="6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U211" si="41">SUM(E201:E208)</f>
        <v>13</v>
      </c>
      <c r="F211" s="13">
        <f t="shared" si="41"/>
        <v>6</v>
      </c>
      <c r="G211" s="13">
        <f t="shared" si="41"/>
        <v>29</v>
      </c>
      <c r="H211" s="13">
        <f t="shared" si="41"/>
        <v>14</v>
      </c>
      <c r="I211" s="13">
        <f t="shared" si="41"/>
        <v>3</v>
      </c>
      <c r="J211" s="13">
        <f t="shared" si="41"/>
        <v>2</v>
      </c>
      <c r="K211" s="13">
        <f t="shared" si="41"/>
        <v>4</v>
      </c>
      <c r="L211" s="13">
        <f t="shared" si="41"/>
        <v>0</v>
      </c>
      <c r="M211" s="13">
        <f t="shared" si="41"/>
        <v>2</v>
      </c>
      <c r="N211" s="13">
        <f t="shared" si="41"/>
        <v>1</v>
      </c>
      <c r="O211" s="13">
        <f t="shared" si="41"/>
        <v>6</v>
      </c>
      <c r="P211" s="13">
        <f t="shared" si="41"/>
        <v>6</v>
      </c>
      <c r="Q211" s="13">
        <f t="shared" si="41"/>
        <v>28</v>
      </c>
      <c r="R211" s="13">
        <f t="shared" si="41"/>
        <v>5</v>
      </c>
      <c r="S211" s="13">
        <f t="shared" si="41"/>
        <v>2</v>
      </c>
      <c r="T211" s="13">
        <f t="shared" si="41"/>
        <v>4</v>
      </c>
      <c r="U211" s="13">
        <f t="shared" si="41"/>
        <v>5</v>
      </c>
      <c r="V211" s="13">
        <f t="shared" si="40"/>
        <v>130</v>
      </c>
    </row>
    <row r="212" ht="12.75" customHeight="1">
      <c r="A212" s="76"/>
      <c r="B212" s="77"/>
      <c r="C212" s="77"/>
      <c r="D212" s="77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13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0.0</v>
      </c>
      <c r="G213" s="19">
        <v>0.0</v>
      </c>
      <c r="H213" s="19">
        <v>0.0</v>
      </c>
      <c r="I213" s="19">
        <v>1.0</v>
      </c>
      <c r="J213" s="19">
        <v>0.0</v>
      </c>
      <c r="K213" s="19">
        <v>1.0</v>
      </c>
      <c r="L213" s="19">
        <v>0.0</v>
      </c>
      <c r="M213" s="19">
        <v>0.0</v>
      </c>
      <c r="N213" s="19">
        <v>0.0</v>
      </c>
      <c r="O213" s="19">
        <v>2.0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1.0</v>
      </c>
      <c r="V213" s="13">
        <f t="shared" ref="V213:V223" si="42">SUM(E213:U213)</f>
        <v>7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2.0</v>
      </c>
      <c r="H214" s="19">
        <v>1.0</v>
      </c>
      <c r="I214" s="19">
        <v>0.0</v>
      </c>
      <c r="J214" s="19">
        <v>1.0</v>
      </c>
      <c r="K214" s="19">
        <v>0.0</v>
      </c>
      <c r="L214" s="19">
        <v>1.0</v>
      </c>
      <c r="M214" s="19">
        <v>1.0</v>
      </c>
      <c r="N214" s="19">
        <v>0.0</v>
      </c>
      <c r="O214" s="19">
        <v>1.0</v>
      </c>
      <c r="P214" s="19">
        <v>2.0</v>
      </c>
      <c r="Q214" s="19">
        <v>0.0</v>
      </c>
      <c r="R214" s="19">
        <v>1.0</v>
      </c>
      <c r="S214" s="19">
        <v>1.0</v>
      </c>
      <c r="T214" s="19">
        <v>0.0</v>
      </c>
      <c r="U214" s="19">
        <v>0.0</v>
      </c>
      <c r="V214" s="13">
        <f t="shared" si="42"/>
        <v>11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2.0</v>
      </c>
      <c r="G215" s="19">
        <v>0.0</v>
      </c>
      <c r="H215" s="19">
        <v>1.0</v>
      </c>
      <c r="I215" s="19">
        <v>0.0</v>
      </c>
      <c r="J215" s="19">
        <v>3.0</v>
      </c>
      <c r="K215" s="19">
        <v>1.0</v>
      </c>
      <c r="L215" s="19">
        <v>2.0</v>
      </c>
      <c r="M215" s="19">
        <v>1.0</v>
      </c>
      <c r="N215" s="19">
        <v>1.0</v>
      </c>
      <c r="O215" s="19">
        <v>0.0</v>
      </c>
      <c r="P215" s="19">
        <v>1.0</v>
      </c>
      <c r="Q215" s="19">
        <v>0.0</v>
      </c>
      <c r="R215" s="19">
        <v>0.0</v>
      </c>
      <c r="S215" s="19">
        <v>0.0</v>
      </c>
      <c r="T215" s="19">
        <v>0.0</v>
      </c>
      <c r="U215" s="19">
        <v>0.0</v>
      </c>
      <c r="V215" s="13">
        <f t="shared" si="42"/>
        <v>12</v>
      </c>
    </row>
    <row r="216" ht="12.75" customHeight="1">
      <c r="A216" s="18"/>
      <c r="B216" s="55">
        <v>3.0</v>
      </c>
      <c r="C216" s="65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3">
        <f t="shared" si="42"/>
        <v>0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1.0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3">
        <f t="shared" si="42"/>
        <v>2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U223" si="43">SUM(E213:E220)</f>
        <v>3</v>
      </c>
      <c r="F223" s="13">
        <f t="shared" si="43"/>
        <v>2</v>
      </c>
      <c r="G223" s="13">
        <f t="shared" si="43"/>
        <v>2</v>
      </c>
      <c r="H223" s="13">
        <f t="shared" si="43"/>
        <v>2</v>
      </c>
      <c r="I223" s="13">
        <f t="shared" si="43"/>
        <v>1</v>
      </c>
      <c r="J223" s="13">
        <f t="shared" si="43"/>
        <v>6</v>
      </c>
      <c r="K223" s="13">
        <f t="shared" si="43"/>
        <v>2</v>
      </c>
      <c r="L223" s="13">
        <f t="shared" si="43"/>
        <v>3</v>
      </c>
      <c r="M223" s="13">
        <f t="shared" si="43"/>
        <v>2</v>
      </c>
      <c r="N223" s="13">
        <f t="shared" si="43"/>
        <v>1</v>
      </c>
      <c r="O223" s="13">
        <f t="shared" si="43"/>
        <v>3</v>
      </c>
      <c r="P223" s="13">
        <f t="shared" si="43"/>
        <v>3</v>
      </c>
      <c r="Q223" s="13">
        <f t="shared" si="43"/>
        <v>0</v>
      </c>
      <c r="R223" s="13">
        <f t="shared" si="43"/>
        <v>1</v>
      </c>
      <c r="S223" s="13">
        <f t="shared" si="43"/>
        <v>1</v>
      </c>
      <c r="T223" s="13">
        <f t="shared" si="43"/>
        <v>0</v>
      </c>
      <c r="U223" s="13">
        <f t="shared" si="43"/>
        <v>1</v>
      </c>
      <c r="V223" s="13">
        <f t="shared" si="42"/>
        <v>33</v>
      </c>
    </row>
    <row r="224" ht="12.75" customHeight="1">
      <c r="A224" s="76"/>
      <c r="B224" s="77"/>
      <c r="C224" s="77"/>
      <c r="D224" s="77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13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3">
        <f t="shared" ref="V225:V235" si="44">SUM(E225:U225)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1.0</v>
      </c>
      <c r="R226" s="19">
        <v>0.0</v>
      </c>
      <c r="S226" s="19">
        <v>0.0</v>
      </c>
      <c r="T226" s="19">
        <v>0.0</v>
      </c>
      <c r="U226" s="19">
        <v>0.0</v>
      </c>
      <c r="V226" s="13">
        <f t="shared" si="44"/>
        <v>2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3.0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1.0</v>
      </c>
      <c r="S232" s="19">
        <v>0.0</v>
      </c>
      <c r="T232" s="19">
        <v>0.0</v>
      </c>
      <c r="U232" s="19">
        <v>0.0</v>
      </c>
      <c r="V232" s="13">
        <f t="shared" si="44"/>
        <v>5</v>
      </c>
    </row>
    <row r="233" ht="12.75" customHeight="1">
      <c r="A233" s="18"/>
      <c r="B233" s="56"/>
      <c r="C233" s="57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4"/>
        <v>0</v>
      </c>
    </row>
    <row r="234" ht="12.75" customHeight="1">
      <c r="A234" s="18"/>
      <c r="B234" s="56"/>
      <c r="C234" s="57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U235" si="45">SUM(E225:E232)</f>
        <v>1</v>
      </c>
      <c r="F235" s="13">
        <f t="shared" si="45"/>
        <v>3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2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4"/>
        <v>9</v>
      </c>
    </row>
    <row r="236" ht="12.75" customHeight="1">
      <c r="A236" s="76"/>
      <c r="B236" s="77"/>
      <c r="C236" s="77"/>
      <c r="D236" s="77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13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1.0</v>
      </c>
      <c r="M237" s="19">
        <v>0.0</v>
      </c>
      <c r="N237" s="19">
        <v>1.0</v>
      </c>
      <c r="O237" s="19">
        <v>1.0</v>
      </c>
      <c r="P237" s="19">
        <v>0.0</v>
      </c>
      <c r="Q237" s="19">
        <v>1.0</v>
      </c>
      <c r="R237" s="19">
        <v>0.0</v>
      </c>
      <c r="S237" s="19">
        <v>2.0</v>
      </c>
      <c r="T237" s="19">
        <v>0.0</v>
      </c>
      <c r="U237" s="19">
        <v>0.0</v>
      </c>
      <c r="V237" s="13">
        <f t="shared" ref="V237:V247" si="46">SUM(E237:U237)</f>
        <v>7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2.0</v>
      </c>
      <c r="F238" s="19">
        <v>0.0</v>
      </c>
      <c r="G238" s="19">
        <v>0.0</v>
      </c>
      <c r="H238" s="19">
        <v>0.0</v>
      </c>
      <c r="I238" s="19">
        <v>2.0</v>
      </c>
      <c r="J238" s="19">
        <v>0.0</v>
      </c>
      <c r="K238" s="19">
        <v>0.0</v>
      </c>
      <c r="L238" s="19">
        <v>1.0</v>
      </c>
      <c r="M238" s="19">
        <v>0.0</v>
      </c>
      <c r="N238" s="19">
        <v>2.0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3">
        <f t="shared" si="46"/>
        <v>7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1.0</v>
      </c>
      <c r="P239" s="19">
        <v>0.0</v>
      </c>
      <c r="Q239" s="19">
        <v>0.0</v>
      </c>
      <c r="R239" s="19">
        <v>0.0</v>
      </c>
      <c r="S239" s="19">
        <v>1.0</v>
      </c>
      <c r="T239" s="19">
        <v>0.0</v>
      </c>
      <c r="U239" s="19">
        <v>0.0</v>
      </c>
      <c r="V239" s="13">
        <f t="shared" si="46"/>
        <v>2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0.0</v>
      </c>
      <c r="V240" s="13">
        <f t="shared" si="46"/>
        <v>1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2.0</v>
      </c>
      <c r="L244" s="19">
        <v>1.0</v>
      </c>
      <c r="M244" s="19">
        <v>7.0</v>
      </c>
      <c r="N244" s="19">
        <v>5.0</v>
      </c>
      <c r="O244" s="19">
        <v>0.0</v>
      </c>
      <c r="P244" s="19">
        <v>1.0</v>
      </c>
      <c r="Q244" s="19">
        <v>6.0</v>
      </c>
      <c r="R244" s="19">
        <v>0.0</v>
      </c>
      <c r="S244" s="19">
        <v>1.0</v>
      </c>
      <c r="T244" s="19">
        <v>0.0</v>
      </c>
      <c r="U244" s="19">
        <v>0.0</v>
      </c>
      <c r="V244" s="13">
        <f t="shared" si="46"/>
        <v>23</v>
      </c>
    </row>
    <row r="245" ht="12.75" customHeight="1">
      <c r="A245" s="18"/>
      <c r="B245" s="56"/>
      <c r="C245" s="57"/>
      <c r="D245" s="6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3">
        <f t="shared" si="46"/>
        <v>0</v>
      </c>
    </row>
    <row r="246" ht="12.75" customHeight="1">
      <c r="A246" s="18"/>
      <c r="B246" s="56"/>
      <c r="C246" s="57"/>
      <c r="D246" s="6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U247" si="47">SUM(E237:E244)</f>
        <v>3</v>
      </c>
      <c r="F247" s="13">
        <f t="shared" si="47"/>
        <v>1</v>
      </c>
      <c r="G247" s="13">
        <f t="shared" si="47"/>
        <v>0</v>
      </c>
      <c r="H247" s="13">
        <f t="shared" si="47"/>
        <v>0</v>
      </c>
      <c r="I247" s="13">
        <f t="shared" si="47"/>
        <v>2</v>
      </c>
      <c r="J247" s="13">
        <f t="shared" si="47"/>
        <v>0</v>
      </c>
      <c r="K247" s="13">
        <f t="shared" si="47"/>
        <v>2</v>
      </c>
      <c r="L247" s="13">
        <f t="shared" si="47"/>
        <v>3</v>
      </c>
      <c r="M247" s="13">
        <f t="shared" si="47"/>
        <v>7</v>
      </c>
      <c r="N247" s="13">
        <f t="shared" si="47"/>
        <v>8</v>
      </c>
      <c r="O247" s="13">
        <f t="shared" si="47"/>
        <v>2</v>
      </c>
      <c r="P247" s="13">
        <f t="shared" si="47"/>
        <v>1</v>
      </c>
      <c r="Q247" s="13">
        <f t="shared" si="47"/>
        <v>7</v>
      </c>
      <c r="R247" s="13">
        <f t="shared" si="47"/>
        <v>0</v>
      </c>
      <c r="S247" s="13">
        <f t="shared" si="47"/>
        <v>4</v>
      </c>
      <c r="T247" s="13">
        <f t="shared" si="47"/>
        <v>1</v>
      </c>
      <c r="U247" s="13">
        <f t="shared" si="47"/>
        <v>0</v>
      </c>
      <c r="V247" s="13">
        <f t="shared" si="46"/>
        <v>41</v>
      </c>
    </row>
    <row r="248" ht="12.75" customHeight="1">
      <c r="A248" s="76"/>
      <c r="B248" s="77"/>
      <c r="C248" s="77"/>
      <c r="D248" s="77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13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2.0</v>
      </c>
      <c r="R249" s="19">
        <v>1.0</v>
      </c>
      <c r="S249" s="19">
        <v>0.0</v>
      </c>
      <c r="T249" s="19">
        <v>0.0</v>
      </c>
      <c r="U249" s="19">
        <v>0.0</v>
      </c>
      <c r="V249" s="13">
        <f t="shared" ref="V249:V259" si="48">SUM(E249:U249)</f>
        <v>3</v>
      </c>
    </row>
    <row r="250" ht="12.75" customHeight="1">
      <c r="A250" s="30" t="s">
        <v>39</v>
      </c>
      <c r="B250" s="55">
        <v>1.0</v>
      </c>
      <c r="C250" s="63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3">
        <f t="shared" si="48"/>
        <v>0</v>
      </c>
    </row>
    <row r="251" ht="12.75" customHeight="1">
      <c r="A251" s="18"/>
      <c r="B251" s="55">
        <v>2.0</v>
      </c>
      <c r="C251" s="63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3">
        <f t="shared" si="48"/>
        <v>0</v>
      </c>
    </row>
    <row r="252" ht="12.75" customHeight="1">
      <c r="A252" s="18"/>
      <c r="B252" s="55">
        <v>3.0</v>
      </c>
      <c r="C252" s="63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1.0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3">
        <f t="shared" si="48"/>
        <v>1</v>
      </c>
    </row>
    <row r="253" ht="12.75" customHeight="1">
      <c r="A253" s="18"/>
      <c r="B253" s="55">
        <v>4.0</v>
      </c>
      <c r="C253" s="63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3">
        <f t="shared" si="48"/>
        <v>0</v>
      </c>
    </row>
    <row r="254" ht="12.75" customHeight="1">
      <c r="A254" s="18"/>
      <c r="B254" s="55">
        <v>5.0</v>
      </c>
      <c r="C254" s="63" t="s">
        <v>188</v>
      </c>
      <c r="D254" s="60"/>
      <c r="E254" s="19">
        <v>1.0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1.0</v>
      </c>
      <c r="R254" s="19">
        <v>0.0</v>
      </c>
      <c r="S254" s="19">
        <v>0.0</v>
      </c>
      <c r="T254" s="19">
        <v>0.0</v>
      </c>
      <c r="U254" s="19">
        <v>0.0</v>
      </c>
      <c r="V254" s="13">
        <f t="shared" si="48"/>
        <v>3</v>
      </c>
    </row>
    <row r="255" ht="12.75" customHeight="1">
      <c r="A255" s="18"/>
      <c r="B255" s="55">
        <v>6.0</v>
      </c>
      <c r="C255" s="63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1.0</v>
      </c>
      <c r="L255" s="19">
        <v>0.0</v>
      </c>
      <c r="M255" s="19">
        <v>0.0</v>
      </c>
      <c r="N255" s="19">
        <v>0.0</v>
      </c>
      <c r="O255" s="19">
        <v>1.0</v>
      </c>
      <c r="P255" s="19">
        <v>0.0</v>
      </c>
      <c r="Q255" s="19">
        <v>1.0</v>
      </c>
      <c r="R255" s="19">
        <v>0.0</v>
      </c>
      <c r="S255" s="19">
        <v>0.0</v>
      </c>
      <c r="T255" s="19">
        <v>0.0</v>
      </c>
      <c r="U255" s="19">
        <v>0.0</v>
      </c>
      <c r="V255" s="13">
        <f t="shared" si="48"/>
        <v>3</v>
      </c>
    </row>
    <row r="256" ht="12.75" customHeight="1">
      <c r="A256" s="18"/>
      <c r="B256" s="56"/>
      <c r="C256" s="64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3">
        <f t="shared" si="48"/>
        <v>0</v>
      </c>
    </row>
    <row r="257" ht="12.75" customHeight="1">
      <c r="A257" s="18"/>
      <c r="B257" s="56"/>
      <c r="C257" s="64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8"/>
        <v>0</v>
      </c>
    </row>
    <row r="258" ht="12.75" customHeight="1">
      <c r="A258" s="18"/>
      <c r="B258" s="56"/>
      <c r="C258" s="64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U259" si="49">SUM(E249:E255)</f>
        <v>1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4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8"/>
        <v>10</v>
      </c>
    </row>
    <row r="260" ht="12.75" customHeight="1">
      <c r="V260" s="13"/>
    </row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 ht="12.75" customHeight="1">
      <c r="A262" s="42"/>
      <c r="B262" s="66" t="s">
        <v>192</v>
      </c>
      <c r="C262" s="67" t="s">
        <v>193</v>
      </c>
      <c r="D262" s="16"/>
      <c r="E262" s="19">
        <f t="shared" ref="E262:U262" si="50">E55+E67+E79+E91+E103+E115+E127+E139+E151+E163+E175+E187+E199+E211+E223+E235+E247+E259</f>
        <v>214</v>
      </c>
      <c r="F262" s="19">
        <f t="shared" si="50"/>
        <v>206</v>
      </c>
      <c r="G262" s="19">
        <f t="shared" si="50"/>
        <v>144</v>
      </c>
      <c r="H262" s="19">
        <f t="shared" si="50"/>
        <v>178</v>
      </c>
      <c r="I262" s="19">
        <f t="shared" si="50"/>
        <v>184</v>
      </c>
      <c r="J262" s="19">
        <f t="shared" si="50"/>
        <v>200</v>
      </c>
      <c r="K262" s="19">
        <f t="shared" si="50"/>
        <v>203</v>
      </c>
      <c r="L262" s="19">
        <f t="shared" si="50"/>
        <v>207</v>
      </c>
      <c r="M262" s="19">
        <f t="shared" si="50"/>
        <v>191</v>
      </c>
      <c r="N262" s="19">
        <f t="shared" si="50"/>
        <v>175</v>
      </c>
      <c r="O262" s="19">
        <f t="shared" si="50"/>
        <v>176</v>
      </c>
      <c r="P262" s="19">
        <f t="shared" si="50"/>
        <v>180</v>
      </c>
      <c r="Q262" s="19">
        <f t="shared" si="50"/>
        <v>220</v>
      </c>
      <c r="R262" s="19">
        <f t="shared" si="50"/>
        <v>176</v>
      </c>
      <c r="S262" s="19">
        <f t="shared" si="50"/>
        <v>148</v>
      </c>
      <c r="T262" s="19">
        <f t="shared" si="50"/>
        <v>146</v>
      </c>
      <c r="U262" s="19">
        <f t="shared" si="50"/>
        <v>155</v>
      </c>
      <c r="V262" s="13">
        <f t="shared" ref="V262:V264" si="51">SUM(E262:U262)</f>
        <v>3103</v>
      </c>
    </row>
    <row r="263" ht="12.75" customHeight="1">
      <c r="A263" s="35"/>
      <c r="B263" s="66" t="s">
        <v>194</v>
      </c>
      <c r="C263" s="67" t="s">
        <v>195</v>
      </c>
      <c r="D263" s="16"/>
      <c r="E263" s="19">
        <v>19.0</v>
      </c>
      <c r="F263" s="19">
        <v>17.0</v>
      </c>
      <c r="G263" s="19">
        <v>15.0</v>
      </c>
      <c r="H263" s="19">
        <v>23.0</v>
      </c>
      <c r="I263" s="19">
        <v>13.0</v>
      </c>
      <c r="J263" s="19">
        <v>23.0</v>
      </c>
      <c r="K263" s="19">
        <v>18.0</v>
      </c>
      <c r="L263" s="19">
        <v>25.0</v>
      </c>
      <c r="M263" s="19">
        <v>31.0</v>
      </c>
      <c r="N263" s="19">
        <v>20.0</v>
      </c>
      <c r="O263" s="19">
        <v>13.0</v>
      </c>
      <c r="P263" s="19">
        <v>20.0</v>
      </c>
      <c r="Q263" s="19">
        <v>12.0</v>
      </c>
      <c r="R263" s="19">
        <v>28.0</v>
      </c>
      <c r="S263" s="19">
        <v>22.0</v>
      </c>
      <c r="T263" s="19">
        <v>21.0</v>
      </c>
      <c r="U263" s="19">
        <v>11.0</v>
      </c>
      <c r="V263" s="13">
        <f t="shared" si="51"/>
        <v>331</v>
      </c>
    </row>
    <row r="264" ht="12.75" customHeight="1">
      <c r="A264" s="41"/>
      <c r="B264" s="66" t="s">
        <v>196</v>
      </c>
      <c r="C264" s="67" t="s">
        <v>197</v>
      </c>
      <c r="D264" s="16"/>
      <c r="E264" s="13">
        <f t="shared" ref="E264:U264" si="52">SUM(E262:E263)</f>
        <v>233</v>
      </c>
      <c r="F264" s="13">
        <f t="shared" si="52"/>
        <v>223</v>
      </c>
      <c r="G264" s="13">
        <f t="shared" si="52"/>
        <v>159</v>
      </c>
      <c r="H264" s="13">
        <f t="shared" si="52"/>
        <v>201</v>
      </c>
      <c r="I264" s="13">
        <f t="shared" si="52"/>
        <v>197</v>
      </c>
      <c r="J264" s="13">
        <f t="shared" si="52"/>
        <v>223</v>
      </c>
      <c r="K264" s="13">
        <f t="shared" si="52"/>
        <v>221</v>
      </c>
      <c r="L264" s="13">
        <f t="shared" si="52"/>
        <v>232</v>
      </c>
      <c r="M264" s="13">
        <f t="shared" si="52"/>
        <v>222</v>
      </c>
      <c r="N264" s="13">
        <f t="shared" si="52"/>
        <v>195</v>
      </c>
      <c r="O264" s="13">
        <f t="shared" si="52"/>
        <v>189</v>
      </c>
      <c r="P264" s="13">
        <f t="shared" si="52"/>
        <v>200</v>
      </c>
      <c r="Q264" s="13">
        <f t="shared" si="52"/>
        <v>232</v>
      </c>
      <c r="R264" s="13">
        <f t="shared" si="52"/>
        <v>204</v>
      </c>
      <c r="S264" s="13">
        <f t="shared" si="52"/>
        <v>170</v>
      </c>
      <c r="T264" s="13">
        <f t="shared" si="52"/>
        <v>167</v>
      </c>
      <c r="U264" s="13">
        <f t="shared" si="52"/>
        <v>166</v>
      </c>
      <c r="V264" s="13">
        <f t="shared" si="51"/>
        <v>3434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6">
    <mergeCell ref="B55:D55"/>
    <mergeCell ref="C57:D57"/>
    <mergeCell ref="B67:D67"/>
    <mergeCell ref="C69:D69"/>
    <mergeCell ref="B79:D79"/>
    <mergeCell ref="C81:D81"/>
    <mergeCell ref="B91:D91"/>
    <mergeCell ref="C93:D93"/>
    <mergeCell ref="B103:D103"/>
    <mergeCell ref="C105:D105"/>
    <mergeCell ref="B115:D115"/>
    <mergeCell ref="C117:D117"/>
    <mergeCell ref="B127:D127"/>
    <mergeCell ref="C129:D129"/>
    <mergeCell ref="B151:D151"/>
    <mergeCell ref="C153:D153"/>
    <mergeCell ref="B163:D163"/>
    <mergeCell ref="C165:D165"/>
    <mergeCell ref="B175:D175"/>
    <mergeCell ref="C177:D177"/>
    <mergeCell ref="B187:D187"/>
    <mergeCell ref="C189:D189"/>
    <mergeCell ref="B199:D199"/>
    <mergeCell ref="C201:D201"/>
    <mergeCell ref="B211:D211"/>
    <mergeCell ref="C213:D213"/>
    <mergeCell ref="B223:D223"/>
    <mergeCell ref="C225:D225"/>
    <mergeCell ref="C263:D263"/>
    <mergeCell ref="C264:D264"/>
    <mergeCell ref="B235:D235"/>
    <mergeCell ref="C237:D237"/>
    <mergeCell ref="B247:D247"/>
    <mergeCell ref="C249:D249"/>
    <mergeCell ref="B259:D259"/>
    <mergeCell ref="B261:D261"/>
    <mergeCell ref="C262:D262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B139:D139"/>
    <mergeCell ref="C141:D141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E34&lt;&gt;E64</formula>
    </cfRule>
  </conditionalFormatting>
  <conditionalFormatting sqref="E45:U54">
    <cfRule type="containsBlanks" dxfId="1" priority="10">
      <formula>LEN(TRIM(E45))=0</formula>
    </cfRule>
  </conditionalFormatting>
  <conditionalFormatting sqref="E57:U66">
    <cfRule type="containsBlanks" dxfId="1" priority="11">
      <formula>LEN(TRIM(E57))=0</formula>
    </cfRule>
  </conditionalFormatting>
  <conditionalFormatting sqref="E69:U78">
    <cfRule type="containsBlanks" dxfId="1" priority="12">
      <formula>LEN(TRIM(E69))=0</formula>
    </cfRule>
  </conditionalFormatting>
  <conditionalFormatting sqref="E81:U90">
    <cfRule type="containsBlanks" dxfId="1" priority="13">
      <formula>LEN(TRIM(E81))=0</formula>
    </cfRule>
  </conditionalFormatting>
  <conditionalFormatting sqref="E93:U102">
    <cfRule type="containsBlanks" dxfId="1" priority="14">
      <formula>LEN(TRIM(E93))=0</formula>
    </cfRule>
  </conditionalFormatting>
  <conditionalFormatting sqref="E105:U114">
    <cfRule type="containsBlanks" dxfId="1" priority="15">
      <formula>LEN(TRIM(E105))=0</formula>
    </cfRule>
  </conditionalFormatting>
  <conditionalFormatting sqref="E117:U126">
    <cfRule type="containsBlanks" dxfId="1" priority="16">
      <formula>LEN(TRIM(E117))=0</formula>
    </cfRule>
  </conditionalFormatting>
  <conditionalFormatting sqref="E129:U138">
    <cfRule type="containsBlanks" dxfId="1" priority="17">
      <formula>LEN(TRIM(E129))=0</formula>
    </cfRule>
  </conditionalFormatting>
  <conditionalFormatting sqref="E141:U150">
    <cfRule type="containsBlanks" dxfId="1" priority="18">
      <formula>LEN(TRIM(E141))=0</formula>
    </cfRule>
  </conditionalFormatting>
  <conditionalFormatting sqref="E153:U162">
    <cfRule type="containsBlanks" dxfId="1" priority="19">
      <formula>LEN(TRIM(E153))=0</formula>
    </cfRule>
  </conditionalFormatting>
  <conditionalFormatting sqref="E165:U174">
    <cfRule type="containsBlanks" dxfId="1" priority="20">
      <formula>LEN(TRIM(E165))=0</formula>
    </cfRule>
  </conditionalFormatting>
  <conditionalFormatting sqref="E177:U186">
    <cfRule type="containsBlanks" dxfId="1" priority="21">
      <formula>LEN(TRIM(E177))=0</formula>
    </cfRule>
  </conditionalFormatting>
  <conditionalFormatting sqref="E189:U198">
    <cfRule type="containsBlanks" dxfId="1" priority="22">
      <formula>LEN(TRIM(E189))=0</formula>
    </cfRule>
  </conditionalFormatting>
  <conditionalFormatting sqref="E201:U210">
    <cfRule type="containsBlanks" dxfId="1" priority="23">
      <formula>LEN(TRIM(E201))=0</formula>
    </cfRule>
  </conditionalFormatting>
  <conditionalFormatting sqref="E213:U222">
    <cfRule type="containsBlanks" dxfId="1" priority="24">
      <formula>LEN(TRIM(E213))=0</formula>
    </cfRule>
  </conditionalFormatting>
  <conditionalFormatting sqref="E225:U234">
    <cfRule type="containsBlanks" dxfId="1" priority="25">
      <formula>LEN(TRIM(E225))=0</formula>
    </cfRule>
  </conditionalFormatting>
  <conditionalFormatting sqref="E237:U246">
    <cfRule type="containsBlanks" dxfId="1" priority="26">
      <formula>LEN(TRIM(E237))=0</formula>
    </cfRule>
  </conditionalFormatting>
  <conditionalFormatting sqref="E249:U259">
    <cfRule type="containsBlanks" dxfId="1" priority="27">
      <formula>LEN(TRIM(E249))=0</formula>
    </cfRule>
  </conditionalFormatting>
  <conditionalFormatting sqref="E262: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7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137.0</v>
      </c>
      <c r="G14" s="19">
        <v>145.0</v>
      </c>
      <c r="H14" s="19">
        <v>145.0</v>
      </c>
      <c r="I14" s="19">
        <v>147.0</v>
      </c>
      <c r="J14" s="19">
        <v>141.0</v>
      </c>
      <c r="K14" s="19">
        <v>124.0</v>
      </c>
      <c r="L14" s="19">
        <v>133.0</v>
      </c>
      <c r="M14" s="19">
        <v>123.0</v>
      </c>
      <c r="N14" s="19">
        <v>90.0</v>
      </c>
      <c r="O14" s="13">
        <f t="shared" ref="O14:O16" si="1">SUM(E14:N14)</f>
        <v>1336</v>
      </c>
    </row>
    <row r="15" ht="12.75" customHeight="1">
      <c r="A15" s="18"/>
      <c r="B15" s="26"/>
      <c r="C15" s="27"/>
      <c r="D15" s="19" t="s">
        <v>13</v>
      </c>
      <c r="E15" s="19">
        <v>144.0</v>
      </c>
      <c r="F15" s="19">
        <v>156.0</v>
      </c>
      <c r="G15" s="19">
        <v>151.0</v>
      </c>
      <c r="H15" s="19">
        <v>150.0</v>
      </c>
      <c r="I15" s="19">
        <v>145.0</v>
      </c>
      <c r="J15" s="19">
        <v>145.0</v>
      </c>
      <c r="K15" s="19">
        <v>136.0</v>
      </c>
      <c r="L15" s="19">
        <v>127.0</v>
      </c>
      <c r="M15" s="19">
        <v>125.0</v>
      </c>
      <c r="N15" s="19">
        <v>96.0</v>
      </c>
      <c r="O15" s="13">
        <f t="shared" si="1"/>
        <v>1375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295</v>
      </c>
      <c r="F16" s="13">
        <f t="shared" si="2"/>
        <v>293</v>
      </c>
      <c r="G16" s="13">
        <f t="shared" si="2"/>
        <v>296</v>
      </c>
      <c r="H16" s="13">
        <f t="shared" si="2"/>
        <v>295</v>
      </c>
      <c r="I16" s="13">
        <f t="shared" si="2"/>
        <v>292</v>
      </c>
      <c r="J16" s="13">
        <f t="shared" si="2"/>
        <v>286</v>
      </c>
      <c r="K16" s="13">
        <f t="shared" si="2"/>
        <v>260</v>
      </c>
      <c r="L16" s="13">
        <f t="shared" si="2"/>
        <v>260</v>
      </c>
      <c r="M16" s="13">
        <f t="shared" si="2"/>
        <v>248</v>
      </c>
      <c r="N16" s="13">
        <f t="shared" si="2"/>
        <v>186</v>
      </c>
      <c r="O16" s="13">
        <f t="shared" si="1"/>
        <v>2711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7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7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122.0</v>
      </c>
      <c r="F19" s="19">
        <v>119.0</v>
      </c>
      <c r="G19" s="19">
        <v>129.0</v>
      </c>
      <c r="H19" s="19">
        <v>118.0</v>
      </c>
      <c r="I19" s="19">
        <v>122.0</v>
      </c>
      <c r="J19" s="19">
        <v>114.0</v>
      </c>
      <c r="K19" s="19">
        <v>103.0</v>
      </c>
      <c r="L19" s="19">
        <v>114.0</v>
      </c>
      <c r="M19" s="19">
        <v>101.0</v>
      </c>
      <c r="N19" s="19">
        <v>76.0</v>
      </c>
      <c r="O19" s="13">
        <f t="shared" ref="O19:O30" si="3">SUM(E19:N19)</f>
        <v>1118</v>
      </c>
    </row>
    <row r="20" ht="12.75" customHeight="1">
      <c r="A20" s="33"/>
      <c r="B20" s="27"/>
      <c r="C20" s="34"/>
      <c r="D20" s="19" t="s">
        <v>13</v>
      </c>
      <c r="E20" s="19">
        <v>126.0</v>
      </c>
      <c r="F20" s="19">
        <v>131.0</v>
      </c>
      <c r="G20" s="19">
        <v>138.0</v>
      </c>
      <c r="H20" s="19">
        <v>134.0</v>
      </c>
      <c r="I20" s="19">
        <v>117.0</v>
      </c>
      <c r="J20" s="19">
        <v>128.0</v>
      </c>
      <c r="K20" s="19">
        <v>118.0</v>
      </c>
      <c r="L20" s="19">
        <v>115.0</v>
      </c>
      <c r="M20" s="19">
        <v>110.0</v>
      </c>
      <c r="N20" s="19">
        <v>86.0</v>
      </c>
      <c r="O20" s="13">
        <f t="shared" si="3"/>
        <v>1203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248</v>
      </c>
      <c r="F21" s="13">
        <f t="shared" si="4"/>
        <v>250</v>
      </c>
      <c r="G21" s="13">
        <f t="shared" si="4"/>
        <v>267</v>
      </c>
      <c r="H21" s="13">
        <f t="shared" si="4"/>
        <v>252</v>
      </c>
      <c r="I21" s="13">
        <f t="shared" si="4"/>
        <v>239</v>
      </c>
      <c r="J21" s="13">
        <f t="shared" si="4"/>
        <v>242</v>
      </c>
      <c r="K21" s="13">
        <f t="shared" si="4"/>
        <v>221</v>
      </c>
      <c r="L21" s="13">
        <f t="shared" si="4"/>
        <v>229</v>
      </c>
      <c r="M21" s="13">
        <f t="shared" si="4"/>
        <v>211</v>
      </c>
      <c r="N21" s="13">
        <f t="shared" si="4"/>
        <v>162</v>
      </c>
      <c r="O21" s="13">
        <f t="shared" si="3"/>
        <v>2321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2.0</v>
      </c>
      <c r="M26" s="19">
        <v>1.0</v>
      </c>
      <c r="N26" s="19">
        <v>0.0</v>
      </c>
      <c r="O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0</v>
      </c>
      <c r="F27" s="13">
        <f t="shared" si="6"/>
        <v>2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122</v>
      </c>
      <c r="F28" s="13">
        <f t="shared" si="7"/>
        <v>119</v>
      </c>
      <c r="G28" s="13">
        <f t="shared" si="7"/>
        <v>130</v>
      </c>
      <c r="H28" s="13">
        <f t="shared" si="7"/>
        <v>118</v>
      </c>
      <c r="I28" s="13">
        <f t="shared" si="7"/>
        <v>122</v>
      </c>
      <c r="J28" s="13">
        <f t="shared" si="7"/>
        <v>114</v>
      </c>
      <c r="K28" s="13">
        <f t="shared" si="7"/>
        <v>103</v>
      </c>
      <c r="L28" s="13">
        <f t="shared" si="7"/>
        <v>116</v>
      </c>
      <c r="M28" s="13">
        <f t="shared" si="7"/>
        <v>101</v>
      </c>
      <c r="N28" s="13">
        <f t="shared" si="7"/>
        <v>76</v>
      </c>
      <c r="O28" s="13">
        <f t="shared" si="3"/>
        <v>1121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126</v>
      </c>
      <c r="F29" s="13">
        <f t="shared" si="8"/>
        <v>133</v>
      </c>
      <c r="G29" s="13">
        <f t="shared" si="8"/>
        <v>138</v>
      </c>
      <c r="H29" s="13">
        <f t="shared" si="8"/>
        <v>134</v>
      </c>
      <c r="I29" s="13">
        <f t="shared" si="8"/>
        <v>117</v>
      </c>
      <c r="J29" s="13">
        <f t="shared" si="8"/>
        <v>129</v>
      </c>
      <c r="K29" s="13">
        <f t="shared" si="8"/>
        <v>118</v>
      </c>
      <c r="L29" s="13">
        <f t="shared" si="8"/>
        <v>118</v>
      </c>
      <c r="M29" s="13">
        <f t="shared" si="8"/>
        <v>111</v>
      </c>
      <c r="N29" s="13">
        <f t="shared" si="8"/>
        <v>86</v>
      </c>
      <c r="O29" s="13">
        <f t="shared" si="3"/>
        <v>1210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248</v>
      </c>
      <c r="F30" s="13">
        <f t="shared" si="9"/>
        <v>252</v>
      </c>
      <c r="G30" s="13">
        <f t="shared" si="9"/>
        <v>268</v>
      </c>
      <c r="H30" s="13">
        <f t="shared" si="9"/>
        <v>252</v>
      </c>
      <c r="I30" s="13">
        <f t="shared" si="9"/>
        <v>239</v>
      </c>
      <c r="J30" s="13">
        <f t="shared" si="9"/>
        <v>243</v>
      </c>
      <c r="K30" s="13">
        <f t="shared" si="9"/>
        <v>221</v>
      </c>
      <c r="L30" s="13">
        <f t="shared" si="9"/>
        <v>234</v>
      </c>
      <c r="M30" s="13">
        <f t="shared" si="9"/>
        <v>212</v>
      </c>
      <c r="N30" s="13">
        <f t="shared" si="9"/>
        <v>162</v>
      </c>
      <c r="O30" s="13">
        <f t="shared" si="3"/>
        <v>2331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72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72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299.0</v>
      </c>
      <c r="G33" s="19">
        <v>302.0</v>
      </c>
      <c r="H33" s="19">
        <v>301.0</v>
      </c>
      <c r="I33" s="19">
        <v>298.0</v>
      </c>
      <c r="J33" s="19">
        <v>292.0</v>
      </c>
      <c r="K33" s="19">
        <v>266.0</v>
      </c>
      <c r="L33" s="19">
        <v>266.0</v>
      </c>
      <c r="M33" s="19">
        <v>253.0</v>
      </c>
      <c r="N33" s="19">
        <v>190.0</v>
      </c>
      <c r="O33" s="13">
        <f t="shared" ref="O33:O36" si="10">SUM(E33:N33)</f>
        <v>2768</v>
      </c>
    </row>
    <row r="34" ht="12.75" customHeight="1">
      <c r="A34" s="19">
        <v>2.0</v>
      </c>
      <c r="B34" s="20" t="s">
        <v>28</v>
      </c>
      <c r="C34" s="15"/>
      <c r="D34" s="16"/>
      <c r="E34" s="13">
        <v>248.0</v>
      </c>
      <c r="F34" s="13">
        <v>252.0</v>
      </c>
      <c r="G34" s="13">
        <v>268.0</v>
      </c>
      <c r="H34" s="13">
        <v>252.0</v>
      </c>
      <c r="I34" s="13">
        <v>239.0</v>
      </c>
      <c r="J34" s="13">
        <v>243.0</v>
      </c>
      <c r="K34" s="13">
        <v>221.0</v>
      </c>
      <c r="L34" s="13">
        <v>234.0</v>
      </c>
      <c r="M34" s="13">
        <v>212.0</v>
      </c>
      <c r="N34" s="13">
        <v>162.0</v>
      </c>
      <c r="O34" s="13">
        <f t="shared" si="10"/>
        <v>2331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2.0</v>
      </c>
      <c r="M35" s="19">
        <v>28.0</v>
      </c>
      <c r="N35" s="19">
        <v>0.0</v>
      </c>
      <c r="O35" s="13">
        <f t="shared" si="10"/>
        <v>31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53</v>
      </c>
      <c r="F36" s="13">
        <f t="shared" si="11"/>
        <v>47</v>
      </c>
      <c r="G36" s="13">
        <f t="shared" si="11"/>
        <v>34</v>
      </c>
      <c r="H36" s="13">
        <f t="shared" si="11"/>
        <v>49</v>
      </c>
      <c r="I36" s="13">
        <f t="shared" si="11"/>
        <v>59</v>
      </c>
      <c r="J36" s="13">
        <f t="shared" si="11"/>
        <v>48</v>
      </c>
      <c r="K36" s="13">
        <f t="shared" si="11"/>
        <v>45</v>
      </c>
      <c r="L36" s="13">
        <f t="shared" si="11"/>
        <v>30</v>
      </c>
      <c r="M36" s="13">
        <f t="shared" si="11"/>
        <v>13</v>
      </c>
      <c r="N36" s="13">
        <f t="shared" si="11"/>
        <v>28</v>
      </c>
      <c r="O36" s="13">
        <f t="shared" si="10"/>
        <v>406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19"/>
      <c r="O37" s="72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72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2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9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12.0</v>
      </c>
      <c r="G45" s="19">
        <v>22.0</v>
      </c>
      <c r="H45" s="19">
        <v>16.0</v>
      </c>
      <c r="I45" s="19">
        <v>24.0</v>
      </c>
      <c r="J45" s="19">
        <v>29.0</v>
      </c>
      <c r="K45" s="19">
        <v>31.0</v>
      </c>
      <c r="L45" s="19">
        <v>24.0</v>
      </c>
      <c r="M45" s="19">
        <v>35.0</v>
      </c>
      <c r="N45" s="19">
        <v>19.0</v>
      </c>
      <c r="O45" s="13">
        <f t="shared" ref="O45:O55" si="14">SUM(E45:N45)</f>
        <v>217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19.0</v>
      </c>
      <c r="F46" s="19">
        <v>28.0</v>
      </c>
      <c r="G46" s="19">
        <v>54.0</v>
      </c>
      <c r="H46" s="19">
        <v>36.0</v>
      </c>
      <c r="I46" s="19">
        <v>69.0</v>
      </c>
      <c r="J46" s="19">
        <v>82.0</v>
      </c>
      <c r="K46" s="19">
        <v>73.0</v>
      </c>
      <c r="L46" s="19">
        <v>87.0</v>
      </c>
      <c r="M46" s="19">
        <v>84.0</v>
      </c>
      <c r="N46" s="19">
        <v>55.0</v>
      </c>
      <c r="O46" s="13">
        <f t="shared" si="14"/>
        <v>587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1.0</v>
      </c>
      <c r="G47" s="19">
        <v>2.0</v>
      </c>
      <c r="H47" s="19">
        <v>4.0</v>
      </c>
      <c r="I47" s="19">
        <v>6.0</v>
      </c>
      <c r="J47" s="19">
        <v>4.0</v>
      </c>
      <c r="K47" s="19">
        <v>2.0</v>
      </c>
      <c r="L47" s="19">
        <v>5.0</v>
      </c>
      <c r="M47" s="19">
        <v>4.0</v>
      </c>
      <c r="N47" s="19">
        <v>2.0</v>
      </c>
      <c r="O47" s="13">
        <f t="shared" si="14"/>
        <v>32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2.0</v>
      </c>
      <c r="H48" s="19">
        <v>1.0</v>
      </c>
      <c r="I48" s="19">
        <v>2.0</v>
      </c>
      <c r="J48" s="19">
        <v>0.0</v>
      </c>
      <c r="K48" s="19">
        <v>1.0</v>
      </c>
      <c r="L48" s="19">
        <v>0.0</v>
      </c>
      <c r="M48" s="19">
        <v>0.0</v>
      </c>
      <c r="N48" s="19">
        <v>0.0</v>
      </c>
      <c r="O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1.0</v>
      </c>
      <c r="L49" s="19">
        <v>1.0</v>
      </c>
      <c r="M49" s="19">
        <v>1.0</v>
      </c>
      <c r="N49" s="19">
        <v>0.0</v>
      </c>
      <c r="O49" s="13">
        <f t="shared" si="14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3">
        <f t="shared" si="14"/>
        <v>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1.0</v>
      </c>
      <c r="J51" s="19">
        <v>0.0</v>
      </c>
      <c r="K51" s="19">
        <v>0.0</v>
      </c>
      <c r="L51" s="19">
        <v>2.0</v>
      </c>
      <c r="M51" s="19">
        <v>1.0</v>
      </c>
      <c r="N51" s="19">
        <v>0.0</v>
      </c>
      <c r="O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3">
        <f t="shared" si="14"/>
        <v>2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N55" si="15">SUM(E45:E52)</f>
        <v>28</v>
      </c>
      <c r="F55" s="13">
        <f t="shared" si="15"/>
        <v>41</v>
      </c>
      <c r="G55" s="13">
        <f t="shared" si="15"/>
        <v>80</v>
      </c>
      <c r="H55" s="13">
        <f t="shared" si="15"/>
        <v>58</v>
      </c>
      <c r="I55" s="13">
        <f t="shared" si="15"/>
        <v>102</v>
      </c>
      <c r="J55" s="13">
        <f t="shared" si="15"/>
        <v>116</v>
      </c>
      <c r="K55" s="13">
        <f t="shared" si="15"/>
        <v>109</v>
      </c>
      <c r="L55" s="13">
        <f t="shared" si="15"/>
        <v>119</v>
      </c>
      <c r="M55" s="13">
        <f t="shared" si="15"/>
        <v>125</v>
      </c>
      <c r="N55" s="13">
        <f t="shared" si="15"/>
        <v>76</v>
      </c>
      <c r="O55" s="13">
        <f t="shared" si="14"/>
        <v>854</v>
      </c>
    </row>
    <row r="56" ht="12.75" customHeight="1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20.0</v>
      </c>
      <c r="F57" s="19">
        <v>16.0</v>
      </c>
      <c r="G57" s="19">
        <v>9.0</v>
      </c>
      <c r="H57" s="19">
        <v>11.0</v>
      </c>
      <c r="I57" s="19">
        <v>15.0</v>
      </c>
      <c r="J57" s="19">
        <v>15.0</v>
      </c>
      <c r="K57" s="19">
        <v>9.0</v>
      </c>
      <c r="L57" s="19">
        <v>4.0</v>
      </c>
      <c r="M57" s="19">
        <v>7.0</v>
      </c>
      <c r="N57" s="19">
        <v>9.0</v>
      </c>
      <c r="O57" s="13">
        <f t="shared" ref="O57:O67" si="16">SUM(E57:N57)</f>
        <v>115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5.0</v>
      </c>
      <c r="F58" s="19">
        <v>8.0</v>
      </c>
      <c r="G58" s="19">
        <v>5.0</v>
      </c>
      <c r="H58" s="19">
        <v>25.0</v>
      </c>
      <c r="I58" s="19">
        <v>13.0</v>
      </c>
      <c r="J58" s="19">
        <v>4.0</v>
      </c>
      <c r="K58" s="19">
        <v>9.0</v>
      </c>
      <c r="L58" s="19">
        <v>8.0</v>
      </c>
      <c r="M58" s="19">
        <v>6.0</v>
      </c>
      <c r="N58" s="19">
        <v>11.0</v>
      </c>
      <c r="O58" s="13">
        <f t="shared" si="16"/>
        <v>94</v>
      </c>
    </row>
    <row r="59" ht="12.75" customHeight="1">
      <c r="A59" s="18"/>
      <c r="B59" s="55">
        <v>2.0</v>
      </c>
      <c r="C59" s="50" t="s">
        <v>50</v>
      </c>
      <c r="D59" s="59"/>
      <c r="E59" s="19">
        <v>2.0</v>
      </c>
      <c r="F59" s="19">
        <v>2.0</v>
      </c>
      <c r="G59" s="19">
        <v>3.0</v>
      </c>
      <c r="H59" s="19">
        <v>0.0</v>
      </c>
      <c r="I59" s="19">
        <v>2.0</v>
      </c>
      <c r="J59" s="19">
        <v>2.0</v>
      </c>
      <c r="K59" s="19">
        <v>5.0</v>
      </c>
      <c r="L59" s="19">
        <v>3.0</v>
      </c>
      <c r="M59" s="19">
        <v>1.0</v>
      </c>
      <c r="N59" s="19">
        <v>3.0</v>
      </c>
      <c r="O59" s="13">
        <f t="shared" si="16"/>
        <v>23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1.0</v>
      </c>
      <c r="G60" s="19">
        <v>0.0</v>
      </c>
      <c r="H60" s="19">
        <v>1.0</v>
      </c>
      <c r="I60" s="19">
        <v>0.0</v>
      </c>
      <c r="J60" s="19">
        <v>1.0</v>
      </c>
      <c r="K60" s="19">
        <v>1.0</v>
      </c>
      <c r="L60" s="19">
        <v>0.0</v>
      </c>
      <c r="M60" s="19">
        <v>1.0</v>
      </c>
      <c r="N60" s="19">
        <v>1.0</v>
      </c>
      <c r="O60" s="13">
        <f t="shared" si="16"/>
        <v>6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1.0</v>
      </c>
      <c r="H61" s="19">
        <v>0.0</v>
      </c>
      <c r="I61" s="19">
        <v>0.0</v>
      </c>
      <c r="J61" s="19">
        <v>1.0</v>
      </c>
      <c r="K61" s="19">
        <v>1.0</v>
      </c>
      <c r="L61" s="19">
        <v>2.0</v>
      </c>
      <c r="M61" s="19">
        <v>2.0</v>
      </c>
      <c r="N61" s="19">
        <v>0.0</v>
      </c>
      <c r="O61" s="13">
        <f t="shared" si="16"/>
        <v>7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2.0</v>
      </c>
      <c r="H62" s="19">
        <v>0.0</v>
      </c>
      <c r="I62" s="19">
        <v>0.0</v>
      </c>
      <c r="J62" s="19">
        <v>2.0</v>
      </c>
      <c r="K62" s="19">
        <v>0.0</v>
      </c>
      <c r="L62" s="19">
        <v>0.0</v>
      </c>
      <c r="M62" s="19">
        <v>0.0</v>
      </c>
      <c r="N62" s="19">
        <v>0.0</v>
      </c>
      <c r="O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1.0</v>
      </c>
      <c r="G63" s="19">
        <v>0.0</v>
      </c>
      <c r="H63" s="19">
        <v>1.0</v>
      </c>
      <c r="I63" s="19">
        <v>1.0</v>
      </c>
      <c r="J63" s="19">
        <v>0.0</v>
      </c>
      <c r="K63" s="19">
        <v>0.0</v>
      </c>
      <c r="L63" s="19">
        <v>1.0</v>
      </c>
      <c r="M63" s="19">
        <v>1.0</v>
      </c>
      <c r="N63" s="19">
        <v>0.0</v>
      </c>
      <c r="O63" s="13">
        <f t="shared" si="16"/>
        <v>5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N67" si="17">SUM(E57:E64)</f>
        <v>27</v>
      </c>
      <c r="F67" s="13">
        <f t="shared" si="17"/>
        <v>28</v>
      </c>
      <c r="G67" s="13">
        <f t="shared" si="17"/>
        <v>20</v>
      </c>
      <c r="H67" s="13">
        <f t="shared" si="17"/>
        <v>38</v>
      </c>
      <c r="I67" s="13">
        <f t="shared" si="17"/>
        <v>31</v>
      </c>
      <c r="J67" s="13">
        <f t="shared" si="17"/>
        <v>25</v>
      </c>
      <c r="K67" s="13">
        <f t="shared" si="17"/>
        <v>25</v>
      </c>
      <c r="L67" s="13">
        <f t="shared" si="17"/>
        <v>18</v>
      </c>
      <c r="M67" s="13">
        <f t="shared" si="17"/>
        <v>18</v>
      </c>
      <c r="N67" s="13">
        <f t="shared" si="17"/>
        <v>24</v>
      </c>
      <c r="O67" s="13">
        <f t="shared" si="16"/>
        <v>254</v>
      </c>
    </row>
    <row r="68" ht="12.75" customHeight="1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13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5.0</v>
      </c>
      <c r="G69" s="19">
        <v>8.0</v>
      </c>
      <c r="H69" s="19">
        <v>9.0</v>
      </c>
      <c r="I69" s="19">
        <v>3.0</v>
      </c>
      <c r="J69" s="19">
        <v>5.0</v>
      </c>
      <c r="K69" s="19">
        <v>4.0</v>
      </c>
      <c r="L69" s="19">
        <v>0.0</v>
      </c>
      <c r="M69" s="19">
        <v>9.0</v>
      </c>
      <c r="N69" s="19">
        <v>4.0</v>
      </c>
      <c r="O69" s="13">
        <f t="shared" ref="O69:O79" si="18">SUM(E69:N69)</f>
        <v>53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6.0</v>
      </c>
      <c r="F70" s="19">
        <v>3.0</v>
      </c>
      <c r="G70" s="19">
        <v>3.0</v>
      </c>
      <c r="H70" s="19">
        <v>2.0</v>
      </c>
      <c r="I70" s="19">
        <v>5.0</v>
      </c>
      <c r="J70" s="19">
        <v>5.0</v>
      </c>
      <c r="K70" s="19">
        <v>2.0</v>
      </c>
      <c r="L70" s="19">
        <v>1.0</v>
      </c>
      <c r="M70" s="19">
        <v>2.0</v>
      </c>
      <c r="N70" s="19">
        <v>3.0</v>
      </c>
      <c r="O70" s="13">
        <f t="shared" si="18"/>
        <v>32</v>
      </c>
    </row>
    <row r="71" ht="12.75" customHeight="1">
      <c r="A71" s="18"/>
      <c r="B71" s="55">
        <v>2.0</v>
      </c>
      <c r="C71" s="50" t="s">
        <v>58</v>
      </c>
      <c r="D71" s="60"/>
      <c r="E71" s="19">
        <v>3.0</v>
      </c>
      <c r="F71" s="19">
        <v>2.0</v>
      </c>
      <c r="G71" s="19">
        <v>4.0</v>
      </c>
      <c r="H71" s="19">
        <v>6.0</v>
      </c>
      <c r="I71" s="19">
        <v>4.0</v>
      </c>
      <c r="J71" s="19">
        <v>8.0</v>
      </c>
      <c r="K71" s="19">
        <v>8.0</v>
      </c>
      <c r="L71" s="19">
        <v>3.0</v>
      </c>
      <c r="M71" s="19">
        <v>0.0</v>
      </c>
      <c r="N71" s="19">
        <v>0.0</v>
      </c>
      <c r="O71" s="13">
        <f t="shared" si="18"/>
        <v>38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1.0</v>
      </c>
      <c r="G72" s="19">
        <v>0.0</v>
      </c>
      <c r="H72" s="19">
        <v>0.0</v>
      </c>
      <c r="I72" s="19">
        <v>1.0</v>
      </c>
      <c r="J72" s="19">
        <v>1.0</v>
      </c>
      <c r="K72" s="19">
        <v>2.0</v>
      </c>
      <c r="L72" s="19">
        <v>0.0</v>
      </c>
      <c r="M72" s="19">
        <v>0.0</v>
      </c>
      <c r="N72" s="19">
        <v>0.0</v>
      </c>
      <c r="O72" s="13">
        <f t="shared" si="18"/>
        <v>6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1.0</v>
      </c>
      <c r="K73" s="19">
        <v>0.0</v>
      </c>
      <c r="L73" s="19">
        <v>0.0</v>
      </c>
      <c r="M73" s="19">
        <v>0.0</v>
      </c>
      <c r="N73" s="19">
        <v>0.0</v>
      </c>
      <c r="O73" s="13">
        <f t="shared" si="18"/>
        <v>1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1.0</v>
      </c>
      <c r="G74" s="19">
        <v>4.0</v>
      </c>
      <c r="H74" s="19">
        <v>2.0</v>
      </c>
      <c r="I74" s="19">
        <v>1.0</v>
      </c>
      <c r="J74" s="19">
        <v>0.0</v>
      </c>
      <c r="K74" s="19">
        <v>4.0</v>
      </c>
      <c r="L74" s="19">
        <v>5.0</v>
      </c>
      <c r="M74" s="19">
        <v>1.0</v>
      </c>
      <c r="N74" s="19">
        <v>2.0</v>
      </c>
      <c r="O74" s="13">
        <f t="shared" si="18"/>
        <v>21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1.0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60"/>
      <c r="E76" s="19">
        <v>2.0</v>
      </c>
      <c r="F76" s="19">
        <v>0.0</v>
      </c>
      <c r="G76" s="19">
        <v>2.0</v>
      </c>
      <c r="H76" s="19">
        <v>3.0</v>
      </c>
      <c r="I76" s="19">
        <v>0.0</v>
      </c>
      <c r="J76" s="19">
        <v>1.0</v>
      </c>
      <c r="K76" s="19">
        <v>1.0</v>
      </c>
      <c r="L76" s="19">
        <v>0.0</v>
      </c>
      <c r="M76" s="19">
        <v>1.0</v>
      </c>
      <c r="N76" s="19">
        <v>2.0</v>
      </c>
      <c r="O76" s="13">
        <f t="shared" si="18"/>
        <v>12</v>
      </c>
    </row>
    <row r="77" ht="12.75" customHeight="1">
      <c r="A77" s="18"/>
      <c r="B77" s="56"/>
      <c r="C77" s="57"/>
      <c r="D77" s="6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3">
        <f t="shared" si="18"/>
        <v>0</v>
      </c>
    </row>
    <row r="78" ht="12.75" customHeight="1">
      <c r="A78" s="18"/>
      <c r="B78" s="56"/>
      <c r="C78" s="57"/>
      <c r="D78" s="6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N79" si="19">SUM(E69:E76)</f>
        <v>19</v>
      </c>
      <c r="F79" s="13">
        <f t="shared" si="19"/>
        <v>13</v>
      </c>
      <c r="G79" s="13">
        <f t="shared" si="19"/>
        <v>22</v>
      </c>
      <c r="H79" s="13">
        <f t="shared" si="19"/>
        <v>22</v>
      </c>
      <c r="I79" s="13">
        <f t="shared" si="19"/>
        <v>14</v>
      </c>
      <c r="J79" s="13">
        <f t="shared" si="19"/>
        <v>21</v>
      </c>
      <c r="K79" s="13">
        <f t="shared" si="19"/>
        <v>21</v>
      </c>
      <c r="L79" s="13">
        <f t="shared" si="19"/>
        <v>10</v>
      </c>
      <c r="M79" s="13">
        <f t="shared" si="19"/>
        <v>13</v>
      </c>
      <c r="N79" s="13">
        <f t="shared" si="19"/>
        <v>11</v>
      </c>
      <c r="O79" s="13">
        <f t="shared" si="18"/>
        <v>166</v>
      </c>
    </row>
    <row r="80" ht="12.75" customHeight="1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13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8.0</v>
      </c>
      <c r="F81" s="19">
        <v>2.0</v>
      </c>
      <c r="G81" s="19">
        <v>12.0</v>
      </c>
      <c r="H81" s="19">
        <v>9.0</v>
      </c>
      <c r="I81" s="19">
        <v>7.0</v>
      </c>
      <c r="J81" s="19">
        <v>2.0</v>
      </c>
      <c r="K81" s="19">
        <v>5.0</v>
      </c>
      <c r="L81" s="19">
        <v>4.0</v>
      </c>
      <c r="M81" s="19">
        <v>1.0</v>
      </c>
      <c r="N81" s="19">
        <v>6.0</v>
      </c>
      <c r="O81" s="13">
        <f t="shared" ref="O81:O91" si="20">SUM(E81:N81)</f>
        <v>56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14.0</v>
      </c>
      <c r="F82" s="19">
        <v>7.0</v>
      </c>
      <c r="G82" s="19">
        <v>11.0</v>
      </c>
      <c r="H82" s="19">
        <v>33.0</v>
      </c>
      <c r="I82" s="19">
        <v>6.0</v>
      </c>
      <c r="J82" s="19">
        <v>3.0</v>
      </c>
      <c r="K82" s="19">
        <v>6.0</v>
      </c>
      <c r="L82" s="19">
        <v>4.0</v>
      </c>
      <c r="M82" s="19">
        <v>1.0</v>
      </c>
      <c r="N82" s="19">
        <v>11.0</v>
      </c>
      <c r="O82" s="13">
        <f t="shared" si="20"/>
        <v>96</v>
      </c>
    </row>
    <row r="83" ht="12.75" customHeight="1">
      <c r="A83" s="18"/>
      <c r="B83" s="55">
        <v>2.0</v>
      </c>
      <c r="C83" s="50" t="s">
        <v>66</v>
      </c>
      <c r="D83" s="60"/>
      <c r="E83" s="19">
        <v>13.0</v>
      </c>
      <c r="F83" s="19">
        <v>2.0</v>
      </c>
      <c r="G83" s="19">
        <v>2.0</v>
      </c>
      <c r="H83" s="19">
        <v>4.0</v>
      </c>
      <c r="I83" s="19">
        <v>6.0</v>
      </c>
      <c r="J83" s="19">
        <v>3.0</v>
      </c>
      <c r="K83" s="19">
        <v>2.0</v>
      </c>
      <c r="L83" s="19">
        <v>2.0</v>
      </c>
      <c r="M83" s="19">
        <v>0.0</v>
      </c>
      <c r="N83" s="19">
        <v>5.0</v>
      </c>
      <c r="O83" s="13">
        <f t="shared" si="20"/>
        <v>39</v>
      </c>
    </row>
    <row r="84" ht="12.75" customHeight="1">
      <c r="A84" s="18"/>
      <c r="B84" s="55">
        <v>3.0</v>
      </c>
      <c r="C84" s="50" t="s">
        <v>67</v>
      </c>
      <c r="D84" s="60"/>
      <c r="E84" s="19">
        <v>5.0</v>
      </c>
      <c r="F84" s="19">
        <v>2.0</v>
      </c>
      <c r="G84" s="19">
        <v>1.0</v>
      </c>
      <c r="H84" s="19">
        <v>0.0</v>
      </c>
      <c r="I84" s="19">
        <v>1.0</v>
      </c>
      <c r="J84" s="19">
        <v>0.0</v>
      </c>
      <c r="K84" s="19">
        <v>0.0</v>
      </c>
      <c r="L84" s="19">
        <v>1.0</v>
      </c>
      <c r="M84" s="19">
        <v>0.0</v>
      </c>
      <c r="N84" s="19">
        <v>0.0</v>
      </c>
      <c r="O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3">
        <f t="shared" si="20"/>
        <v>2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3">
        <f t="shared" si="20"/>
        <v>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60"/>
      <c r="E88" s="19">
        <v>2.0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3">
        <f t="shared" si="20"/>
        <v>2</v>
      </c>
    </row>
    <row r="89" ht="12.75" customHeight="1">
      <c r="A89" s="18"/>
      <c r="B89" s="56"/>
      <c r="C89" s="57"/>
      <c r="D89" s="6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3">
        <f t="shared" si="20"/>
        <v>0</v>
      </c>
    </row>
    <row r="90" ht="12.75" customHeight="1">
      <c r="A90" s="18"/>
      <c r="B90" s="56"/>
      <c r="C90" s="57"/>
      <c r="D90" s="6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N91" si="21">SUM(E81:E88)</f>
        <v>44</v>
      </c>
      <c r="F91" s="13">
        <f t="shared" si="21"/>
        <v>13</v>
      </c>
      <c r="G91" s="13">
        <f t="shared" si="21"/>
        <v>26</v>
      </c>
      <c r="H91" s="13">
        <f t="shared" si="21"/>
        <v>46</v>
      </c>
      <c r="I91" s="13">
        <f t="shared" si="21"/>
        <v>20</v>
      </c>
      <c r="J91" s="13">
        <f t="shared" si="21"/>
        <v>8</v>
      </c>
      <c r="K91" s="13">
        <f t="shared" si="21"/>
        <v>13</v>
      </c>
      <c r="L91" s="13">
        <f t="shared" si="21"/>
        <v>11</v>
      </c>
      <c r="M91" s="13">
        <f t="shared" si="21"/>
        <v>2</v>
      </c>
      <c r="N91" s="13">
        <f t="shared" si="21"/>
        <v>24</v>
      </c>
      <c r="O91" s="13">
        <f t="shared" si="20"/>
        <v>207</v>
      </c>
    </row>
    <row r="92" ht="12.75" customHeight="1">
      <c r="A92" s="74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13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4.0</v>
      </c>
      <c r="F93" s="19">
        <v>2.0</v>
      </c>
      <c r="G93" s="19">
        <v>2.0</v>
      </c>
      <c r="H93" s="19">
        <v>5.0</v>
      </c>
      <c r="I93" s="19">
        <v>2.0</v>
      </c>
      <c r="J93" s="19">
        <v>1.0</v>
      </c>
      <c r="K93" s="19">
        <v>0.0</v>
      </c>
      <c r="L93" s="19">
        <v>3.0</v>
      </c>
      <c r="M93" s="19">
        <v>3.0</v>
      </c>
      <c r="N93" s="19">
        <v>0.0</v>
      </c>
      <c r="O93" s="13">
        <f t="shared" ref="O93:O103" si="22">SUM(E93:N93)</f>
        <v>22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5.0</v>
      </c>
      <c r="G94" s="19">
        <v>0.0</v>
      </c>
      <c r="H94" s="19">
        <v>10.0</v>
      </c>
      <c r="I94" s="19">
        <v>3.0</v>
      </c>
      <c r="J94" s="19">
        <v>1.0</v>
      </c>
      <c r="K94" s="19">
        <v>1.0</v>
      </c>
      <c r="L94" s="19">
        <v>13.0</v>
      </c>
      <c r="M94" s="19">
        <v>2.0</v>
      </c>
      <c r="N94" s="19">
        <v>0.0</v>
      </c>
      <c r="O94" s="13">
        <f t="shared" si="22"/>
        <v>37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2.0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3">
        <f t="shared" si="22"/>
        <v>2</v>
      </c>
    </row>
    <row r="96" ht="12.75" customHeight="1">
      <c r="A96" s="18"/>
      <c r="B96" s="55">
        <v>3.0</v>
      </c>
      <c r="C96" s="50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1.0</v>
      </c>
      <c r="K97" s="19">
        <v>0.0</v>
      </c>
      <c r="L97" s="19">
        <v>0.0</v>
      </c>
      <c r="M97" s="19">
        <v>0.0</v>
      </c>
      <c r="N97" s="19">
        <v>0.0</v>
      </c>
      <c r="O97" s="13">
        <f t="shared" si="22"/>
        <v>1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4.0</v>
      </c>
      <c r="F99" s="19">
        <v>2.0</v>
      </c>
      <c r="G99" s="19">
        <v>1.0</v>
      </c>
      <c r="H99" s="19">
        <v>0.0</v>
      </c>
      <c r="I99" s="19">
        <v>0.0</v>
      </c>
      <c r="J99" s="19">
        <v>0.0</v>
      </c>
      <c r="K99" s="19">
        <v>2.0</v>
      </c>
      <c r="L99" s="19">
        <v>1.0</v>
      </c>
      <c r="M99" s="19">
        <v>0.0</v>
      </c>
      <c r="N99" s="19">
        <v>0.0</v>
      </c>
      <c r="O99" s="13">
        <f t="shared" si="22"/>
        <v>10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3.0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1.0</v>
      </c>
      <c r="N100" s="19">
        <v>0.0</v>
      </c>
      <c r="O100" s="13">
        <f t="shared" si="22"/>
        <v>4</v>
      </c>
    </row>
    <row r="101" ht="12.75" customHeight="1">
      <c r="A101" s="18"/>
      <c r="B101" s="56"/>
      <c r="C101" s="57"/>
      <c r="D101" s="6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3">
        <f t="shared" si="22"/>
        <v>0</v>
      </c>
    </row>
    <row r="102" ht="12.75" customHeight="1">
      <c r="A102" s="18"/>
      <c r="B102" s="56"/>
      <c r="C102" s="57"/>
      <c r="D102" s="6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N103" si="23">SUM(E93:E100)</f>
        <v>11</v>
      </c>
      <c r="F103" s="13">
        <f t="shared" si="23"/>
        <v>12</v>
      </c>
      <c r="G103" s="13">
        <f t="shared" si="23"/>
        <v>3</v>
      </c>
      <c r="H103" s="13">
        <f t="shared" si="23"/>
        <v>17</v>
      </c>
      <c r="I103" s="13">
        <f t="shared" si="23"/>
        <v>5</v>
      </c>
      <c r="J103" s="13">
        <f t="shared" si="23"/>
        <v>3</v>
      </c>
      <c r="K103" s="13">
        <f t="shared" si="23"/>
        <v>3</v>
      </c>
      <c r="L103" s="13">
        <f t="shared" si="23"/>
        <v>17</v>
      </c>
      <c r="M103" s="13">
        <f t="shared" si="23"/>
        <v>6</v>
      </c>
      <c r="N103" s="13">
        <f t="shared" si="23"/>
        <v>0</v>
      </c>
      <c r="O103" s="13">
        <f t="shared" si="22"/>
        <v>77</v>
      </c>
    </row>
    <row r="104" ht="12.75" customHeight="1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13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4.0</v>
      </c>
      <c r="G105" s="19">
        <v>1.0</v>
      </c>
      <c r="H105" s="19">
        <v>1.0</v>
      </c>
      <c r="I105" s="19">
        <v>0.0</v>
      </c>
      <c r="J105" s="19">
        <v>1.0</v>
      </c>
      <c r="K105" s="19">
        <v>1.0</v>
      </c>
      <c r="L105" s="19">
        <v>0.0</v>
      </c>
      <c r="M105" s="19">
        <v>0.0</v>
      </c>
      <c r="N105" s="19">
        <v>0.0</v>
      </c>
      <c r="O105" s="13">
        <f t="shared" ref="O105:O115" si="24">SUM(E105:N105)</f>
        <v>9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1.0</v>
      </c>
      <c r="O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1.0</v>
      </c>
      <c r="K111" s="19">
        <v>0.0</v>
      </c>
      <c r="L111" s="19">
        <v>0.0</v>
      </c>
      <c r="M111" s="19">
        <v>0.0</v>
      </c>
      <c r="N111" s="19">
        <v>0.0</v>
      </c>
      <c r="O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3">
        <f t="shared" si="24"/>
        <v>0</v>
      </c>
    </row>
    <row r="113" ht="12.75" customHeight="1">
      <c r="A113" s="18"/>
      <c r="B113" s="56"/>
      <c r="C113" s="57"/>
      <c r="D113" s="6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3">
        <f t="shared" si="24"/>
        <v>0</v>
      </c>
    </row>
    <row r="114" ht="12.75" customHeight="1">
      <c r="A114" s="18"/>
      <c r="B114" s="56"/>
      <c r="C114" s="57"/>
      <c r="D114" s="6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N115" si="25">SUM(E105:E112)</f>
        <v>1</v>
      </c>
      <c r="F115" s="13">
        <f t="shared" si="25"/>
        <v>4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2</v>
      </c>
      <c r="K115" s="13">
        <f t="shared" si="25"/>
        <v>1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4"/>
        <v>12</v>
      </c>
    </row>
    <row r="116" ht="12.75" customHeight="1">
      <c r="A116" s="76"/>
      <c r="B116" s="77"/>
      <c r="C116" s="77"/>
      <c r="D116" s="77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0.0</v>
      </c>
      <c r="G117" s="19">
        <v>0.0</v>
      </c>
      <c r="H117" s="19">
        <v>1.0</v>
      </c>
      <c r="I117" s="19">
        <v>1.0</v>
      </c>
      <c r="J117" s="19">
        <v>1.0</v>
      </c>
      <c r="K117" s="19">
        <v>1.0</v>
      </c>
      <c r="L117" s="19">
        <v>1.0</v>
      </c>
      <c r="M117" s="19">
        <v>0.0</v>
      </c>
      <c r="N117" s="19">
        <v>1.0</v>
      </c>
      <c r="O117" s="13">
        <f t="shared" ref="O117:O127" si="26">SUM(E117:N117)</f>
        <v>8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3">
        <f t="shared" si="26"/>
        <v>0</v>
      </c>
    </row>
    <row r="121" ht="12.75" customHeight="1">
      <c r="A121" s="18"/>
      <c r="B121" s="56"/>
      <c r="C121" s="57"/>
      <c r="D121" s="61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13">
        <f t="shared" si="26"/>
        <v>0</v>
      </c>
    </row>
    <row r="122" ht="12.75" customHeight="1">
      <c r="A122" s="18"/>
      <c r="B122" s="56"/>
      <c r="C122" s="57"/>
      <c r="D122" s="61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13">
        <f t="shared" si="26"/>
        <v>0</v>
      </c>
    </row>
    <row r="123" ht="12.75" customHeight="1">
      <c r="A123" s="18"/>
      <c r="B123" s="56"/>
      <c r="C123" s="57"/>
      <c r="D123" s="6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13">
        <f t="shared" si="26"/>
        <v>0</v>
      </c>
    </row>
    <row r="124" ht="12.75" customHeight="1">
      <c r="A124" s="18"/>
      <c r="B124" s="56"/>
      <c r="C124" s="57"/>
      <c r="D124" s="6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13">
        <f t="shared" si="26"/>
        <v>0</v>
      </c>
    </row>
    <row r="125" ht="12.75" customHeight="1">
      <c r="A125" s="18"/>
      <c r="B125" s="56"/>
      <c r="C125" s="57"/>
      <c r="D125" s="6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13">
        <f t="shared" si="26"/>
        <v>0</v>
      </c>
    </row>
    <row r="126" ht="12.75" customHeight="1">
      <c r="A126" s="18"/>
      <c r="B126" s="56"/>
      <c r="C126" s="57"/>
      <c r="D126" s="6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62">
        <f t="shared" ref="E127:N127" si="27">SUM(E117:E120)</f>
        <v>2</v>
      </c>
      <c r="F127" s="62">
        <f t="shared" si="27"/>
        <v>0</v>
      </c>
      <c r="G127" s="62">
        <f t="shared" si="27"/>
        <v>0</v>
      </c>
      <c r="H127" s="62">
        <f t="shared" si="27"/>
        <v>1</v>
      </c>
      <c r="I127" s="62">
        <f t="shared" si="27"/>
        <v>1</v>
      </c>
      <c r="J127" s="62">
        <f t="shared" si="27"/>
        <v>1</v>
      </c>
      <c r="K127" s="62">
        <f t="shared" si="27"/>
        <v>2</v>
      </c>
      <c r="L127" s="62">
        <f t="shared" si="27"/>
        <v>1</v>
      </c>
      <c r="M127" s="62">
        <f t="shared" si="27"/>
        <v>1</v>
      </c>
      <c r="N127" s="62">
        <f t="shared" si="27"/>
        <v>1</v>
      </c>
      <c r="O127" s="13">
        <f t="shared" si="26"/>
        <v>10</v>
      </c>
    </row>
    <row r="128" ht="12.75" customHeight="1">
      <c r="A128" s="76"/>
      <c r="B128" s="77"/>
      <c r="C128" s="77"/>
      <c r="D128" s="77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13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2.0</v>
      </c>
      <c r="J129" s="19">
        <v>0.0</v>
      </c>
      <c r="K129" s="19">
        <v>1.0</v>
      </c>
      <c r="L129" s="19">
        <v>1.0</v>
      </c>
      <c r="M129" s="19">
        <v>0.0</v>
      </c>
      <c r="N129" s="19">
        <v>0.0</v>
      </c>
      <c r="O129" s="13">
        <f t="shared" ref="O129:O139" si="28">SUM(E129:N129)</f>
        <v>4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2.0</v>
      </c>
      <c r="F130" s="19">
        <v>2.0</v>
      </c>
      <c r="G130" s="19">
        <v>2.0</v>
      </c>
      <c r="H130" s="19">
        <v>1.0</v>
      </c>
      <c r="I130" s="19">
        <v>2.0</v>
      </c>
      <c r="J130" s="19">
        <v>0.0</v>
      </c>
      <c r="K130" s="19">
        <v>0.0</v>
      </c>
      <c r="L130" s="19">
        <v>1.0</v>
      </c>
      <c r="M130" s="19">
        <v>1.0</v>
      </c>
      <c r="N130" s="19">
        <v>0.0</v>
      </c>
      <c r="O130" s="13">
        <f t="shared" si="28"/>
        <v>11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1.0</v>
      </c>
      <c r="G131" s="19">
        <v>1.0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3">
        <f t="shared" si="28"/>
        <v>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1.0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N139" si="29">SUM(E129:E136)</f>
        <v>3</v>
      </c>
      <c r="F139" s="13">
        <f t="shared" si="29"/>
        <v>3</v>
      </c>
      <c r="G139" s="13">
        <f t="shared" si="29"/>
        <v>3</v>
      </c>
      <c r="H139" s="13">
        <f t="shared" si="29"/>
        <v>1</v>
      </c>
      <c r="I139" s="13">
        <f t="shared" si="29"/>
        <v>4</v>
      </c>
      <c r="J139" s="13">
        <f t="shared" si="29"/>
        <v>0</v>
      </c>
      <c r="K139" s="13">
        <f t="shared" si="29"/>
        <v>1</v>
      </c>
      <c r="L139" s="13">
        <f t="shared" si="29"/>
        <v>2</v>
      </c>
      <c r="M139" s="13">
        <f t="shared" si="29"/>
        <v>1</v>
      </c>
      <c r="N139" s="13">
        <f t="shared" si="29"/>
        <v>0</v>
      </c>
      <c r="O139" s="13">
        <f t="shared" si="28"/>
        <v>18</v>
      </c>
    </row>
    <row r="140" ht="12.75" customHeight="1">
      <c r="A140" s="76"/>
      <c r="B140" s="77"/>
      <c r="C140" s="77"/>
      <c r="D140" s="77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13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3">
        <f t="shared" ref="O141:O151" si="30">SUM(E141:N141)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1.0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1.0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3">
        <f t="shared" si="30"/>
        <v>1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3">
        <f t="shared" si="30"/>
        <v>0</v>
      </c>
    </row>
    <row r="149" ht="12.75" customHeight="1">
      <c r="A149" s="18"/>
      <c r="B149" s="56"/>
      <c r="C149" s="57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3">
        <f t="shared" si="30"/>
        <v>0</v>
      </c>
    </row>
    <row r="150" ht="12.75" customHeight="1">
      <c r="A150" s="18"/>
      <c r="B150" s="56"/>
      <c r="C150" s="57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N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2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0"/>
        <v>3</v>
      </c>
    </row>
    <row r="152" ht="12.75" customHeight="1">
      <c r="A152" s="76"/>
      <c r="B152" s="77"/>
      <c r="C152" s="77"/>
      <c r="D152" s="77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13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3">
        <f t="shared" ref="O153:O163" si="32">SUM(E153:N153)</f>
        <v>1</v>
      </c>
    </row>
    <row r="154" ht="12.75" customHeight="1">
      <c r="A154" s="30" t="s">
        <v>39</v>
      </c>
      <c r="B154" s="55">
        <v>1.0</v>
      </c>
      <c r="C154" s="63" t="s">
        <v>115</v>
      </c>
      <c r="D154" s="60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3">
        <f t="shared" si="32"/>
        <v>1</v>
      </c>
    </row>
    <row r="155" ht="12.75" customHeight="1">
      <c r="A155" s="18"/>
      <c r="B155" s="55">
        <v>2.0</v>
      </c>
      <c r="C155" s="63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3">
        <f t="shared" si="32"/>
        <v>0</v>
      </c>
    </row>
    <row r="156" ht="12.75" customHeight="1">
      <c r="A156" s="18"/>
      <c r="B156" s="55">
        <v>3.0</v>
      </c>
      <c r="C156" s="63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3">
        <f t="shared" si="32"/>
        <v>0</v>
      </c>
    </row>
    <row r="157" ht="12.75" customHeight="1">
      <c r="A157" s="18"/>
      <c r="B157" s="55">
        <v>4.0</v>
      </c>
      <c r="C157" s="63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3">
        <f t="shared" si="32"/>
        <v>0</v>
      </c>
    </row>
    <row r="158" ht="12.75" customHeight="1">
      <c r="A158" s="18"/>
      <c r="B158" s="56"/>
      <c r="C158" s="64"/>
      <c r="D158" s="6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3">
        <f t="shared" si="32"/>
        <v>0</v>
      </c>
    </row>
    <row r="159" ht="12.75" customHeight="1">
      <c r="A159" s="18"/>
      <c r="B159" s="56"/>
      <c r="C159" s="64"/>
      <c r="D159" s="6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3">
        <f t="shared" si="32"/>
        <v>0</v>
      </c>
    </row>
    <row r="160" ht="12.75" customHeight="1">
      <c r="A160" s="18"/>
      <c r="B160" s="56"/>
      <c r="C160" s="64"/>
      <c r="D160" s="6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3">
        <f t="shared" si="32"/>
        <v>0</v>
      </c>
    </row>
    <row r="161" ht="12.75" customHeight="1">
      <c r="A161" s="18"/>
      <c r="B161" s="56"/>
      <c r="C161" s="64"/>
      <c r="D161" s="6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3">
        <f t="shared" si="32"/>
        <v>0</v>
      </c>
    </row>
    <row r="162" ht="12.75" customHeight="1">
      <c r="A162" s="18"/>
      <c r="B162" s="56"/>
      <c r="C162" s="64"/>
      <c r="D162" s="6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3">
        <f t="shared" si="32"/>
        <v>0</v>
      </c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N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2"/>
        <v>2</v>
      </c>
    </row>
    <row r="164" ht="12.75" customHeight="1">
      <c r="A164" s="76"/>
      <c r="B164" s="77"/>
      <c r="C164" s="77"/>
      <c r="D164" s="77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13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9">
        <v>0.0</v>
      </c>
      <c r="O165" s="13">
        <f t="shared" ref="O165:O175" si="34">SUM(E165:N165)</f>
        <v>1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3">
        <f t="shared" si="34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1.0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3">
        <f t="shared" si="34"/>
        <v>1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3">
        <f t="shared" si="34"/>
        <v>0</v>
      </c>
    </row>
    <row r="173" ht="12.75" customHeight="1">
      <c r="A173" s="18"/>
      <c r="B173" s="56"/>
      <c r="C173" s="57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3">
        <f t="shared" si="34"/>
        <v>0</v>
      </c>
    </row>
    <row r="174" ht="12.75" customHeight="1">
      <c r="A174" s="18"/>
      <c r="B174" s="56"/>
      <c r="C174" s="57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N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2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4"/>
        <v>3</v>
      </c>
    </row>
    <row r="176" ht="12.75" customHeight="1">
      <c r="A176" s="76"/>
      <c r="B176" s="77"/>
      <c r="C176" s="77"/>
      <c r="D176" s="77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13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3.0</v>
      </c>
      <c r="G177" s="19">
        <v>0.0</v>
      </c>
      <c r="H177" s="19">
        <v>2.0</v>
      </c>
      <c r="I177" s="19">
        <v>4.0</v>
      </c>
      <c r="J177" s="19">
        <v>4.0</v>
      </c>
      <c r="K177" s="19">
        <v>2.0</v>
      </c>
      <c r="L177" s="19">
        <v>1.0</v>
      </c>
      <c r="M177" s="19">
        <v>0.0</v>
      </c>
      <c r="N177" s="19">
        <v>0.0</v>
      </c>
      <c r="O177" s="13">
        <f t="shared" ref="O177:O187" si="36">SUM(E177:N177)</f>
        <v>17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5.0</v>
      </c>
      <c r="G178" s="19">
        <v>10.0</v>
      </c>
      <c r="H178" s="19">
        <v>0.0</v>
      </c>
      <c r="I178" s="19">
        <v>5.0</v>
      </c>
      <c r="J178" s="19">
        <v>1.0</v>
      </c>
      <c r="K178" s="19">
        <v>0.0</v>
      </c>
      <c r="L178" s="19">
        <v>2.0</v>
      </c>
      <c r="M178" s="19">
        <v>1.0</v>
      </c>
      <c r="N178" s="19">
        <v>1.0</v>
      </c>
      <c r="O178" s="13">
        <f t="shared" si="36"/>
        <v>25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2.0</v>
      </c>
      <c r="G179" s="19">
        <v>1.0</v>
      </c>
      <c r="H179" s="19">
        <v>0.0</v>
      </c>
      <c r="I179" s="19">
        <v>2.0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3">
        <f t="shared" si="36"/>
        <v>5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3">
        <f t="shared" si="36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1.0</v>
      </c>
      <c r="G181" s="19">
        <v>1.0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3">
        <f t="shared" si="36"/>
        <v>3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5.0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3">
        <f t="shared" si="36"/>
        <v>5</v>
      </c>
    </row>
    <row r="185" ht="12.75" customHeight="1">
      <c r="A185" s="18"/>
      <c r="B185" s="56"/>
      <c r="C185" s="57"/>
      <c r="D185" s="6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3">
        <f t="shared" si="36"/>
        <v>0</v>
      </c>
    </row>
    <row r="186" ht="12.75" customHeight="1">
      <c r="A186" s="18"/>
      <c r="B186" s="56"/>
      <c r="C186" s="57"/>
      <c r="D186" s="6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N187" si="37">SUM(E177:E184)</f>
        <v>1</v>
      </c>
      <c r="F187" s="13">
        <f t="shared" si="37"/>
        <v>16</v>
      </c>
      <c r="G187" s="13">
        <f t="shared" si="37"/>
        <v>12</v>
      </c>
      <c r="H187" s="13">
        <f t="shared" si="37"/>
        <v>4</v>
      </c>
      <c r="I187" s="13">
        <f t="shared" si="37"/>
        <v>11</v>
      </c>
      <c r="J187" s="13">
        <f t="shared" si="37"/>
        <v>5</v>
      </c>
      <c r="K187" s="13">
        <f t="shared" si="37"/>
        <v>2</v>
      </c>
      <c r="L187" s="13">
        <f t="shared" si="37"/>
        <v>3</v>
      </c>
      <c r="M187" s="13">
        <f t="shared" si="37"/>
        <v>1</v>
      </c>
      <c r="N187" s="13">
        <f t="shared" si="37"/>
        <v>1</v>
      </c>
      <c r="O187" s="13">
        <f t="shared" si="36"/>
        <v>56</v>
      </c>
    </row>
    <row r="188" ht="12.75" customHeight="1">
      <c r="A188" s="76"/>
      <c r="B188" s="77"/>
      <c r="C188" s="77"/>
      <c r="D188" s="77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3">
        <f t="shared" ref="O189:O199" si="38">SUM(E189:N189)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1.0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3">
        <f t="shared" si="38"/>
        <v>0</v>
      </c>
    </row>
    <row r="197" ht="12.75" customHeight="1">
      <c r="A197" s="18"/>
      <c r="B197" s="56"/>
      <c r="C197" s="57"/>
      <c r="D197" s="6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3">
        <f t="shared" si="38"/>
        <v>0</v>
      </c>
    </row>
    <row r="198" ht="12.75" customHeight="1">
      <c r="A198" s="18"/>
      <c r="B198" s="56"/>
      <c r="C198" s="57"/>
      <c r="D198" s="6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N199" si="39">SUM(E189:E196)</f>
        <v>0</v>
      </c>
      <c r="F199" s="13">
        <f t="shared" si="39"/>
        <v>2</v>
      </c>
      <c r="G199" s="13">
        <f t="shared" si="39"/>
        <v>1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8"/>
        <v>5</v>
      </c>
    </row>
    <row r="200" ht="12.75" customHeight="1">
      <c r="A200" s="76"/>
      <c r="B200" s="77"/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13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3.0</v>
      </c>
      <c r="G201" s="19">
        <v>1.0</v>
      </c>
      <c r="H201" s="19">
        <v>0.0</v>
      </c>
      <c r="I201" s="19">
        <v>1.0</v>
      </c>
      <c r="J201" s="19">
        <v>3.0</v>
      </c>
      <c r="K201" s="19">
        <v>3.0</v>
      </c>
      <c r="L201" s="19">
        <v>3.0</v>
      </c>
      <c r="M201" s="19">
        <v>1.0</v>
      </c>
      <c r="N201" s="19">
        <v>2.0</v>
      </c>
      <c r="O201" s="13">
        <f t="shared" ref="O201:O211" si="40">SUM(E201:N201)</f>
        <v>18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1.0</v>
      </c>
      <c r="G202" s="19">
        <v>1.0</v>
      </c>
      <c r="H202" s="19">
        <v>0.0</v>
      </c>
      <c r="I202" s="19">
        <v>1.0</v>
      </c>
      <c r="J202" s="19">
        <v>4.0</v>
      </c>
      <c r="K202" s="19">
        <v>2.0</v>
      </c>
      <c r="L202" s="19">
        <v>3.0</v>
      </c>
      <c r="M202" s="19">
        <v>0.0</v>
      </c>
      <c r="N202" s="19">
        <v>0.0</v>
      </c>
      <c r="O202" s="13">
        <f t="shared" si="40"/>
        <v>12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0.0</v>
      </c>
      <c r="G203" s="19">
        <v>0.0</v>
      </c>
      <c r="H203" s="19">
        <v>0.0</v>
      </c>
      <c r="I203" s="19">
        <v>0.0</v>
      </c>
      <c r="J203" s="19">
        <v>4.0</v>
      </c>
      <c r="K203" s="19">
        <v>8.0</v>
      </c>
      <c r="L203" s="19">
        <v>0.0</v>
      </c>
      <c r="M203" s="19">
        <v>2.0</v>
      </c>
      <c r="N203" s="19">
        <v>0.0</v>
      </c>
      <c r="O203" s="13">
        <f t="shared" si="40"/>
        <v>15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3">
        <f t="shared" si="40"/>
        <v>0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3">
        <f t="shared" si="40"/>
        <v>2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3">
        <f t="shared" si="40"/>
        <v>0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2.0</v>
      </c>
      <c r="H207" s="19">
        <v>0.0</v>
      </c>
      <c r="I207" s="19">
        <v>0.0</v>
      </c>
      <c r="J207" s="19">
        <v>1.0</v>
      </c>
      <c r="K207" s="19">
        <v>0.0</v>
      </c>
      <c r="L207" s="19">
        <v>0.0</v>
      </c>
      <c r="M207" s="19">
        <v>0.0</v>
      </c>
      <c r="N207" s="19">
        <v>1.0</v>
      </c>
      <c r="O207" s="13">
        <f t="shared" si="40"/>
        <v>4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3">
        <f t="shared" si="40"/>
        <v>1</v>
      </c>
    </row>
    <row r="209" ht="12.75" customHeight="1">
      <c r="A209" s="18"/>
      <c r="B209" s="56"/>
      <c r="C209" s="57"/>
      <c r="D209" s="6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3">
        <f t="shared" si="40"/>
        <v>0</v>
      </c>
    </row>
    <row r="210" ht="12.75" customHeight="1">
      <c r="A210" s="18"/>
      <c r="B210" s="56"/>
      <c r="C210" s="57"/>
      <c r="D210" s="6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N211" si="41">SUM(E201:E208)</f>
        <v>2</v>
      </c>
      <c r="F211" s="13">
        <f t="shared" si="41"/>
        <v>5</v>
      </c>
      <c r="G211" s="13">
        <f t="shared" si="41"/>
        <v>5</v>
      </c>
      <c r="H211" s="13">
        <f t="shared" si="41"/>
        <v>0</v>
      </c>
      <c r="I211" s="13">
        <f t="shared" si="41"/>
        <v>2</v>
      </c>
      <c r="J211" s="13">
        <f t="shared" si="41"/>
        <v>12</v>
      </c>
      <c r="K211" s="13">
        <f t="shared" si="41"/>
        <v>13</v>
      </c>
      <c r="L211" s="13">
        <f t="shared" si="41"/>
        <v>6</v>
      </c>
      <c r="M211" s="13">
        <f t="shared" si="41"/>
        <v>3</v>
      </c>
      <c r="N211" s="13">
        <f t="shared" si="41"/>
        <v>4</v>
      </c>
      <c r="O211" s="13">
        <f t="shared" si="40"/>
        <v>52</v>
      </c>
    </row>
    <row r="212" ht="12.75" customHeight="1">
      <c r="A212" s="76"/>
      <c r="B212" s="77"/>
      <c r="C212" s="77"/>
      <c r="D212" s="77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13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0.0</v>
      </c>
      <c r="G213" s="19">
        <v>0.0</v>
      </c>
      <c r="H213" s="19">
        <v>1.0</v>
      </c>
      <c r="I213" s="19">
        <v>1.0</v>
      </c>
      <c r="J213" s="19">
        <v>0.0</v>
      </c>
      <c r="K213" s="19">
        <v>0.0</v>
      </c>
      <c r="L213" s="19">
        <v>1.0</v>
      </c>
      <c r="M213" s="19">
        <v>0.0</v>
      </c>
      <c r="N213" s="19">
        <v>1.0</v>
      </c>
      <c r="O213" s="13">
        <f t="shared" ref="O213:O223" si="42">SUM(E213:N213)</f>
        <v>6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2.0</v>
      </c>
      <c r="M214" s="19">
        <v>0.0</v>
      </c>
      <c r="N214" s="19">
        <v>1.0</v>
      </c>
      <c r="O214" s="13">
        <f t="shared" si="42"/>
        <v>3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54.0</v>
      </c>
      <c r="F215" s="19">
        <v>0.0</v>
      </c>
      <c r="G215" s="19">
        <v>0.0</v>
      </c>
      <c r="H215" s="19">
        <v>4.0</v>
      </c>
      <c r="I215" s="19">
        <v>19.0</v>
      </c>
      <c r="J215" s="19">
        <v>0.0</v>
      </c>
      <c r="K215" s="19">
        <v>1.0</v>
      </c>
      <c r="L215" s="19">
        <v>4.0</v>
      </c>
      <c r="M215" s="19">
        <v>0.0</v>
      </c>
      <c r="N215" s="19">
        <v>0.0</v>
      </c>
      <c r="O215" s="13">
        <f t="shared" si="42"/>
        <v>82</v>
      </c>
    </row>
    <row r="216" ht="12.75" customHeight="1">
      <c r="A216" s="18"/>
      <c r="B216" s="55">
        <v>3.0</v>
      </c>
      <c r="C216" s="65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3">
        <f t="shared" si="42"/>
        <v>1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3">
        <f t="shared" si="42"/>
        <v>0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N223" si="43">SUM(E213:E220)</f>
        <v>57</v>
      </c>
      <c r="F223" s="13">
        <f t="shared" si="43"/>
        <v>0</v>
      </c>
      <c r="G223" s="13">
        <f t="shared" si="43"/>
        <v>0</v>
      </c>
      <c r="H223" s="13">
        <f t="shared" si="43"/>
        <v>5</v>
      </c>
      <c r="I223" s="13">
        <f t="shared" si="43"/>
        <v>20</v>
      </c>
      <c r="J223" s="13">
        <f t="shared" si="43"/>
        <v>0</v>
      </c>
      <c r="K223" s="13">
        <f t="shared" si="43"/>
        <v>1</v>
      </c>
      <c r="L223" s="13">
        <f t="shared" si="43"/>
        <v>8</v>
      </c>
      <c r="M223" s="13">
        <f t="shared" si="43"/>
        <v>0</v>
      </c>
      <c r="N223" s="13">
        <f t="shared" si="43"/>
        <v>2</v>
      </c>
      <c r="O223" s="13">
        <f t="shared" si="42"/>
        <v>93</v>
      </c>
    </row>
    <row r="224" ht="12.75" customHeight="1">
      <c r="A224" s="76"/>
      <c r="B224" s="77"/>
      <c r="C224" s="77"/>
      <c r="D224" s="77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13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3">
        <f t="shared" ref="O225:O235" si="44">SUM(E225:N225)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3">
        <f t="shared" si="44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1.0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1.0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3">
        <f t="shared" si="44"/>
        <v>1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7.0</v>
      </c>
      <c r="F232" s="19">
        <v>1.0</v>
      </c>
      <c r="G232" s="19">
        <v>1.0</v>
      </c>
      <c r="H232" s="19">
        <v>5.0</v>
      </c>
      <c r="I232" s="19">
        <v>2.0</v>
      </c>
      <c r="J232" s="19">
        <v>0.0</v>
      </c>
      <c r="K232" s="19">
        <v>1.0</v>
      </c>
      <c r="L232" s="19">
        <v>1.0</v>
      </c>
      <c r="M232" s="19">
        <v>0.0</v>
      </c>
      <c r="N232" s="19">
        <v>2.0</v>
      </c>
      <c r="O232" s="13">
        <f t="shared" si="44"/>
        <v>20</v>
      </c>
    </row>
    <row r="233" ht="12.75" customHeight="1">
      <c r="A233" s="18"/>
      <c r="B233" s="56"/>
      <c r="C233" s="57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3">
        <f t="shared" si="44"/>
        <v>0</v>
      </c>
    </row>
    <row r="234" ht="12.75" customHeight="1">
      <c r="A234" s="18"/>
      <c r="B234" s="56"/>
      <c r="C234" s="57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N235" si="45">SUM(E225:E232)</f>
        <v>8</v>
      </c>
      <c r="F235" s="13">
        <f t="shared" si="45"/>
        <v>2</v>
      </c>
      <c r="G235" s="13">
        <f t="shared" si="45"/>
        <v>1</v>
      </c>
      <c r="H235" s="13">
        <f t="shared" si="45"/>
        <v>7</v>
      </c>
      <c r="I235" s="13">
        <f t="shared" si="45"/>
        <v>2</v>
      </c>
      <c r="J235" s="13">
        <f t="shared" si="45"/>
        <v>0</v>
      </c>
      <c r="K235" s="13">
        <f t="shared" si="45"/>
        <v>1</v>
      </c>
      <c r="L235" s="13">
        <f t="shared" si="45"/>
        <v>1</v>
      </c>
      <c r="M235" s="13">
        <f t="shared" si="45"/>
        <v>0</v>
      </c>
      <c r="N235" s="13">
        <f t="shared" si="45"/>
        <v>2</v>
      </c>
      <c r="O235" s="13">
        <f t="shared" si="44"/>
        <v>24</v>
      </c>
    </row>
    <row r="236" ht="12.75" customHeight="1">
      <c r="A236" s="76"/>
      <c r="B236" s="77"/>
      <c r="C236" s="77"/>
      <c r="D236" s="77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13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5.0</v>
      </c>
      <c r="G237" s="19">
        <v>4.0</v>
      </c>
      <c r="H237" s="19">
        <v>1.0</v>
      </c>
      <c r="I237" s="19">
        <v>1.0</v>
      </c>
      <c r="J237" s="19">
        <v>0.0</v>
      </c>
      <c r="K237" s="19">
        <v>1.0</v>
      </c>
      <c r="L237" s="19">
        <v>0.0</v>
      </c>
      <c r="M237" s="19">
        <v>2.0</v>
      </c>
      <c r="N237" s="19">
        <v>0.0</v>
      </c>
      <c r="O237" s="13">
        <f t="shared" ref="O237:O247" si="46">SUM(E237:N237)</f>
        <v>14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8.0</v>
      </c>
      <c r="G238" s="19">
        <v>4.0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3">
        <f t="shared" si="46"/>
        <v>12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13.0</v>
      </c>
      <c r="F239" s="19">
        <v>72.0</v>
      </c>
      <c r="G239" s="19">
        <v>53.0</v>
      </c>
      <c r="H239" s="19">
        <v>10.0</v>
      </c>
      <c r="I239" s="19">
        <v>0.0</v>
      </c>
      <c r="J239" s="19">
        <v>21.0</v>
      </c>
      <c r="K239" s="19">
        <v>0.0</v>
      </c>
      <c r="L239" s="19">
        <v>0.0</v>
      </c>
      <c r="M239" s="19">
        <v>10.0</v>
      </c>
      <c r="N239" s="19">
        <v>1.0</v>
      </c>
      <c r="O239" s="13">
        <f t="shared" si="46"/>
        <v>180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3">
        <f t="shared" si="46"/>
        <v>1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1.0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1.0</v>
      </c>
      <c r="H244" s="19">
        <v>0.0</v>
      </c>
      <c r="I244" s="19">
        <v>1.0</v>
      </c>
      <c r="J244" s="19">
        <v>0.0</v>
      </c>
      <c r="K244" s="19">
        <v>2.0</v>
      </c>
      <c r="L244" s="19">
        <v>0.0</v>
      </c>
      <c r="M244" s="19">
        <v>0.0</v>
      </c>
      <c r="N244" s="19">
        <v>0.0</v>
      </c>
      <c r="O244" s="13">
        <f t="shared" si="46"/>
        <v>4</v>
      </c>
    </row>
    <row r="245" ht="12.75" customHeight="1">
      <c r="A245" s="18"/>
      <c r="B245" s="56"/>
      <c r="C245" s="57"/>
      <c r="D245" s="6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3">
        <f t="shared" si="46"/>
        <v>0</v>
      </c>
    </row>
    <row r="246" ht="12.75" customHeight="1">
      <c r="A246" s="18"/>
      <c r="B246" s="56"/>
      <c r="C246" s="57"/>
      <c r="D246" s="6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N247" si="47">SUM(E237:E244)</f>
        <v>13</v>
      </c>
      <c r="F247" s="13">
        <f t="shared" si="47"/>
        <v>85</v>
      </c>
      <c r="G247" s="13">
        <f t="shared" si="47"/>
        <v>63</v>
      </c>
      <c r="H247" s="13">
        <f t="shared" si="47"/>
        <v>12</v>
      </c>
      <c r="I247" s="13">
        <f t="shared" si="47"/>
        <v>3</v>
      </c>
      <c r="J247" s="13">
        <f t="shared" si="47"/>
        <v>21</v>
      </c>
      <c r="K247" s="13">
        <f t="shared" si="47"/>
        <v>4</v>
      </c>
      <c r="L247" s="13">
        <f t="shared" si="47"/>
        <v>0</v>
      </c>
      <c r="M247" s="13">
        <f t="shared" si="47"/>
        <v>13</v>
      </c>
      <c r="N247" s="13">
        <f t="shared" si="47"/>
        <v>1</v>
      </c>
      <c r="O247" s="13">
        <f t="shared" si="46"/>
        <v>215</v>
      </c>
    </row>
    <row r="248" ht="12.75" customHeight="1">
      <c r="A248" s="76"/>
      <c r="B248" s="77"/>
      <c r="C248" s="77"/>
      <c r="D248" s="77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13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2.0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3">
        <f t="shared" ref="O249:O259" si="48">SUM(E249:N249)</f>
        <v>3</v>
      </c>
    </row>
    <row r="250" ht="12.75" customHeight="1">
      <c r="A250" s="30" t="s">
        <v>39</v>
      </c>
      <c r="B250" s="55">
        <v>1.0</v>
      </c>
      <c r="C250" s="63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3">
        <f t="shared" si="48"/>
        <v>0</v>
      </c>
    </row>
    <row r="251" ht="12.75" customHeight="1">
      <c r="A251" s="18"/>
      <c r="B251" s="55">
        <v>2.0</v>
      </c>
      <c r="C251" s="63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3">
        <f t="shared" si="48"/>
        <v>0</v>
      </c>
    </row>
    <row r="252" ht="12.75" customHeight="1">
      <c r="A252" s="18"/>
      <c r="B252" s="55">
        <v>3.0</v>
      </c>
      <c r="C252" s="63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3">
        <f t="shared" si="48"/>
        <v>0</v>
      </c>
    </row>
    <row r="253" ht="12.75" customHeight="1">
      <c r="A253" s="18"/>
      <c r="B253" s="55">
        <v>4.0</v>
      </c>
      <c r="C253" s="63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3">
        <f t="shared" si="48"/>
        <v>0</v>
      </c>
    </row>
    <row r="254" ht="12.75" customHeight="1">
      <c r="A254" s="18"/>
      <c r="B254" s="55">
        <v>5.0</v>
      </c>
      <c r="C254" s="63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9">
        <v>0.0</v>
      </c>
      <c r="O254" s="13">
        <f t="shared" si="48"/>
        <v>1</v>
      </c>
    </row>
    <row r="255" ht="12.75" customHeight="1">
      <c r="A255" s="18"/>
      <c r="B255" s="55">
        <v>6.0</v>
      </c>
      <c r="C255" s="63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3">
        <f t="shared" si="48"/>
        <v>0</v>
      </c>
    </row>
    <row r="256" ht="12.75" customHeight="1">
      <c r="A256" s="18"/>
      <c r="B256" s="56"/>
      <c r="C256" s="64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3">
        <f t="shared" si="48"/>
        <v>0</v>
      </c>
    </row>
    <row r="257" ht="12.75" customHeight="1">
      <c r="A257" s="18"/>
      <c r="B257" s="56"/>
      <c r="C257" s="64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3">
        <f t="shared" si="48"/>
        <v>0</v>
      </c>
    </row>
    <row r="258" ht="12.75" customHeight="1">
      <c r="A258" s="18"/>
      <c r="B258" s="56"/>
      <c r="C258" s="64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N259" si="49">SUM(E249:E255)</f>
        <v>0</v>
      </c>
      <c r="F259" s="13">
        <f t="shared" si="49"/>
        <v>2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2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8"/>
        <v>4</v>
      </c>
    </row>
    <row r="260" ht="12.75" customHeight="1">
      <c r="O260" s="13"/>
    </row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 ht="12.75" customHeight="1">
      <c r="A262" s="42"/>
      <c r="B262" s="66" t="s">
        <v>192</v>
      </c>
      <c r="C262" s="67" t="s">
        <v>193</v>
      </c>
      <c r="D262" s="16"/>
      <c r="E262" s="19">
        <f t="shared" ref="E262:N262" si="50">E55+E67+E79+E91+E103+E115+E127+E139+E151+E163+E175+E187+E199+E211+E223+E235+E247+E259</f>
        <v>216</v>
      </c>
      <c r="F262" s="19">
        <f t="shared" si="50"/>
        <v>229</v>
      </c>
      <c r="G262" s="19">
        <f t="shared" si="50"/>
        <v>237</v>
      </c>
      <c r="H262" s="19">
        <f t="shared" si="50"/>
        <v>215</v>
      </c>
      <c r="I262" s="19">
        <f t="shared" si="50"/>
        <v>217</v>
      </c>
      <c r="J262" s="19">
        <f t="shared" si="50"/>
        <v>216</v>
      </c>
      <c r="K262" s="19">
        <f t="shared" si="50"/>
        <v>198</v>
      </c>
      <c r="L262" s="19">
        <f t="shared" si="50"/>
        <v>196</v>
      </c>
      <c r="M262" s="19">
        <f t="shared" si="50"/>
        <v>184</v>
      </c>
      <c r="N262" s="19">
        <f t="shared" si="50"/>
        <v>147</v>
      </c>
      <c r="O262" s="13">
        <f t="shared" ref="O262:O264" si="51">SUM(E262:N262)</f>
        <v>2055</v>
      </c>
    </row>
    <row r="263" ht="12.75" customHeight="1">
      <c r="A263" s="35"/>
      <c r="B263" s="66" t="s">
        <v>194</v>
      </c>
      <c r="C263" s="67" t="s">
        <v>195</v>
      </c>
      <c r="D263" s="16"/>
      <c r="E263" s="19">
        <v>32.0</v>
      </c>
      <c r="F263" s="19">
        <v>23.0</v>
      </c>
      <c r="G263" s="19">
        <v>31.0</v>
      </c>
      <c r="H263" s="19">
        <v>37.0</v>
      </c>
      <c r="I263" s="19">
        <v>22.0</v>
      </c>
      <c r="J263" s="19">
        <v>27.0</v>
      </c>
      <c r="K263" s="19">
        <v>23.0</v>
      </c>
      <c r="L263" s="19">
        <v>38.0</v>
      </c>
      <c r="M263" s="19">
        <v>28.0</v>
      </c>
      <c r="N263" s="19">
        <v>15.0</v>
      </c>
      <c r="O263" s="13">
        <f t="shared" si="51"/>
        <v>276</v>
      </c>
    </row>
    <row r="264" ht="12.75" customHeight="1">
      <c r="A264" s="41"/>
      <c r="B264" s="66" t="s">
        <v>196</v>
      </c>
      <c r="C264" s="67" t="s">
        <v>197</v>
      </c>
      <c r="D264" s="16"/>
      <c r="E264" s="13">
        <f t="shared" ref="E264:N264" si="52">SUM(E262:E263)</f>
        <v>248</v>
      </c>
      <c r="F264" s="13">
        <f t="shared" si="52"/>
        <v>252</v>
      </c>
      <c r="G264" s="13">
        <f t="shared" si="52"/>
        <v>268</v>
      </c>
      <c r="H264" s="13">
        <f t="shared" si="52"/>
        <v>252</v>
      </c>
      <c r="I264" s="13">
        <f t="shared" si="52"/>
        <v>239</v>
      </c>
      <c r="J264" s="13">
        <f t="shared" si="52"/>
        <v>243</v>
      </c>
      <c r="K264" s="13">
        <f t="shared" si="52"/>
        <v>221</v>
      </c>
      <c r="L264" s="13">
        <f t="shared" si="52"/>
        <v>234</v>
      </c>
      <c r="M264" s="13">
        <f t="shared" si="52"/>
        <v>212</v>
      </c>
      <c r="N264" s="13">
        <f t="shared" si="52"/>
        <v>162</v>
      </c>
      <c r="O264" s="13">
        <f t="shared" si="51"/>
        <v>2331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6">
    <mergeCell ref="B55:D55"/>
    <mergeCell ref="C57:D57"/>
    <mergeCell ref="B67:D67"/>
    <mergeCell ref="C69:D69"/>
    <mergeCell ref="B79:D79"/>
    <mergeCell ref="C81:D81"/>
    <mergeCell ref="B91:D91"/>
    <mergeCell ref="C93:D93"/>
    <mergeCell ref="B103:D103"/>
    <mergeCell ref="C105:D105"/>
    <mergeCell ref="B115:D115"/>
    <mergeCell ref="C117:D117"/>
    <mergeCell ref="B127:D127"/>
    <mergeCell ref="C129:D129"/>
    <mergeCell ref="B151:D151"/>
    <mergeCell ref="C153:D153"/>
    <mergeCell ref="B163:D163"/>
    <mergeCell ref="C165:D165"/>
    <mergeCell ref="B175:D175"/>
    <mergeCell ref="C177:D177"/>
    <mergeCell ref="B187:D187"/>
    <mergeCell ref="C189:D189"/>
    <mergeCell ref="B199:D199"/>
    <mergeCell ref="C201:D201"/>
    <mergeCell ref="B211:D211"/>
    <mergeCell ref="C213:D213"/>
    <mergeCell ref="B223:D223"/>
    <mergeCell ref="C225:D225"/>
    <mergeCell ref="C263:D263"/>
    <mergeCell ref="C264:D264"/>
    <mergeCell ref="B235:D235"/>
    <mergeCell ref="C237:D237"/>
    <mergeCell ref="B247:D247"/>
    <mergeCell ref="C249:D249"/>
    <mergeCell ref="B259:D259"/>
    <mergeCell ref="B261:D261"/>
    <mergeCell ref="C262:D262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B139:D139"/>
    <mergeCell ref="C141:D141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E34&lt;&gt;E64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134.0</v>
      </c>
      <c r="G14" s="19">
        <v>136.0</v>
      </c>
      <c r="H14" s="19">
        <v>139.0</v>
      </c>
      <c r="I14" s="19">
        <v>135.0</v>
      </c>
      <c r="J14" s="19">
        <v>127.0</v>
      </c>
      <c r="K14" s="19">
        <v>116.0</v>
      </c>
      <c r="L14" s="19">
        <v>120.0</v>
      </c>
      <c r="M14" s="19">
        <v>127.0</v>
      </c>
      <c r="N14" s="19">
        <v>141.0</v>
      </c>
      <c r="O14" s="19">
        <v>123.0</v>
      </c>
      <c r="P14" s="19">
        <v>119.0</v>
      </c>
      <c r="Q14" s="19">
        <v>129.0</v>
      </c>
      <c r="R14" s="19">
        <v>137.0</v>
      </c>
      <c r="S14" s="19">
        <v>155.0</v>
      </c>
      <c r="T14" s="19">
        <v>140.0</v>
      </c>
      <c r="U14" s="19">
        <v>135.0</v>
      </c>
      <c r="V14" s="13">
        <f t="shared" ref="V14:V16" si="1">SUM(E14:U14)</f>
        <v>2250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134.0</v>
      </c>
      <c r="G15" s="19">
        <v>136.0</v>
      </c>
      <c r="H15" s="19">
        <v>141.0</v>
      </c>
      <c r="I15" s="19">
        <v>157.0</v>
      </c>
      <c r="J15" s="19">
        <v>150.0</v>
      </c>
      <c r="K15" s="19">
        <v>139.0</v>
      </c>
      <c r="L15" s="19">
        <v>139.0</v>
      </c>
      <c r="M15" s="19">
        <v>123.0</v>
      </c>
      <c r="N15" s="19">
        <v>133.0</v>
      </c>
      <c r="O15" s="19">
        <v>118.0</v>
      </c>
      <c r="P15" s="19">
        <v>121.0</v>
      </c>
      <c r="Q15" s="19">
        <v>152.0</v>
      </c>
      <c r="R15" s="19">
        <v>162.0</v>
      </c>
      <c r="S15" s="19">
        <v>140.0</v>
      </c>
      <c r="T15" s="19">
        <v>143.0</v>
      </c>
      <c r="U15" s="19">
        <v>147.0</v>
      </c>
      <c r="V15" s="13">
        <f t="shared" si="1"/>
        <v>2377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279</v>
      </c>
      <c r="F16" s="13">
        <f t="shared" si="2"/>
        <v>268</v>
      </c>
      <c r="G16" s="13">
        <f t="shared" si="2"/>
        <v>272</v>
      </c>
      <c r="H16" s="13">
        <f t="shared" si="2"/>
        <v>280</v>
      </c>
      <c r="I16" s="13">
        <f t="shared" si="2"/>
        <v>292</v>
      </c>
      <c r="J16" s="13">
        <f t="shared" si="2"/>
        <v>277</v>
      </c>
      <c r="K16" s="13">
        <f t="shared" si="2"/>
        <v>255</v>
      </c>
      <c r="L16" s="13">
        <f t="shared" si="2"/>
        <v>259</v>
      </c>
      <c r="M16" s="13">
        <f t="shared" si="2"/>
        <v>250</v>
      </c>
      <c r="N16" s="13">
        <f t="shared" si="2"/>
        <v>274</v>
      </c>
      <c r="O16" s="13">
        <f t="shared" si="2"/>
        <v>241</v>
      </c>
      <c r="P16" s="13">
        <f t="shared" si="2"/>
        <v>240</v>
      </c>
      <c r="Q16" s="13">
        <f t="shared" si="2"/>
        <v>281</v>
      </c>
      <c r="R16" s="13">
        <f t="shared" si="2"/>
        <v>299</v>
      </c>
      <c r="S16" s="13">
        <f t="shared" si="2"/>
        <v>295</v>
      </c>
      <c r="T16" s="13">
        <f t="shared" si="2"/>
        <v>283</v>
      </c>
      <c r="U16" s="13">
        <f t="shared" si="2"/>
        <v>282</v>
      </c>
      <c r="V16" s="13">
        <f t="shared" si="1"/>
        <v>4627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71"/>
      <c r="P17" s="71"/>
      <c r="Q17" s="71"/>
      <c r="R17" s="71"/>
      <c r="S17" s="71"/>
      <c r="T17" s="71"/>
      <c r="U17" s="19"/>
      <c r="V17" s="7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1"/>
      <c r="O18" s="71"/>
      <c r="P18" s="71"/>
      <c r="Q18" s="71"/>
      <c r="R18" s="71"/>
      <c r="S18" s="71"/>
      <c r="T18" s="71"/>
      <c r="U18" s="19"/>
      <c r="V18" s="7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96.0</v>
      </c>
      <c r="G19" s="19">
        <v>107.0</v>
      </c>
      <c r="H19" s="19">
        <v>105.0</v>
      </c>
      <c r="I19" s="19">
        <v>93.0</v>
      </c>
      <c r="J19" s="19">
        <v>96.0</v>
      </c>
      <c r="K19" s="19">
        <v>83.0</v>
      </c>
      <c r="L19" s="19">
        <v>94.0</v>
      </c>
      <c r="M19" s="19">
        <v>98.0</v>
      </c>
      <c r="N19" s="19">
        <v>117.0</v>
      </c>
      <c r="O19" s="19">
        <v>89.0</v>
      </c>
      <c r="P19" s="19">
        <v>96.0</v>
      </c>
      <c r="Q19" s="19">
        <v>106.0</v>
      </c>
      <c r="R19" s="19">
        <v>97.0</v>
      </c>
      <c r="S19" s="19">
        <v>123.0</v>
      </c>
      <c r="T19" s="19">
        <v>100.0</v>
      </c>
      <c r="U19" s="19">
        <v>97.0</v>
      </c>
      <c r="V19" s="13">
        <f t="shared" ref="V19:V30" si="3">SUM(E19:U19)</f>
        <v>1692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102.0</v>
      </c>
      <c r="G20" s="19">
        <v>109.0</v>
      </c>
      <c r="H20" s="19">
        <v>115.0</v>
      </c>
      <c r="I20" s="19">
        <v>121.0</v>
      </c>
      <c r="J20" s="19">
        <v>124.0</v>
      </c>
      <c r="K20" s="19">
        <v>109.0</v>
      </c>
      <c r="L20" s="19">
        <v>112.0</v>
      </c>
      <c r="M20" s="19">
        <v>104.0</v>
      </c>
      <c r="N20" s="19">
        <v>120.0</v>
      </c>
      <c r="O20" s="19">
        <v>91.0</v>
      </c>
      <c r="P20" s="19">
        <v>112.0</v>
      </c>
      <c r="Q20" s="19">
        <v>128.0</v>
      </c>
      <c r="R20" s="19">
        <v>127.0</v>
      </c>
      <c r="S20" s="19">
        <v>114.0</v>
      </c>
      <c r="T20" s="19">
        <v>117.0</v>
      </c>
      <c r="U20" s="19">
        <v>120.0</v>
      </c>
      <c r="V20" s="13">
        <f t="shared" si="3"/>
        <v>1937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207</v>
      </c>
      <c r="F21" s="13">
        <f t="shared" si="4"/>
        <v>198</v>
      </c>
      <c r="G21" s="13">
        <f t="shared" si="4"/>
        <v>216</v>
      </c>
      <c r="H21" s="13">
        <f t="shared" si="4"/>
        <v>220</v>
      </c>
      <c r="I21" s="13">
        <f t="shared" si="4"/>
        <v>214</v>
      </c>
      <c r="J21" s="13">
        <f t="shared" si="4"/>
        <v>220</v>
      </c>
      <c r="K21" s="13">
        <f t="shared" si="4"/>
        <v>192</v>
      </c>
      <c r="L21" s="13">
        <f t="shared" si="4"/>
        <v>206</v>
      </c>
      <c r="M21" s="13">
        <f t="shared" si="4"/>
        <v>202</v>
      </c>
      <c r="N21" s="13">
        <f t="shared" si="4"/>
        <v>237</v>
      </c>
      <c r="O21" s="13">
        <f t="shared" si="4"/>
        <v>180</v>
      </c>
      <c r="P21" s="13">
        <f t="shared" si="4"/>
        <v>208</v>
      </c>
      <c r="Q21" s="13">
        <f t="shared" si="4"/>
        <v>234</v>
      </c>
      <c r="R21" s="13">
        <f t="shared" si="4"/>
        <v>224</v>
      </c>
      <c r="S21" s="13">
        <f t="shared" si="4"/>
        <v>237</v>
      </c>
      <c r="T21" s="13">
        <f t="shared" si="4"/>
        <v>217</v>
      </c>
      <c r="U21" s="13">
        <f t="shared" si="4"/>
        <v>217</v>
      </c>
      <c r="V21" s="13">
        <f t="shared" si="3"/>
        <v>3629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2.0</v>
      </c>
      <c r="I22" s="19">
        <v>1.0</v>
      </c>
      <c r="J22" s="19">
        <v>0.0</v>
      </c>
      <c r="K22" s="19">
        <v>2.0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2</v>
      </c>
      <c r="I24" s="13">
        <f t="shared" si="5"/>
        <v>1</v>
      </c>
      <c r="J24" s="13">
        <f t="shared" si="5"/>
        <v>0</v>
      </c>
      <c r="K24" s="13">
        <f t="shared" si="5"/>
        <v>3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0.0</v>
      </c>
      <c r="I25" s="19">
        <v>2.0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9">
        <v>0.0</v>
      </c>
      <c r="R25" s="19">
        <v>1.0</v>
      </c>
      <c r="S25" s="19">
        <v>2.0</v>
      </c>
      <c r="T25" s="19">
        <v>1.0</v>
      </c>
      <c r="U25" s="19">
        <v>2.0</v>
      </c>
      <c r="V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1.0</v>
      </c>
      <c r="I26" s="19">
        <v>3.0</v>
      </c>
      <c r="J26" s="19">
        <v>1.0</v>
      </c>
      <c r="K26" s="19">
        <v>2.0</v>
      </c>
      <c r="L26" s="19">
        <v>0.0</v>
      </c>
      <c r="M26" s="19">
        <v>1.0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5.0</v>
      </c>
      <c r="U26" s="19">
        <v>1.0</v>
      </c>
      <c r="V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1</v>
      </c>
      <c r="I27" s="13">
        <f t="shared" si="6"/>
        <v>5</v>
      </c>
      <c r="J27" s="13">
        <f t="shared" si="6"/>
        <v>1</v>
      </c>
      <c r="K27" s="13">
        <f t="shared" si="6"/>
        <v>2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3</v>
      </c>
      <c r="T27" s="13">
        <f t="shared" si="6"/>
        <v>6</v>
      </c>
      <c r="U27" s="13">
        <f t="shared" si="6"/>
        <v>3</v>
      </c>
      <c r="V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95</v>
      </c>
      <c r="F28" s="13">
        <f t="shared" si="7"/>
        <v>99</v>
      </c>
      <c r="G28" s="13">
        <f t="shared" si="7"/>
        <v>107</v>
      </c>
      <c r="H28" s="13">
        <f t="shared" si="7"/>
        <v>107</v>
      </c>
      <c r="I28" s="13">
        <f t="shared" si="7"/>
        <v>96</v>
      </c>
      <c r="J28" s="13">
        <f t="shared" si="7"/>
        <v>96</v>
      </c>
      <c r="K28" s="13">
        <f t="shared" si="7"/>
        <v>85</v>
      </c>
      <c r="L28" s="13">
        <f t="shared" si="7"/>
        <v>94</v>
      </c>
      <c r="M28" s="13">
        <f t="shared" si="7"/>
        <v>98</v>
      </c>
      <c r="N28" s="13">
        <f t="shared" si="7"/>
        <v>117</v>
      </c>
      <c r="O28" s="13">
        <f t="shared" si="7"/>
        <v>89</v>
      </c>
      <c r="P28" s="13">
        <f t="shared" si="7"/>
        <v>97</v>
      </c>
      <c r="Q28" s="13">
        <f t="shared" si="7"/>
        <v>106</v>
      </c>
      <c r="R28" s="13">
        <f t="shared" si="7"/>
        <v>98</v>
      </c>
      <c r="S28" s="13">
        <f t="shared" si="7"/>
        <v>125</v>
      </c>
      <c r="T28" s="13">
        <f t="shared" si="7"/>
        <v>102</v>
      </c>
      <c r="U28" s="13">
        <f t="shared" si="7"/>
        <v>99</v>
      </c>
      <c r="V28" s="13">
        <f t="shared" si="3"/>
        <v>1710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112</v>
      </c>
      <c r="F29" s="13">
        <f t="shared" si="8"/>
        <v>105</v>
      </c>
      <c r="G29" s="13">
        <f t="shared" si="8"/>
        <v>109</v>
      </c>
      <c r="H29" s="13">
        <f t="shared" si="8"/>
        <v>116</v>
      </c>
      <c r="I29" s="13">
        <f t="shared" si="8"/>
        <v>124</v>
      </c>
      <c r="J29" s="13">
        <f t="shared" si="8"/>
        <v>125</v>
      </c>
      <c r="K29" s="13">
        <f t="shared" si="8"/>
        <v>112</v>
      </c>
      <c r="L29" s="13">
        <f t="shared" si="8"/>
        <v>112</v>
      </c>
      <c r="M29" s="13">
        <f t="shared" si="8"/>
        <v>105</v>
      </c>
      <c r="N29" s="13">
        <f t="shared" si="8"/>
        <v>120</v>
      </c>
      <c r="O29" s="13">
        <f t="shared" si="8"/>
        <v>91</v>
      </c>
      <c r="P29" s="13">
        <f t="shared" si="8"/>
        <v>112</v>
      </c>
      <c r="Q29" s="13">
        <f t="shared" si="8"/>
        <v>128</v>
      </c>
      <c r="R29" s="13">
        <f t="shared" si="8"/>
        <v>127</v>
      </c>
      <c r="S29" s="13">
        <f t="shared" si="8"/>
        <v>115</v>
      </c>
      <c r="T29" s="13">
        <f t="shared" si="8"/>
        <v>122</v>
      </c>
      <c r="U29" s="13">
        <f t="shared" si="8"/>
        <v>121</v>
      </c>
      <c r="V29" s="13">
        <f t="shared" si="3"/>
        <v>1956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207</v>
      </c>
      <c r="F30" s="13">
        <f t="shared" si="9"/>
        <v>204</v>
      </c>
      <c r="G30" s="13">
        <f t="shared" si="9"/>
        <v>216</v>
      </c>
      <c r="H30" s="13">
        <f t="shared" si="9"/>
        <v>223</v>
      </c>
      <c r="I30" s="13">
        <f t="shared" si="9"/>
        <v>220</v>
      </c>
      <c r="J30" s="13">
        <f t="shared" si="9"/>
        <v>221</v>
      </c>
      <c r="K30" s="13">
        <f t="shared" si="9"/>
        <v>197</v>
      </c>
      <c r="L30" s="13">
        <f t="shared" si="9"/>
        <v>206</v>
      </c>
      <c r="M30" s="13">
        <f t="shared" si="9"/>
        <v>203</v>
      </c>
      <c r="N30" s="13">
        <f t="shared" si="9"/>
        <v>237</v>
      </c>
      <c r="O30" s="13">
        <f t="shared" si="9"/>
        <v>180</v>
      </c>
      <c r="P30" s="13">
        <f t="shared" si="9"/>
        <v>209</v>
      </c>
      <c r="Q30" s="13">
        <f t="shared" si="9"/>
        <v>234</v>
      </c>
      <c r="R30" s="13">
        <f t="shared" si="9"/>
        <v>225</v>
      </c>
      <c r="S30" s="13">
        <f t="shared" si="9"/>
        <v>240</v>
      </c>
      <c r="T30" s="13">
        <f t="shared" si="9"/>
        <v>224</v>
      </c>
      <c r="U30" s="13">
        <f t="shared" si="9"/>
        <v>220</v>
      </c>
      <c r="V30" s="13">
        <f t="shared" si="3"/>
        <v>3666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71"/>
      <c r="P31" s="71"/>
      <c r="Q31" s="71"/>
      <c r="R31" s="71"/>
      <c r="S31" s="71"/>
      <c r="T31" s="71"/>
      <c r="U31" s="19"/>
      <c r="V31" s="72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3"/>
      <c r="O32" s="73"/>
      <c r="P32" s="73"/>
      <c r="Q32" s="73"/>
      <c r="R32" s="73"/>
      <c r="S32" s="73"/>
      <c r="T32" s="73"/>
      <c r="U32" s="13"/>
      <c r="V32" s="72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273.0</v>
      </c>
      <c r="G33" s="19">
        <v>276.0</v>
      </c>
      <c r="H33" s="19">
        <v>284.0</v>
      </c>
      <c r="I33" s="19">
        <v>296.0</v>
      </c>
      <c r="J33" s="19">
        <v>281.0</v>
      </c>
      <c r="K33" s="19">
        <v>261.0</v>
      </c>
      <c r="L33" s="19">
        <v>263.0</v>
      </c>
      <c r="M33" s="19">
        <v>250.0</v>
      </c>
      <c r="N33" s="19">
        <v>278.0</v>
      </c>
      <c r="O33" s="19">
        <v>246.0</v>
      </c>
      <c r="P33" s="19">
        <v>245.0</v>
      </c>
      <c r="Q33" s="19">
        <v>287.0</v>
      </c>
      <c r="R33" s="19">
        <v>303.0</v>
      </c>
      <c r="S33" s="19">
        <v>301.0</v>
      </c>
      <c r="T33" s="19">
        <v>286.0</v>
      </c>
      <c r="U33" s="19">
        <v>286.0</v>
      </c>
      <c r="V33" s="13">
        <f t="shared" ref="V33:V36" si="10">SUM(E33:U33)</f>
        <v>4699</v>
      </c>
    </row>
    <row r="34" ht="12.75" customHeight="1">
      <c r="A34" s="19">
        <v>2.0</v>
      </c>
      <c r="B34" s="20" t="s">
        <v>28</v>
      </c>
      <c r="C34" s="15"/>
      <c r="D34" s="16"/>
      <c r="E34" s="13">
        <v>207.0</v>
      </c>
      <c r="F34" s="13">
        <v>204.0</v>
      </c>
      <c r="G34" s="13">
        <v>216.0</v>
      </c>
      <c r="H34" s="13">
        <v>223.0</v>
      </c>
      <c r="I34" s="13">
        <v>220.0</v>
      </c>
      <c r="J34" s="13">
        <v>221.0</v>
      </c>
      <c r="K34" s="13">
        <v>197.0</v>
      </c>
      <c r="L34" s="13">
        <v>206.0</v>
      </c>
      <c r="M34" s="13">
        <v>203.0</v>
      </c>
      <c r="N34" s="13">
        <v>237.0</v>
      </c>
      <c r="O34" s="13">
        <v>180.0</v>
      </c>
      <c r="P34" s="13">
        <v>209.0</v>
      </c>
      <c r="Q34" s="13">
        <v>234.0</v>
      </c>
      <c r="R34" s="13">
        <v>225.0</v>
      </c>
      <c r="S34" s="13">
        <v>240.0</v>
      </c>
      <c r="T34" s="13">
        <v>224.0</v>
      </c>
      <c r="U34" s="13">
        <v>220.0</v>
      </c>
      <c r="V34" s="13">
        <f t="shared" si="10"/>
        <v>3666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2.0</v>
      </c>
      <c r="N35" s="19">
        <v>0.0</v>
      </c>
      <c r="O35" s="19">
        <v>4.0</v>
      </c>
      <c r="P35" s="19">
        <v>1.0</v>
      </c>
      <c r="Q35" s="19">
        <v>0.0</v>
      </c>
      <c r="R35" s="19">
        <v>0.0</v>
      </c>
      <c r="S35" s="19">
        <v>0.0</v>
      </c>
      <c r="T35" s="19">
        <v>3.0</v>
      </c>
      <c r="U35" s="19">
        <v>0.0</v>
      </c>
      <c r="V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76</v>
      </c>
      <c r="F36" s="13">
        <f t="shared" si="11"/>
        <v>69</v>
      </c>
      <c r="G36" s="13">
        <f t="shared" si="11"/>
        <v>60</v>
      </c>
      <c r="H36" s="13">
        <f t="shared" si="11"/>
        <v>61</v>
      </c>
      <c r="I36" s="13">
        <f t="shared" si="11"/>
        <v>76</v>
      </c>
      <c r="J36" s="13">
        <f t="shared" si="11"/>
        <v>60</v>
      </c>
      <c r="K36" s="13">
        <f t="shared" si="11"/>
        <v>64</v>
      </c>
      <c r="L36" s="13">
        <f t="shared" si="11"/>
        <v>57</v>
      </c>
      <c r="M36" s="13">
        <f t="shared" si="11"/>
        <v>45</v>
      </c>
      <c r="N36" s="13">
        <f t="shared" si="11"/>
        <v>41</v>
      </c>
      <c r="O36" s="13">
        <f t="shared" si="11"/>
        <v>62</v>
      </c>
      <c r="P36" s="13">
        <f t="shared" si="11"/>
        <v>35</v>
      </c>
      <c r="Q36" s="13">
        <f t="shared" si="11"/>
        <v>53</v>
      </c>
      <c r="R36" s="13">
        <f t="shared" si="11"/>
        <v>78</v>
      </c>
      <c r="S36" s="13">
        <f t="shared" si="11"/>
        <v>61</v>
      </c>
      <c r="T36" s="13">
        <f t="shared" si="11"/>
        <v>59</v>
      </c>
      <c r="U36" s="13">
        <f t="shared" si="11"/>
        <v>66</v>
      </c>
      <c r="V36" s="13">
        <f t="shared" si="10"/>
        <v>1023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1"/>
      <c r="O37" s="76"/>
      <c r="P37" s="76"/>
      <c r="Q37" s="76"/>
      <c r="R37" s="76"/>
      <c r="S37" s="76"/>
      <c r="T37" s="76"/>
      <c r="U37" s="19"/>
      <c r="V37" s="72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3"/>
      <c r="O38" s="73"/>
      <c r="P38" s="73"/>
      <c r="Q38" s="73"/>
      <c r="R38" s="73"/>
      <c r="S38" s="73"/>
      <c r="T38" s="73"/>
      <c r="U38" s="13"/>
      <c r="V38" s="72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1.0</v>
      </c>
      <c r="I39" s="19">
        <v>1.0</v>
      </c>
      <c r="J39" s="19">
        <v>0.0</v>
      </c>
      <c r="K39" s="19">
        <v>0.0</v>
      </c>
      <c r="L39" s="19">
        <v>1.0</v>
      </c>
      <c r="M39" s="19">
        <v>0.0</v>
      </c>
      <c r="N39" s="19">
        <v>1.0</v>
      </c>
      <c r="O39" s="19">
        <v>4.0</v>
      </c>
      <c r="P39" s="19">
        <v>0.0</v>
      </c>
      <c r="Q39" s="19">
        <v>0.0</v>
      </c>
      <c r="R39" s="19">
        <v>1.0</v>
      </c>
      <c r="S39" s="19">
        <v>0.0</v>
      </c>
      <c r="T39" s="19"/>
      <c r="U39" s="19">
        <v>1.0</v>
      </c>
      <c r="V39" s="13">
        <f t="shared" ref="V39:V41" si="12">SUM(E39:U39)</f>
        <v>11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5.0</v>
      </c>
      <c r="M40" s="19">
        <v>0.0</v>
      </c>
      <c r="N40" s="19">
        <v>1.0</v>
      </c>
      <c r="O40" s="19">
        <v>3.0</v>
      </c>
      <c r="P40" s="19">
        <v>0.0</v>
      </c>
      <c r="Q40" s="19">
        <v>0.0</v>
      </c>
      <c r="R40" s="19">
        <v>0.0</v>
      </c>
      <c r="S40" s="19">
        <v>0.0</v>
      </c>
      <c r="T40" s="19"/>
      <c r="U40" s="19"/>
      <c r="V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6</v>
      </c>
      <c r="M41" s="13">
        <f t="shared" si="13"/>
        <v>0</v>
      </c>
      <c r="N41" s="13">
        <f t="shared" si="13"/>
        <v>2</v>
      </c>
      <c r="O41" s="13">
        <f t="shared" si="13"/>
        <v>7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2"/>
        <v>20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71"/>
      <c r="Q42" s="19"/>
      <c r="R42" s="19"/>
      <c r="S42" s="71"/>
      <c r="T42" s="19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4.0</v>
      </c>
      <c r="G45" s="19">
        <v>7.0</v>
      </c>
      <c r="H45" s="19">
        <v>5.0</v>
      </c>
      <c r="I45" s="19">
        <v>4.0</v>
      </c>
      <c r="J45" s="19">
        <v>6.0</v>
      </c>
      <c r="K45" s="19">
        <v>1.0</v>
      </c>
      <c r="L45" s="19">
        <v>1.0</v>
      </c>
      <c r="M45" s="19">
        <v>12.0</v>
      </c>
      <c r="N45" s="19">
        <v>14.0</v>
      </c>
      <c r="O45" s="19">
        <v>3.0</v>
      </c>
      <c r="P45" s="19">
        <v>8.0</v>
      </c>
      <c r="Q45" s="19">
        <v>4.0</v>
      </c>
      <c r="R45" s="19">
        <v>3.0</v>
      </c>
      <c r="S45" s="19">
        <v>11.0</v>
      </c>
      <c r="T45" s="19">
        <v>3.0</v>
      </c>
      <c r="U45" s="19">
        <v>3.0</v>
      </c>
      <c r="V45" s="13">
        <f t="shared" ref="V45:V55" si="14">SUM(E45:U45)</f>
        <v>92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14.0</v>
      </c>
      <c r="F46" s="19">
        <v>12.0</v>
      </c>
      <c r="G46" s="19">
        <v>5.0</v>
      </c>
      <c r="H46" s="19">
        <v>13.0</v>
      </c>
      <c r="I46" s="19">
        <v>15.0</v>
      </c>
      <c r="J46" s="19">
        <v>20.0</v>
      </c>
      <c r="K46" s="19">
        <v>6.0</v>
      </c>
      <c r="L46" s="19">
        <v>14.0</v>
      </c>
      <c r="M46" s="19">
        <v>27.0</v>
      </c>
      <c r="N46" s="19">
        <v>28.0</v>
      </c>
      <c r="O46" s="19">
        <v>24.0</v>
      </c>
      <c r="P46" s="19">
        <v>12.0</v>
      </c>
      <c r="Q46" s="19">
        <v>1.0</v>
      </c>
      <c r="R46" s="19">
        <v>17.0</v>
      </c>
      <c r="S46" s="19">
        <v>9.0</v>
      </c>
      <c r="T46" s="19">
        <v>14.0</v>
      </c>
      <c r="U46" s="19">
        <v>8.0</v>
      </c>
      <c r="V46" s="13">
        <f t="shared" si="14"/>
        <v>239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3.0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9">
        <v>4.0</v>
      </c>
      <c r="N47" s="19">
        <v>0.0</v>
      </c>
      <c r="O47" s="19">
        <v>1.0</v>
      </c>
      <c r="P47" s="19">
        <v>3.0</v>
      </c>
      <c r="Q47" s="19">
        <v>1.0</v>
      </c>
      <c r="R47" s="19">
        <v>0.0</v>
      </c>
      <c r="S47" s="19">
        <v>0.0</v>
      </c>
      <c r="T47" s="19">
        <v>1.0</v>
      </c>
      <c r="U47" s="19">
        <v>2.0</v>
      </c>
      <c r="V47" s="13">
        <f t="shared" si="14"/>
        <v>17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1.0</v>
      </c>
      <c r="I48" s="19">
        <v>0.0</v>
      </c>
      <c r="J48" s="19">
        <v>2.0</v>
      </c>
      <c r="K48" s="19">
        <v>0.0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0.0</v>
      </c>
      <c r="R48" s="19">
        <v>2.0</v>
      </c>
      <c r="S48" s="19">
        <v>0.0</v>
      </c>
      <c r="T48" s="19">
        <v>0.0</v>
      </c>
      <c r="U48" s="19">
        <v>2.0</v>
      </c>
      <c r="V48" s="13">
        <f t="shared" si="14"/>
        <v>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0.0</v>
      </c>
      <c r="L49" s="19">
        <v>2.0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1.0</v>
      </c>
      <c r="U49" s="19">
        <v>1.0</v>
      </c>
      <c r="V49" s="13">
        <f t="shared" si="14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2.0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2.0</v>
      </c>
      <c r="S50" s="19">
        <v>0.0</v>
      </c>
      <c r="T50" s="19">
        <v>0.0</v>
      </c>
      <c r="U50" s="19">
        <v>0.0</v>
      </c>
      <c r="V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1.0</v>
      </c>
      <c r="K52" s="19">
        <v>1.0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9">
        <v>2.0</v>
      </c>
      <c r="U52" s="19">
        <v>2.0</v>
      </c>
      <c r="V52" s="13">
        <f t="shared" si="14"/>
        <v>9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U55" si="15">SUM(E45:E52)</f>
        <v>19</v>
      </c>
      <c r="F55" s="13">
        <f t="shared" si="15"/>
        <v>18</v>
      </c>
      <c r="G55" s="13">
        <f t="shared" si="15"/>
        <v>15</v>
      </c>
      <c r="H55" s="13">
        <f t="shared" si="15"/>
        <v>19</v>
      </c>
      <c r="I55" s="13">
        <f t="shared" si="15"/>
        <v>21</v>
      </c>
      <c r="J55" s="13">
        <f t="shared" si="15"/>
        <v>30</v>
      </c>
      <c r="K55" s="13">
        <f t="shared" si="15"/>
        <v>8</v>
      </c>
      <c r="L55" s="13">
        <f t="shared" si="15"/>
        <v>17</v>
      </c>
      <c r="M55" s="13">
        <f t="shared" si="15"/>
        <v>44</v>
      </c>
      <c r="N55" s="13">
        <f t="shared" si="15"/>
        <v>42</v>
      </c>
      <c r="O55" s="13">
        <f t="shared" si="15"/>
        <v>29</v>
      </c>
      <c r="P55" s="13">
        <f t="shared" si="15"/>
        <v>24</v>
      </c>
      <c r="Q55" s="13">
        <f t="shared" si="15"/>
        <v>6</v>
      </c>
      <c r="R55" s="13">
        <f t="shared" si="15"/>
        <v>25</v>
      </c>
      <c r="S55" s="13">
        <f t="shared" si="15"/>
        <v>20</v>
      </c>
      <c r="T55" s="13">
        <f t="shared" si="15"/>
        <v>21</v>
      </c>
      <c r="U55" s="13">
        <f t="shared" si="15"/>
        <v>18</v>
      </c>
      <c r="V55" s="13">
        <f t="shared" si="14"/>
        <v>376</v>
      </c>
    </row>
    <row r="56" ht="12.75" customHeight="1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8.0</v>
      </c>
      <c r="G57" s="19">
        <v>9.0</v>
      </c>
      <c r="H57" s="19">
        <v>10.0</v>
      </c>
      <c r="I57" s="19">
        <v>7.0</v>
      </c>
      <c r="J57" s="19">
        <v>15.0</v>
      </c>
      <c r="K57" s="19">
        <v>10.0</v>
      </c>
      <c r="L57" s="19">
        <v>13.0</v>
      </c>
      <c r="M57" s="19">
        <v>7.0</v>
      </c>
      <c r="N57" s="19">
        <v>5.0</v>
      </c>
      <c r="O57" s="19">
        <v>4.0</v>
      </c>
      <c r="P57" s="19">
        <v>8.0</v>
      </c>
      <c r="Q57" s="19">
        <v>13.0</v>
      </c>
      <c r="R57" s="19">
        <v>15.0</v>
      </c>
      <c r="S57" s="19">
        <v>15.0</v>
      </c>
      <c r="T57" s="19">
        <v>8.0</v>
      </c>
      <c r="U57" s="19">
        <v>13.0</v>
      </c>
      <c r="V57" s="13">
        <f t="shared" ref="V57:V67" si="16">SUM(E57:U57)</f>
        <v>165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12.0</v>
      </c>
      <c r="F58" s="19">
        <v>7.0</v>
      </c>
      <c r="G58" s="19">
        <v>11.0</v>
      </c>
      <c r="H58" s="19">
        <v>8.0</v>
      </c>
      <c r="I58" s="19">
        <v>7.0</v>
      </c>
      <c r="J58" s="19">
        <v>11.0</v>
      </c>
      <c r="K58" s="19">
        <v>13.0</v>
      </c>
      <c r="L58" s="19">
        <v>3.0</v>
      </c>
      <c r="M58" s="19">
        <v>2.0</v>
      </c>
      <c r="N58" s="19">
        <v>8.0</v>
      </c>
      <c r="O58" s="19">
        <v>3.0</v>
      </c>
      <c r="P58" s="19">
        <v>6.0</v>
      </c>
      <c r="Q58" s="19">
        <v>9.0</v>
      </c>
      <c r="R58" s="19">
        <v>18.0</v>
      </c>
      <c r="S58" s="19">
        <v>9.0</v>
      </c>
      <c r="T58" s="19">
        <v>17.0</v>
      </c>
      <c r="U58" s="19">
        <v>11.0</v>
      </c>
      <c r="V58" s="13">
        <f t="shared" si="16"/>
        <v>155</v>
      </c>
    </row>
    <row r="59" ht="12.75" customHeight="1">
      <c r="A59" s="18"/>
      <c r="B59" s="55">
        <v>2.0</v>
      </c>
      <c r="C59" s="50" t="s">
        <v>50</v>
      </c>
      <c r="D59" s="59"/>
      <c r="E59" s="19">
        <v>3.0</v>
      </c>
      <c r="F59" s="19">
        <v>3.0</v>
      </c>
      <c r="G59" s="19">
        <v>3.0</v>
      </c>
      <c r="H59" s="19">
        <v>2.0</v>
      </c>
      <c r="I59" s="19">
        <v>2.0</v>
      </c>
      <c r="J59" s="19">
        <v>2.0</v>
      </c>
      <c r="K59" s="19">
        <v>3.0</v>
      </c>
      <c r="L59" s="19">
        <v>6.0</v>
      </c>
      <c r="M59" s="19">
        <v>5.0</v>
      </c>
      <c r="N59" s="19">
        <v>3.0</v>
      </c>
      <c r="O59" s="19">
        <v>2.0</v>
      </c>
      <c r="P59" s="19">
        <v>0.0</v>
      </c>
      <c r="Q59" s="19">
        <v>0.0</v>
      </c>
      <c r="R59" s="19">
        <v>6.0</v>
      </c>
      <c r="S59" s="19">
        <v>6.0</v>
      </c>
      <c r="T59" s="19">
        <v>2.0</v>
      </c>
      <c r="U59" s="19">
        <v>2.0</v>
      </c>
      <c r="V59" s="13">
        <f t="shared" si="16"/>
        <v>50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1.0</v>
      </c>
      <c r="H60" s="19">
        <v>1.0</v>
      </c>
      <c r="I60" s="19">
        <v>0.0</v>
      </c>
      <c r="J60" s="19">
        <v>2.0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1.0</v>
      </c>
      <c r="Q60" s="19">
        <v>0.0</v>
      </c>
      <c r="R60" s="19">
        <v>0.0</v>
      </c>
      <c r="S60" s="19">
        <v>3.0</v>
      </c>
      <c r="T60" s="19">
        <v>5.0</v>
      </c>
      <c r="U60" s="19">
        <v>1.0</v>
      </c>
      <c r="V60" s="13">
        <f t="shared" si="16"/>
        <v>15</v>
      </c>
    </row>
    <row r="61" ht="12.75" customHeight="1">
      <c r="A61" s="18"/>
      <c r="B61" s="55">
        <v>4.0</v>
      </c>
      <c r="C61" s="50" t="s">
        <v>52</v>
      </c>
      <c r="D61" s="59"/>
      <c r="E61" s="19">
        <v>4.0</v>
      </c>
      <c r="F61" s="19">
        <v>2.0</v>
      </c>
      <c r="G61" s="19">
        <v>3.0</v>
      </c>
      <c r="H61" s="19">
        <v>1.0</v>
      </c>
      <c r="I61" s="19">
        <v>2.0</v>
      </c>
      <c r="J61" s="19">
        <v>1.0</v>
      </c>
      <c r="K61" s="19">
        <v>1.0</v>
      </c>
      <c r="L61" s="19">
        <v>2.0</v>
      </c>
      <c r="M61" s="19">
        <v>1.0</v>
      </c>
      <c r="N61" s="19">
        <v>1.0</v>
      </c>
      <c r="O61" s="19">
        <v>0.0</v>
      </c>
      <c r="P61" s="19">
        <v>1.0</v>
      </c>
      <c r="Q61" s="19">
        <v>2.0</v>
      </c>
      <c r="R61" s="19">
        <v>1.0</v>
      </c>
      <c r="S61" s="19">
        <v>0.0</v>
      </c>
      <c r="T61" s="19">
        <v>7.0</v>
      </c>
      <c r="U61" s="19">
        <v>1.0</v>
      </c>
      <c r="V61" s="13">
        <f t="shared" si="16"/>
        <v>30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2.0</v>
      </c>
      <c r="M62" s="19">
        <v>0.0</v>
      </c>
      <c r="N62" s="19">
        <v>0.0</v>
      </c>
      <c r="O62" s="19">
        <v>0.0</v>
      </c>
      <c r="P62" s="19">
        <v>2.0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60"/>
      <c r="E63" s="19">
        <v>2.0</v>
      </c>
      <c r="F63" s="19">
        <v>0.0</v>
      </c>
      <c r="G63" s="19">
        <v>1.0</v>
      </c>
      <c r="H63" s="19">
        <v>2.0</v>
      </c>
      <c r="I63" s="19">
        <v>1.0</v>
      </c>
      <c r="J63" s="19">
        <v>1.0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0.0</v>
      </c>
      <c r="R63" s="19">
        <v>1.0</v>
      </c>
      <c r="S63" s="19">
        <v>1.0</v>
      </c>
      <c r="T63" s="19">
        <v>1.0</v>
      </c>
      <c r="U63" s="19">
        <v>2.0</v>
      </c>
      <c r="V63" s="13">
        <f t="shared" si="16"/>
        <v>13</v>
      </c>
    </row>
    <row r="64" ht="12.75" customHeight="1">
      <c r="A64" s="18"/>
      <c r="B64" s="55">
        <v>7.0</v>
      </c>
      <c r="C64" s="50" t="s">
        <v>55</v>
      </c>
      <c r="D64" s="59"/>
      <c r="E64" s="19">
        <v>2.0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1.0</v>
      </c>
      <c r="M64" s="19">
        <v>0.0</v>
      </c>
      <c r="N64" s="19">
        <v>0.0</v>
      </c>
      <c r="O64" s="19">
        <v>0.0</v>
      </c>
      <c r="P64" s="19">
        <v>1.0</v>
      </c>
      <c r="Q64" s="19">
        <v>1.0</v>
      </c>
      <c r="R64" s="19">
        <v>1.0</v>
      </c>
      <c r="S64" s="19">
        <v>0.0</v>
      </c>
      <c r="T64" s="19">
        <v>1.0</v>
      </c>
      <c r="U64" s="19">
        <v>2.0</v>
      </c>
      <c r="V64" s="13">
        <f t="shared" si="16"/>
        <v>9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U67" si="17">SUM(E57:E64)</f>
        <v>29</v>
      </c>
      <c r="F67" s="13">
        <f t="shared" si="17"/>
        <v>21</v>
      </c>
      <c r="G67" s="13">
        <f t="shared" si="17"/>
        <v>28</v>
      </c>
      <c r="H67" s="13">
        <f t="shared" si="17"/>
        <v>24</v>
      </c>
      <c r="I67" s="13">
        <f t="shared" si="17"/>
        <v>19</v>
      </c>
      <c r="J67" s="13">
        <f t="shared" si="17"/>
        <v>32</v>
      </c>
      <c r="K67" s="13">
        <f t="shared" si="17"/>
        <v>28</v>
      </c>
      <c r="L67" s="13">
        <f t="shared" si="17"/>
        <v>27</v>
      </c>
      <c r="M67" s="13">
        <f t="shared" si="17"/>
        <v>15</v>
      </c>
      <c r="N67" s="13">
        <f t="shared" si="17"/>
        <v>18</v>
      </c>
      <c r="O67" s="13">
        <f t="shared" si="17"/>
        <v>9</v>
      </c>
      <c r="P67" s="13">
        <f t="shared" si="17"/>
        <v>19</v>
      </c>
      <c r="Q67" s="13">
        <f t="shared" si="17"/>
        <v>25</v>
      </c>
      <c r="R67" s="13">
        <f t="shared" si="17"/>
        <v>42</v>
      </c>
      <c r="S67" s="13">
        <f t="shared" si="17"/>
        <v>34</v>
      </c>
      <c r="T67" s="13">
        <f t="shared" si="17"/>
        <v>42</v>
      </c>
      <c r="U67" s="13">
        <f t="shared" si="17"/>
        <v>32</v>
      </c>
      <c r="V67" s="13">
        <f t="shared" si="16"/>
        <v>444</v>
      </c>
    </row>
    <row r="68" ht="12.75" customHeight="1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13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12.0</v>
      </c>
      <c r="F69" s="19">
        <v>10.0</v>
      </c>
      <c r="G69" s="19">
        <v>14.0</v>
      </c>
      <c r="H69" s="19">
        <v>17.0</v>
      </c>
      <c r="I69" s="19">
        <v>12.0</v>
      </c>
      <c r="J69" s="19">
        <v>9.0</v>
      </c>
      <c r="K69" s="19">
        <v>14.0</v>
      </c>
      <c r="L69" s="19">
        <v>21.0</v>
      </c>
      <c r="M69" s="19">
        <v>14.0</v>
      </c>
      <c r="N69" s="19">
        <v>17.0</v>
      </c>
      <c r="O69" s="19">
        <v>11.0</v>
      </c>
      <c r="P69" s="19">
        <v>11.0</v>
      </c>
      <c r="Q69" s="19">
        <v>30.0</v>
      </c>
      <c r="R69" s="19">
        <v>10.0</v>
      </c>
      <c r="S69" s="19">
        <v>22.0</v>
      </c>
      <c r="T69" s="19">
        <v>11.0</v>
      </c>
      <c r="U69" s="19">
        <v>15.0</v>
      </c>
      <c r="V69" s="13">
        <f t="shared" ref="V69:V79" si="18">SUM(E69:U69)</f>
        <v>250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9.0</v>
      </c>
      <c r="F70" s="19">
        <v>11.0</v>
      </c>
      <c r="G70" s="19">
        <v>14.0</v>
      </c>
      <c r="H70" s="19">
        <v>5.0</v>
      </c>
      <c r="I70" s="19">
        <v>12.0</v>
      </c>
      <c r="J70" s="19">
        <v>11.0</v>
      </c>
      <c r="K70" s="19">
        <v>20.0</v>
      </c>
      <c r="L70" s="19">
        <v>13.0</v>
      </c>
      <c r="M70" s="19">
        <v>17.0</v>
      </c>
      <c r="N70" s="19">
        <v>22.0</v>
      </c>
      <c r="O70" s="19">
        <v>17.0</v>
      </c>
      <c r="P70" s="19">
        <v>37.0</v>
      </c>
      <c r="Q70" s="19">
        <v>43.0</v>
      </c>
      <c r="R70" s="19">
        <v>15.0</v>
      </c>
      <c r="S70" s="19">
        <v>13.0</v>
      </c>
      <c r="T70" s="19">
        <v>6.0</v>
      </c>
      <c r="U70" s="19">
        <v>19.0</v>
      </c>
      <c r="V70" s="13">
        <f t="shared" si="18"/>
        <v>284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1.0</v>
      </c>
      <c r="G71" s="19">
        <v>0.0</v>
      </c>
      <c r="H71" s="19">
        <v>1.0</v>
      </c>
      <c r="I71" s="19">
        <v>2.0</v>
      </c>
      <c r="J71" s="19">
        <v>2.0</v>
      </c>
      <c r="K71" s="19">
        <v>5.0</v>
      </c>
      <c r="L71" s="19">
        <v>1.0</v>
      </c>
      <c r="M71" s="19">
        <v>2.0</v>
      </c>
      <c r="N71" s="19">
        <v>1.0</v>
      </c>
      <c r="O71" s="19">
        <v>4.0</v>
      </c>
      <c r="P71" s="19">
        <v>1.0</v>
      </c>
      <c r="Q71" s="19">
        <v>4.0</v>
      </c>
      <c r="R71" s="19">
        <v>6.0</v>
      </c>
      <c r="S71" s="19">
        <v>3.0</v>
      </c>
      <c r="T71" s="19">
        <v>5.0</v>
      </c>
      <c r="U71" s="19">
        <v>1.0</v>
      </c>
      <c r="V71" s="13">
        <f t="shared" si="18"/>
        <v>41</v>
      </c>
    </row>
    <row r="72" ht="12.75" customHeight="1">
      <c r="A72" s="18"/>
      <c r="B72" s="55">
        <v>3.0</v>
      </c>
      <c r="C72" s="50" t="s">
        <v>59</v>
      </c>
      <c r="D72" s="60"/>
      <c r="E72" s="19">
        <v>34.0</v>
      </c>
      <c r="F72" s="19">
        <v>40.0</v>
      </c>
      <c r="G72" s="19">
        <v>42.0</v>
      </c>
      <c r="H72" s="19">
        <v>44.0</v>
      </c>
      <c r="I72" s="19">
        <v>18.0</v>
      </c>
      <c r="J72" s="19">
        <v>6.0</v>
      </c>
      <c r="K72" s="19">
        <v>35.0</v>
      </c>
      <c r="L72" s="19">
        <v>31.0</v>
      </c>
      <c r="M72" s="19">
        <v>17.0</v>
      </c>
      <c r="N72" s="19">
        <v>60.0</v>
      </c>
      <c r="O72" s="19">
        <v>43.0</v>
      </c>
      <c r="P72" s="19">
        <v>39.0</v>
      </c>
      <c r="Q72" s="19">
        <v>18.0</v>
      </c>
      <c r="R72" s="19">
        <v>4.0</v>
      </c>
      <c r="S72" s="19">
        <v>17.0</v>
      </c>
      <c r="T72" s="19">
        <v>19.0</v>
      </c>
      <c r="U72" s="19">
        <v>22.0</v>
      </c>
      <c r="V72" s="13">
        <f t="shared" si="18"/>
        <v>489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2.0</v>
      </c>
      <c r="I73" s="19">
        <v>0.0</v>
      </c>
      <c r="J73" s="19">
        <v>1.0</v>
      </c>
      <c r="K73" s="19">
        <v>0.0</v>
      </c>
      <c r="L73" s="19">
        <v>0.0</v>
      </c>
      <c r="M73" s="19">
        <v>0.0</v>
      </c>
      <c r="N73" s="19">
        <v>1.0</v>
      </c>
      <c r="O73" s="19">
        <v>0.0</v>
      </c>
      <c r="P73" s="19">
        <v>1.0</v>
      </c>
      <c r="Q73" s="19">
        <v>0.0</v>
      </c>
      <c r="R73" s="19">
        <v>1.0</v>
      </c>
      <c r="S73" s="19">
        <v>3.0</v>
      </c>
      <c r="T73" s="19">
        <v>1.0</v>
      </c>
      <c r="U73" s="19">
        <v>0.0</v>
      </c>
      <c r="V73" s="13">
        <f t="shared" si="18"/>
        <v>11</v>
      </c>
    </row>
    <row r="74" ht="12.75" customHeight="1">
      <c r="A74" s="18"/>
      <c r="B74" s="55">
        <v>5.0</v>
      </c>
      <c r="C74" s="50" t="s">
        <v>61</v>
      </c>
      <c r="D74" s="60"/>
      <c r="E74" s="19">
        <v>6.0</v>
      </c>
      <c r="F74" s="19">
        <v>19.0</v>
      </c>
      <c r="G74" s="19">
        <v>6.0</v>
      </c>
      <c r="H74" s="19">
        <v>6.0</v>
      </c>
      <c r="I74" s="19">
        <v>10.0</v>
      </c>
      <c r="J74" s="19">
        <v>2.0</v>
      </c>
      <c r="K74" s="19">
        <v>8.0</v>
      </c>
      <c r="L74" s="19">
        <v>7.0</v>
      </c>
      <c r="M74" s="19">
        <v>2.0</v>
      </c>
      <c r="N74" s="19">
        <v>8.0</v>
      </c>
      <c r="O74" s="19">
        <v>5.0</v>
      </c>
      <c r="P74" s="19">
        <v>7.0</v>
      </c>
      <c r="Q74" s="19">
        <v>6.0</v>
      </c>
      <c r="R74" s="19">
        <v>13.0</v>
      </c>
      <c r="S74" s="19">
        <v>25.0</v>
      </c>
      <c r="T74" s="19">
        <v>9.0</v>
      </c>
      <c r="U74" s="19">
        <v>14.0</v>
      </c>
      <c r="V74" s="13">
        <f t="shared" si="18"/>
        <v>153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1.0</v>
      </c>
      <c r="H75" s="19">
        <v>0.0</v>
      </c>
      <c r="I75" s="19">
        <v>0.0</v>
      </c>
      <c r="J75" s="19">
        <v>0.0</v>
      </c>
      <c r="K75" s="19">
        <v>2.0</v>
      </c>
      <c r="L75" s="19">
        <v>0.0</v>
      </c>
      <c r="M75" s="19">
        <v>1.0</v>
      </c>
      <c r="N75" s="19">
        <v>1.0</v>
      </c>
      <c r="O75" s="19">
        <v>0.0</v>
      </c>
      <c r="P75" s="19">
        <v>2.0</v>
      </c>
      <c r="Q75" s="19">
        <v>0.0</v>
      </c>
      <c r="R75" s="19">
        <v>0.0</v>
      </c>
      <c r="S75" s="19">
        <v>1.0</v>
      </c>
      <c r="T75" s="19">
        <v>3.0</v>
      </c>
      <c r="U75" s="19">
        <v>0.0</v>
      </c>
      <c r="V75" s="13">
        <f t="shared" si="18"/>
        <v>11</v>
      </c>
    </row>
    <row r="76" ht="12.75" customHeight="1">
      <c r="A76" s="18"/>
      <c r="B76" s="55">
        <v>7.0</v>
      </c>
      <c r="C76" s="50" t="s">
        <v>63</v>
      </c>
      <c r="D76" s="60"/>
      <c r="E76" s="19">
        <v>4.0</v>
      </c>
      <c r="F76" s="19">
        <v>2.0</v>
      </c>
      <c r="G76" s="19">
        <v>1.0</v>
      </c>
      <c r="H76" s="19">
        <v>4.0</v>
      </c>
      <c r="I76" s="19">
        <v>11.0</v>
      </c>
      <c r="J76" s="19">
        <v>6.0</v>
      </c>
      <c r="K76" s="19">
        <v>9.0</v>
      </c>
      <c r="L76" s="19">
        <v>1.0</v>
      </c>
      <c r="M76" s="19">
        <v>1.0</v>
      </c>
      <c r="N76" s="19">
        <v>1.0</v>
      </c>
      <c r="O76" s="19">
        <v>2.0</v>
      </c>
      <c r="P76" s="19">
        <v>0.0</v>
      </c>
      <c r="Q76" s="19">
        <v>4.0</v>
      </c>
      <c r="R76" s="19">
        <v>1.0</v>
      </c>
      <c r="S76" s="19">
        <v>0.0</v>
      </c>
      <c r="T76" s="19">
        <v>7.0</v>
      </c>
      <c r="U76" s="19">
        <v>2.0</v>
      </c>
      <c r="V76" s="13">
        <f t="shared" si="18"/>
        <v>56</v>
      </c>
    </row>
    <row r="77" ht="12.75" customHeight="1">
      <c r="A77" s="18"/>
      <c r="B77" s="56"/>
      <c r="C77" s="57"/>
      <c r="D77" s="6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18"/>
        <v>0</v>
      </c>
    </row>
    <row r="78" ht="12.75" customHeight="1">
      <c r="A78" s="18"/>
      <c r="B78" s="56"/>
      <c r="C78" s="57"/>
      <c r="D78" s="6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U79" si="19">SUM(E69:E76)</f>
        <v>68</v>
      </c>
      <c r="F79" s="13">
        <f t="shared" si="19"/>
        <v>83</v>
      </c>
      <c r="G79" s="13">
        <f t="shared" si="19"/>
        <v>78</v>
      </c>
      <c r="H79" s="13">
        <f t="shared" si="19"/>
        <v>79</v>
      </c>
      <c r="I79" s="13">
        <f t="shared" si="19"/>
        <v>65</v>
      </c>
      <c r="J79" s="13">
        <f t="shared" si="19"/>
        <v>37</v>
      </c>
      <c r="K79" s="13">
        <f t="shared" si="19"/>
        <v>93</v>
      </c>
      <c r="L79" s="13">
        <f t="shared" si="19"/>
        <v>74</v>
      </c>
      <c r="M79" s="13">
        <f t="shared" si="19"/>
        <v>54</v>
      </c>
      <c r="N79" s="13">
        <f t="shared" si="19"/>
        <v>111</v>
      </c>
      <c r="O79" s="13">
        <f t="shared" si="19"/>
        <v>82</v>
      </c>
      <c r="P79" s="13">
        <f t="shared" si="19"/>
        <v>98</v>
      </c>
      <c r="Q79" s="13">
        <f t="shared" si="19"/>
        <v>105</v>
      </c>
      <c r="R79" s="13">
        <f t="shared" si="19"/>
        <v>50</v>
      </c>
      <c r="S79" s="13">
        <f t="shared" si="19"/>
        <v>84</v>
      </c>
      <c r="T79" s="13">
        <f t="shared" si="19"/>
        <v>61</v>
      </c>
      <c r="U79" s="13">
        <f t="shared" si="19"/>
        <v>73</v>
      </c>
      <c r="V79" s="13">
        <f t="shared" si="18"/>
        <v>1295</v>
      </c>
    </row>
    <row r="80" ht="12.75" customHeight="1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13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11.0</v>
      </c>
      <c r="F81" s="19">
        <v>4.0</v>
      </c>
      <c r="G81" s="19">
        <v>6.0</v>
      </c>
      <c r="H81" s="19">
        <v>7.0</v>
      </c>
      <c r="I81" s="19">
        <v>5.0</v>
      </c>
      <c r="J81" s="19">
        <v>6.0</v>
      </c>
      <c r="K81" s="19">
        <v>6.0</v>
      </c>
      <c r="L81" s="19">
        <v>4.0</v>
      </c>
      <c r="M81" s="19">
        <v>4.0</v>
      </c>
      <c r="N81" s="19">
        <v>8.0</v>
      </c>
      <c r="O81" s="19">
        <v>7.0</v>
      </c>
      <c r="P81" s="19">
        <v>4.0</v>
      </c>
      <c r="Q81" s="19">
        <v>9.0</v>
      </c>
      <c r="R81" s="19">
        <v>9.0</v>
      </c>
      <c r="S81" s="19">
        <v>2.0</v>
      </c>
      <c r="T81" s="19">
        <v>1.0</v>
      </c>
      <c r="U81" s="19">
        <v>2.0</v>
      </c>
      <c r="V81" s="13">
        <f t="shared" ref="V81:V91" si="20">SUM(E81:U81)</f>
        <v>95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10.0</v>
      </c>
      <c r="F82" s="19">
        <v>9.0</v>
      </c>
      <c r="G82" s="19">
        <v>8.0</v>
      </c>
      <c r="H82" s="19">
        <v>18.0</v>
      </c>
      <c r="I82" s="19">
        <v>8.0</v>
      </c>
      <c r="J82" s="19">
        <v>10.0</v>
      </c>
      <c r="K82" s="19">
        <v>8.0</v>
      </c>
      <c r="L82" s="19">
        <v>10.0</v>
      </c>
      <c r="M82" s="19">
        <v>4.0</v>
      </c>
      <c r="N82" s="19">
        <v>2.0</v>
      </c>
      <c r="O82" s="19">
        <v>2.0</v>
      </c>
      <c r="P82" s="19">
        <v>2.0</v>
      </c>
      <c r="Q82" s="19">
        <v>10.0</v>
      </c>
      <c r="R82" s="19">
        <v>3.0</v>
      </c>
      <c r="S82" s="19">
        <v>3.0</v>
      </c>
      <c r="T82" s="19">
        <v>0.0</v>
      </c>
      <c r="U82" s="19">
        <v>1.0</v>
      </c>
      <c r="V82" s="13">
        <f t="shared" si="20"/>
        <v>108</v>
      </c>
    </row>
    <row r="83" ht="12.75" customHeight="1">
      <c r="A83" s="18"/>
      <c r="B83" s="55">
        <v>2.0</v>
      </c>
      <c r="C83" s="50" t="s">
        <v>66</v>
      </c>
      <c r="D83" s="60"/>
      <c r="E83" s="19">
        <v>5.0</v>
      </c>
      <c r="F83" s="19">
        <v>6.0</v>
      </c>
      <c r="G83" s="19">
        <v>9.0</v>
      </c>
      <c r="H83" s="19">
        <v>5.0</v>
      </c>
      <c r="I83" s="19">
        <v>7.0</v>
      </c>
      <c r="J83" s="19">
        <v>0.0</v>
      </c>
      <c r="K83" s="19">
        <v>1.0</v>
      </c>
      <c r="L83" s="19">
        <v>2.0</v>
      </c>
      <c r="M83" s="19">
        <v>1.0</v>
      </c>
      <c r="N83" s="19">
        <v>0.0</v>
      </c>
      <c r="O83" s="19">
        <v>3.0</v>
      </c>
      <c r="P83" s="19">
        <v>3.0</v>
      </c>
      <c r="Q83" s="19">
        <v>3.0</v>
      </c>
      <c r="R83" s="19">
        <v>4.0</v>
      </c>
      <c r="S83" s="19">
        <v>0.0</v>
      </c>
      <c r="T83" s="19">
        <v>1.0</v>
      </c>
      <c r="U83" s="19">
        <v>7.0</v>
      </c>
      <c r="V83" s="13">
        <f t="shared" si="20"/>
        <v>57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1.0</v>
      </c>
      <c r="I84" s="19">
        <v>0.0</v>
      </c>
      <c r="J84" s="19">
        <v>1.0</v>
      </c>
      <c r="K84" s="19">
        <v>1.0</v>
      </c>
      <c r="L84" s="19">
        <v>1.0</v>
      </c>
      <c r="M84" s="19">
        <v>0.0</v>
      </c>
      <c r="N84" s="19">
        <v>2.0</v>
      </c>
      <c r="O84" s="19">
        <v>3.0</v>
      </c>
      <c r="P84" s="19">
        <v>1.0</v>
      </c>
      <c r="Q84" s="19">
        <v>1.0</v>
      </c>
      <c r="R84" s="19">
        <v>0.0</v>
      </c>
      <c r="S84" s="19">
        <v>0.0</v>
      </c>
      <c r="T84" s="19">
        <v>1.0</v>
      </c>
      <c r="U84" s="19">
        <v>1.0</v>
      </c>
      <c r="V84" s="13">
        <f t="shared" si="20"/>
        <v>14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2.0</v>
      </c>
      <c r="H85" s="19">
        <v>0.0</v>
      </c>
      <c r="I85" s="19">
        <v>3.0</v>
      </c>
      <c r="J85" s="19">
        <v>0.0</v>
      </c>
      <c r="K85" s="19">
        <v>1.0</v>
      </c>
      <c r="L85" s="19">
        <v>1.0</v>
      </c>
      <c r="M85" s="19">
        <v>1.0</v>
      </c>
      <c r="N85" s="19">
        <v>0.0</v>
      </c>
      <c r="O85" s="19">
        <v>1.0</v>
      </c>
      <c r="P85" s="19">
        <v>1.0</v>
      </c>
      <c r="Q85" s="19">
        <v>2.0</v>
      </c>
      <c r="R85" s="19">
        <v>1.0</v>
      </c>
      <c r="S85" s="19">
        <v>1.0</v>
      </c>
      <c r="T85" s="19">
        <v>0.0</v>
      </c>
      <c r="U85" s="19">
        <v>2.0</v>
      </c>
      <c r="V85" s="13">
        <f t="shared" si="20"/>
        <v>17</v>
      </c>
    </row>
    <row r="86" ht="12.75" customHeight="1">
      <c r="A86" s="18"/>
      <c r="B86" s="55">
        <v>5.0</v>
      </c>
      <c r="C86" s="50" t="s">
        <v>69</v>
      </c>
      <c r="D86" s="60"/>
      <c r="E86" s="19">
        <v>3.0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1.0</v>
      </c>
      <c r="M86" s="19">
        <v>3.0</v>
      </c>
      <c r="N86" s="19">
        <v>0.0</v>
      </c>
      <c r="O86" s="19">
        <v>2.0</v>
      </c>
      <c r="P86" s="19">
        <v>1.0</v>
      </c>
      <c r="Q86" s="19">
        <v>1.0</v>
      </c>
      <c r="R86" s="19">
        <v>1.0</v>
      </c>
      <c r="S86" s="19">
        <v>2.0</v>
      </c>
      <c r="T86" s="19">
        <v>3.0</v>
      </c>
      <c r="U86" s="19">
        <v>0.0</v>
      </c>
      <c r="V86" s="13">
        <f t="shared" si="20"/>
        <v>18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1.0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9">
        <v>0.0</v>
      </c>
      <c r="V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3">
        <f t="shared" si="20"/>
        <v>1</v>
      </c>
    </row>
    <row r="89" ht="12.75" customHeight="1">
      <c r="A89" s="18"/>
      <c r="B89" s="56"/>
      <c r="C89" s="57"/>
      <c r="D89" s="6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3">
        <f t="shared" si="20"/>
        <v>0</v>
      </c>
    </row>
    <row r="90" ht="12.75" customHeight="1">
      <c r="A90" s="18"/>
      <c r="B90" s="56"/>
      <c r="C90" s="57"/>
      <c r="D90" s="6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U91" si="21">SUM(E81:E88)</f>
        <v>30</v>
      </c>
      <c r="F91" s="13">
        <f t="shared" si="21"/>
        <v>20</v>
      </c>
      <c r="G91" s="13">
        <f t="shared" si="21"/>
        <v>27</v>
      </c>
      <c r="H91" s="13">
        <f t="shared" si="21"/>
        <v>32</v>
      </c>
      <c r="I91" s="13">
        <f t="shared" si="21"/>
        <v>23</v>
      </c>
      <c r="J91" s="13">
        <f t="shared" si="21"/>
        <v>17</v>
      </c>
      <c r="K91" s="13">
        <f t="shared" si="21"/>
        <v>17</v>
      </c>
      <c r="L91" s="13">
        <f t="shared" si="21"/>
        <v>19</v>
      </c>
      <c r="M91" s="13">
        <f t="shared" si="21"/>
        <v>13</v>
      </c>
      <c r="N91" s="13">
        <f t="shared" si="21"/>
        <v>13</v>
      </c>
      <c r="O91" s="13">
        <f t="shared" si="21"/>
        <v>18</v>
      </c>
      <c r="P91" s="13">
        <f t="shared" si="21"/>
        <v>12</v>
      </c>
      <c r="Q91" s="13">
        <f t="shared" si="21"/>
        <v>26</v>
      </c>
      <c r="R91" s="13">
        <f t="shared" si="21"/>
        <v>19</v>
      </c>
      <c r="S91" s="13">
        <f t="shared" si="21"/>
        <v>8</v>
      </c>
      <c r="T91" s="13">
        <f t="shared" si="21"/>
        <v>6</v>
      </c>
      <c r="U91" s="13">
        <f t="shared" si="21"/>
        <v>13</v>
      </c>
      <c r="V91" s="13">
        <f t="shared" si="20"/>
        <v>313</v>
      </c>
    </row>
    <row r="92" ht="12.75" customHeight="1">
      <c r="A92" s="74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13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1.0</v>
      </c>
      <c r="H93" s="19">
        <v>2.0</v>
      </c>
      <c r="I93" s="19">
        <v>0.0</v>
      </c>
      <c r="J93" s="19">
        <v>4.0</v>
      </c>
      <c r="K93" s="19">
        <v>1.0</v>
      </c>
      <c r="L93" s="19">
        <v>0.0</v>
      </c>
      <c r="M93" s="19">
        <v>2.0</v>
      </c>
      <c r="N93" s="19">
        <v>1.0</v>
      </c>
      <c r="O93" s="19">
        <v>2.0</v>
      </c>
      <c r="P93" s="19">
        <v>2.0</v>
      </c>
      <c r="Q93" s="19">
        <v>3.0</v>
      </c>
      <c r="R93" s="19">
        <v>0.0</v>
      </c>
      <c r="S93" s="19">
        <v>0.0</v>
      </c>
      <c r="T93" s="19">
        <v>3.0</v>
      </c>
      <c r="U93" s="19">
        <v>2.0</v>
      </c>
      <c r="V93" s="13">
        <f t="shared" ref="V93:V103" si="22">SUM(E93:U93)</f>
        <v>23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0.0</v>
      </c>
      <c r="H94" s="19">
        <v>0.0</v>
      </c>
      <c r="I94" s="19">
        <v>3.0</v>
      </c>
      <c r="J94" s="19">
        <v>0.0</v>
      </c>
      <c r="K94" s="19">
        <v>0.0</v>
      </c>
      <c r="L94" s="19">
        <v>0.0</v>
      </c>
      <c r="M94" s="19">
        <v>2.0</v>
      </c>
      <c r="N94" s="19">
        <v>1.0</v>
      </c>
      <c r="O94" s="19">
        <v>4.0</v>
      </c>
      <c r="P94" s="19">
        <v>2.0</v>
      </c>
      <c r="Q94" s="19">
        <v>0.0</v>
      </c>
      <c r="R94" s="19">
        <v>1.0</v>
      </c>
      <c r="S94" s="19">
        <v>2.0</v>
      </c>
      <c r="T94" s="19">
        <v>1.0</v>
      </c>
      <c r="U94" s="19">
        <v>2.0</v>
      </c>
      <c r="V94" s="13">
        <f t="shared" si="22"/>
        <v>19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1.0</v>
      </c>
      <c r="J95" s="19">
        <v>0.0</v>
      </c>
      <c r="K95" s="19">
        <v>3.0</v>
      </c>
      <c r="L95" s="19">
        <v>1.0</v>
      </c>
      <c r="M95" s="19">
        <v>2.0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3">
        <f t="shared" si="22"/>
        <v>7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1.0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2.0</v>
      </c>
      <c r="S97" s="19">
        <v>2.0</v>
      </c>
      <c r="T97" s="19">
        <v>0.0</v>
      </c>
      <c r="U97" s="19">
        <v>0.0</v>
      </c>
      <c r="V97" s="13">
        <f t="shared" si="22"/>
        <v>6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1.0</v>
      </c>
      <c r="N99" s="19">
        <v>1.0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3">
        <f t="shared" si="22"/>
        <v>1</v>
      </c>
    </row>
    <row r="101" ht="12.75" customHeight="1">
      <c r="A101" s="18"/>
      <c r="B101" s="56"/>
      <c r="C101" s="57"/>
      <c r="D101" s="6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3">
        <f t="shared" si="22"/>
        <v>0</v>
      </c>
    </row>
    <row r="102" ht="12.75" customHeight="1">
      <c r="A102" s="18"/>
      <c r="B102" s="56"/>
      <c r="C102" s="57"/>
      <c r="D102" s="6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U103" si="23">SUM(E93:E100)</f>
        <v>1</v>
      </c>
      <c r="F103" s="13">
        <f t="shared" si="23"/>
        <v>0</v>
      </c>
      <c r="G103" s="13">
        <f t="shared" si="23"/>
        <v>1</v>
      </c>
      <c r="H103" s="13">
        <f t="shared" si="23"/>
        <v>2</v>
      </c>
      <c r="I103" s="13">
        <f t="shared" si="23"/>
        <v>6</v>
      </c>
      <c r="J103" s="13">
        <f t="shared" si="23"/>
        <v>5</v>
      </c>
      <c r="K103" s="13">
        <f t="shared" si="23"/>
        <v>4</v>
      </c>
      <c r="L103" s="13">
        <f t="shared" si="23"/>
        <v>2</v>
      </c>
      <c r="M103" s="13">
        <f t="shared" si="23"/>
        <v>7</v>
      </c>
      <c r="N103" s="13">
        <f t="shared" si="23"/>
        <v>4</v>
      </c>
      <c r="O103" s="13">
        <f t="shared" si="23"/>
        <v>6</v>
      </c>
      <c r="P103" s="13">
        <f t="shared" si="23"/>
        <v>5</v>
      </c>
      <c r="Q103" s="13">
        <f t="shared" si="23"/>
        <v>3</v>
      </c>
      <c r="R103" s="13">
        <f t="shared" si="23"/>
        <v>3</v>
      </c>
      <c r="S103" s="13">
        <f t="shared" si="23"/>
        <v>4</v>
      </c>
      <c r="T103" s="13">
        <f t="shared" si="23"/>
        <v>5</v>
      </c>
      <c r="U103" s="13">
        <f t="shared" si="23"/>
        <v>5</v>
      </c>
      <c r="V103" s="13">
        <f t="shared" si="22"/>
        <v>63</v>
      </c>
    </row>
    <row r="104" ht="12.75" customHeight="1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13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2.0</v>
      </c>
      <c r="N105" s="19">
        <v>0.0</v>
      </c>
      <c r="O105" s="19">
        <v>0.0</v>
      </c>
      <c r="P105" s="19">
        <v>0.0</v>
      </c>
      <c r="Q105" s="19">
        <v>0.0</v>
      </c>
      <c r="R105" s="19">
        <v>3.0</v>
      </c>
      <c r="S105" s="19">
        <v>0.0</v>
      </c>
      <c r="T105" s="19">
        <v>1.0</v>
      </c>
      <c r="U105" s="19">
        <v>0.0</v>
      </c>
      <c r="V105" s="13">
        <f t="shared" ref="V105:V115" si="24">SUM(E105:U105)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1.0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1.0</v>
      </c>
      <c r="S111" s="19">
        <v>0.0</v>
      </c>
      <c r="T111" s="19">
        <v>0.0</v>
      </c>
      <c r="U111" s="19">
        <v>0.0</v>
      </c>
      <c r="V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3">
        <f t="shared" si="24"/>
        <v>0</v>
      </c>
    </row>
    <row r="113" ht="12.75" customHeight="1">
      <c r="A113" s="18"/>
      <c r="B113" s="56"/>
      <c r="C113" s="57"/>
      <c r="D113" s="6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4"/>
        <v>0</v>
      </c>
    </row>
    <row r="114" ht="12.75" customHeight="1">
      <c r="A114" s="18"/>
      <c r="B114" s="56"/>
      <c r="C114" s="57"/>
      <c r="D114" s="6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U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3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4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4"/>
        <v>10</v>
      </c>
    </row>
    <row r="116" ht="12.75" customHeight="1">
      <c r="A116" s="76"/>
      <c r="B116" s="77"/>
      <c r="C116" s="77"/>
      <c r="D116" s="77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0.0</v>
      </c>
      <c r="G117" s="19">
        <v>1.0</v>
      </c>
      <c r="H117" s="19">
        <v>1.0</v>
      </c>
      <c r="I117" s="19">
        <v>1.0</v>
      </c>
      <c r="J117" s="19">
        <v>0.0</v>
      </c>
      <c r="K117" s="19">
        <v>1.0</v>
      </c>
      <c r="L117" s="19">
        <v>0.0</v>
      </c>
      <c r="M117" s="19">
        <v>0.0</v>
      </c>
      <c r="N117" s="19">
        <v>0.0</v>
      </c>
      <c r="O117" s="19">
        <v>0.0</v>
      </c>
      <c r="P117" s="19">
        <v>1.0</v>
      </c>
      <c r="Q117" s="19">
        <v>1.0</v>
      </c>
      <c r="R117" s="19">
        <v>0.0</v>
      </c>
      <c r="S117" s="19">
        <v>0.0</v>
      </c>
      <c r="T117" s="19">
        <v>0.0</v>
      </c>
      <c r="U117" s="19">
        <v>0.0</v>
      </c>
      <c r="V117" s="13">
        <f t="shared" ref="V117:V127" si="26">SUM(E117:U117)</f>
        <v>8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2.0</v>
      </c>
      <c r="J118" s="19">
        <v>0.0</v>
      </c>
      <c r="K118" s="19">
        <v>1.0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1.0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3">
        <f t="shared" si="26"/>
        <v>4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3">
        <f t="shared" si="26"/>
        <v>2</v>
      </c>
    </row>
    <row r="121" ht="12.75" customHeight="1">
      <c r="A121" s="18"/>
      <c r="B121" s="56"/>
      <c r="C121" s="57"/>
      <c r="D121" s="61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13">
        <f t="shared" si="26"/>
        <v>0</v>
      </c>
    </row>
    <row r="122" ht="12.75" customHeight="1">
      <c r="A122" s="18"/>
      <c r="B122" s="56"/>
      <c r="C122" s="57"/>
      <c r="D122" s="61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13">
        <f t="shared" si="26"/>
        <v>0</v>
      </c>
    </row>
    <row r="123" ht="12.75" customHeight="1">
      <c r="A123" s="18"/>
      <c r="B123" s="56"/>
      <c r="C123" s="57"/>
      <c r="D123" s="6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3">
        <f t="shared" si="26"/>
        <v>0</v>
      </c>
    </row>
    <row r="124" ht="12.75" customHeight="1">
      <c r="A124" s="18"/>
      <c r="B124" s="56"/>
      <c r="C124" s="57"/>
      <c r="D124" s="6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3">
        <f t="shared" si="26"/>
        <v>0</v>
      </c>
    </row>
    <row r="125" ht="12.75" customHeight="1">
      <c r="A125" s="18"/>
      <c r="B125" s="56"/>
      <c r="C125" s="57"/>
      <c r="D125" s="6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13">
        <f t="shared" si="26"/>
        <v>0</v>
      </c>
    </row>
    <row r="126" ht="12.75" customHeight="1">
      <c r="A126" s="18"/>
      <c r="B126" s="56"/>
      <c r="C126" s="57"/>
      <c r="D126" s="6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62">
        <f t="shared" ref="E127:U127" si="27">SUM(E117:E120)</f>
        <v>3</v>
      </c>
      <c r="F127" s="62">
        <f t="shared" si="27"/>
        <v>0</v>
      </c>
      <c r="G127" s="62">
        <f t="shared" si="27"/>
        <v>1</v>
      </c>
      <c r="H127" s="62">
        <f t="shared" si="27"/>
        <v>1</v>
      </c>
      <c r="I127" s="62">
        <f t="shared" si="27"/>
        <v>4</v>
      </c>
      <c r="J127" s="62">
        <f t="shared" si="27"/>
        <v>1</v>
      </c>
      <c r="K127" s="62">
        <f t="shared" si="27"/>
        <v>2</v>
      </c>
      <c r="L127" s="62">
        <f t="shared" si="27"/>
        <v>1</v>
      </c>
      <c r="M127" s="62">
        <f t="shared" si="27"/>
        <v>1</v>
      </c>
      <c r="N127" s="62">
        <f t="shared" si="27"/>
        <v>0</v>
      </c>
      <c r="O127" s="62">
        <f t="shared" si="27"/>
        <v>0</v>
      </c>
      <c r="P127" s="62">
        <f t="shared" si="27"/>
        <v>1</v>
      </c>
      <c r="Q127" s="62">
        <f t="shared" si="27"/>
        <v>1</v>
      </c>
      <c r="R127" s="62">
        <f t="shared" si="27"/>
        <v>1</v>
      </c>
      <c r="S127" s="62">
        <f t="shared" si="27"/>
        <v>0</v>
      </c>
      <c r="T127" s="62">
        <f t="shared" si="27"/>
        <v>1</v>
      </c>
      <c r="U127" s="62">
        <f t="shared" si="27"/>
        <v>0</v>
      </c>
      <c r="V127" s="13">
        <f t="shared" si="26"/>
        <v>18</v>
      </c>
    </row>
    <row r="128" ht="12.75" customHeight="1">
      <c r="A128" s="76"/>
      <c r="B128" s="77"/>
      <c r="C128" s="77"/>
      <c r="D128" s="77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13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1.0</v>
      </c>
      <c r="G129" s="19">
        <v>5.0</v>
      </c>
      <c r="H129" s="19">
        <v>2.0</v>
      </c>
      <c r="I129" s="19">
        <v>3.0</v>
      </c>
      <c r="J129" s="19">
        <v>9.0</v>
      </c>
      <c r="K129" s="19">
        <v>2.0</v>
      </c>
      <c r="L129" s="19">
        <v>4.0</v>
      </c>
      <c r="M129" s="19">
        <v>3.0</v>
      </c>
      <c r="N129" s="19">
        <v>1.0</v>
      </c>
      <c r="O129" s="19">
        <v>2.0</v>
      </c>
      <c r="P129" s="19">
        <v>4.0</v>
      </c>
      <c r="Q129" s="19">
        <v>3.0</v>
      </c>
      <c r="R129" s="19">
        <v>3.0</v>
      </c>
      <c r="S129" s="19">
        <v>3.0</v>
      </c>
      <c r="T129" s="19">
        <v>11.0</v>
      </c>
      <c r="U129" s="19">
        <v>4.0</v>
      </c>
      <c r="V129" s="13">
        <f t="shared" ref="V129:V139" si="28">SUM(E129:U129)</f>
        <v>62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4.0</v>
      </c>
      <c r="F130" s="19">
        <v>1.0</v>
      </c>
      <c r="G130" s="19">
        <v>2.0</v>
      </c>
      <c r="H130" s="19">
        <v>1.0</v>
      </c>
      <c r="I130" s="19">
        <v>9.0</v>
      </c>
      <c r="J130" s="19">
        <v>6.0</v>
      </c>
      <c r="K130" s="19">
        <v>1.0</v>
      </c>
      <c r="L130" s="19">
        <v>14.0</v>
      </c>
      <c r="M130" s="19">
        <v>6.0</v>
      </c>
      <c r="N130" s="19">
        <v>1.0</v>
      </c>
      <c r="O130" s="19">
        <v>2.0</v>
      </c>
      <c r="P130" s="19">
        <v>3.0</v>
      </c>
      <c r="Q130" s="19">
        <v>6.0</v>
      </c>
      <c r="R130" s="19">
        <v>7.0</v>
      </c>
      <c r="S130" s="19">
        <v>1.0</v>
      </c>
      <c r="T130" s="19">
        <v>4.0</v>
      </c>
      <c r="U130" s="19">
        <v>3.0</v>
      </c>
      <c r="V130" s="13">
        <f t="shared" si="28"/>
        <v>71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0.0</v>
      </c>
      <c r="G131" s="19">
        <v>0.0</v>
      </c>
      <c r="H131" s="19">
        <v>2.0</v>
      </c>
      <c r="I131" s="19">
        <v>0.0</v>
      </c>
      <c r="J131" s="19">
        <v>19.0</v>
      </c>
      <c r="K131" s="19">
        <v>5.0</v>
      </c>
      <c r="L131" s="19">
        <v>1.0</v>
      </c>
      <c r="M131" s="19">
        <v>0.0</v>
      </c>
      <c r="N131" s="19">
        <v>1.0</v>
      </c>
      <c r="O131" s="19">
        <v>2.0</v>
      </c>
      <c r="P131" s="19">
        <v>0.0</v>
      </c>
      <c r="Q131" s="19">
        <v>0.0</v>
      </c>
      <c r="R131" s="19">
        <v>10.0</v>
      </c>
      <c r="S131" s="19">
        <v>1.0</v>
      </c>
      <c r="T131" s="19">
        <v>4.0</v>
      </c>
      <c r="U131" s="19">
        <v>6.0</v>
      </c>
      <c r="V131" s="13">
        <f t="shared" si="28"/>
        <v>52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2.0</v>
      </c>
      <c r="I132" s="19">
        <v>0.0</v>
      </c>
      <c r="J132" s="19">
        <v>4.0</v>
      </c>
      <c r="K132" s="19">
        <v>2.0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2.0</v>
      </c>
      <c r="T132" s="19">
        <v>0.0</v>
      </c>
      <c r="U132" s="19">
        <v>1.0</v>
      </c>
      <c r="V132" s="13">
        <f t="shared" si="28"/>
        <v>12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1.0</v>
      </c>
      <c r="R135" s="19">
        <v>2.0</v>
      </c>
      <c r="S135" s="19">
        <v>0.0</v>
      </c>
      <c r="T135" s="19">
        <v>0.0</v>
      </c>
      <c r="U135" s="19">
        <v>0.0</v>
      </c>
      <c r="V135" s="13">
        <f t="shared" si="28"/>
        <v>4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U139" si="29">SUM(E129:E136)</f>
        <v>7</v>
      </c>
      <c r="F139" s="13">
        <f t="shared" si="29"/>
        <v>2</v>
      </c>
      <c r="G139" s="13">
        <f t="shared" si="29"/>
        <v>7</v>
      </c>
      <c r="H139" s="13">
        <f t="shared" si="29"/>
        <v>7</v>
      </c>
      <c r="I139" s="13">
        <f t="shared" si="29"/>
        <v>12</v>
      </c>
      <c r="J139" s="13">
        <f t="shared" si="29"/>
        <v>38</v>
      </c>
      <c r="K139" s="13">
        <f t="shared" si="29"/>
        <v>11</v>
      </c>
      <c r="L139" s="13">
        <f t="shared" si="29"/>
        <v>19</v>
      </c>
      <c r="M139" s="13">
        <f t="shared" si="29"/>
        <v>9</v>
      </c>
      <c r="N139" s="13">
        <f t="shared" si="29"/>
        <v>3</v>
      </c>
      <c r="O139" s="13">
        <f t="shared" si="29"/>
        <v>6</v>
      </c>
      <c r="P139" s="13">
        <f t="shared" si="29"/>
        <v>8</v>
      </c>
      <c r="Q139" s="13">
        <f t="shared" si="29"/>
        <v>10</v>
      </c>
      <c r="R139" s="13">
        <f t="shared" si="29"/>
        <v>23</v>
      </c>
      <c r="S139" s="13">
        <f t="shared" si="29"/>
        <v>7</v>
      </c>
      <c r="T139" s="13">
        <f t="shared" si="29"/>
        <v>19</v>
      </c>
      <c r="U139" s="13">
        <f t="shared" si="29"/>
        <v>14</v>
      </c>
      <c r="V139" s="13">
        <f t="shared" si="28"/>
        <v>202</v>
      </c>
    </row>
    <row r="140" ht="12.75" customHeight="1">
      <c r="A140" s="76"/>
      <c r="B140" s="77"/>
      <c r="C140" s="77"/>
      <c r="D140" s="77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13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3">
        <f t="shared" ref="V141:V151" si="30">SUM(E141:U141)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1.0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3">
        <f t="shared" si="30"/>
        <v>0</v>
      </c>
    </row>
    <row r="149" ht="12.75" customHeight="1">
      <c r="A149" s="18"/>
      <c r="B149" s="56"/>
      <c r="C149" s="57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0"/>
        <v>0</v>
      </c>
    </row>
    <row r="150" ht="12.75" customHeight="1">
      <c r="A150" s="18"/>
      <c r="B150" s="56"/>
      <c r="C150" s="57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U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0"/>
        <v>1</v>
      </c>
    </row>
    <row r="152" ht="12.75" customHeight="1">
      <c r="A152" s="76"/>
      <c r="B152" s="77"/>
      <c r="C152" s="77"/>
      <c r="D152" s="77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3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3">
        <f t="shared" ref="V153:V163" si="32">SUM(E153:U153)</f>
        <v>2</v>
      </c>
    </row>
    <row r="154" ht="12.75" customHeight="1">
      <c r="A154" s="30" t="s">
        <v>39</v>
      </c>
      <c r="B154" s="55">
        <v>1.0</v>
      </c>
      <c r="C154" s="63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3">
        <f t="shared" si="32"/>
        <v>2</v>
      </c>
    </row>
    <row r="155" ht="12.75" customHeight="1">
      <c r="A155" s="18"/>
      <c r="B155" s="55">
        <v>2.0</v>
      </c>
      <c r="C155" s="63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3">
        <f t="shared" si="32"/>
        <v>0</v>
      </c>
    </row>
    <row r="156" ht="12.75" customHeight="1">
      <c r="A156" s="18"/>
      <c r="B156" s="55">
        <v>3.0</v>
      </c>
      <c r="C156" s="63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1.0</v>
      </c>
      <c r="M156" s="19">
        <v>0.0</v>
      </c>
      <c r="N156" s="19">
        <v>0.0</v>
      </c>
      <c r="O156" s="19">
        <v>1.0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3">
        <f t="shared" si="32"/>
        <v>2</v>
      </c>
    </row>
    <row r="157" ht="12.75" customHeight="1">
      <c r="A157" s="18"/>
      <c r="B157" s="55">
        <v>4.0</v>
      </c>
      <c r="C157" s="63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3">
        <f t="shared" si="32"/>
        <v>0</v>
      </c>
    </row>
    <row r="158" ht="12.75" customHeight="1">
      <c r="A158" s="18"/>
      <c r="B158" s="56"/>
      <c r="C158" s="64"/>
      <c r="D158" s="6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3">
        <f t="shared" si="32"/>
        <v>0</v>
      </c>
    </row>
    <row r="159" ht="12.75" customHeight="1">
      <c r="A159" s="18"/>
      <c r="B159" s="56"/>
      <c r="C159" s="64"/>
      <c r="D159" s="6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3">
        <f t="shared" si="32"/>
        <v>0</v>
      </c>
    </row>
    <row r="160" ht="12.75" customHeight="1">
      <c r="A160" s="18"/>
      <c r="B160" s="56"/>
      <c r="C160" s="64"/>
      <c r="D160" s="6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3">
        <f t="shared" si="32"/>
        <v>0</v>
      </c>
    </row>
    <row r="161" ht="12.75" customHeight="1">
      <c r="A161" s="18"/>
      <c r="B161" s="56"/>
      <c r="C161" s="64"/>
      <c r="D161" s="6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2"/>
        <v>0</v>
      </c>
    </row>
    <row r="162" ht="12.75" customHeight="1">
      <c r="A162" s="18"/>
      <c r="B162" s="56"/>
      <c r="C162" s="64"/>
      <c r="D162" s="6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2"/>
        <v>0</v>
      </c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U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2"/>
        <v>6</v>
      </c>
    </row>
    <row r="164" ht="12.75" customHeight="1">
      <c r="A164" s="76"/>
      <c r="B164" s="77"/>
      <c r="C164" s="77"/>
      <c r="D164" s="77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13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9">
        <v>0.0</v>
      </c>
      <c r="V165" s="13">
        <f t="shared" ref="V165:V175" si="34">SUM(E165:U165)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3">
        <f t="shared" si="34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1.0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1.0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3">
        <f t="shared" si="34"/>
        <v>0</v>
      </c>
    </row>
    <row r="173" ht="12.75" customHeight="1">
      <c r="A173" s="18"/>
      <c r="B173" s="56"/>
      <c r="C173" s="57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4"/>
        <v>0</v>
      </c>
    </row>
    <row r="174" ht="12.75" customHeight="1">
      <c r="A174" s="18"/>
      <c r="B174" s="56"/>
      <c r="C174" s="57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U175" si="35">SUM(E165:E172)</f>
        <v>1</v>
      </c>
      <c r="F175" s="13">
        <f t="shared" si="35"/>
        <v>0</v>
      </c>
      <c r="G175" s="13">
        <f t="shared" si="35"/>
        <v>2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4"/>
        <v>8</v>
      </c>
    </row>
    <row r="176" ht="12.75" customHeight="1">
      <c r="A176" s="76"/>
      <c r="B176" s="77"/>
      <c r="C176" s="77"/>
      <c r="D176" s="77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13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2.0</v>
      </c>
      <c r="G177" s="19">
        <v>0.0</v>
      </c>
      <c r="H177" s="19">
        <v>2.0</v>
      </c>
      <c r="I177" s="19">
        <v>3.0</v>
      </c>
      <c r="J177" s="19">
        <v>1.0</v>
      </c>
      <c r="K177" s="19">
        <v>1.0</v>
      </c>
      <c r="L177" s="19">
        <v>0.0</v>
      </c>
      <c r="M177" s="19">
        <v>1.0</v>
      </c>
      <c r="N177" s="19">
        <v>2.0</v>
      </c>
      <c r="O177" s="19">
        <v>0.0</v>
      </c>
      <c r="P177" s="19">
        <v>0.0</v>
      </c>
      <c r="Q177" s="19">
        <v>1.0</v>
      </c>
      <c r="R177" s="19">
        <v>1.0</v>
      </c>
      <c r="S177" s="19">
        <v>0.0</v>
      </c>
      <c r="T177" s="19">
        <v>0.0</v>
      </c>
      <c r="U177" s="19">
        <v>1.0</v>
      </c>
      <c r="V177" s="13">
        <f t="shared" ref="V177:V187" si="36">SUM(E177:U177)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2.0</v>
      </c>
      <c r="G178" s="19">
        <v>1.0</v>
      </c>
      <c r="H178" s="19">
        <v>0.0</v>
      </c>
      <c r="I178" s="19">
        <v>1.0</v>
      </c>
      <c r="J178" s="19">
        <v>1.0</v>
      </c>
      <c r="K178" s="19">
        <v>1.0</v>
      </c>
      <c r="L178" s="19">
        <v>0.0</v>
      </c>
      <c r="M178" s="19">
        <v>1.0</v>
      </c>
      <c r="N178" s="19">
        <v>1.0</v>
      </c>
      <c r="O178" s="19">
        <v>1.0</v>
      </c>
      <c r="P178" s="19">
        <v>0.0</v>
      </c>
      <c r="Q178" s="19">
        <v>1.0</v>
      </c>
      <c r="R178" s="19">
        <v>5.0</v>
      </c>
      <c r="S178" s="19">
        <v>0.0</v>
      </c>
      <c r="T178" s="19">
        <v>1.0</v>
      </c>
      <c r="U178" s="19">
        <v>0.0</v>
      </c>
      <c r="V178" s="13">
        <f t="shared" si="36"/>
        <v>16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2.0</v>
      </c>
      <c r="G179" s="19">
        <v>0.0</v>
      </c>
      <c r="H179" s="19">
        <v>1.0</v>
      </c>
      <c r="I179" s="19">
        <v>0.0</v>
      </c>
      <c r="J179" s="19">
        <v>2.0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1.0</v>
      </c>
      <c r="R179" s="19">
        <v>0.0</v>
      </c>
      <c r="S179" s="19">
        <v>0.0</v>
      </c>
      <c r="T179" s="19">
        <v>1.0</v>
      </c>
      <c r="U179" s="19">
        <v>1.0</v>
      </c>
      <c r="V179" s="13">
        <f t="shared" si="36"/>
        <v>9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2.0</v>
      </c>
      <c r="K180" s="19">
        <v>0.0</v>
      </c>
      <c r="L180" s="19">
        <v>1.0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2.0</v>
      </c>
      <c r="U180" s="19">
        <v>0.0</v>
      </c>
      <c r="V180" s="13">
        <f t="shared" si="36"/>
        <v>7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1.0</v>
      </c>
      <c r="T181" s="19">
        <v>0.0</v>
      </c>
      <c r="U181" s="19">
        <v>0.0</v>
      </c>
      <c r="V181" s="13">
        <f t="shared" si="36"/>
        <v>3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1.0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2.0</v>
      </c>
      <c r="G184" s="19">
        <v>0.0</v>
      </c>
      <c r="H184" s="19">
        <v>0.0</v>
      </c>
      <c r="I184" s="19">
        <v>0.0</v>
      </c>
      <c r="J184" s="19">
        <v>1.0</v>
      </c>
      <c r="K184" s="19">
        <v>0.0</v>
      </c>
      <c r="L184" s="19">
        <v>0.0</v>
      </c>
      <c r="M184" s="19">
        <v>0.0</v>
      </c>
      <c r="N184" s="19">
        <v>3.0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3">
        <f t="shared" si="36"/>
        <v>6</v>
      </c>
    </row>
    <row r="185" ht="12.75" customHeight="1">
      <c r="A185" s="18"/>
      <c r="B185" s="56"/>
      <c r="C185" s="57"/>
      <c r="D185" s="6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3">
        <f t="shared" si="36"/>
        <v>0</v>
      </c>
    </row>
    <row r="186" ht="12.75" customHeight="1">
      <c r="A186" s="18"/>
      <c r="B186" s="56"/>
      <c r="C186" s="57"/>
      <c r="D186" s="6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U187" si="37">SUM(E177:E184)</f>
        <v>0</v>
      </c>
      <c r="F187" s="13">
        <f t="shared" si="37"/>
        <v>8</v>
      </c>
      <c r="G187" s="13">
        <f t="shared" si="37"/>
        <v>3</v>
      </c>
      <c r="H187" s="13">
        <f t="shared" si="37"/>
        <v>3</v>
      </c>
      <c r="I187" s="13">
        <f t="shared" si="37"/>
        <v>4</v>
      </c>
      <c r="J187" s="13">
        <f t="shared" si="37"/>
        <v>7</v>
      </c>
      <c r="K187" s="13">
        <f t="shared" si="37"/>
        <v>2</v>
      </c>
      <c r="L187" s="13">
        <f t="shared" si="37"/>
        <v>1</v>
      </c>
      <c r="M187" s="13">
        <f t="shared" si="37"/>
        <v>3</v>
      </c>
      <c r="N187" s="13">
        <f t="shared" si="37"/>
        <v>6</v>
      </c>
      <c r="O187" s="13">
        <f t="shared" si="37"/>
        <v>2</v>
      </c>
      <c r="P187" s="13">
        <f t="shared" si="37"/>
        <v>1</v>
      </c>
      <c r="Q187" s="13">
        <f t="shared" si="37"/>
        <v>3</v>
      </c>
      <c r="R187" s="13">
        <f t="shared" si="37"/>
        <v>7</v>
      </c>
      <c r="S187" s="13">
        <f t="shared" si="37"/>
        <v>1</v>
      </c>
      <c r="T187" s="13">
        <f t="shared" si="37"/>
        <v>4</v>
      </c>
      <c r="U187" s="13">
        <f t="shared" si="37"/>
        <v>2</v>
      </c>
      <c r="V187" s="13">
        <f t="shared" si="36"/>
        <v>57</v>
      </c>
    </row>
    <row r="188" ht="12.75" customHeight="1">
      <c r="A188" s="76"/>
      <c r="B188" s="77"/>
      <c r="C188" s="77"/>
      <c r="D188" s="77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3">
        <f t="shared" ref="V189:V199" si="38">SUM(E189:U189)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1.0</v>
      </c>
      <c r="U191" s="19">
        <v>0.0</v>
      </c>
      <c r="V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1.0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3">
        <f t="shared" si="38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1.0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1.0</v>
      </c>
      <c r="R196" s="19">
        <v>0.0</v>
      </c>
      <c r="S196" s="19">
        <v>0.0</v>
      </c>
      <c r="T196" s="19">
        <v>0.0</v>
      </c>
      <c r="U196" s="19">
        <v>1.0</v>
      </c>
      <c r="V196" s="13">
        <f t="shared" si="38"/>
        <v>2</v>
      </c>
    </row>
    <row r="197" ht="12.75" customHeight="1">
      <c r="A197" s="18"/>
      <c r="B197" s="56"/>
      <c r="C197" s="57"/>
      <c r="D197" s="6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3">
        <f t="shared" si="38"/>
        <v>0</v>
      </c>
    </row>
    <row r="198" ht="12.75" customHeight="1">
      <c r="A198" s="18"/>
      <c r="B198" s="56"/>
      <c r="C198" s="57"/>
      <c r="D198" s="6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U199" si="39">SUM(E189:E196)</f>
        <v>1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1</v>
      </c>
      <c r="V199" s="13">
        <f t="shared" si="38"/>
        <v>7</v>
      </c>
    </row>
    <row r="200" ht="12.75" customHeight="1">
      <c r="A200" s="76"/>
      <c r="B200" s="77"/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13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3.0</v>
      </c>
      <c r="G201" s="19">
        <v>4.0</v>
      </c>
      <c r="H201" s="19">
        <v>3.0</v>
      </c>
      <c r="I201" s="19">
        <v>4.0</v>
      </c>
      <c r="J201" s="19">
        <v>8.0</v>
      </c>
      <c r="K201" s="19">
        <v>3.0</v>
      </c>
      <c r="L201" s="19">
        <v>3.0</v>
      </c>
      <c r="M201" s="19">
        <v>11.0</v>
      </c>
      <c r="N201" s="19">
        <v>1.0</v>
      </c>
      <c r="O201" s="19">
        <v>0.0</v>
      </c>
      <c r="P201" s="19">
        <v>3.0</v>
      </c>
      <c r="Q201" s="19">
        <v>7.0</v>
      </c>
      <c r="R201" s="19">
        <v>5.0</v>
      </c>
      <c r="S201" s="19">
        <v>8.0</v>
      </c>
      <c r="T201" s="19">
        <v>3.0</v>
      </c>
      <c r="U201" s="19">
        <v>5.0</v>
      </c>
      <c r="V201" s="13">
        <f t="shared" ref="V201:V211" si="40">SUM(E201:U201)</f>
        <v>75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4.0</v>
      </c>
      <c r="F202" s="19">
        <v>2.0</v>
      </c>
      <c r="G202" s="19">
        <v>4.0</v>
      </c>
      <c r="H202" s="19">
        <v>1.0</v>
      </c>
      <c r="I202" s="19">
        <v>6.0</v>
      </c>
      <c r="J202" s="19">
        <v>0.0</v>
      </c>
      <c r="K202" s="19">
        <v>1.0</v>
      </c>
      <c r="L202" s="19">
        <v>3.0</v>
      </c>
      <c r="M202" s="19">
        <v>1.0</v>
      </c>
      <c r="N202" s="19">
        <v>1.0</v>
      </c>
      <c r="O202" s="19">
        <v>1.0</v>
      </c>
      <c r="P202" s="19">
        <v>2.0</v>
      </c>
      <c r="Q202" s="19">
        <v>3.0</v>
      </c>
      <c r="R202" s="19">
        <v>2.0</v>
      </c>
      <c r="S202" s="19">
        <v>7.0</v>
      </c>
      <c r="T202" s="19">
        <v>7.0</v>
      </c>
      <c r="U202" s="19">
        <v>5.0</v>
      </c>
      <c r="V202" s="13">
        <f t="shared" si="40"/>
        <v>50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4.0</v>
      </c>
      <c r="G203" s="19">
        <v>2.0</v>
      </c>
      <c r="H203" s="19">
        <v>3.0</v>
      </c>
      <c r="I203" s="19">
        <v>2.0</v>
      </c>
      <c r="J203" s="19">
        <v>0.0</v>
      </c>
      <c r="K203" s="19">
        <v>3.0</v>
      </c>
      <c r="L203" s="19">
        <v>2.0</v>
      </c>
      <c r="M203" s="19">
        <v>4.0</v>
      </c>
      <c r="N203" s="19">
        <v>1.0</v>
      </c>
      <c r="O203" s="19">
        <v>0.0</v>
      </c>
      <c r="P203" s="19">
        <v>3.0</v>
      </c>
      <c r="Q203" s="19">
        <v>3.0</v>
      </c>
      <c r="R203" s="19">
        <v>4.0</v>
      </c>
      <c r="S203" s="19">
        <v>2.0</v>
      </c>
      <c r="T203" s="19">
        <v>1.0</v>
      </c>
      <c r="U203" s="19">
        <v>3.0</v>
      </c>
      <c r="V203" s="13">
        <f t="shared" si="40"/>
        <v>37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9">
        <v>3.0</v>
      </c>
      <c r="S204" s="19">
        <v>2.0</v>
      </c>
      <c r="T204" s="19">
        <v>0.0</v>
      </c>
      <c r="U204" s="19">
        <v>1.0</v>
      </c>
      <c r="V204" s="13">
        <f t="shared" si="40"/>
        <v>7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1.0</v>
      </c>
      <c r="M205" s="19">
        <v>0.0</v>
      </c>
      <c r="N205" s="19">
        <v>1.0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3">
        <f t="shared" si="40"/>
        <v>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1.0</v>
      </c>
      <c r="V206" s="13">
        <f t="shared" si="40"/>
        <v>4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1.0</v>
      </c>
      <c r="T207" s="19">
        <v>0.0</v>
      </c>
      <c r="U207" s="19">
        <v>0.0</v>
      </c>
      <c r="V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2.0</v>
      </c>
      <c r="S208" s="19">
        <v>0.0</v>
      </c>
      <c r="T208" s="19">
        <v>2.0</v>
      </c>
      <c r="U208" s="19">
        <v>0.0</v>
      </c>
      <c r="V208" s="13">
        <f t="shared" si="40"/>
        <v>6</v>
      </c>
    </row>
    <row r="209" ht="12.75" customHeight="1">
      <c r="A209" s="18"/>
      <c r="B209" s="56"/>
      <c r="C209" s="57"/>
      <c r="D209" s="6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3">
        <f t="shared" si="40"/>
        <v>0</v>
      </c>
    </row>
    <row r="210" ht="12.75" customHeight="1">
      <c r="A210" s="18"/>
      <c r="B210" s="56"/>
      <c r="C210" s="57"/>
      <c r="D210" s="6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U211" si="41">SUM(E201:E208)</f>
        <v>9</v>
      </c>
      <c r="F211" s="13">
        <f t="shared" si="41"/>
        <v>9</v>
      </c>
      <c r="G211" s="13">
        <f t="shared" si="41"/>
        <v>11</v>
      </c>
      <c r="H211" s="13">
        <f t="shared" si="41"/>
        <v>7</v>
      </c>
      <c r="I211" s="13">
        <f t="shared" si="41"/>
        <v>12</v>
      </c>
      <c r="J211" s="13">
        <f t="shared" si="41"/>
        <v>9</v>
      </c>
      <c r="K211" s="13">
        <f t="shared" si="41"/>
        <v>7</v>
      </c>
      <c r="L211" s="13">
        <f t="shared" si="41"/>
        <v>10</v>
      </c>
      <c r="M211" s="13">
        <f t="shared" si="41"/>
        <v>18</v>
      </c>
      <c r="N211" s="13">
        <f t="shared" si="41"/>
        <v>4</v>
      </c>
      <c r="O211" s="13">
        <f t="shared" si="41"/>
        <v>1</v>
      </c>
      <c r="P211" s="13">
        <f t="shared" si="41"/>
        <v>8</v>
      </c>
      <c r="Q211" s="13">
        <f t="shared" si="41"/>
        <v>15</v>
      </c>
      <c r="R211" s="13">
        <f t="shared" si="41"/>
        <v>16</v>
      </c>
      <c r="S211" s="13">
        <f t="shared" si="41"/>
        <v>20</v>
      </c>
      <c r="T211" s="13">
        <f t="shared" si="41"/>
        <v>13</v>
      </c>
      <c r="U211" s="13">
        <f t="shared" si="41"/>
        <v>15</v>
      </c>
      <c r="V211" s="13">
        <f t="shared" si="40"/>
        <v>184</v>
      </c>
    </row>
    <row r="212" ht="12.75" customHeight="1">
      <c r="A212" s="76"/>
      <c r="B212" s="77"/>
      <c r="C212" s="77"/>
      <c r="D212" s="77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13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2.0</v>
      </c>
      <c r="G213" s="19">
        <v>2.0</v>
      </c>
      <c r="H213" s="19">
        <v>3.0</v>
      </c>
      <c r="I213" s="19">
        <v>7.0</v>
      </c>
      <c r="J213" s="19">
        <v>7.0</v>
      </c>
      <c r="K213" s="19">
        <v>2.0</v>
      </c>
      <c r="L213" s="19">
        <v>1.0</v>
      </c>
      <c r="M213" s="19">
        <v>1.0</v>
      </c>
      <c r="N213" s="19">
        <v>1.0</v>
      </c>
      <c r="O213" s="19">
        <v>0.0</v>
      </c>
      <c r="P213" s="19">
        <v>1.0</v>
      </c>
      <c r="Q213" s="19">
        <v>1.0</v>
      </c>
      <c r="R213" s="19">
        <v>7.0</v>
      </c>
      <c r="S213" s="19">
        <v>3.0</v>
      </c>
      <c r="T213" s="19">
        <v>3.0</v>
      </c>
      <c r="U213" s="19">
        <v>13.0</v>
      </c>
      <c r="V213" s="13">
        <f t="shared" ref="V213:V223" si="42">SUM(E213:U213)</f>
        <v>56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3.0</v>
      </c>
      <c r="G214" s="19">
        <v>1.0</v>
      </c>
      <c r="H214" s="19">
        <v>1.0</v>
      </c>
      <c r="I214" s="19">
        <v>3.0</v>
      </c>
      <c r="J214" s="19">
        <v>0.0</v>
      </c>
      <c r="K214" s="19">
        <v>1.0</v>
      </c>
      <c r="L214" s="19">
        <v>0.0</v>
      </c>
      <c r="M214" s="19">
        <v>2.0</v>
      </c>
      <c r="N214" s="19">
        <v>0.0</v>
      </c>
      <c r="O214" s="19">
        <v>0.0</v>
      </c>
      <c r="P214" s="19">
        <v>0.0</v>
      </c>
      <c r="Q214" s="19">
        <v>2.0</v>
      </c>
      <c r="R214" s="19">
        <v>1.0</v>
      </c>
      <c r="S214" s="19">
        <v>2.0</v>
      </c>
      <c r="T214" s="19">
        <v>4.0</v>
      </c>
      <c r="U214" s="19">
        <v>3.0</v>
      </c>
      <c r="V214" s="13">
        <f t="shared" si="42"/>
        <v>23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1.0</v>
      </c>
      <c r="H215" s="19">
        <v>1.0</v>
      </c>
      <c r="I215" s="19">
        <v>2.0</v>
      </c>
      <c r="J215" s="19">
        <v>0.0</v>
      </c>
      <c r="K215" s="19">
        <v>1.0</v>
      </c>
      <c r="L215" s="19">
        <v>1.0</v>
      </c>
      <c r="M215" s="19">
        <v>0.0</v>
      </c>
      <c r="N215" s="19">
        <v>4.0</v>
      </c>
      <c r="O215" s="19">
        <v>5.0</v>
      </c>
      <c r="P215" s="19">
        <v>2.0</v>
      </c>
      <c r="Q215" s="19">
        <v>0.0</v>
      </c>
      <c r="R215" s="19">
        <v>5.0</v>
      </c>
      <c r="S215" s="19">
        <v>2.0</v>
      </c>
      <c r="T215" s="19">
        <v>1.0</v>
      </c>
      <c r="U215" s="19">
        <v>0.0</v>
      </c>
      <c r="V215" s="13">
        <f t="shared" si="42"/>
        <v>25</v>
      </c>
    </row>
    <row r="216" ht="12.75" customHeight="1">
      <c r="A216" s="18"/>
      <c r="B216" s="55">
        <v>3.0</v>
      </c>
      <c r="C216" s="65" t="s">
        <v>159</v>
      </c>
      <c r="E216" s="19">
        <v>0.0</v>
      </c>
      <c r="F216" s="19">
        <v>1.0</v>
      </c>
      <c r="G216" s="19">
        <v>1.0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1.0</v>
      </c>
      <c r="N216" s="19">
        <v>0.0</v>
      </c>
      <c r="O216" s="19">
        <v>1.0</v>
      </c>
      <c r="P216" s="19">
        <v>1.0</v>
      </c>
      <c r="Q216" s="19">
        <v>0.0</v>
      </c>
      <c r="R216" s="19">
        <v>1.0</v>
      </c>
      <c r="S216" s="19">
        <v>2.0</v>
      </c>
      <c r="T216" s="19">
        <v>1.0</v>
      </c>
      <c r="U216" s="19">
        <v>0.0</v>
      </c>
      <c r="V216" s="13">
        <f t="shared" si="42"/>
        <v>10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2.0</v>
      </c>
      <c r="V217" s="13">
        <f t="shared" si="42"/>
        <v>4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1.0</v>
      </c>
      <c r="U218" s="19">
        <v>2.0</v>
      </c>
      <c r="V218" s="13">
        <f t="shared" si="42"/>
        <v>3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1.0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3">
        <f t="shared" si="42"/>
        <v>5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3">
        <f t="shared" si="42"/>
        <v>3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U223" si="43">SUM(E213:E220)</f>
        <v>3</v>
      </c>
      <c r="F223" s="13">
        <f t="shared" si="43"/>
        <v>8</v>
      </c>
      <c r="G223" s="13">
        <f t="shared" si="43"/>
        <v>5</v>
      </c>
      <c r="H223" s="13">
        <f t="shared" si="43"/>
        <v>5</v>
      </c>
      <c r="I223" s="13">
        <f t="shared" si="43"/>
        <v>13</v>
      </c>
      <c r="J223" s="13">
        <f t="shared" si="43"/>
        <v>8</v>
      </c>
      <c r="K223" s="13">
        <f t="shared" si="43"/>
        <v>5</v>
      </c>
      <c r="L223" s="13">
        <f t="shared" si="43"/>
        <v>2</v>
      </c>
      <c r="M223" s="13">
        <f t="shared" si="43"/>
        <v>4</v>
      </c>
      <c r="N223" s="13">
        <f t="shared" si="43"/>
        <v>5</v>
      </c>
      <c r="O223" s="13">
        <f t="shared" si="43"/>
        <v>7</v>
      </c>
      <c r="P223" s="13">
        <f t="shared" si="43"/>
        <v>5</v>
      </c>
      <c r="Q223" s="13">
        <f t="shared" si="43"/>
        <v>3</v>
      </c>
      <c r="R223" s="13">
        <f t="shared" si="43"/>
        <v>14</v>
      </c>
      <c r="S223" s="13">
        <f t="shared" si="43"/>
        <v>9</v>
      </c>
      <c r="T223" s="13">
        <f t="shared" si="43"/>
        <v>13</v>
      </c>
      <c r="U223" s="13">
        <f t="shared" si="43"/>
        <v>20</v>
      </c>
      <c r="V223" s="13">
        <f t="shared" si="42"/>
        <v>129</v>
      </c>
    </row>
    <row r="224" ht="12.75" customHeight="1">
      <c r="A224" s="76"/>
      <c r="B224" s="77"/>
      <c r="C224" s="77"/>
      <c r="D224" s="77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13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1.0</v>
      </c>
      <c r="L225" s="19">
        <v>1.0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1.0</v>
      </c>
      <c r="V225" s="13">
        <f t="shared" ref="V225:V235" si="44">SUM(E225:U225)</f>
        <v>6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1.0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5.0</v>
      </c>
      <c r="Q226" s="19">
        <v>0.0</v>
      </c>
      <c r="R226" s="19">
        <v>4.0</v>
      </c>
      <c r="S226" s="19">
        <v>0.0</v>
      </c>
      <c r="T226" s="19">
        <v>0.0</v>
      </c>
      <c r="U226" s="19">
        <v>0.0</v>
      </c>
      <c r="V226" s="13">
        <f t="shared" si="44"/>
        <v>11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1.0</v>
      </c>
      <c r="V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1.0</v>
      </c>
      <c r="V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3.0</v>
      </c>
      <c r="F232" s="19">
        <v>0.0</v>
      </c>
      <c r="G232" s="19">
        <v>1.0</v>
      </c>
      <c r="H232" s="19">
        <v>6.0</v>
      </c>
      <c r="I232" s="19">
        <v>1.0</v>
      </c>
      <c r="J232" s="19">
        <v>0.0</v>
      </c>
      <c r="K232" s="19">
        <v>0.0</v>
      </c>
      <c r="L232" s="19">
        <v>0.0</v>
      </c>
      <c r="M232" s="19">
        <v>1.0</v>
      </c>
      <c r="N232" s="19">
        <v>1.0</v>
      </c>
      <c r="O232" s="19">
        <v>0.0</v>
      </c>
      <c r="P232" s="19">
        <v>0.0</v>
      </c>
      <c r="Q232" s="19">
        <v>1.0</v>
      </c>
      <c r="R232" s="19">
        <v>0.0</v>
      </c>
      <c r="S232" s="19">
        <v>0.0</v>
      </c>
      <c r="T232" s="19">
        <v>2.0</v>
      </c>
      <c r="U232" s="19">
        <v>0.0</v>
      </c>
      <c r="V232" s="13">
        <f t="shared" si="44"/>
        <v>16</v>
      </c>
    </row>
    <row r="233" ht="12.75" customHeight="1">
      <c r="A233" s="18"/>
      <c r="B233" s="56"/>
      <c r="C233" s="57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4"/>
        <v>0</v>
      </c>
    </row>
    <row r="234" ht="12.75" customHeight="1">
      <c r="A234" s="18"/>
      <c r="B234" s="56"/>
      <c r="C234" s="57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U235" si="45">SUM(E225:E232)</f>
        <v>4</v>
      </c>
      <c r="F235" s="13">
        <f t="shared" si="45"/>
        <v>0</v>
      </c>
      <c r="G235" s="13">
        <f t="shared" si="45"/>
        <v>1</v>
      </c>
      <c r="H235" s="13">
        <f t="shared" si="45"/>
        <v>7</v>
      </c>
      <c r="I235" s="13">
        <f t="shared" si="45"/>
        <v>1</v>
      </c>
      <c r="J235" s="13">
        <f t="shared" si="45"/>
        <v>1</v>
      </c>
      <c r="K235" s="13">
        <f t="shared" si="45"/>
        <v>1</v>
      </c>
      <c r="L235" s="13">
        <f t="shared" si="45"/>
        <v>1</v>
      </c>
      <c r="M235" s="13">
        <f t="shared" si="45"/>
        <v>1</v>
      </c>
      <c r="N235" s="13">
        <f t="shared" si="45"/>
        <v>1</v>
      </c>
      <c r="O235" s="13">
        <f t="shared" si="45"/>
        <v>1</v>
      </c>
      <c r="P235" s="13">
        <f t="shared" si="45"/>
        <v>5</v>
      </c>
      <c r="Q235" s="13">
        <f t="shared" si="45"/>
        <v>1</v>
      </c>
      <c r="R235" s="13">
        <f t="shared" si="45"/>
        <v>4</v>
      </c>
      <c r="S235" s="13">
        <f t="shared" si="45"/>
        <v>1</v>
      </c>
      <c r="T235" s="13">
        <f t="shared" si="45"/>
        <v>2</v>
      </c>
      <c r="U235" s="13">
        <f t="shared" si="45"/>
        <v>3</v>
      </c>
      <c r="V235" s="13">
        <f t="shared" si="44"/>
        <v>35</v>
      </c>
    </row>
    <row r="236" ht="12.75" customHeight="1">
      <c r="A236" s="76"/>
      <c r="B236" s="77"/>
      <c r="C236" s="77"/>
      <c r="D236" s="77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13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2.0</v>
      </c>
      <c r="H237" s="19">
        <v>1.0</v>
      </c>
      <c r="I237" s="19">
        <v>0.0</v>
      </c>
      <c r="J237" s="19">
        <v>1.0</v>
      </c>
      <c r="K237" s="19">
        <v>0.0</v>
      </c>
      <c r="L237" s="19">
        <v>0.0</v>
      </c>
      <c r="M237" s="19">
        <v>1.0</v>
      </c>
      <c r="N237" s="19">
        <v>1.0</v>
      </c>
      <c r="O237" s="19">
        <v>0.0</v>
      </c>
      <c r="P237" s="19">
        <v>1.0</v>
      </c>
      <c r="Q237" s="19">
        <v>1.0</v>
      </c>
      <c r="R237" s="19">
        <v>0.0</v>
      </c>
      <c r="S237" s="19">
        <v>1.0</v>
      </c>
      <c r="T237" s="19">
        <v>2.0</v>
      </c>
      <c r="U237" s="19">
        <v>0.0</v>
      </c>
      <c r="V237" s="13">
        <f t="shared" ref="V237:V247" si="46">SUM(E237:U237)</f>
        <v>11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3">
        <f t="shared" si="46"/>
        <v>1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1.0</v>
      </c>
      <c r="G239" s="19">
        <v>5.0</v>
      </c>
      <c r="H239" s="19">
        <v>0.0</v>
      </c>
      <c r="I239" s="19">
        <v>1.0</v>
      </c>
      <c r="J239" s="19">
        <v>1.0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1.0</v>
      </c>
      <c r="Q239" s="19">
        <v>0.0</v>
      </c>
      <c r="R239" s="19">
        <v>2.0</v>
      </c>
      <c r="S239" s="19">
        <v>1.0</v>
      </c>
      <c r="T239" s="19">
        <v>3.0</v>
      </c>
      <c r="U239" s="19">
        <v>1.0</v>
      </c>
      <c r="V239" s="13">
        <f t="shared" si="46"/>
        <v>17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3">
        <f t="shared" si="46"/>
        <v>0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1.0</v>
      </c>
      <c r="F244" s="19">
        <v>1.0</v>
      </c>
      <c r="G244" s="19">
        <v>0.0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1.0</v>
      </c>
      <c r="S244" s="19">
        <v>0.0</v>
      </c>
      <c r="T244" s="19">
        <v>0.0</v>
      </c>
      <c r="U244" s="19">
        <v>0.0</v>
      </c>
      <c r="V244" s="13">
        <f t="shared" si="46"/>
        <v>4</v>
      </c>
    </row>
    <row r="245" ht="12.75" customHeight="1">
      <c r="A245" s="18"/>
      <c r="B245" s="56"/>
      <c r="C245" s="57"/>
      <c r="D245" s="6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3">
        <f t="shared" si="46"/>
        <v>0</v>
      </c>
    </row>
    <row r="246" ht="12.75" customHeight="1">
      <c r="A246" s="18"/>
      <c r="B246" s="56"/>
      <c r="C246" s="57"/>
      <c r="D246" s="6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U247" si="47">SUM(E237:E244)</f>
        <v>2</v>
      </c>
      <c r="F247" s="13">
        <f t="shared" si="47"/>
        <v>3</v>
      </c>
      <c r="G247" s="13">
        <f t="shared" si="47"/>
        <v>8</v>
      </c>
      <c r="H247" s="13">
        <f t="shared" si="47"/>
        <v>1</v>
      </c>
      <c r="I247" s="13">
        <f t="shared" si="47"/>
        <v>2</v>
      </c>
      <c r="J247" s="13">
        <f t="shared" si="47"/>
        <v>3</v>
      </c>
      <c r="K247" s="13">
        <f t="shared" si="47"/>
        <v>1</v>
      </c>
      <c r="L247" s="13">
        <f t="shared" si="47"/>
        <v>0</v>
      </c>
      <c r="M247" s="13">
        <f t="shared" si="47"/>
        <v>1</v>
      </c>
      <c r="N247" s="13">
        <f t="shared" si="47"/>
        <v>1</v>
      </c>
      <c r="O247" s="13">
        <f t="shared" si="47"/>
        <v>0</v>
      </c>
      <c r="P247" s="13">
        <f t="shared" si="47"/>
        <v>2</v>
      </c>
      <c r="Q247" s="13">
        <f t="shared" si="47"/>
        <v>1</v>
      </c>
      <c r="R247" s="13">
        <f t="shared" si="47"/>
        <v>3</v>
      </c>
      <c r="S247" s="13">
        <f t="shared" si="47"/>
        <v>2</v>
      </c>
      <c r="T247" s="13">
        <f t="shared" si="47"/>
        <v>5</v>
      </c>
      <c r="U247" s="13">
        <f t="shared" si="47"/>
        <v>1</v>
      </c>
      <c r="V247" s="13">
        <f t="shared" si="46"/>
        <v>36</v>
      </c>
    </row>
    <row r="248" ht="12.75" customHeight="1">
      <c r="A248" s="76"/>
      <c r="B248" s="77"/>
      <c r="C248" s="77"/>
      <c r="D248" s="77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13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2.0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1.0</v>
      </c>
      <c r="N249" s="19">
        <v>0.0</v>
      </c>
      <c r="O249" s="19">
        <v>1.0</v>
      </c>
      <c r="P249" s="19">
        <v>0.0</v>
      </c>
      <c r="Q249" s="19">
        <v>2.0</v>
      </c>
      <c r="R249" s="19">
        <v>2.0</v>
      </c>
      <c r="S249" s="19">
        <v>1.0</v>
      </c>
      <c r="T249" s="19">
        <v>0.0</v>
      </c>
      <c r="U249" s="19">
        <v>0.0</v>
      </c>
      <c r="V249" s="13">
        <f t="shared" ref="V249:V259" si="48">SUM(E249:U249)</f>
        <v>10</v>
      </c>
    </row>
    <row r="250" ht="12.75" customHeight="1">
      <c r="A250" s="30" t="s">
        <v>39</v>
      </c>
      <c r="B250" s="55">
        <v>1.0</v>
      </c>
      <c r="C250" s="63" t="s">
        <v>184</v>
      </c>
      <c r="D250" s="60"/>
      <c r="E250" s="19">
        <v>0.0</v>
      </c>
      <c r="F250" s="19">
        <v>0.0</v>
      </c>
      <c r="G250" s="19">
        <v>1.0</v>
      </c>
      <c r="H250" s="19">
        <v>0.0</v>
      </c>
      <c r="I250" s="19">
        <v>1.0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3.0</v>
      </c>
      <c r="R250" s="19">
        <v>0.0</v>
      </c>
      <c r="S250" s="19">
        <v>1.0</v>
      </c>
      <c r="T250" s="19">
        <v>2.0</v>
      </c>
      <c r="U250" s="19">
        <v>0.0</v>
      </c>
      <c r="V250" s="13">
        <f t="shared" si="48"/>
        <v>9</v>
      </c>
    </row>
    <row r="251" ht="12.75" customHeight="1">
      <c r="A251" s="18"/>
      <c r="B251" s="55">
        <v>2.0</v>
      </c>
      <c r="C251" s="63" t="s">
        <v>185</v>
      </c>
      <c r="D251" s="60"/>
      <c r="E251" s="19">
        <v>0.0</v>
      </c>
      <c r="F251" s="19">
        <v>0.0</v>
      </c>
      <c r="G251" s="19">
        <v>0.0</v>
      </c>
      <c r="H251" s="19">
        <v>2.0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1.0</v>
      </c>
      <c r="V251" s="13">
        <f t="shared" si="48"/>
        <v>3</v>
      </c>
    </row>
    <row r="252" ht="12.75" customHeight="1">
      <c r="A252" s="18"/>
      <c r="B252" s="55">
        <v>3.0</v>
      </c>
      <c r="C252" s="63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3">
        <f t="shared" si="48"/>
        <v>0</v>
      </c>
    </row>
    <row r="253" ht="12.75" customHeight="1">
      <c r="A253" s="18"/>
      <c r="B253" s="55">
        <v>4.0</v>
      </c>
      <c r="C253" s="63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1.0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1.0</v>
      </c>
      <c r="R253" s="19">
        <v>0.0</v>
      </c>
      <c r="S253" s="19">
        <v>0.0</v>
      </c>
      <c r="T253" s="19">
        <v>0.0</v>
      </c>
      <c r="U253" s="19">
        <v>0.0</v>
      </c>
      <c r="V253" s="13">
        <f t="shared" si="48"/>
        <v>2</v>
      </c>
    </row>
    <row r="254" ht="12.75" customHeight="1">
      <c r="A254" s="18"/>
      <c r="B254" s="55">
        <v>5.0</v>
      </c>
      <c r="C254" s="63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3">
        <f t="shared" si="48"/>
        <v>0</v>
      </c>
    </row>
    <row r="255" ht="12.75" customHeight="1">
      <c r="A255" s="18"/>
      <c r="B255" s="55">
        <v>6.0</v>
      </c>
      <c r="C255" s="63" t="s">
        <v>189</v>
      </c>
      <c r="D255" s="60"/>
      <c r="E255" s="19">
        <v>0.0</v>
      </c>
      <c r="F255" s="19">
        <v>1.0</v>
      </c>
      <c r="G255" s="19">
        <v>0.0</v>
      </c>
      <c r="H255" s="19">
        <v>0.0</v>
      </c>
      <c r="I255" s="19">
        <v>0.0</v>
      </c>
      <c r="J255" s="19">
        <v>1.0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3">
        <f t="shared" si="48"/>
        <v>2</v>
      </c>
    </row>
    <row r="256" ht="12.75" customHeight="1">
      <c r="A256" s="18"/>
      <c r="B256" s="56"/>
      <c r="C256" s="64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3">
        <f t="shared" si="48"/>
        <v>0</v>
      </c>
    </row>
    <row r="257" ht="12.75" customHeight="1">
      <c r="A257" s="18"/>
      <c r="B257" s="56"/>
      <c r="C257" s="64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8"/>
        <v>0</v>
      </c>
    </row>
    <row r="258" ht="12.75" customHeight="1">
      <c r="A258" s="18"/>
      <c r="B258" s="56"/>
      <c r="C258" s="64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U259" si="49">SUM(E249:E255)</f>
        <v>0</v>
      </c>
      <c r="F259" s="13">
        <f t="shared" si="49"/>
        <v>1</v>
      </c>
      <c r="G259" s="13">
        <f t="shared" si="49"/>
        <v>3</v>
      </c>
      <c r="H259" s="13">
        <f t="shared" si="49"/>
        <v>2</v>
      </c>
      <c r="I259" s="13">
        <f t="shared" si="49"/>
        <v>1</v>
      </c>
      <c r="J259" s="13">
        <f t="shared" si="49"/>
        <v>3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6</v>
      </c>
      <c r="R259" s="13">
        <f t="shared" si="49"/>
        <v>2</v>
      </c>
      <c r="S259" s="13">
        <f t="shared" si="49"/>
        <v>2</v>
      </c>
      <c r="T259" s="13">
        <f t="shared" si="49"/>
        <v>2</v>
      </c>
      <c r="U259" s="13">
        <f t="shared" si="49"/>
        <v>1</v>
      </c>
      <c r="V259" s="13">
        <f t="shared" si="48"/>
        <v>26</v>
      </c>
    </row>
    <row r="260" ht="12.75" customHeight="1">
      <c r="V260" s="13"/>
    </row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 ht="12.75" customHeight="1">
      <c r="A262" s="42"/>
      <c r="B262" s="66" t="s">
        <v>192</v>
      </c>
      <c r="C262" s="67" t="s">
        <v>193</v>
      </c>
      <c r="D262" s="16"/>
      <c r="E262" s="19">
        <f t="shared" ref="E262:U262" si="50">E55+E67+E79+E91+E103+E115+E127+E139+E151+E163+E175+E187+E199+E211+E223+E235+E247+E259</f>
        <v>178</v>
      </c>
      <c r="F262" s="19">
        <f t="shared" si="50"/>
        <v>174</v>
      </c>
      <c r="G262" s="19">
        <f t="shared" si="50"/>
        <v>190</v>
      </c>
      <c r="H262" s="19">
        <f t="shared" si="50"/>
        <v>192</v>
      </c>
      <c r="I262" s="19">
        <f t="shared" si="50"/>
        <v>185</v>
      </c>
      <c r="J262" s="19">
        <f t="shared" si="50"/>
        <v>191</v>
      </c>
      <c r="K262" s="19">
        <f t="shared" si="50"/>
        <v>180</v>
      </c>
      <c r="L262" s="19">
        <f t="shared" si="50"/>
        <v>177</v>
      </c>
      <c r="M262" s="19">
        <f t="shared" si="50"/>
        <v>176</v>
      </c>
      <c r="N262" s="19">
        <f t="shared" si="50"/>
        <v>209</v>
      </c>
      <c r="O262" s="19">
        <f t="shared" si="50"/>
        <v>163</v>
      </c>
      <c r="P262" s="19">
        <f t="shared" si="50"/>
        <v>189</v>
      </c>
      <c r="Q262" s="19">
        <f t="shared" si="50"/>
        <v>207</v>
      </c>
      <c r="R262" s="19">
        <f t="shared" si="50"/>
        <v>213</v>
      </c>
      <c r="S262" s="19">
        <f t="shared" si="50"/>
        <v>192</v>
      </c>
      <c r="T262" s="19">
        <f t="shared" si="50"/>
        <v>196</v>
      </c>
      <c r="U262" s="19">
        <f t="shared" si="50"/>
        <v>198</v>
      </c>
      <c r="V262" s="13">
        <f t="shared" ref="V262:V264" si="51">SUM(E262:U262)</f>
        <v>3210</v>
      </c>
    </row>
    <row r="263" ht="12.75" customHeight="1">
      <c r="A263" s="35"/>
      <c r="B263" s="66" t="s">
        <v>194</v>
      </c>
      <c r="C263" s="67" t="s">
        <v>195</v>
      </c>
      <c r="D263" s="16"/>
      <c r="E263" s="19">
        <v>29.0</v>
      </c>
      <c r="F263" s="19">
        <v>30.0</v>
      </c>
      <c r="G263" s="19">
        <v>26.0</v>
      </c>
      <c r="H263" s="19">
        <v>31.0</v>
      </c>
      <c r="I263" s="19">
        <v>35.0</v>
      </c>
      <c r="J263" s="19">
        <v>30.0</v>
      </c>
      <c r="K263" s="19">
        <v>17.0</v>
      </c>
      <c r="L263" s="19">
        <v>29.0</v>
      </c>
      <c r="M263" s="19">
        <v>27.0</v>
      </c>
      <c r="N263" s="19">
        <v>28.0</v>
      </c>
      <c r="O263" s="19">
        <v>17.0</v>
      </c>
      <c r="P263" s="19">
        <v>20.0</v>
      </c>
      <c r="Q263" s="19">
        <v>27.0</v>
      </c>
      <c r="R263" s="19">
        <v>12.0</v>
      </c>
      <c r="S263" s="19">
        <v>48.0</v>
      </c>
      <c r="T263" s="19">
        <v>28.0</v>
      </c>
      <c r="U263" s="19">
        <v>22.0</v>
      </c>
      <c r="V263" s="13">
        <f t="shared" si="51"/>
        <v>456</v>
      </c>
    </row>
    <row r="264" ht="12.75" customHeight="1">
      <c r="A264" s="41"/>
      <c r="B264" s="66" t="s">
        <v>196</v>
      </c>
      <c r="C264" s="67" t="s">
        <v>197</v>
      </c>
      <c r="D264" s="16"/>
      <c r="E264" s="13">
        <f t="shared" ref="E264:U264" si="52">SUM(E262:E263)</f>
        <v>207</v>
      </c>
      <c r="F264" s="13">
        <f t="shared" si="52"/>
        <v>204</v>
      </c>
      <c r="G264" s="13">
        <f t="shared" si="52"/>
        <v>216</v>
      </c>
      <c r="H264" s="13">
        <f t="shared" si="52"/>
        <v>223</v>
      </c>
      <c r="I264" s="13">
        <f t="shared" si="52"/>
        <v>220</v>
      </c>
      <c r="J264" s="13">
        <f t="shared" si="52"/>
        <v>221</v>
      </c>
      <c r="K264" s="13">
        <f t="shared" si="52"/>
        <v>197</v>
      </c>
      <c r="L264" s="13">
        <f t="shared" si="52"/>
        <v>206</v>
      </c>
      <c r="M264" s="13">
        <f t="shared" si="52"/>
        <v>203</v>
      </c>
      <c r="N264" s="13">
        <f t="shared" si="52"/>
        <v>237</v>
      </c>
      <c r="O264" s="13">
        <f t="shared" si="52"/>
        <v>180</v>
      </c>
      <c r="P264" s="13">
        <f t="shared" si="52"/>
        <v>209</v>
      </c>
      <c r="Q264" s="13">
        <f t="shared" si="52"/>
        <v>234</v>
      </c>
      <c r="R264" s="13">
        <f t="shared" si="52"/>
        <v>225</v>
      </c>
      <c r="S264" s="13">
        <f t="shared" si="52"/>
        <v>240</v>
      </c>
      <c r="T264" s="13">
        <f t="shared" si="52"/>
        <v>224</v>
      </c>
      <c r="U264" s="13">
        <f t="shared" si="52"/>
        <v>220</v>
      </c>
      <c r="V264" s="13">
        <f t="shared" si="51"/>
        <v>3666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6">
    <mergeCell ref="B55:D55"/>
    <mergeCell ref="C57:D57"/>
    <mergeCell ref="B67:D67"/>
    <mergeCell ref="C69:D69"/>
    <mergeCell ref="B79:D79"/>
    <mergeCell ref="C81:D81"/>
    <mergeCell ref="B91:D91"/>
    <mergeCell ref="C93:D93"/>
    <mergeCell ref="B103:D103"/>
    <mergeCell ref="C105:D105"/>
    <mergeCell ref="B115:D115"/>
    <mergeCell ref="C117:D117"/>
    <mergeCell ref="B127:D127"/>
    <mergeCell ref="C129:D129"/>
    <mergeCell ref="B151:D151"/>
    <mergeCell ref="C153:D153"/>
    <mergeCell ref="B163:D163"/>
    <mergeCell ref="C165:D165"/>
    <mergeCell ref="B175:D175"/>
    <mergeCell ref="C177:D177"/>
    <mergeCell ref="B187:D187"/>
    <mergeCell ref="C189:D189"/>
    <mergeCell ref="B199:D199"/>
    <mergeCell ref="C201:D201"/>
    <mergeCell ref="B211:D211"/>
    <mergeCell ref="C213:D213"/>
    <mergeCell ref="B223:D223"/>
    <mergeCell ref="C225:D225"/>
    <mergeCell ref="C263:D263"/>
    <mergeCell ref="C264:D264"/>
    <mergeCell ref="B235:D235"/>
    <mergeCell ref="C237:D237"/>
    <mergeCell ref="B247:D247"/>
    <mergeCell ref="C249:D249"/>
    <mergeCell ref="B259:D259"/>
    <mergeCell ref="B261:D261"/>
    <mergeCell ref="C262:D262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B139:D139"/>
    <mergeCell ref="C141:D141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E34&lt;&gt;E64</formula>
    </cfRule>
  </conditionalFormatting>
  <conditionalFormatting sqref="E45:U54">
    <cfRule type="containsBlanks" dxfId="1" priority="10">
      <formula>LEN(TRIM(E45))=0</formula>
    </cfRule>
  </conditionalFormatting>
  <conditionalFormatting sqref="E57:U66">
    <cfRule type="containsBlanks" dxfId="1" priority="11">
      <formula>LEN(TRIM(E57))=0</formula>
    </cfRule>
  </conditionalFormatting>
  <conditionalFormatting sqref="E69:U78">
    <cfRule type="containsBlanks" dxfId="1" priority="12">
      <formula>LEN(TRIM(E69))=0</formula>
    </cfRule>
  </conditionalFormatting>
  <conditionalFormatting sqref="E81:U90">
    <cfRule type="containsBlanks" dxfId="1" priority="13">
      <formula>LEN(TRIM(E81))=0</formula>
    </cfRule>
  </conditionalFormatting>
  <conditionalFormatting sqref="E93:U102">
    <cfRule type="containsBlanks" dxfId="1" priority="14">
      <formula>LEN(TRIM(E93))=0</formula>
    </cfRule>
  </conditionalFormatting>
  <conditionalFormatting sqref="E105:U114">
    <cfRule type="containsBlanks" dxfId="1" priority="15">
      <formula>LEN(TRIM(E105))=0</formula>
    </cfRule>
  </conditionalFormatting>
  <conditionalFormatting sqref="E117:U126">
    <cfRule type="containsBlanks" dxfId="1" priority="16">
      <formula>LEN(TRIM(E117))=0</formula>
    </cfRule>
  </conditionalFormatting>
  <conditionalFormatting sqref="E129:U138">
    <cfRule type="containsBlanks" dxfId="1" priority="17">
      <formula>LEN(TRIM(E129))=0</formula>
    </cfRule>
  </conditionalFormatting>
  <conditionalFormatting sqref="E141:U150">
    <cfRule type="containsBlanks" dxfId="1" priority="18">
      <formula>LEN(TRIM(E141))=0</formula>
    </cfRule>
  </conditionalFormatting>
  <conditionalFormatting sqref="E153:U162">
    <cfRule type="containsBlanks" dxfId="1" priority="19">
      <formula>LEN(TRIM(E153))=0</formula>
    </cfRule>
  </conditionalFormatting>
  <conditionalFormatting sqref="E165:U174">
    <cfRule type="containsBlanks" dxfId="1" priority="20">
      <formula>LEN(TRIM(E165))=0</formula>
    </cfRule>
  </conditionalFormatting>
  <conditionalFormatting sqref="E177:U186">
    <cfRule type="containsBlanks" dxfId="1" priority="21">
      <formula>LEN(TRIM(E177))=0</formula>
    </cfRule>
  </conditionalFormatting>
  <conditionalFormatting sqref="E189:U198">
    <cfRule type="containsBlanks" dxfId="1" priority="22">
      <formula>LEN(TRIM(E189))=0</formula>
    </cfRule>
  </conditionalFormatting>
  <conditionalFormatting sqref="E201:U210">
    <cfRule type="containsBlanks" dxfId="1" priority="23">
      <formula>LEN(TRIM(E201))=0</formula>
    </cfRule>
  </conditionalFormatting>
  <conditionalFormatting sqref="E213:U222">
    <cfRule type="containsBlanks" dxfId="1" priority="24">
      <formula>LEN(TRIM(E213))=0</formula>
    </cfRule>
  </conditionalFormatting>
  <conditionalFormatting sqref="E225:U234">
    <cfRule type="containsBlanks" dxfId="1" priority="25">
      <formula>LEN(TRIM(E225))=0</formula>
    </cfRule>
  </conditionalFormatting>
  <conditionalFormatting sqref="E237:U246">
    <cfRule type="containsBlanks" dxfId="1" priority="26">
      <formula>LEN(TRIM(E237))=0</formula>
    </cfRule>
  </conditionalFormatting>
  <conditionalFormatting sqref="E249:U259">
    <cfRule type="containsBlanks" dxfId="1" priority="27">
      <formula>LEN(TRIM(E249))=0</formula>
    </cfRule>
  </conditionalFormatting>
  <conditionalFormatting sqref="E262: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221</v>
      </c>
      <c r="S13" s="13" t="s">
        <v>222</v>
      </c>
      <c r="T13" s="13" t="s">
        <v>223</v>
      </c>
      <c r="U13" s="13" t="s">
        <v>224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145.0</v>
      </c>
      <c r="G14" s="19">
        <v>140.0</v>
      </c>
      <c r="H14" s="19">
        <v>144.0</v>
      </c>
      <c r="I14" s="19">
        <v>144.0</v>
      </c>
      <c r="J14" s="19">
        <v>147.0</v>
      </c>
      <c r="K14" s="19">
        <v>145.0</v>
      </c>
      <c r="L14" s="19">
        <v>159.0</v>
      </c>
      <c r="M14" s="19">
        <v>142.0</v>
      </c>
      <c r="N14" s="19">
        <v>129.0</v>
      </c>
      <c r="O14" s="19">
        <v>143.0</v>
      </c>
      <c r="P14" s="19">
        <v>115.0</v>
      </c>
      <c r="Q14" s="19">
        <v>77.0</v>
      </c>
      <c r="R14" s="19">
        <v>249.0</v>
      </c>
      <c r="S14" s="19">
        <v>252.0</v>
      </c>
      <c r="T14" s="19">
        <v>235.0</v>
      </c>
      <c r="U14" s="19">
        <v>189.0</v>
      </c>
      <c r="V14" s="13">
        <f t="shared" ref="V14:V16" si="1">SUM(E14:U14)</f>
        <v>2697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150.0</v>
      </c>
      <c r="G15" s="19">
        <v>151.0</v>
      </c>
      <c r="H15" s="19">
        <v>141.0</v>
      </c>
      <c r="I15" s="19">
        <v>147.0</v>
      </c>
      <c r="J15" s="19">
        <v>138.0</v>
      </c>
      <c r="K15" s="19">
        <v>140.0</v>
      </c>
      <c r="L15" s="19">
        <v>134.0</v>
      </c>
      <c r="M15" s="19">
        <v>131.0</v>
      </c>
      <c r="N15" s="19">
        <v>137.0</v>
      </c>
      <c r="O15" s="19">
        <v>154.0</v>
      </c>
      <c r="P15" s="19">
        <v>134.0</v>
      </c>
      <c r="Q15" s="19">
        <v>97.0</v>
      </c>
      <c r="R15" s="19">
        <v>9.0</v>
      </c>
      <c r="S15" s="19">
        <v>7.0</v>
      </c>
      <c r="T15" s="19">
        <v>14.0</v>
      </c>
      <c r="U15" s="19">
        <v>8.0</v>
      </c>
      <c r="V15" s="13">
        <f t="shared" si="1"/>
        <v>1839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289</v>
      </c>
      <c r="F16" s="13">
        <f t="shared" si="2"/>
        <v>295</v>
      </c>
      <c r="G16" s="13">
        <f t="shared" si="2"/>
        <v>291</v>
      </c>
      <c r="H16" s="13">
        <f t="shared" si="2"/>
        <v>285</v>
      </c>
      <c r="I16" s="13">
        <f t="shared" si="2"/>
        <v>291</v>
      </c>
      <c r="J16" s="13">
        <f t="shared" si="2"/>
        <v>285</v>
      </c>
      <c r="K16" s="13">
        <f t="shared" si="2"/>
        <v>285</v>
      </c>
      <c r="L16" s="13">
        <f t="shared" si="2"/>
        <v>293</v>
      </c>
      <c r="M16" s="13">
        <f t="shared" si="2"/>
        <v>273</v>
      </c>
      <c r="N16" s="13">
        <f t="shared" si="2"/>
        <v>266</v>
      </c>
      <c r="O16" s="13">
        <f t="shared" si="2"/>
        <v>297</v>
      </c>
      <c r="P16" s="13">
        <f t="shared" si="2"/>
        <v>249</v>
      </c>
      <c r="Q16" s="13">
        <f t="shared" si="2"/>
        <v>174</v>
      </c>
      <c r="R16" s="13">
        <f t="shared" si="2"/>
        <v>258</v>
      </c>
      <c r="S16" s="13">
        <f t="shared" si="2"/>
        <v>259</v>
      </c>
      <c r="T16" s="13">
        <f t="shared" si="2"/>
        <v>249</v>
      </c>
      <c r="U16" s="13">
        <f t="shared" si="2"/>
        <v>197</v>
      </c>
      <c r="V16" s="13">
        <f t="shared" si="1"/>
        <v>4536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71"/>
      <c r="P17" s="71"/>
      <c r="Q17" s="71"/>
      <c r="R17" s="71"/>
      <c r="S17" s="71"/>
      <c r="T17" s="71"/>
      <c r="U17" s="71"/>
      <c r="V17" s="7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1"/>
      <c r="O18" s="71"/>
      <c r="P18" s="71"/>
      <c r="Q18" s="71"/>
      <c r="R18" s="71"/>
      <c r="S18" s="71"/>
      <c r="T18" s="71"/>
      <c r="U18" s="71"/>
      <c r="V18" s="7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114.0</v>
      </c>
      <c r="G19" s="19">
        <v>108.0</v>
      </c>
      <c r="H19" s="19">
        <v>107.0</v>
      </c>
      <c r="I19" s="19">
        <v>111.0</v>
      </c>
      <c r="J19" s="19">
        <v>111.0</v>
      </c>
      <c r="K19" s="19">
        <v>124.0</v>
      </c>
      <c r="L19" s="19">
        <v>116.0</v>
      </c>
      <c r="M19" s="19">
        <v>122.0</v>
      </c>
      <c r="N19" s="19">
        <v>107.0</v>
      </c>
      <c r="O19" s="19">
        <v>117.0</v>
      </c>
      <c r="P19" s="19">
        <v>92.0</v>
      </c>
      <c r="Q19" s="19">
        <v>63.0</v>
      </c>
      <c r="R19" s="19">
        <v>151.0</v>
      </c>
      <c r="S19" s="19">
        <v>174.0</v>
      </c>
      <c r="T19" s="19">
        <v>126.0</v>
      </c>
      <c r="U19" s="19">
        <v>45.0</v>
      </c>
      <c r="V19" s="13">
        <f t="shared" ref="V19:V30" si="3">SUM(E19:U19)</f>
        <v>1902</v>
      </c>
    </row>
    <row r="20" ht="12.75" customHeight="1">
      <c r="A20" s="33"/>
      <c r="B20" s="27"/>
      <c r="C20" s="34"/>
      <c r="D20" s="19" t="s">
        <v>13</v>
      </c>
      <c r="E20" s="19">
        <v>124.0</v>
      </c>
      <c r="F20" s="19">
        <v>114.0</v>
      </c>
      <c r="G20" s="19">
        <v>128.0</v>
      </c>
      <c r="H20" s="19">
        <v>115.0</v>
      </c>
      <c r="I20" s="19">
        <v>125.0</v>
      </c>
      <c r="J20" s="19">
        <v>116.0</v>
      </c>
      <c r="K20" s="19">
        <v>123.0</v>
      </c>
      <c r="L20" s="19">
        <v>110.0</v>
      </c>
      <c r="M20" s="19">
        <v>121.0</v>
      </c>
      <c r="N20" s="19">
        <v>115.0</v>
      </c>
      <c r="O20" s="19">
        <v>126.0</v>
      </c>
      <c r="P20" s="19">
        <v>102.0</v>
      </c>
      <c r="Q20" s="19">
        <v>85.0</v>
      </c>
      <c r="R20" s="19">
        <v>6.0</v>
      </c>
      <c r="S20" s="19">
        <v>6.0</v>
      </c>
      <c r="T20" s="19">
        <v>5.0</v>
      </c>
      <c r="U20" s="19">
        <v>5.0</v>
      </c>
      <c r="V20" s="13">
        <f t="shared" si="3"/>
        <v>1526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238</v>
      </c>
      <c r="F21" s="13">
        <f t="shared" si="4"/>
        <v>228</v>
      </c>
      <c r="G21" s="13">
        <f t="shared" si="4"/>
        <v>236</v>
      </c>
      <c r="H21" s="13">
        <f t="shared" si="4"/>
        <v>222</v>
      </c>
      <c r="I21" s="13">
        <f t="shared" si="4"/>
        <v>236</v>
      </c>
      <c r="J21" s="13">
        <f t="shared" si="4"/>
        <v>227</v>
      </c>
      <c r="K21" s="13">
        <f t="shared" si="4"/>
        <v>247</v>
      </c>
      <c r="L21" s="13">
        <f t="shared" si="4"/>
        <v>226</v>
      </c>
      <c r="M21" s="13">
        <f t="shared" si="4"/>
        <v>243</v>
      </c>
      <c r="N21" s="13">
        <f t="shared" si="4"/>
        <v>222</v>
      </c>
      <c r="O21" s="13">
        <f t="shared" si="4"/>
        <v>243</v>
      </c>
      <c r="P21" s="13">
        <f t="shared" si="4"/>
        <v>194</v>
      </c>
      <c r="Q21" s="13">
        <f t="shared" si="4"/>
        <v>148</v>
      </c>
      <c r="R21" s="13">
        <f t="shared" si="4"/>
        <v>157</v>
      </c>
      <c r="S21" s="13">
        <f t="shared" si="4"/>
        <v>180</v>
      </c>
      <c r="T21" s="13">
        <f t="shared" si="4"/>
        <v>131</v>
      </c>
      <c r="U21" s="13">
        <f t="shared" si="4"/>
        <v>50</v>
      </c>
      <c r="V21" s="13">
        <f t="shared" si="3"/>
        <v>3428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80.0</v>
      </c>
      <c r="S22" s="19">
        <v>75.0</v>
      </c>
      <c r="T22" s="19">
        <v>83.0</v>
      </c>
      <c r="U22" s="19">
        <v>69.0</v>
      </c>
      <c r="V22" s="13">
        <f t="shared" si="3"/>
        <v>311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2.0</v>
      </c>
      <c r="S23" s="19">
        <v>2.0</v>
      </c>
      <c r="T23" s="19">
        <v>8.0</v>
      </c>
      <c r="U23" s="19">
        <v>4.0</v>
      </c>
      <c r="V23" s="13">
        <f t="shared" si="3"/>
        <v>19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1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82</v>
      </c>
      <c r="S24" s="13">
        <f t="shared" si="5"/>
        <v>77</v>
      </c>
      <c r="T24" s="13">
        <f t="shared" si="5"/>
        <v>91</v>
      </c>
      <c r="U24" s="13">
        <f t="shared" si="5"/>
        <v>73</v>
      </c>
      <c r="V24" s="13">
        <f t="shared" si="3"/>
        <v>330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1.0</v>
      </c>
      <c r="I25" s="19">
        <v>0.0</v>
      </c>
      <c r="J25" s="19">
        <v>3.0</v>
      </c>
      <c r="K25" s="19">
        <v>2.0</v>
      </c>
      <c r="L25" s="19">
        <v>3.0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4.0</v>
      </c>
      <c r="H26" s="19">
        <v>1.0</v>
      </c>
      <c r="I26" s="19">
        <v>2.0</v>
      </c>
      <c r="J26" s="19">
        <v>1.0</v>
      </c>
      <c r="K26" s="19">
        <v>1.0</v>
      </c>
      <c r="L26" s="19">
        <v>3.0</v>
      </c>
      <c r="M26" s="19">
        <v>1.0</v>
      </c>
      <c r="N26" s="19">
        <v>0.0</v>
      </c>
      <c r="O26" s="19">
        <v>3.0</v>
      </c>
      <c r="P26" s="19">
        <v>3.0</v>
      </c>
      <c r="Q26" s="19">
        <v>1.0</v>
      </c>
      <c r="R26" s="19">
        <v>0.0</v>
      </c>
      <c r="S26" s="19">
        <v>0.0</v>
      </c>
      <c r="T26" s="19">
        <v>0.0</v>
      </c>
      <c r="U26" s="19">
        <v>0.0</v>
      </c>
      <c r="V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1</v>
      </c>
      <c r="G27" s="13">
        <f t="shared" si="6"/>
        <v>6</v>
      </c>
      <c r="H27" s="13">
        <f t="shared" si="6"/>
        <v>2</v>
      </c>
      <c r="I27" s="13">
        <f t="shared" si="6"/>
        <v>2</v>
      </c>
      <c r="J27" s="13">
        <f t="shared" si="6"/>
        <v>4</v>
      </c>
      <c r="K27" s="13">
        <f t="shared" si="6"/>
        <v>3</v>
      </c>
      <c r="L27" s="13">
        <f t="shared" si="6"/>
        <v>6</v>
      </c>
      <c r="M27" s="13">
        <f t="shared" si="6"/>
        <v>2</v>
      </c>
      <c r="N27" s="13">
        <f t="shared" si="6"/>
        <v>0</v>
      </c>
      <c r="O27" s="13">
        <f t="shared" si="6"/>
        <v>3</v>
      </c>
      <c r="P27" s="13">
        <f t="shared" si="6"/>
        <v>3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114</v>
      </c>
      <c r="F28" s="13">
        <f t="shared" si="7"/>
        <v>117</v>
      </c>
      <c r="G28" s="13">
        <f t="shared" si="7"/>
        <v>110</v>
      </c>
      <c r="H28" s="13">
        <f t="shared" si="7"/>
        <v>108</v>
      </c>
      <c r="I28" s="13">
        <f t="shared" si="7"/>
        <v>111</v>
      </c>
      <c r="J28" s="13">
        <f t="shared" si="7"/>
        <v>114</v>
      </c>
      <c r="K28" s="13">
        <f t="shared" si="7"/>
        <v>127</v>
      </c>
      <c r="L28" s="13">
        <f t="shared" si="7"/>
        <v>119</v>
      </c>
      <c r="M28" s="13">
        <f t="shared" si="7"/>
        <v>123</v>
      </c>
      <c r="N28" s="13">
        <f t="shared" si="7"/>
        <v>107</v>
      </c>
      <c r="O28" s="13">
        <f t="shared" si="7"/>
        <v>117</v>
      </c>
      <c r="P28" s="13">
        <f t="shared" si="7"/>
        <v>92</v>
      </c>
      <c r="Q28" s="13">
        <f t="shared" si="7"/>
        <v>64</v>
      </c>
      <c r="R28" s="13">
        <f t="shared" si="7"/>
        <v>231</v>
      </c>
      <c r="S28" s="13">
        <f t="shared" si="7"/>
        <v>249</v>
      </c>
      <c r="T28" s="13">
        <f t="shared" si="7"/>
        <v>209</v>
      </c>
      <c r="U28" s="13">
        <f t="shared" si="7"/>
        <v>114</v>
      </c>
      <c r="V28" s="13">
        <f t="shared" si="3"/>
        <v>2226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125</v>
      </c>
      <c r="F29" s="13">
        <f t="shared" si="8"/>
        <v>114</v>
      </c>
      <c r="G29" s="13">
        <f t="shared" si="8"/>
        <v>133</v>
      </c>
      <c r="H29" s="13">
        <f t="shared" si="8"/>
        <v>116</v>
      </c>
      <c r="I29" s="13">
        <f t="shared" si="8"/>
        <v>127</v>
      </c>
      <c r="J29" s="13">
        <f t="shared" si="8"/>
        <v>117</v>
      </c>
      <c r="K29" s="13">
        <f t="shared" si="8"/>
        <v>124</v>
      </c>
      <c r="L29" s="13">
        <f t="shared" si="8"/>
        <v>113</v>
      </c>
      <c r="M29" s="13">
        <f t="shared" si="8"/>
        <v>122</v>
      </c>
      <c r="N29" s="13">
        <f t="shared" si="8"/>
        <v>115</v>
      </c>
      <c r="O29" s="13">
        <f t="shared" si="8"/>
        <v>129</v>
      </c>
      <c r="P29" s="13">
        <f t="shared" si="8"/>
        <v>105</v>
      </c>
      <c r="Q29" s="13">
        <f t="shared" si="8"/>
        <v>87</v>
      </c>
      <c r="R29" s="13">
        <f t="shared" si="8"/>
        <v>8</v>
      </c>
      <c r="S29" s="13">
        <f t="shared" si="8"/>
        <v>8</v>
      </c>
      <c r="T29" s="13">
        <f t="shared" si="8"/>
        <v>13</v>
      </c>
      <c r="U29" s="13">
        <f t="shared" si="8"/>
        <v>9</v>
      </c>
      <c r="V29" s="13">
        <f t="shared" si="3"/>
        <v>1565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239</v>
      </c>
      <c r="F30" s="13">
        <f t="shared" si="9"/>
        <v>231</v>
      </c>
      <c r="G30" s="13">
        <f t="shared" si="9"/>
        <v>243</v>
      </c>
      <c r="H30" s="13">
        <f t="shared" si="9"/>
        <v>224</v>
      </c>
      <c r="I30" s="13">
        <f t="shared" si="9"/>
        <v>238</v>
      </c>
      <c r="J30" s="13">
        <f t="shared" si="9"/>
        <v>231</v>
      </c>
      <c r="K30" s="13">
        <f t="shared" si="9"/>
        <v>251</v>
      </c>
      <c r="L30" s="13">
        <f t="shared" si="9"/>
        <v>232</v>
      </c>
      <c r="M30" s="13">
        <f t="shared" si="9"/>
        <v>245</v>
      </c>
      <c r="N30" s="13">
        <f t="shared" si="9"/>
        <v>222</v>
      </c>
      <c r="O30" s="13">
        <f t="shared" si="9"/>
        <v>246</v>
      </c>
      <c r="P30" s="13">
        <f t="shared" si="9"/>
        <v>197</v>
      </c>
      <c r="Q30" s="13">
        <f t="shared" si="9"/>
        <v>151</v>
      </c>
      <c r="R30" s="13">
        <f t="shared" si="9"/>
        <v>239</v>
      </c>
      <c r="S30" s="13">
        <f t="shared" si="9"/>
        <v>257</v>
      </c>
      <c r="T30" s="13">
        <f t="shared" si="9"/>
        <v>222</v>
      </c>
      <c r="U30" s="13">
        <f t="shared" si="9"/>
        <v>123</v>
      </c>
      <c r="V30" s="13">
        <f t="shared" si="3"/>
        <v>3791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71"/>
      <c r="P31" s="71"/>
      <c r="Q31" s="71"/>
      <c r="R31" s="71"/>
      <c r="S31" s="71"/>
      <c r="T31" s="71"/>
      <c r="U31" s="71"/>
      <c r="V31" s="72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3"/>
      <c r="O32" s="73"/>
      <c r="P32" s="73"/>
      <c r="Q32" s="73"/>
      <c r="R32" s="73"/>
      <c r="S32" s="73"/>
      <c r="T32" s="73"/>
      <c r="U32" s="73"/>
      <c r="V32" s="72"/>
    </row>
    <row r="33" ht="12.75" customHeight="1">
      <c r="A33" s="19">
        <v>1.0</v>
      </c>
      <c r="B33" s="20" t="s">
        <v>27</v>
      </c>
      <c r="C33" s="15"/>
      <c r="D33" s="16"/>
      <c r="E33" s="19">
        <v>293.0</v>
      </c>
      <c r="F33" s="19">
        <v>299.0</v>
      </c>
      <c r="G33" s="19">
        <v>295.0</v>
      </c>
      <c r="H33" s="19">
        <v>289.0</v>
      </c>
      <c r="I33" s="19">
        <v>295.0</v>
      </c>
      <c r="J33" s="19">
        <v>289.0</v>
      </c>
      <c r="K33" s="19">
        <v>289.0</v>
      </c>
      <c r="L33" s="19">
        <v>297.0</v>
      </c>
      <c r="M33" s="19">
        <v>277.0</v>
      </c>
      <c r="N33" s="19">
        <v>270.0</v>
      </c>
      <c r="O33" s="19">
        <v>301.0</v>
      </c>
      <c r="P33" s="19">
        <v>253.0</v>
      </c>
      <c r="Q33" s="19">
        <v>276.0</v>
      </c>
      <c r="R33" s="19">
        <v>264.0</v>
      </c>
      <c r="S33" s="19">
        <v>265.0</v>
      </c>
      <c r="T33" s="19">
        <v>254.0</v>
      </c>
      <c r="U33" s="19">
        <v>201.0</v>
      </c>
      <c r="V33" s="13">
        <f t="shared" ref="V33:V36" si="10">SUM(E33:U33)</f>
        <v>4707</v>
      </c>
    </row>
    <row r="34" ht="12.75" customHeight="1">
      <c r="A34" s="19">
        <v>2.0</v>
      </c>
      <c r="B34" s="20" t="s">
        <v>28</v>
      </c>
      <c r="C34" s="15"/>
      <c r="D34" s="16"/>
      <c r="E34" s="13">
        <v>239.0</v>
      </c>
      <c r="F34" s="13">
        <v>231.0</v>
      </c>
      <c r="G34" s="13">
        <v>243.0</v>
      </c>
      <c r="H34" s="13">
        <v>224.0</v>
      </c>
      <c r="I34" s="13">
        <v>238.0</v>
      </c>
      <c r="J34" s="13">
        <v>231.0</v>
      </c>
      <c r="K34" s="13">
        <v>251.0</v>
      </c>
      <c r="L34" s="13">
        <v>232.0</v>
      </c>
      <c r="M34" s="13">
        <v>245.0</v>
      </c>
      <c r="N34" s="13">
        <v>222.0</v>
      </c>
      <c r="O34" s="13">
        <v>246.0</v>
      </c>
      <c r="P34" s="13">
        <v>197.0</v>
      </c>
      <c r="Q34" s="13">
        <v>151.0</v>
      </c>
      <c r="R34" s="13">
        <v>239.0</v>
      </c>
      <c r="S34" s="13">
        <v>257.0</v>
      </c>
      <c r="T34" s="13">
        <v>222.0</v>
      </c>
      <c r="U34" s="13">
        <v>123.0</v>
      </c>
      <c r="V34" s="13">
        <f t="shared" si="10"/>
        <v>3791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2.0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54</v>
      </c>
      <c r="F36" s="13">
        <f t="shared" si="11"/>
        <v>67</v>
      </c>
      <c r="G36" s="13">
        <f t="shared" si="11"/>
        <v>52</v>
      </c>
      <c r="H36" s="13">
        <f t="shared" si="11"/>
        <v>65</v>
      </c>
      <c r="I36" s="13">
        <f t="shared" si="11"/>
        <v>56</v>
      </c>
      <c r="J36" s="13">
        <f t="shared" si="11"/>
        <v>58</v>
      </c>
      <c r="K36" s="13">
        <f t="shared" si="11"/>
        <v>38</v>
      </c>
      <c r="L36" s="13">
        <f t="shared" si="11"/>
        <v>65</v>
      </c>
      <c r="M36" s="13">
        <f t="shared" si="11"/>
        <v>32</v>
      </c>
      <c r="N36" s="13">
        <f t="shared" si="11"/>
        <v>48</v>
      </c>
      <c r="O36" s="13">
        <f t="shared" si="11"/>
        <v>54</v>
      </c>
      <c r="P36" s="13">
        <f t="shared" si="11"/>
        <v>54</v>
      </c>
      <c r="Q36" s="13">
        <f t="shared" si="11"/>
        <v>125</v>
      </c>
      <c r="R36" s="13">
        <f t="shared" si="11"/>
        <v>24</v>
      </c>
      <c r="S36" s="13">
        <f t="shared" si="11"/>
        <v>8</v>
      </c>
      <c r="T36" s="13">
        <f t="shared" si="11"/>
        <v>32</v>
      </c>
      <c r="U36" s="13">
        <f t="shared" si="11"/>
        <v>78</v>
      </c>
      <c r="V36" s="13">
        <f t="shared" si="10"/>
        <v>910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1"/>
      <c r="O37" s="76"/>
      <c r="P37" s="76"/>
      <c r="Q37" s="71"/>
      <c r="R37" s="76"/>
      <c r="S37" s="76"/>
      <c r="T37" s="76"/>
      <c r="U37" s="76"/>
      <c r="V37" s="72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3"/>
      <c r="O38" s="73"/>
      <c r="P38" s="73"/>
      <c r="Q38" s="73"/>
      <c r="R38" s="73"/>
      <c r="S38" s="73"/>
      <c r="T38" s="73"/>
      <c r="U38" s="73"/>
      <c r="V38" s="72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2.0</v>
      </c>
      <c r="Q39" s="19">
        <v>0.0</v>
      </c>
      <c r="R39" s="19">
        <v>0.0</v>
      </c>
      <c r="S39" s="19">
        <v>2.0</v>
      </c>
      <c r="T39" s="19"/>
      <c r="U39" s="19"/>
      <c r="V39" s="13">
        <f t="shared" ref="V39:V41" si="12">SUM(E39:U39)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3.0</v>
      </c>
      <c r="Q40" s="19">
        <v>0.0</v>
      </c>
      <c r="R40" s="19">
        <v>0.0</v>
      </c>
      <c r="S40" s="19">
        <v>0.0</v>
      </c>
      <c r="T40" s="19"/>
      <c r="U40" s="19"/>
      <c r="V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5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71"/>
      <c r="Q42" s="71"/>
      <c r="R42" s="19"/>
      <c r="S42" s="71"/>
      <c r="T42" s="71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9.0</v>
      </c>
      <c r="G45" s="19">
        <v>15.0</v>
      </c>
      <c r="H45" s="19">
        <v>14.0</v>
      </c>
      <c r="I45" s="19">
        <v>14.0</v>
      </c>
      <c r="J45" s="19">
        <v>5.0</v>
      </c>
      <c r="K45" s="19">
        <v>12.0</v>
      </c>
      <c r="L45" s="19">
        <v>7.0</v>
      </c>
      <c r="M45" s="19">
        <v>15.0</v>
      </c>
      <c r="N45" s="19">
        <v>8.0</v>
      </c>
      <c r="O45" s="19">
        <v>11.0</v>
      </c>
      <c r="P45" s="19">
        <v>4.0</v>
      </c>
      <c r="Q45" s="19">
        <v>2.0</v>
      </c>
      <c r="R45" s="19">
        <v>2.0</v>
      </c>
      <c r="S45" s="19">
        <v>5.0</v>
      </c>
      <c r="T45" s="19">
        <v>5.0</v>
      </c>
      <c r="U45" s="19">
        <v>3.0</v>
      </c>
      <c r="V45" s="13">
        <f t="shared" ref="V45:V55" si="14">SUM(E45:U45)</f>
        <v>141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54.0</v>
      </c>
      <c r="F46" s="19">
        <v>38.0</v>
      </c>
      <c r="G46" s="19">
        <v>31.0</v>
      </c>
      <c r="H46" s="19">
        <v>27.0</v>
      </c>
      <c r="I46" s="19">
        <v>38.0</v>
      </c>
      <c r="J46" s="19">
        <v>31.0</v>
      </c>
      <c r="K46" s="19">
        <v>37.0</v>
      </c>
      <c r="L46" s="19">
        <v>51.0</v>
      </c>
      <c r="M46" s="19">
        <v>46.0</v>
      </c>
      <c r="N46" s="19">
        <v>36.0</v>
      </c>
      <c r="O46" s="19">
        <v>20.0</v>
      </c>
      <c r="P46" s="19">
        <v>4.0</v>
      </c>
      <c r="Q46" s="19">
        <v>27.0</v>
      </c>
      <c r="R46" s="19">
        <v>6.0</v>
      </c>
      <c r="S46" s="19">
        <v>4.0</v>
      </c>
      <c r="T46" s="19">
        <v>3.0</v>
      </c>
      <c r="U46" s="19">
        <v>1.0</v>
      </c>
      <c r="V46" s="13">
        <f t="shared" si="14"/>
        <v>454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4.0</v>
      </c>
      <c r="G47" s="19">
        <v>3.0</v>
      </c>
      <c r="H47" s="19">
        <v>2.0</v>
      </c>
      <c r="I47" s="19">
        <v>2.0</v>
      </c>
      <c r="J47" s="19">
        <v>7.0</v>
      </c>
      <c r="K47" s="19">
        <v>4.0</v>
      </c>
      <c r="L47" s="19">
        <v>5.0</v>
      </c>
      <c r="M47" s="19">
        <v>14.0</v>
      </c>
      <c r="N47" s="19">
        <v>3.0</v>
      </c>
      <c r="O47" s="19">
        <v>3.0</v>
      </c>
      <c r="P47" s="19">
        <v>0.0</v>
      </c>
      <c r="Q47" s="19">
        <v>1.0</v>
      </c>
      <c r="R47" s="19">
        <v>3.0</v>
      </c>
      <c r="S47" s="19">
        <v>4.0</v>
      </c>
      <c r="T47" s="19">
        <v>1.0</v>
      </c>
      <c r="U47" s="19">
        <v>5.0</v>
      </c>
      <c r="V47" s="13">
        <f t="shared" si="14"/>
        <v>64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0.0</v>
      </c>
      <c r="I48" s="19">
        <v>0.0</v>
      </c>
      <c r="J48" s="19">
        <v>1.0</v>
      </c>
      <c r="K48" s="19">
        <v>1.0</v>
      </c>
      <c r="L48" s="19">
        <v>0.0</v>
      </c>
      <c r="M48" s="19">
        <v>0.0</v>
      </c>
      <c r="N48" s="19">
        <v>1.0</v>
      </c>
      <c r="O48" s="19">
        <v>1.0</v>
      </c>
      <c r="P48" s="19">
        <v>0.0</v>
      </c>
      <c r="Q48" s="19">
        <v>0.0</v>
      </c>
      <c r="R48" s="19">
        <v>1.0</v>
      </c>
      <c r="S48" s="19">
        <v>1.0</v>
      </c>
      <c r="T48" s="19">
        <v>0.0</v>
      </c>
      <c r="U48" s="19">
        <v>0.0</v>
      </c>
      <c r="V48" s="13">
        <f t="shared" si="14"/>
        <v>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1.0</v>
      </c>
      <c r="I49" s="19">
        <v>1.0</v>
      </c>
      <c r="J49" s="19">
        <v>3.0</v>
      </c>
      <c r="K49" s="19">
        <v>0.0</v>
      </c>
      <c r="L49" s="19">
        <v>1.0</v>
      </c>
      <c r="M49" s="19">
        <v>1.0</v>
      </c>
      <c r="N49" s="19">
        <v>0.0</v>
      </c>
      <c r="O49" s="19">
        <v>0.0</v>
      </c>
      <c r="P49" s="19">
        <v>2.0</v>
      </c>
      <c r="Q49" s="19">
        <v>1.0</v>
      </c>
      <c r="R49" s="19">
        <v>0.0</v>
      </c>
      <c r="S49" s="19">
        <v>1.0</v>
      </c>
      <c r="T49" s="19">
        <v>3.0</v>
      </c>
      <c r="U49" s="19">
        <v>1.0</v>
      </c>
      <c r="V49" s="13">
        <f t="shared" si="14"/>
        <v>16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1.0</v>
      </c>
      <c r="J50" s="19">
        <v>2.0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1.0</v>
      </c>
      <c r="R50" s="19">
        <v>2.0</v>
      </c>
      <c r="S50" s="19">
        <v>0.0</v>
      </c>
      <c r="T50" s="19">
        <v>1.0</v>
      </c>
      <c r="U50" s="19">
        <v>0.0</v>
      </c>
      <c r="V50" s="13">
        <f t="shared" si="14"/>
        <v>9</v>
      </c>
    </row>
    <row r="51" ht="12.75" customHeight="1">
      <c r="A51" s="18"/>
      <c r="B51" s="55">
        <v>6.0</v>
      </c>
      <c r="C51" s="50" t="s">
        <v>45</v>
      </c>
      <c r="D51" s="16"/>
      <c r="E51" s="19">
        <v>2.0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1.0</v>
      </c>
      <c r="R51" s="19">
        <v>0.0</v>
      </c>
      <c r="S51" s="19">
        <v>2.0</v>
      </c>
      <c r="T51" s="19">
        <v>0.0</v>
      </c>
      <c r="U51" s="19">
        <v>0.0</v>
      </c>
      <c r="V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2.0</v>
      </c>
      <c r="F52" s="19">
        <v>0.0</v>
      </c>
      <c r="G52" s="19">
        <v>0.0</v>
      </c>
      <c r="H52" s="19">
        <v>1.0</v>
      </c>
      <c r="I52" s="19">
        <v>2.0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2.0</v>
      </c>
      <c r="Q52" s="19">
        <v>1.0</v>
      </c>
      <c r="R52" s="19">
        <v>0.0</v>
      </c>
      <c r="S52" s="19">
        <v>0.0</v>
      </c>
      <c r="T52" s="19">
        <v>0.0</v>
      </c>
      <c r="U52" s="19">
        <v>0.0</v>
      </c>
      <c r="V52" s="13">
        <f t="shared" si="14"/>
        <v>8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U55" si="15">SUM(E45:E52)</f>
        <v>72</v>
      </c>
      <c r="F55" s="13">
        <f t="shared" si="15"/>
        <v>52</v>
      </c>
      <c r="G55" s="13">
        <f t="shared" si="15"/>
        <v>50</v>
      </c>
      <c r="H55" s="13">
        <f t="shared" si="15"/>
        <v>46</v>
      </c>
      <c r="I55" s="13">
        <f t="shared" si="15"/>
        <v>58</v>
      </c>
      <c r="J55" s="13">
        <f t="shared" si="15"/>
        <v>49</v>
      </c>
      <c r="K55" s="13">
        <f t="shared" si="15"/>
        <v>54</v>
      </c>
      <c r="L55" s="13">
        <f t="shared" si="15"/>
        <v>64</v>
      </c>
      <c r="M55" s="13">
        <f t="shared" si="15"/>
        <v>77</v>
      </c>
      <c r="N55" s="13">
        <f t="shared" si="15"/>
        <v>48</v>
      </c>
      <c r="O55" s="13">
        <f t="shared" si="15"/>
        <v>36</v>
      </c>
      <c r="P55" s="13">
        <f t="shared" si="15"/>
        <v>12</v>
      </c>
      <c r="Q55" s="13">
        <f t="shared" si="15"/>
        <v>34</v>
      </c>
      <c r="R55" s="13">
        <f t="shared" si="15"/>
        <v>14</v>
      </c>
      <c r="S55" s="13">
        <f t="shared" si="15"/>
        <v>17</v>
      </c>
      <c r="T55" s="13">
        <f t="shared" si="15"/>
        <v>13</v>
      </c>
      <c r="U55" s="13">
        <f t="shared" si="15"/>
        <v>10</v>
      </c>
      <c r="V55" s="13">
        <f t="shared" si="14"/>
        <v>706</v>
      </c>
    </row>
    <row r="56" ht="12.75" customHeight="1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14.0</v>
      </c>
      <c r="F57" s="19">
        <v>16.0</v>
      </c>
      <c r="G57" s="19">
        <v>7.0</v>
      </c>
      <c r="H57" s="19">
        <v>11.0</v>
      </c>
      <c r="I57" s="19">
        <v>6.0</v>
      </c>
      <c r="J57" s="19">
        <v>9.0</v>
      </c>
      <c r="K57" s="19">
        <v>5.0</v>
      </c>
      <c r="L57" s="19">
        <v>2.0</v>
      </c>
      <c r="M57" s="19">
        <v>7.0</v>
      </c>
      <c r="N57" s="19">
        <v>10.0</v>
      </c>
      <c r="O57" s="19">
        <v>19.0</v>
      </c>
      <c r="P57" s="19">
        <v>13.0</v>
      </c>
      <c r="Q57" s="19">
        <v>10.0</v>
      </c>
      <c r="R57" s="19">
        <v>12.0</v>
      </c>
      <c r="S57" s="19">
        <v>10.0</v>
      </c>
      <c r="T57" s="19">
        <v>21.0</v>
      </c>
      <c r="U57" s="19">
        <v>7.0</v>
      </c>
      <c r="V57" s="13">
        <f t="shared" ref="V57:V67" si="16">SUM(E57:U57)</f>
        <v>179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16.0</v>
      </c>
      <c r="F58" s="19">
        <v>13.0</v>
      </c>
      <c r="G58" s="19">
        <v>17.0</v>
      </c>
      <c r="H58" s="19">
        <v>20.0</v>
      </c>
      <c r="I58" s="19">
        <v>31.0</v>
      </c>
      <c r="J58" s="19">
        <v>15.0</v>
      </c>
      <c r="K58" s="19">
        <v>14.0</v>
      </c>
      <c r="L58" s="19">
        <v>12.0</v>
      </c>
      <c r="M58" s="19">
        <v>15.0</v>
      </c>
      <c r="N58" s="19">
        <v>21.0</v>
      </c>
      <c r="O58" s="19">
        <v>21.0</v>
      </c>
      <c r="P58" s="19">
        <v>16.0</v>
      </c>
      <c r="Q58" s="19">
        <v>8.0</v>
      </c>
      <c r="R58" s="19">
        <v>33.0</v>
      </c>
      <c r="S58" s="19">
        <v>13.0</v>
      </c>
      <c r="T58" s="19">
        <v>18.0</v>
      </c>
      <c r="U58" s="19">
        <v>15.0</v>
      </c>
      <c r="V58" s="13">
        <f t="shared" si="16"/>
        <v>298</v>
      </c>
    </row>
    <row r="59" ht="12.75" customHeight="1">
      <c r="A59" s="18"/>
      <c r="B59" s="55">
        <v>2.0</v>
      </c>
      <c r="C59" s="50" t="s">
        <v>50</v>
      </c>
      <c r="D59" s="59"/>
      <c r="E59" s="19">
        <v>4.0</v>
      </c>
      <c r="F59" s="19">
        <v>6.0</v>
      </c>
      <c r="G59" s="19">
        <v>1.0</v>
      </c>
      <c r="H59" s="19">
        <v>3.0</v>
      </c>
      <c r="I59" s="19">
        <v>3.0</v>
      </c>
      <c r="J59" s="19">
        <v>5.0</v>
      </c>
      <c r="K59" s="19">
        <v>0.0</v>
      </c>
      <c r="L59" s="19">
        <v>2.0</v>
      </c>
      <c r="M59" s="19">
        <v>0.0</v>
      </c>
      <c r="N59" s="19">
        <v>2.0</v>
      </c>
      <c r="O59" s="19">
        <v>5.0</v>
      </c>
      <c r="P59" s="19">
        <v>1.0</v>
      </c>
      <c r="Q59" s="19">
        <v>1.0</v>
      </c>
      <c r="R59" s="19">
        <v>11.0</v>
      </c>
      <c r="S59" s="19">
        <v>10.0</v>
      </c>
      <c r="T59" s="19">
        <v>10.0</v>
      </c>
      <c r="U59" s="19">
        <v>6.0</v>
      </c>
      <c r="V59" s="13">
        <f t="shared" si="16"/>
        <v>70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2.0</v>
      </c>
      <c r="G60" s="19">
        <v>0.0</v>
      </c>
      <c r="H60" s="19">
        <v>1.0</v>
      </c>
      <c r="I60" s="19">
        <v>0.0</v>
      </c>
      <c r="J60" s="19">
        <v>2.0</v>
      </c>
      <c r="K60" s="19">
        <v>1.0</v>
      </c>
      <c r="L60" s="19">
        <v>1.0</v>
      </c>
      <c r="M60" s="19">
        <v>3.0</v>
      </c>
      <c r="N60" s="19">
        <v>0.0</v>
      </c>
      <c r="O60" s="19">
        <v>2.0</v>
      </c>
      <c r="P60" s="19">
        <v>1.0</v>
      </c>
      <c r="Q60" s="19">
        <v>2.0</v>
      </c>
      <c r="R60" s="19">
        <v>1.0</v>
      </c>
      <c r="S60" s="19">
        <v>4.0</v>
      </c>
      <c r="T60" s="19">
        <v>4.0</v>
      </c>
      <c r="U60" s="19">
        <v>2.0</v>
      </c>
      <c r="V60" s="13">
        <f t="shared" si="16"/>
        <v>27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1.0</v>
      </c>
      <c r="H61" s="19">
        <v>0.0</v>
      </c>
      <c r="I61" s="19">
        <v>1.0</v>
      </c>
      <c r="J61" s="19">
        <v>1.0</v>
      </c>
      <c r="K61" s="19">
        <v>0.0</v>
      </c>
      <c r="L61" s="19">
        <v>0.0</v>
      </c>
      <c r="M61" s="19">
        <v>0.0</v>
      </c>
      <c r="N61" s="19">
        <v>1.0</v>
      </c>
      <c r="O61" s="19">
        <v>1.0</v>
      </c>
      <c r="P61" s="19">
        <v>2.0</v>
      </c>
      <c r="Q61" s="19">
        <v>0.0</v>
      </c>
      <c r="R61" s="19">
        <v>4.0</v>
      </c>
      <c r="S61" s="19">
        <v>5.0</v>
      </c>
      <c r="T61" s="19">
        <v>6.0</v>
      </c>
      <c r="U61" s="19">
        <v>1.0</v>
      </c>
      <c r="V61" s="13">
        <f t="shared" si="16"/>
        <v>24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2.0</v>
      </c>
      <c r="G62" s="19">
        <v>0.0</v>
      </c>
      <c r="H62" s="19">
        <v>0.0</v>
      </c>
      <c r="I62" s="19">
        <v>1.0</v>
      </c>
      <c r="J62" s="19">
        <v>0.0</v>
      </c>
      <c r="K62" s="19">
        <v>1.0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3">
        <f t="shared" si="16"/>
        <v>6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3.0</v>
      </c>
      <c r="H63" s="19">
        <v>0.0</v>
      </c>
      <c r="I63" s="19">
        <v>0.0</v>
      </c>
      <c r="J63" s="19">
        <v>0.0</v>
      </c>
      <c r="K63" s="19">
        <v>1.0</v>
      </c>
      <c r="L63" s="19">
        <v>3.0</v>
      </c>
      <c r="M63" s="19">
        <v>0.0</v>
      </c>
      <c r="N63" s="19">
        <v>0.0</v>
      </c>
      <c r="O63" s="19">
        <v>0.0</v>
      </c>
      <c r="P63" s="19">
        <v>1.0</v>
      </c>
      <c r="Q63" s="19">
        <v>0.0</v>
      </c>
      <c r="R63" s="19">
        <v>1.0</v>
      </c>
      <c r="S63" s="19">
        <v>6.0</v>
      </c>
      <c r="T63" s="19">
        <v>4.0</v>
      </c>
      <c r="U63" s="19">
        <v>2.0</v>
      </c>
      <c r="V63" s="13">
        <f t="shared" si="16"/>
        <v>21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4.0</v>
      </c>
      <c r="I64" s="19">
        <v>0.0</v>
      </c>
      <c r="J64" s="19">
        <v>0.0</v>
      </c>
      <c r="K64" s="19">
        <v>0.0</v>
      </c>
      <c r="L64" s="19">
        <v>0.0</v>
      </c>
      <c r="M64" s="19">
        <v>3.0</v>
      </c>
      <c r="N64" s="19">
        <v>0.0</v>
      </c>
      <c r="O64" s="19">
        <v>1.0</v>
      </c>
      <c r="P64" s="19">
        <v>0.0</v>
      </c>
      <c r="Q64" s="19">
        <v>0.0</v>
      </c>
      <c r="R64" s="19">
        <v>1.0</v>
      </c>
      <c r="S64" s="19">
        <v>0.0</v>
      </c>
      <c r="T64" s="19">
        <v>1.0</v>
      </c>
      <c r="U64" s="19">
        <v>0.0</v>
      </c>
      <c r="V64" s="13">
        <f t="shared" si="16"/>
        <v>10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U67" si="17">SUM(E57:E64)</f>
        <v>36</v>
      </c>
      <c r="F67" s="13">
        <f t="shared" si="17"/>
        <v>39</v>
      </c>
      <c r="G67" s="13">
        <f t="shared" si="17"/>
        <v>29</v>
      </c>
      <c r="H67" s="13">
        <f t="shared" si="17"/>
        <v>39</v>
      </c>
      <c r="I67" s="13">
        <f t="shared" si="17"/>
        <v>42</v>
      </c>
      <c r="J67" s="13">
        <f t="shared" si="17"/>
        <v>32</v>
      </c>
      <c r="K67" s="13">
        <f t="shared" si="17"/>
        <v>22</v>
      </c>
      <c r="L67" s="13">
        <f t="shared" si="17"/>
        <v>20</v>
      </c>
      <c r="M67" s="13">
        <f t="shared" si="17"/>
        <v>28</v>
      </c>
      <c r="N67" s="13">
        <f t="shared" si="17"/>
        <v>35</v>
      </c>
      <c r="O67" s="13">
        <f t="shared" si="17"/>
        <v>49</v>
      </c>
      <c r="P67" s="13">
        <f t="shared" si="17"/>
        <v>34</v>
      </c>
      <c r="Q67" s="13">
        <f t="shared" si="17"/>
        <v>21</v>
      </c>
      <c r="R67" s="13">
        <f t="shared" si="17"/>
        <v>63</v>
      </c>
      <c r="S67" s="13">
        <f t="shared" si="17"/>
        <v>48</v>
      </c>
      <c r="T67" s="13">
        <f t="shared" si="17"/>
        <v>65</v>
      </c>
      <c r="U67" s="13">
        <f t="shared" si="17"/>
        <v>33</v>
      </c>
      <c r="V67" s="13">
        <f t="shared" si="16"/>
        <v>635</v>
      </c>
    </row>
    <row r="68" ht="12.75" customHeight="1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13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6.0</v>
      </c>
      <c r="G69" s="19">
        <v>4.0</v>
      </c>
      <c r="H69" s="19">
        <v>12.0</v>
      </c>
      <c r="I69" s="19">
        <v>2.0</v>
      </c>
      <c r="J69" s="19">
        <v>5.0</v>
      </c>
      <c r="K69" s="19">
        <v>10.0</v>
      </c>
      <c r="L69" s="19">
        <v>5.0</v>
      </c>
      <c r="M69" s="19">
        <v>10.0</v>
      </c>
      <c r="N69" s="19">
        <v>12.0</v>
      </c>
      <c r="O69" s="19">
        <v>11.0</v>
      </c>
      <c r="P69" s="19">
        <v>8.0</v>
      </c>
      <c r="Q69" s="19">
        <v>7.0</v>
      </c>
      <c r="R69" s="19">
        <v>24.0</v>
      </c>
      <c r="S69" s="19">
        <v>18.0</v>
      </c>
      <c r="T69" s="19">
        <v>26.0</v>
      </c>
      <c r="U69" s="19">
        <v>15.0</v>
      </c>
      <c r="V69" s="13">
        <f t="shared" ref="V69:V79" si="18">SUM(E69:U69)</f>
        <v>181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11.0</v>
      </c>
      <c r="F70" s="19">
        <v>19.0</v>
      </c>
      <c r="G70" s="19">
        <v>10.0</v>
      </c>
      <c r="H70" s="19">
        <v>3.0</v>
      </c>
      <c r="I70" s="19">
        <v>8.0</v>
      </c>
      <c r="J70" s="19">
        <v>7.0</v>
      </c>
      <c r="K70" s="19">
        <v>16.0</v>
      </c>
      <c r="L70" s="19">
        <v>10.0</v>
      </c>
      <c r="M70" s="19">
        <v>5.0</v>
      </c>
      <c r="N70" s="19">
        <v>7.0</v>
      </c>
      <c r="O70" s="19">
        <v>9.0</v>
      </c>
      <c r="P70" s="19">
        <v>11.0</v>
      </c>
      <c r="Q70" s="19">
        <v>9.0</v>
      </c>
      <c r="R70" s="19">
        <v>18.0</v>
      </c>
      <c r="S70" s="19">
        <v>23.0</v>
      </c>
      <c r="T70" s="19">
        <v>13.0</v>
      </c>
      <c r="U70" s="19">
        <v>8.0</v>
      </c>
      <c r="V70" s="13">
        <f t="shared" si="18"/>
        <v>187</v>
      </c>
    </row>
    <row r="71" ht="12.75" customHeight="1">
      <c r="A71" s="18"/>
      <c r="B71" s="55">
        <v>2.0</v>
      </c>
      <c r="C71" s="50" t="s">
        <v>58</v>
      </c>
      <c r="D71" s="60"/>
      <c r="E71" s="19">
        <v>20.0</v>
      </c>
      <c r="F71" s="19">
        <v>9.0</v>
      </c>
      <c r="G71" s="19">
        <v>6.0</v>
      </c>
      <c r="H71" s="19">
        <v>2.0</v>
      </c>
      <c r="I71" s="19">
        <v>13.0</v>
      </c>
      <c r="J71" s="19">
        <v>5.0</v>
      </c>
      <c r="K71" s="19">
        <v>5.0</v>
      </c>
      <c r="L71" s="19">
        <v>1.0</v>
      </c>
      <c r="M71" s="19">
        <v>6.0</v>
      </c>
      <c r="N71" s="19">
        <v>2.0</v>
      </c>
      <c r="O71" s="19">
        <v>8.0</v>
      </c>
      <c r="P71" s="19">
        <v>12.0</v>
      </c>
      <c r="Q71" s="19">
        <v>0.0</v>
      </c>
      <c r="R71" s="19">
        <v>21.0</v>
      </c>
      <c r="S71" s="19">
        <v>31.0</v>
      </c>
      <c r="T71" s="19">
        <v>18.0</v>
      </c>
      <c r="U71" s="19">
        <v>14.0</v>
      </c>
      <c r="V71" s="13">
        <f t="shared" si="18"/>
        <v>173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3.0</v>
      </c>
      <c r="G72" s="19">
        <v>1.0</v>
      </c>
      <c r="H72" s="19">
        <v>3.0</v>
      </c>
      <c r="I72" s="19">
        <v>5.0</v>
      </c>
      <c r="J72" s="19">
        <v>1.0</v>
      </c>
      <c r="K72" s="19">
        <v>46.0</v>
      </c>
      <c r="L72" s="19">
        <v>0.0</v>
      </c>
      <c r="M72" s="19">
        <v>61.0</v>
      </c>
      <c r="N72" s="19">
        <v>43.0</v>
      </c>
      <c r="O72" s="19">
        <v>45.0</v>
      </c>
      <c r="P72" s="19">
        <v>11.0</v>
      </c>
      <c r="Q72" s="19">
        <v>2.0</v>
      </c>
      <c r="R72" s="19">
        <v>11.0</v>
      </c>
      <c r="S72" s="19">
        <v>15.0</v>
      </c>
      <c r="T72" s="19">
        <v>19.0</v>
      </c>
      <c r="U72" s="19">
        <v>6.0</v>
      </c>
      <c r="V72" s="13">
        <f t="shared" si="18"/>
        <v>272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1.0</v>
      </c>
      <c r="H73" s="19">
        <v>0.0</v>
      </c>
      <c r="I73" s="19">
        <v>1.0</v>
      </c>
      <c r="J73" s="19">
        <v>1.0</v>
      </c>
      <c r="K73" s="19">
        <v>0.0</v>
      </c>
      <c r="L73" s="19">
        <v>0.0</v>
      </c>
      <c r="M73" s="19">
        <v>1.0</v>
      </c>
      <c r="N73" s="19">
        <v>0.0</v>
      </c>
      <c r="O73" s="19">
        <v>0.0</v>
      </c>
      <c r="P73" s="19">
        <v>1.0</v>
      </c>
      <c r="Q73" s="19">
        <v>0.0</v>
      </c>
      <c r="R73" s="19">
        <v>7.0</v>
      </c>
      <c r="S73" s="19">
        <v>3.0</v>
      </c>
      <c r="T73" s="19">
        <v>5.0</v>
      </c>
      <c r="U73" s="19">
        <v>1.0</v>
      </c>
      <c r="V73" s="13">
        <f t="shared" si="18"/>
        <v>21</v>
      </c>
    </row>
    <row r="74" ht="12.75" customHeight="1">
      <c r="A74" s="18"/>
      <c r="B74" s="55">
        <v>5.0</v>
      </c>
      <c r="C74" s="50" t="s">
        <v>61</v>
      </c>
      <c r="D74" s="60"/>
      <c r="E74" s="19">
        <v>11.0</v>
      </c>
      <c r="F74" s="19">
        <v>6.0</v>
      </c>
      <c r="G74" s="19">
        <v>2.0</v>
      </c>
      <c r="H74" s="19">
        <v>9.0</v>
      </c>
      <c r="I74" s="19">
        <v>5.0</v>
      </c>
      <c r="J74" s="19">
        <v>3.0</v>
      </c>
      <c r="K74" s="19">
        <v>2.0</v>
      </c>
      <c r="L74" s="19">
        <v>4.0</v>
      </c>
      <c r="M74" s="19">
        <v>3.0</v>
      </c>
      <c r="N74" s="19">
        <v>2.0</v>
      </c>
      <c r="O74" s="19">
        <v>6.0</v>
      </c>
      <c r="P74" s="19">
        <v>13.0</v>
      </c>
      <c r="Q74" s="19">
        <v>11.0</v>
      </c>
      <c r="R74" s="19">
        <v>8.0</v>
      </c>
      <c r="S74" s="19">
        <v>8.0</v>
      </c>
      <c r="T74" s="19">
        <v>5.0</v>
      </c>
      <c r="U74" s="19">
        <v>8.0</v>
      </c>
      <c r="V74" s="13">
        <f t="shared" si="18"/>
        <v>106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5.0</v>
      </c>
      <c r="S75" s="19">
        <v>10.0</v>
      </c>
      <c r="T75" s="19">
        <v>7.0</v>
      </c>
      <c r="U75" s="19">
        <v>2.0</v>
      </c>
      <c r="V75" s="13">
        <f t="shared" si="18"/>
        <v>25</v>
      </c>
    </row>
    <row r="76" ht="12.75" customHeight="1">
      <c r="A76" s="18"/>
      <c r="B76" s="55">
        <v>7.0</v>
      </c>
      <c r="C76" s="50" t="s">
        <v>63</v>
      </c>
      <c r="D76" s="60"/>
      <c r="E76" s="19">
        <v>4.0</v>
      </c>
      <c r="F76" s="19">
        <v>7.0</v>
      </c>
      <c r="G76" s="19">
        <v>6.0</v>
      </c>
      <c r="H76" s="19">
        <v>11.0</v>
      </c>
      <c r="I76" s="19">
        <v>10.0</v>
      </c>
      <c r="J76" s="19">
        <v>3.0</v>
      </c>
      <c r="K76" s="19">
        <v>4.0</v>
      </c>
      <c r="L76" s="19">
        <v>2.0</v>
      </c>
      <c r="M76" s="19">
        <v>3.0</v>
      </c>
      <c r="N76" s="19">
        <v>5.0</v>
      </c>
      <c r="O76" s="19">
        <v>8.0</v>
      </c>
      <c r="P76" s="19">
        <v>4.0</v>
      </c>
      <c r="Q76" s="19">
        <v>2.0</v>
      </c>
      <c r="R76" s="19">
        <v>0.0</v>
      </c>
      <c r="S76" s="19">
        <v>2.0</v>
      </c>
      <c r="T76" s="19">
        <v>1.0</v>
      </c>
      <c r="U76" s="19">
        <v>0.0</v>
      </c>
      <c r="V76" s="13">
        <f t="shared" si="18"/>
        <v>72</v>
      </c>
    </row>
    <row r="77" ht="12.75" customHeight="1">
      <c r="A77" s="18"/>
      <c r="B77" s="56"/>
      <c r="C77" s="57"/>
      <c r="D77" s="6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18"/>
        <v>0</v>
      </c>
    </row>
    <row r="78" ht="12.75" customHeight="1">
      <c r="A78" s="18"/>
      <c r="B78" s="56"/>
      <c r="C78" s="57"/>
      <c r="D78" s="6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U79" si="19">SUM(E69:E76)</f>
        <v>52</v>
      </c>
      <c r="F79" s="13">
        <f t="shared" si="19"/>
        <v>50</v>
      </c>
      <c r="G79" s="13">
        <f t="shared" si="19"/>
        <v>30</v>
      </c>
      <c r="H79" s="13">
        <f t="shared" si="19"/>
        <v>40</v>
      </c>
      <c r="I79" s="13">
        <f t="shared" si="19"/>
        <v>44</v>
      </c>
      <c r="J79" s="13">
        <f t="shared" si="19"/>
        <v>25</v>
      </c>
      <c r="K79" s="13">
        <f t="shared" si="19"/>
        <v>83</v>
      </c>
      <c r="L79" s="13">
        <f t="shared" si="19"/>
        <v>22</v>
      </c>
      <c r="M79" s="13">
        <f t="shared" si="19"/>
        <v>89</v>
      </c>
      <c r="N79" s="13">
        <f t="shared" si="19"/>
        <v>71</v>
      </c>
      <c r="O79" s="13">
        <f t="shared" si="19"/>
        <v>87</v>
      </c>
      <c r="P79" s="13">
        <f t="shared" si="19"/>
        <v>60</v>
      </c>
      <c r="Q79" s="13">
        <f t="shared" si="19"/>
        <v>32</v>
      </c>
      <c r="R79" s="13">
        <f t="shared" si="19"/>
        <v>94</v>
      </c>
      <c r="S79" s="13">
        <f t="shared" si="19"/>
        <v>110</v>
      </c>
      <c r="T79" s="13">
        <f t="shared" si="19"/>
        <v>94</v>
      </c>
      <c r="U79" s="13">
        <f t="shared" si="19"/>
        <v>54</v>
      </c>
      <c r="V79" s="13">
        <f t="shared" si="18"/>
        <v>1037</v>
      </c>
    </row>
    <row r="80" ht="12.75" customHeight="1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13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1.0</v>
      </c>
      <c r="G81" s="19">
        <v>5.0</v>
      </c>
      <c r="H81" s="19">
        <v>4.0</v>
      </c>
      <c r="I81" s="19">
        <v>0.0</v>
      </c>
      <c r="J81" s="19">
        <v>0.0</v>
      </c>
      <c r="K81" s="19">
        <v>3.0</v>
      </c>
      <c r="L81" s="19">
        <v>5.0</v>
      </c>
      <c r="M81" s="19">
        <v>3.0</v>
      </c>
      <c r="N81" s="19">
        <v>1.0</v>
      </c>
      <c r="O81" s="19">
        <v>2.0</v>
      </c>
      <c r="P81" s="19">
        <v>3.0</v>
      </c>
      <c r="Q81" s="19">
        <v>0.0</v>
      </c>
      <c r="R81" s="19">
        <v>2.0</v>
      </c>
      <c r="S81" s="19">
        <v>2.0</v>
      </c>
      <c r="T81" s="19">
        <v>1.0</v>
      </c>
      <c r="U81" s="19">
        <v>0.0</v>
      </c>
      <c r="V81" s="13">
        <f t="shared" ref="V81:V91" si="20">SUM(E81:U81)</f>
        <v>38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8.0</v>
      </c>
      <c r="F82" s="19">
        <v>5.0</v>
      </c>
      <c r="G82" s="19">
        <v>41.0</v>
      </c>
      <c r="H82" s="19">
        <v>12.0</v>
      </c>
      <c r="I82" s="19">
        <v>4.0</v>
      </c>
      <c r="J82" s="19">
        <v>4.0</v>
      </c>
      <c r="K82" s="19">
        <v>5.0</v>
      </c>
      <c r="L82" s="19">
        <v>12.0</v>
      </c>
      <c r="M82" s="19">
        <v>5.0</v>
      </c>
      <c r="N82" s="19">
        <v>10.0</v>
      </c>
      <c r="O82" s="19">
        <v>8.0</v>
      </c>
      <c r="P82" s="19">
        <v>7.0</v>
      </c>
      <c r="Q82" s="19">
        <v>1.0</v>
      </c>
      <c r="R82" s="19">
        <v>3.0</v>
      </c>
      <c r="S82" s="19">
        <v>7.0</v>
      </c>
      <c r="T82" s="19">
        <v>5.0</v>
      </c>
      <c r="U82" s="19">
        <v>0.0</v>
      </c>
      <c r="V82" s="13">
        <f t="shared" si="20"/>
        <v>137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8.0</v>
      </c>
      <c r="G83" s="19">
        <v>9.0</v>
      </c>
      <c r="H83" s="19">
        <v>2.0</v>
      </c>
      <c r="I83" s="19">
        <v>10.0</v>
      </c>
      <c r="J83" s="19">
        <v>15.0</v>
      </c>
      <c r="K83" s="19">
        <v>7.0</v>
      </c>
      <c r="L83" s="19">
        <v>8.0</v>
      </c>
      <c r="M83" s="19">
        <v>4.0</v>
      </c>
      <c r="N83" s="19">
        <v>0.0</v>
      </c>
      <c r="O83" s="19">
        <v>4.0</v>
      </c>
      <c r="P83" s="19">
        <v>2.0</v>
      </c>
      <c r="Q83" s="19">
        <v>1.0</v>
      </c>
      <c r="R83" s="19">
        <v>1.0</v>
      </c>
      <c r="S83" s="19">
        <v>3.0</v>
      </c>
      <c r="T83" s="19">
        <v>0.0</v>
      </c>
      <c r="U83" s="19">
        <v>3.0</v>
      </c>
      <c r="V83" s="13">
        <f t="shared" si="20"/>
        <v>78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1.0</v>
      </c>
      <c r="P84" s="19">
        <v>6.0</v>
      </c>
      <c r="Q84" s="19">
        <v>1.0</v>
      </c>
      <c r="R84" s="19">
        <v>0.0</v>
      </c>
      <c r="S84" s="19">
        <v>3.0</v>
      </c>
      <c r="T84" s="19">
        <v>2.0</v>
      </c>
      <c r="U84" s="19">
        <v>0.0</v>
      </c>
      <c r="V84" s="13">
        <f t="shared" si="20"/>
        <v>15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1.0</v>
      </c>
      <c r="H85" s="19">
        <v>2.0</v>
      </c>
      <c r="I85" s="19">
        <v>1.0</v>
      </c>
      <c r="J85" s="19">
        <v>1.0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5.0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3">
        <f t="shared" si="20"/>
        <v>12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2.0</v>
      </c>
      <c r="G86" s="19">
        <v>1.0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3.0</v>
      </c>
      <c r="O86" s="19">
        <v>2.0</v>
      </c>
      <c r="P86" s="19">
        <v>2.0</v>
      </c>
      <c r="Q86" s="19">
        <v>1.0</v>
      </c>
      <c r="R86" s="19">
        <v>0.0</v>
      </c>
      <c r="S86" s="19">
        <v>0.0</v>
      </c>
      <c r="T86" s="19">
        <v>0.0</v>
      </c>
      <c r="U86" s="19">
        <v>0.0</v>
      </c>
      <c r="V86" s="13">
        <f t="shared" si="20"/>
        <v>12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2.0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3">
        <f t="shared" si="20"/>
        <v>1</v>
      </c>
    </row>
    <row r="89" ht="12.75" customHeight="1">
      <c r="A89" s="18"/>
      <c r="B89" s="56"/>
      <c r="C89" s="57"/>
      <c r="D89" s="6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3">
        <f t="shared" si="20"/>
        <v>0</v>
      </c>
    </row>
    <row r="90" ht="12.75" customHeight="1">
      <c r="A90" s="18"/>
      <c r="B90" s="56"/>
      <c r="C90" s="57"/>
      <c r="D90" s="6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U91" si="21">SUM(E81:E88)</f>
        <v>16</v>
      </c>
      <c r="F91" s="13">
        <f t="shared" si="21"/>
        <v>16</v>
      </c>
      <c r="G91" s="13">
        <f t="shared" si="21"/>
        <v>57</v>
      </c>
      <c r="H91" s="13">
        <f t="shared" si="21"/>
        <v>21</v>
      </c>
      <c r="I91" s="13">
        <f t="shared" si="21"/>
        <v>17</v>
      </c>
      <c r="J91" s="13">
        <f t="shared" si="21"/>
        <v>20</v>
      </c>
      <c r="K91" s="13">
        <f t="shared" si="21"/>
        <v>15</v>
      </c>
      <c r="L91" s="13">
        <f t="shared" si="21"/>
        <v>26</v>
      </c>
      <c r="M91" s="13">
        <f t="shared" si="21"/>
        <v>13</v>
      </c>
      <c r="N91" s="13">
        <f t="shared" si="21"/>
        <v>16</v>
      </c>
      <c r="O91" s="13">
        <f t="shared" si="21"/>
        <v>17</v>
      </c>
      <c r="P91" s="13">
        <f t="shared" si="21"/>
        <v>25</v>
      </c>
      <c r="Q91" s="13">
        <f t="shared" si="21"/>
        <v>5</v>
      </c>
      <c r="R91" s="13">
        <f t="shared" si="21"/>
        <v>6</v>
      </c>
      <c r="S91" s="13">
        <f t="shared" si="21"/>
        <v>15</v>
      </c>
      <c r="T91" s="13">
        <f t="shared" si="21"/>
        <v>8</v>
      </c>
      <c r="U91" s="13">
        <f t="shared" si="21"/>
        <v>3</v>
      </c>
      <c r="V91" s="13">
        <f t="shared" si="20"/>
        <v>296</v>
      </c>
    </row>
    <row r="92" ht="12.75" customHeight="1">
      <c r="A92" s="74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13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1.0</v>
      </c>
      <c r="G93" s="19">
        <v>6.0</v>
      </c>
      <c r="H93" s="19">
        <v>6.0</v>
      </c>
      <c r="I93" s="19">
        <v>5.0</v>
      </c>
      <c r="J93" s="19">
        <v>1.0</v>
      </c>
      <c r="K93" s="19">
        <v>2.0</v>
      </c>
      <c r="L93" s="19">
        <v>0.0</v>
      </c>
      <c r="M93" s="19">
        <v>0.0</v>
      </c>
      <c r="N93" s="19">
        <v>3.0</v>
      </c>
      <c r="O93" s="19">
        <v>2.0</v>
      </c>
      <c r="P93" s="19">
        <v>1.0</v>
      </c>
      <c r="Q93" s="19">
        <v>1.0</v>
      </c>
      <c r="R93" s="19">
        <v>1.0</v>
      </c>
      <c r="S93" s="19">
        <v>1.0</v>
      </c>
      <c r="T93" s="19">
        <v>0.0</v>
      </c>
      <c r="U93" s="19">
        <v>0.0</v>
      </c>
      <c r="V93" s="13">
        <f t="shared" ref="V93:V103" si="22">SUM(E93:U93)</f>
        <v>31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4.0</v>
      </c>
      <c r="F94" s="19">
        <v>14.0</v>
      </c>
      <c r="G94" s="19">
        <v>13.0</v>
      </c>
      <c r="H94" s="19">
        <v>2.0</v>
      </c>
      <c r="I94" s="19">
        <v>4.0</v>
      </c>
      <c r="J94" s="19">
        <v>4.0</v>
      </c>
      <c r="K94" s="19">
        <v>6.0</v>
      </c>
      <c r="L94" s="19">
        <v>0.0</v>
      </c>
      <c r="M94" s="19">
        <v>3.0</v>
      </c>
      <c r="N94" s="19">
        <v>5.0</v>
      </c>
      <c r="O94" s="19">
        <v>1.0</v>
      </c>
      <c r="P94" s="19">
        <v>0.0</v>
      </c>
      <c r="Q94" s="19">
        <v>0.0</v>
      </c>
      <c r="R94" s="19">
        <v>2.0</v>
      </c>
      <c r="S94" s="19">
        <v>2.0</v>
      </c>
      <c r="T94" s="19">
        <v>0.0</v>
      </c>
      <c r="U94" s="19">
        <v>1.0</v>
      </c>
      <c r="V94" s="13">
        <f t="shared" si="22"/>
        <v>61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2.0</v>
      </c>
      <c r="H95" s="19">
        <v>1.0</v>
      </c>
      <c r="I95" s="19">
        <v>0.0</v>
      </c>
      <c r="J95" s="19">
        <v>0.0</v>
      </c>
      <c r="K95" s="19">
        <v>2.0</v>
      </c>
      <c r="L95" s="19">
        <v>0.0</v>
      </c>
      <c r="M95" s="19">
        <v>0.0</v>
      </c>
      <c r="N95" s="19">
        <v>0.0</v>
      </c>
      <c r="O95" s="19">
        <v>0.0</v>
      </c>
      <c r="P95" s="19">
        <v>1.0</v>
      </c>
      <c r="Q95" s="19">
        <v>0.0</v>
      </c>
      <c r="R95" s="19">
        <v>2.0</v>
      </c>
      <c r="S95" s="19">
        <v>1.0</v>
      </c>
      <c r="T95" s="19">
        <v>0.0</v>
      </c>
      <c r="U95" s="19">
        <v>1.0</v>
      </c>
      <c r="V95" s="13">
        <f t="shared" si="22"/>
        <v>10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2.0</v>
      </c>
      <c r="U97" s="19">
        <v>0.0</v>
      </c>
      <c r="V97" s="13">
        <f t="shared" si="22"/>
        <v>2</v>
      </c>
    </row>
    <row r="98" ht="12.75" customHeight="1">
      <c r="A98" s="18"/>
      <c r="B98" s="55">
        <v>5.0</v>
      </c>
      <c r="C98" s="50" t="s">
        <v>78</v>
      </c>
      <c r="D98" s="60"/>
      <c r="E98" s="19">
        <v>4.0</v>
      </c>
      <c r="F98" s="19">
        <v>1.0</v>
      </c>
      <c r="G98" s="19">
        <v>2.0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3">
        <f t="shared" si="22"/>
        <v>10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0.0</v>
      </c>
      <c r="V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1.0</v>
      </c>
      <c r="S100" s="19">
        <v>1.0</v>
      </c>
      <c r="T100" s="19">
        <v>0.0</v>
      </c>
      <c r="U100" s="19">
        <v>0.0</v>
      </c>
      <c r="V100" s="13">
        <f t="shared" si="22"/>
        <v>3</v>
      </c>
    </row>
    <row r="101" ht="12.75" customHeight="1">
      <c r="A101" s="18"/>
      <c r="B101" s="56"/>
      <c r="C101" s="57"/>
      <c r="D101" s="6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3">
        <f t="shared" si="22"/>
        <v>0</v>
      </c>
    </row>
    <row r="102" ht="12.75" customHeight="1">
      <c r="A102" s="18"/>
      <c r="B102" s="56"/>
      <c r="C102" s="57"/>
      <c r="D102" s="6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U103" si="23">SUM(E93:E100)</f>
        <v>9</v>
      </c>
      <c r="F103" s="13">
        <f t="shared" si="23"/>
        <v>16</v>
      </c>
      <c r="G103" s="13">
        <f t="shared" si="23"/>
        <v>23</v>
      </c>
      <c r="H103" s="13">
        <f t="shared" si="23"/>
        <v>9</v>
      </c>
      <c r="I103" s="13">
        <f t="shared" si="23"/>
        <v>9</v>
      </c>
      <c r="J103" s="13">
        <f t="shared" si="23"/>
        <v>6</v>
      </c>
      <c r="K103" s="13">
        <f t="shared" si="23"/>
        <v>10</v>
      </c>
      <c r="L103" s="13">
        <f t="shared" si="23"/>
        <v>1</v>
      </c>
      <c r="M103" s="13">
        <f t="shared" si="23"/>
        <v>4</v>
      </c>
      <c r="N103" s="13">
        <f t="shared" si="23"/>
        <v>8</v>
      </c>
      <c r="O103" s="13">
        <f t="shared" si="23"/>
        <v>3</v>
      </c>
      <c r="P103" s="13">
        <f t="shared" si="23"/>
        <v>3</v>
      </c>
      <c r="Q103" s="13">
        <f t="shared" si="23"/>
        <v>2</v>
      </c>
      <c r="R103" s="13">
        <f t="shared" si="23"/>
        <v>6</v>
      </c>
      <c r="S103" s="13">
        <f t="shared" si="23"/>
        <v>6</v>
      </c>
      <c r="T103" s="13">
        <f t="shared" si="23"/>
        <v>3</v>
      </c>
      <c r="U103" s="13">
        <f t="shared" si="23"/>
        <v>2</v>
      </c>
      <c r="V103" s="13">
        <f t="shared" si="22"/>
        <v>120</v>
      </c>
    </row>
    <row r="104" ht="12.75" customHeight="1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13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3">
        <f t="shared" ref="V105:V115" si="24">SUM(E105:U105)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1.0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3">
        <f t="shared" si="24"/>
        <v>0</v>
      </c>
    </row>
    <row r="113" ht="12.75" customHeight="1">
      <c r="A113" s="18"/>
      <c r="B113" s="56"/>
      <c r="C113" s="57"/>
      <c r="D113" s="6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4"/>
        <v>0</v>
      </c>
    </row>
    <row r="114" ht="12.75" customHeight="1">
      <c r="A114" s="18"/>
      <c r="B114" s="56"/>
      <c r="C114" s="57"/>
      <c r="D114" s="6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U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4"/>
        <v>3</v>
      </c>
    </row>
    <row r="116" ht="12.75" customHeight="1">
      <c r="A116" s="76"/>
      <c r="B116" s="77"/>
      <c r="C116" s="77"/>
      <c r="D116" s="77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2.0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0.0</v>
      </c>
      <c r="T117" s="19">
        <v>0.0</v>
      </c>
      <c r="U117" s="19">
        <v>0.0</v>
      </c>
      <c r="V117" s="13">
        <f t="shared" ref="V117:V127" si="26">SUM(E117:U117)</f>
        <v>4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3">
        <f t="shared" si="26"/>
        <v>0</v>
      </c>
    </row>
    <row r="121" ht="12.75" customHeight="1">
      <c r="A121" s="18"/>
      <c r="B121" s="56"/>
      <c r="C121" s="57"/>
      <c r="D121" s="61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13">
        <f t="shared" si="26"/>
        <v>0</v>
      </c>
    </row>
    <row r="122" ht="12.75" customHeight="1">
      <c r="A122" s="18"/>
      <c r="B122" s="56"/>
      <c r="C122" s="57"/>
      <c r="D122" s="61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13">
        <f t="shared" si="26"/>
        <v>0</v>
      </c>
    </row>
    <row r="123" ht="12.75" customHeight="1">
      <c r="A123" s="18"/>
      <c r="B123" s="56"/>
      <c r="C123" s="57"/>
      <c r="D123" s="6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3">
        <f t="shared" si="26"/>
        <v>0</v>
      </c>
    </row>
    <row r="124" ht="12.75" customHeight="1">
      <c r="A124" s="18"/>
      <c r="B124" s="56"/>
      <c r="C124" s="57"/>
      <c r="D124" s="6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3">
        <f t="shared" si="26"/>
        <v>0</v>
      </c>
    </row>
    <row r="125" ht="12.75" customHeight="1">
      <c r="A125" s="18"/>
      <c r="B125" s="56"/>
      <c r="C125" s="57"/>
      <c r="D125" s="6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13">
        <f t="shared" si="26"/>
        <v>0</v>
      </c>
    </row>
    <row r="126" ht="12.75" customHeight="1">
      <c r="A126" s="18"/>
      <c r="B126" s="56"/>
      <c r="C126" s="57"/>
      <c r="D126" s="6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62">
        <f t="shared" ref="E127:U127" si="27">SUM(E117:E120)</f>
        <v>1</v>
      </c>
      <c r="F127" s="62">
        <f t="shared" si="27"/>
        <v>0</v>
      </c>
      <c r="G127" s="62">
        <f t="shared" si="27"/>
        <v>0</v>
      </c>
      <c r="H127" s="62">
        <f t="shared" si="27"/>
        <v>0</v>
      </c>
      <c r="I127" s="62">
        <f t="shared" si="27"/>
        <v>0</v>
      </c>
      <c r="J127" s="62">
        <f t="shared" si="27"/>
        <v>0</v>
      </c>
      <c r="K127" s="62">
        <f t="shared" si="27"/>
        <v>0</v>
      </c>
      <c r="L127" s="62">
        <f t="shared" si="27"/>
        <v>0</v>
      </c>
      <c r="M127" s="62">
        <f t="shared" si="27"/>
        <v>2</v>
      </c>
      <c r="N127" s="62">
        <f t="shared" si="27"/>
        <v>0</v>
      </c>
      <c r="O127" s="62">
        <f t="shared" si="27"/>
        <v>0</v>
      </c>
      <c r="P127" s="62">
        <f t="shared" si="27"/>
        <v>1</v>
      </c>
      <c r="Q127" s="62">
        <f t="shared" si="27"/>
        <v>1</v>
      </c>
      <c r="R127" s="62">
        <f t="shared" si="27"/>
        <v>0</v>
      </c>
      <c r="S127" s="62">
        <f t="shared" si="27"/>
        <v>0</v>
      </c>
      <c r="T127" s="62">
        <f t="shared" si="27"/>
        <v>1</v>
      </c>
      <c r="U127" s="62">
        <f t="shared" si="27"/>
        <v>0</v>
      </c>
      <c r="V127" s="13">
        <f t="shared" si="26"/>
        <v>6</v>
      </c>
    </row>
    <row r="128" ht="12.75" customHeight="1">
      <c r="A128" s="76"/>
      <c r="B128" s="77"/>
      <c r="C128" s="77"/>
      <c r="D128" s="77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13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3.0</v>
      </c>
      <c r="G129" s="19">
        <v>3.0</v>
      </c>
      <c r="H129" s="19">
        <v>6.0</v>
      </c>
      <c r="I129" s="19">
        <v>1.0</v>
      </c>
      <c r="J129" s="19">
        <v>2.0</v>
      </c>
      <c r="K129" s="19">
        <v>3.0</v>
      </c>
      <c r="L129" s="19">
        <v>3.0</v>
      </c>
      <c r="M129" s="19">
        <v>0.0</v>
      </c>
      <c r="N129" s="19">
        <v>3.0</v>
      </c>
      <c r="O129" s="19">
        <v>0.0</v>
      </c>
      <c r="P129" s="19">
        <v>5.0</v>
      </c>
      <c r="Q129" s="19">
        <v>0.0</v>
      </c>
      <c r="R129" s="19">
        <v>1.0</v>
      </c>
      <c r="S129" s="19">
        <v>1.0</v>
      </c>
      <c r="T129" s="19">
        <v>0.0</v>
      </c>
      <c r="U129" s="19">
        <v>0.0</v>
      </c>
      <c r="V129" s="13">
        <f t="shared" ref="V129:V139" si="28">SUM(E129:U129)</f>
        <v>33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2.0</v>
      </c>
      <c r="G130" s="19">
        <v>2.0</v>
      </c>
      <c r="H130" s="19">
        <v>2.0</v>
      </c>
      <c r="I130" s="19">
        <v>2.0</v>
      </c>
      <c r="J130" s="19">
        <v>5.0</v>
      </c>
      <c r="K130" s="19">
        <v>3.0</v>
      </c>
      <c r="L130" s="19">
        <v>7.0</v>
      </c>
      <c r="M130" s="19">
        <v>0.0</v>
      </c>
      <c r="N130" s="19">
        <v>1.0</v>
      </c>
      <c r="O130" s="19">
        <v>2.0</v>
      </c>
      <c r="P130" s="19">
        <v>5.0</v>
      </c>
      <c r="Q130" s="19">
        <v>1.0</v>
      </c>
      <c r="R130" s="19">
        <v>0.0</v>
      </c>
      <c r="S130" s="19">
        <v>1.0</v>
      </c>
      <c r="T130" s="19">
        <v>0.0</v>
      </c>
      <c r="U130" s="19">
        <v>0.0</v>
      </c>
      <c r="V130" s="13">
        <f t="shared" si="28"/>
        <v>34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2.0</v>
      </c>
      <c r="G131" s="19">
        <v>7.0</v>
      </c>
      <c r="H131" s="19">
        <v>4.0</v>
      </c>
      <c r="I131" s="19">
        <v>2.0</v>
      </c>
      <c r="J131" s="19">
        <v>5.0</v>
      </c>
      <c r="K131" s="19">
        <v>4.0</v>
      </c>
      <c r="L131" s="19">
        <v>0.0</v>
      </c>
      <c r="M131" s="19">
        <v>0.0</v>
      </c>
      <c r="N131" s="19">
        <v>1.0</v>
      </c>
      <c r="O131" s="19">
        <v>1.0</v>
      </c>
      <c r="P131" s="19">
        <v>5.0</v>
      </c>
      <c r="Q131" s="19">
        <v>7.0</v>
      </c>
      <c r="R131" s="19">
        <v>0.0</v>
      </c>
      <c r="S131" s="19">
        <v>0.0</v>
      </c>
      <c r="T131" s="19">
        <v>0.0</v>
      </c>
      <c r="U131" s="19">
        <v>0.0</v>
      </c>
      <c r="V131" s="13">
        <f t="shared" si="28"/>
        <v>39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1.0</v>
      </c>
      <c r="F132" s="19">
        <v>0.0</v>
      </c>
      <c r="G132" s="19">
        <v>1.0</v>
      </c>
      <c r="H132" s="19">
        <v>0.0</v>
      </c>
      <c r="I132" s="19">
        <v>1.0</v>
      </c>
      <c r="J132" s="19">
        <v>0.0</v>
      </c>
      <c r="K132" s="19">
        <v>1.0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3">
        <f t="shared" si="28"/>
        <v>5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>
        <v>0.0</v>
      </c>
      <c r="M135" s="19">
        <v>1.0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1.0</v>
      </c>
      <c r="U135" s="19">
        <v>0.0</v>
      </c>
      <c r="V135" s="13">
        <f t="shared" si="28"/>
        <v>3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1.0</v>
      </c>
      <c r="M136" s="19">
        <v>0.0</v>
      </c>
      <c r="N136" s="19">
        <v>0.0</v>
      </c>
      <c r="O136" s="19">
        <v>1.0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3">
        <f t="shared" si="28"/>
        <v>2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U139" si="29">SUM(E129:E136)</f>
        <v>6</v>
      </c>
      <c r="F139" s="13">
        <f t="shared" si="29"/>
        <v>7</v>
      </c>
      <c r="G139" s="13">
        <f t="shared" si="29"/>
        <v>13</v>
      </c>
      <c r="H139" s="13">
        <f t="shared" si="29"/>
        <v>12</v>
      </c>
      <c r="I139" s="13">
        <f t="shared" si="29"/>
        <v>6</v>
      </c>
      <c r="J139" s="13">
        <f t="shared" si="29"/>
        <v>13</v>
      </c>
      <c r="K139" s="13">
        <f t="shared" si="29"/>
        <v>11</v>
      </c>
      <c r="L139" s="13">
        <f t="shared" si="29"/>
        <v>12</v>
      </c>
      <c r="M139" s="13">
        <f t="shared" si="29"/>
        <v>1</v>
      </c>
      <c r="N139" s="13">
        <f t="shared" si="29"/>
        <v>6</v>
      </c>
      <c r="O139" s="13">
        <f t="shared" si="29"/>
        <v>4</v>
      </c>
      <c r="P139" s="13">
        <f t="shared" si="29"/>
        <v>15</v>
      </c>
      <c r="Q139" s="13">
        <f t="shared" si="29"/>
        <v>8</v>
      </c>
      <c r="R139" s="13">
        <f t="shared" si="29"/>
        <v>1</v>
      </c>
      <c r="S139" s="13">
        <f t="shared" si="29"/>
        <v>2</v>
      </c>
      <c r="T139" s="13">
        <f t="shared" si="29"/>
        <v>1</v>
      </c>
      <c r="U139" s="13">
        <f t="shared" si="29"/>
        <v>0</v>
      </c>
      <c r="V139" s="13">
        <f t="shared" si="28"/>
        <v>118</v>
      </c>
    </row>
    <row r="140" ht="12.75" customHeight="1">
      <c r="A140" s="76"/>
      <c r="B140" s="77"/>
      <c r="C140" s="77"/>
      <c r="D140" s="77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13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3">
        <f t="shared" ref="V141:V151" si="30">SUM(E141:U141)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1.0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3">
        <f t="shared" si="30"/>
        <v>0</v>
      </c>
    </row>
    <row r="149" ht="12.75" customHeight="1">
      <c r="A149" s="18"/>
      <c r="B149" s="56"/>
      <c r="C149" s="57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0"/>
        <v>0</v>
      </c>
    </row>
    <row r="150" ht="12.75" customHeight="1">
      <c r="A150" s="18"/>
      <c r="B150" s="56"/>
      <c r="C150" s="57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U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0"/>
        <v>1</v>
      </c>
    </row>
    <row r="152" ht="12.75" customHeight="1">
      <c r="A152" s="76"/>
      <c r="B152" s="77"/>
      <c r="C152" s="77"/>
      <c r="D152" s="77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3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1.0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3">
        <f t="shared" ref="V153:V163" si="32">SUM(E153:U153)</f>
        <v>3</v>
      </c>
    </row>
    <row r="154" ht="12.75" customHeight="1">
      <c r="A154" s="30" t="s">
        <v>39</v>
      </c>
      <c r="B154" s="55">
        <v>1.0</v>
      </c>
      <c r="C154" s="63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3">
        <f t="shared" si="32"/>
        <v>1</v>
      </c>
    </row>
    <row r="155" ht="12.75" customHeight="1">
      <c r="A155" s="18"/>
      <c r="B155" s="55">
        <v>2.0</v>
      </c>
      <c r="C155" s="63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1.0</v>
      </c>
      <c r="U155" s="19">
        <v>0.0</v>
      </c>
      <c r="V155" s="13">
        <f t="shared" si="32"/>
        <v>2</v>
      </c>
    </row>
    <row r="156" ht="12.75" customHeight="1">
      <c r="A156" s="18"/>
      <c r="B156" s="55">
        <v>3.0</v>
      </c>
      <c r="C156" s="63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3">
        <f t="shared" si="32"/>
        <v>0</v>
      </c>
    </row>
    <row r="157" ht="12.75" customHeight="1">
      <c r="A157" s="18"/>
      <c r="B157" s="55">
        <v>4.0</v>
      </c>
      <c r="C157" s="63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1.0</v>
      </c>
      <c r="T157" s="19">
        <v>0.0</v>
      </c>
      <c r="U157" s="19">
        <v>0.0</v>
      </c>
      <c r="V157" s="13">
        <f t="shared" si="32"/>
        <v>1</v>
      </c>
    </row>
    <row r="158" ht="12.75" customHeight="1">
      <c r="A158" s="18"/>
      <c r="B158" s="56"/>
      <c r="C158" s="64"/>
      <c r="D158" s="6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3">
        <f t="shared" si="32"/>
        <v>0</v>
      </c>
    </row>
    <row r="159" ht="12.75" customHeight="1">
      <c r="A159" s="18"/>
      <c r="B159" s="56"/>
      <c r="C159" s="64"/>
      <c r="D159" s="6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3">
        <f t="shared" si="32"/>
        <v>0</v>
      </c>
    </row>
    <row r="160" ht="12.75" customHeight="1">
      <c r="A160" s="18"/>
      <c r="B160" s="56"/>
      <c r="C160" s="64"/>
      <c r="D160" s="6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3">
        <f t="shared" si="32"/>
        <v>0</v>
      </c>
    </row>
    <row r="161" ht="12.75" customHeight="1">
      <c r="A161" s="18"/>
      <c r="B161" s="56"/>
      <c r="C161" s="64"/>
      <c r="D161" s="6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2"/>
        <v>0</v>
      </c>
    </row>
    <row r="162" ht="12.75" customHeight="1">
      <c r="A162" s="18"/>
      <c r="B162" s="56"/>
      <c r="C162" s="64"/>
      <c r="D162" s="6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2"/>
        <v>0</v>
      </c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U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2</v>
      </c>
      <c r="Q163" s="13">
        <f t="shared" si="33"/>
        <v>0</v>
      </c>
      <c r="R163" s="13">
        <f t="shared" si="33"/>
        <v>1</v>
      </c>
      <c r="S163" s="13">
        <f t="shared" si="33"/>
        <v>1</v>
      </c>
      <c r="T163" s="13">
        <f t="shared" si="33"/>
        <v>1</v>
      </c>
      <c r="U163" s="13">
        <f t="shared" si="33"/>
        <v>0</v>
      </c>
      <c r="V163" s="13">
        <f t="shared" si="32"/>
        <v>7</v>
      </c>
    </row>
    <row r="164" ht="12.75" customHeight="1">
      <c r="A164" s="76"/>
      <c r="B164" s="77"/>
      <c r="C164" s="77"/>
      <c r="D164" s="77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13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2.0</v>
      </c>
      <c r="T165" s="19">
        <v>0.0</v>
      </c>
      <c r="U165" s="19">
        <v>0.0</v>
      </c>
      <c r="V165" s="13">
        <f t="shared" ref="V165:V175" si="34">SUM(E165:U165)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1.0</v>
      </c>
      <c r="T166" s="19">
        <v>0.0</v>
      </c>
      <c r="U166" s="19">
        <v>0.0</v>
      </c>
      <c r="V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2.0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3">
        <f t="shared" si="34"/>
        <v>2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1.0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1.0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3">
        <f t="shared" si="34"/>
        <v>1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3">
        <f t="shared" si="34"/>
        <v>0</v>
      </c>
    </row>
    <row r="173" ht="12.75" customHeight="1">
      <c r="A173" s="18"/>
      <c r="B173" s="56"/>
      <c r="C173" s="57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4"/>
        <v>0</v>
      </c>
    </row>
    <row r="174" ht="12.75" customHeight="1">
      <c r="A174" s="18"/>
      <c r="B174" s="56"/>
      <c r="C174" s="57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U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2</v>
      </c>
      <c r="I175" s="13">
        <f t="shared" si="35"/>
        <v>1</v>
      </c>
      <c r="J175" s="13">
        <f t="shared" si="35"/>
        <v>2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3</v>
      </c>
      <c r="T175" s="13">
        <f t="shared" si="35"/>
        <v>0</v>
      </c>
      <c r="U175" s="13">
        <f t="shared" si="35"/>
        <v>0</v>
      </c>
      <c r="V175" s="13">
        <f t="shared" si="34"/>
        <v>9</v>
      </c>
    </row>
    <row r="176" ht="12.75" customHeight="1">
      <c r="A176" s="76"/>
      <c r="B176" s="77"/>
      <c r="C176" s="77"/>
      <c r="D176" s="77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13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2.0</v>
      </c>
      <c r="K177" s="19">
        <v>1.0</v>
      </c>
      <c r="L177" s="19">
        <v>1.0</v>
      </c>
      <c r="M177" s="19">
        <v>0.0</v>
      </c>
      <c r="N177" s="19">
        <v>0.0</v>
      </c>
      <c r="O177" s="19">
        <v>2.0</v>
      </c>
      <c r="P177" s="19">
        <v>1.0</v>
      </c>
      <c r="Q177" s="19">
        <v>1.0</v>
      </c>
      <c r="R177" s="19">
        <v>1.0</v>
      </c>
      <c r="S177" s="19">
        <v>4.0</v>
      </c>
      <c r="T177" s="19">
        <v>1.0</v>
      </c>
      <c r="U177" s="19">
        <v>1.0</v>
      </c>
      <c r="V177" s="13">
        <f t="shared" ref="V177:V187" si="36">SUM(E177:U177)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1.0</v>
      </c>
      <c r="H178" s="19">
        <v>0.0</v>
      </c>
      <c r="I178" s="19">
        <v>3.0</v>
      </c>
      <c r="J178" s="19">
        <v>3.0</v>
      </c>
      <c r="K178" s="19">
        <v>0.0</v>
      </c>
      <c r="L178" s="19">
        <v>1.0</v>
      </c>
      <c r="M178" s="19">
        <v>2.0</v>
      </c>
      <c r="N178" s="19">
        <v>2.0</v>
      </c>
      <c r="O178" s="19">
        <v>1.0</v>
      </c>
      <c r="P178" s="19">
        <v>0.0</v>
      </c>
      <c r="Q178" s="19">
        <v>1.0</v>
      </c>
      <c r="R178" s="19">
        <v>3.0</v>
      </c>
      <c r="S178" s="19">
        <v>1.0</v>
      </c>
      <c r="T178" s="19">
        <v>0.0</v>
      </c>
      <c r="U178" s="19">
        <v>0.0</v>
      </c>
      <c r="V178" s="13">
        <f t="shared" si="36"/>
        <v>18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1.0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1.0</v>
      </c>
      <c r="Q179" s="19">
        <v>3.0</v>
      </c>
      <c r="R179" s="19">
        <v>2.0</v>
      </c>
      <c r="S179" s="19">
        <v>2.0</v>
      </c>
      <c r="T179" s="19">
        <v>3.0</v>
      </c>
      <c r="U179" s="19">
        <v>1.0</v>
      </c>
      <c r="V179" s="13">
        <f t="shared" si="36"/>
        <v>15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1.0</v>
      </c>
      <c r="H180" s="19">
        <v>1.0</v>
      </c>
      <c r="I180" s="19">
        <v>0.0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2.0</v>
      </c>
      <c r="T180" s="19">
        <v>0.0</v>
      </c>
      <c r="U180" s="19">
        <v>0.0</v>
      </c>
      <c r="V180" s="13">
        <f t="shared" si="36"/>
        <v>5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1.0</v>
      </c>
      <c r="Q181" s="19">
        <v>0.0</v>
      </c>
      <c r="R181" s="19">
        <v>1.0</v>
      </c>
      <c r="S181" s="19">
        <v>1.0</v>
      </c>
      <c r="T181" s="19">
        <v>2.0</v>
      </c>
      <c r="U181" s="19">
        <v>1.0</v>
      </c>
      <c r="V181" s="13">
        <f t="shared" si="36"/>
        <v>7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2.0</v>
      </c>
      <c r="T182" s="19">
        <v>0.0</v>
      </c>
      <c r="U182" s="19">
        <v>0.0</v>
      </c>
      <c r="V182" s="13">
        <f t="shared" si="36"/>
        <v>4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1.0</v>
      </c>
      <c r="V183" s="13">
        <f t="shared" si="36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/>
      <c r="U184" s="19"/>
      <c r="V184" s="13">
        <f t="shared" si="36"/>
        <v>0</v>
      </c>
    </row>
    <row r="185" ht="12.75" customHeight="1">
      <c r="A185" s="18"/>
      <c r="B185" s="56"/>
      <c r="C185" s="57"/>
      <c r="D185" s="6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3">
        <f t="shared" si="36"/>
        <v>0</v>
      </c>
    </row>
    <row r="186" ht="12.75" customHeight="1">
      <c r="A186" s="18"/>
      <c r="B186" s="56"/>
      <c r="C186" s="57"/>
      <c r="D186" s="6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U187" si="37">SUM(E177:E184)</f>
        <v>0</v>
      </c>
      <c r="F187" s="13">
        <f t="shared" si="37"/>
        <v>0</v>
      </c>
      <c r="G187" s="13">
        <f t="shared" si="37"/>
        <v>3</v>
      </c>
      <c r="H187" s="13">
        <f t="shared" si="37"/>
        <v>1</v>
      </c>
      <c r="I187" s="13">
        <f t="shared" si="37"/>
        <v>5</v>
      </c>
      <c r="J187" s="13">
        <f t="shared" si="37"/>
        <v>6</v>
      </c>
      <c r="K187" s="13">
        <f t="shared" si="37"/>
        <v>1</v>
      </c>
      <c r="L187" s="13">
        <f t="shared" si="37"/>
        <v>4</v>
      </c>
      <c r="M187" s="13">
        <f t="shared" si="37"/>
        <v>3</v>
      </c>
      <c r="N187" s="13">
        <f t="shared" si="37"/>
        <v>3</v>
      </c>
      <c r="O187" s="13">
        <f t="shared" si="37"/>
        <v>3</v>
      </c>
      <c r="P187" s="13">
        <f t="shared" si="37"/>
        <v>3</v>
      </c>
      <c r="Q187" s="13">
        <f t="shared" si="37"/>
        <v>5</v>
      </c>
      <c r="R187" s="13">
        <f t="shared" si="37"/>
        <v>7</v>
      </c>
      <c r="S187" s="13">
        <f t="shared" si="37"/>
        <v>12</v>
      </c>
      <c r="T187" s="13">
        <f t="shared" si="37"/>
        <v>6</v>
      </c>
      <c r="U187" s="13">
        <f t="shared" si="37"/>
        <v>4</v>
      </c>
      <c r="V187" s="13">
        <f t="shared" si="36"/>
        <v>66</v>
      </c>
    </row>
    <row r="188" ht="12.75" customHeight="1">
      <c r="A188" s="76"/>
      <c r="B188" s="77"/>
      <c r="C188" s="77"/>
      <c r="D188" s="77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2.0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3">
        <f t="shared" ref="V189:V199" si="38">SUM(E189:U189)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0.0</v>
      </c>
      <c r="U190" s="19">
        <v>0.0</v>
      </c>
      <c r="V190" s="13">
        <f t="shared" si="38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2.0</v>
      </c>
      <c r="R191" s="19">
        <v>0.0</v>
      </c>
      <c r="S191" s="19">
        <v>0.0</v>
      </c>
      <c r="T191" s="19">
        <v>0.0</v>
      </c>
      <c r="U191" s="19">
        <v>0.0</v>
      </c>
      <c r="V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3">
        <f t="shared" si="38"/>
        <v>0</v>
      </c>
    </row>
    <row r="197" ht="12.75" customHeight="1">
      <c r="A197" s="18"/>
      <c r="B197" s="56"/>
      <c r="C197" s="57"/>
      <c r="D197" s="6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3">
        <f t="shared" si="38"/>
        <v>0</v>
      </c>
    </row>
    <row r="198" ht="12.75" customHeight="1">
      <c r="A198" s="18"/>
      <c r="B198" s="56"/>
      <c r="C198" s="57"/>
      <c r="D198" s="6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U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2</v>
      </c>
      <c r="Q199" s="13">
        <f t="shared" si="39"/>
        <v>3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8"/>
        <v>6</v>
      </c>
    </row>
    <row r="200" ht="12.75" customHeight="1">
      <c r="A200" s="76"/>
      <c r="B200" s="77"/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13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8.0</v>
      </c>
      <c r="G201" s="19">
        <v>3.0</v>
      </c>
      <c r="H201" s="19">
        <v>5.0</v>
      </c>
      <c r="I201" s="19">
        <v>5.0</v>
      </c>
      <c r="J201" s="19">
        <v>10.0</v>
      </c>
      <c r="K201" s="19">
        <v>1.0</v>
      </c>
      <c r="L201" s="19">
        <v>11.0</v>
      </c>
      <c r="M201" s="19">
        <v>3.0</v>
      </c>
      <c r="N201" s="19">
        <v>2.0</v>
      </c>
      <c r="O201" s="19">
        <v>1.0</v>
      </c>
      <c r="P201" s="19">
        <v>2.0</v>
      </c>
      <c r="Q201" s="19">
        <v>1.0</v>
      </c>
      <c r="R201" s="19">
        <v>2.0</v>
      </c>
      <c r="S201" s="19">
        <v>4.0</v>
      </c>
      <c r="T201" s="19">
        <v>2.0</v>
      </c>
      <c r="U201" s="19">
        <v>0.0</v>
      </c>
      <c r="V201" s="13">
        <f t="shared" ref="V201:V211" si="40">SUM(E201:U201)</f>
        <v>61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4.0</v>
      </c>
      <c r="F202" s="19">
        <v>8.0</v>
      </c>
      <c r="G202" s="19">
        <v>4.0</v>
      </c>
      <c r="H202" s="19">
        <v>1.0</v>
      </c>
      <c r="I202" s="19">
        <v>2.0</v>
      </c>
      <c r="J202" s="19">
        <v>13.0</v>
      </c>
      <c r="K202" s="19">
        <v>3.0</v>
      </c>
      <c r="L202" s="19">
        <v>1.0</v>
      </c>
      <c r="M202" s="19">
        <v>3.0</v>
      </c>
      <c r="N202" s="19">
        <v>2.0</v>
      </c>
      <c r="O202" s="19">
        <v>2.0</v>
      </c>
      <c r="P202" s="19">
        <v>3.0</v>
      </c>
      <c r="Q202" s="19">
        <v>7.0</v>
      </c>
      <c r="R202" s="19">
        <v>3.0</v>
      </c>
      <c r="S202" s="19">
        <v>1.0</v>
      </c>
      <c r="T202" s="19">
        <v>2.0</v>
      </c>
      <c r="U202" s="19">
        <v>0.0</v>
      </c>
      <c r="V202" s="13">
        <f t="shared" si="40"/>
        <v>59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3.0</v>
      </c>
      <c r="F203" s="19">
        <v>2.0</v>
      </c>
      <c r="G203" s="19">
        <v>2.0</v>
      </c>
      <c r="H203" s="19">
        <v>3.0</v>
      </c>
      <c r="I203" s="19">
        <v>4.0</v>
      </c>
      <c r="J203" s="19">
        <v>13.0</v>
      </c>
      <c r="K203" s="19">
        <v>3.0</v>
      </c>
      <c r="L203" s="19">
        <v>32.0</v>
      </c>
      <c r="M203" s="19">
        <v>2.0</v>
      </c>
      <c r="N203" s="19">
        <v>1.0</v>
      </c>
      <c r="O203" s="19">
        <v>2.0</v>
      </c>
      <c r="P203" s="19">
        <v>2.0</v>
      </c>
      <c r="Q203" s="19">
        <v>3.0</v>
      </c>
      <c r="R203" s="19">
        <v>4.0</v>
      </c>
      <c r="S203" s="19">
        <v>1.0</v>
      </c>
      <c r="T203" s="19">
        <v>3.0</v>
      </c>
      <c r="U203" s="19">
        <v>0.0</v>
      </c>
      <c r="V203" s="13">
        <f t="shared" si="40"/>
        <v>80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1.0</v>
      </c>
      <c r="H204" s="19">
        <v>5.0</v>
      </c>
      <c r="I204" s="19">
        <v>0.0</v>
      </c>
      <c r="J204" s="19">
        <v>3.0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1.0</v>
      </c>
      <c r="Q204" s="19">
        <v>0.0</v>
      </c>
      <c r="R204" s="19">
        <v>0.0</v>
      </c>
      <c r="S204" s="19">
        <v>1.0</v>
      </c>
      <c r="T204" s="19">
        <v>0.0</v>
      </c>
      <c r="U204" s="19">
        <v>0.0</v>
      </c>
      <c r="V204" s="13">
        <f t="shared" si="40"/>
        <v>12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3.0</v>
      </c>
      <c r="T205" s="19">
        <v>1.0</v>
      </c>
      <c r="U205" s="19">
        <v>0.0</v>
      </c>
      <c r="V205" s="13">
        <f t="shared" si="40"/>
        <v>7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2.0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1.0</v>
      </c>
      <c r="R207" s="19">
        <v>0.0</v>
      </c>
      <c r="S207" s="19">
        <v>0.0</v>
      </c>
      <c r="T207" s="19">
        <v>0.0</v>
      </c>
      <c r="U207" s="19">
        <v>0.0</v>
      </c>
      <c r="V207" s="13">
        <f t="shared" si="40"/>
        <v>3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1.0</v>
      </c>
      <c r="I208" s="19">
        <v>0.0</v>
      </c>
      <c r="J208" s="19">
        <v>1.0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3">
        <f t="shared" si="40"/>
        <v>3</v>
      </c>
    </row>
    <row r="209" ht="12.75" customHeight="1">
      <c r="A209" s="18"/>
      <c r="B209" s="56"/>
      <c r="C209" s="57"/>
      <c r="D209" s="6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3">
        <f t="shared" si="40"/>
        <v>0</v>
      </c>
    </row>
    <row r="210" ht="12.75" customHeight="1">
      <c r="A210" s="18"/>
      <c r="B210" s="56"/>
      <c r="C210" s="57"/>
      <c r="D210" s="6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U211" si="41">SUM(E201:E208)</f>
        <v>9</v>
      </c>
      <c r="F211" s="13">
        <f t="shared" si="41"/>
        <v>18</v>
      </c>
      <c r="G211" s="13">
        <f t="shared" si="41"/>
        <v>10</v>
      </c>
      <c r="H211" s="13">
        <f t="shared" si="41"/>
        <v>16</v>
      </c>
      <c r="I211" s="13">
        <f t="shared" si="41"/>
        <v>14</v>
      </c>
      <c r="J211" s="13">
        <f t="shared" si="41"/>
        <v>40</v>
      </c>
      <c r="K211" s="13">
        <f t="shared" si="41"/>
        <v>7</v>
      </c>
      <c r="L211" s="13">
        <f t="shared" si="41"/>
        <v>47</v>
      </c>
      <c r="M211" s="13">
        <f t="shared" si="41"/>
        <v>8</v>
      </c>
      <c r="N211" s="13">
        <f t="shared" si="41"/>
        <v>5</v>
      </c>
      <c r="O211" s="13">
        <f t="shared" si="41"/>
        <v>5</v>
      </c>
      <c r="P211" s="13">
        <f t="shared" si="41"/>
        <v>9</v>
      </c>
      <c r="Q211" s="13">
        <f t="shared" si="41"/>
        <v>12</v>
      </c>
      <c r="R211" s="13">
        <f t="shared" si="41"/>
        <v>9</v>
      </c>
      <c r="S211" s="13">
        <f t="shared" si="41"/>
        <v>10</v>
      </c>
      <c r="T211" s="13">
        <f t="shared" si="41"/>
        <v>8</v>
      </c>
      <c r="U211" s="13">
        <f t="shared" si="41"/>
        <v>0</v>
      </c>
      <c r="V211" s="13">
        <f t="shared" si="40"/>
        <v>227</v>
      </c>
    </row>
    <row r="212" ht="12.75" customHeight="1">
      <c r="A212" s="76"/>
      <c r="B212" s="77"/>
      <c r="C212" s="77"/>
      <c r="D212" s="77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13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0.0</v>
      </c>
      <c r="H213" s="19">
        <v>2.0</v>
      </c>
      <c r="I213" s="19">
        <v>1.0</v>
      </c>
      <c r="J213" s="19">
        <v>0.0</v>
      </c>
      <c r="K213" s="19">
        <v>3.0</v>
      </c>
      <c r="L213" s="19">
        <v>4.0</v>
      </c>
      <c r="M213" s="19">
        <v>1.0</v>
      </c>
      <c r="N213" s="19">
        <v>2.0</v>
      </c>
      <c r="O213" s="19">
        <v>6.0</v>
      </c>
      <c r="P213" s="19">
        <v>6.0</v>
      </c>
      <c r="Q213" s="19">
        <v>5.0</v>
      </c>
      <c r="R213" s="19">
        <v>3.0</v>
      </c>
      <c r="S213" s="19">
        <v>0.0</v>
      </c>
      <c r="T213" s="19">
        <v>0.0</v>
      </c>
      <c r="U213" s="19">
        <v>0.0</v>
      </c>
      <c r="V213" s="13">
        <f t="shared" ref="V213:V223" si="42">SUM(E213:U213)</f>
        <v>34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2.0</v>
      </c>
      <c r="G214" s="19">
        <v>0.0</v>
      </c>
      <c r="H214" s="19">
        <v>2.0</v>
      </c>
      <c r="I214" s="19">
        <v>1.0</v>
      </c>
      <c r="J214" s="19">
        <v>3.0</v>
      </c>
      <c r="K214" s="19">
        <v>0.0</v>
      </c>
      <c r="L214" s="19">
        <v>2.0</v>
      </c>
      <c r="M214" s="19">
        <v>1.0</v>
      </c>
      <c r="N214" s="19">
        <v>1.0</v>
      </c>
      <c r="O214" s="19">
        <v>1.0</v>
      </c>
      <c r="P214" s="19">
        <v>3.0</v>
      </c>
      <c r="Q214" s="19">
        <v>1.0</v>
      </c>
      <c r="R214" s="19">
        <v>0.0</v>
      </c>
      <c r="S214" s="19">
        <v>0.0</v>
      </c>
      <c r="T214" s="19">
        <v>1.0</v>
      </c>
      <c r="U214" s="19">
        <v>0.0</v>
      </c>
      <c r="V214" s="13">
        <f t="shared" si="42"/>
        <v>18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1.0</v>
      </c>
      <c r="G215" s="19">
        <v>1.0</v>
      </c>
      <c r="H215" s="19">
        <v>1.0</v>
      </c>
      <c r="I215" s="19">
        <v>0.0</v>
      </c>
      <c r="J215" s="19">
        <v>1.0</v>
      </c>
      <c r="K215" s="19">
        <v>1.0</v>
      </c>
      <c r="L215" s="19">
        <v>0.0</v>
      </c>
      <c r="M215" s="19">
        <v>2.0</v>
      </c>
      <c r="N215" s="19">
        <v>1.0</v>
      </c>
      <c r="O215" s="19">
        <v>2.0</v>
      </c>
      <c r="P215" s="19">
        <v>3.0</v>
      </c>
      <c r="Q215" s="19">
        <v>1.0</v>
      </c>
      <c r="R215" s="19">
        <v>2.0</v>
      </c>
      <c r="S215" s="19">
        <v>0.0</v>
      </c>
      <c r="T215" s="19">
        <v>0.0</v>
      </c>
      <c r="U215" s="19">
        <v>0.0</v>
      </c>
      <c r="V215" s="13">
        <f t="shared" si="42"/>
        <v>17</v>
      </c>
    </row>
    <row r="216" ht="12.75" customHeight="1">
      <c r="A216" s="18"/>
      <c r="B216" s="55">
        <v>3.0</v>
      </c>
      <c r="C216" s="65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0.0</v>
      </c>
      <c r="T216" s="19">
        <v>0.0</v>
      </c>
      <c r="U216" s="19">
        <v>1.0</v>
      </c>
      <c r="V216" s="13">
        <f t="shared" si="42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3">
        <f t="shared" si="42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1.0</v>
      </c>
      <c r="T218" s="19">
        <v>0.0</v>
      </c>
      <c r="U218" s="19">
        <v>0.0</v>
      </c>
      <c r="V218" s="13">
        <f t="shared" si="42"/>
        <v>2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19">
        <v>0.0</v>
      </c>
      <c r="U219" s="19">
        <v>0.0</v>
      </c>
      <c r="V219" s="13">
        <f t="shared" si="42"/>
        <v>2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2.0</v>
      </c>
      <c r="U220" s="19">
        <v>0.0</v>
      </c>
      <c r="V220" s="13">
        <f t="shared" si="42"/>
        <v>4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U223" si="43">SUM(E213:E220)</f>
        <v>3</v>
      </c>
      <c r="F223" s="13">
        <f t="shared" si="43"/>
        <v>3</v>
      </c>
      <c r="G223" s="13">
        <f t="shared" si="43"/>
        <v>1</v>
      </c>
      <c r="H223" s="13">
        <f t="shared" si="43"/>
        <v>5</v>
      </c>
      <c r="I223" s="13">
        <f t="shared" si="43"/>
        <v>3</v>
      </c>
      <c r="J223" s="13">
        <f t="shared" si="43"/>
        <v>4</v>
      </c>
      <c r="K223" s="13">
        <f t="shared" si="43"/>
        <v>5</v>
      </c>
      <c r="L223" s="13">
        <f t="shared" si="43"/>
        <v>6</v>
      </c>
      <c r="M223" s="13">
        <f t="shared" si="43"/>
        <v>5</v>
      </c>
      <c r="N223" s="13">
        <f t="shared" si="43"/>
        <v>4</v>
      </c>
      <c r="O223" s="13">
        <f t="shared" si="43"/>
        <v>9</v>
      </c>
      <c r="P223" s="13">
        <f t="shared" si="43"/>
        <v>13</v>
      </c>
      <c r="Q223" s="13">
        <f t="shared" si="43"/>
        <v>7</v>
      </c>
      <c r="R223" s="13">
        <f t="shared" si="43"/>
        <v>7</v>
      </c>
      <c r="S223" s="13">
        <f t="shared" si="43"/>
        <v>2</v>
      </c>
      <c r="T223" s="13">
        <f t="shared" si="43"/>
        <v>3</v>
      </c>
      <c r="U223" s="13">
        <f t="shared" si="43"/>
        <v>1</v>
      </c>
      <c r="V223" s="13">
        <f t="shared" si="42"/>
        <v>81</v>
      </c>
    </row>
    <row r="224" ht="12.75" customHeight="1">
      <c r="A224" s="76"/>
      <c r="B224" s="77"/>
      <c r="C224" s="77"/>
      <c r="D224" s="77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13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0.0</v>
      </c>
      <c r="V225" s="13">
        <f t="shared" ref="V225:V235" si="44">SUM(E225:U225)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3">
        <f t="shared" si="44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1.0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1.0</v>
      </c>
      <c r="U227" s="19">
        <v>0.0</v>
      </c>
      <c r="V227" s="13">
        <f t="shared" si="44"/>
        <v>2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1.0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1.0</v>
      </c>
      <c r="J232" s="19">
        <v>0.0</v>
      </c>
      <c r="K232" s="19">
        <v>2.0</v>
      </c>
      <c r="L232" s="19">
        <v>0.0</v>
      </c>
      <c r="M232" s="19">
        <v>0.0</v>
      </c>
      <c r="N232" s="19">
        <v>1.0</v>
      </c>
      <c r="O232" s="19">
        <v>0.0</v>
      </c>
      <c r="P232" s="19">
        <v>0.0</v>
      </c>
      <c r="Q232" s="19">
        <v>1.0</v>
      </c>
      <c r="R232" s="19">
        <v>2.0</v>
      </c>
      <c r="S232" s="19">
        <v>0.0</v>
      </c>
      <c r="T232" s="19">
        <v>0.0</v>
      </c>
      <c r="U232" s="19">
        <v>0.0</v>
      </c>
      <c r="V232" s="13">
        <f t="shared" si="44"/>
        <v>7</v>
      </c>
    </row>
    <row r="233" ht="12.75" customHeight="1">
      <c r="A233" s="18"/>
      <c r="B233" s="56"/>
      <c r="C233" s="57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4"/>
        <v>0</v>
      </c>
    </row>
    <row r="234" ht="12.75" customHeight="1">
      <c r="A234" s="18"/>
      <c r="B234" s="56"/>
      <c r="C234" s="57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U235" si="45">SUM(E225:E232)</f>
        <v>0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2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1</v>
      </c>
      <c r="Q235" s="13">
        <f t="shared" si="45"/>
        <v>1</v>
      </c>
      <c r="R235" s="13">
        <f t="shared" si="45"/>
        <v>2</v>
      </c>
      <c r="S235" s="13">
        <f t="shared" si="45"/>
        <v>1</v>
      </c>
      <c r="T235" s="13">
        <f t="shared" si="45"/>
        <v>1</v>
      </c>
      <c r="U235" s="13">
        <f t="shared" si="45"/>
        <v>0</v>
      </c>
      <c r="V235" s="13">
        <f t="shared" si="44"/>
        <v>13</v>
      </c>
    </row>
    <row r="236" ht="12.75" customHeight="1">
      <c r="A236" s="76"/>
      <c r="B236" s="77"/>
      <c r="C236" s="77"/>
      <c r="D236" s="77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13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2.0</v>
      </c>
      <c r="I237" s="19">
        <v>0.0</v>
      </c>
      <c r="J237" s="19">
        <v>1.0</v>
      </c>
      <c r="K237" s="19">
        <v>2.0</v>
      </c>
      <c r="L237" s="19">
        <v>0.0</v>
      </c>
      <c r="M237" s="19">
        <v>3.0</v>
      </c>
      <c r="N237" s="19">
        <v>1.0</v>
      </c>
      <c r="O237" s="19">
        <v>1.0</v>
      </c>
      <c r="P237" s="19">
        <v>1.0</v>
      </c>
      <c r="Q237" s="19">
        <v>2.0</v>
      </c>
      <c r="R237" s="19">
        <v>2.0</v>
      </c>
      <c r="S237" s="19">
        <v>3.0</v>
      </c>
      <c r="T237" s="19">
        <v>5.0</v>
      </c>
      <c r="U237" s="19">
        <v>1.0</v>
      </c>
      <c r="V237" s="13">
        <f t="shared" ref="V237:V247" si="46">SUM(E237:U237)</f>
        <v>24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1.0</v>
      </c>
      <c r="U238" s="19">
        <v>0.0</v>
      </c>
      <c r="V238" s="13">
        <f t="shared" si="46"/>
        <v>2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1.0</v>
      </c>
      <c r="G239" s="19">
        <v>0.0</v>
      </c>
      <c r="H239" s="19">
        <v>1.0</v>
      </c>
      <c r="I239" s="19">
        <v>3.0</v>
      </c>
      <c r="J239" s="19">
        <v>3.0</v>
      </c>
      <c r="K239" s="19">
        <v>0.0</v>
      </c>
      <c r="L239" s="19">
        <v>0.0</v>
      </c>
      <c r="M239" s="19">
        <v>0.0</v>
      </c>
      <c r="N239" s="19">
        <v>2.0</v>
      </c>
      <c r="O239" s="19">
        <v>2.0</v>
      </c>
      <c r="P239" s="19">
        <v>0.0</v>
      </c>
      <c r="Q239" s="19">
        <v>0.0</v>
      </c>
      <c r="R239" s="19">
        <v>5.0</v>
      </c>
      <c r="S239" s="19">
        <v>1.0</v>
      </c>
      <c r="T239" s="19">
        <v>0.0</v>
      </c>
      <c r="U239" s="19">
        <v>1.0</v>
      </c>
      <c r="V239" s="13">
        <f t="shared" si="46"/>
        <v>19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1.0</v>
      </c>
      <c r="S240" s="19">
        <v>2.0</v>
      </c>
      <c r="T240" s="19">
        <v>0.0</v>
      </c>
      <c r="U240" s="19">
        <v>0.0</v>
      </c>
      <c r="V240" s="13">
        <f t="shared" si="46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9">
        <v>0.0</v>
      </c>
      <c r="U241" s="19">
        <v>0.0</v>
      </c>
      <c r="V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1.0</v>
      </c>
      <c r="U243" s="19">
        <v>0.0</v>
      </c>
      <c r="V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2.0</v>
      </c>
      <c r="G244" s="19">
        <v>0.0</v>
      </c>
      <c r="H244" s="19">
        <v>0.0</v>
      </c>
      <c r="I244" s="19">
        <v>1.0</v>
      </c>
      <c r="J244" s="19">
        <v>0.0</v>
      </c>
      <c r="K244" s="19">
        <v>0.0</v>
      </c>
      <c r="L244" s="19">
        <v>0.0</v>
      </c>
      <c r="M244" s="19">
        <v>1.0</v>
      </c>
      <c r="N244" s="19">
        <v>0.0</v>
      </c>
      <c r="O244" s="19">
        <v>1.0</v>
      </c>
      <c r="P244" s="19">
        <v>1.0</v>
      </c>
      <c r="Q244" s="19">
        <v>2.0</v>
      </c>
      <c r="R244" s="19">
        <v>0.0</v>
      </c>
      <c r="S244" s="19">
        <v>0.0</v>
      </c>
      <c r="T244" s="19">
        <v>0.0</v>
      </c>
      <c r="U244" s="19">
        <v>0.0</v>
      </c>
      <c r="V244" s="13">
        <f t="shared" si="46"/>
        <v>8</v>
      </c>
    </row>
    <row r="245" ht="12.75" customHeight="1">
      <c r="A245" s="18"/>
      <c r="B245" s="56"/>
      <c r="C245" s="57"/>
      <c r="D245" s="6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3">
        <f t="shared" si="46"/>
        <v>0</v>
      </c>
    </row>
    <row r="246" ht="12.75" customHeight="1">
      <c r="A246" s="18"/>
      <c r="B246" s="56"/>
      <c r="C246" s="57"/>
      <c r="D246" s="6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U247" si="47">SUM(E237:E244)</f>
        <v>0</v>
      </c>
      <c r="F247" s="13">
        <f t="shared" si="47"/>
        <v>5</v>
      </c>
      <c r="G247" s="13">
        <f t="shared" si="47"/>
        <v>0</v>
      </c>
      <c r="H247" s="13">
        <f t="shared" si="47"/>
        <v>3</v>
      </c>
      <c r="I247" s="13">
        <f t="shared" si="47"/>
        <v>4</v>
      </c>
      <c r="J247" s="13">
        <f t="shared" si="47"/>
        <v>4</v>
      </c>
      <c r="K247" s="13">
        <f t="shared" si="47"/>
        <v>2</v>
      </c>
      <c r="L247" s="13">
        <f t="shared" si="47"/>
        <v>0</v>
      </c>
      <c r="M247" s="13">
        <f t="shared" si="47"/>
        <v>4</v>
      </c>
      <c r="N247" s="13">
        <f t="shared" si="47"/>
        <v>3</v>
      </c>
      <c r="O247" s="13">
        <f t="shared" si="47"/>
        <v>5</v>
      </c>
      <c r="P247" s="13">
        <f t="shared" si="47"/>
        <v>2</v>
      </c>
      <c r="Q247" s="13">
        <f t="shared" si="47"/>
        <v>5</v>
      </c>
      <c r="R247" s="13">
        <f t="shared" si="47"/>
        <v>8</v>
      </c>
      <c r="S247" s="13">
        <f t="shared" si="47"/>
        <v>7</v>
      </c>
      <c r="T247" s="13">
        <f t="shared" si="47"/>
        <v>7</v>
      </c>
      <c r="U247" s="13">
        <f t="shared" si="47"/>
        <v>2</v>
      </c>
      <c r="V247" s="13">
        <f t="shared" si="46"/>
        <v>61</v>
      </c>
    </row>
    <row r="248" ht="12.75" customHeight="1">
      <c r="A248" s="76"/>
      <c r="B248" s="77"/>
      <c r="C248" s="77"/>
      <c r="D248" s="77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13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1.0</v>
      </c>
      <c r="H249" s="19">
        <v>1.0</v>
      </c>
      <c r="I249" s="19">
        <v>0.0</v>
      </c>
      <c r="J249" s="19">
        <v>0.0</v>
      </c>
      <c r="K249" s="19">
        <v>4.0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3">
        <f t="shared" ref="V249:V259" si="48">SUM(E249:U249)</f>
        <v>9</v>
      </c>
    </row>
    <row r="250" ht="12.75" customHeight="1">
      <c r="A250" s="30" t="s">
        <v>39</v>
      </c>
      <c r="B250" s="55">
        <v>1.0</v>
      </c>
      <c r="C250" s="63" t="s">
        <v>184</v>
      </c>
      <c r="D250" s="60"/>
      <c r="E250" s="19">
        <v>1.0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9">
        <v>0.0</v>
      </c>
      <c r="U250" s="19">
        <v>0.0</v>
      </c>
      <c r="V250" s="13">
        <f t="shared" si="48"/>
        <v>4</v>
      </c>
    </row>
    <row r="251" ht="12.75" customHeight="1">
      <c r="A251" s="18"/>
      <c r="B251" s="55">
        <v>2.0</v>
      </c>
      <c r="C251" s="63" t="s">
        <v>185</v>
      </c>
      <c r="D251" s="60"/>
      <c r="E251" s="19">
        <v>2.0</v>
      </c>
      <c r="F251" s="19">
        <v>0.0</v>
      </c>
      <c r="G251" s="19">
        <v>2.0</v>
      </c>
      <c r="H251" s="19">
        <v>0.0</v>
      </c>
      <c r="I251" s="19">
        <v>0.0</v>
      </c>
      <c r="J251" s="19">
        <v>0.0</v>
      </c>
      <c r="K251" s="19">
        <v>4.0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3">
        <f t="shared" si="48"/>
        <v>8</v>
      </c>
    </row>
    <row r="252" ht="12.75" customHeight="1">
      <c r="A252" s="18"/>
      <c r="B252" s="55">
        <v>3.0</v>
      </c>
      <c r="C252" s="63" t="s">
        <v>186</v>
      </c>
      <c r="D252" s="60"/>
      <c r="E252" s="19">
        <v>0.0</v>
      </c>
      <c r="F252" s="19">
        <v>0.0</v>
      </c>
      <c r="G252" s="19">
        <v>0.0</v>
      </c>
      <c r="H252" s="19">
        <v>1.0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3">
        <f t="shared" si="48"/>
        <v>1</v>
      </c>
    </row>
    <row r="253" ht="12.75" customHeight="1">
      <c r="A253" s="18"/>
      <c r="B253" s="55">
        <v>4.0</v>
      </c>
      <c r="C253" s="63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3">
        <f t="shared" si="48"/>
        <v>0</v>
      </c>
    </row>
    <row r="254" ht="12.75" customHeight="1">
      <c r="A254" s="18"/>
      <c r="B254" s="55">
        <v>5.0</v>
      </c>
      <c r="C254" s="63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3">
        <f t="shared" si="48"/>
        <v>0</v>
      </c>
    </row>
    <row r="255" ht="12.75" customHeight="1">
      <c r="A255" s="18"/>
      <c r="B255" s="55">
        <v>6.0</v>
      </c>
      <c r="C255" s="63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3">
        <f t="shared" si="48"/>
        <v>0</v>
      </c>
    </row>
    <row r="256" ht="12.75" customHeight="1">
      <c r="A256" s="18"/>
      <c r="B256" s="56"/>
      <c r="C256" s="64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3">
        <f t="shared" si="48"/>
        <v>0</v>
      </c>
    </row>
    <row r="257" ht="12.75" customHeight="1">
      <c r="A257" s="18"/>
      <c r="B257" s="56"/>
      <c r="C257" s="64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8"/>
        <v>0</v>
      </c>
    </row>
    <row r="258" ht="12.75" customHeight="1">
      <c r="A258" s="18"/>
      <c r="B258" s="56"/>
      <c r="C258" s="64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U259" si="49">SUM(E249:E255)</f>
        <v>4</v>
      </c>
      <c r="F259" s="13">
        <f t="shared" si="49"/>
        <v>0</v>
      </c>
      <c r="G259" s="13">
        <f t="shared" si="49"/>
        <v>3</v>
      </c>
      <c r="H259" s="13">
        <f t="shared" si="49"/>
        <v>2</v>
      </c>
      <c r="I259" s="13">
        <f t="shared" si="49"/>
        <v>1</v>
      </c>
      <c r="J259" s="13">
        <f t="shared" si="49"/>
        <v>0</v>
      </c>
      <c r="K259" s="13">
        <f t="shared" si="49"/>
        <v>9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8"/>
        <v>22</v>
      </c>
    </row>
    <row r="260" ht="12.75" customHeight="1">
      <c r="V260" s="13"/>
    </row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 ht="12.75" customHeight="1">
      <c r="A262" s="42"/>
      <c r="B262" s="66" t="s">
        <v>192</v>
      </c>
      <c r="C262" s="67" t="s">
        <v>193</v>
      </c>
      <c r="D262" s="16"/>
      <c r="E262" s="19">
        <f t="shared" ref="E262:U262" si="50">E55+E67+E79+E91+E103+E115+E127+E139+E151+E163+E175+E187+E199+E211+E223+E235+E247+E259</f>
        <v>209</v>
      </c>
      <c r="F262" s="19">
        <f t="shared" si="50"/>
        <v>207</v>
      </c>
      <c r="G262" s="19">
        <f t="shared" si="50"/>
        <v>219</v>
      </c>
      <c r="H262" s="19">
        <f t="shared" si="50"/>
        <v>198</v>
      </c>
      <c r="I262" s="19">
        <f t="shared" si="50"/>
        <v>206</v>
      </c>
      <c r="J262" s="19">
        <f t="shared" si="50"/>
        <v>203</v>
      </c>
      <c r="K262" s="19">
        <f t="shared" si="50"/>
        <v>223</v>
      </c>
      <c r="L262" s="19">
        <f t="shared" si="50"/>
        <v>203</v>
      </c>
      <c r="M262" s="19">
        <f t="shared" si="50"/>
        <v>234</v>
      </c>
      <c r="N262" s="19">
        <f t="shared" si="50"/>
        <v>200</v>
      </c>
      <c r="O262" s="19">
        <f t="shared" si="50"/>
        <v>219</v>
      </c>
      <c r="P262" s="19">
        <f t="shared" si="50"/>
        <v>183</v>
      </c>
      <c r="Q262" s="19">
        <f t="shared" si="50"/>
        <v>137</v>
      </c>
      <c r="R262" s="19">
        <f t="shared" si="50"/>
        <v>218</v>
      </c>
      <c r="S262" s="19">
        <f t="shared" si="50"/>
        <v>235</v>
      </c>
      <c r="T262" s="19">
        <f t="shared" si="50"/>
        <v>211</v>
      </c>
      <c r="U262" s="19">
        <f t="shared" si="50"/>
        <v>109</v>
      </c>
      <c r="V262" s="13">
        <f t="shared" ref="V262:V264" si="51">SUM(E262:U262)</f>
        <v>3414</v>
      </c>
    </row>
    <row r="263" ht="12.75" customHeight="1">
      <c r="A263" s="35"/>
      <c r="B263" s="66" t="s">
        <v>194</v>
      </c>
      <c r="C263" s="67" t="s">
        <v>195</v>
      </c>
      <c r="D263" s="16"/>
      <c r="E263" s="19">
        <v>30.0</v>
      </c>
      <c r="F263" s="19">
        <v>24.0</v>
      </c>
      <c r="G263" s="19">
        <v>24.0</v>
      </c>
      <c r="H263" s="19">
        <v>26.0</v>
      </c>
      <c r="I263" s="19">
        <v>32.0</v>
      </c>
      <c r="J263" s="19">
        <v>28.0</v>
      </c>
      <c r="K263" s="19">
        <v>28.0</v>
      </c>
      <c r="L263" s="19">
        <v>29.0</v>
      </c>
      <c r="M263" s="19">
        <v>11.0</v>
      </c>
      <c r="N263" s="19">
        <v>22.0</v>
      </c>
      <c r="O263" s="19">
        <v>27.0</v>
      </c>
      <c r="P263" s="19">
        <v>14.0</v>
      </c>
      <c r="Q263" s="19">
        <v>14.0</v>
      </c>
      <c r="R263" s="19">
        <v>21.0</v>
      </c>
      <c r="S263" s="19">
        <v>22.0</v>
      </c>
      <c r="T263" s="19">
        <v>11.0</v>
      </c>
      <c r="U263" s="19">
        <v>14.0</v>
      </c>
      <c r="V263" s="13">
        <f t="shared" si="51"/>
        <v>377</v>
      </c>
    </row>
    <row r="264" ht="12.75" customHeight="1">
      <c r="A264" s="41"/>
      <c r="B264" s="66" t="s">
        <v>196</v>
      </c>
      <c r="C264" s="67" t="s">
        <v>197</v>
      </c>
      <c r="D264" s="16"/>
      <c r="E264" s="13">
        <f t="shared" ref="E264:U264" si="52">SUM(E262:E263)</f>
        <v>239</v>
      </c>
      <c r="F264" s="13">
        <f t="shared" si="52"/>
        <v>231</v>
      </c>
      <c r="G264" s="13">
        <f t="shared" si="52"/>
        <v>243</v>
      </c>
      <c r="H264" s="13">
        <f t="shared" si="52"/>
        <v>224</v>
      </c>
      <c r="I264" s="13">
        <f t="shared" si="52"/>
        <v>238</v>
      </c>
      <c r="J264" s="13">
        <f t="shared" si="52"/>
        <v>231</v>
      </c>
      <c r="K264" s="13">
        <f t="shared" si="52"/>
        <v>251</v>
      </c>
      <c r="L264" s="13">
        <f t="shared" si="52"/>
        <v>232</v>
      </c>
      <c r="M264" s="13">
        <f t="shared" si="52"/>
        <v>245</v>
      </c>
      <c r="N264" s="13">
        <f t="shared" si="52"/>
        <v>222</v>
      </c>
      <c r="O264" s="13">
        <f t="shared" si="52"/>
        <v>246</v>
      </c>
      <c r="P264" s="13">
        <f t="shared" si="52"/>
        <v>197</v>
      </c>
      <c r="Q264" s="13">
        <f t="shared" si="52"/>
        <v>151</v>
      </c>
      <c r="R264" s="13">
        <f t="shared" si="52"/>
        <v>239</v>
      </c>
      <c r="S264" s="13">
        <f t="shared" si="52"/>
        <v>257</v>
      </c>
      <c r="T264" s="13">
        <f t="shared" si="52"/>
        <v>222</v>
      </c>
      <c r="U264" s="13">
        <f t="shared" si="52"/>
        <v>123</v>
      </c>
      <c r="V264" s="13">
        <f t="shared" si="51"/>
        <v>3791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6">
    <mergeCell ref="B55:D55"/>
    <mergeCell ref="C57:D57"/>
    <mergeCell ref="B67:D67"/>
    <mergeCell ref="C69:D69"/>
    <mergeCell ref="B79:D79"/>
    <mergeCell ref="C81:D81"/>
    <mergeCell ref="B91:D91"/>
    <mergeCell ref="C93:D93"/>
    <mergeCell ref="B103:D103"/>
    <mergeCell ref="C105:D105"/>
    <mergeCell ref="B115:D115"/>
    <mergeCell ref="C117:D117"/>
    <mergeCell ref="B127:D127"/>
    <mergeCell ref="C129:D129"/>
    <mergeCell ref="B151:D151"/>
    <mergeCell ref="C153:D153"/>
    <mergeCell ref="B163:D163"/>
    <mergeCell ref="C165:D165"/>
    <mergeCell ref="B175:D175"/>
    <mergeCell ref="C177:D177"/>
    <mergeCell ref="B187:D187"/>
    <mergeCell ref="C189:D189"/>
    <mergeCell ref="B199:D199"/>
    <mergeCell ref="C201:D201"/>
    <mergeCell ref="B211:D211"/>
    <mergeCell ref="C213:D213"/>
    <mergeCell ref="B223:D223"/>
    <mergeCell ref="C225:D225"/>
    <mergeCell ref="C263:D263"/>
    <mergeCell ref="C264:D264"/>
    <mergeCell ref="B235:D235"/>
    <mergeCell ref="C237:D237"/>
    <mergeCell ref="B247:D247"/>
    <mergeCell ref="C249:D249"/>
    <mergeCell ref="B259:D259"/>
    <mergeCell ref="B261:D261"/>
    <mergeCell ref="C262:D262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B139:D139"/>
    <mergeCell ref="C141:D141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E34&lt;&gt;E64</formula>
    </cfRule>
  </conditionalFormatting>
  <conditionalFormatting sqref="E45:U54">
    <cfRule type="containsBlanks" dxfId="1" priority="10">
      <formula>LEN(TRIM(E45))=0</formula>
    </cfRule>
  </conditionalFormatting>
  <conditionalFormatting sqref="E57:U66">
    <cfRule type="containsBlanks" dxfId="1" priority="11">
      <formula>LEN(TRIM(E57))=0</formula>
    </cfRule>
  </conditionalFormatting>
  <conditionalFormatting sqref="E69:U78">
    <cfRule type="containsBlanks" dxfId="1" priority="12">
      <formula>LEN(TRIM(E69))=0</formula>
    </cfRule>
  </conditionalFormatting>
  <conditionalFormatting sqref="E81:U90">
    <cfRule type="containsBlanks" dxfId="1" priority="13">
      <formula>LEN(TRIM(E81))=0</formula>
    </cfRule>
  </conditionalFormatting>
  <conditionalFormatting sqref="E93:U102">
    <cfRule type="containsBlanks" dxfId="1" priority="14">
      <formula>LEN(TRIM(E93))=0</formula>
    </cfRule>
  </conditionalFormatting>
  <conditionalFormatting sqref="E105:U114">
    <cfRule type="containsBlanks" dxfId="1" priority="15">
      <formula>LEN(TRIM(E105))=0</formula>
    </cfRule>
  </conditionalFormatting>
  <conditionalFormatting sqref="E117:U126">
    <cfRule type="containsBlanks" dxfId="1" priority="16">
      <formula>LEN(TRIM(E117))=0</formula>
    </cfRule>
  </conditionalFormatting>
  <conditionalFormatting sqref="E129:U138">
    <cfRule type="containsBlanks" dxfId="1" priority="17">
      <formula>LEN(TRIM(E129))=0</formula>
    </cfRule>
  </conditionalFormatting>
  <conditionalFormatting sqref="E141:U150">
    <cfRule type="containsBlanks" dxfId="1" priority="18">
      <formula>LEN(TRIM(E141))=0</formula>
    </cfRule>
  </conditionalFormatting>
  <conditionalFormatting sqref="E153:U162">
    <cfRule type="containsBlanks" dxfId="1" priority="19">
      <formula>LEN(TRIM(E153))=0</formula>
    </cfRule>
  </conditionalFormatting>
  <conditionalFormatting sqref="E165:U174">
    <cfRule type="containsBlanks" dxfId="1" priority="20">
      <formula>LEN(TRIM(E165))=0</formula>
    </cfRule>
  </conditionalFormatting>
  <conditionalFormatting sqref="E177:U186">
    <cfRule type="containsBlanks" dxfId="1" priority="21">
      <formula>LEN(TRIM(E177))=0</formula>
    </cfRule>
  </conditionalFormatting>
  <conditionalFormatting sqref="E189:U198">
    <cfRule type="containsBlanks" dxfId="1" priority="22">
      <formula>LEN(TRIM(E189))=0</formula>
    </cfRule>
  </conditionalFormatting>
  <conditionalFormatting sqref="E201:U210">
    <cfRule type="containsBlanks" dxfId="1" priority="23">
      <formula>LEN(TRIM(E201))=0</formula>
    </cfRule>
  </conditionalFormatting>
  <conditionalFormatting sqref="E213:U222">
    <cfRule type="containsBlanks" dxfId="1" priority="24">
      <formula>LEN(TRIM(E213))=0</formula>
    </cfRule>
  </conditionalFormatting>
  <conditionalFormatting sqref="E225:U234">
    <cfRule type="containsBlanks" dxfId="1" priority="25">
      <formula>LEN(TRIM(E225))=0</formula>
    </cfRule>
  </conditionalFormatting>
  <conditionalFormatting sqref="E237:U246">
    <cfRule type="containsBlanks" dxfId="1" priority="26">
      <formula>LEN(TRIM(E237))=0</formula>
    </cfRule>
  </conditionalFormatting>
  <conditionalFormatting sqref="E249:U259">
    <cfRule type="containsBlanks" dxfId="1" priority="27">
      <formula>LEN(TRIM(E249))=0</formula>
    </cfRule>
  </conditionalFormatting>
  <conditionalFormatting sqref="E262: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