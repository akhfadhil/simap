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ARENG" sheetId="2" r:id="rId5"/>
    <sheet state="visible" name="BENELAN LOR" sheetId="3" r:id="rId6"/>
    <sheet state="visible" name="BUNDER" sheetId="4" r:id="rId7"/>
    <sheet state="visible" name="DADAPAN" sheetId="5" r:id="rId8"/>
    <sheet state="visible" name="GOMBOLIRANG" sheetId="6" r:id="rId9"/>
    <sheet state="visible" name="KABAT" sheetId="7" r:id="rId10"/>
    <sheet state="visible" name="KALIREJO" sheetId="8" r:id="rId11"/>
    <sheet state="visible" name="KEDAYUNAN" sheetId="9" r:id="rId12"/>
    <sheet state="visible" name="LABANASEM" sheetId="10" r:id="rId13"/>
    <sheet state="visible" name="MACAN PUTIH" sheetId="11" r:id="rId14"/>
    <sheet state="visible" name="PAKISATAJI" sheetId="12" r:id="rId15"/>
    <sheet state="visible" name="PENDARUNGAN" sheetId="13" r:id="rId16"/>
    <sheet state="visible" name="PONDOKNONGKO" sheetId="14" r:id="rId17"/>
    <sheet state="visible" name="TAMBONG" sheetId="15" r:id="rId18"/>
  </sheets>
  <definedNames/>
  <calcPr/>
  <extLst>
    <ext uri="GoogleSheetsCustomDataVersion2">
      <go:sheetsCustomData xmlns:go="http://customooxmlschemas.google.com/" r:id="rId19" roundtripDataChecksum="KjPohkfJZQIysqYNIhJoewHvBumRH8K/2yFexltFRNw="/>
    </ext>
  </extLst>
</workbook>
</file>

<file path=xl/sharedStrings.xml><?xml version="1.0" encoding="utf-8"?>
<sst xmlns="http://schemas.openxmlformats.org/spreadsheetml/2006/main" count="5416" uniqueCount="238">
  <si>
    <t>Kecamatan</t>
  </si>
  <si>
    <t>KABAT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</si>
  <si>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</si>
  <si>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</si>
  <si>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</si>
  <si>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</si>
  <si>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</si>
  <si>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</si>
  <si>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</si>
  <si>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</si>
  <si>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</si>
  <si>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</si>
  <si>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</si>
  <si>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</si>
  <si>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</si>
  <si>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</si>
  <si>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</si>
  <si>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</si>
  <si>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</si>
  <si>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</si>
  <si>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</si>
  <si>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</si>
  <si>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</si>
  <si>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</si>
  <si>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</si>
  <si>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</si>
  <si>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</si>
  <si>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</si>
  <si>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</si>
  <si>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</si>
  <si>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</si>
  <si>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</si>
  <si>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</si>
  <si>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</si>
  <si>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</si>
  <si>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</si>
  <si>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</si>
  <si>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</si>
  <si>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</si>
  <si>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</si>
  <si>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</si>
  <si>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</si>
  <si>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</si>
  <si>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</si>
  <si>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</si>
  <si>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</si>
  <si>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</si>
  <si>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</si>
  <si>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</si>
  <si>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</si>
  <si>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</si>
  <si>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</si>
  <si>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</si>
  <si>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</si>
  <si>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</si>
  <si>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</si>
  <si>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</si>
  <si>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</si>
  <si>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</si>
  <si>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</si>
  <si>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</si>
  <si>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</si>
  <si>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</si>
  <si>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</si>
  <si>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</si>
  <si>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</si>
  <si>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</si>
  <si>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</si>
  <si>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</si>
  <si>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</si>
  <si>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</si>
  <si>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</si>
  <si>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</si>
  <si>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</si>
  <si>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</si>
  <si>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</si>
  <si>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</si>
  <si>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</si>
  <si>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</si>
  <si>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</si>
  <si>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</si>
  <si>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</si>
  <si>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</si>
  <si>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</si>
  <si>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</si>
  <si>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</si>
  <si>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</si>
  <si>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</si>
  <si>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</si>
  <si>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</si>
  <si>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</si>
  <si>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</si>
  <si>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</si>
  <si>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</si>
  <si>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</si>
  <si>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</si>
  <si>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</si>
  <si>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</si>
  <si>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</si>
  <si>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</si>
  <si>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</si>
  <si>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</si>
  <si>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</si>
  <si>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</si>
  <si>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</si>
  <si>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</si>
  <si>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</si>
  <si>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</si>
  <si>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</si>
  <si>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</si>
  <si>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</si>
  <si>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</si>
  <si>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</si>
  <si>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</si>
  <si>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</si>
  <si>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</si>
  <si>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</si>
  <si>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</si>
  <si>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</si>
  <si>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</si>
  <si>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</si>
  <si>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</si>
  <si>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</si>
  <si>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</si>
  <si>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</si>
  <si>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</si>
  <si>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</si>
  <si>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</si>
  <si>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</si>
  <si>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</si>
  <si>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</si>
  <si>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</si>
  <si>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</si>
  <si>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</si>
  <si>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</si>
  <si>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</si>
  <si>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</si>
  <si>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</si>
  <si>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</si>
  <si>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</si>
  <si>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</si>
  <si>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</si>
  <si>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</si>
  <si>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</si>
  <si>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</si>
  <si>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</si>
  <si>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</si>
  <si>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</si>
  <si>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</si>
  <si>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</si>
  <si>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</si>
  <si>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</si>
  <si>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</si>
  <si>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</si>
  <si>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</si>
  <si>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</si>
  <si>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</si>
  <si>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</si>
  <si>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</si>
  <si>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</si>
  <si>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</si>
  <si>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</si>
  <si>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</si>
  <si>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</si>
  <si>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</si>
  <si>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</si>
  <si>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</si>
  <si>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</si>
  <si>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</si>
  <si>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</si>
  <si>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</si>
  <si>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</si>
  <si>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</si>
  <si>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</si>
  <si>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</si>
  <si>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</si>
  <si>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</si>
  <si>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</si>
  <si>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</si>
  <si>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</si>
  <si>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</si>
  <si>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</si>
  <si>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</si>
  <si>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</si>
  <si>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</si>
  <si>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</si>
  <si>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</si>
  <si>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</si>
  <si>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</si>
  <si>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</si>
  <si>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</si>
  <si>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</si>
  <si>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</si>
  <si>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</si>
  <si>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</si>
  <si>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</si>
  <si>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</si>
  <si>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</si>
  <si>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</si>
  <si>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BARENG</t>
  </si>
  <si>
    <t>TPS 001</t>
  </si>
  <si>
    <t>TPS 002</t>
  </si>
  <si>
    <t>TPS 003</t>
  </si>
  <si>
    <t>TPS 004</t>
  </si>
  <si>
    <t>TPS 005</t>
  </si>
  <si>
    <t>TPS 006</t>
  </si>
  <si>
    <t>BENELAN LOR</t>
  </si>
  <si>
    <t>TPS 007</t>
  </si>
  <si>
    <t>TPS 008</t>
  </si>
  <si>
    <t>TPS 009</t>
  </si>
  <si>
    <t>BUNDER</t>
  </si>
  <si>
    <t>TPS 010</t>
  </si>
  <si>
    <t>TPS 011</t>
  </si>
  <si>
    <t>TPS 012</t>
  </si>
  <si>
    <t>TPS 013</t>
  </si>
  <si>
    <t>DADAPAN</t>
  </si>
  <si>
    <t>TPS 014</t>
  </si>
  <si>
    <t>TPS 015</t>
  </si>
  <si>
    <t>TPS 016</t>
  </si>
  <si>
    <t>TPS 017</t>
  </si>
  <si>
    <t>TPS 018</t>
  </si>
  <si>
    <t>TPS 019</t>
  </si>
  <si>
    <t>GOMBOLIRANG</t>
  </si>
  <si>
    <t>KALIREJO</t>
  </si>
  <si>
    <t>KEDAYUNAN</t>
  </si>
  <si>
    <t>LABANASEM</t>
  </si>
  <si>
    <t>MACAN PUTIH</t>
  </si>
  <si>
    <t>TPS 020</t>
  </si>
  <si>
    <t>TPS 021</t>
  </si>
  <si>
    <t>TPS 022</t>
  </si>
  <si>
    <t>TPS 023</t>
  </si>
  <si>
    <t>TPS 024</t>
  </si>
  <si>
    <t>TPS 025</t>
  </si>
  <si>
    <t>TPS 026</t>
  </si>
  <si>
    <t>PAKISATAJI</t>
  </si>
  <si>
    <t>PENDARUNGAN</t>
  </si>
  <si>
    <t>PONDOKNONGKO</t>
  </si>
  <si>
    <t>TAMBONG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</si>
</sst>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9" numFmtId="0" xfId="0" applyBorder="1" applyFont="1"/>
    <xf borderId="1" fillId="0" fontId="10" numFmtId="0" xfId="0" applyAlignment="1" applyBorder="1" applyFont="1">
      <alignment horizont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24680.0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24727.0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49407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19112.0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20624.0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39736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0">
        <v>19.0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0">
        <v>31.0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8">
        <f>SUM(E22:E23)</f>
        <v>50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0">
        <v>121.0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0">
        <v>161.0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8">
        <f>SUM(E25:E26)</f>
        <v>282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23</v>
      </c>
      <c r="C28" s="40" t="s">
        <v>24</v>
      </c>
      <c r="D28" s="13" t="s">
        <v>12</v>
      </c>
      <c r="E28" s="29">
        <f t="shared" ref="E28:E29" si="1">E19+E22+E25</f>
        <v>19252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20816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40068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25</v>
      </c>
      <c r="B32" s="14" t="s">
        <v>26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50503.0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40068.0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v>150.0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10285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31</v>
      </c>
      <c r="B38" s="14" t="s">
        <v>32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33</v>
      </c>
      <c r="C39" s="23"/>
      <c r="D39" s="19" t="s">
        <v>12</v>
      </c>
      <c r="E39" s="30">
        <v>31.0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v>34.0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14</v>
      </c>
      <c r="E41" s="38">
        <f>SUM(E39:E40)</f>
        <v>65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34</v>
      </c>
      <c r="B43" s="14" t="s">
        <v>35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36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49" t="s">
        <v>17</v>
      </c>
      <c r="C45" s="50" t="s">
        <v>38</v>
      </c>
      <c r="D45" s="16"/>
      <c r="E45" s="24">
        <v>1376.0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39</v>
      </c>
      <c r="B46" s="51">
        <v>1.0</v>
      </c>
      <c r="C46" s="52" t="s">
        <v>40</v>
      </c>
      <c r="D46" s="16"/>
      <c r="E46" s="24">
        <v>3350.0</v>
      </c>
      <c r="F46" s="53"/>
      <c r="G46" s="54"/>
      <c r="H46" s="54"/>
      <c r="I46" s="54"/>
      <c r="J46" s="54"/>
      <c r="K46" s="54"/>
      <c r="L46" s="54"/>
      <c r="M46" s="54"/>
      <c r="N46" s="54"/>
      <c r="O46" s="54"/>
      <c r="P46" s="55"/>
      <c r="Q46" s="3"/>
      <c r="R46" s="3"/>
      <c r="S46" s="3"/>
      <c r="T46" s="3"/>
      <c r="U46" s="3"/>
      <c r="V46" s="3"/>
      <c r="W46" s="56"/>
      <c r="X46" s="3"/>
      <c r="Y46" s="3"/>
      <c r="Z46" s="3"/>
    </row>
    <row r="47" ht="15.75" customHeight="1">
      <c r="A47" s="18"/>
      <c r="B47" s="57">
        <v>2.0</v>
      </c>
      <c r="C47" s="52" t="s">
        <v>41</v>
      </c>
      <c r="D47" s="16"/>
      <c r="E47" s="30">
        <v>729.0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7">
        <v>3.0</v>
      </c>
      <c r="C48" s="52" t="s">
        <v>42</v>
      </c>
      <c r="D48" s="16"/>
      <c r="E48" s="30">
        <v>112.0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7">
        <v>4.0</v>
      </c>
      <c r="C49" s="52" t="s">
        <v>43</v>
      </c>
      <c r="D49" s="16"/>
      <c r="E49" s="30">
        <v>101.0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7">
        <v>5.0</v>
      </c>
      <c r="C50" s="52" t="s">
        <v>44</v>
      </c>
      <c r="D50" s="16"/>
      <c r="E50" s="30">
        <v>70.0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7">
        <v>6.0</v>
      </c>
      <c r="C51" s="52" t="s">
        <v>45</v>
      </c>
      <c r="D51" s="16"/>
      <c r="E51" s="30">
        <v>60.0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7">
        <v>7.0</v>
      </c>
      <c r="C52" s="52" t="s">
        <v>46</v>
      </c>
      <c r="D52" s="16"/>
      <c r="E52" s="30">
        <v>32.0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7"/>
      <c r="C53" s="52"/>
      <c r="D53" s="58"/>
      <c r="E53" s="30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7"/>
      <c r="C54" s="52"/>
      <c r="D54" s="58"/>
      <c r="E54" s="30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9" t="s">
        <v>47</v>
      </c>
      <c r="C55" s="15"/>
      <c r="D55" s="16"/>
      <c r="E55" s="59">
        <f>SUM(E45:E52)</f>
        <v>5830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7"/>
      <c r="B56" s="46"/>
      <c r="C56" s="46"/>
      <c r="D56" s="46"/>
      <c r="E56" s="46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1" t="s">
        <v>37</v>
      </c>
      <c r="B57" s="49" t="s">
        <v>19</v>
      </c>
      <c r="C57" s="50" t="s">
        <v>48</v>
      </c>
      <c r="D57" s="16"/>
      <c r="E57" s="24">
        <v>1799.0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1" t="s">
        <v>39</v>
      </c>
      <c r="B58" s="57">
        <v>1.0</v>
      </c>
      <c r="C58" s="52" t="s">
        <v>49</v>
      </c>
      <c r="D58" s="58"/>
      <c r="E58" s="24">
        <v>3892.0</v>
      </c>
      <c r="F58" s="53"/>
      <c r="G58" s="54"/>
      <c r="H58" s="54"/>
      <c r="I58" s="54"/>
      <c r="J58" s="54"/>
      <c r="K58" s="54"/>
      <c r="L58" s="54"/>
      <c r="M58" s="54"/>
      <c r="N58" s="54"/>
      <c r="O58" s="54"/>
      <c r="P58" s="55"/>
      <c r="Q58" s="3"/>
      <c r="R58" s="3"/>
      <c r="S58" s="3"/>
      <c r="T58" s="3"/>
      <c r="U58" s="3"/>
      <c r="V58" s="3"/>
      <c r="W58" s="56"/>
      <c r="X58" s="3"/>
      <c r="Y58" s="3"/>
      <c r="Z58" s="3"/>
    </row>
    <row r="59" ht="15.75" customHeight="1">
      <c r="A59" s="18"/>
      <c r="B59" s="57">
        <v>2.0</v>
      </c>
      <c r="C59" s="52" t="s">
        <v>50</v>
      </c>
      <c r="D59" s="58"/>
      <c r="E59" s="30">
        <v>733.0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7">
        <v>3.0</v>
      </c>
      <c r="C60" s="52" t="s">
        <v>51</v>
      </c>
      <c r="D60" s="58"/>
      <c r="E60" s="30">
        <v>160.0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7">
        <v>4.0</v>
      </c>
      <c r="C61" s="52" t="s">
        <v>52</v>
      </c>
      <c r="D61" s="58"/>
      <c r="E61" s="30">
        <v>154.0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7">
        <v>5.0</v>
      </c>
      <c r="C62" s="52" t="s">
        <v>53</v>
      </c>
      <c r="D62" s="58"/>
      <c r="E62" s="30">
        <v>116.0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7">
        <v>6.0</v>
      </c>
      <c r="C63" s="52" t="s">
        <v>54</v>
      </c>
      <c r="D63" s="60"/>
      <c r="E63" s="30">
        <v>57.0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7">
        <v>7.0</v>
      </c>
      <c r="C64" s="52" t="s">
        <v>55</v>
      </c>
      <c r="D64" s="58"/>
      <c r="E64" s="30">
        <v>40.0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7"/>
      <c r="C65" s="52"/>
      <c r="D65" s="58"/>
      <c r="E65" s="30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7"/>
      <c r="C66" s="52"/>
      <c r="D66" s="58"/>
      <c r="E66" s="30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9" t="s">
        <v>47</v>
      </c>
      <c r="C67" s="15"/>
      <c r="D67" s="16"/>
      <c r="E67" s="59">
        <f>SUM(E57:E64)</f>
        <v>6951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7"/>
      <c r="B68" s="46"/>
      <c r="C68" s="46"/>
      <c r="D68" s="46"/>
      <c r="E68" s="46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1" t="s">
        <v>37</v>
      </c>
      <c r="B69" s="49" t="s">
        <v>21</v>
      </c>
      <c r="C69" s="50" t="s">
        <v>56</v>
      </c>
      <c r="D69" s="16"/>
      <c r="E69" s="24">
        <v>1066.0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 t="s">
        <v>39</v>
      </c>
      <c r="B70" s="57">
        <v>1.0</v>
      </c>
      <c r="C70" s="52" t="s">
        <v>57</v>
      </c>
      <c r="D70" s="60"/>
      <c r="E70" s="24">
        <v>1399.0</v>
      </c>
      <c r="F70" s="53"/>
      <c r="G70" s="54"/>
      <c r="H70" s="54"/>
      <c r="I70" s="54"/>
      <c r="J70" s="54"/>
      <c r="K70" s="54"/>
      <c r="L70" s="54"/>
      <c r="M70" s="54"/>
      <c r="N70" s="54"/>
      <c r="O70" s="54"/>
      <c r="P70" s="55"/>
      <c r="Q70" s="3"/>
      <c r="R70" s="3"/>
      <c r="S70" s="3"/>
      <c r="T70" s="3"/>
      <c r="U70" s="3"/>
      <c r="V70" s="3"/>
      <c r="W70" s="56"/>
      <c r="X70" s="3"/>
      <c r="Y70" s="3"/>
      <c r="Z70" s="3"/>
    </row>
    <row r="71" ht="15.75" customHeight="1">
      <c r="A71" s="18"/>
      <c r="B71" s="57">
        <v>2.0</v>
      </c>
      <c r="C71" s="52" t="s">
        <v>58</v>
      </c>
      <c r="D71" s="60"/>
      <c r="E71" s="30">
        <v>475.0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7">
        <v>3.0</v>
      </c>
      <c r="C72" s="52" t="s">
        <v>59</v>
      </c>
      <c r="D72" s="60"/>
      <c r="E72" s="24">
        <v>1011.0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7">
        <v>4.0</v>
      </c>
      <c r="C73" s="52" t="s">
        <v>60</v>
      </c>
      <c r="D73" s="60"/>
      <c r="E73" s="30">
        <v>110.0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7">
        <v>5.0</v>
      </c>
      <c r="C74" s="52" t="s">
        <v>61</v>
      </c>
      <c r="D74" s="60"/>
      <c r="E74" s="24">
        <v>1216.0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7">
        <v>6.0</v>
      </c>
      <c r="C75" s="52" t="s">
        <v>62</v>
      </c>
      <c r="D75" s="60"/>
      <c r="E75" s="30">
        <v>41.0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7">
        <v>7.0</v>
      </c>
      <c r="C76" s="52" t="s">
        <v>63</v>
      </c>
      <c r="D76" s="60"/>
      <c r="E76" s="30">
        <v>62.0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7"/>
      <c r="C77" s="52"/>
      <c r="D77" s="60"/>
      <c r="E77" s="30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7"/>
      <c r="C78" s="52"/>
      <c r="D78" s="60"/>
      <c r="E78" s="30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9" t="s">
        <v>47</v>
      </c>
      <c r="C79" s="15"/>
      <c r="D79" s="16"/>
      <c r="E79" s="59">
        <f>SUM(E69:E76)</f>
        <v>5380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7"/>
      <c r="B80" s="46"/>
      <c r="C80" s="46"/>
      <c r="D80" s="46"/>
      <c r="E80" s="46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1" t="s">
        <v>37</v>
      </c>
      <c r="B81" s="49" t="s">
        <v>23</v>
      </c>
      <c r="C81" s="50" t="s">
        <v>64</v>
      </c>
      <c r="D81" s="16"/>
      <c r="E81" s="30">
        <v>725.0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 t="s">
        <v>39</v>
      </c>
      <c r="B82" s="57">
        <v>1.0</v>
      </c>
      <c r="C82" s="52" t="s">
        <v>65</v>
      </c>
      <c r="D82" s="60"/>
      <c r="E82" s="24">
        <v>2786.0</v>
      </c>
      <c r="F82" s="53"/>
      <c r="G82" s="54"/>
      <c r="H82" s="54"/>
      <c r="I82" s="54"/>
      <c r="J82" s="54"/>
      <c r="K82" s="54"/>
      <c r="L82" s="54"/>
      <c r="M82" s="54"/>
      <c r="N82" s="54"/>
      <c r="O82" s="54"/>
      <c r="P82" s="55"/>
      <c r="Q82" s="3"/>
      <c r="R82" s="3"/>
      <c r="S82" s="3"/>
      <c r="T82" s="3"/>
      <c r="U82" s="3"/>
      <c r="V82" s="3"/>
      <c r="W82" s="56"/>
      <c r="X82" s="3"/>
      <c r="Y82" s="3"/>
      <c r="Z82" s="3"/>
    </row>
    <row r="83" ht="15.75" customHeight="1">
      <c r="A83" s="18"/>
      <c r="B83" s="57">
        <v>2.0</v>
      </c>
      <c r="C83" s="52" t="s">
        <v>66</v>
      </c>
      <c r="D83" s="60"/>
      <c r="E83" s="24">
        <v>1262.0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7">
        <v>3.0</v>
      </c>
      <c r="C84" s="52" t="s">
        <v>67</v>
      </c>
      <c r="D84" s="60"/>
      <c r="E84" s="30">
        <v>98.0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7">
        <v>4.0</v>
      </c>
      <c r="C85" s="52" t="s">
        <v>68</v>
      </c>
      <c r="D85" s="60"/>
      <c r="E85" s="30">
        <v>300.0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7">
        <v>5.0</v>
      </c>
      <c r="C86" s="52" t="s">
        <v>69</v>
      </c>
      <c r="D86" s="60"/>
      <c r="E86" s="30">
        <v>367.0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7">
        <v>6.0</v>
      </c>
      <c r="C87" s="52" t="s">
        <v>70</v>
      </c>
      <c r="D87" s="60"/>
      <c r="E87" s="30">
        <v>122.0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7">
        <v>7.0</v>
      </c>
      <c r="C88" s="52" t="s">
        <v>71</v>
      </c>
      <c r="D88" s="60"/>
      <c r="E88" s="30">
        <v>19.0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7"/>
      <c r="C89" s="52"/>
      <c r="D89" s="60"/>
      <c r="E89" s="30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7"/>
      <c r="C90" s="52"/>
      <c r="D90" s="60"/>
      <c r="E90" s="30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9" t="s">
        <v>47</v>
      </c>
      <c r="C91" s="15"/>
      <c r="D91" s="16"/>
      <c r="E91" s="13">
        <f>SUM(E81:E88)</f>
        <v>5679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7"/>
      <c r="B92" s="46"/>
      <c r="C92" s="46"/>
      <c r="D92" s="46"/>
      <c r="E92" s="46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1" t="s">
        <v>37</v>
      </c>
      <c r="B93" s="49" t="s">
        <v>72</v>
      </c>
      <c r="C93" s="50" t="s">
        <v>73</v>
      </c>
      <c r="D93" s="16"/>
      <c r="E93" s="30">
        <v>505.0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 t="s">
        <v>39</v>
      </c>
      <c r="B94" s="57">
        <v>1.0</v>
      </c>
      <c r="C94" s="52" t="s">
        <v>74</v>
      </c>
      <c r="D94" s="60"/>
      <c r="E94" s="30">
        <v>349.0</v>
      </c>
      <c r="F94" s="53"/>
      <c r="G94" s="54"/>
      <c r="H94" s="54"/>
      <c r="I94" s="54"/>
      <c r="J94" s="54"/>
      <c r="K94" s="54"/>
      <c r="L94" s="54"/>
      <c r="M94" s="54"/>
      <c r="N94" s="54"/>
      <c r="O94" s="54"/>
      <c r="P94" s="55"/>
      <c r="Q94" s="3"/>
      <c r="R94" s="3"/>
      <c r="S94" s="3"/>
      <c r="T94" s="3"/>
      <c r="U94" s="3"/>
      <c r="V94" s="3"/>
      <c r="W94" s="56"/>
      <c r="X94" s="3"/>
      <c r="Y94" s="3"/>
      <c r="Z94" s="3"/>
    </row>
    <row r="95" ht="15.75" customHeight="1">
      <c r="A95" s="18"/>
      <c r="B95" s="57">
        <v>2.0</v>
      </c>
      <c r="C95" s="52" t="s">
        <v>75</v>
      </c>
      <c r="D95" s="60"/>
      <c r="E95" s="30">
        <v>628.0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7">
        <v>3.0</v>
      </c>
      <c r="C96" s="52" t="s">
        <v>76</v>
      </c>
      <c r="D96" s="60"/>
      <c r="E96" s="30">
        <v>34.0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7">
        <v>4.0</v>
      </c>
      <c r="C97" s="52" t="s">
        <v>77</v>
      </c>
      <c r="D97" s="60"/>
      <c r="E97" s="30">
        <v>232.0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7">
        <v>5.0</v>
      </c>
      <c r="C98" s="52" t="s">
        <v>78</v>
      </c>
      <c r="D98" s="60"/>
      <c r="E98" s="30">
        <v>122.0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7">
        <v>6.0</v>
      </c>
      <c r="C99" s="52" t="s">
        <v>79</v>
      </c>
      <c r="D99" s="60"/>
      <c r="E99" s="30">
        <v>18.0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7">
        <v>7.0</v>
      </c>
      <c r="C100" s="52" t="s">
        <v>80</v>
      </c>
      <c r="D100" s="60"/>
      <c r="E100" s="30">
        <v>12.0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7"/>
      <c r="C101" s="52"/>
      <c r="D101" s="60"/>
      <c r="E101" s="30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7"/>
      <c r="C102" s="52"/>
      <c r="D102" s="60"/>
      <c r="E102" s="30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9" t="s">
        <v>47</v>
      </c>
      <c r="C103" s="15"/>
      <c r="D103" s="16"/>
      <c r="E103" s="13">
        <f>SUM(E93:E100)</f>
        <v>1900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7"/>
      <c r="B104" s="46"/>
      <c r="C104" s="46"/>
      <c r="D104" s="46"/>
      <c r="E104" s="46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1" t="s">
        <v>37</v>
      </c>
      <c r="B105" s="49" t="s">
        <v>81</v>
      </c>
      <c r="C105" s="50" t="s">
        <v>82</v>
      </c>
      <c r="D105" s="16"/>
      <c r="E105" s="30">
        <v>61.0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1" t="s">
        <v>39</v>
      </c>
      <c r="B106" s="57">
        <v>1.0</v>
      </c>
      <c r="C106" s="52" t="s">
        <v>83</v>
      </c>
      <c r="D106" s="60"/>
      <c r="E106" s="30">
        <v>40.0</v>
      </c>
      <c r="F106" s="53"/>
      <c r="G106" s="54"/>
      <c r="H106" s="54"/>
      <c r="I106" s="54"/>
      <c r="J106" s="54"/>
      <c r="K106" s="54"/>
      <c r="L106" s="54"/>
      <c r="M106" s="54"/>
      <c r="N106" s="54"/>
      <c r="O106" s="54"/>
      <c r="P106" s="55"/>
      <c r="Q106" s="3"/>
      <c r="R106" s="3"/>
      <c r="S106" s="3"/>
      <c r="T106" s="3"/>
      <c r="U106" s="3"/>
      <c r="V106" s="3"/>
      <c r="W106" s="56"/>
      <c r="X106" s="3"/>
      <c r="Y106" s="3"/>
      <c r="Z106" s="3"/>
    </row>
    <row r="107" ht="15.75" customHeight="1">
      <c r="A107" s="18"/>
      <c r="B107" s="57">
        <v>2.0</v>
      </c>
      <c r="C107" s="52" t="s">
        <v>84</v>
      </c>
      <c r="D107" s="60"/>
      <c r="E107" s="30">
        <v>25.0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7">
        <v>3.0</v>
      </c>
      <c r="C108" s="52" t="s">
        <v>85</v>
      </c>
      <c r="D108" s="60"/>
      <c r="E108" s="30">
        <v>5.0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7">
        <v>4.0</v>
      </c>
      <c r="C109" s="52" t="s">
        <v>86</v>
      </c>
      <c r="D109" s="60"/>
      <c r="E109" s="30">
        <v>5.0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7">
        <v>5.0</v>
      </c>
      <c r="C110" s="52" t="s">
        <v>87</v>
      </c>
      <c r="D110" s="60"/>
      <c r="E110" s="30">
        <v>5.0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7">
        <v>6.0</v>
      </c>
      <c r="C111" s="52" t="s">
        <v>88</v>
      </c>
      <c r="D111" s="60"/>
      <c r="E111" s="30">
        <v>5.0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7">
        <v>7.0</v>
      </c>
      <c r="C112" s="52" t="s">
        <v>89</v>
      </c>
      <c r="D112" s="60"/>
      <c r="E112" s="30">
        <v>1.0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7"/>
      <c r="C113" s="52"/>
      <c r="D113" s="60"/>
      <c r="E113" s="30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7"/>
      <c r="C114" s="52"/>
      <c r="D114" s="60"/>
      <c r="E114" s="30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9" t="s">
        <v>47</v>
      </c>
      <c r="C115" s="15"/>
      <c r="D115" s="16"/>
      <c r="E115" s="13">
        <f>SUM(E105:E112)</f>
        <v>147</v>
      </c>
      <c r="F115" s="53"/>
      <c r="G115" s="54"/>
      <c r="H115" s="54"/>
      <c r="I115" s="54"/>
      <c r="J115" s="54"/>
      <c r="K115" s="54"/>
      <c r="L115" s="54"/>
      <c r="M115" s="54"/>
      <c r="N115" s="54"/>
      <c r="O115" s="54"/>
      <c r="P115" s="55"/>
      <c r="Q115" s="3"/>
      <c r="R115" s="3"/>
      <c r="S115" s="3"/>
      <c r="T115" s="3"/>
      <c r="U115" s="3"/>
      <c r="V115" s="3"/>
      <c r="W115" s="56"/>
      <c r="X115" s="3"/>
      <c r="Y115" s="3"/>
      <c r="Z115" s="3"/>
    </row>
    <row r="116" ht="15.75" customHeight="1">
      <c r="A116" s="30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1" t="s">
        <v>37</v>
      </c>
      <c r="B117" s="49" t="s">
        <v>90</v>
      </c>
      <c r="C117" s="50" t="s">
        <v>91</v>
      </c>
      <c r="D117" s="16"/>
      <c r="E117" s="30">
        <v>338.0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1" t="s">
        <v>39</v>
      </c>
      <c r="B118" s="57">
        <v>1.0</v>
      </c>
      <c r="C118" s="52" t="s">
        <v>92</v>
      </c>
      <c r="D118" s="60"/>
      <c r="E118" s="30">
        <v>294.0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7">
        <v>2.0</v>
      </c>
      <c r="C119" s="52" t="s">
        <v>93</v>
      </c>
      <c r="D119" s="60"/>
      <c r="E119" s="30">
        <v>52.0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7">
        <v>3.0</v>
      </c>
      <c r="C120" s="52" t="s">
        <v>94</v>
      </c>
      <c r="D120" s="60"/>
      <c r="E120" s="30">
        <v>19.0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7"/>
      <c r="C121" s="52"/>
      <c r="D121" s="60"/>
      <c r="E121" s="42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7"/>
      <c r="C122" s="52"/>
      <c r="D122" s="60"/>
      <c r="E122" s="42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7"/>
      <c r="C123" s="52"/>
      <c r="D123" s="60"/>
      <c r="E123" s="4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7"/>
      <c r="C124" s="52"/>
      <c r="D124" s="60"/>
      <c r="E124" s="4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7"/>
      <c r="C125" s="52"/>
      <c r="D125" s="60"/>
      <c r="E125" s="4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7"/>
      <c r="C126" s="52"/>
      <c r="D126" s="60"/>
      <c r="E126" s="4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9" t="s">
        <v>47</v>
      </c>
      <c r="C127" s="15"/>
      <c r="D127" s="16"/>
      <c r="E127" s="61">
        <f>SUM(E117:E120)</f>
        <v>703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1" t="s">
        <v>37</v>
      </c>
      <c r="B129" s="49" t="s">
        <v>95</v>
      </c>
      <c r="C129" s="50" t="s">
        <v>96</v>
      </c>
      <c r="D129" s="16"/>
      <c r="E129" s="30">
        <v>182.0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1" t="s">
        <v>39</v>
      </c>
      <c r="B130" s="57">
        <v>1.0</v>
      </c>
      <c r="C130" s="52" t="s">
        <v>97</v>
      </c>
      <c r="D130" s="58"/>
      <c r="E130" s="30">
        <v>381.0</v>
      </c>
      <c r="F130" s="53"/>
      <c r="G130" s="54"/>
      <c r="H130" s="54"/>
      <c r="I130" s="54"/>
      <c r="J130" s="54"/>
      <c r="K130" s="54"/>
      <c r="L130" s="54"/>
      <c r="M130" s="54"/>
      <c r="N130" s="54"/>
      <c r="O130" s="54"/>
      <c r="P130" s="55"/>
      <c r="Q130" s="3"/>
      <c r="R130" s="3"/>
      <c r="S130" s="3"/>
      <c r="T130" s="3"/>
      <c r="U130" s="3"/>
      <c r="V130" s="3"/>
      <c r="W130" s="56"/>
      <c r="X130" s="3"/>
      <c r="Y130" s="3"/>
      <c r="Z130" s="3"/>
    </row>
    <row r="131" ht="15.75" customHeight="1">
      <c r="A131" s="18"/>
      <c r="B131" s="57">
        <v>2.0</v>
      </c>
      <c r="C131" s="52" t="s">
        <v>98</v>
      </c>
      <c r="D131" s="58"/>
      <c r="E131" s="30">
        <v>126.0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7">
        <v>3.0</v>
      </c>
      <c r="C132" s="52" t="s">
        <v>99</v>
      </c>
      <c r="D132" s="58"/>
      <c r="E132" s="30">
        <v>18.0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7">
        <v>4.0</v>
      </c>
      <c r="C133" s="52" t="s">
        <v>100</v>
      </c>
      <c r="D133" s="58"/>
      <c r="E133" s="30">
        <v>12.0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7">
        <v>5.0</v>
      </c>
      <c r="C134" s="52" t="s">
        <v>101</v>
      </c>
      <c r="D134" s="58"/>
      <c r="E134" s="30">
        <v>42.0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7">
        <v>6.0</v>
      </c>
      <c r="C135" s="52" t="s">
        <v>102</v>
      </c>
      <c r="D135" s="60"/>
      <c r="E135" s="30">
        <v>47.0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7">
        <v>7.0</v>
      </c>
      <c r="C136" s="52" t="s">
        <v>103</v>
      </c>
      <c r="D136" s="58"/>
      <c r="E136" s="30">
        <v>5.0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7"/>
      <c r="C137" s="52"/>
      <c r="D137" s="58"/>
      <c r="E137" s="30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7"/>
      <c r="C138" s="52"/>
      <c r="D138" s="58"/>
      <c r="E138" s="30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9" t="s">
        <v>47</v>
      </c>
      <c r="C139" s="15"/>
      <c r="D139" s="16"/>
      <c r="E139" s="13">
        <f>SUM(E129:E136)</f>
        <v>813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0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1" t="s">
        <v>37</v>
      </c>
      <c r="B141" s="49" t="s">
        <v>104</v>
      </c>
      <c r="C141" s="50" t="s">
        <v>105</v>
      </c>
      <c r="D141" s="16"/>
      <c r="E141" s="30">
        <v>19.0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 t="s">
        <v>39</v>
      </c>
      <c r="B142" s="57">
        <v>1.0</v>
      </c>
      <c r="C142" s="52" t="s">
        <v>106</v>
      </c>
      <c r="D142" s="60"/>
      <c r="E142" s="30">
        <v>9.0</v>
      </c>
      <c r="F142" s="53"/>
      <c r="G142" s="54"/>
      <c r="H142" s="54"/>
      <c r="I142" s="54"/>
      <c r="J142" s="54"/>
      <c r="K142" s="54"/>
      <c r="L142" s="54"/>
      <c r="M142" s="54"/>
      <c r="N142" s="54"/>
      <c r="O142" s="54"/>
      <c r="P142" s="55"/>
      <c r="Q142" s="3"/>
      <c r="R142" s="3"/>
      <c r="S142" s="3"/>
      <c r="T142" s="3"/>
      <c r="U142" s="3"/>
      <c r="V142" s="3"/>
      <c r="W142" s="56"/>
      <c r="X142" s="3"/>
      <c r="Y142" s="3"/>
      <c r="Z142" s="3"/>
    </row>
    <row r="143" ht="15.75" customHeight="1">
      <c r="A143" s="18"/>
      <c r="B143" s="57">
        <v>2.0</v>
      </c>
      <c r="C143" s="52" t="s">
        <v>107</v>
      </c>
      <c r="D143" s="60"/>
      <c r="E143" s="30">
        <v>1.0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7">
        <v>3.0</v>
      </c>
      <c r="C144" s="52" t="s">
        <v>108</v>
      </c>
      <c r="D144" s="60"/>
      <c r="E144" s="30">
        <v>5.0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7">
        <v>4.0</v>
      </c>
      <c r="C145" s="52" t="s">
        <v>109</v>
      </c>
      <c r="D145" s="60"/>
      <c r="E145" s="30">
        <v>2.0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7">
        <v>5.0</v>
      </c>
      <c r="C146" s="52" t="s">
        <v>110</v>
      </c>
      <c r="D146" s="60"/>
      <c r="E146" s="30">
        <v>3.0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7">
        <v>6.0</v>
      </c>
      <c r="C147" s="52" t="s">
        <v>111</v>
      </c>
      <c r="D147" s="60"/>
      <c r="E147" s="30">
        <v>4.0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7">
        <v>7.0</v>
      </c>
      <c r="C148" s="52" t="s">
        <v>112</v>
      </c>
      <c r="D148" s="60"/>
      <c r="E148" s="30">
        <v>1.0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7"/>
      <c r="C149" s="52"/>
      <c r="D149" s="60"/>
      <c r="E149" s="30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7"/>
      <c r="C150" s="52"/>
      <c r="D150" s="60"/>
      <c r="E150" s="30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9" t="s">
        <v>47</v>
      </c>
      <c r="C151" s="15"/>
      <c r="D151" s="16"/>
      <c r="E151" s="13">
        <f>SUM(E141:E148)</f>
        <v>44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0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 t="s">
        <v>37</v>
      </c>
      <c r="B153" s="49" t="s">
        <v>113</v>
      </c>
      <c r="C153" s="50" t="s">
        <v>114</v>
      </c>
      <c r="D153" s="16"/>
      <c r="E153" s="30">
        <v>159.0</v>
      </c>
      <c r="F153" s="53"/>
      <c r="G153" s="54"/>
      <c r="H153" s="54"/>
      <c r="I153" s="54"/>
      <c r="J153" s="54"/>
      <c r="K153" s="54"/>
      <c r="L153" s="54"/>
      <c r="M153" s="54"/>
      <c r="N153" s="54"/>
      <c r="O153" s="54"/>
      <c r="P153" s="55"/>
      <c r="Q153" s="3"/>
      <c r="R153" s="3"/>
      <c r="S153" s="3"/>
      <c r="T153" s="3"/>
      <c r="U153" s="3"/>
      <c r="V153" s="3"/>
      <c r="W153" s="56"/>
      <c r="X153" s="3"/>
      <c r="Y153" s="3"/>
      <c r="Z153" s="3"/>
    </row>
    <row r="154" ht="15.75" customHeight="1">
      <c r="A154" s="31" t="s">
        <v>39</v>
      </c>
      <c r="B154" s="57">
        <v>1.0</v>
      </c>
      <c r="C154" s="62" t="s">
        <v>115</v>
      </c>
      <c r="D154" s="60"/>
      <c r="E154" s="30">
        <v>195.0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7">
        <v>2.0</v>
      </c>
      <c r="C155" s="62" t="s">
        <v>116</v>
      </c>
      <c r="D155" s="60"/>
      <c r="E155" s="30">
        <v>43.0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7">
        <v>3.0</v>
      </c>
      <c r="C156" s="62" t="s">
        <v>117</v>
      </c>
      <c r="D156" s="60"/>
      <c r="E156" s="30">
        <v>8.0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7">
        <v>4.0</v>
      </c>
      <c r="C157" s="62" t="s">
        <v>118</v>
      </c>
      <c r="D157" s="60"/>
      <c r="E157" s="30">
        <v>7.0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7"/>
      <c r="C158" s="63"/>
      <c r="D158" s="60"/>
      <c r="E158" s="30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7"/>
      <c r="C159" s="63"/>
      <c r="D159" s="60"/>
      <c r="E159" s="30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7"/>
      <c r="C160" s="63"/>
      <c r="D160" s="60"/>
      <c r="E160" s="30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7"/>
      <c r="C161" s="63"/>
      <c r="D161" s="60"/>
      <c r="E161" s="30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7"/>
      <c r="C162" s="63"/>
      <c r="D162" s="60"/>
      <c r="E162" s="30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9" t="s">
        <v>47</v>
      </c>
      <c r="C163" s="15"/>
      <c r="D163" s="16"/>
      <c r="E163" s="13">
        <f>SUM(E153:E157)</f>
        <v>412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1" t="s">
        <v>37</v>
      </c>
      <c r="B165" s="49" t="s">
        <v>119</v>
      </c>
      <c r="C165" s="50" t="s">
        <v>120</v>
      </c>
      <c r="D165" s="16"/>
      <c r="E165" s="30">
        <v>40.0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1" t="s">
        <v>39</v>
      </c>
      <c r="B166" s="57">
        <v>1.0</v>
      </c>
      <c r="C166" s="52" t="s">
        <v>121</v>
      </c>
      <c r="D166" s="60"/>
      <c r="E166" s="30">
        <v>15.0</v>
      </c>
      <c r="F166" s="53"/>
      <c r="G166" s="54"/>
      <c r="H166" s="54"/>
      <c r="I166" s="54"/>
      <c r="J166" s="54"/>
      <c r="K166" s="54"/>
      <c r="L166" s="54"/>
      <c r="M166" s="54"/>
      <c r="N166" s="54"/>
      <c r="O166" s="54"/>
      <c r="P166" s="55"/>
      <c r="Q166" s="3"/>
      <c r="R166" s="3"/>
      <c r="S166" s="3"/>
      <c r="T166" s="3"/>
      <c r="U166" s="3"/>
      <c r="V166" s="3"/>
      <c r="W166" s="56"/>
      <c r="X166" s="3"/>
      <c r="Y166" s="3"/>
      <c r="Z166" s="3"/>
    </row>
    <row r="167" ht="15.75" customHeight="1">
      <c r="A167" s="18"/>
      <c r="B167" s="57">
        <v>2.0</v>
      </c>
      <c r="C167" s="52" t="s">
        <v>122</v>
      </c>
      <c r="D167" s="60"/>
      <c r="E167" s="30">
        <v>13.0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7">
        <v>3.0</v>
      </c>
      <c r="C168" s="52" t="s">
        <v>123</v>
      </c>
      <c r="D168" s="60"/>
      <c r="E168" s="30">
        <v>10.0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7">
        <v>4.0</v>
      </c>
      <c r="C169" s="52" t="s">
        <v>124</v>
      </c>
      <c r="D169" s="60"/>
      <c r="E169" s="30">
        <v>2.0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7">
        <v>5.0</v>
      </c>
      <c r="C170" s="52" t="s">
        <v>125</v>
      </c>
      <c r="D170" s="60"/>
      <c r="E170" s="30">
        <v>4.0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7">
        <v>6.0</v>
      </c>
      <c r="C171" s="52" t="s">
        <v>126</v>
      </c>
      <c r="D171" s="60"/>
      <c r="E171" s="30">
        <v>1.0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7">
        <v>7.0</v>
      </c>
      <c r="C172" s="52" t="s">
        <v>127</v>
      </c>
      <c r="D172" s="60"/>
      <c r="E172" s="30">
        <v>2.0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7"/>
      <c r="C173" s="52"/>
      <c r="D173" s="60"/>
      <c r="E173" s="30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7"/>
      <c r="C174" s="52"/>
      <c r="D174" s="60"/>
      <c r="E174" s="30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9" t="s">
        <v>47</v>
      </c>
      <c r="C175" s="15"/>
      <c r="D175" s="16"/>
      <c r="E175" s="13">
        <f>SUM(E165:E172)</f>
        <v>87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0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1" t="s">
        <v>37</v>
      </c>
      <c r="B177" s="49" t="s">
        <v>128</v>
      </c>
      <c r="C177" s="50" t="s">
        <v>129</v>
      </c>
      <c r="D177" s="16"/>
      <c r="E177" s="30">
        <v>170.0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1" t="s">
        <v>39</v>
      </c>
      <c r="B178" s="57">
        <v>1.0</v>
      </c>
      <c r="C178" s="52" t="s">
        <v>130</v>
      </c>
      <c r="D178" s="60"/>
      <c r="E178" s="30">
        <v>213.0</v>
      </c>
      <c r="F178" s="53"/>
      <c r="G178" s="54"/>
      <c r="H178" s="54"/>
      <c r="I178" s="54"/>
      <c r="J178" s="54"/>
      <c r="K178" s="54"/>
      <c r="L178" s="54"/>
      <c r="M178" s="54"/>
      <c r="N178" s="54"/>
      <c r="O178" s="54"/>
      <c r="P178" s="55"/>
      <c r="Q178" s="3"/>
      <c r="R178" s="3"/>
      <c r="S178" s="3"/>
      <c r="T178" s="3"/>
      <c r="U178" s="3"/>
      <c r="V178" s="3"/>
      <c r="W178" s="56"/>
      <c r="X178" s="3"/>
      <c r="Y178" s="3"/>
      <c r="Z178" s="3"/>
    </row>
    <row r="179" ht="15.75" customHeight="1">
      <c r="A179" s="18"/>
      <c r="B179" s="57">
        <v>2.0</v>
      </c>
      <c r="C179" s="52" t="s">
        <v>131</v>
      </c>
      <c r="D179" s="60"/>
      <c r="E179" s="30">
        <v>51.0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7">
        <v>3.0</v>
      </c>
      <c r="C180" s="52" t="s">
        <v>132</v>
      </c>
      <c r="D180" s="60"/>
      <c r="E180" s="30">
        <v>36.0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7">
        <v>4.0</v>
      </c>
      <c r="C181" s="52" t="s">
        <v>133</v>
      </c>
      <c r="D181" s="60"/>
      <c r="E181" s="30">
        <v>14.0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7">
        <v>5.0</v>
      </c>
      <c r="C182" s="52" t="s">
        <v>134</v>
      </c>
      <c r="D182" s="60"/>
      <c r="E182" s="30">
        <v>20.0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7">
        <v>6.0</v>
      </c>
      <c r="C183" s="52" t="s">
        <v>135</v>
      </c>
      <c r="D183" s="60"/>
      <c r="E183" s="30">
        <v>10.0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7">
        <v>7.0</v>
      </c>
      <c r="C184" s="52" t="s">
        <v>136</v>
      </c>
      <c r="D184" s="60"/>
      <c r="E184" s="30">
        <v>24.0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7"/>
      <c r="C185" s="52"/>
      <c r="D185" s="60"/>
      <c r="E185" s="30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7"/>
      <c r="C186" s="52"/>
      <c r="D186" s="60"/>
      <c r="E186" s="30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9" t="s">
        <v>47</v>
      </c>
      <c r="C187" s="15"/>
      <c r="D187" s="16"/>
      <c r="E187" s="13">
        <f>SUM(E177:E184)</f>
        <v>538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0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1" t="s">
        <v>37</v>
      </c>
      <c r="B189" s="49" t="s">
        <v>137</v>
      </c>
      <c r="C189" s="50" t="s">
        <v>138</v>
      </c>
      <c r="D189" s="16"/>
      <c r="E189" s="30">
        <v>94.0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1" t="s">
        <v>39</v>
      </c>
      <c r="B190" s="57">
        <v>1.0</v>
      </c>
      <c r="C190" s="52" t="s">
        <v>139</v>
      </c>
      <c r="D190" s="60"/>
      <c r="E190" s="30">
        <v>80.0</v>
      </c>
      <c r="F190" s="53"/>
      <c r="G190" s="54"/>
      <c r="H190" s="54"/>
      <c r="I190" s="54"/>
      <c r="J190" s="54"/>
      <c r="K190" s="54"/>
      <c r="L190" s="54"/>
      <c r="M190" s="54"/>
      <c r="N190" s="54"/>
      <c r="O190" s="54"/>
      <c r="P190" s="55"/>
      <c r="Q190" s="3"/>
      <c r="R190" s="3"/>
      <c r="S190" s="3"/>
      <c r="T190" s="3"/>
      <c r="U190" s="3"/>
      <c r="V190" s="3"/>
      <c r="W190" s="56"/>
      <c r="X190" s="3"/>
      <c r="Y190" s="3"/>
      <c r="Z190" s="3"/>
    </row>
    <row r="191" ht="15.75" customHeight="1">
      <c r="A191" s="18"/>
      <c r="B191" s="57">
        <v>2.0</v>
      </c>
      <c r="C191" s="52" t="s">
        <v>140</v>
      </c>
      <c r="D191" s="60"/>
      <c r="E191" s="30">
        <v>27.0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7">
        <v>3.0</v>
      </c>
      <c r="C192" s="52" t="s">
        <v>141</v>
      </c>
      <c r="D192" s="60"/>
      <c r="E192" s="30">
        <v>6.0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7">
        <v>4.0</v>
      </c>
      <c r="C193" s="52" t="s">
        <v>142</v>
      </c>
      <c r="D193" s="60"/>
      <c r="E193" s="30">
        <v>4.0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7">
        <v>5.0</v>
      </c>
      <c r="C194" s="52" t="s">
        <v>143</v>
      </c>
      <c r="D194" s="60"/>
      <c r="E194" s="30">
        <v>10.0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7">
        <v>6.0</v>
      </c>
      <c r="C195" s="52" t="s">
        <v>144</v>
      </c>
      <c r="D195" s="60"/>
      <c r="E195" s="30">
        <v>13.0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7">
        <v>7.0</v>
      </c>
      <c r="C196" s="52" t="s">
        <v>145</v>
      </c>
      <c r="D196" s="60"/>
      <c r="E196" s="30">
        <v>2.0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7"/>
      <c r="C197" s="52"/>
      <c r="D197" s="60"/>
      <c r="E197" s="30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7"/>
      <c r="C198" s="52"/>
      <c r="D198" s="60"/>
      <c r="E198" s="30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9" t="s">
        <v>47</v>
      </c>
      <c r="C199" s="15"/>
      <c r="D199" s="16"/>
      <c r="E199" s="13">
        <f>SUM(E189:E196)</f>
        <v>236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0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1" t="s">
        <v>37</v>
      </c>
      <c r="B201" s="49" t="s">
        <v>146</v>
      </c>
      <c r="C201" s="50" t="s">
        <v>147</v>
      </c>
      <c r="D201" s="16"/>
      <c r="E201" s="30">
        <v>618.0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1" t="s">
        <v>39</v>
      </c>
      <c r="B202" s="57">
        <v>1.0</v>
      </c>
      <c r="C202" s="52" t="s">
        <v>148</v>
      </c>
      <c r="D202" s="60"/>
      <c r="E202" s="30">
        <v>695.0</v>
      </c>
      <c r="F202" s="53"/>
      <c r="G202" s="54"/>
      <c r="H202" s="54"/>
      <c r="I202" s="54"/>
      <c r="J202" s="54"/>
      <c r="K202" s="54"/>
      <c r="L202" s="54"/>
      <c r="M202" s="54"/>
      <c r="N202" s="54"/>
      <c r="O202" s="54"/>
      <c r="P202" s="55"/>
      <c r="Q202" s="3"/>
      <c r="R202" s="3"/>
      <c r="S202" s="3"/>
      <c r="T202" s="3"/>
      <c r="U202" s="3"/>
      <c r="V202" s="3"/>
      <c r="W202" s="56"/>
      <c r="X202" s="3"/>
      <c r="Y202" s="3"/>
      <c r="Z202" s="3"/>
    </row>
    <row r="203" ht="15.75" customHeight="1">
      <c r="A203" s="18"/>
      <c r="B203" s="57">
        <v>2.0</v>
      </c>
      <c r="C203" s="52" t="s">
        <v>149</v>
      </c>
      <c r="D203" s="60"/>
      <c r="E203" s="30">
        <v>408.0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7">
        <v>3.0</v>
      </c>
      <c r="C204" s="52" t="s">
        <v>150</v>
      </c>
      <c r="D204" s="60"/>
      <c r="E204" s="30">
        <v>115.0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7">
        <v>4.0</v>
      </c>
      <c r="C205" s="52" t="s">
        <v>151</v>
      </c>
      <c r="D205" s="60"/>
      <c r="E205" s="30">
        <v>240.0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7">
        <v>5.0</v>
      </c>
      <c r="C206" s="52" t="s">
        <v>152</v>
      </c>
      <c r="D206" s="60"/>
      <c r="E206" s="30">
        <v>47.0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7">
        <v>6.0</v>
      </c>
      <c r="C207" s="52" t="s">
        <v>153</v>
      </c>
      <c r="D207" s="60"/>
      <c r="E207" s="30">
        <v>16.0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7">
        <v>7.0</v>
      </c>
      <c r="C208" s="52" t="s">
        <v>154</v>
      </c>
      <c r="D208" s="60"/>
      <c r="E208" s="30">
        <v>49.0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7"/>
      <c r="C209" s="52"/>
      <c r="D209" s="60"/>
      <c r="E209" s="30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7"/>
      <c r="C210" s="52"/>
      <c r="D210" s="60"/>
      <c r="E210" s="30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9" t="s">
        <v>47</v>
      </c>
      <c r="C211" s="15"/>
      <c r="D211" s="16"/>
      <c r="E211" s="13">
        <f>SUM(E201:E209)</f>
        <v>2188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0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1" t="s">
        <v>37</v>
      </c>
      <c r="B213" s="49" t="s">
        <v>155</v>
      </c>
      <c r="C213" s="50" t="s">
        <v>156</v>
      </c>
      <c r="D213" s="16"/>
      <c r="E213" s="30">
        <v>195.0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1" t="s">
        <v>39</v>
      </c>
      <c r="B214" s="57">
        <v>1.0</v>
      </c>
      <c r="C214" s="52" t="s">
        <v>157</v>
      </c>
      <c r="D214" s="58"/>
      <c r="E214" s="30">
        <v>288.0</v>
      </c>
      <c r="F214" s="53"/>
      <c r="G214" s="54"/>
      <c r="H214" s="54"/>
      <c r="I214" s="54"/>
      <c r="J214" s="54"/>
      <c r="K214" s="54"/>
      <c r="L214" s="54"/>
      <c r="M214" s="54"/>
      <c r="N214" s="54"/>
      <c r="O214" s="54"/>
      <c r="P214" s="55"/>
      <c r="Q214" s="3"/>
      <c r="R214" s="3"/>
      <c r="S214" s="3"/>
      <c r="T214" s="3"/>
      <c r="U214" s="3"/>
      <c r="V214" s="3"/>
      <c r="W214" s="56"/>
      <c r="X214" s="3"/>
      <c r="Y214" s="3"/>
      <c r="Z214" s="3"/>
    </row>
    <row r="215" ht="15.75" customHeight="1">
      <c r="A215" s="18"/>
      <c r="B215" s="57">
        <v>2.0</v>
      </c>
      <c r="C215" s="52" t="s">
        <v>158</v>
      </c>
      <c r="D215" s="58"/>
      <c r="E215" s="30">
        <v>778.0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7">
        <v>3.0</v>
      </c>
      <c r="C216" s="64" t="s">
        <v>159</v>
      </c>
      <c r="E216" s="30">
        <v>32.0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7">
        <v>4.0</v>
      </c>
      <c r="C217" s="52" t="s">
        <v>160</v>
      </c>
      <c r="D217" s="58"/>
      <c r="E217" s="30">
        <v>14.0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7">
        <v>5.0</v>
      </c>
      <c r="C218" s="52" t="s">
        <v>161</v>
      </c>
      <c r="D218" s="58"/>
      <c r="E218" s="30">
        <v>11.0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7">
        <v>6.0</v>
      </c>
      <c r="C219" s="52" t="s">
        <v>162</v>
      </c>
      <c r="D219" s="58"/>
      <c r="E219" s="30">
        <v>12.0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7">
        <v>7.0</v>
      </c>
      <c r="C220" s="52" t="s">
        <v>163</v>
      </c>
      <c r="D220" s="58"/>
      <c r="E220" s="30">
        <v>11.0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7"/>
      <c r="C221" s="52"/>
      <c r="D221" s="58"/>
      <c r="E221" s="30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7"/>
      <c r="C222" s="52"/>
      <c r="D222" s="58"/>
      <c r="E222" s="30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9" t="s">
        <v>47</v>
      </c>
      <c r="C223" s="15"/>
      <c r="D223" s="16"/>
      <c r="E223" s="13">
        <f>SUM(E213:E220)</f>
        <v>1341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0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1" t="s">
        <v>37</v>
      </c>
      <c r="B225" s="49" t="s">
        <v>164</v>
      </c>
      <c r="C225" s="50" t="s">
        <v>165</v>
      </c>
      <c r="D225" s="16"/>
      <c r="E225" s="30">
        <v>23.0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1" t="s">
        <v>39</v>
      </c>
      <c r="B226" s="57">
        <v>1.0</v>
      </c>
      <c r="C226" s="52" t="s">
        <v>166</v>
      </c>
      <c r="D226" s="60"/>
      <c r="E226" s="30">
        <v>66.0</v>
      </c>
      <c r="F226" s="53"/>
      <c r="G226" s="54"/>
      <c r="H226" s="54"/>
      <c r="I226" s="54"/>
      <c r="J226" s="54"/>
      <c r="K226" s="54"/>
      <c r="L226" s="54"/>
      <c r="M226" s="54"/>
      <c r="N226" s="54"/>
      <c r="O226" s="54"/>
      <c r="P226" s="55"/>
      <c r="Q226" s="3"/>
      <c r="R226" s="3"/>
      <c r="S226" s="3"/>
      <c r="T226" s="3"/>
      <c r="U226" s="3"/>
      <c r="V226" s="3"/>
      <c r="W226" s="56"/>
      <c r="X226" s="3"/>
      <c r="Y226" s="3"/>
      <c r="Z226" s="3"/>
    </row>
    <row r="227" ht="15.75" customHeight="1">
      <c r="A227" s="18"/>
      <c r="B227" s="57">
        <v>2.0</v>
      </c>
      <c r="C227" s="52" t="s">
        <v>167</v>
      </c>
      <c r="D227" s="60"/>
      <c r="E227" s="30">
        <v>4.0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7">
        <v>3.0</v>
      </c>
      <c r="C228" s="52" t="s">
        <v>168</v>
      </c>
      <c r="D228" s="60"/>
      <c r="E228" s="30">
        <v>4.0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7">
        <v>4.0</v>
      </c>
      <c r="C229" s="52" t="s">
        <v>169</v>
      </c>
      <c r="D229" s="60"/>
      <c r="E229" s="30">
        <v>2.0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7">
        <v>5.0</v>
      </c>
      <c r="C230" s="52" t="s">
        <v>170</v>
      </c>
      <c r="D230" s="60"/>
      <c r="E230" s="30">
        <v>1.0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7">
        <v>6.0</v>
      </c>
      <c r="C231" s="52" t="s">
        <v>171</v>
      </c>
      <c r="D231" s="60"/>
      <c r="E231" s="30">
        <v>0.0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7">
        <v>7.0</v>
      </c>
      <c r="C232" s="52" t="s">
        <v>172</v>
      </c>
      <c r="D232" s="60"/>
      <c r="E232" s="30">
        <v>11.0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7"/>
      <c r="C233" s="52"/>
      <c r="D233" s="60"/>
      <c r="E233" s="30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7"/>
      <c r="C234" s="52"/>
      <c r="D234" s="60"/>
      <c r="E234" s="30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9" t="s">
        <v>47</v>
      </c>
      <c r="C235" s="15"/>
      <c r="D235" s="16"/>
      <c r="E235" s="13">
        <f>SUM(E225:E232)</f>
        <v>111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0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1" t="s">
        <v>37</v>
      </c>
      <c r="B237" s="49" t="s">
        <v>173</v>
      </c>
      <c r="C237" s="50" t="s">
        <v>174</v>
      </c>
      <c r="D237" s="16"/>
      <c r="E237" s="30">
        <v>269.0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1" t="s">
        <v>39</v>
      </c>
      <c r="B238" s="57">
        <v>1.0</v>
      </c>
      <c r="C238" s="52" t="s">
        <v>175</v>
      </c>
      <c r="D238" s="60"/>
      <c r="E238" s="30">
        <v>116.0</v>
      </c>
      <c r="F238" s="53"/>
      <c r="G238" s="54"/>
      <c r="H238" s="54"/>
      <c r="I238" s="54"/>
      <c r="J238" s="54"/>
      <c r="K238" s="54"/>
      <c r="L238" s="54"/>
      <c r="M238" s="54"/>
      <c r="N238" s="54"/>
      <c r="O238" s="54"/>
      <c r="P238" s="55"/>
      <c r="Q238" s="3"/>
      <c r="R238" s="3"/>
      <c r="S238" s="3"/>
      <c r="T238" s="3"/>
      <c r="U238" s="3"/>
      <c r="V238" s="3"/>
      <c r="W238" s="56"/>
      <c r="X238" s="3"/>
      <c r="Y238" s="3"/>
      <c r="Z238" s="3"/>
    </row>
    <row r="239" ht="15.75" customHeight="1">
      <c r="A239" s="18"/>
      <c r="B239" s="57">
        <v>2.0</v>
      </c>
      <c r="C239" s="52" t="s">
        <v>176</v>
      </c>
      <c r="D239" s="60"/>
      <c r="E239" s="24">
        <v>2655.0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7">
        <v>3.0</v>
      </c>
      <c r="C240" s="52" t="s">
        <v>177</v>
      </c>
      <c r="D240" s="60"/>
      <c r="E240" s="30">
        <v>107.0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7">
        <v>4.0</v>
      </c>
      <c r="C241" s="52" t="s">
        <v>178</v>
      </c>
      <c r="D241" s="60"/>
      <c r="E241" s="30">
        <v>31.0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7">
        <v>5.0</v>
      </c>
      <c r="C242" s="52" t="s">
        <v>179</v>
      </c>
      <c r="D242" s="60"/>
      <c r="E242" s="30">
        <v>10.0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7">
        <v>6.0</v>
      </c>
      <c r="C243" s="52" t="s">
        <v>180</v>
      </c>
      <c r="D243" s="60"/>
      <c r="E243" s="30">
        <v>10.0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7">
        <v>7.0</v>
      </c>
      <c r="C244" s="52" t="s">
        <v>181</v>
      </c>
      <c r="D244" s="60"/>
      <c r="E244" s="30">
        <v>554.0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7"/>
      <c r="C245" s="52"/>
      <c r="D245" s="60"/>
      <c r="E245" s="30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7"/>
      <c r="C246" s="52"/>
      <c r="D246" s="60"/>
      <c r="E246" s="30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9" t="s">
        <v>47</v>
      </c>
      <c r="C247" s="15"/>
      <c r="D247" s="16"/>
      <c r="E247" s="13">
        <f>SUM(E237:E244)</f>
        <v>3752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0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1" t="s">
        <v>37</v>
      </c>
      <c r="B249" s="49" t="s">
        <v>182</v>
      </c>
      <c r="C249" s="50" t="s">
        <v>183</v>
      </c>
      <c r="D249" s="16"/>
      <c r="E249" s="30">
        <v>38.0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1" t="s">
        <v>39</v>
      </c>
      <c r="B250" s="57">
        <v>1.0</v>
      </c>
      <c r="C250" s="62" t="s">
        <v>184</v>
      </c>
      <c r="D250" s="60"/>
      <c r="E250" s="30">
        <v>19.0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7">
        <v>2.0</v>
      </c>
      <c r="C251" s="62" t="s">
        <v>185</v>
      </c>
      <c r="D251" s="60"/>
      <c r="E251" s="30">
        <v>25.0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7">
        <v>3.0</v>
      </c>
      <c r="C252" s="62" t="s">
        <v>186</v>
      </c>
      <c r="D252" s="60"/>
      <c r="E252" s="30">
        <v>4.0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7">
        <v>4.0</v>
      </c>
      <c r="C253" s="62" t="s">
        <v>187</v>
      </c>
      <c r="D253" s="60"/>
      <c r="E253" s="30">
        <v>2.0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7">
        <v>5.0</v>
      </c>
      <c r="C254" s="62" t="s">
        <v>188</v>
      </c>
      <c r="D254" s="60"/>
      <c r="E254" s="30">
        <v>5.0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7">
        <v>6.0</v>
      </c>
      <c r="C255" s="62" t="s">
        <v>189</v>
      </c>
      <c r="D255" s="60"/>
      <c r="E255" s="30">
        <v>5.0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7"/>
      <c r="C256" s="63"/>
      <c r="D256" s="60"/>
      <c r="E256" s="30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7"/>
      <c r="C257" s="63"/>
      <c r="D257" s="60"/>
      <c r="E257" s="30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7"/>
      <c r="C258" s="63"/>
      <c r="D258" s="60"/>
      <c r="E258" s="30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9" t="s">
        <v>47</v>
      </c>
      <c r="C259" s="15"/>
      <c r="D259" s="16"/>
      <c r="E259" s="13">
        <f>SUM(E249:E255)</f>
        <v>98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4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4"/>
      <c r="B262" s="65" t="s">
        <v>192</v>
      </c>
      <c r="C262" s="66" t="s">
        <v>193</v>
      </c>
      <c r="D262" s="16"/>
      <c r="E262" s="24">
        <v>35362.0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6"/>
      <c r="B263" s="65" t="s">
        <v>194</v>
      </c>
      <c r="C263" s="66" t="s">
        <v>195</v>
      </c>
      <c r="D263" s="16"/>
      <c r="E263" s="24">
        <v>4706.0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3"/>
      <c r="B264" s="65" t="s">
        <v>196</v>
      </c>
      <c r="C264" s="66" t="s">
        <v>197</v>
      </c>
      <c r="D264" s="16"/>
      <c r="E264" s="59">
        <f>SUM(E262:E263)</f>
        <v>40068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7"/>
      <c r="C265" s="6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7"/>
      <c r="C266" s="6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7"/>
      <c r="C267" s="6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7"/>
      <c r="C268" s="6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7"/>
      <c r="C269" s="6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7"/>
      <c r="C270" s="6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7"/>
      <c r="C271" s="6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7"/>
      <c r="C272" s="6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7"/>
      <c r="C273" s="6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7"/>
      <c r="C274" s="6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7"/>
      <c r="C275" s="6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7"/>
      <c r="C276" s="6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7"/>
      <c r="C277" s="6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7"/>
      <c r="C278" s="6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7"/>
      <c r="C279" s="6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7"/>
      <c r="C280" s="6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7"/>
      <c r="C281" s="6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7"/>
      <c r="C282" s="6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7"/>
      <c r="C283" s="6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7"/>
      <c r="C284" s="6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7"/>
      <c r="C285" s="6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7"/>
      <c r="C286" s="6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7"/>
      <c r="C287" s="6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7"/>
      <c r="C288" s="6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7"/>
      <c r="C289" s="6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7"/>
      <c r="C290" s="6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7"/>
      <c r="C291" s="6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7"/>
      <c r="C292" s="6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7"/>
      <c r="C293" s="6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7"/>
      <c r="C294" s="6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7"/>
      <c r="C295" s="6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7"/>
      <c r="C296" s="6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7"/>
      <c r="C297" s="6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7"/>
      <c r="C298" s="6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7"/>
      <c r="C299" s="6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7"/>
      <c r="C300" s="6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7"/>
      <c r="C301" s="6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7"/>
      <c r="C302" s="6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7"/>
      <c r="C303" s="6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7"/>
      <c r="C304" s="6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7"/>
      <c r="C305" s="6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7"/>
      <c r="C306" s="6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7"/>
      <c r="C307" s="6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7"/>
      <c r="C308" s="6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7"/>
      <c r="C309" s="6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7"/>
      <c r="C310" s="6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7"/>
      <c r="C311" s="6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7"/>
      <c r="C312" s="6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7"/>
      <c r="C313" s="6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7"/>
      <c r="C314" s="6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7"/>
      <c r="C315" s="6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7"/>
      <c r="C316" s="6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7"/>
      <c r="C317" s="6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7"/>
      <c r="C318" s="6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7"/>
      <c r="C319" s="6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7"/>
      <c r="C320" s="6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7"/>
      <c r="C321" s="6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7"/>
      <c r="C322" s="6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7"/>
      <c r="C323" s="6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7"/>
      <c r="C324" s="6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7"/>
      <c r="C325" s="6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7"/>
      <c r="C326" s="6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7"/>
      <c r="C327" s="6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7"/>
      <c r="C328" s="6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7"/>
      <c r="C329" s="6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7"/>
      <c r="C330" s="6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7"/>
      <c r="C331" s="6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7"/>
      <c r="C332" s="6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7"/>
      <c r="C333" s="6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7"/>
      <c r="C334" s="6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7"/>
      <c r="C335" s="6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7"/>
      <c r="C336" s="6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7"/>
      <c r="C337" s="6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7"/>
      <c r="C338" s="6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7"/>
      <c r="C339" s="6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7"/>
      <c r="C340" s="6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7"/>
      <c r="C341" s="6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7"/>
      <c r="C342" s="6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7"/>
      <c r="C343" s="6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7"/>
      <c r="C344" s="6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7"/>
      <c r="C345" s="6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7"/>
      <c r="C346" s="6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7"/>
      <c r="C347" s="6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7"/>
      <c r="C348" s="6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7"/>
      <c r="C349" s="6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7"/>
      <c r="C350" s="6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7"/>
      <c r="C351" s="6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7"/>
      <c r="C352" s="6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7"/>
      <c r="C353" s="6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7"/>
      <c r="C354" s="6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7"/>
      <c r="C355" s="6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7"/>
      <c r="C356" s="6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7"/>
      <c r="C357" s="6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7"/>
      <c r="C358" s="6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7"/>
      <c r="C359" s="6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7"/>
      <c r="C360" s="6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7"/>
      <c r="C361" s="6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7"/>
      <c r="C362" s="6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7"/>
      <c r="C363" s="6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7"/>
      <c r="C364" s="6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7"/>
      <c r="C365" s="6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7"/>
      <c r="C366" s="6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7"/>
      <c r="C367" s="6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7"/>
      <c r="C368" s="6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7"/>
      <c r="C369" s="6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7"/>
      <c r="C370" s="6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7"/>
      <c r="C371" s="6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7"/>
      <c r="C372" s="6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7"/>
      <c r="C373" s="6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7"/>
      <c r="C374" s="6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7"/>
      <c r="C375" s="6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7"/>
      <c r="C376" s="6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7"/>
      <c r="C377" s="6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7"/>
      <c r="C378" s="6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7"/>
      <c r="C379" s="6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7"/>
      <c r="C380" s="6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7"/>
      <c r="C381" s="6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7"/>
      <c r="C382" s="6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7"/>
      <c r="C383" s="6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7"/>
      <c r="C384" s="6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7"/>
      <c r="C385" s="6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7"/>
      <c r="C386" s="6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7"/>
      <c r="C387" s="6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7"/>
      <c r="C388" s="6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7"/>
      <c r="C389" s="6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7"/>
      <c r="C390" s="6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7"/>
      <c r="C391" s="6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7"/>
      <c r="C392" s="6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7"/>
      <c r="C393" s="6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7"/>
      <c r="C394" s="6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7"/>
      <c r="C395" s="6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7"/>
      <c r="C396" s="6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7"/>
      <c r="C397" s="6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7"/>
      <c r="C398" s="6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7"/>
      <c r="C399" s="6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7"/>
      <c r="C400" s="6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7"/>
      <c r="C401" s="6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7"/>
      <c r="C402" s="6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7"/>
      <c r="C403" s="6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7"/>
      <c r="C404" s="6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7"/>
      <c r="C405" s="6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7"/>
      <c r="C406" s="6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7"/>
      <c r="C407" s="6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7"/>
      <c r="C408" s="6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7"/>
      <c r="C409" s="6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7"/>
      <c r="C410" s="6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7"/>
      <c r="C411" s="6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7"/>
      <c r="C412" s="6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7"/>
      <c r="C413" s="6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7"/>
      <c r="C414" s="6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7"/>
      <c r="C415" s="6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7"/>
      <c r="C416" s="6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7"/>
      <c r="C417" s="6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7"/>
      <c r="C418" s="6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7"/>
      <c r="C419" s="6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7"/>
      <c r="C420" s="6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7"/>
      <c r="C421" s="6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7"/>
      <c r="C422" s="6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7"/>
      <c r="C423" s="6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7"/>
      <c r="C424" s="6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7"/>
      <c r="C425" s="6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7"/>
      <c r="C426" s="6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7"/>
      <c r="C427" s="6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7"/>
      <c r="C428" s="6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7"/>
      <c r="C429" s="6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7"/>
      <c r="C430" s="6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7"/>
      <c r="C431" s="6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7"/>
      <c r="C432" s="6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7"/>
      <c r="C433" s="6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7"/>
      <c r="C434" s="6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7"/>
      <c r="C435" s="6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7"/>
      <c r="C436" s="6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7"/>
      <c r="C437" s="6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7"/>
      <c r="C438" s="6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7"/>
      <c r="C439" s="6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7"/>
      <c r="C440" s="6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7"/>
      <c r="C441" s="6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7"/>
      <c r="C442" s="6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7"/>
      <c r="C443" s="6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7"/>
      <c r="C444" s="6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7"/>
      <c r="C445" s="6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7"/>
      <c r="C446" s="6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7"/>
      <c r="C447" s="6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7"/>
      <c r="C448" s="6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7"/>
      <c r="C449" s="6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7"/>
      <c r="C450" s="6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7"/>
      <c r="C451" s="6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7"/>
      <c r="C452" s="6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7"/>
      <c r="C453" s="6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7"/>
      <c r="C454" s="6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7"/>
      <c r="C455" s="6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7"/>
      <c r="C456" s="6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7"/>
      <c r="C457" s="6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7"/>
      <c r="C458" s="6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7"/>
      <c r="C459" s="6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7"/>
      <c r="C460" s="6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7"/>
      <c r="C461" s="6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7"/>
      <c r="C462" s="68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7"/>
      <c r="C463" s="68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7"/>
      <c r="C464" s="68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37"/>
    </row>
    <row r="14" ht="12.75" customHeight="1">
      <c r="A14" s="18"/>
      <c r="B14" s="22" t="s">
        <v>11</v>
      </c>
      <c r="C14" s="23"/>
      <c r="D14" s="19" t="s">
        <v>12</v>
      </c>
      <c r="E14" s="19">
        <v>120.0</v>
      </c>
      <c r="F14" s="19">
        <v>108.0</v>
      </c>
      <c r="G14" s="19">
        <v>121.0</v>
      </c>
      <c r="H14" s="19">
        <v>111.0</v>
      </c>
      <c r="I14" s="19">
        <v>113.0</v>
      </c>
      <c r="J14" s="19">
        <v>114.0</v>
      </c>
      <c r="K14" s="13">
        <f t="shared" ref="K14:K16" si="1">SUM(E14:J14)</f>
        <v>687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115.0</v>
      </c>
      <c r="G15" s="19">
        <v>127.0</v>
      </c>
      <c r="H15" s="19">
        <v>108.0</v>
      </c>
      <c r="I15" s="19">
        <v>99.0</v>
      </c>
      <c r="J15" s="19">
        <v>101.0</v>
      </c>
      <c r="K15" s="13">
        <f t="shared" si="1"/>
        <v>668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238</v>
      </c>
      <c r="F16" s="13">
        <f t="shared" si="2"/>
        <v>223</v>
      </c>
      <c r="G16" s="13">
        <f t="shared" si="2"/>
        <v>248</v>
      </c>
      <c r="H16" s="13">
        <f t="shared" si="2"/>
        <v>219</v>
      </c>
      <c r="I16" s="13">
        <f t="shared" si="2"/>
        <v>212</v>
      </c>
      <c r="J16" s="13">
        <f t="shared" si="2"/>
        <v>215</v>
      </c>
      <c r="K16" s="13">
        <f t="shared" si="1"/>
        <v>1355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90.0</v>
      </c>
      <c r="G19" s="19">
        <v>105.0</v>
      </c>
      <c r="H19" s="19">
        <v>97.0</v>
      </c>
      <c r="I19" s="19">
        <v>91.0</v>
      </c>
      <c r="J19" s="19">
        <v>95.0</v>
      </c>
      <c r="K19" s="13">
        <f t="shared" ref="K19:K30" si="3">SUM(E19:J19)</f>
        <v>583</v>
      </c>
    </row>
    <row r="20" ht="12.75" customHeight="1">
      <c r="A20" s="34"/>
      <c r="B20" s="27"/>
      <c r="C20" s="35"/>
      <c r="D20" s="19" t="s">
        <v>13</v>
      </c>
      <c r="E20" s="19">
        <v>104.0</v>
      </c>
      <c r="F20" s="19">
        <v>95.0</v>
      </c>
      <c r="G20" s="19">
        <v>113.0</v>
      </c>
      <c r="H20" s="19">
        <v>90.0</v>
      </c>
      <c r="I20" s="19">
        <v>91.0</v>
      </c>
      <c r="J20" s="19">
        <v>89.0</v>
      </c>
      <c r="K20" s="13">
        <f t="shared" si="3"/>
        <v>582</v>
      </c>
    </row>
    <row r="21" ht="12.75" customHeight="1">
      <c r="A21" s="36"/>
      <c r="B21" s="28"/>
      <c r="C21" s="37"/>
      <c r="D21" s="13" t="s">
        <v>14</v>
      </c>
      <c r="E21" s="13">
        <f t="shared" ref="E21:J21" si="4">SUM(E19:E20)</f>
        <v>209</v>
      </c>
      <c r="F21" s="13">
        <f t="shared" si="4"/>
        <v>185</v>
      </c>
      <c r="G21" s="13">
        <f t="shared" si="4"/>
        <v>218</v>
      </c>
      <c r="H21" s="13">
        <f t="shared" si="4"/>
        <v>187</v>
      </c>
      <c r="I21" s="13">
        <f t="shared" si="4"/>
        <v>182</v>
      </c>
      <c r="J21" s="13">
        <f t="shared" si="4"/>
        <v>184</v>
      </c>
      <c r="K21" s="13">
        <f t="shared" si="3"/>
        <v>1165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2.0</v>
      </c>
      <c r="F23" s="19">
        <v>2.0</v>
      </c>
      <c r="G23" s="19">
        <v>1.0</v>
      </c>
      <c r="H23" s="19">
        <v>0.0</v>
      </c>
      <c r="I23" s="19">
        <v>0.0</v>
      </c>
      <c r="J23" s="19">
        <v>0.0</v>
      </c>
      <c r="K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J24" si="5">SUM(E22:E23)</f>
        <v>3</v>
      </c>
      <c r="F24" s="13">
        <f t="shared" si="5"/>
        <v>3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3">
        <f t="shared" si="3"/>
        <v>3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J27" si="6">SUM(E25:E26)</f>
        <v>5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J28" si="7">SUM(E19,E22,E25)</f>
        <v>108</v>
      </c>
      <c r="F28" s="13">
        <f t="shared" si="7"/>
        <v>91</v>
      </c>
      <c r="G28" s="13">
        <f t="shared" si="7"/>
        <v>107</v>
      </c>
      <c r="H28" s="13">
        <f t="shared" si="7"/>
        <v>97</v>
      </c>
      <c r="I28" s="13">
        <f t="shared" si="7"/>
        <v>91</v>
      </c>
      <c r="J28" s="13">
        <f t="shared" si="7"/>
        <v>95</v>
      </c>
      <c r="K28" s="13">
        <f t="shared" si="3"/>
        <v>589</v>
      </c>
    </row>
    <row r="29" ht="12.75" customHeight="1">
      <c r="A29" s="36"/>
      <c r="B29" s="27"/>
      <c r="C29" s="35"/>
      <c r="D29" s="13" t="s">
        <v>13</v>
      </c>
      <c r="E29" s="13">
        <f t="shared" ref="E29:J29" si="8">SUM(E20,E23,E26)</f>
        <v>109</v>
      </c>
      <c r="F29" s="13">
        <f t="shared" si="8"/>
        <v>97</v>
      </c>
      <c r="G29" s="13">
        <f t="shared" si="8"/>
        <v>114</v>
      </c>
      <c r="H29" s="13">
        <f t="shared" si="8"/>
        <v>90</v>
      </c>
      <c r="I29" s="13">
        <f t="shared" si="8"/>
        <v>91</v>
      </c>
      <c r="J29" s="13">
        <f t="shared" si="8"/>
        <v>89</v>
      </c>
      <c r="K29" s="13">
        <f t="shared" si="3"/>
        <v>590</v>
      </c>
    </row>
    <row r="30" ht="12.75" customHeight="1">
      <c r="A30" s="36"/>
      <c r="B30" s="28"/>
      <c r="C30" s="37"/>
      <c r="D30" s="13" t="s">
        <v>14</v>
      </c>
      <c r="E30" s="13">
        <f t="shared" ref="E30:J30" si="9">SUM(E28:E29)</f>
        <v>217</v>
      </c>
      <c r="F30" s="13">
        <f t="shared" si="9"/>
        <v>188</v>
      </c>
      <c r="G30" s="13">
        <f t="shared" si="9"/>
        <v>221</v>
      </c>
      <c r="H30" s="13">
        <f t="shared" si="9"/>
        <v>187</v>
      </c>
      <c r="I30" s="13">
        <f t="shared" si="9"/>
        <v>182</v>
      </c>
      <c r="J30" s="13">
        <f t="shared" si="9"/>
        <v>184</v>
      </c>
      <c r="K30" s="13">
        <f t="shared" si="3"/>
        <v>1179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0"/>
    </row>
    <row r="33" ht="12.75" customHeight="1">
      <c r="A33" s="19">
        <v>1.0</v>
      </c>
      <c r="B33" s="20" t="s">
        <v>27</v>
      </c>
      <c r="C33" s="15"/>
      <c r="D33" s="16"/>
      <c r="E33" s="19">
        <v>243.0</v>
      </c>
      <c r="F33" s="19">
        <v>222.0</v>
      </c>
      <c r="G33" s="19">
        <v>253.0</v>
      </c>
      <c r="H33" s="19">
        <v>224.0</v>
      </c>
      <c r="I33" s="19">
        <v>218.0</v>
      </c>
      <c r="J33" s="19">
        <v>220.0</v>
      </c>
      <c r="K33" s="13">
        <f t="shared" ref="K33:K36" si="10">SUM(E33:J33)</f>
        <v>1380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188.0</v>
      </c>
      <c r="G34" s="13">
        <v>221.0</v>
      </c>
      <c r="H34" s="13">
        <v>187.0</v>
      </c>
      <c r="I34" s="13">
        <v>182.0</v>
      </c>
      <c r="J34" s="13">
        <v>184.0</v>
      </c>
      <c r="K34" s="13">
        <f t="shared" si="10"/>
        <v>1179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1.0</v>
      </c>
      <c r="I35" s="19">
        <v>1.0</v>
      </c>
      <c r="J35" s="19">
        <v>0.0</v>
      </c>
      <c r="K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26</v>
      </c>
      <c r="F36" s="13">
        <f t="shared" si="11"/>
        <v>33</v>
      </c>
      <c r="G36" s="13">
        <f t="shared" si="11"/>
        <v>32</v>
      </c>
      <c r="H36" s="13">
        <f t="shared" si="11"/>
        <v>36</v>
      </c>
      <c r="I36" s="13">
        <f t="shared" si="11"/>
        <v>35</v>
      </c>
      <c r="J36" s="13">
        <f t="shared" si="11"/>
        <v>36</v>
      </c>
      <c r="K36" s="13">
        <f t="shared" si="10"/>
        <v>198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3">
        <f t="shared" ref="K39:K41" si="12">SUM(E39:J39)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4.0</v>
      </c>
      <c r="F45" s="19">
        <v>2.0</v>
      </c>
      <c r="G45" s="19">
        <v>2.0</v>
      </c>
      <c r="H45" s="19">
        <v>16.0</v>
      </c>
      <c r="I45" s="19">
        <v>10.0</v>
      </c>
      <c r="J45" s="19">
        <v>13.0</v>
      </c>
      <c r="K45" s="13">
        <f t="shared" ref="K45:K55" si="14">SUM(E45:J45)</f>
        <v>47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25.0</v>
      </c>
      <c r="F46" s="19">
        <v>19.0</v>
      </c>
      <c r="G46" s="19">
        <v>30.0</v>
      </c>
      <c r="H46" s="19">
        <v>25.0</v>
      </c>
      <c r="I46" s="19">
        <v>23.0</v>
      </c>
      <c r="J46" s="19">
        <v>42.0</v>
      </c>
      <c r="K46" s="13">
        <f t="shared" si="14"/>
        <v>164</v>
      </c>
    </row>
    <row r="47" ht="12.75" customHeight="1">
      <c r="A47" s="18"/>
      <c r="B47" s="57">
        <v>2.0</v>
      </c>
      <c r="C47" s="52" t="s">
        <v>41</v>
      </c>
      <c r="D47" s="16"/>
      <c r="E47" s="19">
        <v>5.0</v>
      </c>
      <c r="F47" s="19">
        <v>0.0</v>
      </c>
      <c r="G47" s="19">
        <v>2.0</v>
      </c>
      <c r="H47" s="19">
        <v>23.0</v>
      </c>
      <c r="I47" s="19">
        <v>12.0</v>
      </c>
      <c r="J47" s="19">
        <v>12.0</v>
      </c>
      <c r="K47" s="13">
        <f t="shared" si="14"/>
        <v>54</v>
      </c>
    </row>
    <row r="48" ht="12.75" customHeight="1">
      <c r="A48" s="18"/>
      <c r="B48" s="57">
        <v>3.0</v>
      </c>
      <c r="C48" s="52" t="s">
        <v>42</v>
      </c>
      <c r="D48" s="16"/>
      <c r="E48" s="19">
        <v>1.0</v>
      </c>
      <c r="F48" s="19">
        <v>0.0</v>
      </c>
      <c r="G48" s="19">
        <v>0.0</v>
      </c>
      <c r="H48" s="19">
        <v>2.0</v>
      </c>
      <c r="I48" s="19">
        <v>1.0</v>
      </c>
      <c r="J48" s="19">
        <v>1.0</v>
      </c>
      <c r="K48" s="13">
        <f t="shared" si="14"/>
        <v>5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0.0</v>
      </c>
      <c r="K49" s="13">
        <f t="shared" si="14"/>
        <v>1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1.0</v>
      </c>
      <c r="J50" s="19">
        <v>2.0</v>
      </c>
      <c r="K50" s="13">
        <f t="shared" si="14"/>
        <v>4</v>
      </c>
    </row>
    <row r="51" ht="12.75" customHeight="1">
      <c r="A51" s="18"/>
      <c r="B51" s="57">
        <v>6.0</v>
      </c>
      <c r="C51" s="52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3">
        <f t="shared" si="14"/>
        <v>2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3">
        <f t="shared" si="14"/>
        <v>0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J55" si="15">SUM(E45:E52)</f>
        <v>36</v>
      </c>
      <c r="F55" s="13">
        <f t="shared" si="15"/>
        <v>22</v>
      </c>
      <c r="G55" s="13">
        <f t="shared" si="15"/>
        <v>34</v>
      </c>
      <c r="H55" s="13">
        <f t="shared" si="15"/>
        <v>67</v>
      </c>
      <c r="I55" s="13">
        <f t="shared" si="15"/>
        <v>48</v>
      </c>
      <c r="J55" s="13">
        <f t="shared" si="15"/>
        <v>70</v>
      </c>
      <c r="K55" s="13">
        <f t="shared" si="14"/>
        <v>277</v>
      </c>
    </row>
    <row r="56" ht="12.75" customHeight="1">
      <c r="A56" s="47"/>
      <c r="B56" s="46"/>
      <c r="C56" s="46"/>
      <c r="D56" s="46"/>
      <c r="E56" s="46"/>
      <c r="K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6.0</v>
      </c>
      <c r="F57" s="19">
        <v>5.0</v>
      </c>
      <c r="G57" s="19">
        <v>3.0</v>
      </c>
      <c r="H57" s="19">
        <v>9.0</v>
      </c>
      <c r="I57" s="19">
        <v>6.0</v>
      </c>
      <c r="J57" s="19">
        <v>8.0</v>
      </c>
      <c r="K57" s="13">
        <f t="shared" ref="K57:K67" si="16">SUM(E57:J57)</f>
        <v>37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10.0</v>
      </c>
      <c r="F58" s="19">
        <v>15.0</v>
      </c>
      <c r="G58" s="19">
        <v>17.0</v>
      </c>
      <c r="H58" s="19">
        <v>3.0</v>
      </c>
      <c r="I58" s="19">
        <v>13.0</v>
      </c>
      <c r="J58" s="19">
        <v>16.0</v>
      </c>
      <c r="K58" s="13">
        <f t="shared" si="16"/>
        <v>74</v>
      </c>
    </row>
    <row r="59" ht="12.75" customHeight="1">
      <c r="A59" s="18"/>
      <c r="B59" s="57">
        <v>2.0</v>
      </c>
      <c r="C59" s="52" t="s">
        <v>50</v>
      </c>
      <c r="D59" s="58"/>
      <c r="E59" s="19">
        <v>1.0</v>
      </c>
      <c r="F59" s="19">
        <v>4.0</v>
      </c>
      <c r="G59" s="19">
        <v>5.0</v>
      </c>
      <c r="H59" s="19">
        <v>4.0</v>
      </c>
      <c r="I59" s="19">
        <v>2.0</v>
      </c>
      <c r="J59" s="19">
        <v>0.0</v>
      </c>
      <c r="K59" s="13">
        <f t="shared" si="16"/>
        <v>16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0.0</v>
      </c>
      <c r="G60" s="19">
        <v>0.0</v>
      </c>
      <c r="H60" s="19">
        <v>2.0</v>
      </c>
      <c r="I60" s="19">
        <v>1.0</v>
      </c>
      <c r="J60" s="19">
        <v>1.0</v>
      </c>
      <c r="K60" s="13">
        <f t="shared" si="16"/>
        <v>5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1.0</v>
      </c>
      <c r="G61" s="19">
        <v>1.0</v>
      </c>
      <c r="H61" s="19">
        <v>0.0</v>
      </c>
      <c r="I61" s="19">
        <v>0.0</v>
      </c>
      <c r="J61" s="19">
        <v>1.0</v>
      </c>
      <c r="K61" s="13">
        <f t="shared" si="16"/>
        <v>4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3">
        <f t="shared" si="16"/>
        <v>0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3">
        <f t="shared" si="16"/>
        <v>0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3">
        <f t="shared" si="16"/>
        <v>0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J67" si="17">SUM(E57:E64)</f>
        <v>19</v>
      </c>
      <c r="F67" s="13">
        <f t="shared" si="17"/>
        <v>25</v>
      </c>
      <c r="G67" s="13">
        <f t="shared" si="17"/>
        <v>26</v>
      </c>
      <c r="H67" s="13">
        <f t="shared" si="17"/>
        <v>18</v>
      </c>
      <c r="I67" s="13">
        <f t="shared" si="17"/>
        <v>22</v>
      </c>
      <c r="J67" s="13">
        <f t="shared" si="17"/>
        <v>26</v>
      </c>
      <c r="K67" s="13">
        <f t="shared" si="16"/>
        <v>136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0.0</v>
      </c>
      <c r="F69" s="19">
        <v>0.0</v>
      </c>
      <c r="G69" s="19">
        <v>2.0</v>
      </c>
      <c r="H69" s="19">
        <v>7.0</v>
      </c>
      <c r="I69" s="19">
        <v>12.0</v>
      </c>
      <c r="J69" s="19">
        <v>6.0</v>
      </c>
      <c r="K69" s="13">
        <f t="shared" ref="K69:K79" si="18">SUM(E69:J69)</f>
        <v>27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3.0</v>
      </c>
      <c r="F70" s="19">
        <v>5.0</v>
      </c>
      <c r="G70" s="19">
        <v>2.0</v>
      </c>
      <c r="H70" s="19">
        <v>1.0</v>
      </c>
      <c r="I70" s="19">
        <v>4.0</v>
      </c>
      <c r="J70" s="19">
        <v>4.0</v>
      </c>
      <c r="K70" s="13">
        <f t="shared" si="18"/>
        <v>19</v>
      </c>
    </row>
    <row r="71" ht="12.75" customHeight="1">
      <c r="A71" s="18"/>
      <c r="B71" s="57">
        <v>2.0</v>
      </c>
      <c r="C71" s="52" t="s">
        <v>58</v>
      </c>
      <c r="D71" s="60"/>
      <c r="E71" s="19">
        <v>0.0</v>
      </c>
      <c r="F71" s="19">
        <v>0.0</v>
      </c>
      <c r="G71" s="19">
        <v>1.0</v>
      </c>
      <c r="H71" s="19">
        <v>1.0</v>
      </c>
      <c r="I71" s="19">
        <v>2.0</v>
      </c>
      <c r="J71" s="19">
        <v>2.0</v>
      </c>
      <c r="K71" s="13">
        <f t="shared" si="18"/>
        <v>6</v>
      </c>
    </row>
    <row r="72" ht="12.75" customHeight="1">
      <c r="A72" s="18"/>
      <c r="B72" s="57">
        <v>3.0</v>
      </c>
      <c r="C72" s="52" t="s">
        <v>59</v>
      </c>
      <c r="D72" s="60"/>
      <c r="E72" s="19">
        <v>0.0</v>
      </c>
      <c r="F72" s="19">
        <v>2.0</v>
      </c>
      <c r="G72" s="19">
        <v>12.0</v>
      </c>
      <c r="H72" s="19">
        <v>16.0</v>
      </c>
      <c r="I72" s="19">
        <v>25.0</v>
      </c>
      <c r="J72" s="19">
        <v>21.0</v>
      </c>
      <c r="K72" s="13">
        <f t="shared" si="18"/>
        <v>76</v>
      </c>
    </row>
    <row r="73" ht="12.75" customHeight="1">
      <c r="A73" s="18"/>
      <c r="B73" s="57">
        <v>4.0</v>
      </c>
      <c r="C73" s="52" t="s">
        <v>60</v>
      </c>
      <c r="D73" s="60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3">
        <f t="shared" si="18"/>
        <v>2</v>
      </c>
    </row>
    <row r="74" ht="12.75" customHeight="1">
      <c r="A74" s="18"/>
      <c r="B74" s="57">
        <v>5.0</v>
      </c>
      <c r="C74" s="52" t="s">
        <v>61</v>
      </c>
      <c r="D74" s="60"/>
      <c r="E74" s="19">
        <v>0.0</v>
      </c>
      <c r="F74" s="19">
        <v>20.0</v>
      </c>
      <c r="G74" s="19">
        <v>42.0</v>
      </c>
      <c r="H74" s="19">
        <v>1.0</v>
      </c>
      <c r="I74" s="19">
        <v>3.0</v>
      </c>
      <c r="J74" s="19">
        <v>7.0</v>
      </c>
      <c r="K74" s="13">
        <f t="shared" si="18"/>
        <v>73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0.0</v>
      </c>
      <c r="H75" s="19">
        <v>1.0</v>
      </c>
      <c r="I75" s="19">
        <v>0.0</v>
      </c>
      <c r="J75" s="19">
        <v>0.0</v>
      </c>
      <c r="K75" s="13">
        <f t="shared" si="18"/>
        <v>1</v>
      </c>
    </row>
    <row r="76" ht="12.75" customHeight="1">
      <c r="A76" s="18"/>
      <c r="B76" s="57">
        <v>7.0</v>
      </c>
      <c r="C76" s="52" t="s">
        <v>63</v>
      </c>
      <c r="D76" s="60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3">
        <f t="shared" si="18"/>
        <v>1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J79" si="19">SUM(E69:E76)</f>
        <v>5</v>
      </c>
      <c r="F79" s="13">
        <f t="shared" si="19"/>
        <v>27</v>
      </c>
      <c r="G79" s="13">
        <f t="shared" si="19"/>
        <v>59</v>
      </c>
      <c r="H79" s="13">
        <f t="shared" si="19"/>
        <v>27</v>
      </c>
      <c r="I79" s="13">
        <f t="shared" si="19"/>
        <v>46</v>
      </c>
      <c r="J79" s="13">
        <f t="shared" si="19"/>
        <v>41</v>
      </c>
      <c r="K79" s="13">
        <f t="shared" si="18"/>
        <v>205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5.0</v>
      </c>
      <c r="F81" s="19">
        <v>4.0</v>
      </c>
      <c r="G81" s="19">
        <v>3.0</v>
      </c>
      <c r="H81" s="19">
        <v>3.0</v>
      </c>
      <c r="I81" s="19">
        <v>5.0</v>
      </c>
      <c r="J81" s="19">
        <v>1.0</v>
      </c>
      <c r="K81" s="13">
        <f t="shared" ref="K81:K91" si="20">SUM(E81:J81)</f>
        <v>21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95.0</v>
      </c>
      <c r="F82" s="19">
        <v>43.0</v>
      </c>
      <c r="G82" s="19">
        <v>37.0</v>
      </c>
      <c r="H82" s="19">
        <v>6.0</v>
      </c>
      <c r="I82" s="19">
        <v>1.0</v>
      </c>
      <c r="J82" s="19">
        <v>6.0</v>
      </c>
      <c r="K82" s="13">
        <f t="shared" si="20"/>
        <v>188</v>
      </c>
    </row>
    <row r="83" ht="12.75" customHeight="1">
      <c r="A83" s="18"/>
      <c r="B83" s="57">
        <v>2.0</v>
      </c>
      <c r="C83" s="52" t="s">
        <v>66</v>
      </c>
      <c r="D83" s="60"/>
      <c r="E83" s="19">
        <v>3.0</v>
      </c>
      <c r="F83" s="19">
        <v>1.0</v>
      </c>
      <c r="G83" s="19">
        <v>3.0</v>
      </c>
      <c r="H83" s="19">
        <v>2.0</v>
      </c>
      <c r="I83" s="19">
        <v>1.0</v>
      </c>
      <c r="J83" s="19">
        <v>1.0</v>
      </c>
      <c r="K83" s="13">
        <f t="shared" si="20"/>
        <v>11</v>
      </c>
    </row>
    <row r="84" ht="12.75" customHeight="1">
      <c r="A84" s="18"/>
      <c r="B84" s="57">
        <v>3.0</v>
      </c>
      <c r="C84" s="52" t="s">
        <v>67</v>
      </c>
      <c r="D84" s="60"/>
      <c r="E84" s="19">
        <v>2.0</v>
      </c>
      <c r="F84" s="19">
        <v>0.0</v>
      </c>
      <c r="G84" s="19">
        <v>0.0</v>
      </c>
      <c r="H84" s="19">
        <v>0.0</v>
      </c>
      <c r="I84" s="19">
        <v>0.0</v>
      </c>
      <c r="J84" s="19">
        <v>1.0</v>
      </c>
      <c r="K84" s="13">
        <f t="shared" si="20"/>
        <v>3</v>
      </c>
    </row>
    <row r="85" ht="12.75" customHeight="1">
      <c r="A85" s="18"/>
      <c r="B85" s="57">
        <v>4.0</v>
      </c>
      <c r="C85" s="52" t="s">
        <v>68</v>
      </c>
      <c r="D85" s="60"/>
      <c r="E85" s="19">
        <v>1.0</v>
      </c>
      <c r="F85" s="19">
        <v>2.0</v>
      </c>
      <c r="G85" s="19">
        <v>0.0</v>
      </c>
      <c r="H85" s="19">
        <v>2.0</v>
      </c>
      <c r="I85" s="19">
        <v>0.0</v>
      </c>
      <c r="J85" s="19">
        <v>0.0</v>
      </c>
      <c r="K85" s="13">
        <f t="shared" si="20"/>
        <v>5</v>
      </c>
    </row>
    <row r="86" ht="12.75" customHeight="1">
      <c r="A86" s="18"/>
      <c r="B86" s="57">
        <v>5.0</v>
      </c>
      <c r="C86" s="52" t="s">
        <v>69</v>
      </c>
      <c r="D86" s="60"/>
      <c r="E86" s="19">
        <v>7.0</v>
      </c>
      <c r="F86" s="19">
        <v>8.0</v>
      </c>
      <c r="G86" s="19">
        <v>8.0</v>
      </c>
      <c r="H86" s="19">
        <v>10.0</v>
      </c>
      <c r="I86" s="19">
        <v>12.0</v>
      </c>
      <c r="J86" s="19">
        <v>2.0</v>
      </c>
      <c r="K86" s="13">
        <f t="shared" si="20"/>
        <v>47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3">
        <f t="shared" si="20"/>
        <v>0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3">
        <f t="shared" si="20"/>
        <v>1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J91" si="21">SUM(E81:E88)</f>
        <v>113</v>
      </c>
      <c r="F91" s="13">
        <f t="shared" si="21"/>
        <v>58</v>
      </c>
      <c r="G91" s="13">
        <f t="shared" si="21"/>
        <v>51</v>
      </c>
      <c r="H91" s="13">
        <f t="shared" si="21"/>
        <v>23</v>
      </c>
      <c r="I91" s="13">
        <f t="shared" si="21"/>
        <v>19</v>
      </c>
      <c r="J91" s="13">
        <f t="shared" si="21"/>
        <v>12</v>
      </c>
      <c r="K91" s="13">
        <f t="shared" si="20"/>
        <v>276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1.0</v>
      </c>
      <c r="G93" s="19">
        <v>0.0</v>
      </c>
      <c r="H93" s="19">
        <v>1.0</v>
      </c>
      <c r="I93" s="19">
        <v>1.0</v>
      </c>
      <c r="J93" s="19">
        <v>0.0</v>
      </c>
      <c r="K93" s="13">
        <f t="shared" ref="K93:K103" si="22">SUM(E93:J93)</f>
        <v>3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0.0</v>
      </c>
      <c r="F94" s="19">
        <v>1.0</v>
      </c>
      <c r="G94" s="19">
        <v>1.0</v>
      </c>
      <c r="H94" s="19">
        <v>3.0</v>
      </c>
      <c r="I94" s="19">
        <v>3.0</v>
      </c>
      <c r="J94" s="19">
        <v>0.0</v>
      </c>
      <c r="K94" s="13">
        <f t="shared" si="22"/>
        <v>8</v>
      </c>
    </row>
    <row r="95" ht="12.75" customHeight="1">
      <c r="A95" s="18"/>
      <c r="B95" s="57">
        <v>2.0</v>
      </c>
      <c r="C95" s="52" t="s">
        <v>75</v>
      </c>
      <c r="D95" s="60"/>
      <c r="E95" s="19">
        <v>4.0</v>
      </c>
      <c r="F95" s="19">
        <v>12.0</v>
      </c>
      <c r="G95" s="19">
        <v>0.0</v>
      </c>
      <c r="H95" s="19">
        <v>8.0</v>
      </c>
      <c r="I95" s="19">
        <v>12.0</v>
      </c>
      <c r="J95" s="19">
        <v>11.0</v>
      </c>
      <c r="K95" s="13">
        <f t="shared" si="22"/>
        <v>47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1.0</v>
      </c>
      <c r="I96" s="19">
        <v>1.0</v>
      </c>
      <c r="J96" s="19">
        <v>0.0</v>
      </c>
      <c r="K96" s="13">
        <f t="shared" si="22"/>
        <v>2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2.0</v>
      </c>
      <c r="G97" s="19">
        <v>4.0</v>
      </c>
      <c r="H97" s="19">
        <v>0.0</v>
      </c>
      <c r="I97" s="19">
        <v>0.0</v>
      </c>
      <c r="J97" s="19">
        <v>0.0</v>
      </c>
      <c r="K97" s="13">
        <f t="shared" si="22"/>
        <v>6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3">
        <f t="shared" si="22"/>
        <v>0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3">
        <f t="shared" si="22"/>
        <v>0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J103" si="23">SUM(E93:E100)</f>
        <v>4</v>
      </c>
      <c r="F103" s="13">
        <f t="shared" si="23"/>
        <v>16</v>
      </c>
      <c r="G103" s="13">
        <f t="shared" si="23"/>
        <v>5</v>
      </c>
      <c r="H103" s="13">
        <f t="shared" si="23"/>
        <v>13</v>
      </c>
      <c r="I103" s="13">
        <f t="shared" si="23"/>
        <v>17</v>
      </c>
      <c r="J103" s="13">
        <f t="shared" si="23"/>
        <v>11</v>
      </c>
      <c r="K103" s="13">
        <f t="shared" si="22"/>
        <v>66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3">
        <f t="shared" ref="K105:K115" si="24">SUM(E105:J105)</f>
        <v>0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3">
        <f t="shared" si="24"/>
        <v>1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J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4"/>
        <v>2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4.0</v>
      </c>
      <c r="F117" s="19">
        <v>1.0</v>
      </c>
      <c r="G117" s="19">
        <v>1.0</v>
      </c>
      <c r="H117" s="19">
        <v>2.0</v>
      </c>
      <c r="I117" s="19">
        <v>3.0</v>
      </c>
      <c r="J117" s="19">
        <v>2.0</v>
      </c>
      <c r="K117" s="13">
        <f t="shared" ref="K117:K127" si="26">SUM(E117:J117)</f>
        <v>13</v>
      </c>
      <c r="L117" s="5"/>
      <c r="M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3.0</v>
      </c>
      <c r="F118" s="19">
        <v>2.0</v>
      </c>
      <c r="G118" s="19">
        <v>2.0</v>
      </c>
      <c r="H118" s="19">
        <v>4.0</v>
      </c>
      <c r="I118" s="19">
        <v>0.0</v>
      </c>
      <c r="J118" s="19">
        <v>1.0</v>
      </c>
      <c r="K118" s="13">
        <f t="shared" si="26"/>
        <v>12</v>
      </c>
      <c r="L118" s="5"/>
      <c r="M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3">
        <f t="shared" si="26"/>
        <v>0</v>
      </c>
      <c r="L119" s="5"/>
      <c r="M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3">
        <f t="shared" si="26"/>
        <v>0</v>
      </c>
      <c r="L120" s="5"/>
      <c r="M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3">
        <f t="shared" si="26"/>
        <v>0</v>
      </c>
      <c r="L121" s="5"/>
      <c r="M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3">
        <f t="shared" si="26"/>
        <v>0</v>
      </c>
      <c r="L122" s="5"/>
      <c r="M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13">
        <f t="shared" si="26"/>
        <v>0</v>
      </c>
      <c r="L123" s="5"/>
      <c r="M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13">
        <f t="shared" si="26"/>
        <v>0</v>
      </c>
      <c r="L124" s="5"/>
      <c r="M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13">
        <f t="shared" si="26"/>
        <v>0</v>
      </c>
      <c r="L125" s="5"/>
      <c r="M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13">
        <f t="shared" si="26"/>
        <v>0</v>
      </c>
      <c r="L126" s="5"/>
      <c r="M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J127" si="27">SUM(E117:E120)</f>
        <v>7</v>
      </c>
      <c r="F127" s="61">
        <f t="shared" si="27"/>
        <v>3</v>
      </c>
      <c r="G127" s="61">
        <f t="shared" si="27"/>
        <v>3</v>
      </c>
      <c r="H127" s="61">
        <f t="shared" si="27"/>
        <v>6</v>
      </c>
      <c r="I127" s="61">
        <f t="shared" si="27"/>
        <v>3</v>
      </c>
      <c r="J127" s="61">
        <f t="shared" si="27"/>
        <v>3</v>
      </c>
      <c r="K127" s="13">
        <f t="shared" si="26"/>
        <v>25</v>
      </c>
      <c r="L127" s="5"/>
      <c r="M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5"/>
      <c r="M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2.0</v>
      </c>
      <c r="J129" s="19">
        <v>1.0</v>
      </c>
      <c r="K129" s="13">
        <f t="shared" ref="K129:K139" si="28">SUM(E129:J129)</f>
        <v>4</v>
      </c>
      <c r="L129" s="5"/>
      <c r="M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6.0</v>
      </c>
      <c r="F130" s="19">
        <v>1.0</v>
      </c>
      <c r="G130" s="19">
        <v>2.0</v>
      </c>
      <c r="H130" s="19">
        <v>4.0</v>
      </c>
      <c r="I130" s="19">
        <v>1.0</v>
      </c>
      <c r="J130" s="19">
        <v>0.0</v>
      </c>
      <c r="K130" s="13">
        <f t="shared" si="28"/>
        <v>14</v>
      </c>
      <c r="L130" s="1"/>
      <c r="M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3">
        <f t="shared" si="28"/>
        <v>0</v>
      </c>
      <c r="L131" s="54"/>
      <c r="M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3">
        <f t="shared" si="28"/>
        <v>0</v>
      </c>
      <c r="L132" s="5"/>
      <c r="M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3">
        <f t="shared" si="28"/>
        <v>0</v>
      </c>
      <c r="L133" s="5"/>
      <c r="M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3">
        <f t="shared" si="28"/>
        <v>0</v>
      </c>
      <c r="L134" s="5"/>
      <c r="M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3">
        <f t="shared" si="28"/>
        <v>0</v>
      </c>
      <c r="L135" s="5"/>
      <c r="M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3">
        <f t="shared" si="28"/>
        <v>0</v>
      </c>
      <c r="L136" s="5"/>
      <c r="M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3">
        <f t="shared" si="28"/>
        <v>0</v>
      </c>
      <c r="L137" s="5"/>
      <c r="M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3">
        <f t="shared" si="28"/>
        <v>0</v>
      </c>
      <c r="L138" s="5"/>
      <c r="M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J139" si="29">SUM(E129:E136)</f>
        <v>6</v>
      </c>
      <c r="F139" s="13">
        <f t="shared" si="29"/>
        <v>2</v>
      </c>
      <c r="G139" s="13">
        <f t="shared" si="29"/>
        <v>2</v>
      </c>
      <c r="H139" s="13">
        <f t="shared" si="29"/>
        <v>4</v>
      </c>
      <c r="I139" s="13">
        <f t="shared" si="29"/>
        <v>3</v>
      </c>
      <c r="J139" s="13">
        <f t="shared" si="29"/>
        <v>1</v>
      </c>
      <c r="K139" s="13">
        <f t="shared" si="28"/>
        <v>18</v>
      </c>
      <c r="L139" s="5"/>
      <c r="M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5"/>
      <c r="M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3">
        <f t="shared" ref="K141:K151" si="30">SUM(E141:J141)</f>
        <v>1</v>
      </c>
      <c r="L141" s="1"/>
      <c r="M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3">
        <f t="shared" si="30"/>
        <v>0</v>
      </c>
      <c r="L142" s="54"/>
      <c r="M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3">
        <f t="shared" si="30"/>
        <v>0</v>
      </c>
      <c r="L143" s="5"/>
      <c r="M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3">
        <f t="shared" si="30"/>
        <v>0</v>
      </c>
      <c r="L144" s="5"/>
      <c r="M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3">
        <f t="shared" si="30"/>
        <v>0</v>
      </c>
      <c r="L145" s="5"/>
      <c r="M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3">
        <f t="shared" si="30"/>
        <v>0</v>
      </c>
      <c r="L146" s="5"/>
      <c r="M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3">
        <f t="shared" si="30"/>
        <v>0</v>
      </c>
      <c r="L147" s="5"/>
      <c r="M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3">
        <f t="shared" si="30"/>
        <v>0</v>
      </c>
      <c r="L148" s="5"/>
      <c r="M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3">
        <f t="shared" si="30"/>
        <v>0</v>
      </c>
      <c r="L149" s="5"/>
      <c r="M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3">
        <f t="shared" si="30"/>
        <v>0</v>
      </c>
      <c r="L150" s="5"/>
      <c r="M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J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0"/>
        <v>1</v>
      </c>
      <c r="L151" s="1"/>
      <c r="M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13"/>
      <c r="L152" s="54"/>
      <c r="M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3">
        <f t="shared" ref="K153:K162" si="32">SUM(E153:J153)</f>
        <v>0</v>
      </c>
      <c r="L153" s="5"/>
      <c r="M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3">
        <f t="shared" si="32"/>
        <v>0</v>
      </c>
      <c r="L154" s="5"/>
      <c r="M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3">
        <f t="shared" si="32"/>
        <v>0</v>
      </c>
      <c r="L155" s="5"/>
      <c r="M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3">
        <f t="shared" si="32"/>
        <v>0</v>
      </c>
      <c r="L156" s="5"/>
      <c r="M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3">
        <f t="shared" si="32"/>
        <v>0</v>
      </c>
      <c r="L157" s="5"/>
      <c r="M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3">
        <f t="shared" si="32"/>
        <v>0</v>
      </c>
      <c r="L158" s="5"/>
      <c r="M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3">
        <f t="shared" si="32"/>
        <v>0</v>
      </c>
      <c r="L159" s="5"/>
      <c r="M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3">
        <f t="shared" si="32"/>
        <v>0</v>
      </c>
      <c r="L160" s="5"/>
      <c r="M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3">
        <f t="shared" si="32"/>
        <v>0</v>
      </c>
      <c r="L161" s="5"/>
      <c r="M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3">
        <f t="shared" si="32"/>
        <v>0</v>
      </c>
      <c r="L162" s="5"/>
      <c r="M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J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>SUM(E164:J164)</f>
        <v>0</v>
      </c>
      <c r="L163" s="5"/>
      <c r="M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5"/>
      <c r="M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3">
        <f t="shared" ref="K165:K175" si="34">SUM(E165:J165)</f>
        <v>0</v>
      </c>
      <c r="L165" s="1"/>
      <c r="M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3">
        <f t="shared" si="34"/>
        <v>0</v>
      </c>
      <c r="L166" s="54"/>
      <c r="M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3">
        <f t="shared" si="34"/>
        <v>0</v>
      </c>
      <c r="L167" s="5"/>
      <c r="M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3">
        <f t="shared" si="34"/>
        <v>0</v>
      </c>
      <c r="L168" s="5"/>
      <c r="M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3">
        <f t="shared" si="34"/>
        <v>0</v>
      </c>
      <c r="L169" s="5"/>
      <c r="M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3">
        <f t="shared" si="34"/>
        <v>0</v>
      </c>
      <c r="L170" s="5"/>
      <c r="M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3">
        <f t="shared" si="34"/>
        <v>0</v>
      </c>
      <c r="L171" s="5"/>
      <c r="M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3">
        <f t="shared" si="34"/>
        <v>0</v>
      </c>
      <c r="L172" s="5"/>
      <c r="M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3">
        <f t="shared" si="34"/>
        <v>0</v>
      </c>
      <c r="L173" s="5"/>
      <c r="M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3">
        <f t="shared" si="34"/>
        <v>0</v>
      </c>
      <c r="L174" s="5"/>
      <c r="M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J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4"/>
        <v>0</v>
      </c>
      <c r="L175" s="5"/>
      <c r="M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1"/>
      <c r="M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0.0</v>
      </c>
      <c r="J177" s="19">
        <v>0.0</v>
      </c>
      <c r="K177" s="13">
        <f t="shared" ref="K177:K187" si="36">SUM(E177:J177)</f>
        <v>1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1.0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3">
        <f t="shared" si="36"/>
        <v>2</v>
      </c>
      <c r="L178" s="5"/>
      <c r="M178" s="5"/>
    </row>
    <row r="179" ht="12.75" customHeight="1">
      <c r="A179" s="18"/>
      <c r="B179" s="57">
        <v>2.0</v>
      </c>
      <c r="C179" s="52" t="s">
        <v>131</v>
      </c>
      <c r="D179" s="60"/>
      <c r="E179" s="19">
        <v>1.0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3">
        <f t="shared" si="36"/>
        <v>2</v>
      </c>
      <c r="L179" s="5"/>
      <c r="M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3">
        <f t="shared" si="36"/>
        <v>0</v>
      </c>
      <c r="L180" s="5"/>
      <c r="M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3">
        <f t="shared" si="36"/>
        <v>0</v>
      </c>
      <c r="L181" s="5"/>
      <c r="M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3">
        <f t="shared" si="36"/>
        <v>0</v>
      </c>
      <c r="L182" s="5"/>
      <c r="M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3">
        <f t="shared" si="36"/>
        <v>0</v>
      </c>
      <c r="L183" s="5"/>
      <c r="M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3">
        <f t="shared" si="36"/>
        <v>0</v>
      </c>
      <c r="L184" s="5"/>
      <c r="M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3">
        <f t="shared" si="36"/>
        <v>0</v>
      </c>
      <c r="L185" s="5"/>
      <c r="M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3">
        <f t="shared" si="36"/>
        <v>0</v>
      </c>
      <c r="L186" s="5"/>
      <c r="M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J187" si="37">SUM(E177:E184)</f>
        <v>2</v>
      </c>
      <c r="F187" s="13">
        <f t="shared" si="37"/>
        <v>2</v>
      </c>
      <c r="G187" s="13">
        <f t="shared" si="37"/>
        <v>1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6"/>
        <v>5</v>
      </c>
      <c r="L187" s="1"/>
      <c r="M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3">
        <f t="shared" ref="K189:K199" si="38">SUM(E189:J189)</f>
        <v>0</v>
      </c>
      <c r="L189" s="5"/>
      <c r="M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3">
        <f t="shared" si="38"/>
        <v>1</v>
      </c>
      <c r="L190" s="5"/>
      <c r="M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2.0</v>
      </c>
      <c r="G191" s="19">
        <v>1.0</v>
      </c>
      <c r="H191" s="19">
        <v>0.0</v>
      </c>
      <c r="I191" s="19">
        <v>0.0</v>
      </c>
      <c r="J191" s="19">
        <v>0.0</v>
      </c>
      <c r="K191" s="13">
        <f t="shared" si="38"/>
        <v>3</v>
      </c>
      <c r="L191" s="5"/>
      <c r="M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3">
        <f t="shared" si="38"/>
        <v>0</v>
      </c>
      <c r="L192" s="5"/>
      <c r="M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3">
        <f t="shared" si="38"/>
        <v>0</v>
      </c>
      <c r="L193" s="5"/>
      <c r="M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3">
        <f t="shared" si="38"/>
        <v>0</v>
      </c>
      <c r="L194" s="5"/>
      <c r="M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3">
        <f t="shared" si="38"/>
        <v>0</v>
      </c>
      <c r="L195" s="5"/>
      <c r="M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3">
        <f t="shared" si="38"/>
        <v>0</v>
      </c>
      <c r="L196" s="1"/>
      <c r="M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3">
        <f t="shared" si="38"/>
        <v>0</v>
      </c>
      <c r="L197" s="1"/>
      <c r="M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3">
        <f t="shared" si="38"/>
        <v>0</v>
      </c>
      <c r="L198" s="1"/>
      <c r="M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J199" si="39">SUM(E189:E196)</f>
        <v>0</v>
      </c>
      <c r="F199" s="13">
        <f t="shared" si="39"/>
        <v>2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8"/>
        <v>4</v>
      </c>
      <c r="L199" s="54"/>
      <c r="M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5"/>
      <c r="M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2.0</v>
      </c>
      <c r="F201" s="19">
        <v>5.0</v>
      </c>
      <c r="G201" s="19">
        <v>1.0</v>
      </c>
      <c r="H201" s="19">
        <v>1.0</v>
      </c>
      <c r="I201" s="19">
        <v>0.0</v>
      </c>
      <c r="J201" s="19">
        <v>2.0</v>
      </c>
      <c r="K201" s="13">
        <f t="shared" ref="K201:K211" si="40">SUM(E201:J201)</f>
        <v>11</v>
      </c>
      <c r="L201" s="5"/>
      <c r="M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3.0</v>
      </c>
      <c r="F202" s="19">
        <v>1.0</v>
      </c>
      <c r="G202" s="19">
        <v>5.0</v>
      </c>
      <c r="H202" s="19">
        <v>3.0</v>
      </c>
      <c r="I202" s="19">
        <v>1.0</v>
      </c>
      <c r="J202" s="19">
        <v>1.0</v>
      </c>
      <c r="K202" s="13">
        <f t="shared" si="40"/>
        <v>14</v>
      </c>
      <c r="L202" s="5"/>
      <c r="M202" s="5"/>
    </row>
    <row r="203" ht="12.75" customHeight="1">
      <c r="A203" s="18"/>
      <c r="B203" s="57">
        <v>2.0</v>
      </c>
      <c r="C203" s="52" t="s">
        <v>149</v>
      </c>
      <c r="D203" s="60"/>
      <c r="E203" s="19">
        <v>3.0</v>
      </c>
      <c r="F203" s="19">
        <v>2.0</v>
      </c>
      <c r="G203" s="19">
        <v>1.0</v>
      </c>
      <c r="H203" s="19">
        <v>0.0</v>
      </c>
      <c r="I203" s="19">
        <v>0.0</v>
      </c>
      <c r="J203" s="19">
        <v>0.0</v>
      </c>
      <c r="K203" s="13">
        <f t="shared" si="40"/>
        <v>6</v>
      </c>
      <c r="L203" s="5"/>
      <c r="M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1.0</v>
      </c>
      <c r="H204" s="19">
        <v>3.0</v>
      </c>
      <c r="I204" s="19">
        <v>0.0</v>
      </c>
      <c r="J204" s="19">
        <v>0.0</v>
      </c>
      <c r="K204" s="13">
        <f t="shared" si="40"/>
        <v>4</v>
      </c>
      <c r="L204" s="5"/>
      <c r="M204" s="5"/>
    </row>
    <row r="205" ht="12.75" customHeight="1">
      <c r="A205" s="18"/>
      <c r="B205" s="57">
        <v>4.0</v>
      </c>
      <c r="C205" s="52" t="s">
        <v>151</v>
      </c>
      <c r="D205" s="60"/>
      <c r="E205" s="19">
        <v>0.0</v>
      </c>
      <c r="F205" s="19">
        <v>3.0</v>
      </c>
      <c r="G205" s="19">
        <v>5.0</v>
      </c>
      <c r="H205" s="19">
        <v>0.0</v>
      </c>
      <c r="I205" s="19">
        <v>0.0</v>
      </c>
      <c r="J205" s="19">
        <v>0.0</v>
      </c>
      <c r="K205" s="13">
        <f t="shared" si="40"/>
        <v>8</v>
      </c>
      <c r="L205" s="5"/>
      <c r="M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3">
        <f t="shared" si="40"/>
        <v>1</v>
      </c>
      <c r="L206" s="5"/>
      <c r="M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3">
        <f t="shared" si="40"/>
        <v>0</v>
      </c>
      <c r="L207" s="1"/>
      <c r="M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3">
        <f t="shared" si="40"/>
        <v>0</v>
      </c>
      <c r="L208" s="54"/>
      <c r="M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3">
        <f t="shared" si="40"/>
        <v>0</v>
      </c>
      <c r="L209" s="54"/>
      <c r="M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3">
        <f t="shared" si="40"/>
        <v>0</v>
      </c>
      <c r="L210" s="54"/>
      <c r="M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J211" si="41">SUM(E201:E208)</f>
        <v>8</v>
      </c>
      <c r="F211" s="13">
        <f t="shared" si="41"/>
        <v>11</v>
      </c>
      <c r="G211" s="13">
        <f t="shared" si="41"/>
        <v>13</v>
      </c>
      <c r="H211" s="13">
        <f t="shared" si="41"/>
        <v>7</v>
      </c>
      <c r="I211" s="13">
        <f t="shared" si="41"/>
        <v>1</v>
      </c>
      <c r="J211" s="13">
        <f t="shared" si="41"/>
        <v>4</v>
      </c>
      <c r="K211" s="13">
        <f t="shared" si="40"/>
        <v>44</v>
      </c>
      <c r="L211" s="5"/>
      <c r="M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5"/>
      <c r="M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0.0</v>
      </c>
      <c r="G213" s="19">
        <v>0.0</v>
      </c>
      <c r="H213" s="19">
        <v>0.0</v>
      </c>
      <c r="I213" s="19">
        <v>1.0</v>
      </c>
      <c r="J213" s="19">
        <v>0.0</v>
      </c>
      <c r="K213" s="13">
        <f t="shared" ref="K213:K223" si="42">SUM(E213:J213)</f>
        <v>1</v>
      </c>
      <c r="L213" s="5"/>
      <c r="M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3">
        <f t="shared" si="42"/>
        <v>0</v>
      </c>
      <c r="L214" s="5"/>
      <c r="M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0.0</v>
      </c>
      <c r="K215" s="13">
        <f t="shared" si="42"/>
        <v>0</v>
      </c>
      <c r="L215" s="5"/>
      <c r="M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3">
        <f t="shared" si="42"/>
        <v>0</v>
      </c>
      <c r="L216" s="5"/>
      <c r="M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3">
        <f t="shared" si="42"/>
        <v>0</v>
      </c>
      <c r="L217" s="5"/>
      <c r="M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3">
        <f t="shared" si="42"/>
        <v>0</v>
      </c>
      <c r="L218" s="1"/>
      <c r="M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3">
        <f t="shared" si="42"/>
        <v>0</v>
      </c>
      <c r="L219" s="54"/>
      <c r="M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3">
        <f t="shared" si="42"/>
        <v>0</v>
      </c>
      <c r="L220" s="5"/>
      <c r="M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3">
        <f t="shared" si="42"/>
        <v>0</v>
      </c>
      <c r="L221" s="5"/>
      <c r="M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3">
        <f t="shared" si="42"/>
        <v>0</v>
      </c>
      <c r="L222" s="5"/>
      <c r="M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J223" si="43">SUM(E213:E220)</f>
        <v>0</v>
      </c>
      <c r="F223" s="13">
        <f t="shared" si="43"/>
        <v>0</v>
      </c>
      <c r="G223" s="13">
        <f t="shared" si="43"/>
        <v>0</v>
      </c>
      <c r="H223" s="13">
        <f t="shared" si="43"/>
        <v>0</v>
      </c>
      <c r="I223" s="13">
        <f t="shared" si="43"/>
        <v>1</v>
      </c>
      <c r="J223" s="13">
        <f t="shared" si="43"/>
        <v>0</v>
      </c>
      <c r="K223" s="13">
        <f t="shared" si="42"/>
        <v>1</v>
      </c>
      <c r="L223" s="5"/>
      <c r="M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5"/>
      <c r="M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3">
        <f t="shared" ref="K225:K235" si="44">SUM(E225:J225)</f>
        <v>0</v>
      </c>
      <c r="L225" s="5"/>
      <c r="M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3">
        <f t="shared" si="44"/>
        <v>0</v>
      </c>
      <c r="L226" s="5"/>
      <c r="M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3">
        <f t="shared" si="44"/>
        <v>0</v>
      </c>
      <c r="L227" s="5"/>
      <c r="M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3">
        <f t="shared" si="44"/>
        <v>0</v>
      </c>
      <c r="L228" s="5"/>
      <c r="M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3">
        <f t="shared" si="44"/>
        <v>0</v>
      </c>
      <c r="L229" s="1"/>
      <c r="M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3">
        <f t="shared" si="44"/>
        <v>0</v>
      </c>
      <c r="L230" s="54"/>
      <c r="M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3">
        <f t="shared" si="44"/>
        <v>0</v>
      </c>
      <c r="L231" s="5"/>
      <c r="M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3">
        <f t="shared" si="44"/>
        <v>0</v>
      </c>
      <c r="L232" s="5"/>
      <c r="M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3">
        <f t="shared" si="44"/>
        <v>0</v>
      </c>
      <c r="L233" s="5"/>
      <c r="M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3">
        <f t="shared" si="44"/>
        <v>0</v>
      </c>
      <c r="L234" s="5"/>
      <c r="M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J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4"/>
        <v>0</v>
      </c>
      <c r="L235" s="5"/>
      <c r="M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5"/>
      <c r="M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1.0</v>
      </c>
      <c r="J237" s="19">
        <v>0.0</v>
      </c>
      <c r="K237" s="13">
        <f t="shared" ref="K237:K247" si="46">SUM(E237:J237)</f>
        <v>2</v>
      </c>
      <c r="L237" s="5"/>
      <c r="M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1.0</v>
      </c>
      <c r="G238" s="19">
        <v>0.0</v>
      </c>
      <c r="H238" s="19">
        <v>1.0</v>
      </c>
      <c r="I238" s="19">
        <v>0.0</v>
      </c>
      <c r="J238" s="19">
        <v>0.0</v>
      </c>
      <c r="K238" s="13">
        <f t="shared" si="46"/>
        <v>2</v>
      </c>
      <c r="L238" s="5"/>
      <c r="M238" s="5"/>
    </row>
    <row r="239" ht="12.75" customHeight="1">
      <c r="A239" s="18"/>
      <c r="B239" s="57">
        <v>2.0</v>
      </c>
      <c r="C239" s="52" t="s">
        <v>176</v>
      </c>
      <c r="D239" s="60"/>
      <c r="E239" s="19">
        <v>1.0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3">
        <f t="shared" si="46"/>
        <v>1</v>
      </c>
      <c r="L239" s="5"/>
      <c r="M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3">
        <f t="shared" si="46"/>
        <v>0</v>
      </c>
      <c r="L240" s="1"/>
      <c r="M240" s="1"/>
    </row>
    <row r="241" ht="12.75" customHeight="1">
      <c r="A241" s="18"/>
      <c r="B241" s="57">
        <v>4.0</v>
      </c>
      <c r="C241" s="52" t="s">
        <v>178</v>
      </c>
      <c r="D241" s="60"/>
      <c r="E241" s="19">
        <v>1.0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3">
        <f t="shared" si="46"/>
        <v>0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3">
        <f t="shared" si="46"/>
        <v>1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J247" si="47">SUM(E237:E244)</f>
        <v>3</v>
      </c>
      <c r="F247" s="13">
        <f t="shared" si="47"/>
        <v>2</v>
      </c>
      <c r="G247" s="13">
        <f t="shared" si="47"/>
        <v>0</v>
      </c>
      <c r="H247" s="13">
        <f t="shared" si="47"/>
        <v>2</v>
      </c>
      <c r="I247" s="13">
        <f t="shared" si="47"/>
        <v>1</v>
      </c>
      <c r="J247" s="13">
        <f t="shared" si="47"/>
        <v>0</v>
      </c>
      <c r="K247" s="13">
        <f t="shared" si="46"/>
        <v>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3">
        <f t="shared" ref="K249:K259" si="48">SUM(E249:J249)</f>
        <v>1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3">
        <f t="shared" si="48"/>
        <v>1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J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8"/>
        <v>2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J262" si="50">E55+E67+E79+E91+E103+E115+E127+E139+E151+E163+E175+E187+E199+E211+E223+E235+E247+E259</f>
        <v>204</v>
      </c>
      <c r="F262" s="19">
        <f t="shared" si="50"/>
        <v>170</v>
      </c>
      <c r="G262" s="19">
        <f t="shared" si="50"/>
        <v>196</v>
      </c>
      <c r="H262" s="19">
        <f t="shared" si="50"/>
        <v>168</v>
      </c>
      <c r="I262" s="19">
        <f t="shared" si="50"/>
        <v>164</v>
      </c>
      <c r="J262" s="19">
        <f t="shared" si="50"/>
        <v>168</v>
      </c>
      <c r="K262" s="13">
        <f t="shared" ref="K262:K264" si="51">SUM(E262:J262)</f>
        <v>1070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13.0</v>
      </c>
      <c r="F263" s="19">
        <v>18.0</v>
      </c>
      <c r="G263" s="19">
        <v>25.0</v>
      </c>
      <c r="H263" s="19">
        <v>19.0</v>
      </c>
      <c r="I263" s="19">
        <v>18.0</v>
      </c>
      <c r="J263" s="19">
        <v>16.0</v>
      </c>
      <c r="K263" s="13">
        <f t="shared" si="51"/>
        <v>109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J264" si="52">SUM(E262:E263)</f>
        <v>217</v>
      </c>
      <c r="F264" s="13">
        <f t="shared" si="52"/>
        <v>188</v>
      </c>
      <c r="G264" s="13">
        <f t="shared" si="52"/>
        <v>221</v>
      </c>
      <c r="H264" s="13">
        <f t="shared" si="52"/>
        <v>187</v>
      </c>
      <c r="I264" s="13">
        <f t="shared" si="52"/>
        <v>182</v>
      </c>
      <c r="J264" s="13">
        <f t="shared" si="52"/>
        <v>184</v>
      </c>
      <c r="K264" s="13">
        <f t="shared" si="51"/>
        <v>1179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  <mergeCell ref="B127:D127"/>
    <mergeCell ref="A128:E128"/>
    <mergeCell ref="C129:D129"/>
  </mergeCells>
  <conditionalFormatting sqref="E14:J15">
    <cfRule type="containsBlanks" dxfId="1" priority="1">
      <formula>LEN(TRIM(E14))=0</formula>
    </cfRule>
  </conditionalFormatting>
  <conditionalFormatting sqref="E19:J20">
    <cfRule type="containsBlanks" dxfId="1" priority="2">
      <formula>LEN(TRIM(E19))=0</formula>
    </cfRule>
  </conditionalFormatting>
  <conditionalFormatting sqref="E22:J23 E25:J26 E33:J33 E35:J35 E39:J40">
    <cfRule type="containsBlanks" dxfId="1" priority="3">
      <formula>LEN(TRIM(E22))=0</formula>
    </cfRule>
  </conditionalFormatting>
  <conditionalFormatting sqref="E30:J30">
    <cfRule type="expression" dxfId="0" priority="4">
      <formula>E30&lt;&gt;E47</formula>
    </cfRule>
  </conditionalFormatting>
  <conditionalFormatting sqref="E30:J30">
    <cfRule type="expression" dxfId="0" priority="5">
      <formula>E30&lt;&gt;E34</formula>
    </cfRule>
  </conditionalFormatting>
  <conditionalFormatting sqref="E34:J34">
    <cfRule type="expression" dxfId="2" priority="6">
      <formula>E30&lt;&gt;E34</formula>
    </cfRule>
  </conditionalFormatting>
  <conditionalFormatting sqref="E34:J34">
    <cfRule type="expression" dxfId="3" priority="7">
      <formula>E30=E34</formula>
    </cfRule>
  </conditionalFormatting>
  <conditionalFormatting sqref="E34:J34">
    <cfRule type="expression" dxfId="0" priority="8">
      <formula>E34&lt;&gt;E30</formula>
    </cfRule>
  </conditionalFormatting>
  <conditionalFormatting sqref="E34:J34">
    <cfRule type="expression" dxfId="0" priority="9">
      <formula>E34&lt;&gt;E64</formula>
    </cfRule>
  </conditionalFormatting>
  <conditionalFormatting sqref="E45:J54">
    <cfRule type="containsBlanks" dxfId="1" priority="10">
      <formula>LEN(TRIM(E45))=0</formula>
    </cfRule>
  </conditionalFormatting>
  <conditionalFormatting sqref="E57:J66">
    <cfRule type="containsBlanks" dxfId="1" priority="11">
      <formula>LEN(TRIM(E57))=0</formula>
    </cfRule>
  </conditionalFormatting>
  <conditionalFormatting sqref="E69:J78">
    <cfRule type="containsBlanks" dxfId="1" priority="12">
      <formula>LEN(TRIM(E69))=0</formula>
    </cfRule>
  </conditionalFormatting>
  <conditionalFormatting sqref="E81:J90">
    <cfRule type="containsBlanks" dxfId="1" priority="13">
      <formula>LEN(TRIM(E81))=0</formula>
    </cfRule>
  </conditionalFormatting>
  <conditionalFormatting sqref="E93:J102">
    <cfRule type="containsBlanks" dxfId="1" priority="14">
      <formula>LEN(TRIM(E93))=0</formula>
    </cfRule>
  </conditionalFormatting>
  <conditionalFormatting sqref="E105:J114">
    <cfRule type="containsBlanks" dxfId="1" priority="15">
      <formula>LEN(TRIM(E105))=0</formula>
    </cfRule>
  </conditionalFormatting>
  <conditionalFormatting sqref="E117:J126">
    <cfRule type="containsBlanks" dxfId="1" priority="16">
      <formula>LEN(TRIM(E117))=0</formula>
    </cfRule>
  </conditionalFormatting>
  <conditionalFormatting sqref="E129:J138">
    <cfRule type="containsBlanks" dxfId="1" priority="17">
      <formula>LEN(TRIM(E129))=0</formula>
    </cfRule>
  </conditionalFormatting>
  <conditionalFormatting sqref="E141:J150">
    <cfRule type="containsBlanks" dxfId="1" priority="18">
      <formula>LEN(TRIM(E141))=0</formula>
    </cfRule>
  </conditionalFormatting>
  <conditionalFormatting sqref="E153:J162">
    <cfRule type="containsBlanks" dxfId="1" priority="19">
      <formula>LEN(TRIM(E153))=0</formula>
    </cfRule>
  </conditionalFormatting>
  <conditionalFormatting sqref="E165:J174">
    <cfRule type="containsBlanks" dxfId="1" priority="20">
      <formula>LEN(TRIM(E165))=0</formula>
    </cfRule>
  </conditionalFormatting>
  <conditionalFormatting sqref="E177:J186">
    <cfRule type="containsBlanks" dxfId="1" priority="21">
      <formula>LEN(TRIM(E177))=0</formula>
    </cfRule>
  </conditionalFormatting>
  <conditionalFormatting sqref="E189:J198">
    <cfRule type="containsBlanks" dxfId="1" priority="22">
      <formula>LEN(TRIM(E189))=0</formula>
    </cfRule>
  </conditionalFormatting>
  <conditionalFormatting sqref="E201:J210">
    <cfRule type="containsBlanks" dxfId="1" priority="23">
      <formula>LEN(TRIM(E201))=0</formula>
    </cfRule>
  </conditionalFormatting>
  <conditionalFormatting sqref="E213:J222">
    <cfRule type="containsBlanks" dxfId="1" priority="24">
      <formula>LEN(TRIM(E213))=0</formula>
    </cfRule>
  </conditionalFormatting>
  <conditionalFormatting sqref="E225:J234">
    <cfRule type="containsBlanks" dxfId="1" priority="25">
      <formula>LEN(TRIM(E225))=0</formula>
    </cfRule>
  </conditionalFormatting>
  <conditionalFormatting sqref="E237:J246">
    <cfRule type="containsBlanks" dxfId="1" priority="26">
      <formula>LEN(TRIM(E237))=0</formula>
    </cfRule>
  </conditionalFormatting>
  <conditionalFormatting sqref="E249:J259">
    <cfRule type="containsBlanks" dxfId="1" priority="27">
      <formula>LEN(TRIM(E249))=0</formula>
    </cfRule>
  </conditionalFormatting>
  <conditionalFormatting sqref="E262: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127.0</v>
      </c>
      <c r="G14" s="19">
        <v>128.0</v>
      </c>
      <c r="H14" s="19">
        <v>131.0</v>
      </c>
      <c r="I14" s="19">
        <v>130.0</v>
      </c>
      <c r="J14" s="19">
        <v>127.0</v>
      </c>
      <c r="K14" s="19">
        <v>132.0</v>
      </c>
      <c r="L14" s="19">
        <v>142.0</v>
      </c>
      <c r="M14" s="19">
        <v>141.0</v>
      </c>
      <c r="N14" s="13">
        <f t="shared" ref="N14:N16" si="1">SUM(E14:M14)</f>
        <v>1182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130.0</v>
      </c>
      <c r="G15" s="19">
        <v>138.0</v>
      </c>
      <c r="H15" s="19">
        <v>131.0</v>
      </c>
      <c r="I15" s="19">
        <v>135.0</v>
      </c>
      <c r="J15" s="19">
        <v>137.0</v>
      </c>
      <c r="K15" s="19">
        <v>137.0</v>
      </c>
      <c r="L15" s="19">
        <v>142.0</v>
      </c>
      <c r="M15" s="19">
        <v>146.0</v>
      </c>
      <c r="N15" s="13">
        <f t="shared" si="1"/>
        <v>1230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258</v>
      </c>
      <c r="F16" s="13">
        <f t="shared" si="2"/>
        <v>257</v>
      </c>
      <c r="G16" s="13">
        <f t="shared" si="2"/>
        <v>266</v>
      </c>
      <c r="H16" s="13">
        <f t="shared" si="2"/>
        <v>262</v>
      </c>
      <c r="I16" s="13">
        <f t="shared" si="2"/>
        <v>265</v>
      </c>
      <c r="J16" s="13">
        <f t="shared" si="2"/>
        <v>264</v>
      </c>
      <c r="K16" s="13">
        <f t="shared" si="2"/>
        <v>269</v>
      </c>
      <c r="L16" s="13">
        <f t="shared" si="2"/>
        <v>284</v>
      </c>
      <c r="M16" s="13">
        <f t="shared" si="2"/>
        <v>287</v>
      </c>
      <c r="N16" s="13">
        <f t="shared" si="1"/>
        <v>2412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103.0</v>
      </c>
      <c r="F19" s="19">
        <v>109.0</v>
      </c>
      <c r="G19" s="19">
        <v>113.0</v>
      </c>
      <c r="H19" s="19">
        <v>113.0</v>
      </c>
      <c r="I19" s="19">
        <v>109.0</v>
      </c>
      <c r="J19" s="19">
        <v>110.0</v>
      </c>
      <c r="K19" s="19">
        <v>109.0</v>
      </c>
      <c r="L19" s="19">
        <v>106.0</v>
      </c>
      <c r="M19" s="19">
        <v>115.0</v>
      </c>
      <c r="N19" s="13">
        <f t="shared" ref="N19:N30" si="3">SUM(E19:M19)</f>
        <v>987</v>
      </c>
    </row>
    <row r="20" ht="12.75" customHeight="1">
      <c r="A20" s="34"/>
      <c r="B20" s="27"/>
      <c r="C20" s="35"/>
      <c r="D20" s="19" t="s">
        <v>13</v>
      </c>
      <c r="E20" s="19">
        <v>111.0</v>
      </c>
      <c r="F20" s="19">
        <v>115.0</v>
      </c>
      <c r="G20" s="19">
        <v>126.0</v>
      </c>
      <c r="H20" s="19">
        <v>112.0</v>
      </c>
      <c r="I20" s="19">
        <v>119.0</v>
      </c>
      <c r="J20" s="19">
        <v>117.0</v>
      </c>
      <c r="K20" s="19">
        <v>122.0</v>
      </c>
      <c r="L20" s="19">
        <v>113.0</v>
      </c>
      <c r="M20" s="19">
        <v>121.0</v>
      </c>
      <c r="N20" s="13">
        <f t="shared" si="3"/>
        <v>1056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214</v>
      </c>
      <c r="F21" s="13">
        <f t="shared" si="4"/>
        <v>224</v>
      </c>
      <c r="G21" s="13">
        <f t="shared" si="4"/>
        <v>239</v>
      </c>
      <c r="H21" s="13">
        <f t="shared" si="4"/>
        <v>225</v>
      </c>
      <c r="I21" s="13">
        <f t="shared" si="4"/>
        <v>228</v>
      </c>
      <c r="J21" s="13">
        <f t="shared" si="4"/>
        <v>227</v>
      </c>
      <c r="K21" s="13">
        <f t="shared" si="4"/>
        <v>231</v>
      </c>
      <c r="L21" s="13">
        <f t="shared" si="4"/>
        <v>219</v>
      </c>
      <c r="M21" s="13">
        <f t="shared" si="4"/>
        <v>236</v>
      </c>
      <c r="N21" s="13">
        <f t="shared" si="3"/>
        <v>2043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1.0</v>
      </c>
      <c r="K25" s="19">
        <v>4.0</v>
      </c>
      <c r="L25" s="19">
        <v>3.0</v>
      </c>
      <c r="M25" s="19">
        <v>1.0</v>
      </c>
      <c r="N25" s="13">
        <f t="shared" si="3"/>
        <v>11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4.0</v>
      </c>
      <c r="I26" s="19">
        <v>0.0</v>
      </c>
      <c r="J26" s="19">
        <v>0.0</v>
      </c>
      <c r="K26" s="19">
        <v>3.0</v>
      </c>
      <c r="L26" s="19">
        <v>3.0</v>
      </c>
      <c r="M26" s="19">
        <v>1.0</v>
      </c>
      <c r="N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6</v>
      </c>
      <c r="M27" s="13">
        <f t="shared" si="6"/>
        <v>2</v>
      </c>
      <c r="N27" s="13">
        <f t="shared" si="3"/>
        <v>22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M28" si="7">SUM(E19,E22,E25)</f>
        <v>103</v>
      </c>
      <c r="F28" s="13">
        <f t="shared" si="7"/>
        <v>109</v>
      </c>
      <c r="G28" s="13">
        <f t="shared" si="7"/>
        <v>114</v>
      </c>
      <c r="H28" s="13">
        <f t="shared" si="7"/>
        <v>115</v>
      </c>
      <c r="I28" s="13">
        <f t="shared" si="7"/>
        <v>109</v>
      </c>
      <c r="J28" s="13">
        <f t="shared" si="7"/>
        <v>111</v>
      </c>
      <c r="K28" s="13">
        <f t="shared" si="7"/>
        <v>113</v>
      </c>
      <c r="L28" s="13">
        <f t="shared" si="7"/>
        <v>109</v>
      </c>
      <c r="M28" s="13">
        <f t="shared" si="7"/>
        <v>116</v>
      </c>
      <c r="N28" s="13">
        <f t="shared" si="3"/>
        <v>999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111</v>
      </c>
      <c r="F29" s="13">
        <f t="shared" si="8"/>
        <v>115</v>
      </c>
      <c r="G29" s="13">
        <f t="shared" si="8"/>
        <v>126</v>
      </c>
      <c r="H29" s="13">
        <f t="shared" si="8"/>
        <v>116</v>
      </c>
      <c r="I29" s="13">
        <f t="shared" si="8"/>
        <v>119</v>
      </c>
      <c r="J29" s="13">
        <f t="shared" si="8"/>
        <v>117</v>
      </c>
      <c r="K29" s="13">
        <f t="shared" si="8"/>
        <v>125</v>
      </c>
      <c r="L29" s="13">
        <f t="shared" si="8"/>
        <v>116</v>
      </c>
      <c r="M29" s="13">
        <f t="shared" si="8"/>
        <v>122</v>
      </c>
      <c r="N29" s="13">
        <f t="shared" si="3"/>
        <v>1067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214</v>
      </c>
      <c r="F30" s="13">
        <f t="shared" si="9"/>
        <v>224</v>
      </c>
      <c r="G30" s="13">
        <f t="shared" si="9"/>
        <v>240</v>
      </c>
      <c r="H30" s="13">
        <f t="shared" si="9"/>
        <v>231</v>
      </c>
      <c r="I30" s="13">
        <f t="shared" si="9"/>
        <v>228</v>
      </c>
      <c r="J30" s="13">
        <f t="shared" si="9"/>
        <v>228</v>
      </c>
      <c r="K30" s="13">
        <f t="shared" si="9"/>
        <v>238</v>
      </c>
      <c r="L30" s="13">
        <f t="shared" si="9"/>
        <v>225</v>
      </c>
      <c r="M30" s="13">
        <f t="shared" si="9"/>
        <v>238</v>
      </c>
      <c r="N30" s="13">
        <f t="shared" si="3"/>
        <v>2066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0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263.0</v>
      </c>
      <c r="G33" s="19">
        <v>272.0</v>
      </c>
      <c r="H33" s="19">
        <v>268.0</v>
      </c>
      <c r="I33" s="19">
        <v>271.0</v>
      </c>
      <c r="J33" s="19">
        <v>270.0</v>
      </c>
      <c r="K33" s="19">
        <v>275.0</v>
      </c>
      <c r="L33" s="19">
        <v>290.0</v>
      </c>
      <c r="M33" s="19">
        <v>294.0</v>
      </c>
      <c r="N33" s="13">
        <f t="shared" ref="N33:N36" si="10">SUM(E33:M33)</f>
        <v>2468</v>
      </c>
    </row>
    <row r="34" ht="12.75" customHeight="1">
      <c r="A34" s="19">
        <v>2.0</v>
      </c>
      <c r="B34" s="20" t="s">
        <v>28</v>
      </c>
      <c r="C34" s="15"/>
      <c r="D34" s="16"/>
      <c r="E34" s="13">
        <v>214.0</v>
      </c>
      <c r="F34" s="13">
        <v>224.0</v>
      </c>
      <c r="G34" s="13">
        <v>240.0</v>
      </c>
      <c r="H34" s="13">
        <v>231.0</v>
      </c>
      <c r="I34" s="13">
        <v>228.0</v>
      </c>
      <c r="J34" s="13">
        <v>228.0</v>
      </c>
      <c r="K34" s="13">
        <v>238.0</v>
      </c>
      <c r="L34" s="13">
        <v>225.0</v>
      </c>
      <c r="M34" s="13">
        <v>238.0</v>
      </c>
      <c r="N34" s="13">
        <f t="shared" si="10"/>
        <v>2066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1.0</v>
      </c>
      <c r="G35" s="19">
        <v>1.0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49</v>
      </c>
      <c r="F36" s="13">
        <f t="shared" si="11"/>
        <v>38</v>
      </c>
      <c r="G36" s="13">
        <f t="shared" si="11"/>
        <v>31</v>
      </c>
      <c r="H36" s="13">
        <f t="shared" si="11"/>
        <v>36</v>
      </c>
      <c r="I36" s="13">
        <f t="shared" si="11"/>
        <v>43</v>
      </c>
      <c r="J36" s="13">
        <f t="shared" si="11"/>
        <v>42</v>
      </c>
      <c r="K36" s="13">
        <f t="shared" si="11"/>
        <v>37</v>
      </c>
      <c r="L36" s="13">
        <f t="shared" si="11"/>
        <v>65</v>
      </c>
      <c r="M36" s="13">
        <f t="shared" si="11"/>
        <v>56</v>
      </c>
      <c r="N36" s="13">
        <f t="shared" si="10"/>
        <v>397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2.0</v>
      </c>
      <c r="L39" s="19">
        <v>0.0</v>
      </c>
      <c r="M39" s="19">
        <v>0.0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2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7.0</v>
      </c>
      <c r="F45" s="19">
        <v>7.0</v>
      </c>
      <c r="G45" s="19">
        <v>5.0</v>
      </c>
      <c r="H45" s="19">
        <v>3.0</v>
      </c>
      <c r="I45" s="19">
        <v>3.0</v>
      </c>
      <c r="J45" s="19">
        <v>4.0</v>
      </c>
      <c r="K45" s="19">
        <v>5.0</v>
      </c>
      <c r="L45" s="19">
        <v>14.0</v>
      </c>
      <c r="M45" s="19">
        <v>15.0</v>
      </c>
      <c r="N45" s="13">
        <f t="shared" ref="N45:N55" si="14">SUM(E45:M45)</f>
        <v>63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25.0</v>
      </c>
      <c r="F46" s="19">
        <v>23.0</v>
      </c>
      <c r="G46" s="19">
        <v>20.0</v>
      </c>
      <c r="H46" s="19">
        <v>29.0</v>
      </c>
      <c r="I46" s="19">
        <v>14.0</v>
      </c>
      <c r="J46" s="19">
        <v>22.0</v>
      </c>
      <c r="K46" s="19">
        <v>12.0</v>
      </c>
      <c r="L46" s="19">
        <v>45.0</v>
      </c>
      <c r="M46" s="19">
        <v>38.0</v>
      </c>
      <c r="N46" s="13">
        <f t="shared" si="14"/>
        <v>228</v>
      </c>
    </row>
    <row r="47" ht="12.75" customHeight="1">
      <c r="A47" s="18"/>
      <c r="B47" s="57">
        <v>2.0</v>
      </c>
      <c r="C47" s="52" t="s">
        <v>41</v>
      </c>
      <c r="D47" s="16"/>
      <c r="E47" s="19">
        <v>3.0</v>
      </c>
      <c r="F47" s="19">
        <v>2.0</v>
      </c>
      <c r="G47" s="19">
        <v>8.0</v>
      </c>
      <c r="H47" s="19">
        <v>1.0</v>
      </c>
      <c r="I47" s="19">
        <v>1.0</v>
      </c>
      <c r="J47" s="19">
        <v>5.0</v>
      </c>
      <c r="K47" s="19">
        <v>6.0</v>
      </c>
      <c r="L47" s="19">
        <v>5.0</v>
      </c>
      <c r="M47" s="19">
        <v>2.0</v>
      </c>
      <c r="N47" s="13">
        <f t="shared" si="14"/>
        <v>33</v>
      </c>
    </row>
    <row r="48" ht="12.75" customHeight="1">
      <c r="A48" s="18"/>
      <c r="B48" s="57">
        <v>3.0</v>
      </c>
      <c r="C48" s="52" t="s">
        <v>42</v>
      </c>
      <c r="D48" s="16"/>
      <c r="E48" s="19">
        <v>1.0</v>
      </c>
      <c r="F48" s="19">
        <v>0.0</v>
      </c>
      <c r="G48" s="19">
        <v>1.0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0.0</v>
      </c>
      <c r="N48" s="13">
        <f t="shared" si="14"/>
        <v>3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1.0</v>
      </c>
      <c r="G49" s="19">
        <v>0.0</v>
      </c>
      <c r="H49" s="19">
        <v>1.0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3">
        <f t="shared" si="14"/>
        <v>3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2.0</v>
      </c>
      <c r="K50" s="19">
        <v>0.0</v>
      </c>
      <c r="L50" s="19">
        <v>0.0</v>
      </c>
      <c r="M50" s="19">
        <v>0.0</v>
      </c>
      <c r="N50" s="13">
        <f t="shared" si="14"/>
        <v>3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1.0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3">
        <f t="shared" si="14"/>
        <v>2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3">
        <f t="shared" si="14"/>
        <v>0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M55" si="15">SUM(E45:E52)</f>
        <v>36</v>
      </c>
      <c r="F55" s="13">
        <f t="shared" si="15"/>
        <v>34</v>
      </c>
      <c r="G55" s="13">
        <f t="shared" si="15"/>
        <v>35</v>
      </c>
      <c r="H55" s="13">
        <f t="shared" si="15"/>
        <v>34</v>
      </c>
      <c r="I55" s="13">
        <f t="shared" si="15"/>
        <v>19</v>
      </c>
      <c r="J55" s="13">
        <f t="shared" si="15"/>
        <v>33</v>
      </c>
      <c r="K55" s="13">
        <f t="shared" si="15"/>
        <v>25</v>
      </c>
      <c r="L55" s="13">
        <f t="shared" si="15"/>
        <v>64</v>
      </c>
      <c r="M55" s="13">
        <f t="shared" si="15"/>
        <v>55</v>
      </c>
      <c r="N55" s="13">
        <f t="shared" si="14"/>
        <v>335</v>
      </c>
    </row>
    <row r="56" ht="12.75" customHeight="1">
      <c r="A56" s="47"/>
      <c r="B56" s="46"/>
      <c r="C56" s="46"/>
      <c r="D56" s="46"/>
      <c r="E56" s="46"/>
      <c r="N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14.0</v>
      </c>
      <c r="F57" s="19">
        <v>11.0</v>
      </c>
      <c r="G57" s="19">
        <v>3.0</v>
      </c>
      <c r="H57" s="19">
        <v>6.0</v>
      </c>
      <c r="I57" s="19">
        <v>8.0</v>
      </c>
      <c r="J57" s="19">
        <v>7.0</v>
      </c>
      <c r="K57" s="19">
        <v>7.0</v>
      </c>
      <c r="L57" s="19">
        <v>8.0</v>
      </c>
      <c r="M57" s="19">
        <v>14.0</v>
      </c>
      <c r="N57" s="13">
        <f t="shared" ref="N57:N67" si="16">SUM(E57:M57)</f>
        <v>78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12.0</v>
      </c>
      <c r="F58" s="19">
        <v>11.0</v>
      </c>
      <c r="G58" s="19">
        <v>20.0</v>
      </c>
      <c r="H58" s="19">
        <v>25.0</v>
      </c>
      <c r="I58" s="19">
        <v>36.0</v>
      </c>
      <c r="J58" s="19">
        <v>12.0</v>
      </c>
      <c r="K58" s="19">
        <v>22.0</v>
      </c>
      <c r="L58" s="19">
        <v>7.0</v>
      </c>
      <c r="M58" s="19">
        <v>13.0</v>
      </c>
      <c r="N58" s="13">
        <f t="shared" si="16"/>
        <v>158</v>
      </c>
    </row>
    <row r="59" ht="12.75" customHeight="1">
      <c r="A59" s="18"/>
      <c r="B59" s="57">
        <v>2.0</v>
      </c>
      <c r="C59" s="52" t="s">
        <v>50</v>
      </c>
      <c r="D59" s="58"/>
      <c r="E59" s="19">
        <v>27.0</v>
      </c>
      <c r="F59" s="19">
        <v>16.0</v>
      </c>
      <c r="G59" s="19">
        <v>22.0</v>
      </c>
      <c r="H59" s="19">
        <v>19.0</v>
      </c>
      <c r="I59" s="19">
        <v>26.0</v>
      </c>
      <c r="J59" s="19">
        <v>15.0</v>
      </c>
      <c r="K59" s="19">
        <v>32.0</v>
      </c>
      <c r="L59" s="19">
        <v>37.0</v>
      </c>
      <c r="M59" s="19">
        <v>52.0</v>
      </c>
      <c r="N59" s="13">
        <f t="shared" si="16"/>
        <v>246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0.0</v>
      </c>
      <c r="G60" s="19">
        <v>0.0</v>
      </c>
      <c r="H60" s="19">
        <v>2.0</v>
      </c>
      <c r="I60" s="19">
        <v>0.0</v>
      </c>
      <c r="J60" s="19">
        <v>2.0</v>
      </c>
      <c r="K60" s="19">
        <v>0.0</v>
      </c>
      <c r="L60" s="19">
        <v>0.0</v>
      </c>
      <c r="M60" s="19">
        <v>2.0</v>
      </c>
      <c r="N60" s="13">
        <f t="shared" si="16"/>
        <v>7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2.0</v>
      </c>
      <c r="G61" s="19">
        <v>0.0</v>
      </c>
      <c r="H61" s="19">
        <v>0.0</v>
      </c>
      <c r="I61" s="19">
        <v>0.0</v>
      </c>
      <c r="J61" s="19">
        <v>1.0</v>
      </c>
      <c r="K61" s="19">
        <v>0.0</v>
      </c>
      <c r="L61" s="19">
        <v>1.0</v>
      </c>
      <c r="M61" s="19">
        <v>2.0</v>
      </c>
      <c r="N61" s="13">
        <f t="shared" si="16"/>
        <v>7</v>
      </c>
    </row>
    <row r="62" ht="12.75" customHeight="1">
      <c r="A62" s="18"/>
      <c r="B62" s="57">
        <v>5.0</v>
      </c>
      <c r="C62" s="52" t="s">
        <v>53</v>
      </c>
      <c r="D62" s="58"/>
      <c r="E62" s="19">
        <v>1.0</v>
      </c>
      <c r="F62" s="19">
        <v>4.0</v>
      </c>
      <c r="G62" s="19">
        <v>0.0</v>
      </c>
      <c r="H62" s="19">
        <v>1.0</v>
      </c>
      <c r="I62" s="19">
        <v>1.0</v>
      </c>
      <c r="J62" s="19">
        <v>2.0</v>
      </c>
      <c r="K62" s="19">
        <v>0.0</v>
      </c>
      <c r="L62" s="19">
        <v>0.0</v>
      </c>
      <c r="M62" s="19">
        <v>0.0</v>
      </c>
      <c r="N62" s="13">
        <f t="shared" si="16"/>
        <v>9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2.0</v>
      </c>
      <c r="M63" s="19">
        <v>0.0</v>
      </c>
      <c r="N63" s="13">
        <f t="shared" si="16"/>
        <v>4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4.0</v>
      </c>
      <c r="N64" s="13">
        <f t="shared" si="16"/>
        <v>5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M67" si="17">SUM(E57:E64)</f>
        <v>56</v>
      </c>
      <c r="F67" s="13">
        <f t="shared" si="17"/>
        <v>45</v>
      </c>
      <c r="G67" s="13">
        <f t="shared" si="17"/>
        <v>45</v>
      </c>
      <c r="H67" s="13">
        <f t="shared" si="17"/>
        <v>53</v>
      </c>
      <c r="I67" s="13">
        <f t="shared" si="17"/>
        <v>72</v>
      </c>
      <c r="J67" s="13">
        <f t="shared" si="17"/>
        <v>39</v>
      </c>
      <c r="K67" s="13">
        <f t="shared" si="17"/>
        <v>62</v>
      </c>
      <c r="L67" s="13">
        <f t="shared" si="17"/>
        <v>55</v>
      </c>
      <c r="M67" s="13">
        <f t="shared" si="17"/>
        <v>87</v>
      </c>
      <c r="N67" s="13">
        <f t="shared" si="16"/>
        <v>514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7.0</v>
      </c>
      <c r="F69" s="19">
        <v>4.0</v>
      </c>
      <c r="G69" s="19">
        <v>2.0</v>
      </c>
      <c r="H69" s="19">
        <v>4.0</v>
      </c>
      <c r="I69" s="19">
        <v>1.0</v>
      </c>
      <c r="J69" s="19">
        <v>2.0</v>
      </c>
      <c r="K69" s="19">
        <v>4.0</v>
      </c>
      <c r="L69" s="19">
        <v>6.0</v>
      </c>
      <c r="M69" s="19">
        <v>7.0</v>
      </c>
      <c r="N69" s="13">
        <f t="shared" ref="N69:N79" si="18">SUM(E69:M69)</f>
        <v>37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7.0</v>
      </c>
      <c r="F70" s="19">
        <v>5.0</v>
      </c>
      <c r="G70" s="19">
        <v>7.0</v>
      </c>
      <c r="H70" s="19">
        <v>6.0</v>
      </c>
      <c r="I70" s="19">
        <v>3.0</v>
      </c>
      <c r="J70" s="19">
        <v>9.0</v>
      </c>
      <c r="K70" s="19">
        <v>2.0</v>
      </c>
      <c r="L70" s="19">
        <v>2.0</v>
      </c>
      <c r="M70" s="19">
        <v>0.0</v>
      </c>
      <c r="N70" s="13">
        <f t="shared" si="18"/>
        <v>41</v>
      </c>
    </row>
    <row r="71" ht="12.75" customHeight="1">
      <c r="A71" s="18"/>
      <c r="B71" s="57">
        <v>2.0</v>
      </c>
      <c r="C71" s="52" t="s">
        <v>58</v>
      </c>
      <c r="D71" s="60"/>
      <c r="E71" s="19">
        <v>0.0</v>
      </c>
      <c r="F71" s="19">
        <v>1.0</v>
      </c>
      <c r="G71" s="19">
        <v>0.0</v>
      </c>
      <c r="H71" s="19">
        <v>2.0</v>
      </c>
      <c r="I71" s="19">
        <v>0.0</v>
      </c>
      <c r="J71" s="19">
        <v>2.0</v>
      </c>
      <c r="K71" s="19">
        <v>0.0</v>
      </c>
      <c r="L71" s="19">
        <v>0.0</v>
      </c>
      <c r="M71" s="19">
        <v>0.0</v>
      </c>
      <c r="N71" s="13">
        <f t="shared" si="18"/>
        <v>5</v>
      </c>
    </row>
    <row r="72" ht="12.75" customHeight="1">
      <c r="A72" s="18"/>
      <c r="B72" s="57">
        <v>3.0</v>
      </c>
      <c r="C72" s="52" t="s">
        <v>59</v>
      </c>
      <c r="D72" s="60"/>
      <c r="E72" s="19">
        <v>7.0</v>
      </c>
      <c r="F72" s="19">
        <v>2.0</v>
      </c>
      <c r="G72" s="19">
        <v>4.0</v>
      </c>
      <c r="H72" s="19">
        <v>4.0</v>
      </c>
      <c r="I72" s="19">
        <v>2.0</v>
      </c>
      <c r="J72" s="19">
        <v>0.0</v>
      </c>
      <c r="K72" s="19">
        <v>0.0</v>
      </c>
      <c r="L72" s="19">
        <v>3.0</v>
      </c>
      <c r="M72" s="19">
        <v>2.0</v>
      </c>
      <c r="N72" s="13">
        <f t="shared" si="18"/>
        <v>24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2.0</v>
      </c>
      <c r="L73" s="19">
        <v>0.0</v>
      </c>
      <c r="M73" s="19">
        <v>0.0</v>
      </c>
      <c r="N73" s="13">
        <f t="shared" si="18"/>
        <v>2</v>
      </c>
    </row>
    <row r="74" ht="12.75" customHeight="1">
      <c r="A74" s="18"/>
      <c r="B74" s="57">
        <v>5.0</v>
      </c>
      <c r="C74" s="52" t="s">
        <v>61</v>
      </c>
      <c r="D74" s="60"/>
      <c r="E74" s="19">
        <v>0.0</v>
      </c>
      <c r="F74" s="19">
        <v>3.0</v>
      </c>
      <c r="G74" s="19">
        <v>1.0</v>
      </c>
      <c r="H74" s="19">
        <v>2.0</v>
      </c>
      <c r="I74" s="19">
        <v>0.0</v>
      </c>
      <c r="J74" s="19">
        <v>2.0</v>
      </c>
      <c r="K74" s="19">
        <v>7.0</v>
      </c>
      <c r="L74" s="19">
        <v>1.0</v>
      </c>
      <c r="M74" s="19">
        <v>0.0</v>
      </c>
      <c r="N74" s="13">
        <f t="shared" si="18"/>
        <v>16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3">
        <f t="shared" si="18"/>
        <v>0</v>
      </c>
    </row>
    <row r="76" ht="12.75" customHeight="1">
      <c r="A76" s="18"/>
      <c r="B76" s="57">
        <v>7.0</v>
      </c>
      <c r="C76" s="52" t="s">
        <v>63</v>
      </c>
      <c r="D76" s="60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1.0</v>
      </c>
      <c r="M76" s="19">
        <v>0.0</v>
      </c>
      <c r="N76" s="13">
        <f t="shared" si="18"/>
        <v>2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M79" si="19">SUM(E69:E76)</f>
        <v>22</v>
      </c>
      <c r="F79" s="13">
        <f t="shared" si="19"/>
        <v>15</v>
      </c>
      <c r="G79" s="13">
        <f t="shared" si="19"/>
        <v>14</v>
      </c>
      <c r="H79" s="13">
        <f t="shared" si="19"/>
        <v>18</v>
      </c>
      <c r="I79" s="13">
        <f t="shared" si="19"/>
        <v>6</v>
      </c>
      <c r="J79" s="13">
        <f t="shared" si="19"/>
        <v>15</v>
      </c>
      <c r="K79" s="13">
        <f t="shared" si="19"/>
        <v>15</v>
      </c>
      <c r="L79" s="13">
        <f t="shared" si="19"/>
        <v>13</v>
      </c>
      <c r="M79" s="13">
        <f t="shared" si="19"/>
        <v>9</v>
      </c>
      <c r="N79" s="13">
        <f t="shared" si="18"/>
        <v>127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4.0</v>
      </c>
      <c r="F81" s="19">
        <v>13.0</v>
      </c>
      <c r="G81" s="19">
        <v>7.0</v>
      </c>
      <c r="H81" s="19">
        <v>9.0</v>
      </c>
      <c r="I81" s="19">
        <v>6.0</v>
      </c>
      <c r="J81" s="19">
        <v>6.0</v>
      </c>
      <c r="K81" s="19">
        <v>6.0</v>
      </c>
      <c r="L81" s="19">
        <v>3.0</v>
      </c>
      <c r="M81" s="19">
        <v>1.0</v>
      </c>
      <c r="N81" s="13">
        <f t="shared" ref="N81:N91" si="20">SUM(E81:M81)</f>
        <v>55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8.0</v>
      </c>
      <c r="F82" s="19">
        <v>25.0</v>
      </c>
      <c r="G82" s="19">
        <v>24.0</v>
      </c>
      <c r="H82" s="19">
        <v>26.0</v>
      </c>
      <c r="I82" s="19">
        <v>41.0</v>
      </c>
      <c r="J82" s="19">
        <v>34.0</v>
      </c>
      <c r="K82" s="19">
        <v>47.0</v>
      </c>
      <c r="L82" s="19">
        <v>11.0</v>
      </c>
      <c r="M82" s="19">
        <v>15.0</v>
      </c>
      <c r="N82" s="13">
        <f t="shared" si="20"/>
        <v>231</v>
      </c>
    </row>
    <row r="83" ht="12.75" customHeight="1">
      <c r="A83" s="18"/>
      <c r="B83" s="57">
        <v>2.0</v>
      </c>
      <c r="C83" s="52" t="s">
        <v>66</v>
      </c>
      <c r="D83" s="60"/>
      <c r="E83" s="19">
        <v>3.0</v>
      </c>
      <c r="F83" s="19">
        <v>2.0</v>
      </c>
      <c r="G83" s="19">
        <v>7.0</v>
      </c>
      <c r="H83" s="19">
        <v>1.0</v>
      </c>
      <c r="I83" s="19">
        <v>7.0</v>
      </c>
      <c r="J83" s="19">
        <v>1.0</v>
      </c>
      <c r="K83" s="19">
        <v>6.0</v>
      </c>
      <c r="L83" s="19">
        <v>2.0</v>
      </c>
      <c r="M83" s="19">
        <v>4.0</v>
      </c>
      <c r="N83" s="13">
        <f t="shared" si="20"/>
        <v>33</v>
      </c>
    </row>
    <row r="84" ht="12.75" customHeight="1">
      <c r="A84" s="18"/>
      <c r="B84" s="57">
        <v>3.0</v>
      </c>
      <c r="C84" s="52" t="s">
        <v>67</v>
      </c>
      <c r="D84" s="60"/>
      <c r="E84" s="19">
        <v>1.0</v>
      </c>
      <c r="F84" s="19">
        <v>0.0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3">
        <f t="shared" si="20"/>
        <v>2</v>
      </c>
    </row>
    <row r="85" ht="12.75" customHeight="1">
      <c r="A85" s="18"/>
      <c r="B85" s="57">
        <v>4.0</v>
      </c>
      <c r="C85" s="52" t="s">
        <v>68</v>
      </c>
      <c r="D85" s="60"/>
      <c r="E85" s="19">
        <v>2.0</v>
      </c>
      <c r="F85" s="19">
        <v>0.0</v>
      </c>
      <c r="G85" s="19">
        <v>1.0</v>
      </c>
      <c r="H85" s="19">
        <v>1.0</v>
      </c>
      <c r="I85" s="19">
        <v>0.0</v>
      </c>
      <c r="J85" s="19">
        <v>3.0</v>
      </c>
      <c r="K85" s="19">
        <v>2.0</v>
      </c>
      <c r="L85" s="19">
        <v>3.0</v>
      </c>
      <c r="M85" s="19">
        <v>6.0</v>
      </c>
      <c r="N85" s="13">
        <f t="shared" si="20"/>
        <v>18</v>
      </c>
    </row>
    <row r="86" ht="12.75" customHeight="1">
      <c r="A86" s="18"/>
      <c r="B86" s="57">
        <v>5.0</v>
      </c>
      <c r="C86" s="52" t="s">
        <v>69</v>
      </c>
      <c r="D86" s="60"/>
      <c r="E86" s="19">
        <v>10.0</v>
      </c>
      <c r="F86" s="19">
        <v>10.0</v>
      </c>
      <c r="G86" s="19">
        <v>10.0</v>
      </c>
      <c r="H86" s="19">
        <v>4.0</v>
      </c>
      <c r="I86" s="19">
        <v>0.0</v>
      </c>
      <c r="J86" s="19">
        <v>1.0</v>
      </c>
      <c r="K86" s="19">
        <v>3.0</v>
      </c>
      <c r="L86" s="19">
        <v>1.0</v>
      </c>
      <c r="M86" s="19">
        <v>0.0</v>
      </c>
      <c r="N86" s="13">
        <f t="shared" si="20"/>
        <v>39</v>
      </c>
    </row>
    <row r="87" ht="12.75" customHeight="1">
      <c r="A87" s="18"/>
      <c r="B87" s="57">
        <v>6.0</v>
      </c>
      <c r="C87" s="52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3">
        <f t="shared" si="20"/>
        <v>2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3">
        <f t="shared" si="20"/>
        <v>0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M91" si="21">SUM(E81:E88)</f>
        <v>29</v>
      </c>
      <c r="F91" s="13">
        <f t="shared" si="21"/>
        <v>50</v>
      </c>
      <c r="G91" s="13">
        <f t="shared" si="21"/>
        <v>50</v>
      </c>
      <c r="H91" s="13">
        <f t="shared" si="21"/>
        <v>41</v>
      </c>
      <c r="I91" s="13">
        <f t="shared" si="21"/>
        <v>54</v>
      </c>
      <c r="J91" s="13">
        <f t="shared" si="21"/>
        <v>45</v>
      </c>
      <c r="K91" s="13">
        <f t="shared" si="21"/>
        <v>65</v>
      </c>
      <c r="L91" s="13">
        <f t="shared" si="21"/>
        <v>20</v>
      </c>
      <c r="M91" s="13">
        <f t="shared" si="21"/>
        <v>26</v>
      </c>
      <c r="N91" s="13">
        <f t="shared" si="20"/>
        <v>380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0.0</v>
      </c>
      <c r="G93" s="19">
        <v>0.0</v>
      </c>
      <c r="H93" s="19">
        <v>1.0</v>
      </c>
      <c r="I93" s="19">
        <v>1.0</v>
      </c>
      <c r="J93" s="19">
        <v>3.0</v>
      </c>
      <c r="K93" s="19">
        <v>4.0</v>
      </c>
      <c r="L93" s="19">
        <v>5.0</v>
      </c>
      <c r="M93" s="19">
        <v>1.0</v>
      </c>
      <c r="N93" s="13">
        <f t="shared" ref="N93:N103" si="22">SUM(E93:M93)</f>
        <v>15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6.0</v>
      </c>
      <c r="F94" s="19">
        <v>2.0</v>
      </c>
      <c r="G94" s="19">
        <v>0.0</v>
      </c>
      <c r="H94" s="19">
        <v>6.0</v>
      </c>
      <c r="I94" s="19">
        <v>0.0</v>
      </c>
      <c r="J94" s="19">
        <v>0.0</v>
      </c>
      <c r="K94" s="19">
        <v>0.0</v>
      </c>
      <c r="L94" s="19">
        <v>0.0</v>
      </c>
      <c r="M94" s="19">
        <v>2.0</v>
      </c>
      <c r="N94" s="13">
        <f t="shared" si="22"/>
        <v>16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9.0</v>
      </c>
      <c r="J95" s="19">
        <v>1.0</v>
      </c>
      <c r="K95" s="19">
        <v>1.0</v>
      </c>
      <c r="L95" s="19">
        <v>0.0</v>
      </c>
      <c r="M95" s="19">
        <v>2.0</v>
      </c>
      <c r="N95" s="13">
        <f t="shared" si="22"/>
        <v>13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3">
        <f t="shared" si="22"/>
        <v>1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0.0</v>
      </c>
      <c r="L97" s="19">
        <v>0.0</v>
      </c>
      <c r="M97" s="19">
        <v>3.0</v>
      </c>
      <c r="N97" s="13">
        <f t="shared" si="22"/>
        <v>4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2.0</v>
      </c>
      <c r="L98" s="19">
        <v>0.0</v>
      </c>
      <c r="M98" s="19">
        <v>0.0</v>
      </c>
      <c r="N98" s="13">
        <f t="shared" si="22"/>
        <v>3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0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2.0</v>
      </c>
      <c r="M100" s="19">
        <v>0.0</v>
      </c>
      <c r="N100" s="13">
        <f t="shared" si="22"/>
        <v>2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M103" si="23">SUM(E93:E100)</f>
        <v>6</v>
      </c>
      <c r="F103" s="13">
        <f t="shared" si="23"/>
        <v>2</v>
      </c>
      <c r="G103" s="13">
        <f t="shared" si="23"/>
        <v>0</v>
      </c>
      <c r="H103" s="13">
        <f t="shared" si="23"/>
        <v>7</v>
      </c>
      <c r="I103" s="13">
        <f t="shared" si="23"/>
        <v>10</v>
      </c>
      <c r="J103" s="13">
        <f t="shared" si="23"/>
        <v>6</v>
      </c>
      <c r="K103" s="13">
        <f t="shared" si="23"/>
        <v>7</v>
      </c>
      <c r="L103" s="13">
        <f t="shared" si="23"/>
        <v>7</v>
      </c>
      <c r="M103" s="13">
        <f t="shared" si="23"/>
        <v>9</v>
      </c>
      <c r="N103" s="13">
        <f t="shared" si="22"/>
        <v>54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3">
        <f t="shared" ref="N105:N115" si="24">SUM(E105:M105)</f>
        <v>2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3">
        <f t="shared" si="24"/>
        <v>2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3">
        <f t="shared" si="24"/>
        <v>0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M115" si="25">SUM(E105:E112)</f>
        <v>2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4"/>
        <v>4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1.0</v>
      </c>
      <c r="F117" s="19">
        <v>0.0</v>
      </c>
      <c r="G117" s="19">
        <v>3.0</v>
      </c>
      <c r="H117" s="19">
        <v>9.0</v>
      </c>
      <c r="I117" s="19">
        <v>2.0</v>
      </c>
      <c r="J117" s="19">
        <v>2.0</v>
      </c>
      <c r="K117" s="19">
        <v>0.0</v>
      </c>
      <c r="L117" s="19">
        <v>0.0</v>
      </c>
      <c r="M117" s="19">
        <v>1.0</v>
      </c>
      <c r="N117" s="13">
        <f t="shared" ref="N117:N127" si="26">SUM(E117:M117)</f>
        <v>18</v>
      </c>
      <c r="O117" s="5"/>
      <c r="P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0.0</v>
      </c>
      <c r="F118" s="19">
        <v>0.0</v>
      </c>
      <c r="G118" s="19">
        <v>3.0</v>
      </c>
      <c r="H118" s="19">
        <v>2.0</v>
      </c>
      <c r="I118" s="19">
        <v>1.0</v>
      </c>
      <c r="J118" s="19">
        <v>1.0</v>
      </c>
      <c r="K118" s="19">
        <v>0.0</v>
      </c>
      <c r="L118" s="19">
        <v>1.0</v>
      </c>
      <c r="M118" s="19">
        <v>0.0</v>
      </c>
      <c r="N118" s="13">
        <f t="shared" si="26"/>
        <v>8</v>
      </c>
      <c r="O118" s="5"/>
      <c r="P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1.0</v>
      </c>
      <c r="H119" s="19">
        <v>1.0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3">
        <f t="shared" si="26"/>
        <v>3</v>
      </c>
      <c r="O119" s="5"/>
      <c r="P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3">
        <f t="shared" si="26"/>
        <v>0</v>
      </c>
      <c r="O120" s="5"/>
      <c r="P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3">
        <f t="shared" si="26"/>
        <v>0</v>
      </c>
      <c r="O121" s="5"/>
      <c r="P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3">
        <f t="shared" si="26"/>
        <v>0</v>
      </c>
      <c r="O122" s="5"/>
      <c r="P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13">
        <f t="shared" si="26"/>
        <v>0</v>
      </c>
      <c r="O123" s="5"/>
      <c r="P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13">
        <f t="shared" si="26"/>
        <v>0</v>
      </c>
      <c r="O124" s="5"/>
      <c r="P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13">
        <f t="shared" si="26"/>
        <v>0</v>
      </c>
      <c r="O125" s="5"/>
      <c r="P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13">
        <f t="shared" si="26"/>
        <v>0</v>
      </c>
      <c r="O126" s="5"/>
      <c r="P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M127" si="27">SUM(E117:E120)</f>
        <v>1</v>
      </c>
      <c r="F127" s="61">
        <f t="shared" si="27"/>
        <v>0</v>
      </c>
      <c r="G127" s="61">
        <f t="shared" si="27"/>
        <v>7</v>
      </c>
      <c r="H127" s="61">
        <f t="shared" si="27"/>
        <v>12</v>
      </c>
      <c r="I127" s="61">
        <f t="shared" si="27"/>
        <v>3</v>
      </c>
      <c r="J127" s="61">
        <f t="shared" si="27"/>
        <v>4</v>
      </c>
      <c r="K127" s="61">
        <f t="shared" si="27"/>
        <v>0</v>
      </c>
      <c r="L127" s="61">
        <f t="shared" si="27"/>
        <v>1</v>
      </c>
      <c r="M127" s="61">
        <f t="shared" si="27"/>
        <v>1</v>
      </c>
      <c r="N127" s="13">
        <f t="shared" si="26"/>
        <v>29</v>
      </c>
      <c r="O127" s="5"/>
      <c r="P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5"/>
      <c r="P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2.0</v>
      </c>
      <c r="J129" s="19">
        <v>1.0</v>
      </c>
      <c r="K129" s="19">
        <v>1.0</v>
      </c>
      <c r="L129" s="19">
        <v>0.0</v>
      </c>
      <c r="M129" s="19">
        <v>2.0</v>
      </c>
      <c r="N129" s="13">
        <f t="shared" ref="N129:N139" si="28">SUM(E129:M129)</f>
        <v>7</v>
      </c>
      <c r="O129" s="5"/>
      <c r="P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3.0</v>
      </c>
      <c r="F130" s="19">
        <v>1.0</v>
      </c>
      <c r="G130" s="19">
        <v>6.0</v>
      </c>
      <c r="H130" s="19">
        <v>2.0</v>
      </c>
      <c r="I130" s="19">
        <v>1.0</v>
      </c>
      <c r="J130" s="19">
        <v>3.0</v>
      </c>
      <c r="K130" s="19">
        <v>0.0</v>
      </c>
      <c r="L130" s="19">
        <v>3.0</v>
      </c>
      <c r="M130" s="19">
        <v>0.0</v>
      </c>
      <c r="N130" s="13">
        <f t="shared" si="28"/>
        <v>19</v>
      </c>
      <c r="O130" s="1"/>
      <c r="P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2.0</v>
      </c>
      <c r="G131" s="19">
        <v>1.0</v>
      </c>
      <c r="H131" s="19">
        <v>1.0</v>
      </c>
      <c r="I131" s="19">
        <v>1.0</v>
      </c>
      <c r="J131" s="19">
        <v>1.0</v>
      </c>
      <c r="K131" s="19">
        <v>0.0</v>
      </c>
      <c r="L131" s="19">
        <v>1.0</v>
      </c>
      <c r="M131" s="19">
        <v>0.0</v>
      </c>
      <c r="N131" s="13">
        <f t="shared" si="28"/>
        <v>8</v>
      </c>
      <c r="O131" s="54"/>
      <c r="P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3">
        <f t="shared" si="28"/>
        <v>0</v>
      </c>
      <c r="O132" s="5"/>
      <c r="P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1</v>
      </c>
      <c r="O133" s="5"/>
      <c r="P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1.0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3">
        <f t="shared" si="28"/>
        <v>2</v>
      </c>
      <c r="O134" s="5"/>
      <c r="P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3">
        <f t="shared" si="28"/>
        <v>0</v>
      </c>
      <c r="O135" s="5"/>
      <c r="P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0</v>
      </c>
      <c r="O136" s="5"/>
      <c r="P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3">
        <f t="shared" si="28"/>
        <v>0</v>
      </c>
      <c r="O137" s="5"/>
      <c r="P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3">
        <f t="shared" si="28"/>
        <v>0</v>
      </c>
      <c r="O138" s="5"/>
      <c r="P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M139" si="29">SUM(E129:E136)</f>
        <v>4</v>
      </c>
      <c r="F139" s="13">
        <f t="shared" si="29"/>
        <v>3</v>
      </c>
      <c r="G139" s="13">
        <f t="shared" si="29"/>
        <v>10</v>
      </c>
      <c r="H139" s="13">
        <f t="shared" si="29"/>
        <v>3</v>
      </c>
      <c r="I139" s="13">
        <f t="shared" si="29"/>
        <v>5</v>
      </c>
      <c r="J139" s="13">
        <f t="shared" si="29"/>
        <v>5</v>
      </c>
      <c r="K139" s="13">
        <f t="shared" si="29"/>
        <v>1</v>
      </c>
      <c r="L139" s="13">
        <f t="shared" si="29"/>
        <v>4</v>
      </c>
      <c r="M139" s="13">
        <f t="shared" si="29"/>
        <v>2</v>
      </c>
      <c r="N139" s="13">
        <f t="shared" si="28"/>
        <v>37</v>
      </c>
      <c r="O139" s="5"/>
      <c r="P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5"/>
      <c r="P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3">
        <f t="shared" ref="N141:N151" si="30">SUM(E141:M141)</f>
        <v>0</v>
      </c>
      <c r="O141" s="1"/>
      <c r="P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3">
        <f t="shared" si="30"/>
        <v>0</v>
      </c>
      <c r="O142" s="54"/>
      <c r="P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3">
        <f t="shared" si="30"/>
        <v>0</v>
      </c>
      <c r="O143" s="5"/>
      <c r="P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3">
        <f t="shared" si="30"/>
        <v>0</v>
      </c>
      <c r="O144" s="5"/>
      <c r="P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3">
        <f t="shared" si="30"/>
        <v>0</v>
      </c>
      <c r="O145" s="5"/>
      <c r="P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3">
        <f t="shared" si="30"/>
        <v>0</v>
      </c>
      <c r="O146" s="5"/>
      <c r="P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3">
        <f t="shared" si="30"/>
        <v>0</v>
      </c>
      <c r="O147" s="5"/>
      <c r="P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3">
        <f t="shared" si="30"/>
        <v>0</v>
      </c>
      <c r="O148" s="5"/>
      <c r="P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3">
        <f t="shared" si="30"/>
        <v>0</v>
      </c>
      <c r="O149" s="5"/>
      <c r="P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3">
        <f t="shared" si="30"/>
        <v>0</v>
      </c>
      <c r="O150" s="5"/>
      <c r="P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0"/>
        <v>0</v>
      </c>
      <c r="O151" s="1"/>
      <c r="P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13"/>
      <c r="O152" s="54"/>
      <c r="P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3">
        <f t="shared" ref="N153:N162" si="32">SUM(E153:M153)</f>
        <v>0</v>
      </c>
      <c r="O153" s="5"/>
      <c r="P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3">
        <f t="shared" si="32"/>
        <v>1</v>
      </c>
      <c r="O154" s="5"/>
      <c r="P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3">
        <f t="shared" si="32"/>
        <v>0</v>
      </c>
      <c r="O155" s="5"/>
      <c r="P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3">
        <f t="shared" si="32"/>
        <v>0</v>
      </c>
      <c r="O156" s="5"/>
      <c r="P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3">
        <f t="shared" si="32"/>
        <v>0</v>
      </c>
      <c r="O157" s="5"/>
      <c r="P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3">
        <f t="shared" si="32"/>
        <v>0</v>
      </c>
      <c r="O158" s="5"/>
      <c r="P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3">
        <f t="shared" si="32"/>
        <v>0</v>
      </c>
      <c r="O159" s="5"/>
      <c r="P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3">
        <f t="shared" si="32"/>
        <v>0</v>
      </c>
      <c r="O160" s="5"/>
      <c r="P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  <c r="O161" s="5"/>
      <c r="P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3">
        <f t="shared" si="32"/>
        <v>0</v>
      </c>
      <c r="O162" s="5"/>
      <c r="P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M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>SUM(E164:M164)</f>
        <v>0</v>
      </c>
      <c r="O163" s="5"/>
      <c r="P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5"/>
      <c r="P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3">
        <f t="shared" ref="N165:N175" si="34">SUM(E165:M165)</f>
        <v>1</v>
      </c>
      <c r="O165" s="1"/>
      <c r="P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3">
        <f t="shared" si="34"/>
        <v>2</v>
      </c>
      <c r="O166" s="54"/>
      <c r="P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1.0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3">
        <f t="shared" si="34"/>
        <v>1</v>
      </c>
      <c r="O167" s="5"/>
      <c r="P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3">
        <f t="shared" si="34"/>
        <v>0</v>
      </c>
      <c r="O168" s="5"/>
      <c r="P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3">
        <f t="shared" si="34"/>
        <v>0</v>
      </c>
      <c r="O169" s="5"/>
      <c r="P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3">
        <f t="shared" si="34"/>
        <v>0</v>
      </c>
      <c r="O170" s="5"/>
      <c r="P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3">
        <f t="shared" si="34"/>
        <v>0</v>
      </c>
      <c r="O171" s="5"/>
      <c r="P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3">
        <f t="shared" si="34"/>
        <v>0</v>
      </c>
      <c r="O172" s="5"/>
      <c r="P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3">
        <f t="shared" si="34"/>
        <v>0</v>
      </c>
      <c r="O173" s="5"/>
      <c r="P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3">
        <f t="shared" si="34"/>
        <v>0</v>
      </c>
      <c r="O174" s="5"/>
      <c r="P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M175" si="35">SUM(E165:E172)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4"/>
        <v>4</v>
      </c>
      <c r="O175" s="5"/>
      <c r="P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1"/>
      <c r="P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1.0</v>
      </c>
      <c r="F177" s="19">
        <v>0.0</v>
      </c>
      <c r="G177" s="19">
        <v>2.0</v>
      </c>
      <c r="H177" s="19">
        <v>0.0</v>
      </c>
      <c r="I177" s="19">
        <v>0.0</v>
      </c>
      <c r="J177" s="19">
        <v>0.0</v>
      </c>
      <c r="K177" s="19">
        <v>0.0</v>
      </c>
      <c r="L177" s="19">
        <v>7.0</v>
      </c>
      <c r="M177" s="19">
        <v>4.0</v>
      </c>
      <c r="N177" s="13">
        <f t="shared" ref="N177:N187" si="36">SUM(E177:M177)</f>
        <v>14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1.0</v>
      </c>
      <c r="F178" s="19">
        <v>0.0</v>
      </c>
      <c r="G178" s="19">
        <v>2.0</v>
      </c>
      <c r="H178" s="19">
        <v>1.0</v>
      </c>
      <c r="I178" s="19">
        <v>1.0</v>
      </c>
      <c r="J178" s="19">
        <v>3.0</v>
      </c>
      <c r="K178" s="19">
        <v>0.0</v>
      </c>
      <c r="L178" s="19">
        <v>18.0</v>
      </c>
      <c r="M178" s="19">
        <v>3.0</v>
      </c>
      <c r="N178" s="13">
        <f t="shared" si="36"/>
        <v>29</v>
      </c>
      <c r="O178" s="5"/>
      <c r="P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1.0</v>
      </c>
      <c r="M179" s="19">
        <v>1.0</v>
      </c>
      <c r="N179" s="13">
        <f t="shared" si="36"/>
        <v>2</v>
      </c>
      <c r="O179" s="5"/>
      <c r="P179" s="5"/>
    </row>
    <row r="180" ht="12.75" customHeight="1">
      <c r="A180" s="18"/>
      <c r="B180" s="57">
        <v>3.0</v>
      </c>
      <c r="C180" s="52" t="s">
        <v>132</v>
      </c>
      <c r="D180" s="60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3">
        <f t="shared" si="36"/>
        <v>1</v>
      </c>
      <c r="O180" s="5"/>
      <c r="P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6"/>
        <v>0</v>
      </c>
      <c r="O181" s="5"/>
      <c r="P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0</v>
      </c>
      <c r="O182" s="5"/>
      <c r="P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6"/>
        <v>0</v>
      </c>
      <c r="O183" s="5"/>
      <c r="P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3">
        <f t="shared" si="36"/>
        <v>0</v>
      </c>
      <c r="O184" s="5"/>
      <c r="P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3">
        <f t="shared" si="36"/>
        <v>0</v>
      </c>
      <c r="O185" s="5"/>
      <c r="P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M187" si="37">SUM(E177:E184)</f>
        <v>3</v>
      </c>
      <c r="F187" s="13">
        <f t="shared" si="37"/>
        <v>0</v>
      </c>
      <c r="G187" s="13">
        <f t="shared" si="37"/>
        <v>4</v>
      </c>
      <c r="H187" s="13">
        <f t="shared" si="37"/>
        <v>1</v>
      </c>
      <c r="I187" s="13">
        <f t="shared" si="37"/>
        <v>1</v>
      </c>
      <c r="J187" s="13">
        <f t="shared" si="37"/>
        <v>3</v>
      </c>
      <c r="K187" s="13">
        <f t="shared" si="37"/>
        <v>0</v>
      </c>
      <c r="L187" s="13">
        <f t="shared" si="37"/>
        <v>26</v>
      </c>
      <c r="M187" s="13">
        <f t="shared" si="37"/>
        <v>8</v>
      </c>
      <c r="N187" s="13">
        <f t="shared" si="36"/>
        <v>46</v>
      </c>
      <c r="O187" s="1"/>
      <c r="P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3">
        <f t="shared" ref="N189:N199" si="38">SUM(E189:M189)</f>
        <v>0</v>
      </c>
      <c r="O189" s="5"/>
      <c r="P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3">
        <f t="shared" si="38"/>
        <v>0</v>
      </c>
      <c r="O190" s="5"/>
      <c r="P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3">
        <f t="shared" si="38"/>
        <v>0</v>
      </c>
      <c r="O191" s="5"/>
      <c r="P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  <c r="O192" s="5"/>
      <c r="P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1.0</v>
      </c>
      <c r="L193" s="19">
        <v>0.0</v>
      </c>
      <c r="M193" s="19">
        <v>0.0</v>
      </c>
      <c r="N193" s="13">
        <f t="shared" si="38"/>
        <v>1</v>
      </c>
      <c r="O193" s="5"/>
      <c r="P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  <c r="O194" s="5"/>
      <c r="P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7">
        <v>7.0</v>
      </c>
      <c r="C196" s="52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3">
        <f t="shared" si="38"/>
        <v>0</v>
      </c>
      <c r="O196" s="1"/>
      <c r="P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3">
        <f t="shared" si="38"/>
        <v>0</v>
      </c>
      <c r="O197" s="1"/>
      <c r="P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8"/>
        <v>0</v>
      </c>
      <c r="O198" s="1"/>
      <c r="P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M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8"/>
        <v>1</v>
      </c>
      <c r="O199" s="54"/>
      <c r="P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5"/>
      <c r="P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2.0</v>
      </c>
      <c r="F201" s="19">
        <v>3.0</v>
      </c>
      <c r="G201" s="19">
        <v>2.0</v>
      </c>
      <c r="H201" s="19">
        <v>6.0</v>
      </c>
      <c r="I201" s="19">
        <v>7.0</v>
      </c>
      <c r="J201" s="19">
        <v>1.0</v>
      </c>
      <c r="K201" s="19">
        <v>0.0</v>
      </c>
      <c r="L201" s="19">
        <v>0.0</v>
      </c>
      <c r="M201" s="19">
        <v>6.0</v>
      </c>
      <c r="N201" s="13">
        <f t="shared" ref="N201:N211" si="40">SUM(E201:M201)</f>
        <v>27</v>
      </c>
      <c r="O201" s="5"/>
      <c r="P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3.0</v>
      </c>
      <c r="F202" s="19">
        <v>2.0</v>
      </c>
      <c r="G202" s="19">
        <v>2.0</v>
      </c>
      <c r="H202" s="19">
        <v>3.0</v>
      </c>
      <c r="I202" s="19">
        <v>1.0</v>
      </c>
      <c r="J202" s="19">
        <v>7.0</v>
      </c>
      <c r="K202" s="19">
        <v>0.0</v>
      </c>
      <c r="L202" s="19">
        <v>2.0</v>
      </c>
      <c r="M202" s="19">
        <v>0.0</v>
      </c>
      <c r="N202" s="13">
        <f t="shared" si="40"/>
        <v>20</v>
      </c>
      <c r="O202" s="5"/>
      <c r="P202" s="5"/>
    </row>
    <row r="203" ht="12.75" customHeight="1">
      <c r="A203" s="18"/>
      <c r="B203" s="57">
        <v>2.0</v>
      </c>
      <c r="C203" s="52" t="s">
        <v>149</v>
      </c>
      <c r="D203" s="60"/>
      <c r="E203" s="19">
        <v>1.0</v>
      </c>
      <c r="F203" s="19">
        <v>2.0</v>
      </c>
      <c r="G203" s="19">
        <v>0.0</v>
      </c>
      <c r="H203" s="19">
        <v>0.0</v>
      </c>
      <c r="I203" s="19">
        <v>1.0</v>
      </c>
      <c r="J203" s="19">
        <v>1.0</v>
      </c>
      <c r="K203" s="19">
        <v>0.0</v>
      </c>
      <c r="L203" s="19">
        <v>0.0</v>
      </c>
      <c r="M203" s="19">
        <v>3.0</v>
      </c>
      <c r="N203" s="13">
        <f t="shared" si="40"/>
        <v>8</v>
      </c>
      <c r="O203" s="5"/>
      <c r="P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3">
        <f t="shared" si="40"/>
        <v>2</v>
      </c>
      <c r="O204" s="5"/>
      <c r="P204" s="5"/>
    </row>
    <row r="205" ht="12.75" customHeight="1">
      <c r="A205" s="18"/>
      <c r="B205" s="57">
        <v>4.0</v>
      </c>
      <c r="C205" s="52" t="s">
        <v>151</v>
      </c>
      <c r="D205" s="60"/>
      <c r="E205" s="19">
        <v>9.0</v>
      </c>
      <c r="F205" s="19">
        <v>15.0</v>
      </c>
      <c r="G205" s="19">
        <v>3.0</v>
      </c>
      <c r="H205" s="19">
        <v>6.0</v>
      </c>
      <c r="I205" s="19">
        <v>0.0</v>
      </c>
      <c r="J205" s="19">
        <v>3.0</v>
      </c>
      <c r="K205" s="19">
        <v>0.0</v>
      </c>
      <c r="L205" s="19">
        <v>0.0</v>
      </c>
      <c r="M205" s="19">
        <v>0.0</v>
      </c>
      <c r="N205" s="13">
        <f t="shared" si="40"/>
        <v>36</v>
      </c>
      <c r="O205" s="5"/>
      <c r="P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3">
        <f t="shared" si="40"/>
        <v>2</v>
      </c>
      <c r="O206" s="5"/>
      <c r="P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  <c r="O207" s="1"/>
      <c r="P207" s="1"/>
    </row>
    <row r="208" ht="12.75" customHeight="1">
      <c r="A208" s="18"/>
      <c r="B208" s="57">
        <v>7.0</v>
      </c>
      <c r="C208" s="52" t="s">
        <v>154</v>
      </c>
      <c r="D208" s="60"/>
      <c r="E208" s="19">
        <v>1.0</v>
      </c>
      <c r="F208" s="19">
        <v>0.0</v>
      </c>
      <c r="G208" s="19">
        <v>1.0</v>
      </c>
      <c r="H208" s="19">
        <v>3.0</v>
      </c>
      <c r="I208" s="19">
        <v>2.0</v>
      </c>
      <c r="J208" s="19">
        <v>1.0</v>
      </c>
      <c r="K208" s="19">
        <v>1.0</v>
      </c>
      <c r="L208" s="19">
        <v>0.0</v>
      </c>
      <c r="M208" s="19">
        <v>0.0</v>
      </c>
      <c r="N208" s="13">
        <f t="shared" si="40"/>
        <v>9</v>
      </c>
      <c r="O208" s="54"/>
      <c r="P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3">
        <f t="shared" si="40"/>
        <v>0</v>
      </c>
      <c r="O209" s="54"/>
      <c r="P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3">
        <f t="shared" si="40"/>
        <v>0</v>
      </c>
      <c r="O210" s="54"/>
      <c r="P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M211" si="41">SUM(E201:E208)</f>
        <v>16</v>
      </c>
      <c r="F211" s="13">
        <f t="shared" si="41"/>
        <v>22</v>
      </c>
      <c r="G211" s="13">
        <f t="shared" si="41"/>
        <v>10</v>
      </c>
      <c r="H211" s="13">
        <f t="shared" si="41"/>
        <v>18</v>
      </c>
      <c r="I211" s="13">
        <f t="shared" si="41"/>
        <v>11</v>
      </c>
      <c r="J211" s="13">
        <f t="shared" si="41"/>
        <v>14</v>
      </c>
      <c r="K211" s="13">
        <f t="shared" si="41"/>
        <v>1</v>
      </c>
      <c r="L211" s="13">
        <f t="shared" si="41"/>
        <v>2</v>
      </c>
      <c r="M211" s="13">
        <f t="shared" si="41"/>
        <v>10</v>
      </c>
      <c r="N211" s="13">
        <f t="shared" si="40"/>
        <v>104</v>
      </c>
      <c r="O211" s="5"/>
      <c r="P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5"/>
      <c r="P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1.0</v>
      </c>
      <c r="F213" s="19">
        <v>4.0</v>
      </c>
      <c r="G213" s="19">
        <v>1.0</v>
      </c>
      <c r="H213" s="19">
        <v>0.0</v>
      </c>
      <c r="I213" s="19">
        <v>0.0</v>
      </c>
      <c r="J213" s="19">
        <v>0.0</v>
      </c>
      <c r="K213" s="19">
        <v>1.0</v>
      </c>
      <c r="L213" s="19">
        <v>1.0</v>
      </c>
      <c r="M213" s="19">
        <v>1.0</v>
      </c>
      <c r="N213" s="13">
        <f t="shared" ref="N213:N223" si="42">SUM(E213:M213)</f>
        <v>9</v>
      </c>
      <c r="O213" s="5"/>
      <c r="P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3.0</v>
      </c>
      <c r="F214" s="19">
        <v>0.0</v>
      </c>
      <c r="G214" s="19">
        <v>1.0</v>
      </c>
      <c r="H214" s="19">
        <v>1.0</v>
      </c>
      <c r="I214" s="19">
        <v>1.0</v>
      </c>
      <c r="J214" s="19">
        <v>1.0</v>
      </c>
      <c r="K214" s="19">
        <v>0.0</v>
      </c>
      <c r="L214" s="19">
        <v>3.0</v>
      </c>
      <c r="M214" s="19">
        <v>0.0</v>
      </c>
      <c r="N214" s="13">
        <f t="shared" si="42"/>
        <v>10</v>
      </c>
      <c r="O214" s="5"/>
      <c r="P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2.0</v>
      </c>
      <c r="G215" s="19">
        <v>2.0</v>
      </c>
      <c r="H215" s="19">
        <v>0.0</v>
      </c>
      <c r="I215" s="19">
        <v>2.0</v>
      </c>
      <c r="J215" s="19">
        <v>0.0</v>
      </c>
      <c r="K215" s="19">
        <v>0.0</v>
      </c>
      <c r="L215" s="19">
        <v>0.0</v>
      </c>
      <c r="M215" s="19">
        <v>0.0</v>
      </c>
      <c r="N215" s="13">
        <f t="shared" si="42"/>
        <v>6</v>
      </c>
      <c r="O215" s="5"/>
      <c r="P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3">
        <f t="shared" si="42"/>
        <v>1</v>
      </c>
      <c r="O216" s="5"/>
      <c r="P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3">
        <f t="shared" si="42"/>
        <v>1</v>
      </c>
      <c r="O217" s="5"/>
      <c r="P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3">
        <f t="shared" si="42"/>
        <v>1</v>
      </c>
      <c r="O218" s="1"/>
      <c r="P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3">
        <f t="shared" si="42"/>
        <v>0</v>
      </c>
      <c r="O219" s="54"/>
      <c r="P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2"/>
        <v>0</v>
      </c>
      <c r="O220" s="5"/>
      <c r="P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3">
        <f t="shared" si="42"/>
        <v>0</v>
      </c>
      <c r="O221" s="5"/>
      <c r="P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3">
        <f t="shared" si="42"/>
        <v>0</v>
      </c>
      <c r="O222" s="5"/>
      <c r="P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M223" si="43">SUM(E213:E220)</f>
        <v>4</v>
      </c>
      <c r="F223" s="13">
        <f t="shared" si="43"/>
        <v>7</v>
      </c>
      <c r="G223" s="13">
        <f t="shared" si="43"/>
        <v>5</v>
      </c>
      <c r="H223" s="13">
        <f t="shared" si="43"/>
        <v>1</v>
      </c>
      <c r="I223" s="13">
        <f t="shared" si="43"/>
        <v>3</v>
      </c>
      <c r="J223" s="13">
        <f t="shared" si="43"/>
        <v>1</v>
      </c>
      <c r="K223" s="13">
        <f t="shared" si="43"/>
        <v>1</v>
      </c>
      <c r="L223" s="13">
        <f t="shared" si="43"/>
        <v>4</v>
      </c>
      <c r="M223" s="13">
        <f t="shared" si="43"/>
        <v>2</v>
      </c>
      <c r="N223" s="13">
        <f t="shared" si="42"/>
        <v>28</v>
      </c>
      <c r="O223" s="5"/>
      <c r="P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5"/>
      <c r="P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3">
        <f t="shared" ref="N225:N235" si="44">SUM(E225:M225)</f>
        <v>1</v>
      </c>
      <c r="O225" s="5"/>
      <c r="P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3">
        <f t="shared" si="44"/>
        <v>1</v>
      </c>
      <c r="O226" s="5"/>
      <c r="P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3">
        <f t="shared" si="44"/>
        <v>0</v>
      </c>
      <c r="O227" s="5"/>
      <c r="P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0</v>
      </c>
      <c r="O228" s="5"/>
      <c r="P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3">
        <f t="shared" si="44"/>
        <v>0</v>
      </c>
      <c r="O230" s="54"/>
      <c r="P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3">
        <f t="shared" si="44"/>
        <v>0</v>
      </c>
      <c r="O231" s="5"/>
      <c r="P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3">
        <f t="shared" si="44"/>
        <v>0</v>
      </c>
      <c r="O232" s="5"/>
      <c r="P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3">
        <f t="shared" si="44"/>
        <v>0</v>
      </c>
      <c r="O233" s="5"/>
      <c r="P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3">
        <f t="shared" si="44"/>
        <v>0</v>
      </c>
      <c r="O234" s="5"/>
      <c r="P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M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4"/>
        <v>2</v>
      </c>
      <c r="O235" s="5"/>
      <c r="P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5"/>
      <c r="P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2.0</v>
      </c>
      <c r="G237" s="19">
        <v>3.0</v>
      </c>
      <c r="H237" s="19">
        <v>0.0</v>
      </c>
      <c r="I237" s="19">
        <v>1.0</v>
      </c>
      <c r="J237" s="19">
        <v>0.0</v>
      </c>
      <c r="K237" s="19">
        <v>0.0</v>
      </c>
      <c r="L237" s="19">
        <v>1.0</v>
      </c>
      <c r="M237" s="19">
        <v>1.0</v>
      </c>
      <c r="N237" s="13">
        <f t="shared" ref="N237:N247" si="46">SUM(E237:M237)</f>
        <v>9</v>
      </c>
      <c r="O237" s="5"/>
      <c r="P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1.0</v>
      </c>
      <c r="G238" s="19">
        <v>2.0</v>
      </c>
      <c r="H238" s="19">
        <v>1.0</v>
      </c>
      <c r="I238" s="19">
        <v>1.0</v>
      </c>
      <c r="J238" s="19">
        <v>1.0</v>
      </c>
      <c r="K238" s="19">
        <v>0.0</v>
      </c>
      <c r="L238" s="19">
        <v>0.0</v>
      </c>
      <c r="M238" s="19">
        <v>2.0</v>
      </c>
      <c r="N238" s="13">
        <f t="shared" si="46"/>
        <v>8</v>
      </c>
      <c r="O238" s="5"/>
      <c r="P238" s="5"/>
    </row>
    <row r="239" ht="12.75" customHeight="1">
      <c r="A239" s="18"/>
      <c r="B239" s="57">
        <v>2.0</v>
      </c>
      <c r="C239" s="52" t="s">
        <v>176</v>
      </c>
      <c r="D239" s="60"/>
      <c r="E239" s="19">
        <v>2.0</v>
      </c>
      <c r="F239" s="19">
        <v>4.0</v>
      </c>
      <c r="G239" s="19">
        <v>4.0</v>
      </c>
      <c r="H239" s="19">
        <v>1.0</v>
      </c>
      <c r="I239" s="19">
        <v>0.0</v>
      </c>
      <c r="J239" s="19">
        <v>8.0</v>
      </c>
      <c r="K239" s="19">
        <v>2.0</v>
      </c>
      <c r="L239" s="19">
        <v>5.0</v>
      </c>
      <c r="M239" s="19">
        <v>8.0</v>
      </c>
      <c r="N239" s="13">
        <f t="shared" si="46"/>
        <v>34</v>
      </c>
      <c r="O239" s="5"/>
      <c r="P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3">
        <f t="shared" si="46"/>
        <v>0</v>
      </c>
      <c r="O240" s="1"/>
      <c r="P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3">
        <f t="shared" si="46"/>
        <v>1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1.0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9.0</v>
      </c>
      <c r="F244" s="19">
        <v>17.0</v>
      </c>
      <c r="G244" s="19">
        <v>17.0</v>
      </c>
      <c r="H244" s="19">
        <v>19.0</v>
      </c>
      <c r="I244" s="19">
        <v>27.0</v>
      </c>
      <c r="J244" s="19">
        <v>22.0</v>
      </c>
      <c r="K244" s="19">
        <v>4.0</v>
      </c>
      <c r="L244" s="19">
        <v>1.0</v>
      </c>
      <c r="M244" s="19">
        <v>0.0</v>
      </c>
      <c r="N244" s="13">
        <f t="shared" si="46"/>
        <v>116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M247" si="47">SUM(E237:E244)</f>
        <v>12</v>
      </c>
      <c r="F247" s="13">
        <f t="shared" si="47"/>
        <v>25</v>
      </c>
      <c r="G247" s="13">
        <f t="shared" si="47"/>
        <v>27</v>
      </c>
      <c r="H247" s="13">
        <f t="shared" si="47"/>
        <v>21</v>
      </c>
      <c r="I247" s="13">
        <f t="shared" si="47"/>
        <v>29</v>
      </c>
      <c r="J247" s="13">
        <f t="shared" si="47"/>
        <v>31</v>
      </c>
      <c r="K247" s="13">
        <f t="shared" si="47"/>
        <v>6</v>
      </c>
      <c r="L247" s="13">
        <f t="shared" si="47"/>
        <v>7</v>
      </c>
      <c r="M247" s="13">
        <f t="shared" si="47"/>
        <v>11</v>
      </c>
      <c r="N247" s="13">
        <f t="shared" si="46"/>
        <v>169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3">
        <f t="shared" ref="N249:N259" si="48">SUM(E249:M249)</f>
        <v>1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3">
        <f t="shared" si="48"/>
        <v>2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1.0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8"/>
        <v>1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M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2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8"/>
        <v>4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M262" si="50">E55+E67+E79+E91+E103+E115+E127+E139+E151+E163+E175+E187+E199+E211+E223+E235+E247+E259</f>
        <v>192</v>
      </c>
      <c r="F262" s="19">
        <f t="shared" si="50"/>
        <v>204</v>
      </c>
      <c r="G262" s="19">
        <f t="shared" si="50"/>
        <v>209</v>
      </c>
      <c r="H262" s="19">
        <f t="shared" si="50"/>
        <v>211</v>
      </c>
      <c r="I262" s="19">
        <f t="shared" si="50"/>
        <v>214</v>
      </c>
      <c r="J262" s="19">
        <f t="shared" si="50"/>
        <v>197</v>
      </c>
      <c r="K262" s="19">
        <f t="shared" si="50"/>
        <v>185</v>
      </c>
      <c r="L262" s="19">
        <f t="shared" si="50"/>
        <v>205</v>
      </c>
      <c r="M262" s="19">
        <f t="shared" si="50"/>
        <v>222</v>
      </c>
      <c r="N262" s="13">
        <f t="shared" ref="N262:N264" si="51">SUM(E262:M262)</f>
        <v>1839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22.0</v>
      </c>
      <c r="F263" s="19">
        <v>20.0</v>
      </c>
      <c r="G263" s="19">
        <v>31.0</v>
      </c>
      <c r="H263" s="19">
        <v>20.0</v>
      </c>
      <c r="I263" s="19">
        <v>14.0</v>
      </c>
      <c r="J263" s="19">
        <v>31.0</v>
      </c>
      <c r="K263" s="19">
        <v>53.0</v>
      </c>
      <c r="L263" s="19">
        <v>20.0</v>
      </c>
      <c r="M263" s="19"/>
      <c r="N263" s="13">
        <f t="shared" si="51"/>
        <v>211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M264" si="52">SUM(E262:E263)</f>
        <v>214</v>
      </c>
      <c r="F264" s="13">
        <f t="shared" si="52"/>
        <v>224</v>
      </c>
      <c r="G264" s="13">
        <f t="shared" si="52"/>
        <v>240</v>
      </c>
      <c r="H264" s="13">
        <f t="shared" si="52"/>
        <v>231</v>
      </c>
      <c r="I264" s="13">
        <f t="shared" si="52"/>
        <v>228</v>
      </c>
      <c r="J264" s="13">
        <f t="shared" si="52"/>
        <v>228</v>
      </c>
      <c r="K264" s="13">
        <f t="shared" si="52"/>
        <v>238</v>
      </c>
      <c r="L264" s="13">
        <f t="shared" si="52"/>
        <v>225</v>
      </c>
      <c r="M264" s="13">
        <f t="shared" si="52"/>
        <v>222</v>
      </c>
      <c r="N264" s="13">
        <f t="shared" si="51"/>
        <v>2050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37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144.0</v>
      </c>
      <c r="G14" s="19">
        <v>136.0</v>
      </c>
      <c r="H14" s="19">
        <v>140.0</v>
      </c>
      <c r="I14" s="19">
        <v>140.0</v>
      </c>
      <c r="J14" s="19">
        <v>146.0</v>
      </c>
      <c r="K14" s="19">
        <v>135.0</v>
      </c>
      <c r="L14" s="19">
        <v>143.0</v>
      </c>
      <c r="M14" s="19">
        <v>143.0</v>
      </c>
      <c r="N14" s="19">
        <v>103.0</v>
      </c>
      <c r="O14" s="19">
        <v>133.0</v>
      </c>
      <c r="P14" s="19">
        <v>138.0</v>
      </c>
      <c r="Q14" s="19">
        <v>135.0</v>
      </c>
      <c r="R14" s="13">
        <f t="shared" ref="R14:R16" si="1">SUM(E14:Q14)</f>
        <v>1761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128.0</v>
      </c>
      <c r="G15" s="19">
        <v>140.0</v>
      </c>
      <c r="H15" s="19">
        <v>150.0</v>
      </c>
      <c r="I15" s="19">
        <v>136.0</v>
      </c>
      <c r="J15" s="19">
        <v>142.0</v>
      </c>
      <c r="K15" s="19">
        <v>152.0</v>
      </c>
      <c r="L15" s="19">
        <v>143.0</v>
      </c>
      <c r="M15" s="19">
        <v>142.0</v>
      </c>
      <c r="N15" s="19">
        <v>99.0</v>
      </c>
      <c r="O15" s="19">
        <v>115.0</v>
      </c>
      <c r="P15" s="19">
        <v>128.0</v>
      </c>
      <c r="Q15" s="19">
        <v>137.0</v>
      </c>
      <c r="R15" s="13">
        <f t="shared" si="1"/>
        <v>1759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272</v>
      </c>
      <c r="F16" s="13">
        <f t="shared" si="2"/>
        <v>272</v>
      </c>
      <c r="G16" s="13">
        <f t="shared" si="2"/>
        <v>276</v>
      </c>
      <c r="H16" s="13">
        <f t="shared" si="2"/>
        <v>290</v>
      </c>
      <c r="I16" s="13">
        <f t="shared" si="2"/>
        <v>276</v>
      </c>
      <c r="J16" s="13">
        <f t="shared" si="2"/>
        <v>288</v>
      </c>
      <c r="K16" s="13">
        <f t="shared" si="2"/>
        <v>287</v>
      </c>
      <c r="L16" s="13">
        <f t="shared" si="2"/>
        <v>286</v>
      </c>
      <c r="M16" s="13">
        <f t="shared" si="2"/>
        <v>285</v>
      </c>
      <c r="N16" s="13">
        <f t="shared" si="2"/>
        <v>202</v>
      </c>
      <c r="O16" s="13">
        <f t="shared" si="2"/>
        <v>248</v>
      </c>
      <c r="P16" s="13">
        <f t="shared" si="2"/>
        <v>266</v>
      </c>
      <c r="Q16" s="13">
        <f t="shared" si="2"/>
        <v>272</v>
      </c>
      <c r="R16" s="13">
        <f t="shared" si="1"/>
        <v>3520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19"/>
      <c r="Q17" s="19"/>
      <c r="R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108.0</v>
      </c>
      <c r="G19" s="19">
        <v>112.0</v>
      </c>
      <c r="H19" s="19">
        <v>103.0</v>
      </c>
      <c r="I19" s="19">
        <v>110.0</v>
      </c>
      <c r="J19" s="19">
        <v>116.0</v>
      </c>
      <c r="K19" s="19">
        <v>107.0</v>
      </c>
      <c r="L19" s="19">
        <v>112.0</v>
      </c>
      <c r="M19" s="19">
        <v>115.0</v>
      </c>
      <c r="N19" s="19">
        <v>90.0</v>
      </c>
      <c r="O19" s="19">
        <v>101.0</v>
      </c>
      <c r="P19" s="19">
        <v>100.0</v>
      </c>
      <c r="Q19" s="19">
        <v>111.0</v>
      </c>
      <c r="R19" s="13">
        <f t="shared" ref="R19:R30" si="3">SUM(E19:Q19)</f>
        <v>1390</v>
      </c>
    </row>
    <row r="20" ht="12.75" customHeight="1">
      <c r="A20" s="34"/>
      <c r="B20" s="27"/>
      <c r="C20" s="35"/>
      <c r="D20" s="19" t="s">
        <v>13</v>
      </c>
      <c r="E20" s="19">
        <v>130.0</v>
      </c>
      <c r="F20" s="19">
        <v>109.0</v>
      </c>
      <c r="G20" s="19">
        <v>124.0</v>
      </c>
      <c r="H20" s="19">
        <v>118.0</v>
      </c>
      <c r="I20" s="19">
        <v>125.0</v>
      </c>
      <c r="J20" s="19">
        <v>125.0</v>
      </c>
      <c r="K20" s="19">
        <v>125.0</v>
      </c>
      <c r="L20" s="19">
        <v>126.0</v>
      </c>
      <c r="M20" s="19">
        <v>122.0</v>
      </c>
      <c r="N20" s="19">
        <v>84.0</v>
      </c>
      <c r="O20" s="19">
        <v>91.0</v>
      </c>
      <c r="P20" s="19">
        <v>115.0</v>
      </c>
      <c r="Q20" s="19">
        <v>118.0</v>
      </c>
      <c r="R20" s="13">
        <f t="shared" si="3"/>
        <v>1512</v>
      </c>
    </row>
    <row r="21" ht="12.75" customHeight="1">
      <c r="A21" s="36"/>
      <c r="B21" s="28"/>
      <c r="C21" s="37"/>
      <c r="D21" s="13" t="s">
        <v>14</v>
      </c>
      <c r="E21" s="13">
        <f t="shared" ref="E21:Q21" si="4">SUM(E19:E20)</f>
        <v>235</v>
      </c>
      <c r="F21" s="13">
        <f t="shared" si="4"/>
        <v>217</v>
      </c>
      <c r="G21" s="13">
        <f t="shared" si="4"/>
        <v>236</v>
      </c>
      <c r="H21" s="13">
        <f t="shared" si="4"/>
        <v>221</v>
      </c>
      <c r="I21" s="13">
        <f t="shared" si="4"/>
        <v>235</v>
      </c>
      <c r="J21" s="13">
        <f t="shared" si="4"/>
        <v>241</v>
      </c>
      <c r="K21" s="13">
        <f t="shared" si="4"/>
        <v>232</v>
      </c>
      <c r="L21" s="13">
        <f t="shared" si="4"/>
        <v>238</v>
      </c>
      <c r="M21" s="13">
        <f t="shared" si="4"/>
        <v>237</v>
      </c>
      <c r="N21" s="13">
        <f t="shared" si="4"/>
        <v>174</v>
      </c>
      <c r="O21" s="13">
        <f t="shared" si="4"/>
        <v>192</v>
      </c>
      <c r="P21" s="13">
        <f t="shared" si="4"/>
        <v>215</v>
      </c>
      <c r="Q21" s="13">
        <f t="shared" si="4"/>
        <v>229</v>
      </c>
      <c r="R21" s="13">
        <f t="shared" si="3"/>
        <v>2902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3.0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3">
        <f t="shared" si="3"/>
        <v>4</v>
      </c>
    </row>
    <row r="27" ht="12.75" customHeight="1">
      <c r="A27" s="36"/>
      <c r="B27" s="28"/>
      <c r="C27" s="37"/>
      <c r="D27" s="13" t="s">
        <v>14</v>
      </c>
      <c r="E27" s="13">
        <f t="shared" ref="E27:Q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3"/>
        <v>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Q28" si="7">SUM(E19,E22,E25)</f>
        <v>105</v>
      </c>
      <c r="F28" s="13">
        <f t="shared" si="7"/>
        <v>109</v>
      </c>
      <c r="G28" s="13">
        <f t="shared" si="7"/>
        <v>112</v>
      </c>
      <c r="H28" s="13">
        <f t="shared" si="7"/>
        <v>103</v>
      </c>
      <c r="I28" s="13">
        <f t="shared" si="7"/>
        <v>110</v>
      </c>
      <c r="J28" s="13">
        <f t="shared" si="7"/>
        <v>116</v>
      </c>
      <c r="K28" s="13">
        <f t="shared" si="7"/>
        <v>107</v>
      </c>
      <c r="L28" s="13">
        <f t="shared" si="7"/>
        <v>112</v>
      </c>
      <c r="M28" s="13">
        <f t="shared" si="7"/>
        <v>115</v>
      </c>
      <c r="N28" s="13">
        <f t="shared" si="7"/>
        <v>91</v>
      </c>
      <c r="O28" s="13">
        <f t="shared" si="7"/>
        <v>101</v>
      </c>
      <c r="P28" s="13">
        <f t="shared" si="7"/>
        <v>100</v>
      </c>
      <c r="Q28" s="13">
        <f t="shared" si="7"/>
        <v>111</v>
      </c>
      <c r="R28" s="13">
        <f t="shared" si="3"/>
        <v>1392</v>
      </c>
    </row>
    <row r="29" ht="12.75" customHeight="1">
      <c r="A29" s="36"/>
      <c r="B29" s="27"/>
      <c r="C29" s="35"/>
      <c r="D29" s="13" t="s">
        <v>13</v>
      </c>
      <c r="E29" s="13">
        <f t="shared" ref="E29:Q29" si="8">SUM(E20,E23,E26)</f>
        <v>130</v>
      </c>
      <c r="F29" s="13">
        <f t="shared" si="8"/>
        <v>109</v>
      </c>
      <c r="G29" s="13">
        <f t="shared" si="8"/>
        <v>124</v>
      </c>
      <c r="H29" s="13">
        <f t="shared" si="8"/>
        <v>118</v>
      </c>
      <c r="I29" s="13">
        <f t="shared" si="8"/>
        <v>125</v>
      </c>
      <c r="J29" s="13">
        <f t="shared" si="8"/>
        <v>125</v>
      </c>
      <c r="K29" s="13">
        <f t="shared" si="8"/>
        <v>128</v>
      </c>
      <c r="L29" s="13">
        <f t="shared" si="8"/>
        <v>126</v>
      </c>
      <c r="M29" s="13">
        <f t="shared" si="8"/>
        <v>122</v>
      </c>
      <c r="N29" s="13">
        <f t="shared" si="8"/>
        <v>85</v>
      </c>
      <c r="O29" s="13">
        <f t="shared" si="8"/>
        <v>91</v>
      </c>
      <c r="P29" s="13">
        <f t="shared" si="8"/>
        <v>115</v>
      </c>
      <c r="Q29" s="13">
        <f t="shared" si="8"/>
        <v>118</v>
      </c>
      <c r="R29" s="13">
        <f t="shared" si="3"/>
        <v>1516</v>
      </c>
    </row>
    <row r="30" ht="12.75" customHeight="1">
      <c r="A30" s="36"/>
      <c r="B30" s="28"/>
      <c r="C30" s="37"/>
      <c r="D30" s="13" t="s">
        <v>14</v>
      </c>
      <c r="E30" s="13">
        <f t="shared" ref="E30:Q30" si="9">SUM(E28:E29)</f>
        <v>235</v>
      </c>
      <c r="F30" s="13">
        <f t="shared" si="9"/>
        <v>218</v>
      </c>
      <c r="G30" s="13">
        <f t="shared" si="9"/>
        <v>236</v>
      </c>
      <c r="H30" s="13">
        <f t="shared" si="9"/>
        <v>221</v>
      </c>
      <c r="I30" s="13">
        <f t="shared" si="9"/>
        <v>235</v>
      </c>
      <c r="J30" s="13">
        <f t="shared" si="9"/>
        <v>241</v>
      </c>
      <c r="K30" s="13">
        <f t="shared" si="9"/>
        <v>235</v>
      </c>
      <c r="L30" s="13">
        <f t="shared" si="9"/>
        <v>238</v>
      </c>
      <c r="M30" s="13">
        <f t="shared" si="9"/>
        <v>237</v>
      </c>
      <c r="N30" s="13">
        <f t="shared" si="9"/>
        <v>176</v>
      </c>
      <c r="O30" s="13">
        <f t="shared" si="9"/>
        <v>192</v>
      </c>
      <c r="P30" s="13">
        <f t="shared" si="9"/>
        <v>215</v>
      </c>
      <c r="Q30" s="13">
        <f t="shared" si="9"/>
        <v>229</v>
      </c>
      <c r="R30" s="13">
        <f t="shared" si="3"/>
        <v>2908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19"/>
      <c r="Q31" s="19"/>
      <c r="R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1" t="s">
        <v>213</v>
      </c>
      <c r="Q32" s="71" t="s">
        <v>214</v>
      </c>
      <c r="R32" s="70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267.0</v>
      </c>
      <c r="G33" s="19">
        <v>282.0</v>
      </c>
      <c r="H33" s="19">
        <v>296.0</v>
      </c>
      <c r="I33" s="19">
        <v>272.0</v>
      </c>
      <c r="J33" s="19">
        <v>294.0</v>
      </c>
      <c r="K33" s="19">
        <v>294.0</v>
      </c>
      <c r="L33" s="19">
        <v>292.0</v>
      </c>
      <c r="M33" s="19">
        <v>291.0</v>
      </c>
      <c r="N33" s="19">
        <v>207.0</v>
      </c>
      <c r="O33" s="19">
        <v>253.0</v>
      </c>
      <c r="P33" s="19">
        <v>272.0</v>
      </c>
      <c r="Q33" s="19">
        <v>278.0</v>
      </c>
      <c r="R33" s="13">
        <f t="shared" ref="R33:R36" si="10">SUM(E33:Q33)</f>
        <v>3576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218.0</v>
      </c>
      <c r="G34" s="13">
        <v>236.0</v>
      </c>
      <c r="H34" s="13">
        <v>221.0</v>
      </c>
      <c r="I34" s="13">
        <v>235.0</v>
      </c>
      <c r="J34" s="13">
        <v>241.0</v>
      </c>
      <c r="K34" s="13">
        <v>235.0</v>
      </c>
      <c r="L34" s="13">
        <v>238.0</v>
      </c>
      <c r="M34" s="13">
        <v>237.0</v>
      </c>
      <c r="N34" s="13">
        <v>176.0</v>
      </c>
      <c r="O34" s="13">
        <v>192.0</v>
      </c>
      <c r="P34" s="13">
        <v>215.0</v>
      </c>
      <c r="Q34" s="13">
        <v>229.0</v>
      </c>
      <c r="R34" s="13">
        <f t="shared" si="10"/>
        <v>2908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3.0</v>
      </c>
      <c r="Q35" s="19">
        <v>0.0</v>
      </c>
      <c r="R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43</v>
      </c>
      <c r="F36" s="13">
        <f t="shared" si="11"/>
        <v>48</v>
      </c>
      <c r="G36" s="13">
        <f t="shared" si="11"/>
        <v>46</v>
      </c>
      <c r="H36" s="13">
        <f t="shared" si="11"/>
        <v>75</v>
      </c>
      <c r="I36" s="13">
        <f t="shared" si="11"/>
        <v>37</v>
      </c>
      <c r="J36" s="13">
        <f t="shared" si="11"/>
        <v>53</v>
      </c>
      <c r="K36" s="13">
        <f t="shared" si="11"/>
        <v>58</v>
      </c>
      <c r="L36" s="13">
        <f t="shared" si="11"/>
        <v>54</v>
      </c>
      <c r="M36" s="13">
        <f t="shared" si="11"/>
        <v>54</v>
      </c>
      <c r="N36" s="13">
        <f t="shared" si="11"/>
        <v>31</v>
      </c>
      <c r="O36" s="13">
        <f t="shared" si="11"/>
        <v>61</v>
      </c>
      <c r="P36" s="13">
        <f t="shared" si="11"/>
        <v>54</v>
      </c>
      <c r="Q36" s="13">
        <f t="shared" si="11"/>
        <v>49</v>
      </c>
      <c r="R36" s="13">
        <f t="shared" si="10"/>
        <v>663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19"/>
      <c r="Q37" s="19"/>
      <c r="R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1" t="s">
        <v>213</v>
      </c>
      <c r="Q38" s="71" t="s">
        <v>214</v>
      </c>
      <c r="R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9"/>
      <c r="Q42" s="19"/>
      <c r="R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71" t="s">
        <v>213</v>
      </c>
      <c r="Q43" s="71" t="s">
        <v>214</v>
      </c>
      <c r="R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9"/>
      <c r="Q44" s="19"/>
      <c r="R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3.0</v>
      </c>
      <c r="F45" s="19">
        <v>3.0</v>
      </c>
      <c r="G45" s="19">
        <v>4.0</v>
      </c>
      <c r="H45" s="19">
        <v>10.0</v>
      </c>
      <c r="I45" s="19">
        <v>19.0</v>
      </c>
      <c r="J45" s="19">
        <v>7.0</v>
      </c>
      <c r="K45" s="19">
        <v>11.0</v>
      </c>
      <c r="L45" s="19">
        <v>9.0</v>
      </c>
      <c r="M45" s="19">
        <v>5.0</v>
      </c>
      <c r="N45" s="19">
        <v>0.0</v>
      </c>
      <c r="O45" s="19">
        <v>1.0</v>
      </c>
      <c r="P45" s="19">
        <v>4.0</v>
      </c>
      <c r="Q45" s="19">
        <v>10.0</v>
      </c>
      <c r="R45" s="13">
        <f t="shared" ref="R45:R55" si="14">SUM(E45:Q45)</f>
        <v>86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18.0</v>
      </c>
      <c r="F46" s="19">
        <v>13.0</v>
      </c>
      <c r="G46" s="19">
        <v>7.0</v>
      </c>
      <c r="H46" s="19">
        <v>28.0</v>
      </c>
      <c r="I46" s="19">
        <v>32.0</v>
      </c>
      <c r="J46" s="19">
        <v>34.0</v>
      </c>
      <c r="K46" s="19">
        <v>41.0</v>
      </c>
      <c r="L46" s="19">
        <v>9.0</v>
      </c>
      <c r="M46" s="19">
        <v>16.0</v>
      </c>
      <c r="N46" s="19">
        <v>5.0</v>
      </c>
      <c r="O46" s="19">
        <v>29.0</v>
      </c>
      <c r="P46" s="19">
        <v>18.0</v>
      </c>
      <c r="Q46" s="19">
        <v>34.0</v>
      </c>
      <c r="R46" s="13">
        <f t="shared" si="14"/>
        <v>284</v>
      </c>
    </row>
    <row r="47" ht="12.75" customHeight="1">
      <c r="A47" s="18"/>
      <c r="B47" s="57">
        <v>2.0</v>
      </c>
      <c r="C47" s="52" t="s">
        <v>41</v>
      </c>
      <c r="D47" s="16"/>
      <c r="E47" s="19">
        <v>2.0</v>
      </c>
      <c r="F47" s="19">
        <v>3.0</v>
      </c>
      <c r="G47" s="19">
        <v>0.0</v>
      </c>
      <c r="H47" s="19">
        <v>3.0</v>
      </c>
      <c r="I47" s="19">
        <v>6.0</v>
      </c>
      <c r="J47" s="19">
        <v>12.0</v>
      </c>
      <c r="K47" s="19">
        <v>15.0</v>
      </c>
      <c r="L47" s="19">
        <v>3.0</v>
      </c>
      <c r="M47" s="19">
        <v>3.0</v>
      </c>
      <c r="N47" s="19">
        <v>1.0</v>
      </c>
      <c r="O47" s="19">
        <v>1.0</v>
      </c>
      <c r="P47" s="19">
        <v>1.0</v>
      </c>
      <c r="Q47" s="19">
        <v>9.0</v>
      </c>
      <c r="R47" s="13">
        <f t="shared" si="14"/>
        <v>59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1.0</v>
      </c>
      <c r="G48" s="19">
        <v>0.0</v>
      </c>
      <c r="H48" s="19">
        <v>2.0</v>
      </c>
      <c r="I48" s="19">
        <v>1.0</v>
      </c>
      <c r="J48" s="19">
        <v>0.0</v>
      </c>
      <c r="K48" s="19">
        <v>0.0</v>
      </c>
      <c r="L48" s="19">
        <v>0.0</v>
      </c>
      <c r="M48" s="19">
        <v>1.0</v>
      </c>
      <c r="N48" s="19">
        <v>1.0</v>
      </c>
      <c r="O48" s="19">
        <v>0.0</v>
      </c>
      <c r="P48" s="19">
        <v>0.0</v>
      </c>
      <c r="Q48" s="19">
        <v>2.0</v>
      </c>
      <c r="R48" s="13">
        <f t="shared" si="14"/>
        <v>8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1.0</v>
      </c>
      <c r="J49" s="19">
        <v>1.0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3">
        <f t="shared" si="14"/>
        <v>6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2.0</v>
      </c>
      <c r="K50" s="19">
        <v>0.0</v>
      </c>
      <c r="L50" s="19">
        <v>1.0</v>
      </c>
      <c r="M50" s="19">
        <v>1.0</v>
      </c>
      <c r="N50" s="19">
        <v>0.0</v>
      </c>
      <c r="O50" s="19">
        <v>0.0</v>
      </c>
      <c r="P50" s="19">
        <v>3.0</v>
      </c>
      <c r="Q50" s="19">
        <v>0.0</v>
      </c>
      <c r="R50" s="13">
        <f t="shared" si="14"/>
        <v>8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3">
        <f t="shared" si="14"/>
        <v>1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1.0</v>
      </c>
      <c r="Q52" s="19">
        <v>1.0</v>
      </c>
      <c r="R52" s="13">
        <f t="shared" si="14"/>
        <v>4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Q55" si="15">SUM(E45:E52)</f>
        <v>23</v>
      </c>
      <c r="F55" s="13">
        <f t="shared" si="15"/>
        <v>20</v>
      </c>
      <c r="G55" s="13">
        <f t="shared" si="15"/>
        <v>12</v>
      </c>
      <c r="H55" s="13">
        <f t="shared" si="15"/>
        <v>45</v>
      </c>
      <c r="I55" s="13">
        <f t="shared" si="15"/>
        <v>60</v>
      </c>
      <c r="J55" s="13">
        <f t="shared" si="15"/>
        <v>56</v>
      </c>
      <c r="K55" s="13">
        <f t="shared" si="15"/>
        <v>69</v>
      </c>
      <c r="L55" s="13">
        <f t="shared" si="15"/>
        <v>22</v>
      </c>
      <c r="M55" s="13">
        <f t="shared" si="15"/>
        <v>27</v>
      </c>
      <c r="N55" s="13">
        <f t="shared" si="15"/>
        <v>7</v>
      </c>
      <c r="O55" s="13">
        <f t="shared" si="15"/>
        <v>31</v>
      </c>
      <c r="P55" s="13">
        <f t="shared" si="15"/>
        <v>27</v>
      </c>
      <c r="Q55" s="13">
        <f t="shared" si="15"/>
        <v>57</v>
      </c>
      <c r="R55" s="13">
        <f t="shared" si="14"/>
        <v>456</v>
      </c>
    </row>
    <row r="56" ht="12.75" customHeight="1">
      <c r="A56" s="47"/>
      <c r="B56" s="46"/>
      <c r="C56" s="46"/>
      <c r="D56" s="46"/>
      <c r="E56" s="46"/>
      <c r="R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6.0</v>
      </c>
      <c r="F57" s="19">
        <v>8.0</v>
      </c>
      <c r="G57" s="19">
        <v>4.0</v>
      </c>
      <c r="H57" s="19">
        <v>9.0</v>
      </c>
      <c r="I57" s="19">
        <v>9.0</v>
      </c>
      <c r="J57" s="19">
        <v>11.0</v>
      </c>
      <c r="K57" s="19">
        <v>2.0</v>
      </c>
      <c r="L57" s="19">
        <v>13.0</v>
      </c>
      <c r="M57" s="19">
        <v>18.0</v>
      </c>
      <c r="N57" s="19">
        <v>18.0</v>
      </c>
      <c r="O57" s="19">
        <v>4.0</v>
      </c>
      <c r="P57" s="19">
        <v>5.0</v>
      </c>
      <c r="Q57" s="19">
        <v>4.0</v>
      </c>
      <c r="R57" s="13">
        <f t="shared" ref="R57:R67" si="16">SUM(E57:Q57)</f>
        <v>111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8.0</v>
      </c>
      <c r="F58" s="19">
        <v>5.0</v>
      </c>
      <c r="G58" s="19">
        <v>12.0</v>
      </c>
      <c r="H58" s="19">
        <v>13.0</v>
      </c>
      <c r="I58" s="19">
        <v>10.0</v>
      </c>
      <c r="J58" s="19">
        <v>2.0</v>
      </c>
      <c r="K58" s="19">
        <v>4.0</v>
      </c>
      <c r="L58" s="19">
        <v>37.0</v>
      </c>
      <c r="M58" s="19">
        <v>25.0</v>
      </c>
      <c r="N58" s="19">
        <v>40.0</v>
      </c>
      <c r="O58" s="19">
        <v>19.0</v>
      </c>
      <c r="P58" s="19">
        <v>4.0</v>
      </c>
      <c r="Q58" s="19">
        <v>3.0</v>
      </c>
      <c r="R58" s="13">
        <f t="shared" si="16"/>
        <v>182</v>
      </c>
    </row>
    <row r="59" ht="12.75" customHeight="1">
      <c r="A59" s="18"/>
      <c r="B59" s="57">
        <v>2.0</v>
      </c>
      <c r="C59" s="52" t="s">
        <v>50</v>
      </c>
      <c r="D59" s="58"/>
      <c r="E59" s="19">
        <v>2.0</v>
      </c>
      <c r="F59" s="19">
        <v>3.0</v>
      </c>
      <c r="G59" s="19">
        <v>0.0</v>
      </c>
      <c r="H59" s="19">
        <v>0.0</v>
      </c>
      <c r="I59" s="19">
        <v>0.0</v>
      </c>
      <c r="J59" s="19">
        <v>1.0</v>
      </c>
      <c r="K59" s="19">
        <v>3.0</v>
      </c>
      <c r="L59" s="19">
        <v>5.0</v>
      </c>
      <c r="M59" s="19">
        <v>3.0</v>
      </c>
      <c r="N59" s="19">
        <v>5.0</v>
      </c>
      <c r="O59" s="19">
        <v>5.0</v>
      </c>
      <c r="P59" s="19">
        <v>2.0</v>
      </c>
      <c r="Q59" s="19">
        <v>3.0</v>
      </c>
      <c r="R59" s="13">
        <f t="shared" si="16"/>
        <v>32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1.0</v>
      </c>
      <c r="G60" s="19">
        <v>2.0</v>
      </c>
      <c r="H60" s="19">
        <v>2.0</v>
      </c>
      <c r="I60" s="19">
        <v>0.0</v>
      </c>
      <c r="J60" s="19">
        <v>0.0</v>
      </c>
      <c r="K60" s="19">
        <v>1.0</v>
      </c>
      <c r="L60" s="19">
        <v>0.0</v>
      </c>
      <c r="M60" s="19">
        <v>1.0</v>
      </c>
      <c r="N60" s="19">
        <v>1.0</v>
      </c>
      <c r="O60" s="19">
        <v>0.0</v>
      </c>
      <c r="P60" s="19">
        <v>0.0</v>
      </c>
      <c r="Q60" s="19">
        <v>0.0</v>
      </c>
      <c r="R60" s="13">
        <f t="shared" si="16"/>
        <v>9</v>
      </c>
    </row>
    <row r="61" ht="12.75" customHeight="1">
      <c r="A61" s="18"/>
      <c r="B61" s="57">
        <v>4.0</v>
      </c>
      <c r="C61" s="52" t="s">
        <v>52</v>
      </c>
      <c r="D61" s="58"/>
      <c r="E61" s="19">
        <v>2.0</v>
      </c>
      <c r="F61" s="19">
        <v>3.0</v>
      </c>
      <c r="G61" s="19">
        <v>0.0</v>
      </c>
      <c r="H61" s="19">
        <v>1.0</v>
      </c>
      <c r="I61" s="19">
        <v>0.0</v>
      </c>
      <c r="J61" s="19">
        <v>0.0</v>
      </c>
      <c r="K61" s="19">
        <v>0.0</v>
      </c>
      <c r="L61" s="19">
        <v>0.0</v>
      </c>
      <c r="M61" s="19">
        <v>2.0</v>
      </c>
      <c r="N61" s="19">
        <v>0.0</v>
      </c>
      <c r="O61" s="19">
        <v>3.0</v>
      </c>
      <c r="P61" s="19">
        <v>1.0</v>
      </c>
      <c r="Q61" s="19">
        <v>2.0</v>
      </c>
      <c r="R61" s="13">
        <f t="shared" si="16"/>
        <v>14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2.0</v>
      </c>
      <c r="Q62" s="19">
        <v>0.0</v>
      </c>
      <c r="R62" s="13">
        <f t="shared" si="16"/>
        <v>4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0.0</v>
      </c>
      <c r="G63" s="19">
        <v>1.0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0.0</v>
      </c>
      <c r="Q63" s="19">
        <v>2.0</v>
      </c>
      <c r="R63" s="13">
        <f t="shared" si="16"/>
        <v>5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1.0</v>
      </c>
      <c r="R64" s="13">
        <f t="shared" si="16"/>
        <v>2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Q67" si="17">SUM(E57:E64)</f>
        <v>19</v>
      </c>
      <c r="F67" s="13">
        <f t="shared" si="17"/>
        <v>20</v>
      </c>
      <c r="G67" s="13">
        <f t="shared" si="17"/>
        <v>19</v>
      </c>
      <c r="H67" s="13">
        <f t="shared" si="17"/>
        <v>26</v>
      </c>
      <c r="I67" s="13">
        <f t="shared" si="17"/>
        <v>19</v>
      </c>
      <c r="J67" s="13">
        <f t="shared" si="17"/>
        <v>15</v>
      </c>
      <c r="K67" s="13">
        <f t="shared" si="17"/>
        <v>10</v>
      </c>
      <c r="L67" s="13">
        <f t="shared" si="17"/>
        <v>55</v>
      </c>
      <c r="M67" s="13">
        <f t="shared" si="17"/>
        <v>50</v>
      </c>
      <c r="N67" s="13">
        <f t="shared" si="17"/>
        <v>64</v>
      </c>
      <c r="O67" s="13">
        <f t="shared" si="17"/>
        <v>33</v>
      </c>
      <c r="P67" s="13">
        <f t="shared" si="17"/>
        <v>14</v>
      </c>
      <c r="Q67" s="13">
        <f t="shared" si="17"/>
        <v>15</v>
      </c>
      <c r="R67" s="13">
        <f t="shared" si="16"/>
        <v>359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3.0</v>
      </c>
      <c r="F69" s="19">
        <v>5.0</v>
      </c>
      <c r="G69" s="19">
        <v>14.0</v>
      </c>
      <c r="H69" s="19">
        <v>19.0</v>
      </c>
      <c r="I69" s="19">
        <v>6.0</v>
      </c>
      <c r="J69" s="19">
        <v>11.0</v>
      </c>
      <c r="K69" s="19">
        <v>11.0</v>
      </c>
      <c r="L69" s="19">
        <v>20.0</v>
      </c>
      <c r="M69" s="19">
        <v>12.0</v>
      </c>
      <c r="N69" s="19">
        <v>3.0</v>
      </c>
      <c r="O69" s="19">
        <v>6.0</v>
      </c>
      <c r="P69" s="19">
        <v>14.0</v>
      </c>
      <c r="Q69" s="19">
        <v>8.0</v>
      </c>
      <c r="R69" s="13">
        <f t="shared" ref="R69:R79" si="18">SUM(E69:Q69)</f>
        <v>132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7.0</v>
      </c>
      <c r="F70" s="19">
        <v>11.0</v>
      </c>
      <c r="G70" s="19">
        <v>8.0</v>
      </c>
      <c r="H70" s="19">
        <v>5.0</v>
      </c>
      <c r="I70" s="19">
        <v>2.0</v>
      </c>
      <c r="J70" s="19">
        <v>3.0</v>
      </c>
      <c r="K70" s="19">
        <v>0.0</v>
      </c>
      <c r="L70" s="19">
        <v>9.0</v>
      </c>
      <c r="M70" s="19">
        <v>3.0</v>
      </c>
      <c r="N70" s="19">
        <v>2.0</v>
      </c>
      <c r="O70" s="19">
        <v>3.0</v>
      </c>
      <c r="P70" s="19">
        <v>23.0</v>
      </c>
      <c r="Q70" s="19">
        <v>6.0</v>
      </c>
      <c r="R70" s="13">
        <f t="shared" si="18"/>
        <v>82</v>
      </c>
    </row>
    <row r="71" ht="12.75" customHeight="1">
      <c r="A71" s="18"/>
      <c r="B71" s="57">
        <v>2.0</v>
      </c>
      <c r="C71" s="52" t="s">
        <v>58</v>
      </c>
      <c r="D71" s="60"/>
      <c r="E71" s="19">
        <v>2.0</v>
      </c>
      <c r="F71" s="19">
        <v>1.0</v>
      </c>
      <c r="G71" s="19">
        <v>1.0</v>
      </c>
      <c r="H71" s="19">
        <v>6.0</v>
      </c>
      <c r="I71" s="19">
        <v>2.0</v>
      </c>
      <c r="J71" s="19">
        <v>0.0</v>
      </c>
      <c r="K71" s="19">
        <v>5.0</v>
      </c>
      <c r="L71" s="19">
        <v>11.0</v>
      </c>
      <c r="M71" s="19">
        <v>15.0</v>
      </c>
      <c r="N71" s="19">
        <v>3.0</v>
      </c>
      <c r="O71" s="19">
        <v>6.0</v>
      </c>
      <c r="P71" s="19">
        <v>6.0</v>
      </c>
      <c r="Q71" s="19">
        <v>12.0</v>
      </c>
      <c r="R71" s="13">
        <f t="shared" si="18"/>
        <v>70</v>
      </c>
    </row>
    <row r="72" ht="12.75" customHeight="1">
      <c r="A72" s="18"/>
      <c r="B72" s="57">
        <v>3.0</v>
      </c>
      <c r="C72" s="52" t="s">
        <v>59</v>
      </c>
      <c r="D72" s="60"/>
      <c r="E72" s="19">
        <v>47.0</v>
      </c>
      <c r="F72" s="19">
        <v>48.0</v>
      </c>
      <c r="G72" s="19">
        <v>77.0</v>
      </c>
      <c r="H72" s="19">
        <v>14.0</v>
      </c>
      <c r="I72" s="19">
        <v>7.0</v>
      </c>
      <c r="J72" s="19">
        <v>7.0</v>
      </c>
      <c r="K72" s="19">
        <v>4.0</v>
      </c>
      <c r="L72" s="19">
        <v>8.0</v>
      </c>
      <c r="M72" s="19">
        <v>2.0</v>
      </c>
      <c r="N72" s="19">
        <v>18.0</v>
      </c>
      <c r="O72" s="19">
        <v>8.0</v>
      </c>
      <c r="P72" s="19">
        <v>12.0</v>
      </c>
      <c r="Q72" s="19">
        <v>23.0</v>
      </c>
      <c r="R72" s="13">
        <f t="shared" si="18"/>
        <v>275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1.0</v>
      </c>
      <c r="G73" s="19">
        <v>1.0</v>
      </c>
      <c r="H73" s="19">
        <v>1.0</v>
      </c>
      <c r="I73" s="19">
        <v>0.0</v>
      </c>
      <c r="J73" s="19">
        <v>1.0</v>
      </c>
      <c r="K73" s="19">
        <v>1.0</v>
      </c>
      <c r="L73" s="19">
        <v>1.0</v>
      </c>
      <c r="M73" s="19">
        <v>2.0</v>
      </c>
      <c r="N73" s="19">
        <v>0.0</v>
      </c>
      <c r="O73" s="19">
        <v>3.0</v>
      </c>
      <c r="P73" s="19">
        <v>1.0</v>
      </c>
      <c r="Q73" s="19">
        <v>2.0</v>
      </c>
      <c r="R73" s="13">
        <f t="shared" si="18"/>
        <v>14</v>
      </c>
    </row>
    <row r="74" ht="12.75" customHeight="1">
      <c r="A74" s="18"/>
      <c r="B74" s="57">
        <v>5.0</v>
      </c>
      <c r="C74" s="52" t="s">
        <v>61</v>
      </c>
      <c r="D74" s="60"/>
      <c r="E74" s="19">
        <v>19.0</v>
      </c>
      <c r="F74" s="19">
        <v>13.0</v>
      </c>
      <c r="G74" s="19">
        <v>28.0</v>
      </c>
      <c r="H74" s="19">
        <v>2.0</v>
      </c>
      <c r="I74" s="19">
        <v>3.0</v>
      </c>
      <c r="J74" s="19">
        <v>7.0</v>
      </c>
      <c r="K74" s="19">
        <v>8.0</v>
      </c>
      <c r="L74" s="19">
        <v>6.0</v>
      </c>
      <c r="M74" s="19">
        <v>21.0</v>
      </c>
      <c r="N74" s="19">
        <v>9.0</v>
      </c>
      <c r="O74" s="19">
        <v>29.0</v>
      </c>
      <c r="P74" s="19">
        <v>45.0</v>
      </c>
      <c r="Q74" s="19">
        <v>12.0</v>
      </c>
      <c r="R74" s="13">
        <f t="shared" si="18"/>
        <v>202</v>
      </c>
    </row>
    <row r="75" ht="12.75" customHeight="1">
      <c r="A75" s="18"/>
      <c r="B75" s="57">
        <v>6.0</v>
      </c>
      <c r="C75" s="52" t="s">
        <v>62</v>
      </c>
      <c r="D75" s="60"/>
      <c r="E75" s="19">
        <v>1.0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1.0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3">
        <f t="shared" si="18"/>
        <v>5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2.0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3">
        <f t="shared" si="18"/>
        <v>2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Q79" si="19">SUM(E69:E76)</f>
        <v>79</v>
      </c>
      <c r="F79" s="13">
        <f t="shared" si="19"/>
        <v>80</v>
      </c>
      <c r="G79" s="13">
        <f t="shared" si="19"/>
        <v>129</v>
      </c>
      <c r="H79" s="13">
        <f t="shared" si="19"/>
        <v>47</v>
      </c>
      <c r="I79" s="13">
        <f t="shared" si="19"/>
        <v>20</v>
      </c>
      <c r="J79" s="13">
        <f t="shared" si="19"/>
        <v>29</v>
      </c>
      <c r="K79" s="13">
        <f t="shared" si="19"/>
        <v>30</v>
      </c>
      <c r="L79" s="13">
        <f t="shared" si="19"/>
        <v>58</v>
      </c>
      <c r="M79" s="13">
        <f t="shared" si="19"/>
        <v>56</v>
      </c>
      <c r="N79" s="13">
        <f t="shared" si="19"/>
        <v>35</v>
      </c>
      <c r="O79" s="13">
        <f t="shared" si="19"/>
        <v>55</v>
      </c>
      <c r="P79" s="13">
        <f t="shared" si="19"/>
        <v>101</v>
      </c>
      <c r="Q79" s="13">
        <f t="shared" si="19"/>
        <v>63</v>
      </c>
      <c r="R79" s="13">
        <f t="shared" si="18"/>
        <v>782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7.0</v>
      </c>
      <c r="F81" s="19">
        <v>3.0</v>
      </c>
      <c r="G81" s="19">
        <v>5.0</v>
      </c>
      <c r="H81" s="19">
        <v>4.0</v>
      </c>
      <c r="I81" s="19">
        <v>8.0</v>
      </c>
      <c r="J81" s="19">
        <v>6.0</v>
      </c>
      <c r="K81" s="19">
        <v>6.0</v>
      </c>
      <c r="L81" s="19">
        <v>9.0</v>
      </c>
      <c r="M81" s="19">
        <v>5.0</v>
      </c>
      <c r="N81" s="19">
        <v>1.0</v>
      </c>
      <c r="O81" s="19">
        <v>4.0</v>
      </c>
      <c r="P81" s="19">
        <v>6.0</v>
      </c>
      <c r="Q81" s="19">
        <v>2.0</v>
      </c>
      <c r="R81" s="13">
        <f t="shared" ref="R81:R91" si="20">SUM(E81:Q81)</f>
        <v>66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6.0</v>
      </c>
      <c r="F82" s="19">
        <v>11.0</v>
      </c>
      <c r="G82" s="19">
        <v>4.0</v>
      </c>
      <c r="H82" s="19">
        <v>11.0</v>
      </c>
      <c r="I82" s="19">
        <v>21.0</v>
      </c>
      <c r="J82" s="19">
        <v>19.0</v>
      </c>
      <c r="K82" s="19">
        <v>13.0</v>
      </c>
      <c r="L82" s="19">
        <v>19.0</v>
      </c>
      <c r="M82" s="19">
        <v>20.0</v>
      </c>
      <c r="N82" s="19">
        <v>11.0</v>
      </c>
      <c r="O82" s="19">
        <v>19.0</v>
      </c>
      <c r="P82" s="19">
        <v>12.0</v>
      </c>
      <c r="Q82" s="19">
        <v>12.0</v>
      </c>
      <c r="R82" s="13">
        <f t="shared" si="20"/>
        <v>178</v>
      </c>
    </row>
    <row r="83" ht="12.75" customHeight="1">
      <c r="A83" s="18"/>
      <c r="B83" s="57">
        <v>2.0</v>
      </c>
      <c r="C83" s="52" t="s">
        <v>66</v>
      </c>
      <c r="D83" s="60"/>
      <c r="E83" s="19">
        <v>0.0</v>
      </c>
      <c r="F83" s="19">
        <v>0.0</v>
      </c>
      <c r="G83" s="19">
        <v>1.0</v>
      </c>
      <c r="H83" s="19">
        <v>3.0</v>
      </c>
      <c r="I83" s="19">
        <v>4.0</v>
      </c>
      <c r="J83" s="19">
        <v>1.0</v>
      </c>
      <c r="K83" s="19">
        <v>4.0</v>
      </c>
      <c r="L83" s="19">
        <v>3.0</v>
      </c>
      <c r="M83" s="19">
        <v>9.0</v>
      </c>
      <c r="N83" s="19">
        <v>3.0</v>
      </c>
      <c r="O83" s="19">
        <v>5.0</v>
      </c>
      <c r="P83" s="19">
        <v>3.0</v>
      </c>
      <c r="Q83" s="19">
        <v>4.0</v>
      </c>
      <c r="R83" s="13">
        <f t="shared" si="20"/>
        <v>40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3.0</v>
      </c>
      <c r="L84" s="19">
        <v>0.0</v>
      </c>
      <c r="M84" s="19">
        <v>1.0</v>
      </c>
      <c r="N84" s="19">
        <v>2.0</v>
      </c>
      <c r="O84" s="19">
        <v>1.0</v>
      </c>
      <c r="P84" s="19">
        <v>1.0</v>
      </c>
      <c r="Q84" s="19">
        <v>0.0</v>
      </c>
      <c r="R84" s="13">
        <f t="shared" si="20"/>
        <v>10</v>
      </c>
    </row>
    <row r="85" ht="12.75" customHeight="1">
      <c r="A85" s="18"/>
      <c r="B85" s="57">
        <v>4.0</v>
      </c>
      <c r="C85" s="52" t="s">
        <v>68</v>
      </c>
      <c r="D85" s="60"/>
      <c r="E85" s="19">
        <v>2.0</v>
      </c>
      <c r="F85" s="19">
        <v>0.0</v>
      </c>
      <c r="G85" s="19">
        <v>1.0</v>
      </c>
      <c r="H85" s="19">
        <v>1.0</v>
      </c>
      <c r="I85" s="19">
        <v>0.0</v>
      </c>
      <c r="J85" s="19">
        <v>1.0</v>
      </c>
      <c r="K85" s="19">
        <v>4.0</v>
      </c>
      <c r="L85" s="19">
        <v>0.0</v>
      </c>
      <c r="M85" s="19">
        <v>1.0</v>
      </c>
      <c r="N85" s="19">
        <v>0.0</v>
      </c>
      <c r="O85" s="19">
        <v>1.0</v>
      </c>
      <c r="P85" s="19">
        <v>0.0</v>
      </c>
      <c r="Q85" s="19">
        <v>2.0</v>
      </c>
      <c r="R85" s="13">
        <f t="shared" si="20"/>
        <v>13</v>
      </c>
    </row>
    <row r="86" ht="12.75" customHeight="1">
      <c r="A86" s="18"/>
      <c r="B86" s="57">
        <v>5.0</v>
      </c>
      <c r="C86" s="52" t="s">
        <v>69</v>
      </c>
      <c r="D86" s="60"/>
      <c r="E86" s="19">
        <v>4.0</v>
      </c>
      <c r="F86" s="19">
        <v>13.0</v>
      </c>
      <c r="G86" s="19">
        <v>1.0</v>
      </c>
      <c r="H86" s="19">
        <v>1.0</v>
      </c>
      <c r="I86" s="19">
        <v>6.0</v>
      </c>
      <c r="J86" s="19">
        <v>2.0</v>
      </c>
      <c r="K86" s="19">
        <v>3.0</v>
      </c>
      <c r="L86" s="19">
        <v>4.0</v>
      </c>
      <c r="M86" s="19">
        <v>5.0</v>
      </c>
      <c r="N86" s="19">
        <v>1.0</v>
      </c>
      <c r="O86" s="19">
        <v>4.0</v>
      </c>
      <c r="P86" s="19">
        <v>13.0</v>
      </c>
      <c r="Q86" s="19">
        <v>26.0</v>
      </c>
      <c r="R86" s="13">
        <f t="shared" si="20"/>
        <v>83</v>
      </c>
    </row>
    <row r="87" ht="12.75" customHeight="1">
      <c r="A87" s="18"/>
      <c r="B87" s="57">
        <v>6.0</v>
      </c>
      <c r="C87" s="52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3">
        <f t="shared" si="20"/>
        <v>2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3">
        <f t="shared" si="20"/>
        <v>1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Q91" si="21">SUM(E81:E88)</f>
        <v>20</v>
      </c>
      <c r="F91" s="13">
        <f t="shared" si="21"/>
        <v>27</v>
      </c>
      <c r="G91" s="13">
        <f t="shared" si="21"/>
        <v>12</v>
      </c>
      <c r="H91" s="13">
        <f t="shared" si="21"/>
        <v>21</v>
      </c>
      <c r="I91" s="13">
        <f t="shared" si="21"/>
        <v>41</v>
      </c>
      <c r="J91" s="13">
        <f t="shared" si="21"/>
        <v>29</v>
      </c>
      <c r="K91" s="13">
        <f t="shared" si="21"/>
        <v>33</v>
      </c>
      <c r="L91" s="13">
        <f t="shared" si="21"/>
        <v>35</v>
      </c>
      <c r="M91" s="13">
        <f t="shared" si="21"/>
        <v>42</v>
      </c>
      <c r="N91" s="13">
        <f t="shared" si="21"/>
        <v>18</v>
      </c>
      <c r="O91" s="13">
        <f t="shared" si="21"/>
        <v>34</v>
      </c>
      <c r="P91" s="13">
        <f t="shared" si="21"/>
        <v>35</v>
      </c>
      <c r="Q91" s="13">
        <f t="shared" si="21"/>
        <v>46</v>
      </c>
      <c r="R91" s="13">
        <f t="shared" si="20"/>
        <v>393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7.0</v>
      </c>
      <c r="F93" s="19">
        <v>3.0</v>
      </c>
      <c r="G93" s="19">
        <v>5.0</v>
      </c>
      <c r="H93" s="19">
        <v>4.0</v>
      </c>
      <c r="I93" s="19">
        <v>8.0</v>
      </c>
      <c r="J93" s="19">
        <v>6.0</v>
      </c>
      <c r="K93" s="19">
        <v>6.0</v>
      </c>
      <c r="L93" s="19">
        <v>9.0</v>
      </c>
      <c r="M93" s="19">
        <v>5.0</v>
      </c>
      <c r="N93" s="19">
        <v>1.0</v>
      </c>
      <c r="O93" s="19">
        <v>4.0</v>
      </c>
      <c r="P93" s="19">
        <v>6.0</v>
      </c>
      <c r="Q93" s="19">
        <v>2.0</v>
      </c>
      <c r="R93" s="13">
        <f t="shared" ref="R93:R103" si="22">SUM(E93:Q93)</f>
        <v>66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6.0</v>
      </c>
      <c r="F94" s="19">
        <v>11.0</v>
      </c>
      <c r="G94" s="19">
        <v>4.0</v>
      </c>
      <c r="H94" s="19">
        <v>11.0</v>
      </c>
      <c r="I94" s="19">
        <v>21.0</v>
      </c>
      <c r="J94" s="19">
        <v>19.0</v>
      </c>
      <c r="K94" s="19">
        <v>13.0</v>
      </c>
      <c r="L94" s="19">
        <v>19.0</v>
      </c>
      <c r="M94" s="19">
        <v>20.0</v>
      </c>
      <c r="N94" s="19">
        <v>11.0</v>
      </c>
      <c r="O94" s="19">
        <v>19.0</v>
      </c>
      <c r="P94" s="19">
        <v>12.0</v>
      </c>
      <c r="Q94" s="19">
        <v>12.0</v>
      </c>
      <c r="R94" s="13">
        <f t="shared" si="22"/>
        <v>178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0.0</v>
      </c>
      <c r="G95" s="19">
        <v>1.0</v>
      </c>
      <c r="H95" s="19">
        <v>3.0</v>
      </c>
      <c r="I95" s="19">
        <v>4.0</v>
      </c>
      <c r="J95" s="19">
        <v>1.0</v>
      </c>
      <c r="K95" s="19">
        <v>4.0</v>
      </c>
      <c r="L95" s="19">
        <v>3.0</v>
      </c>
      <c r="M95" s="19">
        <v>9.0</v>
      </c>
      <c r="N95" s="19">
        <v>3.0</v>
      </c>
      <c r="O95" s="19">
        <v>5.0</v>
      </c>
      <c r="P95" s="19">
        <v>3.0</v>
      </c>
      <c r="Q95" s="19">
        <v>4.0</v>
      </c>
      <c r="R95" s="13">
        <f t="shared" si="22"/>
        <v>40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1.0</v>
      </c>
      <c r="I96" s="19">
        <v>1.0</v>
      </c>
      <c r="J96" s="19">
        <v>0.0</v>
      </c>
      <c r="K96" s="19">
        <v>3.0</v>
      </c>
      <c r="L96" s="19">
        <v>0.0</v>
      </c>
      <c r="M96" s="19">
        <v>1.0</v>
      </c>
      <c r="N96" s="19">
        <v>2.0</v>
      </c>
      <c r="O96" s="19">
        <v>1.0</v>
      </c>
      <c r="P96" s="19">
        <v>1.0</v>
      </c>
      <c r="Q96" s="19">
        <v>0.0</v>
      </c>
      <c r="R96" s="13">
        <f t="shared" si="22"/>
        <v>10</v>
      </c>
    </row>
    <row r="97" ht="12.75" customHeight="1">
      <c r="A97" s="18"/>
      <c r="B97" s="57">
        <v>4.0</v>
      </c>
      <c r="C97" s="52" t="s">
        <v>77</v>
      </c>
      <c r="D97" s="60"/>
      <c r="E97" s="19">
        <v>2.0</v>
      </c>
      <c r="F97" s="19">
        <v>0.0</v>
      </c>
      <c r="G97" s="19">
        <v>1.0</v>
      </c>
      <c r="H97" s="19">
        <v>1.0</v>
      </c>
      <c r="I97" s="19">
        <v>0.0</v>
      </c>
      <c r="J97" s="19">
        <v>1.0</v>
      </c>
      <c r="K97" s="19">
        <v>4.0</v>
      </c>
      <c r="L97" s="19">
        <v>0.0</v>
      </c>
      <c r="M97" s="19">
        <v>1.0</v>
      </c>
      <c r="N97" s="19">
        <v>0.0</v>
      </c>
      <c r="O97" s="19">
        <v>1.0</v>
      </c>
      <c r="P97" s="19">
        <v>0.0</v>
      </c>
      <c r="Q97" s="19">
        <v>2.0</v>
      </c>
      <c r="R97" s="13">
        <f t="shared" si="22"/>
        <v>13</v>
      </c>
    </row>
    <row r="98" ht="12.75" customHeight="1">
      <c r="A98" s="18"/>
      <c r="B98" s="57">
        <v>5.0</v>
      </c>
      <c r="C98" s="52" t="s">
        <v>78</v>
      </c>
      <c r="D98" s="60"/>
      <c r="E98" s="19">
        <v>4.0</v>
      </c>
      <c r="F98" s="19">
        <v>13.0</v>
      </c>
      <c r="G98" s="19">
        <v>1.0</v>
      </c>
      <c r="H98" s="19">
        <v>1.0</v>
      </c>
      <c r="I98" s="19">
        <v>6.0</v>
      </c>
      <c r="J98" s="19">
        <v>2.0</v>
      </c>
      <c r="K98" s="19">
        <v>3.0</v>
      </c>
      <c r="L98" s="19">
        <v>4.0</v>
      </c>
      <c r="M98" s="19">
        <v>5.0</v>
      </c>
      <c r="N98" s="19">
        <v>1.0</v>
      </c>
      <c r="O98" s="19">
        <v>4.0</v>
      </c>
      <c r="P98" s="19">
        <v>13.0</v>
      </c>
      <c r="Q98" s="19">
        <v>26.0</v>
      </c>
      <c r="R98" s="13">
        <f t="shared" si="22"/>
        <v>83</v>
      </c>
    </row>
    <row r="99" ht="12.75" customHeight="1">
      <c r="A99" s="18"/>
      <c r="B99" s="57">
        <v>6.0</v>
      </c>
      <c r="C99" s="52" t="s">
        <v>79</v>
      </c>
      <c r="D99" s="60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3">
        <f t="shared" si="22"/>
        <v>2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3">
        <f t="shared" si="22"/>
        <v>1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Q103" si="23">SUM(E93:E100)</f>
        <v>20</v>
      </c>
      <c r="F103" s="13">
        <f t="shared" si="23"/>
        <v>27</v>
      </c>
      <c r="G103" s="13">
        <f t="shared" si="23"/>
        <v>12</v>
      </c>
      <c r="H103" s="13">
        <f t="shared" si="23"/>
        <v>21</v>
      </c>
      <c r="I103" s="13">
        <f t="shared" si="23"/>
        <v>41</v>
      </c>
      <c r="J103" s="13">
        <f t="shared" si="23"/>
        <v>29</v>
      </c>
      <c r="K103" s="13">
        <f t="shared" si="23"/>
        <v>33</v>
      </c>
      <c r="L103" s="13">
        <f t="shared" si="23"/>
        <v>35</v>
      </c>
      <c r="M103" s="13">
        <f t="shared" si="23"/>
        <v>42</v>
      </c>
      <c r="N103" s="13">
        <f t="shared" si="23"/>
        <v>18</v>
      </c>
      <c r="O103" s="13">
        <f t="shared" si="23"/>
        <v>34</v>
      </c>
      <c r="P103" s="13">
        <f t="shared" si="23"/>
        <v>35</v>
      </c>
      <c r="Q103" s="13">
        <f t="shared" si="23"/>
        <v>46</v>
      </c>
      <c r="R103" s="13">
        <f t="shared" si="22"/>
        <v>393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1.0</v>
      </c>
      <c r="F105" s="19">
        <v>0.0</v>
      </c>
      <c r="G105" s="19">
        <v>3.0</v>
      </c>
      <c r="H105" s="19">
        <v>0.0</v>
      </c>
      <c r="I105" s="19">
        <v>0.0</v>
      </c>
      <c r="J105" s="19">
        <v>1.0</v>
      </c>
      <c r="K105" s="19">
        <v>2.0</v>
      </c>
      <c r="L105" s="19">
        <v>1.0</v>
      </c>
      <c r="M105" s="19">
        <v>4.0</v>
      </c>
      <c r="N105" s="19">
        <v>0.0</v>
      </c>
      <c r="O105" s="19">
        <v>4.0</v>
      </c>
      <c r="P105" s="19">
        <v>1.0</v>
      </c>
      <c r="Q105" s="19">
        <v>0.0</v>
      </c>
      <c r="R105" s="13">
        <f t="shared" ref="R105:R115" si="24">SUM(E105:Q105)</f>
        <v>17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1.0</v>
      </c>
      <c r="K106" s="19">
        <v>0.0</v>
      </c>
      <c r="L106" s="19">
        <v>1.0</v>
      </c>
      <c r="M106" s="19">
        <v>2.0</v>
      </c>
      <c r="N106" s="19">
        <v>1.0</v>
      </c>
      <c r="O106" s="19">
        <v>1.0</v>
      </c>
      <c r="P106" s="19">
        <v>0.0</v>
      </c>
      <c r="Q106" s="19">
        <v>1.0</v>
      </c>
      <c r="R106" s="13">
        <f t="shared" si="24"/>
        <v>8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1.0</v>
      </c>
      <c r="G107" s="19">
        <v>1.0</v>
      </c>
      <c r="H107" s="19">
        <v>3.0</v>
      </c>
      <c r="I107" s="19">
        <v>0.0</v>
      </c>
      <c r="J107" s="19">
        <v>2.0</v>
      </c>
      <c r="K107" s="19">
        <v>1.0</v>
      </c>
      <c r="L107" s="19">
        <v>1.0</v>
      </c>
      <c r="M107" s="19">
        <v>0.0</v>
      </c>
      <c r="N107" s="19">
        <v>2.0</v>
      </c>
      <c r="O107" s="19">
        <v>4.0</v>
      </c>
      <c r="P107" s="19">
        <v>7.0</v>
      </c>
      <c r="Q107" s="19">
        <v>8.0</v>
      </c>
      <c r="R107" s="13">
        <f t="shared" si="24"/>
        <v>30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3">
        <f t="shared" si="24"/>
        <v>1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26.0</v>
      </c>
      <c r="F109" s="19">
        <v>2.0</v>
      </c>
      <c r="G109" s="19">
        <v>4.0</v>
      </c>
      <c r="H109" s="19">
        <v>0.0</v>
      </c>
      <c r="I109" s="19">
        <v>0.0</v>
      </c>
      <c r="J109" s="19">
        <v>0.0</v>
      </c>
      <c r="K109" s="19">
        <v>1.0</v>
      </c>
      <c r="L109" s="19">
        <v>1.0</v>
      </c>
      <c r="M109" s="19">
        <v>0.0</v>
      </c>
      <c r="N109" s="19">
        <v>0.0</v>
      </c>
      <c r="O109" s="19">
        <v>0.0</v>
      </c>
      <c r="P109" s="19">
        <v>4.0</v>
      </c>
      <c r="Q109" s="19">
        <v>2.0</v>
      </c>
      <c r="R109" s="13">
        <f t="shared" si="24"/>
        <v>40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2.0</v>
      </c>
      <c r="Q111" s="19">
        <v>0.0</v>
      </c>
      <c r="R111" s="13">
        <f t="shared" si="24"/>
        <v>2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Q115" si="25">SUM(E105:E112)</f>
        <v>27</v>
      </c>
      <c r="F115" s="13">
        <f t="shared" si="25"/>
        <v>3</v>
      </c>
      <c r="G115" s="13">
        <f t="shared" si="25"/>
        <v>9</v>
      </c>
      <c r="H115" s="13">
        <f t="shared" si="25"/>
        <v>3</v>
      </c>
      <c r="I115" s="13">
        <f t="shared" si="25"/>
        <v>0</v>
      </c>
      <c r="J115" s="13">
        <f t="shared" si="25"/>
        <v>4</v>
      </c>
      <c r="K115" s="13">
        <f t="shared" si="25"/>
        <v>4</v>
      </c>
      <c r="L115" s="13">
        <f t="shared" si="25"/>
        <v>4</v>
      </c>
      <c r="M115" s="13">
        <f t="shared" si="25"/>
        <v>6</v>
      </c>
      <c r="N115" s="13">
        <f t="shared" si="25"/>
        <v>3</v>
      </c>
      <c r="O115" s="13">
        <f t="shared" si="25"/>
        <v>10</v>
      </c>
      <c r="P115" s="13">
        <f t="shared" si="25"/>
        <v>15</v>
      </c>
      <c r="Q115" s="13">
        <f t="shared" si="25"/>
        <v>11</v>
      </c>
      <c r="R115" s="13">
        <f t="shared" si="24"/>
        <v>99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0.0</v>
      </c>
      <c r="G117" s="19">
        <v>2.0</v>
      </c>
      <c r="H117" s="19">
        <v>1.0</v>
      </c>
      <c r="I117" s="19">
        <v>1.0</v>
      </c>
      <c r="J117" s="19">
        <v>3.0</v>
      </c>
      <c r="K117" s="19">
        <v>0.0</v>
      </c>
      <c r="L117" s="19">
        <v>1.0</v>
      </c>
      <c r="M117" s="19">
        <v>1.0</v>
      </c>
      <c r="N117" s="19">
        <v>0.0</v>
      </c>
      <c r="O117" s="19">
        <v>3.0</v>
      </c>
      <c r="P117" s="19">
        <v>4.0</v>
      </c>
      <c r="Q117" s="19">
        <v>5.0</v>
      </c>
      <c r="R117" s="13">
        <f t="shared" ref="R117:R127" si="26">SUM(E117:Q117)</f>
        <v>21</v>
      </c>
      <c r="S117" s="5"/>
      <c r="T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1.0</v>
      </c>
      <c r="F118" s="19">
        <v>2.0</v>
      </c>
      <c r="G118" s="19">
        <v>2.0</v>
      </c>
      <c r="H118" s="19">
        <v>1.0</v>
      </c>
      <c r="I118" s="19">
        <v>1.0</v>
      </c>
      <c r="J118" s="19">
        <v>5.0</v>
      </c>
      <c r="K118" s="19">
        <v>0.0</v>
      </c>
      <c r="L118" s="19"/>
      <c r="M118" s="19">
        <v>1.0</v>
      </c>
      <c r="N118" s="19">
        <v>4.0</v>
      </c>
      <c r="O118" s="19">
        <v>0.0</v>
      </c>
      <c r="P118" s="19">
        <v>0.0</v>
      </c>
      <c r="Q118" s="19">
        <v>2.0</v>
      </c>
      <c r="R118" s="13">
        <f t="shared" si="26"/>
        <v>19</v>
      </c>
      <c r="S118" s="5"/>
      <c r="T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/>
      <c r="M119" s="19">
        <v>1.0</v>
      </c>
      <c r="N119" s="19">
        <v>0.0</v>
      </c>
      <c r="O119" s="19">
        <v>1.0</v>
      </c>
      <c r="P119" s="19">
        <v>3.0</v>
      </c>
      <c r="Q119" s="19">
        <v>0.0</v>
      </c>
      <c r="R119" s="13">
        <f t="shared" si="26"/>
        <v>5</v>
      </c>
      <c r="S119" s="5"/>
      <c r="T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/>
      <c r="M120" s="19">
        <v>0.0</v>
      </c>
      <c r="N120" s="19">
        <v>0.0</v>
      </c>
      <c r="O120" s="19">
        <v>1.0</v>
      </c>
      <c r="P120" s="19">
        <v>0.0</v>
      </c>
      <c r="Q120" s="19">
        <v>0.0</v>
      </c>
      <c r="R120" s="13">
        <f t="shared" si="26"/>
        <v>1</v>
      </c>
      <c r="S120" s="5"/>
      <c r="T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3">
        <f t="shared" si="26"/>
        <v>0</v>
      </c>
      <c r="S121" s="5"/>
      <c r="T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3">
        <f t="shared" si="26"/>
        <v>0</v>
      </c>
      <c r="S122" s="5"/>
      <c r="T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13">
        <f t="shared" si="26"/>
        <v>0</v>
      </c>
      <c r="S123" s="5"/>
      <c r="T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13">
        <f t="shared" si="26"/>
        <v>0</v>
      </c>
      <c r="S124" s="5"/>
      <c r="T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13">
        <f t="shared" si="26"/>
        <v>0</v>
      </c>
      <c r="S125" s="5"/>
      <c r="T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13">
        <f t="shared" si="26"/>
        <v>0</v>
      </c>
      <c r="S126" s="5"/>
      <c r="T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Q127" si="27">SUM(E117:E120)</f>
        <v>1</v>
      </c>
      <c r="F127" s="61">
        <f t="shared" si="27"/>
        <v>2</v>
      </c>
      <c r="G127" s="61">
        <f t="shared" si="27"/>
        <v>4</v>
      </c>
      <c r="H127" s="61">
        <f t="shared" si="27"/>
        <v>2</v>
      </c>
      <c r="I127" s="61">
        <f t="shared" si="27"/>
        <v>2</v>
      </c>
      <c r="J127" s="61">
        <f t="shared" si="27"/>
        <v>8</v>
      </c>
      <c r="K127" s="61">
        <f t="shared" si="27"/>
        <v>0</v>
      </c>
      <c r="L127" s="61">
        <f t="shared" si="27"/>
        <v>1</v>
      </c>
      <c r="M127" s="61">
        <f t="shared" si="27"/>
        <v>3</v>
      </c>
      <c r="N127" s="61">
        <f t="shared" si="27"/>
        <v>4</v>
      </c>
      <c r="O127" s="61">
        <f t="shared" si="27"/>
        <v>5</v>
      </c>
      <c r="P127" s="61">
        <f t="shared" si="27"/>
        <v>7</v>
      </c>
      <c r="Q127" s="61">
        <f t="shared" si="27"/>
        <v>7</v>
      </c>
      <c r="R127" s="13">
        <f t="shared" si="26"/>
        <v>46</v>
      </c>
      <c r="S127" s="5"/>
      <c r="T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5"/>
      <c r="T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3.0</v>
      </c>
      <c r="F129" s="19">
        <v>0.0</v>
      </c>
      <c r="G129" s="19">
        <v>2.0</v>
      </c>
      <c r="H129" s="19">
        <v>1.0</v>
      </c>
      <c r="I129" s="19">
        <v>0.0</v>
      </c>
      <c r="J129" s="19">
        <v>1.0</v>
      </c>
      <c r="K129" s="19">
        <v>0.0</v>
      </c>
      <c r="L129" s="19">
        <v>4.0</v>
      </c>
      <c r="M129" s="19">
        <v>2.0</v>
      </c>
      <c r="N129" s="19">
        <v>0.0</v>
      </c>
      <c r="O129" s="19">
        <v>0.0</v>
      </c>
      <c r="P129" s="19">
        <v>0.0</v>
      </c>
      <c r="Q129" s="19">
        <v>0.0</v>
      </c>
      <c r="R129" s="13">
        <f t="shared" ref="R129:R139" si="28">SUM(E129:Q129)</f>
        <v>13</v>
      </c>
      <c r="S129" s="5"/>
      <c r="T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14.0</v>
      </c>
      <c r="F130" s="19">
        <v>2.0</v>
      </c>
      <c r="G130" s="19">
        <v>5.0</v>
      </c>
      <c r="H130" s="19">
        <v>0.0</v>
      </c>
      <c r="I130" s="19">
        <v>1.0</v>
      </c>
      <c r="J130" s="19">
        <v>1.0</v>
      </c>
      <c r="K130" s="19">
        <v>3.0</v>
      </c>
      <c r="L130" s="19">
        <v>1.0</v>
      </c>
      <c r="M130" s="19">
        <v>1.0</v>
      </c>
      <c r="N130" s="19">
        <v>0.0</v>
      </c>
      <c r="O130" s="19">
        <v>0.0</v>
      </c>
      <c r="P130" s="19">
        <v>0.0</v>
      </c>
      <c r="Q130" s="19">
        <v>0.0</v>
      </c>
      <c r="R130" s="13">
        <f t="shared" si="28"/>
        <v>28</v>
      </c>
      <c r="S130" s="1"/>
      <c r="T130" s="1"/>
    </row>
    <row r="131" ht="12.75" customHeight="1">
      <c r="A131" s="18"/>
      <c r="B131" s="57">
        <v>2.0</v>
      </c>
      <c r="C131" s="52" t="s">
        <v>98</v>
      </c>
      <c r="D131" s="58"/>
      <c r="E131" s="19">
        <v>4.0</v>
      </c>
      <c r="F131" s="19">
        <v>2.0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3">
        <f t="shared" si="28"/>
        <v>6</v>
      </c>
      <c r="S131" s="54"/>
      <c r="T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/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3">
        <f t="shared" si="28"/>
        <v>0</v>
      </c>
      <c r="S132" s="5"/>
      <c r="T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/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3">
        <f t="shared" si="28"/>
        <v>0</v>
      </c>
      <c r="S133" s="5"/>
      <c r="T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/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3">
        <f t="shared" si="28"/>
        <v>0</v>
      </c>
      <c r="S134" s="5"/>
      <c r="T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0.0</v>
      </c>
      <c r="G135" s="19">
        <v>0.0</v>
      </c>
      <c r="H135" s="19">
        <v>2.0</v>
      </c>
      <c r="I135" s="19">
        <v>0.0</v>
      </c>
      <c r="J135" s="19">
        <v>1.0</v>
      </c>
      <c r="K135" s="19">
        <v>0.0</v>
      </c>
      <c r="L135" s="19"/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3">
        <f t="shared" si="28"/>
        <v>3</v>
      </c>
      <c r="S135" s="5"/>
      <c r="T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/>
      <c r="M136" s="19">
        <v>0.0</v>
      </c>
      <c r="N136" s="19">
        <v>0.0</v>
      </c>
      <c r="O136" s="19">
        <v>1.0</v>
      </c>
      <c r="P136" s="19">
        <v>0.0</v>
      </c>
      <c r="Q136" s="19">
        <v>0.0</v>
      </c>
      <c r="R136" s="13">
        <f t="shared" si="28"/>
        <v>1</v>
      </c>
      <c r="S136" s="5"/>
      <c r="T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3">
        <f t="shared" si="28"/>
        <v>0</v>
      </c>
      <c r="S137" s="5"/>
      <c r="T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3">
        <f t="shared" si="28"/>
        <v>0</v>
      </c>
      <c r="S138" s="5"/>
      <c r="T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Q139" si="29">SUM(E129:E136)</f>
        <v>21</v>
      </c>
      <c r="F139" s="13">
        <f t="shared" si="29"/>
        <v>4</v>
      </c>
      <c r="G139" s="13">
        <f t="shared" si="29"/>
        <v>7</v>
      </c>
      <c r="H139" s="13">
        <f t="shared" si="29"/>
        <v>3</v>
      </c>
      <c r="I139" s="13">
        <f t="shared" si="29"/>
        <v>1</v>
      </c>
      <c r="J139" s="13">
        <f t="shared" si="29"/>
        <v>3</v>
      </c>
      <c r="K139" s="13">
        <f t="shared" si="29"/>
        <v>3</v>
      </c>
      <c r="L139" s="13">
        <f t="shared" si="29"/>
        <v>5</v>
      </c>
      <c r="M139" s="13">
        <f t="shared" si="29"/>
        <v>3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8"/>
        <v>51</v>
      </c>
      <c r="S139" s="5"/>
      <c r="T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5"/>
      <c r="T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/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3">
        <f t="shared" ref="R141:R151" si="30">SUM(E141:Q141)</f>
        <v>0</v>
      </c>
      <c r="S141" s="1"/>
      <c r="T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/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3">
        <f t="shared" si="30"/>
        <v>0</v>
      </c>
      <c r="S142" s="54"/>
      <c r="T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/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3">
        <f t="shared" si="30"/>
        <v>0</v>
      </c>
      <c r="S143" s="5"/>
      <c r="T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1.0</v>
      </c>
      <c r="K144" s="19">
        <v>0.0</v>
      </c>
      <c r="L144" s="19"/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3">
        <f t="shared" si="30"/>
        <v>1</v>
      </c>
      <c r="S144" s="5"/>
      <c r="T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/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3">
        <f t="shared" si="30"/>
        <v>0</v>
      </c>
      <c r="S145" s="5"/>
      <c r="T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/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3">
        <f t="shared" si="30"/>
        <v>0</v>
      </c>
      <c r="S146" s="5"/>
      <c r="T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/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3">
        <f t="shared" si="30"/>
        <v>0</v>
      </c>
      <c r="S147" s="5"/>
      <c r="T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/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3">
        <f t="shared" si="30"/>
        <v>0</v>
      </c>
      <c r="S148" s="5"/>
      <c r="T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3">
        <f t="shared" si="30"/>
        <v>0</v>
      </c>
      <c r="S149" s="5"/>
      <c r="T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3">
        <f t="shared" si="30"/>
        <v>0</v>
      </c>
      <c r="S150" s="5"/>
      <c r="T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Q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0"/>
        <v>1</v>
      </c>
      <c r="S151" s="1"/>
      <c r="T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13"/>
      <c r="S152" s="54"/>
      <c r="T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2.0</v>
      </c>
      <c r="L153" s="19"/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3">
        <f t="shared" ref="R153:R162" si="32">SUM(E153:Q153)</f>
        <v>4</v>
      </c>
      <c r="S153" s="5"/>
      <c r="T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/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3">
        <f t="shared" si="32"/>
        <v>1</v>
      </c>
      <c r="S154" s="5"/>
      <c r="T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/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3">
        <f t="shared" si="32"/>
        <v>0</v>
      </c>
      <c r="S155" s="5"/>
      <c r="T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/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3">
        <f t="shared" si="32"/>
        <v>0</v>
      </c>
      <c r="S156" s="5"/>
      <c r="T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/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3">
        <f t="shared" si="32"/>
        <v>0</v>
      </c>
      <c r="S157" s="5"/>
      <c r="T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3">
        <f t="shared" si="32"/>
        <v>0</v>
      </c>
      <c r="S158" s="5"/>
      <c r="T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3">
        <f t="shared" si="32"/>
        <v>0</v>
      </c>
      <c r="S159" s="5"/>
      <c r="T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3">
        <f t="shared" si="32"/>
        <v>0</v>
      </c>
      <c r="S160" s="5"/>
      <c r="T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3">
        <f t="shared" si="32"/>
        <v>0</v>
      </c>
      <c r="S161" s="5"/>
      <c r="T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3">
        <f t="shared" si="32"/>
        <v>0</v>
      </c>
      <c r="S162" s="5"/>
      <c r="T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Q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3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>SUM(E164:Q164)</f>
        <v>0</v>
      </c>
      <c r="S163" s="5"/>
      <c r="T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5"/>
      <c r="T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1.0</v>
      </c>
      <c r="G165" s="19">
        <v>0.0</v>
      </c>
      <c r="H165" s="19">
        <v>2.0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3.0</v>
      </c>
      <c r="R165" s="13">
        <f t="shared" ref="R165:R175" si="34">SUM(E165:Q165)</f>
        <v>6</v>
      </c>
      <c r="S165" s="1"/>
      <c r="T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2.0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3">
        <f t="shared" si="34"/>
        <v>2</v>
      </c>
      <c r="S166" s="54"/>
      <c r="T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/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3">
        <f t="shared" si="34"/>
        <v>0</v>
      </c>
      <c r="S167" s="5"/>
      <c r="T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/>
      <c r="M168" s="19">
        <v>0.0</v>
      </c>
      <c r="N168" s="19">
        <v>0.0</v>
      </c>
      <c r="O168" s="19">
        <v>1.0</v>
      </c>
      <c r="P168" s="19">
        <v>0.0</v>
      </c>
      <c r="Q168" s="19">
        <v>0.0</v>
      </c>
      <c r="R168" s="13">
        <f t="shared" si="34"/>
        <v>1</v>
      </c>
      <c r="S168" s="5"/>
      <c r="T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/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3">
        <f t="shared" si="34"/>
        <v>0</v>
      </c>
      <c r="S169" s="5"/>
      <c r="T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/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3">
        <f t="shared" si="34"/>
        <v>0</v>
      </c>
      <c r="S170" s="5"/>
      <c r="T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/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3">
        <f t="shared" si="34"/>
        <v>0</v>
      </c>
      <c r="S171" s="5"/>
      <c r="T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/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3">
        <f t="shared" si="34"/>
        <v>0</v>
      </c>
      <c r="S172" s="5"/>
      <c r="T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3">
        <f t="shared" si="34"/>
        <v>0</v>
      </c>
      <c r="S173" s="5"/>
      <c r="T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3">
        <f t="shared" si="34"/>
        <v>0</v>
      </c>
      <c r="S174" s="5"/>
      <c r="T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Q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2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3</v>
      </c>
      <c r="R175" s="13">
        <f t="shared" si="34"/>
        <v>9</v>
      </c>
      <c r="S175" s="5"/>
      <c r="T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1"/>
      <c r="T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2.0</v>
      </c>
      <c r="K177" s="19">
        <v>1.0</v>
      </c>
      <c r="L177" s="19"/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3">
        <f t="shared" ref="R177:R187" si="36">SUM(E177:Q177)</f>
        <v>5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0.0</v>
      </c>
      <c r="F178" s="19">
        <v>0.0</v>
      </c>
      <c r="G178" s="19">
        <v>1.0</v>
      </c>
      <c r="H178" s="19">
        <v>1.0</v>
      </c>
      <c r="I178" s="19">
        <v>3.0</v>
      </c>
      <c r="J178" s="19">
        <v>8.0</v>
      </c>
      <c r="K178" s="19">
        <v>0.0</v>
      </c>
      <c r="L178" s="19"/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3">
        <f t="shared" si="36"/>
        <v>14</v>
      </c>
      <c r="S178" s="5"/>
      <c r="T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/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3">
        <f t="shared" si="36"/>
        <v>0</v>
      </c>
      <c r="S179" s="5"/>
      <c r="T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/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3">
        <f t="shared" si="36"/>
        <v>2</v>
      </c>
      <c r="S180" s="5"/>
      <c r="T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3">
        <f t="shared" si="36"/>
        <v>1</v>
      </c>
      <c r="S181" s="5"/>
      <c r="T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1.0</v>
      </c>
      <c r="L182" s="19"/>
      <c r="M182" s="19">
        <v>0.0</v>
      </c>
      <c r="N182" s="19">
        <v>0.0</v>
      </c>
      <c r="O182" s="19">
        <v>0.0</v>
      </c>
      <c r="P182" s="19">
        <v>1.0</v>
      </c>
      <c r="Q182" s="19">
        <v>0.0</v>
      </c>
      <c r="R182" s="13">
        <f t="shared" si="36"/>
        <v>2</v>
      </c>
      <c r="S182" s="5"/>
      <c r="T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/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3">
        <f t="shared" si="36"/>
        <v>0</v>
      </c>
      <c r="S183" s="5"/>
      <c r="T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/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3">
        <f t="shared" si="36"/>
        <v>0</v>
      </c>
      <c r="S184" s="5"/>
      <c r="T184" s="5"/>
    </row>
    <row r="185" ht="12.75" customHeight="1">
      <c r="A185" s="18"/>
      <c r="B185" s="72"/>
      <c r="C185" s="73"/>
      <c r="D185" s="75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/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3">
        <f t="shared" si="36"/>
        <v>0</v>
      </c>
      <c r="S185" s="5"/>
      <c r="T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3">
        <f t="shared" si="36"/>
        <v>0</v>
      </c>
      <c r="S186" s="5"/>
      <c r="T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Q187" si="37">SUM(E177:E184)</f>
        <v>0</v>
      </c>
      <c r="F187" s="13">
        <f t="shared" si="37"/>
        <v>0</v>
      </c>
      <c r="G187" s="13">
        <f t="shared" si="37"/>
        <v>1</v>
      </c>
      <c r="H187" s="13">
        <f t="shared" si="37"/>
        <v>1</v>
      </c>
      <c r="I187" s="13">
        <f t="shared" si="37"/>
        <v>4</v>
      </c>
      <c r="J187" s="13">
        <f t="shared" si="37"/>
        <v>10</v>
      </c>
      <c r="K187" s="13">
        <f t="shared" si="37"/>
        <v>3</v>
      </c>
      <c r="L187" s="13">
        <f t="shared" si="37"/>
        <v>1</v>
      </c>
      <c r="M187" s="13">
        <f t="shared" si="37"/>
        <v>0</v>
      </c>
      <c r="N187" s="13">
        <f t="shared" si="37"/>
        <v>0</v>
      </c>
      <c r="O187" s="13">
        <f t="shared" si="37"/>
        <v>1</v>
      </c>
      <c r="P187" s="13">
        <f t="shared" si="37"/>
        <v>2</v>
      </c>
      <c r="Q187" s="13">
        <f t="shared" si="37"/>
        <v>1</v>
      </c>
      <c r="R187" s="13">
        <f t="shared" si="36"/>
        <v>24</v>
      </c>
      <c r="S187" s="1"/>
      <c r="T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2.0</v>
      </c>
      <c r="G189" s="19">
        <v>1.0</v>
      </c>
      <c r="H189" s="19">
        <v>0.0</v>
      </c>
      <c r="I189" s="19">
        <v>0.0</v>
      </c>
      <c r="J189" s="19">
        <v>2.0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3">
        <f t="shared" ref="R189:R199" si="38">SUM(E189:Q189)</f>
        <v>6</v>
      </c>
      <c r="S189" s="5"/>
      <c r="T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3">
        <f t="shared" si="38"/>
        <v>2</v>
      </c>
      <c r="S190" s="5"/>
      <c r="T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/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3">
        <f t="shared" si="38"/>
        <v>1</v>
      </c>
      <c r="S191" s="5"/>
      <c r="T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/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3">
        <f t="shared" si="38"/>
        <v>0</v>
      </c>
      <c r="S192" s="5"/>
      <c r="T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/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3">
        <f t="shared" si="38"/>
        <v>0</v>
      </c>
      <c r="S193" s="5"/>
      <c r="T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/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3">
        <f t="shared" si="38"/>
        <v>0</v>
      </c>
      <c r="S194" s="5"/>
      <c r="T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1.0</v>
      </c>
      <c r="K195" s="19">
        <v>0.0</v>
      </c>
      <c r="L195" s="19"/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3">
        <f t="shared" si="38"/>
        <v>1</v>
      </c>
      <c r="S195" s="5"/>
      <c r="T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/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3">
        <f t="shared" si="38"/>
        <v>0</v>
      </c>
      <c r="S196" s="1"/>
      <c r="T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3">
        <f t="shared" si="38"/>
        <v>0</v>
      </c>
      <c r="S197" s="1"/>
      <c r="T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3">
        <f t="shared" si="38"/>
        <v>0</v>
      </c>
      <c r="S198" s="1"/>
      <c r="T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Q199" si="39">SUM(E189:E196)</f>
        <v>0</v>
      </c>
      <c r="F199" s="13">
        <f t="shared" si="39"/>
        <v>4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3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8"/>
        <v>10</v>
      </c>
      <c r="S199" s="54"/>
      <c r="T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5"/>
      <c r="T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2.0</v>
      </c>
      <c r="F201" s="19">
        <v>6.0</v>
      </c>
      <c r="G201" s="19">
        <v>5.0</v>
      </c>
      <c r="H201" s="19">
        <v>4.0</v>
      </c>
      <c r="I201" s="19">
        <v>0.0</v>
      </c>
      <c r="J201" s="19">
        <v>4.0</v>
      </c>
      <c r="K201" s="19">
        <v>5.0</v>
      </c>
      <c r="L201" s="19">
        <v>9.0</v>
      </c>
      <c r="M201" s="19">
        <v>7.0</v>
      </c>
      <c r="N201" s="19">
        <v>6.0</v>
      </c>
      <c r="O201" s="19">
        <v>0.0</v>
      </c>
      <c r="P201" s="19">
        <v>0.0</v>
      </c>
      <c r="Q201" s="19">
        <v>1.0</v>
      </c>
      <c r="R201" s="13">
        <f t="shared" ref="R201:R211" si="40">SUM(E201:Q201)</f>
        <v>49</v>
      </c>
      <c r="S201" s="5"/>
      <c r="T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4.0</v>
      </c>
      <c r="F202" s="19">
        <v>2.0</v>
      </c>
      <c r="G202" s="19">
        <v>7.0</v>
      </c>
      <c r="H202" s="19">
        <v>1.0</v>
      </c>
      <c r="I202" s="19">
        <v>2.0</v>
      </c>
      <c r="J202" s="19">
        <v>3.0</v>
      </c>
      <c r="K202" s="19">
        <v>3.0</v>
      </c>
      <c r="L202" s="19">
        <v>7.0</v>
      </c>
      <c r="M202" s="19">
        <v>7.0</v>
      </c>
      <c r="N202" s="19">
        <v>6.0</v>
      </c>
      <c r="O202" s="19">
        <v>1.0</v>
      </c>
      <c r="P202" s="19">
        <v>1.0</v>
      </c>
      <c r="Q202" s="19">
        <v>2.0</v>
      </c>
      <c r="R202" s="13">
        <f t="shared" si="40"/>
        <v>46</v>
      </c>
      <c r="S202" s="5"/>
      <c r="T202" s="5"/>
    </row>
    <row r="203" ht="12.75" customHeight="1">
      <c r="A203" s="18"/>
      <c r="B203" s="57">
        <v>2.0</v>
      </c>
      <c r="C203" s="52" t="s">
        <v>149</v>
      </c>
      <c r="D203" s="60"/>
      <c r="E203" s="19">
        <v>1.0</v>
      </c>
      <c r="F203" s="19">
        <v>16.0</v>
      </c>
      <c r="G203" s="19">
        <v>1.0</v>
      </c>
      <c r="H203" s="19">
        <v>3.0</v>
      </c>
      <c r="I203" s="19">
        <v>0.0</v>
      </c>
      <c r="J203" s="19">
        <v>2.0</v>
      </c>
      <c r="K203" s="19">
        <v>3.0</v>
      </c>
      <c r="L203" s="19">
        <v>4.0</v>
      </c>
      <c r="M203" s="19">
        <v>3.0</v>
      </c>
      <c r="N203" s="19">
        <v>9.0</v>
      </c>
      <c r="O203" s="19">
        <v>2.0</v>
      </c>
      <c r="P203" s="19">
        <v>0.0</v>
      </c>
      <c r="Q203" s="19">
        <v>0.0</v>
      </c>
      <c r="R203" s="13">
        <f t="shared" si="40"/>
        <v>44</v>
      </c>
      <c r="S203" s="5"/>
      <c r="T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0.0</v>
      </c>
      <c r="H204" s="19">
        <v>1.0</v>
      </c>
      <c r="I204" s="19">
        <v>3.0</v>
      </c>
      <c r="J204" s="19">
        <v>1.0</v>
      </c>
      <c r="K204" s="19">
        <v>1.0</v>
      </c>
      <c r="L204" s="19">
        <v>1.0</v>
      </c>
      <c r="M204" s="19">
        <v>1.0</v>
      </c>
      <c r="N204" s="19">
        <v>0.0</v>
      </c>
      <c r="O204" s="19">
        <v>1.0</v>
      </c>
      <c r="P204" s="19">
        <v>0.0</v>
      </c>
      <c r="Q204" s="19">
        <v>1.0</v>
      </c>
      <c r="R204" s="13">
        <f t="shared" si="40"/>
        <v>10</v>
      </c>
      <c r="S204" s="5"/>
      <c r="T204" s="5"/>
    </row>
    <row r="205" ht="12.75" customHeight="1">
      <c r="A205" s="18"/>
      <c r="B205" s="57">
        <v>4.0</v>
      </c>
      <c r="C205" s="52" t="s">
        <v>151</v>
      </c>
      <c r="D205" s="60"/>
      <c r="E205" s="19">
        <v>0.0</v>
      </c>
      <c r="F205" s="19">
        <v>0.0</v>
      </c>
      <c r="G205" s="19">
        <v>0.0</v>
      </c>
      <c r="H205" s="19">
        <v>1.0</v>
      </c>
      <c r="I205" s="19">
        <v>1.0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3">
        <f t="shared" si="40"/>
        <v>3</v>
      </c>
      <c r="S205" s="5"/>
      <c r="T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/>
      <c r="M206" s="19">
        <v>1.0</v>
      </c>
      <c r="N206" s="19">
        <v>0.0</v>
      </c>
      <c r="O206" s="19">
        <v>0.0</v>
      </c>
      <c r="P206" s="19">
        <v>1.0</v>
      </c>
      <c r="Q206" s="19">
        <v>0.0</v>
      </c>
      <c r="R206" s="13">
        <f t="shared" si="40"/>
        <v>3</v>
      </c>
      <c r="S206" s="5"/>
      <c r="T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/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3">
        <f t="shared" si="40"/>
        <v>0</v>
      </c>
      <c r="S207" s="1"/>
      <c r="T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/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3">
        <f t="shared" si="40"/>
        <v>1</v>
      </c>
      <c r="S208" s="54"/>
      <c r="T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3">
        <f t="shared" si="40"/>
        <v>0</v>
      </c>
      <c r="S209" s="54"/>
      <c r="T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3">
        <f t="shared" si="40"/>
        <v>0</v>
      </c>
      <c r="S210" s="54"/>
      <c r="T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Q211" si="41">SUM(E201:E208)</f>
        <v>7</v>
      </c>
      <c r="F211" s="13">
        <f t="shared" si="41"/>
        <v>25</v>
      </c>
      <c r="G211" s="13">
        <f t="shared" si="41"/>
        <v>13</v>
      </c>
      <c r="H211" s="13">
        <f t="shared" si="41"/>
        <v>11</v>
      </c>
      <c r="I211" s="13">
        <f t="shared" si="41"/>
        <v>6</v>
      </c>
      <c r="J211" s="13">
        <f t="shared" si="41"/>
        <v>10</v>
      </c>
      <c r="K211" s="13">
        <f t="shared" si="41"/>
        <v>12</v>
      </c>
      <c r="L211" s="13">
        <f t="shared" si="41"/>
        <v>21</v>
      </c>
      <c r="M211" s="13">
        <f t="shared" si="41"/>
        <v>20</v>
      </c>
      <c r="N211" s="13">
        <f t="shared" si="41"/>
        <v>21</v>
      </c>
      <c r="O211" s="13">
        <f t="shared" si="41"/>
        <v>4</v>
      </c>
      <c r="P211" s="13">
        <f t="shared" si="41"/>
        <v>2</v>
      </c>
      <c r="Q211" s="13">
        <f t="shared" si="41"/>
        <v>4</v>
      </c>
      <c r="R211" s="13">
        <f t="shared" si="40"/>
        <v>156</v>
      </c>
      <c r="S211" s="5"/>
      <c r="T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5"/>
      <c r="T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1.0</v>
      </c>
      <c r="G213" s="19">
        <v>1.0</v>
      </c>
      <c r="H213" s="19">
        <v>3.0</v>
      </c>
      <c r="I213" s="19">
        <v>3.0</v>
      </c>
      <c r="J213" s="19">
        <v>0.0</v>
      </c>
      <c r="K213" s="19">
        <v>0.0</v>
      </c>
      <c r="L213" s="19"/>
      <c r="M213" s="19">
        <v>1.0</v>
      </c>
      <c r="N213" s="19">
        <v>0.0</v>
      </c>
      <c r="O213" s="19">
        <v>1.0</v>
      </c>
      <c r="P213" s="19">
        <v>0.0</v>
      </c>
      <c r="Q213" s="19">
        <v>0.0</v>
      </c>
      <c r="R213" s="13">
        <f t="shared" ref="R213:R223" si="42">SUM(E213:Q213)</f>
        <v>10</v>
      </c>
      <c r="S213" s="5"/>
      <c r="T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0.0</v>
      </c>
      <c r="G214" s="19">
        <v>0.0</v>
      </c>
      <c r="H214" s="19">
        <v>5.0</v>
      </c>
      <c r="I214" s="19">
        <v>8.0</v>
      </c>
      <c r="J214" s="19">
        <v>11.0</v>
      </c>
      <c r="K214" s="19">
        <v>9.0</v>
      </c>
      <c r="L214" s="19"/>
      <c r="M214" s="19">
        <v>9.0</v>
      </c>
      <c r="N214" s="19">
        <v>3.0</v>
      </c>
      <c r="O214" s="19">
        <v>1.0</v>
      </c>
      <c r="P214" s="19">
        <v>0.0</v>
      </c>
      <c r="Q214" s="19">
        <v>0.0</v>
      </c>
      <c r="R214" s="13">
        <f t="shared" si="42"/>
        <v>46</v>
      </c>
      <c r="S214" s="5"/>
      <c r="T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0.0</v>
      </c>
      <c r="G215" s="19">
        <v>1.0</v>
      </c>
      <c r="H215" s="19">
        <v>1.0</v>
      </c>
      <c r="I215" s="19">
        <v>0.0</v>
      </c>
      <c r="J215" s="19">
        <v>15.0</v>
      </c>
      <c r="K215" s="19">
        <v>7.0</v>
      </c>
      <c r="L215" s="19"/>
      <c r="M215" s="19">
        <v>0.0</v>
      </c>
      <c r="N215" s="19">
        <v>2.0</v>
      </c>
      <c r="O215" s="19">
        <v>0.0</v>
      </c>
      <c r="P215" s="19">
        <v>0.0</v>
      </c>
      <c r="Q215" s="19">
        <v>1.0</v>
      </c>
      <c r="R215" s="13">
        <f t="shared" si="42"/>
        <v>27</v>
      </c>
      <c r="S215" s="5"/>
      <c r="T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/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3">
        <f t="shared" si="42"/>
        <v>0</v>
      </c>
      <c r="S216" s="5"/>
      <c r="T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/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3">
        <f t="shared" si="42"/>
        <v>0</v>
      </c>
      <c r="S217" s="5"/>
      <c r="T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/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3">
        <f t="shared" si="42"/>
        <v>0</v>
      </c>
      <c r="S218" s="1"/>
      <c r="T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/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3">
        <f t="shared" si="42"/>
        <v>1</v>
      </c>
      <c r="S219" s="54"/>
      <c r="T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/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3">
        <f t="shared" si="42"/>
        <v>0</v>
      </c>
      <c r="S220" s="5"/>
      <c r="T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3">
        <f t="shared" si="42"/>
        <v>0</v>
      </c>
      <c r="S221" s="5"/>
      <c r="T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3">
        <f t="shared" si="42"/>
        <v>0</v>
      </c>
      <c r="S222" s="5"/>
      <c r="T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Q223" si="43">SUM(E213:E220)</f>
        <v>0</v>
      </c>
      <c r="F223" s="13">
        <f t="shared" si="43"/>
        <v>1</v>
      </c>
      <c r="G223" s="13">
        <f t="shared" si="43"/>
        <v>2</v>
      </c>
      <c r="H223" s="13">
        <f t="shared" si="43"/>
        <v>10</v>
      </c>
      <c r="I223" s="13">
        <f t="shared" si="43"/>
        <v>11</v>
      </c>
      <c r="J223" s="13">
        <f t="shared" si="43"/>
        <v>26</v>
      </c>
      <c r="K223" s="13">
        <f t="shared" si="43"/>
        <v>16</v>
      </c>
      <c r="L223" s="13">
        <f t="shared" si="43"/>
        <v>0</v>
      </c>
      <c r="M223" s="13">
        <f t="shared" si="43"/>
        <v>10</v>
      </c>
      <c r="N223" s="13">
        <f t="shared" si="43"/>
        <v>5</v>
      </c>
      <c r="O223" s="13">
        <f t="shared" si="43"/>
        <v>2</v>
      </c>
      <c r="P223" s="13">
        <f t="shared" si="43"/>
        <v>0</v>
      </c>
      <c r="Q223" s="13">
        <f t="shared" si="43"/>
        <v>1</v>
      </c>
      <c r="R223" s="13">
        <f t="shared" si="42"/>
        <v>84</v>
      </c>
      <c r="S223" s="5"/>
      <c r="T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5"/>
      <c r="T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/>
      <c r="M225" s="19">
        <v>0.0</v>
      </c>
      <c r="N225" s="19">
        <v>2.0</v>
      </c>
      <c r="O225" s="19">
        <v>0.0</v>
      </c>
      <c r="P225" s="19">
        <v>0.0</v>
      </c>
      <c r="Q225" s="19">
        <v>0.0</v>
      </c>
      <c r="R225" s="13">
        <f t="shared" ref="R225:R235" si="44">SUM(E225:Q225)</f>
        <v>2</v>
      </c>
      <c r="S225" s="5"/>
      <c r="T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3.0</v>
      </c>
      <c r="H226" s="19">
        <v>0.0</v>
      </c>
      <c r="I226" s="19">
        <v>0.0</v>
      </c>
      <c r="J226" s="19">
        <v>0.0</v>
      </c>
      <c r="K226" s="19">
        <v>0.0</v>
      </c>
      <c r="L226" s="19"/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3">
        <f t="shared" si="44"/>
        <v>4</v>
      </c>
      <c r="S226" s="5"/>
      <c r="T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/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3">
        <f t="shared" si="44"/>
        <v>0</v>
      </c>
      <c r="S227" s="5"/>
      <c r="T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/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3">
        <f t="shared" si="44"/>
        <v>0</v>
      </c>
      <c r="S228" s="5"/>
      <c r="T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/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3">
        <f t="shared" si="44"/>
        <v>0</v>
      </c>
      <c r="S229" s="1"/>
      <c r="T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/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3">
        <f t="shared" si="44"/>
        <v>0</v>
      </c>
      <c r="S230" s="54"/>
      <c r="T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/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3">
        <f t="shared" si="44"/>
        <v>0</v>
      </c>
      <c r="S231" s="5"/>
      <c r="T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/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3">
        <f t="shared" si="44"/>
        <v>0</v>
      </c>
      <c r="S232" s="5"/>
      <c r="T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3">
        <f t="shared" si="44"/>
        <v>0</v>
      </c>
      <c r="S233" s="5"/>
      <c r="T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3">
        <f t="shared" si="44"/>
        <v>0</v>
      </c>
      <c r="S234" s="5"/>
      <c r="T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Q235" si="45">SUM(E225:E232)</f>
        <v>0</v>
      </c>
      <c r="F235" s="13">
        <f t="shared" si="45"/>
        <v>0</v>
      </c>
      <c r="G235" s="13">
        <f t="shared" si="45"/>
        <v>3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2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4"/>
        <v>6</v>
      </c>
      <c r="S235" s="5"/>
      <c r="T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5"/>
      <c r="T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1.0</v>
      </c>
      <c r="J237" s="19">
        <v>0.0</v>
      </c>
      <c r="K237" s="19">
        <v>1.0</v>
      </c>
      <c r="L237" s="19">
        <v>1.0</v>
      </c>
      <c r="M237" s="19">
        <v>0.0</v>
      </c>
      <c r="N237" s="19">
        <v>0.0</v>
      </c>
      <c r="O237" s="19">
        <v>0.0</v>
      </c>
      <c r="P237" s="19">
        <v>0.0</v>
      </c>
      <c r="Q237" s="19">
        <v>1.0</v>
      </c>
      <c r="R237" s="13">
        <f t="shared" ref="R237:R247" si="46">SUM(E237:Q237)</f>
        <v>4</v>
      </c>
      <c r="S237" s="5"/>
      <c r="T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3.0</v>
      </c>
      <c r="J238" s="19">
        <v>1.0</v>
      </c>
      <c r="K238" s="19">
        <v>1.0</v>
      </c>
      <c r="L238" s="19">
        <v>1.0</v>
      </c>
      <c r="M238" s="19">
        <v>1.0</v>
      </c>
      <c r="N238" s="19">
        <v>1.0</v>
      </c>
      <c r="O238" s="19">
        <v>0.0</v>
      </c>
      <c r="P238" s="19">
        <v>0.0</v>
      </c>
      <c r="Q238" s="19">
        <v>1.0</v>
      </c>
      <c r="R238" s="13">
        <f t="shared" si="46"/>
        <v>9</v>
      </c>
      <c r="S238" s="5"/>
      <c r="T238" s="5"/>
    </row>
    <row r="239" ht="12.75" customHeight="1">
      <c r="A239" s="18"/>
      <c r="B239" s="57">
        <v>2.0</v>
      </c>
      <c r="C239" s="52" t="s">
        <v>176</v>
      </c>
      <c r="D239" s="60"/>
      <c r="E239" s="19">
        <v>4.0</v>
      </c>
      <c r="F239" s="19">
        <v>3.0</v>
      </c>
      <c r="G239" s="19">
        <v>3.0</v>
      </c>
      <c r="H239" s="19">
        <v>11.0</v>
      </c>
      <c r="I239" s="19">
        <v>43.0</v>
      </c>
      <c r="J239" s="19">
        <v>21.0</v>
      </c>
      <c r="K239" s="19">
        <v>27.0</v>
      </c>
      <c r="L239" s="19">
        <v>2.0</v>
      </c>
      <c r="M239" s="19">
        <v>1.0</v>
      </c>
      <c r="N239" s="19">
        <v>0.0</v>
      </c>
      <c r="O239" s="19">
        <v>0.0</v>
      </c>
      <c r="P239" s="19">
        <v>0.0</v>
      </c>
      <c r="Q239" s="19">
        <v>0.0</v>
      </c>
      <c r="R239" s="13">
        <f t="shared" si="46"/>
        <v>115</v>
      </c>
      <c r="S239" s="5"/>
      <c r="T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/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3">
        <f t="shared" si="46"/>
        <v>0</v>
      </c>
      <c r="S240" s="1"/>
      <c r="T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1.0</v>
      </c>
      <c r="N241" s="19">
        <v>0.0</v>
      </c>
      <c r="O241" s="19">
        <v>0.0</v>
      </c>
      <c r="P241" s="19">
        <v>0.0</v>
      </c>
      <c r="Q241" s="19">
        <v>1.0</v>
      </c>
      <c r="R241" s="13">
        <f t="shared" si="46"/>
        <v>4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0.0</v>
      </c>
      <c r="L242" s="19"/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/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/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3">
        <f t="shared" si="46"/>
        <v>1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Q247" si="47">SUM(E237:E244)</f>
        <v>4</v>
      </c>
      <c r="F247" s="13">
        <f t="shared" si="47"/>
        <v>3</v>
      </c>
      <c r="G247" s="13">
        <f t="shared" si="47"/>
        <v>4</v>
      </c>
      <c r="H247" s="13">
        <f t="shared" si="47"/>
        <v>12</v>
      </c>
      <c r="I247" s="13">
        <f t="shared" si="47"/>
        <v>47</v>
      </c>
      <c r="J247" s="13">
        <f t="shared" si="47"/>
        <v>22</v>
      </c>
      <c r="K247" s="13">
        <f t="shared" si="47"/>
        <v>29</v>
      </c>
      <c r="L247" s="13">
        <f t="shared" si="47"/>
        <v>5</v>
      </c>
      <c r="M247" s="13">
        <f t="shared" si="47"/>
        <v>3</v>
      </c>
      <c r="N247" s="13">
        <f t="shared" si="47"/>
        <v>1</v>
      </c>
      <c r="O247" s="13">
        <f t="shared" si="47"/>
        <v>1</v>
      </c>
      <c r="P247" s="13">
        <f t="shared" si="47"/>
        <v>0</v>
      </c>
      <c r="Q247" s="13">
        <f t="shared" si="47"/>
        <v>3</v>
      </c>
      <c r="R247" s="13">
        <f t="shared" si="46"/>
        <v>134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3">
        <f t="shared" ref="R249:R259" si="48">SUM(E249:Q249)</f>
        <v>2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/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/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/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/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/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/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Q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8"/>
        <v>2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71" t="s">
        <v>213</v>
      </c>
      <c r="Q261" s="71" t="s">
        <v>214</v>
      </c>
      <c r="R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Q262" si="50">E55+E67+E79+E91+E103+E115+E127+E139+E151+E163+E175+E187+E199+E211+E223+E235+E247+E259</f>
        <v>221</v>
      </c>
      <c r="F262" s="19">
        <f t="shared" si="50"/>
        <v>217</v>
      </c>
      <c r="G262" s="19">
        <f t="shared" si="50"/>
        <v>228</v>
      </c>
      <c r="H262" s="19">
        <f t="shared" si="50"/>
        <v>205</v>
      </c>
      <c r="I262" s="19">
        <f t="shared" si="50"/>
        <v>252</v>
      </c>
      <c r="J262" s="19">
        <f t="shared" si="50"/>
        <v>245</v>
      </c>
      <c r="K262" s="19">
        <f t="shared" si="50"/>
        <v>245</v>
      </c>
      <c r="L262" s="19">
        <f t="shared" si="50"/>
        <v>246</v>
      </c>
      <c r="M262" s="19">
        <f t="shared" si="50"/>
        <v>264</v>
      </c>
      <c r="N262" s="19">
        <f t="shared" si="50"/>
        <v>179</v>
      </c>
      <c r="O262" s="19">
        <f t="shared" si="50"/>
        <v>212</v>
      </c>
      <c r="P262" s="19">
        <f t="shared" si="50"/>
        <v>238</v>
      </c>
      <c r="Q262" s="19">
        <f t="shared" si="50"/>
        <v>258</v>
      </c>
      <c r="R262" s="13">
        <f t="shared" ref="R262:R264" si="51">SUM(E262:Q262)</f>
        <v>3010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32.0</v>
      </c>
      <c r="F263" s="19">
        <v>28.0</v>
      </c>
      <c r="G263" s="19">
        <v>19.0</v>
      </c>
      <c r="H263" s="19">
        <v>36.0</v>
      </c>
      <c r="I263" s="19">
        <v>22.0</v>
      </c>
      <c r="J263" s="19">
        <v>23.0</v>
      </c>
      <c r="K263" s="19">
        <v>23.0</v>
      </c>
      <c r="L263" s="19">
        <v>27.0</v>
      </c>
      <c r="M263" s="19">
        <v>14.0</v>
      </c>
      <c r="N263" s="19">
        <v>15.0</v>
      </c>
      <c r="O263" s="19">
        <v>14.0</v>
      </c>
      <c r="P263" s="19">
        <v>11.0</v>
      </c>
      <c r="Q263" s="19">
        <v>16.0</v>
      </c>
      <c r="R263" s="13">
        <f t="shared" si="51"/>
        <v>280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Q264" si="52">SUM(E262:E263)</f>
        <v>253</v>
      </c>
      <c r="F264" s="13">
        <f t="shared" si="52"/>
        <v>245</v>
      </c>
      <c r="G264" s="13">
        <f t="shared" si="52"/>
        <v>247</v>
      </c>
      <c r="H264" s="13">
        <f t="shared" si="52"/>
        <v>241</v>
      </c>
      <c r="I264" s="13">
        <f t="shared" si="52"/>
        <v>274</v>
      </c>
      <c r="J264" s="13">
        <f t="shared" si="52"/>
        <v>268</v>
      </c>
      <c r="K264" s="13">
        <f t="shared" si="52"/>
        <v>268</v>
      </c>
      <c r="L264" s="13">
        <f t="shared" si="52"/>
        <v>273</v>
      </c>
      <c r="M264" s="13">
        <f t="shared" si="52"/>
        <v>278</v>
      </c>
      <c r="N264" s="13">
        <f t="shared" si="52"/>
        <v>194</v>
      </c>
      <c r="O264" s="13">
        <f t="shared" si="52"/>
        <v>226</v>
      </c>
      <c r="P264" s="13">
        <f t="shared" si="52"/>
        <v>249</v>
      </c>
      <c r="Q264" s="13">
        <f t="shared" si="52"/>
        <v>274</v>
      </c>
      <c r="R264" s="13">
        <f t="shared" si="51"/>
        <v>3290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E34&lt;&gt;E64</formula>
    </cfRule>
  </conditionalFormatting>
  <conditionalFormatting sqref="E45:Q54">
    <cfRule type="containsBlanks" dxfId="1" priority="10">
      <formula>LEN(TRIM(E45))=0</formula>
    </cfRule>
  </conditionalFormatting>
  <conditionalFormatting sqref="E57:Q66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9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13" t="s">
        <v>218</v>
      </c>
      <c r="U13" s="13" t="s">
        <v>219</v>
      </c>
      <c r="V13" s="13" t="s">
        <v>220</v>
      </c>
      <c r="W13" s="13" t="s">
        <v>221</v>
      </c>
      <c r="X13" s="37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149.0</v>
      </c>
      <c r="G14" s="19">
        <v>148.0</v>
      </c>
      <c r="H14" s="19">
        <v>139.0</v>
      </c>
      <c r="I14" s="19">
        <v>137.0</v>
      </c>
      <c r="J14" s="19">
        <v>143.0</v>
      </c>
      <c r="K14" s="19">
        <v>150.0</v>
      </c>
      <c r="L14" s="19">
        <v>130.0</v>
      </c>
      <c r="M14" s="19">
        <v>154.0</v>
      </c>
      <c r="N14" s="19">
        <v>139.0</v>
      </c>
      <c r="O14" s="19">
        <v>138.0</v>
      </c>
      <c r="P14" s="19">
        <v>138.0</v>
      </c>
      <c r="Q14" s="19">
        <v>128.0</v>
      </c>
      <c r="R14" s="19">
        <v>133.0</v>
      </c>
      <c r="S14" s="19">
        <v>133.0</v>
      </c>
      <c r="T14" s="19">
        <v>140.0</v>
      </c>
      <c r="U14" s="19">
        <v>143.0</v>
      </c>
      <c r="V14" s="19">
        <v>142.0</v>
      </c>
      <c r="W14" s="19">
        <v>136.0</v>
      </c>
      <c r="X14" s="13">
        <f t="shared" ref="X14:X16" si="1">SUM(E14:W14)</f>
        <v>2641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126.0</v>
      </c>
      <c r="G15" s="19">
        <v>135.0</v>
      </c>
      <c r="H15" s="19">
        <v>133.0</v>
      </c>
      <c r="I15" s="19">
        <v>140.0</v>
      </c>
      <c r="J15" s="19">
        <v>137.0</v>
      </c>
      <c r="K15" s="19">
        <v>127.0</v>
      </c>
      <c r="L15" s="19">
        <v>130.0</v>
      </c>
      <c r="M15" s="19">
        <v>128.0</v>
      </c>
      <c r="N15" s="19">
        <v>149.0</v>
      </c>
      <c r="O15" s="19">
        <v>147.0</v>
      </c>
      <c r="P15" s="19">
        <v>143.0</v>
      </c>
      <c r="Q15" s="19">
        <v>150.0</v>
      </c>
      <c r="R15" s="19">
        <v>146.0</v>
      </c>
      <c r="S15" s="19">
        <v>153.0</v>
      </c>
      <c r="T15" s="19">
        <v>141.0</v>
      </c>
      <c r="U15" s="19">
        <v>144.0</v>
      </c>
      <c r="V15" s="19">
        <v>151.0</v>
      </c>
      <c r="W15" s="19">
        <v>148.0</v>
      </c>
      <c r="X15" s="13">
        <f t="shared" si="1"/>
        <v>2675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268</v>
      </c>
      <c r="F16" s="13">
        <f t="shared" si="2"/>
        <v>275</v>
      </c>
      <c r="G16" s="13">
        <f t="shared" si="2"/>
        <v>283</v>
      </c>
      <c r="H16" s="13">
        <f t="shared" si="2"/>
        <v>272</v>
      </c>
      <c r="I16" s="13">
        <f t="shared" si="2"/>
        <v>277</v>
      </c>
      <c r="J16" s="13">
        <f t="shared" si="2"/>
        <v>280</v>
      </c>
      <c r="K16" s="13">
        <f t="shared" si="2"/>
        <v>277</v>
      </c>
      <c r="L16" s="13">
        <f t="shared" si="2"/>
        <v>260</v>
      </c>
      <c r="M16" s="13">
        <f t="shared" si="2"/>
        <v>282</v>
      </c>
      <c r="N16" s="13">
        <f t="shared" si="2"/>
        <v>288</v>
      </c>
      <c r="O16" s="13">
        <f t="shared" si="2"/>
        <v>285</v>
      </c>
      <c r="P16" s="13">
        <f t="shared" si="2"/>
        <v>281</v>
      </c>
      <c r="Q16" s="13">
        <f t="shared" si="2"/>
        <v>278</v>
      </c>
      <c r="R16" s="13">
        <f t="shared" si="2"/>
        <v>279</v>
      </c>
      <c r="S16" s="13">
        <f t="shared" si="2"/>
        <v>286</v>
      </c>
      <c r="T16" s="13">
        <f t="shared" si="2"/>
        <v>281</v>
      </c>
      <c r="U16" s="13">
        <f t="shared" si="2"/>
        <v>287</v>
      </c>
      <c r="V16" s="13">
        <f t="shared" si="2"/>
        <v>293</v>
      </c>
      <c r="W16" s="13">
        <f t="shared" si="2"/>
        <v>284</v>
      </c>
      <c r="X16" s="13">
        <f t="shared" si="1"/>
        <v>5316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19"/>
      <c r="Q17" s="19"/>
      <c r="R17" s="19"/>
      <c r="S17" s="78"/>
      <c r="T17" s="19"/>
      <c r="U17" s="19"/>
      <c r="V17" s="19"/>
      <c r="W17" s="19"/>
      <c r="X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13" t="s">
        <v>218</v>
      </c>
      <c r="U18" s="13" t="s">
        <v>219</v>
      </c>
      <c r="V18" s="13" t="s">
        <v>220</v>
      </c>
      <c r="W18" s="13" t="s">
        <v>221</v>
      </c>
      <c r="X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78.0</v>
      </c>
      <c r="F19" s="19">
        <v>101.0</v>
      </c>
      <c r="G19" s="19">
        <v>115.0</v>
      </c>
      <c r="H19" s="19">
        <v>100.0</v>
      </c>
      <c r="I19" s="19">
        <v>98.0</v>
      </c>
      <c r="J19" s="19">
        <v>111.0</v>
      </c>
      <c r="K19" s="19">
        <v>116.0</v>
      </c>
      <c r="L19" s="19">
        <v>102.0</v>
      </c>
      <c r="M19" s="19">
        <v>112.0</v>
      </c>
      <c r="N19" s="19">
        <v>105.0</v>
      </c>
      <c r="O19" s="19">
        <v>99.0</v>
      </c>
      <c r="P19" s="19">
        <v>100.0</v>
      </c>
      <c r="Q19" s="19">
        <v>101.0</v>
      </c>
      <c r="R19" s="19">
        <v>84.0</v>
      </c>
      <c r="S19" s="19">
        <v>98.0</v>
      </c>
      <c r="T19" s="19">
        <v>104.0</v>
      </c>
      <c r="U19" s="19">
        <v>102.0</v>
      </c>
      <c r="V19" s="19">
        <v>112.0</v>
      </c>
      <c r="W19" s="19">
        <v>106.0</v>
      </c>
      <c r="X19" s="13">
        <f t="shared" ref="X19:X30" si="3">SUM(E19:W19)</f>
        <v>1944</v>
      </c>
    </row>
    <row r="20" ht="12.75" customHeight="1">
      <c r="A20" s="34"/>
      <c r="B20" s="27"/>
      <c r="C20" s="35"/>
      <c r="D20" s="19" t="s">
        <v>13</v>
      </c>
      <c r="E20" s="19">
        <v>115.0</v>
      </c>
      <c r="F20" s="19">
        <v>108.0</v>
      </c>
      <c r="G20" s="19">
        <v>112.0</v>
      </c>
      <c r="H20" s="19">
        <v>101.0</v>
      </c>
      <c r="I20" s="19">
        <v>118.0</v>
      </c>
      <c r="J20" s="19">
        <v>121.0</v>
      </c>
      <c r="K20" s="19">
        <v>103.0</v>
      </c>
      <c r="L20" s="19">
        <v>105.0</v>
      </c>
      <c r="M20" s="19">
        <v>112.0</v>
      </c>
      <c r="N20" s="19">
        <v>126.0</v>
      </c>
      <c r="O20" s="19">
        <v>114.0</v>
      </c>
      <c r="P20" s="19">
        <v>115.0</v>
      </c>
      <c r="Q20" s="19">
        <v>111.0</v>
      </c>
      <c r="R20" s="19">
        <v>91.0</v>
      </c>
      <c r="S20" s="19">
        <v>133.0</v>
      </c>
      <c r="T20" s="19">
        <v>120.0</v>
      </c>
      <c r="U20" s="19">
        <v>122.0</v>
      </c>
      <c r="V20" s="19">
        <v>131.0</v>
      </c>
      <c r="W20" s="19">
        <v>118.0</v>
      </c>
      <c r="X20" s="13">
        <f t="shared" si="3"/>
        <v>2176</v>
      </c>
    </row>
    <row r="21" ht="12.75" customHeight="1">
      <c r="A21" s="36"/>
      <c r="B21" s="28"/>
      <c r="C21" s="37"/>
      <c r="D21" s="13" t="s">
        <v>14</v>
      </c>
      <c r="E21" s="13">
        <f t="shared" ref="E21:W21" si="4">SUM(E19:E20)</f>
        <v>193</v>
      </c>
      <c r="F21" s="13">
        <f t="shared" si="4"/>
        <v>209</v>
      </c>
      <c r="G21" s="13">
        <f t="shared" si="4"/>
        <v>227</v>
      </c>
      <c r="H21" s="13">
        <f t="shared" si="4"/>
        <v>201</v>
      </c>
      <c r="I21" s="13">
        <f t="shared" si="4"/>
        <v>216</v>
      </c>
      <c r="J21" s="13">
        <f t="shared" si="4"/>
        <v>232</v>
      </c>
      <c r="K21" s="13">
        <f t="shared" si="4"/>
        <v>219</v>
      </c>
      <c r="L21" s="13">
        <f t="shared" si="4"/>
        <v>207</v>
      </c>
      <c r="M21" s="13">
        <f t="shared" si="4"/>
        <v>224</v>
      </c>
      <c r="N21" s="13">
        <f t="shared" si="4"/>
        <v>231</v>
      </c>
      <c r="O21" s="13">
        <f t="shared" si="4"/>
        <v>213</v>
      </c>
      <c r="P21" s="13">
        <f t="shared" si="4"/>
        <v>215</v>
      </c>
      <c r="Q21" s="13">
        <f t="shared" si="4"/>
        <v>212</v>
      </c>
      <c r="R21" s="13">
        <f t="shared" si="4"/>
        <v>175</v>
      </c>
      <c r="S21" s="13">
        <f t="shared" si="4"/>
        <v>231</v>
      </c>
      <c r="T21" s="13">
        <f t="shared" si="4"/>
        <v>224</v>
      </c>
      <c r="U21" s="13">
        <f t="shared" si="4"/>
        <v>224</v>
      </c>
      <c r="V21" s="13">
        <f t="shared" si="4"/>
        <v>243</v>
      </c>
      <c r="W21" s="13">
        <f t="shared" si="4"/>
        <v>224</v>
      </c>
      <c r="X21" s="13">
        <f t="shared" si="3"/>
        <v>4120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5.0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W24" si="5">SUM(E22:E23)</f>
        <v>0</v>
      </c>
      <c r="F24" s="13">
        <f t="shared" si="5"/>
        <v>5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3.0</v>
      </c>
      <c r="G25" s="19">
        <v>1.0</v>
      </c>
      <c r="H25" s="19">
        <v>3.0</v>
      </c>
      <c r="I25" s="19">
        <v>1.0</v>
      </c>
      <c r="J25" s="19">
        <v>2.0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1.0</v>
      </c>
      <c r="Q25" s="19">
        <v>0.0</v>
      </c>
      <c r="R25" s="19">
        <v>4.0</v>
      </c>
      <c r="S25" s="19">
        <v>1.0</v>
      </c>
      <c r="T25" s="19">
        <v>0.0</v>
      </c>
      <c r="U25" s="19">
        <v>0.0</v>
      </c>
      <c r="V25" s="19">
        <v>0.0</v>
      </c>
      <c r="W25" s="19">
        <v>2.0</v>
      </c>
      <c r="X25" s="13">
        <f t="shared" si="3"/>
        <v>24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4.0</v>
      </c>
      <c r="G26" s="19">
        <v>4.0</v>
      </c>
      <c r="H26" s="19">
        <v>7.0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>
        <v>2.0</v>
      </c>
      <c r="O26" s="19">
        <v>1.0</v>
      </c>
      <c r="P26" s="19">
        <v>1.0</v>
      </c>
      <c r="Q26" s="19">
        <v>2.0</v>
      </c>
      <c r="R26" s="19">
        <v>6.0</v>
      </c>
      <c r="S26" s="19">
        <v>0.0</v>
      </c>
      <c r="T26" s="19">
        <v>0.0</v>
      </c>
      <c r="U26" s="19">
        <v>0.0</v>
      </c>
      <c r="V26" s="19">
        <v>0.0</v>
      </c>
      <c r="W26" s="19">
        <v>2.0</v>
      </c>
      <c r="X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W27" si="6">SUM(E25:E26)</f>
        <v>0</v>
      </c>
      <c r="F27" s="13">
        <f t="shared" si="6"/>
        <v>7</v>
      </c>
      <c r="G27" s="13">
        <f t="shared" si="6"/>
        <v>5</v>
      </c>
      <c r="H27" s="13">
        <f t="shared" si="6"/>
        <v>10</v>
      </c>
      <c r="I27" s="13">
        <f t="shared" si="6"/>
        <v>1</v>
      </c>
      <c r="J27" s="13">
        <f t="shared" si="6"/>
        <v>3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2</v>
      </c>
      <c r="Q27" s="13">
        <f t="shared" si="6"/>
        <v>2</v>
      </c>
      <c r="R27" s="13">
        <f t="shared" si="6"/>
        <v>10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4</v>
      </c>
      <c r="X27" s="13">
        <f t="shared" si="3"/>
        <v>54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W28" si="7">SUM(E19,E22,E25)</f>
        <v>78</v>
      </c>
      <c r="F28" s="13">
        <f t="shared" si="7"/>
        <v>104</v>
      </c>
      <c r="G28" s="13">
        <f t="shared" si="7"/>
        <v>116</v>
      </c>
      <c r="H28" s="13">
        <f t="shared" si="7"/>
        <v>103</v>
      </c>
      <c r="I28" s="13">
        <f t="shared" si="7"/>
        <v>99</v>
      </c>
      <c r="J28" s="13">
        <f t="shared" si="7"/>
        <v>113</v>
      </c>
      <c r="K28" s="13">
        <f t="shared" si="7"/>
        <v>117</v>
      </c>
      <c r="L28" s="13">
        <f t="shared" si="7"/>
        <v>104</v>
      </c>
      <c r="M28" s="13">
        <f t="shared" si="7"/>
        <v>112</v>
      </c>
      <c r="N28" s="13">
        <f t="shared" si="7"/>
        <v>108</v>
      </c>
      <c r="O28" s="13">
        <f t="shared" si="7"/>
        <v>100</v>
      </c>
      <c r="P28" s="13">
        <f t="shared" si="7"/>
        <v>101</v>
      </c>
      <c r="Q28" s="13">
        <f t="shared" si="7"/>
        <v>101</v>
      </c>
      <c r="R28" s="13">
        <f t="shared" si="7"/>
        <v>88</v>
      </c>
      <c r="S28" s="13">
        <f t="shared" si="7"/>
        <v>99</v>
      </c>
      <c r="T28" s="13">
        <f t="shared" si="7"/>
        <v>104</v>
      </c>
      <c r="U28" s="13">
        <f t="shared" si="7"/>
        <v>102</v>
      </c>
      <c r="V28" s="13">
        <f t="shared" si="7"/>
        <v>112</v>
      </c>
      <c r="W28" s="13">
        <f t="shared" si="7"/>
        <v>108</v>
      </c>
      <c r="X28" s="13">
        <f t="shared" si="3"/>
        <v>1969</v>
      </c>
    </row>
    <row r="29" ht="12.75" customHeight="1">
      <c r="A29" s="36"/>
      <c r="B29" s="27"/>
      <c r="C29" s="35"/>
      <c r="D29" s="13" t="s">
        <v>13</v>
      </c>
      <c r="E29" s="13">
        <f t="shared" ref="E29:W29" si="8">SUM(E20,E23,E26)</f>
        <v>115</v>
      </c>
      <c r="F29" s="13">
        <f t="shared" si="8"/>
        <v>117</v>
      </c>
      <c r="G29" s="13">
        <f t="shared" si="8"/>
        <v>116</v>
      </c>
      <c r="H29" s="13">
        <f t="shared" si="8"/>
        <v>108</v>
      </c>
      <c r="I29" s="13">
        <f t="shared" si="8"/>
        <v>118</v>
      </c>
      <c r="J29" s="13">
        <f t="shared" si="8"/>
        <v>122</v>
      </c>
      <c r="K29" s="13">
        <f t="shared" si="8"/>
        <v>103</v>
      </c>
      <c r="L29" s="13">
        <f t="shared" si="8"/>
        <v>105</v>
      </c>
      <c r="M29" s="13">
        <f t="shared" si="8"/>
        <v>112</v>
      </c>
      <c r="N29" s="13">
        <f t="shared" si="8"/>
        <v>128</v>
      </c>
      <c r="O29" s="13">
        <f t="shared" si="8"/>
        <v>115</v>
      </c>
      <c r="P29" s="13">
        <f t="shared" si="8"/>
        <v>116</v>
      </c>
      <c r="Q29" s="13">
        <f t="shared" si="8"/>
        <v>113</v>
      </c>
      <c r="R29" s="13">
        <f t="shared" si="8"/>
        <v>97</v>
      </c>
      <c r="S29" s="13">
        <f t="shared" si="8"/>
        <v>133</v>
      </c>
      <c r="T29" s="13">
        <f t="shared" si="8"/>
        <v>120</v>
      </c>
      <c r="U29" s="13">
        <f t="shared" si="8"/>
        <v>122</v>
      </c>
      <c r="V29" s="13">
        <f t="shared" si="8"/>
        <v>131</v>
      </c>
      <c r="W29" s="13">
        <f t="shared" si="8"/>
        <v>120</v>
      </c>
      <c r="X29" s="13">
        <f t="shared" si="3"/>
        <v>2211</v>
      </c>
    </row>
    <row r="30" ht="12.75" customHeight="1">
      <c r="A30" s="36"/>
      <c r="B30" s="28"/>
      <c r="C30" s="37"/>
      <c r="D30" s="13" t="s">
        <v>14</v>
      </c>
      <c r="E30" s="13">
        <f t="shared" ref="E30:W30" si="9">SUM(E28:E29)</f>
        <v>193</v>
      </c>
      <c r="F30" s="13">
        <f t="shared" si="9"/>
        <v>221</v>
      </c>
      <c r="G30" s="13">
        <f t="shared" si="9"/>
        <v>232</v>
      </c>
      <c r="H30" s="13">
        <f t="shared" si="9"/>
        <v>211</v>
      </c>
      <c r="I30" s="13">
        <f t="shared" si="9"/>
        <v>217</v>
      </c>
      <c r="J30" s="13">
        <f t="shared" si="9"/>
        <v>235</v>
      </c>
      <c r="K30" s="13">
        <f t="shared" si="9"/>
        <v>220</v>
      </c>
      <c r="L30" s="13">
        <f t="shared" si="9"/>
        <v>209</v>
      </c>
      <c r="M30" s="13">
        <f t="shared" si="9"/>
        <v>224</v>
      </c>
      <c r="N30" s="13">
        <f t="shared" si="9"/>
        <v>236</v>
      </c>
      <c r="O30" s="13">
        <f t="shared" si="9"/>
        <v>215</v>
      </c>
      <c r="P30" s="13">
        <f t="shared" si="9"/>
        <v>217</v>
      </c>
      <c r="Q30" s="13">
        <f t="shared" si="9"/>
        <v>214</v>
      </c>
      <c r="R30" s="13">
        <f t="shared" si="9"/>
        <v>185</v>
      </c>
      <c r="S30" s="13">
        <f t="shared" si="9"/>
        <v>232</v>
      </c>
      <c r="T30" s="13">
        <f t="shared" si="9"/>
        <v>224</v>
      </c>
      <c r="U30" s="13">
        <f t="shared" si="9"/>
        <v>224</v>
      </c>
      <c r="V30" s="13">
        <f t="shared" si="9"/>
        <v>243</v>
      </c>
      <c r="W30" s="13">
        <f t="shared" si="9"/>
        <v>228</v>
      </c>
      <c r="X30" s="13">
        <f t="shared" si="3"/>
        <v>4180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19"/>
      <c r="Q31" s="19"/>
      <c r="R31" s="19"/>
      <c r="S31" s="78"/>
      <c r="T31" s="19"/>
      <c r="U31" s="19"/>
      <c r="V31" s="19"/>
      <c r="W31" s="19"/>
      <c r="X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1" t="s">
        <v>213</v>
      </c>
      <c r="Q32" s="71" t="s">
        <v>214</v>
      </c>
      <c r="R32" s="71" t="s">
        <v>216</v>
      </c>
      <c r="S32" s="71" t="s">
        <v>217</v>
      </c>
      <c r="T32" s="71" t="s">
        <v>218</v>
      </c>
      <c r="U32" s="71" t="s">
        <v>219</v>
      </c>
      <c r="V32" s="71" t="s">
        <v>220</v>
      </c>
      <c r="W32" s="71" t="s">
        <v>221</v>
      </c>
      <c r="X32" s="70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281.0</v>
      </c>
      <c r="G33" s="19">
        <v>287.0</v>
      </c>
      <c r="H33" s="19">
        <v>277.0</v>
      </c>
      <c r="I33" s="19">
        <v>283.0</v>
      </c>
      <c r="J33" s="19">
        <v>286.0</v>
      </c>
      <c r="K33" s="19">
        <v>283.0</v>
      </c>
      <c r="L33" s="19">
        <v>266.0</v>
      </c>
      <c r="M33" s="19">
        <v>288.0</v>
      </c>
      <c r="N33" s="19">
        <v>294.0</v>
      </c>
      <c r="O33" s="19">
        <v>291.0</v>
      </c>
      <c r="P33" s="19">
        <v>287.0</v>
      </c>
      <c r="Q33" s="19">
        <v>295.0</v>
      </c>
      <c r="R33" s="19">
        <v>279.0</v>
      </c>
      <c r="S33" s="19">
        <v>292.0</v>
      </c>
      <c r="T33" s="19">
        <v>287.0</v>
      </c>
      <c r="U33" s="19">
        <v>293.0</v>
      </c>
      <c r="V33" s="19">
        <v>299.0</v>
      </c>
      <c r="W33" s="19">
        <v>290.0</v>
      </c>
      <c r="X33" s="13">
        <f t="shared" ref="X33:X36" si="10">SUM(E33:W33)</f>
        <v>5432</v>
      </c>
    </row>
    <row r="34" ht="12.75" customHeight="1">
      <c r="A34" s="19">
        <v>2.0</v>
      </c>
      <c r="B34" s="20" t="s">
        <v>28</v>
      </c>
      <c r="C34" s="15"/>
      <c r="D34" s="16"/>
      <c r="E34" s="13">
        <v>193.0</v>
      </c>
      <c r="F34" s="13">
        <v>221.0</v>
      </c>
      <c r="G34" s="13">
        <v>232.0</v>
      </c>
      <c r="H34" s="13">
        <v>211.0</v>
      </c>
      <c r="I34" s="13">
        <v>217.0</v>
      </c>
      <c r="J34" s="13">
        <v>235.0</v>
      </c>
      <c r="K34" s="13">
        <v>220.0</v>
      </c>
      <c r="L34" s="13">
        <v>209.0</v>
      </c>
      <c r="M34" s="13">
        <v>224.0</v>
      </c>
      <c r="N34" s="13">
        <v>236.0</v>
      </c>
      <c r="O34" s="13">
        <v>215.0</v>
      </c>
      <c r="P34" s="13">
        <v>217.0</v>
      </c>
      <c r="Q34" s="13">
        <v>214.0</v>
      </c>
      <c r="R34" s="13">
        <v>185.0</v>
      </c>
      <c r="S34" s="13">
        <v>232.0</v>
      </c>
      <c r="T34" s="13">
        <v>224.0</v>
      </c>
      <c r="U34" s="13">
        <v>224.0</v>
      </c>
      <c r="V34" s="13">
        <v>243.0</v>
      </c>
      <c r="W34" s="13">
        <v>228.0</v>
      </c>
      <c r="X34" s="13">
        <f t="shared" si="10"/>
        <v>4180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80</v>
      </c>
      <c r="F36" s="13">
        <f t="shared" si="11"/>
        <v>60</v>
      </c>
      <c r="G36" s="13">
        <f t="shared" si="11"/>
        <v>55</v>
      </c>
      <c r="H36" s="13">
        <f t="shared" si="11"/>
        <v>66</v>
      </c>
      <c r="I36" s="13">
        <f t="shared" si="11"/>
        <v>66</v>
      </c>
      <c r="J36" s="13">
        <f t="shared" si="11"/>
        <v>50</v>
      </c>
      <c r="K36" s="13">
        <f t="shared" si="11"/>
        <v>63</v>
      </c>
      <c r="L36" s="13">
        <f t="shared" si="11"/>
        <v>57</v>
      </c>
      <c r="M36" s="13">
        <f t="shared" si="11"/>
        <v>64</v>
      </c>
      <c r="N36" s="13">
        <f t="shared" si="11"/>
        <v>57</v>
      </c>
      <c r="O36" s="13">
        <f t="shared" si="11"/>
        <v>76</v>
      </c>
      <c r="P36" s="13">
        <f t="shared" si="11"/>
        <v>70</v>
      </c>
      <c r="Q36" s="13">
        <f t="shared" si="11"/>
        <v>80</v>
      </c>
      <c r="R36" s="13">
        <f t="shared" si="11"/>
        <v>94</v>
      </c>
      <c r="S36" s="13">
        <f t="shared" si="11"/>
        <v>60</v>
      </c>
      <c r="T36" s="13">
        <f t="shared" si="11"/>
        <v>63</v>
      </c>
      <c r="U36" s="13">
        <f t="shared" si="11"/>
        <v>69</v>
      </c>
      <c r="V36" s="13">
        <f t="shared" si="11"/>
        <v>55</v>
      </c>
      <c r="W36" s="13">
        <f t="shared" si="11"/>
        <v>62</v>
      </c>
      <c r="X36" s="13">
        <f t="shared" si="10"/>
        <v>1247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19"/>
      <c r="Q37" s="19"/>
      <c r="R37" s="19"/>
      <c r="S37" s="78"/>
      <c r="T37" s="19"/>
      <c r="U37" s="19"/>
      <c r="V37" s="19"/>
      <c r="W37" s="19"/>
      <c r="X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1" t="s">
        <v>213</v>
      </c>
      <c r="Q38" s="71" t="s">
        <v>214</v>
      </c>
      <c r="R38" s="71" t="s">
        <v>216</v>
      </c>
      <c r="S38" s="71" t="s">
        <v>217</v>
      </c>
      <c r="T38" s="71" t="s">
        <v>218</v>
      </c>
      <c r="U38" s="71" t="s">
        <v>219</v>
      </c>
      <c r="V38" s="71" t="s">
        <v>220</v>
      </c>
      <c r="W38" s="71" t="s">
        <v>221</v>
      </c>
      <c r="X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3.0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9"/>
      <c r="Q42" s="19"/>
      <c r="R42" s="19"/>
      <c r="S42" s="78"/>
      <c r="T42" s="19"/>
      <c r="U42" s="19"/>
      <c r="V42" s="19"/>
      <c r="W42" s="19"/>
      <c r="X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71" t="s">
        <v>213</v>
      </c>
      <c r="Q43" s="71" t="s">
        <v>214</v>
      </c>
      <c r="R43" s="71" t="s">
        <v>216</v>
      </c>
      <c r="S43" s="71" t="s">
        <v>217</v>
      </c>
      <c r="T43" s="71" t="s">
        <v>218</v>
      </c>
      <c r="U43" s="71" t="s">
        <v>219</v>
      </c>
      <c r="V43" s="71" t="s">
        <v>220</v>
      </c>
      <c r="W43" s="71" t="s">
        <v>221</v>
      </c>
      <c r="X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9"/>
      <c r="Q44" s="19"/>
      <c r="R44" s="19"/>
      <c r="S44" s="78"/>
      <c r="T44" s="19"/>
      <c r="U44" s="19"/>
      <c r="V44" s="19"/>
      <c r="W44" s="19"/>
      <c r="X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4.0</v>
      </c>
      <c r="F45" s="19">
        <v>10.0</v>
      </c>
      <c r="G45" s="19">
        <v>6.0</v>
      </c>
      <c r="H45" s="19">
        <v>3.0</v>
      </c>
      <c r="I45" s="19">
        <v>10.0</v>
      </c>
      <c r="J45" s="19">
        <v>10.0</v>
      </c>
      <c r="K45" s="19">
        <v>5.0</v>
      </c>
      <c r="L45" s="19">
        <v>11.0</v>
      </c>
      <c r="M45" s="19">
        <v>8.0</v>
      </c>
      <c r="N45" s="19">
        <v>6.0</v>
      </c>
      <c r="O45" s="19">
        <v>5.0</v>
      </c>
      <c r="P45" s="19">
        <v>5.0</v>
      </c>
      <c r="Q45" s="19">
        <v>5.0</v>
      </c>
      <c r="R45" s="19">
        <v>4.0</v>
      </c>
      <c r="S45" s="19">
        <v>9.0</v>
      </c>
      <c r="T45" s="19">
        <v>18.0</v>
      </c>
      <c r="U45" s="19">
        <v>7.0</v>
      </c>
      <c r="V45" s="19">
        <v>12.0</v>
      </c>
      <c r="W45" s="19">
        <v>5.0</v>
      </c>
      <c r="X45" s="13">
        <f t="shared" ref="X45:X55" si="14">SUM(E45:W45)</f>
        <v>143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9.0</v>
      </c>
      <c r="F46" s="19">
        <v>17.0</v>
      </c>
      <c r="G46" s="19">
        <v>14.0</v>
      </c>
      <c r="H46" s="19">
        <v>17.0</v>
      </c>
      <c r="I46" s="19">
        <v>6.0</v>
      </c>
      <c r="J46" s="19">
        <v>17.0</v>
      </c>
      <c r="K46" s="19">
        <v>21.0</v>
      </c>
      <c r="L46" s="19">
        <v>21.0</v>
      </c>
      <c r="M46" s="19">
        <v>14.0</v>
      </c>
      <c r="N46" s="19">
        <v>13.0</v>
      </c>
      <c r="O46" s="19">
        <v>5.0</v>
      </c>
      <c r="P46" s="19">
        <v>0.0</v>
      </c>
      <c r="Q46" s="19">
        <v>8.0</v>
      </c>
      <c r="R46" s="19">
        <v>10.0</v>
      </c>
      <c r="S46" s="19">
        <v>11.0</v>
      </c>
      <c r="T46" s="19">
        <v>15.0</v>
      </c>
      <c r="U46" s="19">
        <v>17.0</v>
      </c>
      <c r="V46" s="19">
        <v>29.0</v>
      </c>
      <c r="W46" s="19">
        <v>13.0</v>
      </c>
      <c r="X46" s="13">
        <f t="shared" si="14"/>
        <v>257</v>
      </c>
    </row>
    <row r="47" ht="12.75" customHeight="1">
      <c r="A47" s="18"/>
      <c r="B47" s="57">
        <v>2.0</v>
      </c>
      <c r="C47" s="52" t="s">
        <v>41</v>
      </c>
      <c r="D47" s="16"/>
      <c r="E47" s="19">
        <v>4.0</v>
      </c>
      <c r="F47" s="19">
        <v>0.0</v>
      </c>
      <c r="G47" s="19">
        <v>2.0</v>
      </c>
      <c r="H47" s="19">
        <v>1.0</v>
      </c>
      <c r="I47" s="19">
        <v>2.0</v>
      </c>
      <c r="J47" s="19">
        <v>2.0</v>
      </c>
      <c r="K47" s="19">
        <v>1.0</v>
      </c>
      <c r="L47" s="19">
        <v>1.0</v>
      </c>
      <c r="M47" s="19">
        <v>2.0</v>
      </c>
      <c r="N47" s="19">
        <v>1.0</v>
      </c>
      <c r="O47" s="19">
        <v>1.0</v>
      </c>
      <c r="P47" s="19">
        <v>3.0</v>
      </c>
      <c r="Q47" s="19">
        <v>1.0</v>
      </c>
      <c r="R47" s="19">
        <v>1.0</v>
      </c>
      <c r="S47" s="19">
        <v>6.0</v>
      </c>
      <c r="T47" s="19">
        <v>7.0</v>
      </c>
      <c r="U47" s="19">
        <v>4.0</v>
      </c>
      <c r="V47" s="19">
        <v>4.0</v>
      </c>
      <c r="W47" s="19">
        <v>5.0</v>
      </c>
      <c r="X47" s="13">
        <f t="shared" si="14"/>
        <v>48</v>
      </c>
    </row>
    <row r="48" ht="12.75" customHeight="1">
      <c r="A48" s="18"/>
      <c r="B48" s="57">
        <v>3.0</v>
      </c>
      <c r="C48" s="52" t="s">
        <v>42</v>
      </c>
      <c r="D48" s="16"/>
      <c r="E48" s="19">
        <v>4.0</v>
      </c>
      <c r="F48" s="19">
        <v>1.0</v>
      </c>
      <c r="G48" s="19">
        <v>1.0</v>
      </c>
      <c r="H48" s="19">
        <v>0.0</v>
      </c>
      <c r="I48" s="19">
        <v>1.0</v>
      </c>
      <c r="J48" s="19">
        <v>2.0</v>
      </c>
      <c r="K48" s="19">
        <v>1.0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0.0</v>
      </c>
      <c r="R48" s="19">
        <v>2.0</v>
      </c>
      <c r="S48" s="19">
        <v>0.0</v>
      </c>
      <c r="T48" s="19">
        <v>1.0</v>
      </c>
      <c r="U48" s="19">
        <v>1.0</v>
      </c>
      <c r="V48" s="19">
        <v>0.0</v>
      </c>
      <c r="W48" s="19">
        <v>0.0</v>
      </c>
      <c r="X48" s="13">
        <f t="shared" si="14"/>
        <v>15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1.0</v>
      </c>
      <c r="M49" s="19">
        <v>0.0</v>
      </c>
      <c r="N49" s="19">
        <v>1.0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1.0</v>
      </c>
      <c r="U49" s="19">
        <v>3.0</v>
      </c>
      <c r="V49" s="19">
        <v>2.0</v>
      </c>
      <c r="W49" s="19">
        <v>1.0</v>
      </c>
      <c r="X49" s="13">
        <f t="shared" si="14"/>
        <v>12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2.0</v>
      </c>
      <c r="T50" s="19">
        <v>2.0</v>
      </c>
      <c r="U50" s="19">
        <v>1.0</v>
      </c>
      <c r="V50" s="19">
        <v>0.0</v>
      </c>
      <c r="W50" s="19">
        <v>1.0</v>
      </c>
      <c r="X50" s="13">
        <f t="shared" si="14"/>
        <v>7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1.0</v>
      </c>
      <c r="J51" s="19">
        <v>1.0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1.0</v>
      </c>
      <c r="R51" s="19">
        <v>1.0</v>
      </c>
      <c r="S51" s="19">
        <v>0.0</v>
      </c>
      <c r="T51" s="19">
        <v>4.0</v>
      </c>
      <c r="U51" s="19">
        <v>1.0</v>
      </c>
      <c r="V51" s="19">
        <v>3.0</v>
      </c>
      <c r="W51" s="19">
        <v>2.0</v>
      </c>
      <c r="X51" s="13">
        <f t="shared" si="14"/>
        <v>16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2.0</v>
      </c>
      <c r="U52" s="19">
        <v>1.0</v>
      </c>
      <c r="V52" s="19">
        <v>1.0</v>
      </c>
      <c r="W52" s="19">
        <v>0.0</v>
      </c>
      <c r="X52" s="13">
        <f t="shared" si="14"/>
        <v>6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W55" si="15">SUM(E45:E52)</f>
        <v>21</v>
      </c>
      <c r="F55" s="13">
        <f t="shared" si="15"/>
        <v>29</v>
      </c>
      <c r="G55" s="13">
        <f t="shared" si="15"/>
        <v>23</v>
      </c>
      <c r="H55" s="13">
        <f t="shared" si="15"/>
        <v>22</v>
      </c>
      <c r="I55" s="13">
        <f t="shared" si="15"/>
        <v>21</v>
      </c>
      <c r="J55" s="13">
        <f t="shared" si="15"/>
        <v>32</v>
      </c>
      <c r="K55" s="13">
        <f t="shared" si="15"/>
        <v>29</v>
      </c>
      <c r="L55" s="13">
        <f t="shared" si="15"/>
        <v>34</v>
      </c>
      <c r="M55" s="13">
        <f t="shared" si="15"/>
        <v>24</v>
      </c>
      <c r="N55" s="13">
        <f t="shared" si="15"/>
        <v>23</v>
      </c>
      <c r="O55" s="13">
        <f t="shared" si="15"/>
        <v>12</v>
      </c>
      <c r="P55" s="13">
        <f t="shared" si="15"/>
        <v>9</v>
      </c>
      <c r="Q55" s="13">
        <f t="shared" si="15"/>
        <v>15</v>
      </c>
      <c r="R55" s="13">
        <f t="shared" si="15"/>
        <v>19</v>
      </c>
      <c r="S55" s="13">
        <f t="shared" si="15"/>
        <v>28</v>
      </c>
      <c r="T55" s="13">
        <f t="shared" si="15"/>
        <v>50</v>
      </c>
      <c r="U55" s="13">
        <f t="shared" si="15"/>
        <v>35</v>
      </c>
      <c r="V55" s="13">
        <f t="shared" si="15"/>
        <v>51</v>
      </c>
      <c r="W55" s="13">
        <f t="shared" si="15"/>
        <v>27</v>
      </c>
      <c r="X55" s="13">
        <f t="shared" si="14"/>
        <v>504</v>
      </c>
    </row>
    <row r="56" ht="12.75" customHeight="1">
      <c r="A56" s="47"/>
      <c r="B56" s="46"/>
      <c r="C56" s="46"/>
      <c r="D56" s="46"/>
      <c r="E56" s="46"/>
      <c r="X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6.0</v>
      </c>
      <c r="F57" s="19">
        <v>9.0</v>
      </c>
      <c r="G57" s="19">
        <v>9.0</v>
      </c>
      <c r="H57" s="19">
        <v>7.0</v>
      </c>
      <c r="I57" s="19">
        <v>20.0</v>
      </c>
      <c r="J57" s="19">
        <v>6.0</v>
      </c>
      <c r="K57" s="19">
        <v>9.0</v>
      </c>
      <c r="L57" s="19">
        <v>10.0</v>
      </c>
      <c r="M57" s="19">
        <v>12.0</v>
      </c>
      <c r="N57" s="19">
        <v>5.0</v>
      </c>
      <c r="O57" s="19">
        <v>8.0</v>
      </c>
      <c r="P57" s="19">
        <v>6.0</v>
      </c>
      <c r="Q57" s="19">
        <v>12.0</v>
      </c>
      <c r="R57" s="19">
        <v>12.0</v>
      </c>
      <c r="S57" s="19">
        <v>11.0</v>
      </c>
      <c r="T57" s="19">
        <v>18.0</v>
      </c>
      <c r="U57" s="19">
        <v>8.0</v>
      </c>
      <c r="V57" s="19">
        <v>20.0</v>
      </c>
      <c r="W57" s="19">
        <v>13.0</v>
      </c>
      <c r="X57" s="13">
        <f t="shared" ref="X57:X67" si="16">SUM(E57:W57)</f>
        <v>201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12.0</v>
      </c>
      <c r="F58" s="19">
        <v>7.0</v>
      </c>
      <c r="G58" s="19">
        <v>7.0</v>
      </c>
      <c r="H58" s="19">
        <v>18.0</v>
      </c>
      <c r="I58" s="19">
        <v>17.0</v>
      </c>
      <c r="J58" s="19">
        <v>7.0</v>
      </c>
      <c r="K58" s="19">
        <v>11.0</v>
      </c>
      <c r="L58" s="19">
        <v>7.0</v>
      </c>
      <c r="M58" s="19">
        <v>13.0</v>
      </c>
      <c r="N58" s="19">
        <v>13.0</v>
      </c>
      <c r="O58" s="19">
        <v>25.0</v>
      </c>
      <c r="P58" s="19">
        <v>18.0</v>
      </c>
      <c r="Q58" s="19">
        <v>20.0</v>
      </c>
      <c r="R58" s="19">
        <v>20.0</v>
      </c>
      <c r="S58" s="19">
        <v>34.0</v>
      </c>
      <c r="T58" s="19">
        <v>10.0</v>
      </c>
      <c r="U58" s="19">
        <v>30.0</v>
      </c>
      <c r="V58" s="19">
        <v>42.0</v>
      </c>
      <c r="W58" s="19">
        <v>38.0</v>
      </c>
      <c r="X58" s="13">
        <f t="shared" si="16"/>
        <v>349</v>
      </c>
    </row>
    <row r="59" ht="12.75" customHeight="1">
      <c r="A59" s="18"/>
      <c r="B59" s="57">
        <v>2.0</v>
      </c>
      <c r="C59" s="52" t="s">
        <v>50</v>
      </c>
      <c r="D59" s="58"/>
      <c r="E59" s="19">
        <v>0.0</v>
      </c>
      <c r="F59" s="19">
        <v>3.0</v>
      </c>
      <c r="G59" s="19">
        <v>1.0</v>
      </c>
      <c r="H59" s="19">
        <v>1.0</v>
      </c>
      <c r="I59" s="19">
        <v>3.0</v>
      </c>
      <c r="J59" s="19">
        <v>2.0</v>
      </c>
      <c r="K59" s="19">
        <v>3.0</v>
      </c>
      <c r="L59" s="19">
        <v>0.0</v>
      </c>
      <c r="M59" s="19">
        <v>1.0</v>
      </c>
      <c r="N59" s="19">
        <v>2.0</v>
      </c>
      <c r="O59" s="19">
        <v>1.0</v>
      </c>
      <c r="P59" s="19">
        <v>1.0</v>
      </c>
      <c r="Q59" s="19">
        <v>1.0</v>
      </c>
      <c r="R59" s="19">
        <v>2.0</v>
      </c>
      <c r="S59" s="19">
        <v>3.0</v>
      </c>
      <c r="T59" s="19">
        <v>1.0</v>
      </c>
      <c r="U59" s="19">
        <v>1.0</v>
      </c>
      <c r="V59" s="19">
        <v>4.0</v>
      </c>
      <c r="W59" s="19">
        <v>4.0</v>
      </c>
      <c r="X59" s="13">
        <f t="shared" si="16"/>
        <v>34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1.0</v>
      </c>
      <c r="G60" s="19">
        <v>0.0</v>
      </c>
      <c r="H60" s="19">
        <v>2.0</v>
      </c>
      <c r="I60" s="19">
        <v>0.0</v>
      </c>
      <c r="J60" s="19">
        <v>0.0</v>
      </c>
      <c r="K60" s="19">
        <v>0.0</v>
      </c>
      <c r="L60" s="19">
        <v>0.0</v>
      </c>
      <c r="M60" s="19">
        <v>1.0</v>
      </c>
      <c r="N60" s="19">
        <v>0.0</v>
      </c>
      <c r="O60" s="19">
        <v>1.0</v>
      </c>
      <c r="P60" s="19">
        <v>0.0</v>
      </c>
      <c r="Q60" s="19">
        <v>0.0</v>
      </c>
      <c r="R60" s="19">
        <v>2.0</v>
      </c>
      <c r="S60" s="19">
        <v>1.0</v>
      </c>
      <c r="T60" s="19">
        <v>0.0</v>
      </c>
      <c r="U60" s="19">
        <v>0.0</v>
      </c>
      <c r="V60" s="19">
        <v>1.0</v>
      </c>
      <c r="W60" s="19">
        <v>0.0</v>
      </c>
      <c r="X60" s="13">
        <f t="shared" si="16"/>
        <v>9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1.0</v>
      </c>
      <c r="G61" s="19">
        <v>0.0</v>
      </c>
      <c r="H61" s="19">
        <v>0.0</v>
      </c>
      <c r="I61" s="19">
        <v>0.0</v>
      </c>
      <c r="J61" s="19">
        <v>0.0</v>
      </c>
      <c r="K61" s="19">
        <v>1.0</v>
      </c>
      <c r="L61" s="19">
        <v>0.0</v>
      </c>
      <c r="M61" s="19">
        <v>0.0</v>
      </c>
      <c r="N61" s="19">
        <v>0.0</v>
      </c>
      <c r="O61" s="19">
        <v>1.0</v>
      </c>
      <c r="P61" s="19">
        <v>1.0</v>
      </c>
      <c r="Q61" s="19">
        <v>0.0</v>
      </c>
      <c r="R61" s="19">
        <v>1.0</v>
      </c>
      <c r="S61" s="19">
        <v>1.0</v>
      </c>
      <c r="T61" s="19">
        <v>1.0</v>
      </c>
      <c r="U61" s="19">
        <v>3.0</v>
      </c>
      <c r="V61" s="19">
        <v>1.0</v>
      </c>
      <c r="W61" s="19">
        <v>1.0</v>
      </c>
      <c r="X61" s="13">
        <f t="shared" si="16"/>
        <v>13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1.0</v>
      </c>
      <c r="N62" s="19">
        <v>0.0</v>
      </c>
      <c r="O62" s="19">
        <v>1.0</v>
      </c>
      <c r="P62" s="19">
        <v>3.0</v>
      </c>
      <c r="Q62" s="19">
        <v>0.0</v>
      </c>
      <c r="R62" s="19">
        <v>0.0</v>
      </c>
      <c r="S62" s="19">
        <v>1.0</v>
      </c>
      <c r="T62" s="19">
        <v>0.0</v>
      </c>
      <c r="U62" s="19">
        <v>1.0</v>
      </c>
      <c r="V62" s="19">
        <v>0.0</v>
      </c>
      <c r="W62" s="19">
        <v>0.0</v>
      </c>
      <c r="X62" s="13">
        <f t="shared" si="16"/>
        <v>8</v>
      </c>
    </row>
    <row r="63" ht="12.75" customHeight="1">
      <c r="A63" s="18"/>
      <c r="B63" s="57">
        <v>6.0</v>
      </c>
      <c r="C63" s="52" t="s">
        <v>54</v>
      </c>
      <c r="D63" s="60"/>
      <c r="E63" s="19">
        <v>1.0</v>
      </c>
      <c r="F63" s="19">
        <v>0.0</v>
      </c>
      <c r="G63" s="19">
        <v>0.0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0.0</v>
      </c>
      <c r="R63" s="19">
        <v>0.0</v>
      </c>
      <c r="S63" s="19">
        <v>2.0</v>
      </c>
      <c r="T63" s="19">
        <v>0.0</v>
      </c>
      <c r="U63" s="19">
        <v>0.0</v>
      </c>
      <c r="V63" s="19">
        <v>1.0</v>
      </c>
      <c r="W63" s="19">
        <v>0.0</v>
      </c>
      <c r="X63" s="13">
        <f t="shared" si="16"/>
        <v>6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3">
        <f t="shared" si="16"/>
        <v>2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W67" si="17">SUM(E57:E64)</f>
        <v>20</v>
      </c>
      <c r="F67" s="13">
        <f t="shared" si="17"/>
        <v>22</v>
      </c>
      <c r="G67" s="13">
        <f t="shared" si="17"/>
        <v>17</v>
      </c>
      <c r="H67" s="13">
        <f t="shared" si="17"/>
        <v>29</v>
      </c>
      <c r="I67" s="13">
        <f t="shared" si="17"/>
        <v>40</v>
      </c>
      <c r="J67" s="13">
        <f t="shared" si="17"/>
        <v>16</v>
      </c>
      <c r="K67" s="13">
        <f t="shared" si="17"/>
        <v>24</v>
      </c>
      <c r="L67" s="13">
        <f t="shared" si="17"/>
        <v>17</v>
      </c>
      <c r="M67" s="13">
        <f t="shared" si="17"/>
        <v>28</v>
      </c>
      <c r="N67" s="13">
        <f t="shared" si="17"/>
        <v>21</v>
      </c>
      <c r="O67" s="13">
        <f t="shared" si="17"/>
        <v>38</v>
      </c>
      <c r="P67" s="13">
        <f t="shared" si="17"/>
        <v>29</v>
      </c>
      <c r="Q67" s="13">
        <f t="shared" si="17"/>
        <v>33</v>
      </c>
      <c r="R67" s="13">
        <f t="shared" si="17"/>
        <v>37</v>
      </c>
      <c r="S67" s="13">
        <f t="shared" si="17"/>
        <v>53</v>
      </c>
      <c r="T67" s="13">
        <f t="shared" si="17"/>
        <v>30</v>
      </c>
      <c r="U67" s="13">
        <f t="shared" si="17"/>
        <v>43</v>
      </c>
      <c r="V67" s="13">
        <f t="shared" si="17"/>
        <v>69</v>
      </c>
      <c r="W67" s="13">
        <f t="shared" si="17"/>
        <v>56</v>
      </c>
      <c r="X67" s="13">
        <f t="shared" si="16"/>
        <v>622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3.0</v>
      </c>
      <c r="F69" s="19">
        <v>5.0</v>
      </c>
      <c r="G69" s="19">
        <v>1.0</v>
      </c>
      <c r="H69" s="19">
        <v>3.0</v>
      </c>
      <c r="I69" s="19">
        <v>7.0</v>
      </c>
      <c r="J69" s="19">
        <v>7.0</v>
      </c>
      <c r="K69" s="19">
        <v>2.0</v>
      </c>
      <c r="L69" s="19">
        <v>5.0</v>
      </c>
      <c r="M69" s="19">
        <v>7.0</v>
      </c>
      <c r="N69" s="19">
        <v>6.0</v>
      </c>
      <c r="O69" s="19">
        <v>2.0</v>
      </c>
      <c r="P69" s="19">
        <v>9.0</v>
      </c>
      <c r="Q69" s="19">
        <v>5.0</v>
      </c>
      <c r="R69" s="19">
        <v>3.0</v>
      </c>
      <c r="S69" s="19">
        <v>3.0</v>
      </c>
      <c r="T69" s="19">
        <v>7.0</v>
      </c>
      <c r="U69" s="19">
        <v>6.0</v>
      </c>
      <c r="V69" s="19">
        <v>5.0</v>
      </c>
      <c r="W69" s="19">
        <v>13.0</v>
      </c>
      <c r="X69" s="13">
        <f t="shared" ref="X69:X79" si="18">SUM(E69:W69)</f>
        <v>99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5.0</v>
      </c>
      <c r="F70" s="19">
        <v>16.0</v>
      </c>
      <c r="G70" s="19">
        <v>2.0</v>
      </c>
      <c r="H70" s="19">
        <v>7.0</v>
      </c>
      <c r="I70" s="19">
        <v>1.0</v>
      </c>
      <c r="J70" s="19">
        <v>3.0</v>
      </c>
      <c r="K70" s="19">
        <v>6.0</v>
      </c>
      <c r="L70" s="19">
        <v>0.0</v>
      </c>
      <c r="M70" s="19">
        <v>5.0</v>
      </c>
      <c r="N70" s="19">
        <v>2.0</v>
      </c>
      <c r="O70" s="19">
        <v>1.0</v>
      </c>
      <c r="P70" s="19">
        <v>10.0</v>
      </c>
      <c r="Q70" s="19">
        <v>17.0</v>
      </c>
      <c r="R70" s="19">
        <v>6.0</v>
      </c>
      <c r="S70" s="19">
        <v>6.0</v>
      </c>
      <c r="T70" s="19">
        <v>2.0</v>
      </c>
      <c r="U70" s="19">
        <v>6.0</v>
      </c>
      <c r="V70" s="19">
        <v>7.0</v>
      </c>
      <c r="W70" s="19">
        <v>5.0</v>
      </c>
      <c r="X70" s="13">
        <f t="shared" si="18"/>
        <v>107</v>
      </c>
    </row>
    <row r="71" ht="12.75" customHeight="1">
      <c r="A71" s="18"/>
      <c r="B71" s="57">
        <v>2.0</v>
      </c>
      <c r="C71" s="52" t="s">
        <v>58</v>
      </c>
      <c r="D71" s="60"/>
      <c r="E71" s="19">
        <v>1.0</v>
      </c>
      <c r="F71" s="19">
        <v>2.0</v>
      </c>
      <c r="G71" s="19">
        <v>1.0</v>
      </c>
      <c r="H71" s="19">
        <v>0.0</v>
      </c>
      <c r="I71" s="19">
        <v>0.0</v>
      </c>
      <c r="J71" s="19">
        <v>1.0</v>
      </c>
      <c r="K71" s="19">
        <v>1.0</v>
      </c>
      <c r="L71" s="19">
        <v>0.0</v>
      </c>
      <c r="M71" s="19">
        <v>1.0</v>
      </c>
      <c r="N71" s="19">
        <v>1.0</v>
      </c>
      <c r="O71" s="19">
        <v>1.0</v>
      </c>
      <c r="P71" s="19">
        <v>3.0</v>
      </c>
      <c r="Q71" s="19">
        <v>0.0</v>
      </c>
      <c r="R71" s="19">
        <v>3.0</v>
      </c>
      <c r="S71" s="19">
        <v>0.0</v>
      </c>
      <c r="T71" s="19">
        <v>2.0</v>
      </c>
      <c r="U71" s="19">
        <v>7.0</v>
      </c>
      <c r="V71" s="19">
        <v>0.0</v>
      </c>
      <c r="W71" s="19">
        <v>3.0</v>
      </c>
      <c r="X71" s="13">
        <f t="shared" si="18"/>
        <v>27</v>
      </c>
    </row>
    <row r="72" ht="12.75" customHeight="1">
      <c r="A72" s="18"/>
      <c r="B72" s="57">
        <v>3.0</v>
      </c>
      <c r="C72" s="52" t="s">
        <v>59</v>
      </c>
      <c r="D72" s="60"/>
      <c r="E72" s="19">
        <v>3.0</v>
      </c>
      <c r="F72" s="19">
        <v>3.0</v>
      </c>
      <c r="G72" s="19">
        <v>1.0</v>
      </c>
      <c r="H72" s="19">
        <v>1.0</v>
      </c>
      <c r="I72" s="19">
        <v>0.0</v>
      </c>
      <c r="J72" s="19">
        <v>0.0</v>
      </c>
      <c r="K72" s="19">
        <v>2.0</v>
      </c>
      <c r="L72" s="19">
        <v>1.0</v>
      </c>
      <c r="M72" s="19">
        <v>2.0</v>
      </c>
      <c r="N72" s="19">
        <v>1.0</v>
      </c>
      <c r="O72" s="19">
        <v>2.0</v>
      </c>
      <c r="P72" s="19">
        <v>7.0</v>
      </c>
      <c r="Q72" s="19">
        <v>0.0</v>
      </c>
      <c r="R72" s="19">
        <v>1.0</v>
      </c>
      <c r="S72" s="19">
        <v>2.0</v>
      </c>
      <c r="T72" s="19">
        <v>0.0</v>
      </c>
      <c r="U72" s="19">
        <v>4.0</v>
      </c>
      <c r="V72" s="19"/>
      <c r="W72" s="19">
        <v>0.0</v>
      </c>
      <c r="X72" s="13">
        <f t="shared" si="18"/>
        <v>30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0.0</v>
      </c>
      <c r="J73" s="19">
        <v>1.0</v>
      </c>
      <c r="K73" s="19">
        <v>0.0</v>
      </c>
      <c r="L73" s="19">
        <v>0.0</v>
      </c>
      <c r="M73" s="19">
        <v>1.0</v>
      </c>
      <c r="N73" s="19">
        <v>0.0</v>
      </c>
      <c r="O73" s="19">
        <v>1.0</v>
      </c>
      <c r="P73" s="19">
        <v>1.0</v>
      </c>
      <c r="Q73" s="19">
        <v>0.0</v>
      </c>
      <c r="R73" s="19">
        <v>0.0</v>
      </c>
      <c r="S73" s="19">
        <v>0.0</v>
      </c>
      <c r="T73" s="19">
        <v>1.0</v>
      </c>
      <c r="U73" s="19">
        <v>0.0</v>
      </c>
      <c r="V73" s="19"/>
      <c r="W73" s="19">
        <v>0.0</v>
      </c>
      <c r="X73" s="13">
        <f t="shared" si="18"/>
        <v>6</v>
      </c>
    </row>
    <row r="74" ht="12.75" customHeight="1">
      <c r="A74" s="18"/>
      <c r="B74" s="57">
        <v>5.0</v>
      </c>
      <c r="C74" s="52" t="s">
        <v>61</v>
      </c>
      <c r="D74" s="60"/>
      <c r="E74" s="19">
        <v>15.0</v>
      </c>
      <c r="F74" s="19">
        <v>13.0</v>
      </c>
      <c r="G74" s="19">
        <v>7.0</v>
      </c>
      <c r="H74" s="19">
        <v>9.0</v>
      </c>
      <c r="I74" s="19">
        <v>5.0</v>
      </c>
      <c r="J74" s="19">
        <v>0.0</v>
      </c>
      <c r="K74" s="19">
        <v>4.0</v>
      </c>
      <c r="L74" s="19">
        <v>3.0</v>
      </c>
      <c r="M74" s="19">
        <v>2.0</v>
      </c>
      <c r="N74" s="19">
        <v>2.0</v>
      </c>
      <c r="O74" s="19">
        <v>26.0</v>
      </c>
      <c r="P74" s="19">
        <v>26.0</v>
      </c>
      <c r="Q74" s="19">
        <v>19.0</v>
      </c>
      <c r="R74" s="19">
        <v>10.0</v>
      </c>
      <c r="S74" s="19">
        <v>5.0</v>
      </c>
      <c r="T74" s="19">
        <v>19.0</v>
      </c>
      <c r="U74" s="19">
        <v>19.0</v>
      </c>
      <c r="V74" s="19">
        <v>14.0</v>
      </c>
      <c r="W74" s="19">
        <v>12.0</v>
      </c>
      <c r="X74" s="13">
        <f t="shared" si="18"/>
        <v>210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1.0</v>
      </c>
      <c r="M75" s="19">
        <v>0.0</v>
      </c>
      <c r="N75" s="19">
        <v>1.0</v>
      </c>
      <c r="O75" s="19">
        <v>0.0</v>
      </c>
      <c r="P75" s="19">
        <v>0.0</v>
      </c>
      <c r="Q75" s="19">
        <v>0.0</v>
      </c>
      <c r="R75" s="19">
        <v>0.0</v>
      </c>
      <c r="S75" s="19">
        <v>1.0</v>
      </c>
      <c r="T75" s="19">
        <v>0.0</v>
      </c>
      <c r="U75" s="19">
        <v>0.0</v>
      </c>
      <c r="V75" s="19">
        <v>1.0</v>
      </c>
      <c r="W75" s="19">
        <v>0.0</v>
      </c>
      <c r="X75" s="13">
        <f t="shared" si="18"/>
        <v>5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2.0</v>
      </c>
      <c r="P76" s="19">
        <v>0.0</v>
      </c>
      <c r="Q76" s="19">
        <v>1.0</v>
      </c>
      <c r="R76" s="19">
        <v>1.0</v>
      </c>
      <c r="S76" s="19">
        <v>1.0</v>
      </c>
      <c r="T76" s="19">
        <v>0.0</v>
      </c>
      <c r="U76" s="19">
        <v>0.0</v>
      </c>
      <c r="V76" s="19"/>
      <c r="W76" s="19">
        <v>0.0</v>
      </c>
      <c r="X76" s="13">
        <f t="shared" si="18"/>
        <v>7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W79" si="19">SUM(E69:E76)</f>
        <v>27</v>
      </c>
      <c r="F79" s="13">
        <f t="shared" si="19"/>
        <v>40</v>
      </c>
      <c r="G79" s="13">
        <f t="shared" si="19"/>
        <v>13</v>
      </c>
      <c r="H79" s="13">
        <f t="shared" si="19"/>
        <v>20</v>
      </c>
      <c r="I79" s="13">
        <f t="shared" si="19"/>
        <v>14</v>
      </c>
      <c r="J79" s="13">
        <f t="shared" si="19"/>
        <v>12</v>
      </c>
      <c r="K79" s="13">
        <f t="shared" si="19"/>
        <v>15</v>
      </c>
      <c r="L79" s="13">
        <f t="shared" si="19"/>
        <v>10</v>
      </c>
      <c r="M79" s="13">
        <f t="shared" si="19"/>
        <v>19</v>
      </c>
      <c r="N79" s="13">
        <f t="shared" si="19"/>
        <v>13</v>
      </c>
      <c r="O79" s="13">
        <f t="shared" si="19"/>
        <v>35</v>
      </c>
      <c r="P79" s="13">
        <f t="shared" si="19"/>
        <v>56</v>
      </c>
      <c r="Q79" s="13">
        <f t="shared" si="19"/>
        <v>42</v>
      </c>
      <c r="R79" s="13">
        <f t="shared" si="19"/>
        <v>24</v>
      </c>
      <c r="S79" s="13">
        <f t="shared" si="19"/>
        <v>18</v>
      </c>
      <c r="T79" s="13">
        <f t="shared" si="19"/>
        <v>31</v>
      </c>
      <c r="U79" s="13">
        <f t="shared" si="19"/>
        <v>42</v>
      </c>
      <c r="V79" s="13">
        <f t="shared" si="19"/>
        <v>27</v>
      </c>
      <c r="W79" s="13">
        <f t="shared" si="19"/>
        <v>33</v>
      </c>
      <c r="X79" s="13">
        <f t="shared" si="18"/>
        <v>491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1.0</v>
      </c>
      <c r="F81" s="19">
        <v>4.0</v>
      </c>
      <c r="G81" s="19">
        <v>1.0</v>
      </c>
      <c r="H81" s="19">
        <v>0.0</v>
      </c>
      <c r="I81" s="19">
        <v>5.0</v>
      </c>
      <c r="J81" s="19">
        <v>8.0</v>
      </c>
      <c r="K81" s="19">
        <v>1.0</v>
      </c>
      <c r="L81" s="19">
        <v>2.0</v>
      </c>
      <c r="M81" s="19">
        <v>11.0</v>
      </c>
      <c r="N81" s="19">
        <v>9.0</v>
      </c>
      <c r="O81" s="19">
        <v>5.0</v>
      </c>
      <c r="P81" s="19">
        <v>6.0</v>
      </c>
      <c r="Q81" s="19">
        <v>4.0</v>
      </c>
      <c r="R81" s="19">
        <v>8.0</v>
      </c>
      <c r="S81" s="19">
        <v>0.0</v>
      </c>
      <c r="T81" s="19">
        <v>5.0</v>
      </c>
      <c r="U81" s="19">
        <v>5.0</v>
      </c>
      <c r="V81" s="19">
        <v>1.0</v>
      </c>
      <c r="W81" s="19">
        <v>2.0</v>
      </c>
      <c r="X81" s="13">
        <f t="shared" ref="X81:X91" si="20">SUM(E81:W81)</f>
        <v>78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5.0</v>
      </c>
      <c r="F82" s="19">
        <v>4.0</v>
      </c>
      <c r="G82" s="19">
        <v>3.0</v>
      </c>
      <c r="H82" s="19">
        <v>5.0</v>
      </c>
      <c r="I82" s="19">
        <v>11.0</v>
      </c>
      <c r="J82" s="19">
        <v>3.0</v>
      </c>
      <c r="K82" s="19">
        <v>3.0</v>
      </c>
      <c r="L82" s="19">
        <v>7.0</v>
      </c>
      <c r="M82" s="19">
        <v>8.0</v>
      </c>
      <c r="N82" s="19">
        <v>5.0</v>
      </c>
      <c r="O82" s="19">
        <v>13.0</v>
      </c>
      <c r="P82" s="19">
        <v>4.0</v>
      </c>
      <c r="Q82" s="19">
        <v>4.0</v>
      </c>
      <c r="R82" s="19">
        <v>12.0</v>
      </c>
      <c r="S82" s="19">
        <v>2.0</v>
      </c>
      <c r="T82" s="19">
        <v>4.0</v>
      </c>
      <c r="U82" s="19">
        <v>2.0</v>
      </c>
      <c r="V82" s="19">
        <v>6.0</v>
      </c>
      <c r="W82" s="19">
        <v>2.0</v>
      </c>
      <c r="X82" s="13">
        <f t="shared" si="20"/>
        <v>103</v>
      </c>
    </row>
    <row r="83" ht="12.75" customHeight="1">
      <c r="A83" s="18"/>
      <c r="B83" s="57">
        <v>2.0</v>
      </c>
      <c r="C83" s="52" t="s">
        <v>66</v>
      </c>
      <c r="D83" s="60"/>
      <c r="E83" s="19">
        <v>0.0</v>
      </c>
      <c r="F83" s="19">
        <v>1.0</v>
      </c>
      <c r="G83" s="19">
        <v>0.0</v>
      </c>
      <c r="H83" s="19">
        <v>2.0</v>
      </c>
      <c r="I83" s="19">
        <v>4.0</v>
      </c>
      <c r="J83" s="19">
        <v>1.0</v>
      </c>
      <c r="K83" s="19">
        <v>2.0</v>
      </c>
      <c r="L83" s="19">
        <v>3.0</v>
      </c>
      <c r="M83" s="19">
        <v>2.0</v>
      </c>
      <c r="N83" s="19">
        <v>2.0</v>
      </c>
      <c r="O83" s="19">
        <v>2.0</v>
      </c>
      <c r="P83" s="19">
        <v>1.0</v>
      </c>
      <c r="Q83" s="19">
        <v>3.0</v>
      </c>
      <c r="R83" s="19">
        <v>2.0</v>
      </c>
      <c r="S83" s="19">
        <v>0.0</v>
      </c>
      <c r="T83" s="19">
        <v>1.0</v>
      </c>
      <c r="U83" s="19">
        <v>4.0</v>
      </c>
      <c r="V83" s="19">
        <v>0.0</v>
      </c>
      <c r="W83" s="19">
        <v>1.0</v>
      </c>
      <c r="X83" s="13">
        <f t="shared" si="20"/>
        <v>31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2.0</v>
      </c>
      <c r="P84" s="19">
        <v>2.0</v>
      </c>
      <c r="Q84" s="19">
        <v>2.0</v>
      </c>
      <c r="R84" s="19">
        <v>0.0</v>
      </c>
      <c r="S84" s="19">
        <v>2.0</v>
      </c>
      <c r="T84" s="19">
        <v>2.0</v>
      </c>
      <c r="U84" s="19">
        <v>0.0</v>
      </c>
      <c r="V84" s="19"/>
      <c r="W84" s="19">
        <v>0.0</v>
      </c>
      <c r="X84" s="13">
        <f t="shared" si="20"/>
        <v>13</v>
      </c>
    </row>
    <row r="85" ht="12.75" customHeight="1">
      <c r="A85" s="18"/>
      <c r="B85" s="57">
        <v>4.0</v>
      </c>
      <c r="C85" s="52" t="s">
        <v>68</v>
      </c>
      <c r="D85" s="60"/>
      <c r="E85" s="19">
        <v>0.0</v>
      </c>
      <c r="F85" s="19">
        <v>0.0</v>
      </c>
      <c r="G85" s="19">
        <v>1.0</v>
      </c>
      <c r="H85" s="19">
        <v>3.0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2.0</v>
      </c>
      <c r="O85" s="19">
        <v>1.0</v>
      </c>
      <c r="P85" s="19">
        <v>5.0</v>
      </c>
      <c r="Q85" s="19">
        <v>2.0</v>
      </c>
      <c r="R85" s="19">
        <v>3.0</v>
      </c>
      <c r="S85" s="19">
        <v>5.0</v>
      </c>
      <c r="T85" s="19">
        <v>4.0</v>
      </c>
      <c r="U85" s="19">
        <v>4.0</v>
      </c>
      <c r="V85" s="19"/>
      <c r="W85" s="19">
        <v>0.0</v>
      </c>
      <c r="X85" s="13">
        <f t="shared" si="20"/>
        <v>31</v>
      </c>
    </row>
    <row r="86" ht="12.75" customHeight="1">
      <c r="A86" s="18"/>
      <c r="B86" s="57">
        <v>5.0</v>
      </c>
      <c r="C86" s="52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3.0</v>
      </c>
      <c r="L86" s="19">
        <v>1.0</v>
      </c>
      <c r="M86" s="19">
        <v>0.0</v>
      </c>
      <c r="N86" s="19">
        <v>1.0</v>
      </c>
      <c r="O86" s="19">
        <v>0.0</v>
      </c>
      <c r="P86" s="19">
        <v>0.0</v>
      </c>
      <c r="Q86" s="19">
        <v>1.0</v>
      </c>
      <c r="R86" s="19">
        <v>0.0</v>
      </c>
      <c r="S86" s="19">
        <v>0.0</v>
      </c>
      <c r="T86" s="19">
        <v>0.0</v>
      </c>
      <c r="U86" s="19">
        <v>1.0</v>
      </c>
      <c r="V86" s="19"/>
      <c r="W86" s="19">
        <v>0.0</v>
      </c>
      <c r="X86" s="13">
        <f t="shared" si="20"/>
        <v>8</v>
      </c>
    </row>
    <row r="87" ht="12.75" customHeight="1">
      <c r="A87" s="18"/>
      <c r="B87" s="57">
        <v>6.0</v>
      </c>
      <c r="C87" s="52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1.0</v>
      </c>
      <c r="R87" s="19">
        <v>1.0</v>
      </c>
      <c r="S87" s="19">
        <v>0.0</v>
      </c>
      <c r="T87" s="19">
        <v>0.0</v>
      </c>
      <c r="U87" s="19">
        <v>0.0</v>
      </c>
      <c r="V87" s="19"/>
      <c r="W87" s="19">
        <v>0.0</v>
      </c>
      <c r="X87" s="13">
        <f t="shared" si="20"/>
        <v>4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/>
      <c r="W88" s="19">
        <v>0.0</v>
      </c>
      <c r="X88" s="13">
        <f t="shared" si="20"/>
        <v>1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W91" si="21">SUM(E81:E88)</f>
        <v>7</v>
      </c>
      <c r="F91" s="13">
        <f t="shared" si="21"/>
        <v>9</v>
      </c>
      <c r="G91" s="13">
        <f t="shared" si="21"/>
        <v>5</v>
      </c>
      <c r="H91" s="13">
        <f t="shared" si="21"/>
        <v>11</v>
      </c>
      <c r="I91" s="13">
        <f t="shared" si="21"/>
        <v>21</v>
      </c>
      <c r="J91" s="13">
        <f t="shared" si="21"/>
        <v>13</v>
      </c>
      <c r="K91" s="13">
        <f t="shared" si="21"/>
        <v>9</v>
      </c>
      <c r="L91" s="13">
        <f t="shared" si="21"/>
        <v>13</v>
      </c>
      <c r="M91" s="13">
        <f t="shared" si="21"/>
        <v>23</v>
      </c>
      <c r="N91" s="13">
        <f t="shared" si="21"/>
        <v>20</v>
      </c>
      <c r="O91" s="13">
        <f t="shared" si="21"/>
        <v>23</v>
      </c>
      <c r="P91" s="13">
        <f t="shared" si="21"/>
        <v>18</v>
      </c>
      <c r="Q91" s="13">
        <f t="shared" si="21"/>
        <v>18</v>
      </c>
      <c r="R91" s="13">
        <f t="shared" si="21"/>
        <v>26</v>
      </c>
      <c r="S91" s="13">
        <f t="shared" si="21"/>
        <v>9</v>
      </c>
      <c r="T91" s="13">
        <f t="shared" si="21"/>
        <v>16</v>
      </c>
      <c r="U91" s="13">
        <f t="shared" si="21"/>
        <v>16</v>
      </c>
      <c r="V91" s="13">
        <f t="shared" si="21"/>
        <v>7</v>
      </c>
      <c r="W91" s="13">
        <f t="shared" si="21"/>
        <v>5</v>
      </c>
      <c r="X91" s="13">
        <f t="shared" si="20"/>
        <v>269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1.0</v>
      </c>
      <c r="F93" s="19">
        <v>2.0</v>
      </c>
      <c r="G93" s="19">
        <v>0.0</v>
      </c>
      <c r="H93" s="19">
        <v>0.0</v>
      </c>
      <c r="I93" s="19">
        <v>0.0</v>
      </c>
      <c r="J93" s="19">
        <v>2.0</v>
      </c>
      <c r="K93" s="19">
        <v>0.0</v>
      </c>
      <c r="L93" s="19">
        <v>1.0</v>
      </c>
      <c r="M93" s="19">
        <v>0.0</v>
      </c>
      <c r="N93" s="19">
        <v>2.0</v>
      </c>
      <c r="O93" s="19">
        <v>0.0</v>
      </c>
      <c r="P93" s="19">
        <v>2.0</v>
      </c>
      <c r="Q93" s="19">
        <v>2.0</v>
      </c>
      <c r="R93" s="19">
        <v>1.0</v>
      </c>
      <c r="S93" s="19">
        <v>3.0</v>
      </c>
      <c r="T93" s="19">
        <v>1.0</v>
      </c>
      <c r="U93" s="19">
        <v>0.0</v>
      </c>
      <c r="V93" s="19">
        <v>1.0</v>
      </c>
      <c r="W93" s="19">
        <v>2.0</v>
      </c>
      <c r="X93" s="13">
        <f t="shared" ref="X93:X103" si="22">SUM(E93:W93)</f>
        <v>20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0.0</v>
      </c>
      <c r="F94" s="19">
        <v>1.0</v>
      </c>
      <c r="G94" s="19">
        <v>0.0</v>
      </c>
      <c r="H94" s="19">
        <v>1.0</v>
      </c>
      <c r="I94" s="19">
        <v>1.0</v>
      </c>
      <c r="J94" s="19">
        <v>2.0</v>
      </c>
      <c r="K94" s="19">
        <v>0.0</v>
      </c>
      <c r="L94" s="19">
        <v>0.0</v>
      </c>
      <c r="M94" s="19">
        <v>0.0</v>
      </c>
      <c r="N94" s="19">
        <v>3.0</v>
      </c>
      <c r="O94" s="19">
        <v>1.0</v>
      </c>
      <c r="P94" s="19">
        <v>2.0</v>
      </c>
      <c r="Q94" s="19">
        <v>0.0</v>
      </c>
      <c r="R94" s="19">
        <v>1.0</v>
      </c>
      <c r="S94" s="19">
        <v>2.0</v>
      </c>
      <c r="T94" s="19">
        <v>0.0</v>
      </c>
      <c r="U94" s="19">
        <v>0.0</v>
      </c>
      <c r="V94" s="19">
        <v>1.0</v>
      </c>
      <c r="W94" s="19">
        <v>0.0</v>
      </c>
      <c r="X94" s="13">
        <f t="shared" si="22"/>
        <v>15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0.0</v>
      </c>
      <c r="Q95" s="19">
        <v>3.0</v>
      </c>
      <c r="R95" s="19">
        <v>1.0</v>
      </c>
      <c r="S95" s="19">
        <v>0.0</v>
      </c>
      <c r="T95" s="19">
        <v>0.0</v>
      </c>
      <c r="U95" s="19">
        <v>0.0</v>
      </c>
      <c r="V95" s="19">
        <v>0.0</v>
      </c>
      <c r="W95" s="19">
        <v>8.0</v>
      </c>
      <c r="X95" s="13">
        <f t="shared" si="22"/>
        <v>14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3">
        <f t="shared" si="22"/>
        <v>1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1.0</v>
      </c>
      <c r="P97" s="19">
        <v>1.0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3">
        <f t="shared" si="22"/>
        <v>4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3">
        <f t="shared" si="22"/>
        <v>3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1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1.0</v>
      </c>
      <c r="T100" s="19">
        <v>0.0</v>
      </c>
      <c r="U100" s="19">
        <v>1.0</v>
      </c>
      <c r="V100" s="19">
        <v>0.0</v>
      </c>
      <c r="W100" s="19">
        <v>0.0</v>
      </c>
      <c r="X100" s="13">
        <f t="shared" si="22"/>
        <v>3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W103" si="23">SUM(E93:E100)</f>
        <v>1</v>
      </c>
      <c r="F103" s="13">
        <f t="shared" si="23"/>
        <v>4</v>
      </c>
      <c r="G103" s="13">
        <f t="shared" si="23"/>
        <v>0</v>
      </c>
      <c r="H103" s="13">
        <f t="shared" si="23"/>
        <v>1</v>
      </c>
      <c r="I103" s="13">
        <f t="shared" si="23"/>
        <v>1</v>
      </c>
      <c r="J103" s="13">
        <f t="shared" si="23"/>
        <v>4</v>
      </c>
      <c r="K103" s="13">
        <f t="shared" si="23"/>
        <v>2</v>
      </c>
      <c r="L103" s="13">
        <f t="shared" si="23"/>
        <v>1</v>
      </c>
      <c r="M103" s="13">
        <f t="shared" si="23"/>
        <v>2</v>
      </c>
      <c r="N103" s="13">
        <f t="shared" si="23"/>
        <v>5</v>
      </c>
      <c r="O103" s="13">
        <f t="shared" si="23"/>
        <v>2</v>
      </c>
      <c r="P103" s="13">
        <f t="shared" si="23"/>
        <v>5</v>
      </c>
      <c r="Q103" s="13">
        <f t="shared" si="23"/>
        <v>7</v>
      </c>
      <c r="R103" s="13">
        <f t="shared" si="23"/>
        <v>3</v>
      </c>
      <c r="S103" s="13">
        <f t="shared" si="23"/>
        <v>8</v>
      </c>
      <c r="T103" s="13">
        <f t="shared" si="23"/>
        <v>2</v>
      </c>
      <c r="U103" s="13">
        <f t="shared" si="23"/>
        <v>1</v>
      </c>
      <c r="V103" s="13">
        <f t="shared" si="23"/>
        <v>2</v>
      </c>
      <c r="W103" s="13">
        <f t="shared" si="23"/>
        <v>10</v>
      </c>
      <c r="X103" s="13">
        <f t="shared" si="22"/>
        <v>61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4.0</v>
      </c>
      <c r="U105" s="19">
        <v>1.0</v>
      </c>
      <c r="V105" s="19">
        <v>2.0</v>
      </c>
      <c r="W105" s="19">
        <v>2.0</v>
      </c>
      <c r="X105" s="13">
        <f t="shared" ref="X105:X115" si="24">SUM(E105:W105)</f>
        <v>11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2.0</v>
      </c>
      <c r="W106" s="19">
        <v>0.0</v>
      </c>
      <c r="X106" s="13">
        <f t="shared" si="24"/>
        <v>2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1.0</v>
      </c>
      <c r="X107" s="13">
        <f t="shared" si="24"/>
        <v>4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W115" si="25">SUM(E105:E112)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4</v>
      </c>
      <c r="U115" s="13">
        <f t="shared" si="25"/>
        <v>1</v>
      </c>
      <c r="V115" s="13">
        <f t="shared" si="25"/>
        <v>4</v>
      </c>
      <c r="W115" s="13">
        <f t="shared" si="25"/>
        <v>3</v>
      </c>
      <c r="X115" s="13">
        <f t="shared" si="24"/>
        <v>17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1.0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2.0</v>
      </c>
      <c r="L117" s="19">
        <v>1.0</v>
      </c>
      <c r="M117" s="19">
        <v>4.0</v>
      </c>
      <c r="N117" s="19">
        <v>6.0</v>
      </c>
      <c r="O117" s="19">
        <v>0.0</v>
      </c>
      <c r="P117" s="19">
        <v>0.0</v>
      </c>
      <c r="Q117" s="19">
        <v>0.0</v>
      </c>
      <c r="R117" s="19">
        <v>2.0</v>
      </c>
      <c r="S117" s="19">
        <v>2.0</v>
      </c>
      <c r="T117" s="19">
        <v>6.0</v>
      </c>
      <c r="U117" s="19">
        <v>0.0</v>
      </c>
      <c r="V117" s="19">
        <v>1.0</v>
      </c>
      <c r="W117" s="19">
        <v>1.0</v>
      </c>
      <c r="X117" s="13">
        <f t="shared" ref="X117:X127" si="26">SUM(E117:W117)</f>
        <v>27</v>
      </c>
      <c r="Y117" s="5"/>
      <c r="Z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2.0</v>
      </c>
      <c r="F118" s="19">
        <v>2.0</v>
      </c>
      <c r="G118" s="19">
        <v>1.0</v>
      </c>
      <c r="H118" s="19">
        <v>1.0</v>
      </c>
      <c r="I118" s="19">
        <v>0.0</v>
      </c>
      <c r="J118" s="19">
        <v>0.0</v>
      </c>
      <c r="K118" s="19">
        <v>1.0</v>
      </c>
      <c r="L118" s="19">
        <v>3.0</v>
      </c>
      <c r="M118" s="19">
        <v>1.0</v>
      </c>
      <c r="N118" s="19">
        <v>5.0</v>
      </c>
      <c r="O118" s="19">
        <v>0.0</v>
      </c>
      <c r="P118" s="19">
        <v>0.0</v>
      </c>
      <c r="Q118" s="19">
        <v>0.0</v>
      </c>
      <c r="R118" s="19">
        <v>0.0</v>
      </c>
      <c r="S118" s="19">
        <v>6.0</v>
      </c>
      <c r="T118" s="19">
        <v>2.0</v>
      </c>
      <c r="U118" s="19">
        <v>2.0</v>
      </c>
      <c r="V118" s="19">
        <v>2.0</v>
      </c>
      <c r="W118" s="19">
        <v>0.0</v>
      </c>
      <c r="X118" s="13">
        <f t="shared" si="26"/>
        <v>28</v>
      </c>
      <c r="Y118" s="5"/>
      <c r="Z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2.0</v>
      </c>
      <c r="L119" s="19">
        <v>0.0</v>
      </c>
      <c r="M119" s="19">
        <v>1.0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3">
        <f t="shared" si="26"/>
        <v>6</v>
      </c>
      <c r="Y119" s="5"/>
      <c r="Z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1</v>
      </c>
      <c r="Y120" s="5"/>
      <c r="Z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3">
        <f t="shared" si="26"/>
        <v>0</v>
      </c>
      <c r="Y121" s="5"/>
      <c r="Z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3">
        <f t="shared" si="26"/>
        <v>0</v>
      </c>
      <c r="Y122" s="5"/>
      <c r="Z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13">
        <f t="shared" si="26"/>
        <v>0</v>
      </c>
      <c r="Y123" s="5"/>
      <c r="Z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13">
        <f t="shared" si="26"/>
        <v>0</v>
      </c>
      <c r="Y124" s="5"/>
      <c r="Z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13">
        <f t="shared" si="26"/>
        <v>0</v>
      </c>
      <c r="Y125" s="5"/>
      <c r="Z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13">
        <f t="shared" si="26"/>
        <v>0</v>
      </c>
      <c r="Y126" s="5"/>
      <c r="Z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W127" si="27">SUM(E117:E120)</f>
        <v>3</v>
      </c>
      <c r="F127" s="61">
        <f t="shared" si="27"/>
        <v>3</v>
      </c>
      <c r="G127" s="61">
        <f t="shared" si="27"/>
        <v>2</v>
      </c>
      <c r="H127" s="61">
        <f t="shared" si="27"/>
        <v>1</v>
      </c>
      <c r="I127" s="61">
        <f t="shared" si="27"/>
        <v>0</v>
      </c>
      <c r="J127" s="61">
        <f t="shared" si="27"/>
        <v>1</v>
      </c>
      <c r="K127" s="61">
        <f t="shared" si="27"/>
        <v>5</v>
      </c>
      <c r="L127" s="61">
        <f t="shared" si="27"/>
        <v>4</v>
      </c>
      <c r="M127" s="61">
        <f t="shared" si="27"/>
        <v>6</v>
      </c>
      <c r="N127" s="61">
        <f t="shared" si="27"/>
        <v>12</v>
      </c>
      <c r="O127" s="61">
        <f t="shared" si="27"/>
        <v>0</v>
      </c>
      <c r="P127" s="61">
        <f t="shared" si="27"/>
        <v>0</v>
      </c>
      <c r="Q127" s="61">
        <f t="shared" si="27"/>
        <v>0</v>
      </c>
      <c r="R127" s="61">
        <f t="shared" si="27"/>
        <v>2</v>
      </c>
      <c r="S127" s="61">
        <f t="shared" si="27"/>
        <v>8</v>
      </c>
      <c r="T127" s="61">
        <f t="shared" si="27"/>
        <v>9</v>
      </c>
      <c r="U127" s="61">
        <f t="shared" si="27"/>
        <v>2</v>
      </c>
      <c r="V127" s="61">
        <f t="shared" si="27"/>
        <v>3</v>
      </c>
      <c r="W127" s="61">
        <f t="shared" si="27"/>
        <v>1</v>
      </c>
      <c r="X127" s="13">
        <f t="shared" si="26"/>
        <v>62</v>
      </c>
      <c r="Y127" s="5"/>
      <c r="Z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5"/>
      <c r="Z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1.0</v>
      </c>
      <c r="F129" s="19">
        <v>2.0</v>
      </c>
      <c r="G129" s="19">
        <v>0.0</v>
      </c>
      <c r="H129" s="19">
        <v>0.0</v>
      </c>
      <c r="I129" s="19">
        <v>0.0</v>
      </c>
      <c r="J129" s="19">
        <v>1.0</v>
      </c>
      <c r="K129" s="19">
        <v>2.0</v>
      </c>
      <c r="L129" s="19">
        <v>1.0</v>
      </c>
      <c r="M129" s="19">
        <v>0.0</v>
      </c>
      <c r="N129" s="19">
        <v>0.0</v>
      </c>
      <c r="O129" s="19">
        <v>0.0</v>
      </c>
      <c r="P129" s="19">
        <v>3.0</v>
      </c>
      <c r="Q129" s="19">
        <v>2.0</v>
      </c>
      <c r="R129" s="19">
        <v>4.0</v>
      </c>
      <c r="S129" s="19">
        <v>8.0</v>
      </c>
      <c r="T129" s="19">
        <v>1.0</v>
      </c>
      <c r="U129" s="19">
        <v>0.0</v>
      </c>
      <c r="V129" s="19"/>
      <c r="W129" s="19">
        <v>0.0</v>
      </c>
      <c r="X129" s="13">
        <f t="shared" ref="X129:X139" si="28">SUM(E129:W129)</f>
        <v>25</v>
      </c>
      <c r="Y129" s="5"/>
      <c r="Z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3.0</v>
      </c>
      <c r="F130" s="19">
        <v>1.0</v>
      </c>
      <c r="G130" s="19">
        <v>3.0</v>
      </c>
      <c r="H130" s="19">
        <v>2.0</v>
      </c>
      <c r="I130" s="19">
        <v>4.0</v>
      </c>
      <c r="J130" s="19">
        <v>0.0</v>
      </c>
      <c r="K130" s="19">
        <v>4.0</v>
      </c>
      <c r="L130" s="19">
        <v>0.0</v>
      </c>
      <c r="M130" s="19">
        <v>1.0</v>
      </c>
      <c r="N130" s="19">
        <v>2.0</v>
      </c>
      <c r="O130" s="19">
        <v>3.0</v>
      </c>
      <c r="P130" s="19">
        <v>5.0</v>
      </c>
      <c r="Q130" s="19">
        <v>2.0</v>
      </c>
      <c r="R130" s="19">
        <v>2.0</v>
      </c>
      <c r="S130" s="19">
        <v>12.0</v>
      </c>
      <c r="T130" s="19">
        <v>3.0</v>
      </c>
      <c r="U130" s="19">
        <v>2.0</v>
      </c>
      <c r="V130" s="19">
        <v>2.0</v>
      </c>
      <c r="W130" s="19">
        <v>1.0</v>
      </c>
      <c r="X130" s="13">
        <f t="shared" si="28"/>
        <v>52</v>
      </c>
      <c r="Y130" s="1"/>
      <c r="Z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1.0</v>
      </c>
      <c r="G131" s="19">
        <v>0.0</v>
      </c>
      <c r="H131" s="19">
        <v>1.0</v>
      </c>
      <c r="I131" s="19">
        <v>0.0</v>
      </c>
      <c r="J131" s="19">
        <v>0.0</v>
      </c>
      <c r="K131" s="19">
        <v>3.0</v>
      </c>
      <c r="L131" s="19">
        <v>0.0</v>
      </c>
      <c r="M131" s="19">
        <v>2.0</v>
      </c>
      <c r="N131" s="19">
        <v>3.0</v>
      </c>
      <c r="O131" s="19">
        <v>1.0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/>
      <c r="W131" s="19">
        <v>0.0</v>
      </c>
      <c r="X131" s="13">
        <f t="shared" si="28"/>
        <v>14</v>
      </c>
      <c r="Y131" s="54"/>
      <c r="Z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2.0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/>
      <c r="W132" s="19">
        <v>1.0</v>
      </c>
      <c r="X132" s="13">
        <f t="shared" si="28"/>
        <v>5</v>
      </c>
      <c r="Y132" s="5"/>
      <c r="Z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1.0</v>
      </c>
      <c r="S133" s="19">
        <v>0.0</v>
      </c>
      <c r="T133" s="19">
        <v>0.0</v>
      </c>
      <c r="U133" s="19">
        <v>1.0</v>
      </c>
      <c r="V133" s="19"/>
      <c r="W133" s="19">
        <v>0.0</v>
      </c>
      <c r="X133" s="13">
        <f t="shared" si="28"/>
        <v>3</v>
      </c>
      <c r="Y133" s="5"/>
      <c r="Z133" s="5"/>
    </row>
    <row r="134" ht="12.75" customHeight="1">
      <c r="A134" s="18"/>
      <c r="B134" s="57">
        <v>5.0</v>
      </c>
      <c r="C134" s="52" t="s">
        <v>101</v>
      </c>
      <c r="D134" s="58"/>
      <c r="E134" s="19">
        <v>1.0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0.0</v>
      </c>
      <c r="O134" s="19">
        <v>0.0</v>
      </c>
      <c r="P134" s="19">
        <v>2.0</v>
      </c>
      <c r="Q134" s="19">
        <v>0.0</v>
      </c>
      <c r="R134" s="19">
        <v>0.0</v>
      </c>
      <c r="S134" s="19">
        <v>1.0</v>
      </c>
      <c r="T134" s="19">
        <v>0.0</v>
      </c>
      <c r="U134" s="19">
        <v>1.0</v>
      </c>
      <c r="V134" s="19"/>
      <c r="W134" s="19">
        <v>0.0</v>
      </c>
      <c r="X134" s="13">
        <f t="shared" si="28"/>
        <v>7</v>
      </c>
      <c r="Y134" s="5"/>
      <c r="Z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1.0</v>
      </c>
      <c r="J135" s="19">
        <v>0.0</v>
      </c>
      <c r="K135" s="19">
        <v>1.0</v>
      </c>
      <c r="L135" s="19">
        <v>1.0</v>
      </c>
      <c r="M135" s="19">
        <v>0.0</v>
      </c>
      <c r="N135" s="19">
        <v>0.0</v>
      </c>
      <c r="O135" s="19">
        <v>1.0</v>
      </c>
      <c r="P135" s="19">
        <v>1.0</v>
      </c>
      <c r="Q135" s="19">
        <v>0.0</v>
      </c>
      <c r="R135" s="19">
        <v>0.0</v>
      </c>
      <c r="S135" s="19">
        <v>0.0</v>
      </c>
      <c r="T135" s="19">
        <v>3.0</v>
      </c>
      <c r="U135" s="19">
        <v>0.0</v>
      </c>
      <c r="V135" s="19"/>
      <c r="W135" s="19">
        <v>0.0</v>
      </c>
      <c r="X135" s="13">
        <f t="shared" si="28"/>
        <v>8</v>
      </c>
      <c r="Y135" s="5"/>
      <c r="Z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1.0</v>
      </c>
      <c r="P136" s="19">
        <v>1.0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/>
      <c r="W136" s="19">
        <v>0.0</v>
      </c>
      <c r="X136" s="13">
        <f t="shared" si="28"/>
        <v>2</v>
      </c>
      <c r="Y136" s="5"/>
      <c r="Z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3">
        <f t="shared" si="28"/>
        <v>0</v>
      </c>
      <c r="Y137" s="5"/>
      <c r="Z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3">
        <f t="shared" si="28"/>
        <v>0</v>
      </c>
      <c r="Y138" s="5"/>
      <c r="Z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W139" si="29">SUM(E129:E136)</f>
        <v>6</v>
      </c>
      <c r="F139" s="13">
        <f t="shared" si="29"/>
        <v>6</v>
      </c>
      <c r="G139" s="13">
        <f t="shared" si="29"/>
        <v>5</v>
      </c>
      <c r="H139" s="13">
        <f t="shared" si="29"/>
        <v>3</v>
      </c>
      <c r="I139" s="13">
        <f t="shared" si="29"/>
        <v>5</v>
      </c>
      <c r="J139" s="13">
        <f t="shared" si="29"/>
        <v>1</v>
      </c>
      <c r="K139" s="13">
        <f t="shared" si="29"/>
        <v>11</v>
      </c>
      <c r="L139" s="13">
        <f t="shared" si="29"/>
        <v>2</v>
      </c>
      <c r="M139" s="13">
        <f t="shared" si="29"/>
        <v>3</v>
      </c>
      <c r="N139" s="13">
        <f t="shared" si="29"/>
        <v>5</v>
      </c>
      <c r="O139" s="13">
        <f t="shared" si="29"/>
        <v>6</v>
      </c>
      <c r="P139" s="13">
        <f t="shared" si="29"/>
        <v>14</v>
      </c>
      <c r="Q139" s="13">
        <f t="shared" si="29"/>
        <v>5</v>
      </c>
      <c r="R139" s="13">
        <f t="shared" si="29"/>
        <v>7</v>
      </c>
      <c r="S139" s="13">
        <f t="shared" si="29"/>
        <v>21</v>
      </c>
      <c r="T139" s="13">
        <f t="shared" si="29"/>
        <v>7</v>
      </c>
      <c r="U139" s="13">
        <f t="shared" si="29"/>
        <v>5</v>
      </c>
      <c r="V139" s="13">
        <f t="shared" si="29"/>
        <v>2</v>
      </c>
      <c r="W139" s="13">
        <f t="shared" si="29"/>
        <v>2</v>
      </c>
      <c r="X139" s="13">
        <f t="shared" si="28"/>
        <v>116</v>
      </c>
      <c r="Y139" s="5"/>
      <c r="Z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5"/>
      <c r="Z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2.0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/>
      <c r="W141" s="19">
        <v>0.0</v>
      </c>
      <c r="X141" s="13">
        <f t="shared" ref="X141:X151" si="30">SUM(E141:W141)</f>
        <v>3</v>
      </c>
      <c r="Y141" s="1"/>
      <c r="Z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2.0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/>
      <c r="W142" s="19">
        <v>0.0</v>
      </c>
      <c r="X142" s="13">
        <f t="shared" si="30"/>
        <v>2</v>
      </c>
      <c r="Y142" s="54"/>
      <c r="Z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/>
      <c r="W143" s="19">
        <v>0.0</v>
      </c>
      <c r="X143" s="13">
        <f t="shared" si="30"/>
        <v>0</v>
      </c>
      <c r="Y143" s="5"/>
      <c r="Z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2.0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/>
      <c r="W144" s="19">
        <v>0.0</v>
      </c>
      <c r="X144" s="13">
        <f t="shared" si="30"/>
        <v>2</v>
      </c>
      <c r="Y144" s="5"/>
      <c r="Z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/>
      <c r="W145" s="19">
        <v>0.0</v>
      </c>
      <c r="X145" s="13">
        <f t="shared" si="30"/>
        <v>0</v>
      </c>
      <c r="Y145" s="5"/>
      <c r="Z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/>
      <c r="W146" s="19">
        <v>0.0</v>
      </c>
      <c r="X146" s="13">
        <f t="shared" si="30"/>
        <v>0</v>
      </c>
      <c r="Y146" s="5"/>
      <c r="Z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/>
      <c r="W147" s="19">
        <v>0.0</v>
      </c>
      <c r="X147" s="13">
        <f t="shared" si="30"/>
        <v>0</v>
      </c>
      <c r="Y147" s="5"/>
      <c r="Z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1.0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/>
      <c r="W148" s="19">
        <v>0.0</v>
      </c>
      <c r="X148" s="13">
        <f t="shared" si="30"/>
        <v>1</v>
      </c>
      <c r="Y148" s="5"/>
      <c r="Z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3">
        <f t="shared" si="30"/>
        <v>0</v>
      </c>
      <c r="Y149" s="5"/>
      <c r="Z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3">
        <f t="shared" si="30"/>
        <v>0</v>
      </c>
      <c r="Y150" s="5"/>
      <c r="Z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2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4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2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0"/>
        <v>8</v>
      </c>
      <c r="Y151" s="1"/>
      <c r="Z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13"/>
      <c r="Y152" s="54"/>
      <c r="Z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1.0</v>
      </c>
      <c r="G153" s="19">
        <v>1.0</v>
      </c>
      <c r="H153" s="19">
        <v>2.0</v>
      </c>
      <c r="I153" s="19">
        <v>3.0</v>
      </c>
      <c r="J153" s="19">
        <v>0.0</v>
      </c>
      <c r="K153" s="19">
        <v>1.0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2.0</v>
      </c>
      <c r="U153" s="19">
        <v>1.0</v>
      </c>
      <c r="V153" s="19">
        <v>8.0</v>
      </c>
      <c r="W153" s="19">
        <v>4.0</v>
      </c>
      <c r="X153" s="13">
        <f t="shared" ref="X153:X162" si="32">SUM(E153:W153)</f>
        <v>24</v>
      </c>
      <c r="Y153" s="5"/>
      <c r="Z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1.0</v>
      </c>
      <c r="F154" s="19">
        <v>1.0</v>
      </c>
      <c r="G154" s="19">
        <v>0.0</v>
      </c>
      <c r="H154" s="19">
        <v>1.0</v>
      </c>
      <c r="I154" s="19">
        <v>0.0</v>
      </c>
      <c r="J154" s="19">
        <v>0.0</v>
      </c>
      <c r="K154" s="19">
        <v>1.0</v>
      </c>
      <c r="L154" s="19">
        <v>1.0</v>
      </c>
      <c r="M154" s="19">
        <v>0.0</v>
      </c>
      <c r="N154" s="19">
        <v>0.0</v>
      </c>
      <c r="O154" s="19">
        <v>1.0</v>
      </c>
      <c r="P154" s="19">
        <v>1.0</v>
      </c>
      <c r="Q154" s="19">
        <v>0.0</v>
      </c>
      <c r="R154" s="19">
        <v>0.0</v>
      </c>
      <c r="S154" s="19">
        <v>4.0</v>
      </c>
      <c r="T154" s="19">
        <v>3.0</v>
      </c>
      <c r="U154" s="19">
        <v>0.0</v>
      </c>
      <c r="V154" s="19">
        <v>4.0</v>
      </c>
      <c r="W154" s="19">
        <v>5.0</v>
      </c>
      <c r="X154" s="13">
        <f t="shared" si="32"/>
        <v>23</v>
      </c>
      <c r="Y154" s="5"/>
      <c r="Z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/>
      <c r="W155" s="19">
        <v>0.0</v>
      </c>
      <c r="X155" s="13">
        <f t="shared" si="32"/>
        <v>1</v>
      </c>
      <c r="Y155" s="5"/>
      <c r="Z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1.0</v>
      </c>
      <c r="W156" s="19">
        <v>0.0</v>
      </c>
      <c r="X156" s="13">
        <f t="shared" si="32"/>
        <v>1</v>
      </c>
      <c r="Y156" s="5"/>
      <c r="Z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1.0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/>
      <c r="W157" s="19">
        <v>0.0</v>
      </c>
      <c r="X157" s="13">
        <f t="shared" si="32"/>
        <v>1</v>
      </c>
      <c r="Y157" s="5"/>
      <c r="Z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3">
        <f t="shared" si="32"/>
        <v>0</v>
      </c>
      <c r="Y158" s="5"/>
      <c r="Z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3">
        <f t="shared" si="32"/>
        <v>0</v>
      </c>
      <c r="Y159" s="5"/>
      <c r="Z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3">
        <f t="shared" si="32"/>
        <v>0</v>
      </c>
      <c r="Y160" s="5"/>
      <c r="Z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3">
        <f t="shared" si="32"/>
        <v>0</v>
      </c>
      <c r="Y161" s="5"/>
      <c r="Z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3">
        <f t="shared" si="32"/>
        <v>0</v>
      </c>
      <c r="Y162" s="5"/>
      <c r="Z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W163" si="33">SUM(E153:E157)</f>
        <v>1</v>
      </c>
      <c r="F163" s="13">
        <f t="shared" si="33"/>
        <v>2</v>
      </c>
      <c r="G163" s="13">
        <f t="shared" si="33"/>
        <v>1</v>
      </c>
      <c r="H163" s="13">
        <f t="shared" si="33"/>
        <v>4</v>
      </c>
      <c r="I163" s="13">
        <f t="shared" si="33"/>
        <v>3</v>
      </c>
      <c r="J163" s="13">
        <f t="shared" si="33"/>
        <v>0</v>
      </c>
      <c r="K163" s="13">
        <f t="shared" si="33"/>
        <v>2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1</v>
      </c>
      <c r="P163" s="13">
        <f t="shared" si="33"/>
        <v>2</v>
      </c>
      <c r="Q163" s="13">
        <f t="shared" si="33"/>
        <v>0</v>
      </c>
      <c r="R163" s="13">
        <f t="shared" si="33"/>
        <v>0</v>
      </c>
      <c r="S163" s="13">
        <f t="shared" si="33"/>
        <v>4</v>
      </c>
      <c r="T163" s="13">
        <f t="shared" si="33"/>
        <v>5</v>
      </c>
      <c r="U163" s="13">
        <f t="shared" si="33"/>
        <v>1</v>
      </c>
      <c r="V163" s="13">
        <f t="shared" si="33"/>
        <v>13</v>
      </c>
      <c r="W163" s="13">
        <f t="shared" si="33"/>
        <v>9</v>
      </c>
      <c r="X163" s="13">
        <f>SUM(E164:W164)</f>
        <v>0</v>
      </c>
      <c r="Y163" s="5"/>
      <c r="Z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5"/>
      <c r="Z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/>
      <c r="W165" s="19">
        <v>0.0</v>
      </c>
      <c r="X165" s="13">
        <f t="shared" ref="X165:X175" si="34">SUM(E165:W165)</f>
        <v>1</v>
      </c>
      <c r="Y165" s="1"/>
      <c r="Z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/>
      <c r="W166" s="19">
        <v>0.0</v>
      </c>
      <c r="X166" s="13">
        <f t="shared" si="34"/>
        <v>1</v>
      </c>
      <c r="Y166" s="54"/>
      <c r="Z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/>
      <c r="W167" s="19">
        <v>0.0</v>
      </c>
      <c r="X167" s="13">
        <f t="shared" si="34"/>
        <v>1</v>
      </c>
      <c r="Y167" s="5"/>
      <c r="Z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/>
      <c r="W168" s="19">
        <v>1.0</v>
      </c>
      <c r="X168" s="13">
        <f t="shared" si="34"/>
        <v>2</v>
      </c>
      <c r="Y168" s="5"/>
      <c r="Z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/>
      <c r="W169" s="19">
        <v>0.0</v>
      </c>
      <c r="X169" s="13">
        <f t="shared" si="34"/>
        <v>0</v>
      </c>
      <c r="Y169" s="5"/>
      <c r="Z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/>
      <c r="W170" s="19">
        <v>0.0</v>
      </c>
      <c r="X170" s="13">
        <f t="shared" si="34"/>
        <v>0</v>
      </c>
      <c r="Y170" s="5"/>
      <c r="Z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/>
      <c r="W171" s="19">
        <v>0.0</v>
      </c>
      <c r="X171" s="13">
        <f t="shared" si="34"/>
        <v>0</v>
      </c>
      <c r="Y171" s="5"/>
      <c r="Z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/>
      <c r="W172" s="19">
        <v>0.0</v>
      </c>
      <c r="X172" s="13">
        <f t="shared" si="34"/>
        <v>0</v>
      </c>
      <c r="Y172" s="5"/>
      <c r="Z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3">
        <f t="shared" si="34"/>
        <v>0</v>
      </c>
      <c r="Y173" s="5"/>
      <c r="Z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3">
        <f t="shared" si="34"/>
        <v>0</v>
      </c>
      <c r="Y174" s="5"/>
      <c r="Z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W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4"/>
        <v>5</v>
      </c>
      <c r="Y175" s="5"/>
      <c r="Z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1"/>
      <c r="Z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2.0</v>
      </c>
      <c r="F177" s="19">
        <v>1.0</v>
      </c>
      <c r="G177" s="19">
        <v>3.0</v>
      </c>
      <c r="H177" s="19">
        <v>3.0</v>
      </c>
      <c r="I177" s="19">
        <v>3.0</v>
      </c>
      <c r="J177" s="19">
        <v>1.0</v>
      </c>
      <c r="K177" s="19">
        <v>0.0</v>
      </c>
      <c r="L177" s="19">
        <v>0.0</v>
      </c>
      <c r="M177" s="19">
        <v>2.0</v>
      </c>
      <c r="N177" s="19">
        <v>5.0</v>
      </c>
      <c r="O177" s="19">
        <v>1.0</v>
      </c>
      <c r="P177" s="19">
        <v>2.0</v>
      </c>
      <c r="Q177" s="19">
        <v>2.0</v>
      </c>
      <c r="R177" s="19">
        <v>0.0</v>
      </c>
      <c r="S177" s="19">
        <v>2.0</v>
      </c>
      <c r="T177" s="19">
        <v>0.0</v>
      </c>
      <c r="U177" s="19">
        <v>1.0</v>
      </c>
      <c r="V177" s="19">
        <v>0.0</v>
      </c>
      <c r="W177" s="19">
        <v>1.0</v>
      </c>
      <c r="X177" s="13">
        <f t="shared" ref="X177:X187" si="36">SUM(E177:W177)</f>
        <v>29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1.0</v>
      </c>
      <c r="F178" s="19">
        <v>1.0</v>
      </c>
      <c r="G178" s="19">
        <v>2.0</v>
      </c>
      <c r="H178" s="19">
        <v>2.0</v>
      </c>
      <c r="I178" s="19">
        <v>0.0</v>
      </c>
      <c r="J178" s="19">
        <v>1.0</v>
      </c>
      <c r="K178" s="19">
        <v>0.0</v>
      </c>
      <c r="L178" s="19">
        <v>1.0</v>
      </c>
      <c r="M178" s="19">
        <v>0.0</v>
      </c>
      <c r="N178" s="19">
        <v>2.0</v>
      </c>
      <c r="O178" s="19">
        <v>3.0</v>
      </c>
      <c r="P178" s="19">
        <v>1.0</v>
      </c>
      <c r="Q178" s="19">
        <v>1.0</v>
      </c>
      <c r="R178" s="19">
        <v>0.0</v>
      </c>
      <c r="S178" s="19">
        <v>0.0</v>
      </c>
      <c r="T178" s="19">
        <v>1.0</v>
      </c>
      <c r="U178" s="19">
        <v>2.0</v>
      </c>
      <c r="V178" s="19">
        <v>0.0</v>
      </c>
      <c r="W178" s="19">
        <v>1.0</v>
      </c>
      <c r="X178" s="13">
        <f t="shared" si="36"/>
        <v>19</v>
      </c>
      <c r="Y178" s="5"/>
      <c r="Z178" s="5"/>
    </row>
    <row r="179" ht="12.75" customHeight="1">
      <c r="A179" s="18"/>
      <c r="B179" s="57">
        <v>2.0</v>
      </c>
      <c r="C179" s="52" t="s">
        <v>131</v>
      </c>
      <c r="D179" s="60"/>
      <c r="E179" s="19">
        <v>1.0</v>
      </c>
      <c r="F179" s="19">
        <v>1.0</v>
      </c>
      <c r="G179" s="19">
        <v>0.0</v>
      </c>
      <c r="H179" s="19">
        <v>1.0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1.0</v>
      </c>
      <c r="X179" s="13">
        <f t="shared" si="36"/>
        <v>8</v>
      </c>
      <c r="Y179" s="5"/>
      <c r="Z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2.0</v>
      </c>
      <c r="U180" s="19">
        <v>0.0</v>
      </c>
      <c r="V180" s="19">
        <v>1.0</v>
      </c>
      <c r="W180" s="19">
        <v>0.0</v>
      </c>
      <c r="X180" s="13">
        <f t="shared" si="36"/>
        <v>6</v>
      </c>
      <c r="Y180" s="5"/>
      <c r="Z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1.0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3">
        <f t="shared" si="36"/>
        <v>4</v>
      </c>
      <c r="Y181" s="5"/>
      <c r="Z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1.0</v>
      </c>
      <c r="S182" s="19">
        <v>0.0</v>
      </c>
      <c r="T182" s="19">
        <v>0.0</v>
      </c>
      <c r="U182" s="19">
        <v>1.0</v>
      </c>
      <c r="V182" s="19">
        <v>0.0</v>
      </c>
      <c r="W182" s="19">
        <v>0.0</v>
      </c>
      <c r="X182" s="13">
        <f t="shared" si="36"/>
        <v>3</v>
      </c>
      <c r="Y182" s="5"/>
      <c r="Z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1.0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1.0</v>
      </c>
      <c r="T183" s="19">
        <v>0.0</v>
      </c>
      <c r="U183" s="19">
        <v>1.0</v>
      </c>
      <c r="V183" s="19">
        <v>0.0</v>
      </c>
      <c r="W183" s="19">
        <v>0.0</v>
      </c>
      <c r="X183" s="13">
        <f t="shared" si="36"/>
        <v>3</v>
      </c>
      <c r="Y183" s="5"/>
      <c r="Z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36"/>
        <v>0</v>
      </c>
      <c r="Y184" s="5"/>
      <c r="Z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3">
        <f t="shared" si="36"/>
        <v>0</v>
      </c>
      <c r="Y185" s="5"/>
      <c r="Z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3">
        <f t="shared" si="36"/>
        <v>0</v>
      </c>
      <c r="Y186" s="5"/>
      <c r="Z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W187" si="37">SUM(E177:E184)</f>
        <v>4</v>
      </c>
      <c r="F187" s="13">
        <f t="shared" si="37"/>
        <v>4</v>
      </c>
      <c r="G187" s="13">
        <f t="shared" si="37"/>
        <v>5</v>
      </c>
      <c r="H187" s="13">
        <f t="shared" si="37"/>
        <v>7</v>
      </c>
      <c r="I187" s="13">
        <f t="shared" si="37"/>
        <v>4</v>
      </c>
      <c r="J187" s="13">
        <f t="shared" si="37"/>
        <v>4</v>
      </c>
      <c r="K187" s="13">
        <f t="shared" si="37"/>
        <v>0</v>
      </c>
      <c r="L187" s="13">
        <f t="shared" si="37"/>
        <v>1</v>
      </c>
      <c r="M187" s="13">
        <f t="shared" si="37"/>
        <v>3</v>
      </c>
      <c r="N187" s="13">
        <f t="shared" si="37"/>
        <v>7</v>
      </c>
      <c r="O187" s="13">
        <f t="shared" si="37"/>
        <v>7</v>
      </c>
      <c r="P187" s="13">
        <f t="shared" si="37"/>
        <v>4</v>
      </c>
      <c r="Q187" s="13">
        <f t="shared" si="37"/>
        <v>4</v>
      </c>
      <c r="R187" s="13">
        <f t="shared" si="37"/>
        <v>2</v>
      </c>
      <c r="S187" s="13">
        <f t="shared" si="37"/>
        <v>3</v>
      </c>
      <c r="T187" s="13">
        <f t="shared" si="37"/>
        <v>3</v>
      </c>
      <c r="U187" s="13">
        <f t="shared" si="37"/>
        <v>6</v>
      </c>
      <c r="V187" s="13">
        <f t="shared" si="37"/>
        <v>1</v>
      </c>
      <c r="W187" s="13">
        <f t="shared" si="37"/>
        <v>3</v>
      </c>
      <c r="X187" s="13">
        <f t="shared" si="36"/>
        <v>72</v>
      </c>
      <c r="Y187" s="1"/>
      <c r="Z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0.0</v>
      </c>
      <c r="N189" s="19">
        <v>0.0</v>
      </c>
      <c r="O189" s="19">
        <v>0.0</v>
      </c>
      <c r="P189" s="19">
        <v>2.0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3">
        <f t="shared" ref="X189:X199" si="38">SUM(E189:W189)</f>
        <v>3</v>
      </c>
      <c r="Y189" s="5"/>
      <c r="Z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1.0</v>
      </c>
      <c r="X190" s="13">
        <f t="shared" si="38"/>
        <v>3</v>
      </c>
      <c r="Y190" s="5"/>
      <c r="Z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1.0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1.0</v>
      </c>
      <c r="X191" s="13">
        <f t="shared" si="38"/>
        <v>3</v>
      </c>
      <c r="Y191" s="5"/>
      <c r="Z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1.0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3">
        <f t="shared" si="38"/>
        <v>2</v>
      </c>
      <c r="Y192" s="5"/>
      <c r="Z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1.0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3">
        <f t="shared" si="38"/>
        <v>1</v>
      </c>
      <c r="Y193" s="5"/>
      <c r="Z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1.0</v>
      </c>
      <c r="W194" s="19">
        <v>0.0</v>
      </c>
      <c r="X194" s="13">
        <f t="shared" si="38"/>
        <v>2</v>
      </c>
      <c r="Y194" s="5"/>
      <c r="Z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1.0</v>
      </c>
      <c r="V195" s="19">
        <v>0.0</v>
      </c>
      <c r="W195" s="19">
        <v>0.0</v>
      </c>
      <c r="X195" s="13">
        <f t="shared" si="38"/>
        <v>1</v>
      </c>
      <c r="Y195" s="5"/>
      <c r="Z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3">
        <f t="shared" si="38"/>
        <v>0</v>
      </c>
      <c r="Y196" s="1"/>
      <c r="Z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3">
        <f t="shared" si="38"/>
        <v>0</v>
      </c>
      <c r="Y197" s="1"/>
      <c r="Z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3">
        <f t="shared" si="38"/>
        <v>0</v>
      </c>
      <c r="Y198" s="1"/>
      <c r="Z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W199" si="39">SUM(E189:E196)</f>
        <v>0</v>
      </c>
      <c r="F199" s="13">
        <f t="shared" si="39"/>
        <v>1</v>
      </c>
      <c r="G199" s="13">
        <f t="shared" si="39"/>
        <v>2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2</v>
      </c>
      <c r="Q199" s="13">
        <f t="shared" si="39"/>
        <v>0</v>
      </c>
      <c r="R199" s="13">
        <f t="shared" si="39"/>
        <v>1</v>
      </c>
      <c r="S199" s="13">
        <f t="shared" si="39"/>
        <v>1</v>
      </c>
      <c r="T199" s="13">
        <f t="shared" si="39"/>
        <v>0</v>
      </c>
      <c r="U199" s="13">
        <f t="shared" si="39"/>
        <v>2</v>
      </c>
      <c r="V199" s="13">
        <f t="shared" si="39"/>
        <v>1</v>
      </c>
      <c r="W199" s="13">
        <f t="shared" si="39"/>
        <v>2</v>
      </c>
      <c r="X199" s="13">
        <f t="shared" si="38"/>
        <v>15</v>
      </c>
      <c r="Y199" s="54"/>
      <c r="Z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5"/>
      <c r="Z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3.0</v>
      </c>
      <c r="F201" s="19">
        <v>0.0</v>
      </c>
      <c r="G201" s="19">
        <v>2.0</v>
      </c>
      <c r="H201" s="19">
        <v>2.0</v>
      </c>
      <c r="I201" s="19">
        <v>5.0</v>
      </c>
      <c r="J201" s="19">
        <v>1.0</v>
      </c>
      <c r="K201" s="19">
        <v>3.0</v>
      </c>
      <c r="L201" s="19">
        <v>0.0</v>
      </c>
      <c r="M201" s="19">
        <v>2.0</v>
      </c>
      <c r="N201" s="19">
        <v>4.0</v>
      </c>
      <c r="O201" s="19">
        <v>0.0</v>
      </c>
      <c r="P201" s="19">
        <v>4.0</v>
      </c>
      <c r="Q201" s="19">
        <v>2.0</v>
      </c>
      <c r="R201" s="19">
        <v>1.0</v>
      </c>
      <c r="S201" s="19">
        <v>6.0</v>
      </c>
      <c r="T201" s="19">
        <v>4.0</v>
      </c>
      <c r="U201" s="19">
        <v>4.0</v>
      </c>
      <c r="V201" s="19">
        <v>5.0</v>
      </c>
      <c r="W201" s="19">
        <v>1.0</v>
      </c>
      <c r="X201" s="13">
        <f t="shared" ref="X201:X211" si="40">SUM(E201:W201)</f>
        <v>49</v>
      </c>
      <c r="Y201" s="5"/>
      <c r="Z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6.0</v>
      </c>
      <c r="F202" s="19">
        <v>0.0</v>
      </c>
      <c r="G202" s="19">
        <v>0.0</v>
      </c>
      <c r="H202" s="19">
        <v>2.0</v>
      </c>
      <c r="I202" s="19">
        <v>4.0</v>
      </c>
      <c r="J202" s="19">
        <v>10.0</v>
      </c>
      <c r="K202" s="19">
        <v>0.0</v>
      </c>
      <c r="L202" s="19">
        <v>1.0</v>
      </c>
      <c r="M202" s="19">
        <v>4.0</v>
      </c>
      <c r="N202" s="19">
        <v>2.0</v>
      </c>
      <c r="O202" s="19">
        <v>0.0</v>
      </c>
      <c r="P202" s="19">
        <v>3.0</v>
      </c>
      <c r="Q202" s="19">
        <v>5.0</v>
      </c>
      <c r="R202" s="19">
        <v>3.0</v>
      </c>
      <c r="S202" s="19">
        <v>4.0</v>
      </c>
      <c r="T202" s="19">
        <v>4.0</v>
      </c>
      <c r="U202" s="19">
        <v>8.0</v>
      </c>
      <c r="V202" s="19">
        <v>2.0</v>
      </c>
      <c r="W202" s="19">
        <v>4.0</v>
      </c>
      <c r="X202" s="13">
        <f t="shared" si="40"/>
        <v>62</v>
      </c>
      <c r="Y202" s="5"/>
      <c r="Z202" s="5"/>
    </row>
    <row r="203" ht="12.75" customHeight="1">
      <c r="A203" s="18"/>
      <c r="B203" s="57">
        <v>2.0</v>
      </c>
      <c r="C203" s="52" t="s">
        <v>149</v>
      </c>
      <c r="D203" s="60"/>
      <c r="E203" s="19">
        <v>1.0</v>
      </c>
      <c r="F203" s="19">
        <v>0.0</v>
      </c>
      <c r="G203" s="19">
        <v>0.0</v>
      </c>
      <c r="H203" s="19">
        <v>1.0</v>
      </c>
      <c r="I203" s="19">
        <v>0.0</v>
      </c>
      <c r="J203" s="19">
        <v>0.0</v>
      </c>
      <c r="K203" s="19">
        <v>2.0</v>
      </c>
      <c r="L203" s="19">
        <v>2.0</v>
      </c>
      <c r="M203" s="19">
        <v>1.0</v>
      </c>
      <c r="N203" s="19">
        <v>0.0</v>
      </c>
      <c r="O203" s="19">
        <v>0.0</v>
      </c>
      <c r="P203" s="19">
        <v>4.0</v>
      </c>
      <c r="Q203" s="19">
        <v>0.0</v>
      </c>
      <c r="R203" s="19">
        <v>3.0</v>
      </c>
      <c r="S203" s="19">
        <v>0.0</v>
      </c>
      <c r="T203" s="19">
        <v>2.0</v>
      </c>
      <c r="U203" s="19">
        <v>1.0</v>
      </c>
      <c r="V203" s="19">
        <v>1.0</v>
      </c>
      <c r="W203" s="19">
        <v>1.0</v>
      </c>
      <c r="X203" s="13">
        <f t="shared" si="40"/>
        <v>19</v>
      </c>
      <c r="Y203" s="5"/>
      <c r="Z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1.0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2.0</v>
      </c>
      <c r="W204" s="19">
        <v>1.0</v>
      </c>
      <c r="X204" s="13">
        <f t="shared" si="40"/>
        <v>5</v>
      </c>
      <c r="Y204" s="5"/>
      <c r="Z204" s="5"/>
    </row>
    <row r="205" ht="12.75" customHeight="1">
      <c r="A205" s="18"/>
      <c r="B205" s="57">
        <v>4.0</v>
      </c>
      <c r="C205" s="52" t="s">
        <v>151</v>
      </c>
      <c r="D205" s="60"/>
      <c r="E205" s="19">
        <v>2.0</v>
      </c>
      <c r="F205" s="19">
        <v>1.0</v>
      </c>
      <c r="G205" s="19">
        <v>0.0</v>
      </c>
      <c r="H205" s="19">
        <v>0.0</v>
      </c>
      <c r="I205" s="19">
        <v>1.0</v>
      </c>
      <c r="J205" s="19">
        <v>6.0</v>
      </c>
      <c r="K205" s="19">
        <v>7.0</v>
      </c>
      <c r="L205" s="19">
        <v>3.0</v>
      </c>
      <c r="M205" s="19">
        <v>0.0</v>
      </c>
      <c r="N205" s="19">
        <v>0.0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1.0</v>
      </c>
      <c r="W205" s="19">
        <v>7.0</v>
      </c>
      <c r="X205" s="13">
        <f t="shared" si="40"/>
        <v>29</v>
      </c>
      <c r="Y205" s="5"/>
      <c r="Z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/>
      <c r="W206" s="19">
        <v>0.0</v>
      </c>
      <c r="X206" s="13">
        <f t="shared" si="40"/>
        <v>0</v>
      </c>
      <c r="Y206" s="5"/>
      <c r="Z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/>
      <c r="W207" s="19">
        <v>0.0</v>
      </c>
      <c r="X207" s="13">
        <f t="shared" si="40"/>
        <v>0</v>
      </c>
      <c r="Y207" s="1"/>
      <c r="Z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1.0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1.0</v>
      </c>
      <c r="V208" s="19"/>
      <c r="W208" s="19">
        <v>0.0</v>
      </c>
      <c r="X208" s="13">
        <f t="shared" si="40"/>
        <v>3</v>
      </c>
      <c r="Y208" s="54"/>
      <c r="Z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3">
        <f t="shared" si="40"/>
        <v>0</v>
      </c>
      <c r="Y209" s="54"/>
      <c r="Z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3">
        <f t="shared" si="40"/>
        <v>0</v>
      </c>
      <c r="Y210" s="54"/>
      <c r="Z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W211" si="41">SUM(E201:E208)</f>
        <v>12</v>
      </c>
      <c r="F211" s="13">
        <f t="shared" si="41"/>
        <v>1</v>
      </c>
      <c r="G211" s="13">
        <f t="shared" si="41"/>
        <v>3</v>
      </c>
      <c r="H211" s="13">
        <f t="shared" si="41"/>
        <v>5</v>
      </c>
      <c r="I211" s="13">
        <f t="shared" si="41"/>
        <v>11</v>
      </c>
      <c r="J211" s="13">
        <f t="shared" si="41"/>
        <v>17</v>
      </c>
      <c r="K211" s="13">
        <f t="shared" si="41"/>
        <v>13</v>
      </c>
      <c r="L211" s="13">
        <f t="shared" si="41"/>
        <v>7</v>
      </c>
      <c r="M211" s="13">
        <f t="shared" si="41"/>
        <v>7</v>
      </c>
      <c r="N211" s="13">
        <f t="shared" si="41"/>
        <v>6</v>
      </c>
      <c r="O211" s="13">
        <f t="shared" si="41"/>
        <v>0</v>
      </c>
      <c r="P211" s="13">
        <f t="shared" si="41"/>
        <v>11</v>
      </c>
      <c r="Q211" s="13">
        <f t="shared" si="41"/>
        <v>8</v>
      </c>
      <c r="R211" s="13">
        <f t="shared" si="41"/>
        <v>7</v>
      </c>
      <c r="S211" s="13">
        <f t="shared" si="41"/>
        <v>10</v>
      </c>
      <c r="T211" s="13">
        <f t="shared" si="41"/>
        <v>10</v>
      </c>
      <c r="U211" s="13">
        <f t="shared" si="41"/>
        <v>14</v>
      </c>
      <c r="V211" s="13">
        <f t="shared" si="41"/>
        <v>11</v>
      </c>
      <c r="W211" s="13">
        <f t="shared" si="41"/>
        <v>14</v>
      </c>
      <c r="X211" s="13">
        <f t="shared" si="40"/>
        <v>167</v>
      </c>
      <c r="Y211" s="5"/>
      <c r="Z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5"/>
      <c r="Z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2.0</v>
      </c>
      <c r="G213" s="19">
        <v>2.0</v>
      </c>
      <c r="H213" s="19">
        <v>1.0</v>
      </c>
      <c r="I213" s="19">
        <v>1.0</v>
      </c>
      <c r="J213" s="19">
        <v>1.0</v>
      </c>
      <c r="K213" s="19">
        <v>2.0</v>
      </c>
      <c r="L213" s="19">
        <v>1.0</v>
      </c>
      <c r="M213" s="19">
        <v>0.0</v>
      </c>
      <c r="N213" s="19">
        <v>0.0</v>
      </c>
      <c r="O213" s="19">
        <v>4.0</v>
      </c>
      <c r="P213" s="19">
        <v>1.0</v>
      </c>
      <c r="Q213" s="19">
        <v>5.0</v>
      </c>
      <c r="R213" s="19">
        <v>3.0</v>
      </c>
      <c r="S213" s="19">
        <v>0.0</v>
      </c>
      <c r="T213" s="19">
        <v>1.0</v>
      </c>
      <c r="U213" s="19">
        <v>6.0</v>
      </c>
      <c r="V213" s="19">
        <v>3.0</v>
      </c>
      <c r="W213" s="19">
        <v>0.0</v>
      </c>
      <c r="X213" s="13">
        <f t="shared" ref="X213:X223" si="42">SUM(E213:W213)</f>
        <v>33</v>
      </c>
      <c r="Y213" s="5"/>
      <c r="Z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1.0</v>
      </c>
      <c r="F214" s="19">
        <v>0.0</v>
      </c>
      <c r="G214" s="19">
        <v>0.0</v>
      </c>
      <c r="H214" s="19">
        <v>5.0</v>
      </c>
      <c r="I214" s="19">
        <v>3.0</v>
      </c>
      <c r="J214" s="19">
        <v>1.0</v>
      </c>
      <c r="K214" s="19">
        <v>5.0</v>
      </c>
      <c r="L214" s="19">
        <v>0.0</v>
      </c>
      <c r="M214" s="19">
        <v>0.0</v>
      </c>
      <c r="N214" s="19">
        <v>0.0</v>
      </c>
      <c r="O214" s="19">
        <v>5.0</v>
      </c>
      <c r="P214" s="19">
        <v>4.0</v>
      </c>
      <c r="Q214" s="19">
        <v>3.0</v>
      </c>
      <c r="R214" s="19">
        <v>5.0</v>
      </c>
      <c r="S214" s="19">
        <v>3.0</v>
      </c>
      <c r="T214" s="19">
        <v>0.0</v>
      </c>
      <c r="U214" s="19">
        <v>2.0</v>
      </c>
      <c r="V214" s="19">
        <v>1.0</v>
      </c>
      <c r="W214" s="19">
        <v>0.0</v>
      </c>
      <c r="X214" s="13">
        <f t="shared" si="42"/>
        <v>38</v>
      </c>
      <c r="Y214" s="5"/>
      <c r="Z214" s="5"/>
    </row>
    <row r="215" ht="12.75" customHeight="1">
      <c r="A215" s="18"/>
      <c r="B215" s="57">
        <v>2.0</v>
      </c>
      <c r="C215" s="52" t="s">
        <v>158</v>
      </c>
      <c r="D215" s="58"/>
      <c r="E215" s="19">
        <v>7.0</v>
      </c>
      <c r="F215" s="19">
        <v>0.0</v>
      </c>
      <c r="G215" s="19">
        <v>1.0</v>
      </c>
      <c r="H215" s="19">
        <v>4.0</v>
      </c>
      <c r="I215" s="19">
        <v>4.0</v>
      </c>
      <c r="J215" s="19">
        <v>1.0</v>
      </c>
      <c r="K215" s="19">
        <v>12.0</v>
      </c>
      <c r="L215" s="19">
        <v>2.0</v>
      </c>
      <c r="M215" s="19">
        <v>6.0</v>
      </c>
      <c r="N215" s="19">
        <v>4.0</v>
      </c>
      <c r="O215" s="19">
        <v>14.0</v>
      </c>
      <c r="P215" s="19">
        <v>7.0</v>
      </c>
      <c r="Q215" s="19">
        <v>2.0</v>
      </c>
      <c r="R215" s="19">
        <v>11.0</v>
      </c>
      <c r="S215" s="19">
        <v>2.0</v>
      </c>
      <c r="T215" s="19">
        <v>2.0</v>
      </c>
      <c r="U215" s="19">
        <v>2.0</v>
      </c>
      <c r="V215" s="19">
        <v>5.0</v>
      </c>
      <c r="W215" s="19">
        <v>2.0</v>
      </c>
      <c r="X215" s="13">
        <f t="shared" si="42"/>
        <v>88</v>
      </c>
      <c r="Y215" s="5"/>
      <c r="Z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1.0</v>
      </c>
      <c r="Q216" s="19">
        <v>0.0</v>
      </c>
      <c r="R216" s="19">
        <v>0.0</v>
      </c>
      <c r="S216" s="19">
        <v>0.0</v>
      </c>
      <c r="T216" s="19">
        <v>2.0</v>
      </c>
      <c r="U216" s="19">
        <v>2.0</v>
      </c>
      <c r="V216" s="19">
        <v>0.0</v>
      </c>
      <c r="W216" s="19">
        <v>0.0</v>
      </c>
      <c r="X216" s="13">
        <f t="shared" si="42"/>
        <v>7</v>
      </c>
      <c r="Y216" s="5"/>
      <c r="Z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2.0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3">
        <f t="shared" si="42"/>
        <v>4</v>
      </c>
      <c r="Y217" s="5"/>
      <c r="Z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1.0</v>
      </c>
      <c r="T218" s="19">
        <v>1.0</v>
      </c>
      <c r="U218" s="19">
        <v>0.0</v>
      </c>
      <c r="V218" s="19">
        <v>0.0</v>
      </c>
      <c r="W218" s="19">
        <v>0.0</v>
      </c>
      <c r="X218" s="13">
        <f t="shared" si="42"/>
        <v>2</v>
      </c>
      <c r="Y218" s="1"/>
      <c r="Z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3">
        <f t="shared" si="42"/>
        <v>2</v>
      </c>
      <c r="Y219" s="54"/>
      <c r="Z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1.0</v>
      </c>
      <c r="V220" s="19">
        <v>0.0</v>
      </c>
      <c r="W220" s="19">
        <v>0.0</v>
      </c>
      <c r="X220" s="13">
        <f t="shared" si="42"/>
        <v>1</v>
      </c>
      <c r="Y220" s="5"/>
      <c r="Z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3">
        <f t="shared" si="42"/>
        <v>0</v>
      </c>
      <c r="Y221" s="5"/>
      <c r="Z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3">
        <f t="shared" si="42"/>
        <v>0</v>
      </c>
      <c r="Y222" s="5"/>
      <c r="Z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W223" si="43">SUM(E213:E220)</f>
        <v>8</v>
      </c>
      <c r="F223" s="13">
        <f t="shared" si="43"/>
        <v>2</v>
      </c>
      <c r="G223" s="13">
        <f t="shared" si="43"/>
        <v>6</v>
      </c>
      <c r="H223" s="13">
        <f t="shared" si="43"/>
        <v>11</v>
      </c>
      <c r="I223" s="13">
        <f t="shared" si="43"/>
        <v>8</v>
      </c>
      <c r="J223" s="13">
        <f t="shared" si="43"/>
        <v>3</v>
      </c>
      <c r="K223" s="13">
        <f t="shared" si="43"/>
        <v>19</v>
      </c>
      <c r="L223" s="13">
        <f t="shared" si="43"/>
        <v>3</v>
      </c>
      <c r="M223" s="13">
        <f t="shared" si="43"/>
        <v>6</v>
      </c>
      <c r="N223" s="13">
        <f t="shared" si="43"/>
        <v>4</v>
      </c>
      <c r="O223" s="13">
        <f t="shared" si="43"/>
        <v>24</v>
      </c>
      <c r="P223" s="13">
        <f t="shared" si="43"/>
        <v>13</v>
      </c>
      <c r="Q223" s="13">
        <f t="shared" si="43"/>
        <v>11</v>
      </c>
      <c r="R223" s="13">
        <f t="shared" si="43"/>
        <v>19</v>
      </c>
      <c r="S223" s="13">
        <f t="shared" si="43"/>
        <v>7</v>
      </c>
      <c r="T223" s="13">
        <f t="shared" si="43"/>
        <v>6</v>
      </c>
      <c r="U223" s="13">
        <f t="shared" si="43"/>
        <v>13</v>
      </c>
      <c r="V223" s="13">
        <f t="shared" si="43"/>
        <v>9</v>
      </c>
      <c r="W223" s="13">
        <f t="shared" si="43"/>
        <v>3</v>
      </c>
      <c r="X223" s="13">
        <f t="shared" si="42"/>
        <v>175</v>
      </c>
      <c r="Y223" s="5"/>
      <c r="Z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5"/>
      <c r="Z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1.0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1.0</v>
      </c>
      <c r="V225" s="19"/>
      <c r="W225" s="19">
        <v>0.0</v>
      </c>
      <c r="X225" s="13">
        <f t="shared" ref="X225:X235" si="44">SUM(E225:W225)</f>
        <v>4</v>
      </c>
      <c r="Y225" s="5"/>
      <c r="Z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1.0</v>
      </c>
      <c r="S226" s="19">
        <v>0.0</v>
      </c>
      <c r="T226" s="19">
        <v>0.0</v>
      </c>
      <c r="U226" s="19">
        <v>1.0</v>
      </c>
      <c r="V226" s="19"/>
      <c r="W226" s="19">
        <v>0.0</v>
      </c>
      <c r="X226" s="13">
        <f t="shared" si="44"/>
        <v>2</v>
      </c>
      <c r="Y226" s="5"/>
      <c r="Z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/>
      <c r="W227" s="19">
        <v>0.0</v>
      </c>
      <c r="X227" s="13">
        <f t="shared" si="44"/>
        <v>0</v>
      </c>
      <c r="Y227" s="5"/>
      <c r="Z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/>
      <c r="W228" s="19">
        <v>0.0</v>
      </c>
      <c r="X228" s="13">
        <f t="shared" si="44"/>
        <v>0</v>
      </c>
      <c r="Y228" s="5"/>
      <c r="Z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/>
      <c r="W229" s="19">
        <v>0.0</v>
      </c>
      <c r="X229" s="13">
        <f t="shared" si="44"/>
        <v>0</v>
      </c>
      <c r="Y229" s="1"/>
      <c r="Z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/>
      <c r="W230" s="19">
        <v>0.0</v>
      </c>
      <c r="X230" s="13">
        <f t="shared" si="44"/>
        <v>0</v>
      </c>
      <c r="Y230" s="54"/>
      <c r="Z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/>
      <c r="W231" s="19">
        <v>0.0</v>
      </c>
      <c r="X231" s="13">
        <f t="shared" si="44"/>
        <v>0</v>
      </c>
      <c r="Y231" s="5"/>
      <c r="Z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/>
      <c r="W232" s="19">
        <v>0.0</v>
      </c>
      <c r="X232" s="13">
        <f t="shared" si="44"/>
        <v>1</v>
      </c>
      <c r="Y232" s="5"/>
      <c r="Z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3">
        <f t="shared" si="44"/>
        <v>0</v>
      </c>
      <c r="Y233" s="5"/>
      <c r="Z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3">
        <f t="shared" si="44"/>
        <v>0</v>
      </c>
      <c r="Y234" s="5"/>
      <c r="Z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W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2</v>
      </c>
      <c r="V235" s="13">
        <f t="shared" si="45"/>
        <v>0</v>
      </c>
      <c r="W235" s="13">
        <f t="shared" si="45"/>
        <v>0</v>
      </c>
      <c r="X235" s="13">
        <f t="shared" si="44"/>
        <v>7</v>
      </c>
      <c r="Y235" s="5"/>
      <c r="Z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5"/>
      <c r="Z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6.0</v>
      </c>
      <c r="G237" s="19">
        <v>6.0</v>
      </c>
      <c r="H237" s="19">
        <v>4.0</v>
      </c>
      <c r="I237" s="19">
        <v>8.0</v>
      </c>
      <c r="J237" s="19">
        <v>7.0</v>
      </c>
      <c r="K237" s="19">
        <v>3.0</v>
      </c>
      <c r="L237" s="19">
        <v>5.0</v>
      </c>
      <c r="M237" s="19">
        <v>9.0</v>
      </c>
      <c r="N237" s="19">
        <v>9.0</v>
      </c>
      <c r="O237" s="19">
        <v>1.0</v>
      </c>
      <c r="P237" s="19">
        <v>2.0</v>
      </c>
      <c r="Q237" s="19">
        <v>4.0</v>
      </c>
      <c r="R237" s="19">
        <v>1.0</v>
      </c>
      <c r="S237" s="19">
        <v>2.0</v>
      </c>
      <c r="T237" s="19">
        <v>5.0</v>
      </c>
      <c r="U237" s="19">
        <v>2.0</v>
      </c>
      <c r="V237" s="19">
        <v>1.0</v>
      </c>
      <c r="W237" s="19">
        <v>4.0</v>
      </c>
      <c r="X237" s="13">
        <f t="shared" ref="X237:X247" si="46">SUM(E237:W237)</f>
        <v>80</v>
      </c>
      <c r="Y237" s="5"/>
      <c r="Z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1.0</v>
      </c>
      <c r="G238" s="19">
        <v>2.0</v>
      </c>
      <c r="H238" s="19">
        <v>0.0</v>
      </c>
      <c r="I238" s="19">
        <v>0.0</v>
      </c>
      <c r="J238" s="19">
        <v>1.0</v>
      </c>
      <c r="K238" s="19">
        <v>4.0</v>
      </c>
      <c r="L238" s="19">
        <v>1.0</v>
      </c>
      <c r="M238" s="19">
        <v>4.0</v>
      </c>
      <c r="N238" s="19">
        <v>2.0</v>
      </c>
      <c r="O238" s="19">
        <v>1.0</v>
      </c>
      <c r="P238" s="19">
        <v>0.0</v>
      </c>
      <c r="Q238" s="19">
        <v>0.0</v>
      </c>
      <c r="R238" s="19">
        <v>0.0</v>
      </c>
      <c r="S238" s="19">
        <v>4.0</v>
      </c>
      <c r="T238" s="19">
        <v>0.0</v>
      </c>
      <c r="U238" s="19">
        <v>0.0</v>
      </c>
      <c r="V238" s="19"/>
      <c r="W238" s="19">
        <v>0.0</v>
      </c>
      <c r="X238" s="13">
        <f t="shared" si="46"/>
        <v>20</v>
      </c>
      <c r="Y238" s="5"/>
      <c r="Z238" s="5"/>
    </row>
    <row r="239" ht="12.75" customHeight="1">
      <c r="A239" s="18"/>
      <c r="B239" s="57">
        <v>2.0</v>
      </c>
      <c r="C239" s="52" t="s">
        <v>176</v>
      </c>
      <c r="D239" s="60"/>
      <c r="E239" s="19">
        <v>51.0</v>
      </c>
      <c r="F239" s="19">
        <v>63.0</v>
      </c>
      <c r="G239" s="19">
        <v>118.0</v>
      </c>
      <c r="H239" s="19">
        <v>73.0</v>
      </c>
      <c r="I239" s="19">
        <v>51.0</v>
      </c>
      <c r="J239" s="19">
        <v>96.0</v>
      </c>
      <c r="K239" s="19">
        <v>62.0</v>
      </c>
      <c r="L239" s="19">
        <v>67.0</v>
      </c>
      <c r="M239" s="19">
        <v>61.0</v>
      </c>
      <c r="N239" s="19">
        <v>59.0</v>
      </c>
      <c r="O239" s="19">
        <v>37.0</v>
      </c>
      <c r="P239" s="19">
        <v>36.0</v>
      </c>
      <c r="Q239" s="19">
        <v>40.0</v>
      </c>
      <c r="R239" s="19">
        <v>19.0</v>
      </c>
      <c r="S239" s="19">
        <v>34.0</v>
      </c>
      <c r="T239" s="19">
        <v>11.0</v>
      </c>
      <c r="U239" s="19">
        <v>13.0</v>
      </c>
      <c r="V239" s="19">
        <v>9.0</v>
      </c>
      <c r="W239" s="19">
        <v>34.0</v>
      </c>
      <c r="X239" s="13">
        <f t="shared" si="46"/>
        <v>934</v>
      </c>
      <c r="Y239" s="5"/>
      <c r="Z239" s="5"/>
    </row>
    <row r="240" ht="12.75" customHeight="1">
      <c r="A240" s="18"/>
      <c r="B240" s="57">
        <v>3.0</v>
      </c>
      <c r="C240" s="52" t="s">
        <v>177</v>
      </c>
      <c r="D240" s="60"/>
      <c r="E240" s="19">
        <v>1.0</v>
      </c>
      <c r="F240" s="19">
        <v>3.0</v>
      </c>
      <c r="G240" s="19">
        <v>1.0</v>
      </c>
      <c r="H240" s="19">
        <v>0.0</v>
      </c>
      <c r="I240" s="19">
        <v>3.0</v>
      </c>
      <c r="J240" s="19">
        <v>1.0</v>
      </c>
      <c r="K240" s="19">
        <v>2.0</v>
      </c>
      <c r="L240" s="19">
        <v>3.0</v>
      </c>
      <c r="M240" s="19">
        <v>1.0</v>
      </c>
      <c r="N240" s="19">
        <v>4.0</v>
      </c>
      <c r="O240" s="19">
        <v>3.0</v>
      </c>
      <c r="P240" s="19">
        <v>0.0</v>
      </c>
      <c r="Q240" s="19">
        <v>1.0</v>
      </c>
      <c r="R240" s="19">
        <v>0.0</v>
      </c>
      <c r="S240" s="19">
        <v>0.0</v>
      </c>
      <c r="T240" s="19">
        <v>1.0</v>
      </c>
      <c r="U240" s="19">
        <v>1.0</v>
      </c>
      <c r="V240" s="19"/>
      <c r="W240" s="19">
        <v>2.0</v>
      </c>
      <c r="X240" s="13">
        <f t="shared" si="46"/>
        <v>27</v>
      </c>
      <c r="Y240" s="1"/>
      <c r="Z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/>
      <c r="W241" s="19">
        <v>0.0</v>
      </c>
      <c r="X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/>
      <c r="W242" s="19">
        <v>0.0</v>
      </c>
      <c r="X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1.0</v>
      </c>
      <c r="V243" s="19">
        <v>1.0</v>
      </c>
      <c r="W243" s="19">
        <v>0.0</v>
      </c>
      <c r="X243" s="13">
        <f t="shared" si="46"/>
        <v>3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0.0</v>
      </c>
      <c r="F244" s="19">
        <v>2.0</v>
      </c>
      <c r="G244" s="19">
        <v>0.0</v>
      </c>
      <c r="H244" s="19">
        <v>1.0</v>
      </c>
      <c r="I244" s="19">
        <v>0.0</v>
      </c>
      <c r="J244" s="19">
        <v>1.0</v>
      </c>
      <c r="K244" s="19">
        <v>0.0</v>
      </c>
      <c r="L244" s="19">
        <v>0.0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3">
        <f t="shared" si="46"/>
        <v>5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W247" si="47">SUM(E237:E244)</f>
        <v>53</v>
      </c>
      <c r="F247" s="13">
        <f t="shared" si="47"/>
        <v>76</v>
      </c>
      <c r="G247" s="13">
        <f t="shared" si="47"/>
        <v>128</v>
      </c>
      <c r="H247" s="13">
        <f t="shared" si="47"/>
        <v>78</v>
      </c>
      <c r="I247" s="13">
        <f t="shared" si="47"/>
        <v>62</v>
      </c>
      <c r="J247" s="13">
        <f t="shared" si="47"/>
        <v>107</v>
      </c>
      <c r="K247" s="13">
        <f t="shared" si="47"/>
        <v>71</v>
      </c>
      <c r="L247" s="13">
        <f t="shared" si="47"/>
        <v>76</v>
      </c>
      <c r="M247" s="13">
        <f t="shared" si="47"/>
        <v>75</v>
      </c>
      <c r="N247" s="13">
        <f t="shared" si="47"/>
        <v>74</v>
      </c>
      <c r="O247" s="13">
        <f t="shared" si="47"/>
        <v>44</v>
      </c>
      <c r="P247" s="13">
        <f t="shared" si="47"/>
        <v>38</v>
      </c>
      <c r="Q247" s="13">
        <f t="shared" si="47"/>
        <v>45</v>
      </c>
      <c r="R247" s="13">
        <f t="shared" si="47"/>
        <v>20</v>
      </c>
      <c r="S247" s="13">
        <f t="shared" si="47"/>
        <v>40</v>
      </c>
      <c r="T247" s="13">
        <f t="shared" si="47"/>
        <v>17</v>
      </c>
      <c r="U247" s="13">
        <f t="shared" si="47"/>
        <v>17</v>
      </c>
      <c r="V247" s="13">
        <f t="shared" si="47"/>
        <v>11</v>
      </c>
      <c r="W247" s="13">
        <f t="shared" si="47"/>
        <v>40</v>
      </c>
      <c r="X247" s="13">
        <f t="shared" si="46"/>
        <v>1072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2.0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1.0</v>
      </c>
      <c r="X249" s="13">
        <f t="shared" ref="X249:X259" si="48">SUM(E249:W249)</f>
        <v>7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1.0</v>
      </c>
      <c r="P250" s="19">
        <v>1.0</v>
      </c>
      <c r="Q250" s="19">
        <v>0.0</v>
      </c>
      <c r="R250" s="19">
        <v>1.0</v>
      </c>
      <c r="S250" s="19">
        <v>0.0</v>
      </c>
      <c r="T250" s="19">
        <v>1.0</v>
      </c>
      <c r="U250" s="19">
        <v>1.0</v>
      </c>
      <c r="V250" s="19">
        <v>2.0</v>
      </c>
      <c r="W250" s="19">
        <v>0.0</v>
      </c>
      <c r="X250" s="13">
        <f t="shared" si="48"/>
        <v>8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1.0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1.0</v>
      </c>
      <c r="V251" s="19">
        <v>0.0</v>
      </c>
      <c r="W251" s="19">
        <v>0.0</v>
      </c>
      <c r="X251" s="13">
        <f t="shared" si="48"/>
        <v>2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1.0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3">
        <f t="shared" si="48"/>
        <v>1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1.0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3">
        <f t="shared" si="48"/>
        <v>1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W259" si="49">SUM(E249:E255)</f>
        <v>0</v>
      </c>
      <c r="F259" s="13">
        <f t="shared" si="49"/>
        <v>2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1</v>
      </c>
      <c r="P259" s="13">
        <f t="shared" si="49"/>
        <v>2</v>
      </c>
      <c r="Q259" s="13">
        <f t="shared" si="49"/>
        <v>2</v>
      </c>
      <c r="R259" s="13">
        <f t="shared" si="49"/>
        <v>1</v>
      </c>
      <c r="S259" s="13">
        <f t="shared" si="49"/>
        <v>0</v>
      </c>
      <c r="T259" s="13">
        <f t="shared" si="49"/>
        <v>1</v>
      </c>
      <c r="U259" s="13">
        <f t="shared" si="49"/>
        <v>3</v>
      </c>
      <c r="V259" s="13">
        <f t="shared" si="49"/>
        <v>2</v>
      </c>
      <c r="W259" s="13">
        <f t="shared" si="49"/>
        <v>1</v>
      </c>
      <c r="X259" s="13">
        <f t="shared" si="48"/>
        <v>19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71" t="s">
        <v>213</v>
      </c>
      <c r="Q261" s="71" t="s">
        <v>214</v>
      </c>
      <c r="R261" s="71" t="s">
        <v>216</v>
      </c>
      <c r="S261" s="71" t="s">
        <v>217</v>
      </c>
      <c r="T261" s="71" t="s">
        <v>218</v>
      </c>
      <c r="U261" s="71" t="s">
        <v>219</v>
      </c>
      <c r="V261" s="71" t="s">
        <v>220</v>
      </c>
      <c r="W261" s="71" t="s">
        <v>221</v>
      </c>
      <c r="X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W262" si="50">E55+E67+E79+E91+E103+E115+E127+E139+E151+E163+E175+E187+E199+E211+E223+E235+E247+E259</f>
        <v>164</v>
      </c>
      <c r="F262" s="19">
        <f t="shared" si="50"/>
        <v>202</v>
      </c>
      <c r="G262" s="19">
        <f t="shared" si="50"/>
        <v>215</v>
      </c>
      <c r="H262" s="19">
        <f t="shared" si="50"/>
        <v>195</v>
      </c>
      <c r="I262" s="19">
        <f t="shared" si="50"/>
        <v>190</v>
      </c>
      <c r="J262" s="19">
        <f t="shared" si="50"/>
        <v>211</v>
      </c>
      <c r="K262" s="19">
        <f t="shared" si="50"/>
        <v>204</v>
      </c>
      <c r="L262" s="19">
        <f t="shared" si="50"/>
        <v>174</v>
      </c>
      <c r="M262" s="19">
        <f t="shared" si="50"/>
        <v>197</v>
      </c>
      <c r="N262" s="19">
        <f t="shared" si="50"/>
        <v>195</v>
      </c>
      <c r="O262" s="19">
        <f t="shared" si="50"/>
        <v>193</v>
      </c>
      <c r="P262" s="19">
        <f t="shared" si="50"/>
        <v>205</v>
      </c>
      <c r="Q262" s="19">
        <f t="shared" si="50"/>
        <v>190</v>
      </c>
      <c r="R262" s="19">
        <f t="shared" si="50"/>
        <v>169</v>
      </c>
      <c r="S262" s="19">
        <f t="shared" si="50"/>
        <v>211</v>
      </c>
      <c r="T262" s="19">
        <f t="shared" si="50"/>
        <v>191</v>
      </c>
      <c r="U262" s="19">
        <f t="shared" si="50"/>
        <v>203</v>
      </c>
      <c r="V262" s="19">
        <f t="shared" si="50"/>
        <v>213</v>
      </c>
      <c r="W262" s="19">
        <f t="shared" si="50"/>
        <v>210</v>
      </c>
      <c r="X262" s="13">
        <f t="shared" ref="X262:X264" si="51">SUM(E262:W262)</f>
        <v>3732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29.0</v>
      </c>
      <c r="F263" s="19">
        <v>19.0</v>
      </c>
      <c r="G263" s="19">
        <v>17.0</v>
      </c>
      <c r="H263" s="19">
        <v>16.0</v>
      </c>
      <c r="I263" s="19">
        <v>27.0</v>
      </c>
      <c r="J263" s="19">
        <v>24.0</v>
      </c>
      <c r="K263" s="19">
        <v>16.0</v>
      </c>
      <c r="L263" s="19">
        <v>35.0</v>
      </c>
      <c r="M263" s="19">
        <v>26.0</v>
      </c>
      <c r="N263" s="19">
        <v>42.0</v>
      </c>
      <c r="O263" s="19">
        <v>22.0</v>
      </c>
      <c r="P263" s="19">
        <v>12.0</v>
      </c>
      <c r="Q263" s="19">
        <v>24.0</v>
      </c>
      <c r="R263" s="19">
        <v>16.0</v>
      </c>
      <c r="S263" s="19">
        <v>21.0</v>
      </c>
      <c r="T263" s="19">
        <v>33.0</v>
      </c>
      <c r="U263" s="19">
        <v>21.0</v>
      </c>
      <c r="V263" s="19">
        <v>30.0</v>
      </c>
      <c r="W263" s="19">
        <v>18.0</v>
      </c>
      <c r="X263" s="13">
        <f t="shared" si="51"/>
        <v>448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W264" si="52">SUM(E262:E263)</f>
        <v>193</v>
      </c>
      <c r="F264" s="13">
        <f t="shared" si="52"/>
        <v>221</v>
      </c>
      <c r="G264" s="13">
        <f t="shared" si="52"/>
        <v>232</v>
      </c>
      <c r="H264" s="13">
        <f t="shared" si="52"/>
        <v>211</v>
      </c>
      <c r="I264" s="13">
        <f t="shared" si="52"/>
        <v>217</v>
      </c>
      <c r="J264" s="13">
        <f t="shared" si="52"/>
        <v>235</v>
      </c>
      <c r="K264" s="13">
        <f t="shared" si="52"/>
        <v>220</v>
      </c>
      <c r="L264" s="13">
        <f t="shared" si="52"/>
        <v>209</v>
      </c>
      <c r="M264" s="13">
        <f t="shared" si="52"/>
        <v>223</v>
      </c>
      <c r="N264" s="13">
        <f t="shared" si="52"/>
        <v>237</v>
      </c>
      <c r="O264" s="13">
        <f t="shared" si="52"/>
        <v>215</v>
      </c>
      <c r="P264" s="13">
        <f t="shared" si="52"/>
        <v>217</v>
      </c>
      <c r="Q264" s="13">
        <f t="shared" si="52"/>
        <v>214</v>
      </c>
      <c r="R264" s="13">
        <f t="shared" si="52"/>
        <v>185</v>
      </c>
      <c r="S264" s="13">
        <f t="shared" si="52"/>
        <v>232</v>
      </c>
      <c r="T264" s="13">
        <f t="shared" si="52"/>
        <v>224</v>
      </c>
      <c r="U264" s="13">
        <f t="shared" si="52"/>
        <v>224</v>
      </c>
      <c r="V264" s="13">
        <f t="shared" si="52"/>
        <v>243</v>
      </c>
      <c r="W264" s="13">
        <f t="shared" si="52"/>
        <v>228</v>
      </c>
      <c r="X264" s="13">
        <f t="shared" si="51"/>
        <v>4180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121.0</v>
      </c>
      <c r="G14" s="19">
        <v>142.0</v>
      </c>
      <c r="H14" s="19">
        <v>140.0</v>
      </c>
      <c r="I14" s="19">
        <v>128.0</v>
      </c>
      <c r="J14" s="19">
        <v>148.0</v>
      </c>
      <c r="K14" s="19">
        <v>138.0</v>
      </c>
      <c r="L14" s="19">
        <v>143.0</v>
      </c>
      <c r="M14" s="19">
        <v>137.0</v>
      </c>
      <c r="N14" s="13">
        <f t="shared" ref="N14:N16" si="1">SUM(E14:M14)</f>
        <v>1232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135.0</v>
      </c>
      <c r="G15" s="19">
        <v>133.0</v>
      </c>
      <c r="H15" s="19">
        <v>146.0</v>
      </c>
      <c r="I15" s="19">
        <v>130.0</v>
      </c>
      <c r="J15" s="19">
        <v>132.0</v>
      </c>
      <c r="K15" s="19">
        <v>130.0</v>
      </c>
      <c r="L15" s="19">
        <v>143.0</v>
      </c>
      <c r="M15" s="19">
        <v>145.0</v>
      </c>
      <c r="N15" s="13">
        <f t="shared" si="1"/>
        <v>1227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268</v>
      </c>
      <c r="F16" s="13">
        <f t="shared" si="2"/>
        <v>256</v>
      </c>
      <c r="G16" s="13">
        <f t="shared" si="2"/>
        <v>275</v>
      </c>
      <c r="H16" s="13">
        <f t="shared" si="2"/>
        <v>286</v>
      </c>
      <c r="I16" s="13">
        <f t="shared" si="2"/>
        <v>258</v>
      </c>
      <c r="J16" s="13">
        <f t="shared" si="2"/>
        <v>280</v>
      </c>
      <c r="K16" s="13">
        <f t="shared" si="2"/>
        <v>268</v>
      </c>
      <c r="L16" s="13">
        <f t="shared" si="2"/>
        <v>286</v>
      </c>
      <c r="M16" s="13">
        <f t="shared" si="2"/>
        <v>282</v>
      </c>
      <c r="N16" s="13">
        <f t="shared" si="1"/>
        <v>2459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108.0</v>
      </c>
      <c r="F19" s="19">
        <v>103.0</v>
      </c>
      <c r="G19" s="19">
        <v>108.0</v>
      </c>
      <c r="H19" s="19">
        <v>115.0</v>
      </c>
      <c r="I19" s="19">
        <v>101.0</v>
      </c>
      <c r="J19" s="19">
        <v>122.0</v>
      </c>
      <c r="K19" s="19">
        <v>101.0</v>
      </c>
      <c r="L19" s="19">
        <v>98.0</v>
      </c>
      <c r="M19" s="19">
        <v>98.0</v>
      </c>
      <c r="N19" s="13">
        <f t="shared" ref="N19:N30" si="3">SUM(E19:M19)</f>
        <v>954</v>
      </c>
    </row>
    <row r="20" ht="12.75" customHeight="1">
      <c r="A20" s="34"/>
      <c r="B20" s="27"/>
      <c r="C20" s="35"/>
      <c r="D20" s="19" t="s">
        <v>13</v>
      </c>
      <c r="E20" s="19">
        <v>112.0</v>
      </c>
      <c r="F20" s="19">
        <v>119.0</v>
      </c>
      <c r="G20" s="19">
        <v>113.0</v>
      </c>
      <c r="H20" s="19">
        <v>128.0</v>
      </c>
      <c r="I20" s="19">
        <v>107.0</v>
      </c>
      <c r="J20" s="19">
        <v>117.0</v>
      </c>
      <c r="K20" s="19">
        <v>107.0</v>
      </c>
      <c r="L20" s="19">
        <v>114.0</v>
      </c>
      <c r="M20" s="19">
        <v>122.0</v>
      </c>
      <c r="N20" s="13">
        <f t="shared" si="3"/>
        <v>1039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220</v>
      </c>
      <c r="F21" s="13">
        <f t="shared" si="4"/>
        <v>222</v>
      </c>
      <c r="G21" s="13">
        <f t="shared" si="4"/>
        <v>221</v>
      </c>
      <c r="H21" s="13">
        <f t="shared" si="4"/>
        <v>243</v>
      </c>
      <c r="I21" s="13">
        <f t="shared" si="4"/>
        <v>208</v>
      </c>
      <c r="J21" s="13">
        <f t="shared" si="4"/>
        <v>239</v>
      </c>
      <c r="K21" s="13">
        <f t="shared" si="4"/>
        <v>208</v>
      </c>
      <c r="L21" s="13">
        <f t="shared" si="4"/>
        <v>212</v>
      </c>
      <c r="M21" s="13">
        <f t="shared" si="4"/>
        <v>220</v>
      </c>
      <c r="N21" s="13">
        <f t="shared" si="3"/>
        <v>1993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4.0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5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3.0</v>
      </c>
      <c r="G26" s="19">
        <v>3.0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3">
        <f t="shared" si="3"/>
        <v>10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4</v>
      </c>
      <c r="F27" s="13">
        <f t="shared" si="6"/>
        <v>7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3"/>
        <v>15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M28" si="7">SUM(E19,E22,E25)</f>
        <v>109</v>
      </c>
      <c r="F28" s="13">
        <f t="shared" si="7"/>
        <v>107</v>
      </c>
      <c r="G28" s="13">
        <f t="shared" si="7"/>
        <v>108</v>
      </c>
      <c r="H28" s="13">
        <f t="shared" si="7"/>
        <v>115</v>
      </c>
      <c r="I28" s="13">
        <f t="shared" si="7"/>
        <v>101</v>
      </c>
      <c r="J28" s="13">
        <f t="shared" si="7"/>
        <v>122</v>
      </c>
      <c r="K28" s="13">
        <f t="shared" si="7"/>
        <v>101</v>
      </c>
      <c r="L28" s="13">
        <f t="shared" si="7"/>
        <v>98</v>
      </c>
      <c r="M28" s="13">
        <f t="shared" si="7"/>
        <v>98</v>
      </c>
      <c r="N28" s="13">
        <f t="shared" si="3"/>
        <v>959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115</v>
      </c>
      <c r="F29" s="13">
        <f t="shared" si="8"/>
        <v>123</v>
      </c>
      <c r="G29" s="13">
        <f t="shared" si="8"/>
        <v>116</v>
      </c>
      <c r="H29" s="13">
        <f t="shared" si="8"/>
        <v>128</v>
      </c>
      <c r="I29" s="13">
        <f t="shared" si="8"/>
        <v>107</v>
      </c>
      <c r="J29" s="13">
        <f t="shared" si="8"/>
        <v>117</v>
      </c>
      <c r="K29" s="13">
        <f t="shared" si="8"/>
        <v>107</v>
      </c>
      <c r="L29" s="13">
        <f t="shared" si="8"/>
        <v>115</v>
      </c>
      <c r="M29" s="13">
        <f t="shared" si="8"/>
        <v>122</v>
      </c>
      <c r="N29" s="13">
        <f t="shared" si="3"/>
        <v>1050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224</v>
      </c>
      <c r="F30" s="13">
        <f t="shared" si="9"/>
        <v>230</v>
      </c>
      <c r="G30" s="13">
        <f t="shared" si="9"/>
        <v>224</v>
      </c>
      <c r="H30" s="13">
        <f t="shared" si="9"/>
        <v>243</v>
      </c>
      <c r="I30" s="13">
        <f t="shared" si="9"/>
        <v>208</v>
      </c>
      <c r="J30" s="13">
        <f t="shared" si="9"/>
        <v>239</v>
      </c>
      <c r="K30" s="13">
        <f t="shared" si="9"/>
        <v>208</v>
      </c>
      <c r="L30" s="13">
        <f t="shared" si="9"/>
        <v>213</v>
      </c>
      <c r="M30" s="13">
        <f t="shared" si="9"/>
        <v>220</v>
      </c>
      <c r="N30" s="13">
        <f t="shared" si="3"/>
        <v>2009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0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263.0</v>
      </c>
      <c r="G33" s="19">
        <v>281.0</v>
      </c>
      <c r="H33" s="19">
        <v>292.0</v>
      </c>
      <c r="I33" s="19">
        <v>264.0</v>
      </c>
      <c r="J33" s="19">
        <v>286.0</v>
      </c>
      <c r="K33" s="19">
        <v>274.0</v>
      </c>
      <c r="L33" s="19">
        <v>292.0</v>
      </c>
      <c r="M33" s="19">
        <v>289.0</v>
      </c>
      <c r="N33" s="13">
        <f t="shared" ref="N33:N36" si="10">SUM(E33:M33)</f>
        <v>2515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230.0</v>
      </c>
      <c r="G34" s="13">
        <v>224.0</v>
      </c>
      <c r="H34" s="13">
        <v>243.0</v>
      </c>
      <c r="I34" s="13">
        <v>208.0</v>
      </c>
      <c r="J34" s="13">
        <v>239.0</v>
      </c>
      <c r="K34" s="13">
        <v>208.0</v>
      </c>
      <c r="L34" s="13">
        <v>213.0</v>
      </c>
      <c r="M34" s="13">
        <v>220.0</v>
      </c>
      <c r="N34" s="13">
        <f t="shared" si="10"/>
        <v>2009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2.0</v>
      </c>
      <c r="M35" s="19">
        <v>1.0</v>
      </c>
      <c r="N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50</v>
      </c>
      <c r="F36" s="13">
        <f t="shared" si="11"/>
        <v>33</v>
      </c>
      <c r="G36" s="13">
        <f t="shared" si="11"/>
        <v>56</v>
      </c>
      <c r="H36" s="13">
        <f t="shared" si="11"/>
        <v>49</v>
      </c>
      <c r="I36" s="13">
        <f t="shared" si="11"/>
        <v>56</v>
      </c>
      <c r="J36" s="13">
        <f t="shared" si="11"/>
        <v>47</v>
      </c>
      <c r="K36" s="13">
        <f t="shared" si="11"/>
        <v>66</v>
      </c>
      <c r="L36" s="13">
        <f t="shared" si="11"/>
        <v>77</v>
      </c>
      <c r="M36" s="13">
        <f t="shared" si="11"/>
        <v>68</v>
      </c>
      <c r="N36" s="13">
        <f t="shared" si="10"/>
        <v>502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2.0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1.0</v>
      </c>
      <c r="N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3</v>
      </c>
      <c r="N41" s="13">
        <f t="shared" si="12"/>
        <v>5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5.0</v>
      </c>
      <c r="F45" s="19">
        <v>12.0</v>
      </c>
      <c r="G45" s="19">
        <v>6.0</v>
      </c>
      <c r="H45" s="19">
        <v>4.0</v>
      </c>
      <c r="I45" s="19">
        <v>7.0</v>
      </c>
      <c r="J45" s="19">
        <v>13.0</v>
      </c>
      <c r="K45" s="19">
        <v>12.0</v>
      </c>
      <c r="L45" s="19">
        <v>23.0</v>
      </c>
      <c r="M45" s="19">
        <v>14.0</v>
      </c>
      <c r="N45" s="13">
        <f t="shared" ref="N45:N55" si="14">SUM(E45:M45)</f>
        <v>96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45.0</v>
      </c>
      <c r="F46" s="19">
        <v>34.0</v>
      </c>
      <c r="G46" s="19">
        <v>12.0</v>
      </c>
      <c r="H46" s="19">
        <v>20.0</v>
      </c>
      <c r="I46" s="19">
        <v>30.0</v>
      </c>
      <c r="J46" s="19">
        <v>30.0</v>
      </c>
      <c r="K46" s="19">
        <v>47.0</v>
      </c>
      <c r="L46" s="19">
        <v>38.0</v>
      </c>
      <c r="M46" s="19">
        <v>18.0</v>
      </c>
      <c r="N46" s="13">
        <f t="shared" si="14"/>
        <v>274</v>
      </c>
    </row>
    <row r="47" ht="12.75" customHeight="1">
      <c r="A47" s="18"/>
      <c r="B47" s="57">
        <v>2.0</v>
      </c>
      <c r="C47" s="52" t="s">
        <v>41</v>
      </c>
      <c r="D47" s="16"/>
      <c r="E47" s="19">
        <v>7.0</v>
      </c>
      <c r="F47" s="19">
        <v>9.0</v>
      </c>
      <c r="G47" s="19">
        <v>0.0</v>
      </c>
      <c r="H47" s="19">
        <v>3.0</v>
      </c>
      <c r="I47" s="19">
        <v>1.0</v>
      </c>
      <c r="J47" s="19">
        <v>1.0</v>
      </c>
      <c r="K47" s="19">
        <v>5.0</v>
      </c>
      <c r="L47" s="19">
        <v>5.0</v>
      </c>
      <c r="M47" s="19">
        <v>3.0</v>
      </c>
      <c r="N47" s="13">
        <f t="shared" si="14"/>
        <v>34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1.0</v>
      </c>
      <c r="G48" s="19">
        <v>1.0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0.0</v>
      </c>
      <c r="N48" s="13">
        <f t="shared" si="14"/>
        <v>3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2.0</v>
      </c>
      <c r="J49" s="19">
        <v>0.0</v>
      </c>
      <c r="K49" s="19">
        <v>1.0</v>
      </c>
      <c r="L49" s="19">
        <v>1.0</v>
      </c>
      <c r="M49" s="19">
        <v>1.0</v>
      </c>
      <c r="N49" s="13">
        <f t="shared" si="14"/>
        <v>5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1.0</v>
      </c>
      <c r="N50" s="13">
        <f t="shared" si="14"/>
        <v>2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1.0</v>
      </c>
      <c r="M51" s="19">
        <v>1.0</v>
      </c>
      <c r="N51" s="13">
        <f t="shared" si="14"/>
        <v>3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0.0</v>
      </c>
      <c r="M52" s="19">
        <v>0.0</v>
      </c>
      <c r="N52" s="13">
        <f t="shared" si="14"/>
        <v>1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M55" si="15">SUM(E45:E52)</f>
        <v>57</v>
      </c>
      <c r="F55" s="13">
        <f t="shared" si="15"/>
        <v>56</v>
      </c>
      <c r="G55" s="13">
        <f t="shared" si="15"/>
        <v>19</v>
      </c>
      <c r="H55" s="13">
        <f t="shared" si="15"/>
        <v>27</v>
      </c>
      <c r="I55" s="13">
        <f t="shared" si="15"/>
        <v>40</v>
      </c>
      <c r="J55" s="13">
        <f t="shared" si="15"/>
        <v>45</v>
      </c>
      <c r="K55" s="13">
        <f t="shared" si="15"/>
        <v>66</v>
      </c>
      <c r="L55" s="13">
        <f t="shared" si="15"/>
        <v>70</v>
      </c>
      <c r="M55" s="13">
        <f t="shared" si="15"/>
        <v>38</v>
      </c>
      <c r="N55" s="13">
        <f t="shared" si="14"/>
        <v>418</v>
      </c>
    </row>
    <row r="56" ht="12.75" customHeight="1">
      <c r="A56" s="47"/>
      <c r="B56" s="46"/>
      <c r="C56" s="46"/>
      <c r="D56" s="46"/>
      <c r="E56" s="46"/>
      <c r="N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10.0</v>
      </c>
      <c r="F57" s="19">
        <v>8.0</v>
      </c>
      <c r="G57" s="19">
        <v>13.0</v>
      </c>
      <c r="H57" s="19">
        <v>19.0</v>
      </c>
      <c r="I57" s="19">
        <v>14.0</v>
      </c>
      <c r="J57" s="19">
        <v>10.0</v>
      </c>
      <c r="K57" s="19">
        <v>23.0</v>
      </c>
      <c r="L57" s="19">
        <v>7.0</v>
      </c>
      <c r="M57" s="19">
        <v>9.0</v>
      </c>
      <c r="N57" s="13">
        <f t="shared" ref="N57:N67" si="16">SUM(E57:M57)</f>
        <v>113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31.0</v>
      </c>
      <c r="F58" s="19">
        <v>22.0</v>
      </c>
      <c r="G58" s="19">
        <v>6.0</v>
      </c>
      <c r="H58" s="19">
        <v>12.0</v>
      </c>
      <c r="I58" s="19">
        <v>7.0</v>
      </c>
      <c r="J58" s="19">
        <v>10.0</v>
      </c>
      <c r="K58" s="19">
        <v>47.0</v>
      </c>
      <c r="L58" s="19">
        <v>34.0</v>
      </c>
      <c r="M58" s="19">
        <v>7.0</v>
      </c>
      <c r="N58" s="13">
        <f t="shared" si="16"/>
        <v>176</v>
      </c>
    </row>
    <row r="59" ht="12.75" customHeight="1">
      <c r="A59" s="18"/>
      <c r="B59" s="57">
        <v>2.0</v>
      </c>
      <c r="C59" s="52" t="s">
        <v>50</v>
      </c>
      <c r="D59" s="58"/>
      <c r="E59" s="19">
        <v>8.0</v>
      </c>
      <c r="F59" s="19">
        <v>1.0</v>
      </c>
      <c r="G59" s="19">
        <v>5.0</v>
      </c>
      <c r="H59" s="19">
        <v>4.0</v>
      </c>
      <c r="I59" s="19">
        <v>1.0</v>
      </c>
      <c r="J59" s="19">
        <v>3.0</v>
      </c>
      <c r="K59" s="19">
        <v>5.0</v>
      </c>
      <c r="L59" s="19">
        <v>9.0</v>
      </c>
      <c r="M59" s="19">
        <v>1.0</v>
      </c>
      <c r="N59" s="13">
        <f t="shared" si="16"/>
        <v>37</v>
      </c>
    </row>
    <row r="60" ht="12.75" customHeight="1">
      <c r="A60" s="18"/>
      <c r="B60" s="57">
        <v>3.0</v>
      </c>
      <c r="C60" s="52" t="s">
        <v>51</v>
      </c>
      <c r="D60" s="58"/>
      <c r="E60" s="19">
        <v>2.0</v>
      </c>
      <c r="F60" s="19">
        <v>0.0</v>
      </c>
      <c r="G60" s="19">
        <v>1.0</v>
      </c>
      <c r="H60" s="19">
        <v>1.0</v>
      </c>
      <c r="I60" s="19">
        <v>0.0</v>
      </c>
      <c r="J60" s="19">
        <v>0.0</v>
      </c>
      <c r="K60" s="19">
        <v>2.0</v>
      </c>
      <c r="L60" s="19">
        <v>2.0</v>
      </c>
      <c r="M60" s="19">
        <v>0.0</v>
      </c>
      <c r="N60" s="13">
        <f t="shared" si="16"/>
        <v>8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0.0</v>
      </c>
      <c r="G61" s="19">
        <v>0.0</v>
      </c>
      <c r="H61" s="19">
        <v>2.0</v>
      </c>
      <c r="I61" s="19">
        <v>0.0</v>
      </c>
      <c r="J61" s="19">
        <v>0.0</v>
      </c>
      <c r="K61" s="19">
        <v>0.0</v>
      </c>
      <c r="L61" s="19">
        <v>0.0</v>
      </c>
      <c r="M61" s="19">
        <v>1.0</v>
      </c>
      <c r="N61" s="13">
        <f t="shared" si="16"/>
        <v>3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3">
        <f t="shared" si="16"/>
        <v>1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2.0</v>
      </c>
      <c r="N63" s="13">
        <f t="shared" si="16"/>
        <v>3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3">
        <f t="shared" si="16"/>
        <v>1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M67" si="17">SUM(E57:E64)</f>
        <v>51</v>
      </c>
      <c r="F67" s="13">
        <f t="shared" si="17"/>
        <v>32</v>
      </c>
      <c r="G67" s="13">
        <f t="shared" si="17"/>
        <v>26</v>
      </c>
      <c r="H67" s="13">
        <f t="shared" si="17"/>
        <v>38</v>
      </c>
      <c r="I67" s="13">
        <f t="shared" si="17"/>
        <v>22</v>
      </c>
      <c r="J67" s="13">
        <f t="shared" si="17"/>
        <v>24</v>
      </c>
      <c r="K67" s="13">
        <f t="shared" si="17"/>
        <v>77</v>
      </c>
      <c r="L67" s="13">
        <f t="shared" si="17"/>
        <v>52</v>
      </c>
      <c r="M67" s="13">
        <f t="shared" si="17"/>
        <v>20</v>
      </c>
      <c r="N67" s="13">
        <f t="shared" si="16"/>
        <v>342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3.0</v>
      </c>
      <c r="F69" s="19">
        <v>1.0</v>
      </c>
      <c r="G69" s="19">
        <v>6.0</v>
      </c>
      <c r="H69" s="19">
        <v>4.0</v>
      </c>
      <c r="I69" s="19">
        <v>3.0</v>
      </c>
      <c r="J69" s="19">
        <v>3.0</v>
      </c>
      <c r="K69" s="19">
        <v>1.0</v>
      </c>
      <c r="L69" s="19">
        <v>2.0</v>
      </c>
      <c r="M69" s="19">
        <v>8.0</v>
      </c>
      <c r="N69" s="13">
        <f t="shared" ref="N69:N79" si="18">SUM(E69:M69)</f>
        <v>31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7.0</v>
      </c>
      <c r="F70" s="19">
        <v>10.0</v>
      </c>
      <c r="G70" s="19">
        <v>4.0</v>
      </c>
      <c r="H70" s="19">
        <v>1.0</v>
      </c>
      <c r="I70" s="19">
        <v>5.0</v>
      </c>
      <c r="J70" s="19">
        <v>4.0</v>
      </c>
      <c r="K70" s="19">
        <v>1.0</v>
      </c>
      <c r="L70" s="19">
        <v>7.0</v>
      </c>
      <c r="M70" s="19">
        <v>3.0</v>
      </c>
      <c r="N70" s="13">
        <f t="shared" si="18"/>
        <v>42</v>
      </c>
    </row>
    <row r="71" ht="12.75" customHeight="1">
      <c r="A71" s="18"/>
      <c r="B71" s="57">
        <v>2.0</v>
      </c>
      <c r="C71" s="52" t="s">
        <v>58</v>
      </c>
      <c r="D71" s="60"/>
      <c r="E71" s="19">
        <v>2.0</v>
      </c>
      <c r="F71" s="19">
        <v>0.0</v>
      </c>
      <c r="G71" s="19">
        <v>1.0</v>
      </c>
      <c r="H71" s="19">
        <v>0.0</v>
      </c>
      <c r="I71" s="19">
        <v>1.0</v>
      </c>
      <c r="J71" s="19">
        <v>1.0</v>
      </c>
      <c r="K71" s="19">
        <v>2.0</v>
      </c>
      <c r="L71" s="19">
        <v>3.0</v>
      </c>
      <c r="M71" s="19">
        <v>5.0</v>
      </c>
      <c r="N71" s="13">
        <f t="shared" si="18"/>
        <v>15</v>
      </c>
    </row>
    <row r="72" ht="12.75" customHeight="1">
      <c r="A72" s="18"/>
      <c r="B72" s="57">
        <v>3.0</v>
      </c>
      <c r="C72" s="52" t="s">
        <v>59</v>
      </c>
      <c r="D72" s="60"/>
      <c r="E72" s="19">
        <v>0.0</v>
      </c>
      <c r="F72" s="19">
        <v>1.0</v>
      </c>
      <c r="G72" s="19">
        <v>14.0</v>
      </c>
      <c r="H72" s="19">
        <v>4.0</v>
      </c>
      <c r="I72" s="19">
        <v>0.0</v>
      </c>
      <c r="J72" s="19">
        <v>0.0</v>
      </c>
      <c r="K72" s="19">
        <v>0.0</v>
      </c>
      <c r="L72" s="19">
        <v>2.0</v>
      </c>
      <c r="M72" s="19">
        <v>35.0</v>
      </c>
      <c r="N72" s="13">
        <f t="shared" si="18"/>
        <v>56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0.0</v>
      </c>
      <c r="G73" s="19">
        <v>0.0</v>
      </c>
      <c r="H73" s="19">
        <v>1.0</v>
      </c>
      <c r="I73" s="19">
        <v>0.0</v>
      </c>
      <c r="J73" s="19">
        <v>2.0</v>
      </c>
      <c r="K73" s="19">
        <v>0.0</v>
      </c>
      <c r="L73" s="19">
        <v>0.0</v>
      </c>
      <c r="M73" s="19">
        <v>0.0</v>
      </c>
      <c r="N73" s="13">
        <f t="shared" si="18"/>
        <v>3</v>
      </c>
    </row>
    <row r="74" ht="12.75" customHeight="1">
      <c r="A74" s="18"/>
      <c r="B74" s="57">
        <v>5.0</v>
      </c>
      <c r="C74" s="52" t="s">
        <v>61</v>
      </c>
      <c r="D74" s="60"/>
      <c r="E74" s="19">
        <v>2.0</v>
      </c>
      <c r="F74" s="19">
        <v>1.0</v>
      </c>
      <c r="G74" s="19">
        <v>0.0</v>
      </c>
      <c r="H74" s="19">
        <v>1.0</v>
      </c>
      <c r="I74" s="19">
        <v>2.0</v>
      </c>
      <c r="J74" s="19">
        <v>0.0</v>
      </c>
      <c r="K74" s="19">
        <v>0.0</v>
      </c>
      <c r="L74" s="19">
        <v>0.0</v>
      </c>
      <c r="M74" s="19">
        <v>1.0</v>
      </c>
      <c r="N74" s="13">
        <f t="shared" si="18"/>
        <v>7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1.0</v>
      </c>
      <c r="N75" s="13">
        <f t="shared" si="18"/>
        <v>3</v>
      </c>
    </row>
    <row r="76" ht="12.75" customHeight="1">
      <c r="A76" s="18"/>
      <c r="B76" s="57">
        <v>7.0</v>
      </c>
      <c r="C76" s="52" t="s">
        <v>63</v>
      </c>
      <c r="D76" s="60"/>
      <c r="E76" s="19">
        <v>4.0</v>
      </c>
      <c r="F76" s="19">
        <v>6.0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3">
        <f t="shared" si="18"/>
        <v>10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M79" si="19">SUM(E69:E76)</f>
        <v>18</v>
      </c>
      <c r="F79" s="13">
        <f t="shared" si="19"/>
        <v>20</v>
      </c>
      <c r="G79" s="13">
        <f t="shared" si="19"/>
        <v>25</v>
      </c>
      <c r="H79" s="13">
        <f t="shared" si="19"/>
        <v>11</v>
      </c>
      <c r="I79" s="13">
        <f t="shared" si="19"/>
        <v>11</v>
      </c>
      <c r="J79" s="13">
        <f t="shared" si="19"/>
        <v>10</v>
      </c>
      <c r="K79" s="13">
        <f t="shared" si="19"/>
        <v>4</v>
      </c>
      <c r="L79" s="13">
        <f t="shared" si="19"/>
        <v>15</v>
      </c>
      <c r="M79" s="13">
        <f t="shared" si="19"/>
        <v>53</v>
      </c>
      <c r="N79" s="13">
        <f t="shared" si="18"/>
        <v>167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4.0</v>
      </c>
      <c r="F81" s="19">
        <v>0.0</v>
      </c>
      <c r="G81" s="19">
        <v>9.0</v>
      </c>
      <c r="H81" s="19">
        <v>4.0</v>
      </c>
      <c r="I81" s="19">
        <v>5.0</v>
      </c>
      <c r="J81" s="19">
        <v>3.0</v>
      </c>
      <c r="K81" s="19">
        <v>4.0</v>
      </c>
      <c r="L81" s="19">
        <v>5.0</v>
      </c>
      <c r="M81" s="19">
        <v>4.0</v>
      </c>
      <c r="N81" s="13">
        <f t="shared" ref="N81:N91" si="20">SUM(E81:M81)</f>
        <v>38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21.0</v>
      </c>
      <c r="F82" s="19">
        <v>35.0</v>
      </c>
      <c r="G82" s="19">
        <v>57.0</v>
      </c>
      <c r="H82" s="19">
        <v>16.0</v>
      </c>
      <c r="I82" s="19">
        <v>35.0</v>
      </c>
      <c r="J82" s="19">
        <v>47.0</v>
      </c>
      <c r="K82" s="19">
        <v>15.0</v>
      </c>
      <c r="L82" s="19">
        <v>9.0</v>
      </c>
      <c r="M82" s="19">
        <v>12.0</v>
      </c>
      <c r="N82" s="13">
        <f t="shared" si="20"/>
        <v>247</v>
      </c>
    </row>
    <row r="83" ht="12.75" customHeight="1">
      <c r="A83" s="18"/>
      <c r="B83" s="57">
        <v>2.0</v>
      </c>
      <c r="C83" s="52" t="s">
        <v>66</v>
      </c>
      <c r="D83" s="60"/>
      <c r="E83" s="19">
        <v>3.0</v>
      </c>
      <c r="F83" s="19">
        <v>2.0</v>
      </c>
      <c r="G83" s="19">
        <v>1.0</v>
      </c>
      <c r="H83" s="19">
        <v>1.0</v>
      </c>
      <c r="I83" s="19">
        <v>6.0</v>
      </c>
      <c r="J83" s="19">
        <v>1.0</v>
      </c>
      <c r="K83" s="19">
        <v>0.0</v>
      </c>
      <c r="L83" s="19">
        <v>1.0</v>
      </c>
      <c r="M83" s="19">
        <v>6.0</v>
      </c>
      <c r="N83" s="13">
        <f t="shared" si="20"/>
        <v>21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2.0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3.0</v>
      </c>
      <c r="N84" s="13">
        <f t="shared" si="20"/>
        <v>6</v>
      </c>
    </row>
    <row r="85" ht="12.75" customHeight="1">
      <c r="A85" s="18"/>
      <c r="B85" s="57">
        <v>4.0</v>
      </c>
      <c r="C85" s="52" t="s">
        <v>68</v>
      </c>
      <c r="D85" s="60"/>
      <c r="E85" s="19">
        <v>1.0</v>
      </c>
      <c r="F85" s="19">
        <v>3.0</v>
      </c>
      <c r="G85" s="19">
        <v>3.0</v>
      </c>
      <c r="H85" s="19">
        <v>2.0</v>
      </c>
      <c r="I85" s="19">
        <v>2.0</v>
      </c>
      <c r="J85" s="19">
        <v>3.0</v>
      </c>
      <c r="K85" s="19">
        <v>3.0</v>
      </c>
      <c r="L85" s="19">
        <v>4.0</v>
      </c>
      <c r="M85" s="19">
        <v>1.0</v>
      </c>
      <c r="N85" s="13">
        <f t="shared" si="20"/>
        <v>22</v>
      </c>
    </row>
    <row r="86" ht="12.75" customHeight="1">
      <c r="A86" s="18"/>
      <c r="B86" s="57">
        <v>5.0</v>
      </c>
      <c r="C86" s="52" t="s">
        <v>69</v>
      </c>
      <c r="D86" s="60"/>
      <c r="E86" s="19">
        <v>1.0</v>
      </c>
      <c r="F86" s="19">
        <v>3.0</v>
      </c>
      <c r="G86" s="19">
        <v>1.0</v>
      </c>
      <c r="H86" s="19">
        <v>4.0</v>
      </c>
      <c r="I86" s="19">
        <v>4.0</v>
      </c>
      <c r="J86" s="19">
        <v>0.0</v>
      </c>
      <c r="K86" s="19">
        <v>3.0</v>
      </c>
      <c r="L86" s="19">
        <v>2.0</v>
      </c>
      <c r="M86" s="19">
        <v>4.0</v>
      </c>
      <c r="N86" s="13">
        <f t="shared" si="20"/>
        <v>22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1.0</v>
      </c>
      <c r="N87" s="13">
        <f t="shared" si="20"/>
        <v>2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1.0</v>
      </c>
      <c r="N88" s="13">
        <f t="shared" si="20"/>
        <v>1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M91" si="21">SUM(E81:E88)</f>
        <v>30</v>
      </c>
      <c r="F91" s="13">
        <f t="shared" si="21"/>
        <v>43</v>
      </c>
      <c r="G91" s="13">
        <f t="shared" si="21"/>
        <v>73</v>
      </c>
      <c r="H91" s="13">
        <f t="shared" si="21"/>
        <v>27</v>
      </c>
      <c r="I91" s="13">
        <f t="shared" si="21"/>
        <v>54</v>
      </c>
      <c r="J91" s="13">
        <f t="shared" si="21"/>
        <v>54</v>
      </c>
      <c r="K91" s="13">
        <f t="shared" si="21"/>
        <v>25</v>
      </c>
      <c r="L91" s="13">
        <f t="shared" si="21"/>
        <v>21</v>
      </c>
      <c r="M91" s="13">
        <f t="shared" si="21"/>
        <v>32</v>
      </c>
      <c r="N91" s="13">
        <f t="shared" si="20"/>
        <v>359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2.0</v>
      </c>
      <c r="F93" s="19">
        <v>0.0</v>
      </c>
      <c r="G93" s="19">
        <v>6.0</v>
      </c>
      <c r="H93" s="19">
        <v>4.0</v>
      </c>
      <c r="I93" s="19">
        <v>4.0</v>
      </c>
      <c r="J93" s="19">
        <v>1.0</v>
      </c>
      <c r="K93" s="19">
        <v>0.0</v>
      </c>
      <c r="L93" s="19">
        <v>0.0</v>
      </c>
      <c r="M93" s="19">
        <v>3.0</v>
      </c>
      <c r="N93" s="13">
        <f t="shared" ref="N93:N103" si="22">SUM(E93:M93)</f>
        <v>20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1.0</v>
      </c>
      <c r="F94" s="19">
        <v>1.0</v>
      </c>
      <c r="G94" s="19">
        <v>2.0</v>
      </c>
      <c r="H94" s="19">
        <v>4.0</v>
      </c>
      <c r="I94" s="19">
        <v>0.0</v>
      </c>
      <c r="J94" s="19">
        <v>3.0</v>
      </c>
      <c r="K94" s="19">
        <v>0.0</v>
      </c>
      <c r="L94" s="19">
        <v>1.0</v>
      </c>
      <c r="M94" s="19">
        <v>1.0</v>
      </c>
      <c r="N94" s="13">
        <f t="shared" si="22"/>
        <v>13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9.0</v>
      </c>
      <c r="G95" s="19">
        <v>1.0</v>
      </c>
      <c r="H95" s="19">
        <v>4.0</v>
      </c>
      <c r="I95" s="19">
        <v>10.0</v>
      </c>
      <c r="J95" s="19">
        <v>21.0</v>
      </c>
      <c r="K95" s="19">
        <v>1.0</v>
      </c>
      <c r="L95" s="19">
        <v>0.0</v>
      </c>
      <c r="M95" s="19">
        <v>0.0</v>
      </c>
      <c r="N95" s="13">
        <f t="shared" si="22"/>
        <v>46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2.0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3">
        <f t="shared" si="22"/>
        <v>2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0.0</v>
      </c>
      <c r="G97" s="19">
        <v>6.0</v>
      </c>
      <c r="H97" s="19">
        <v>5.0</v>
      </c>
      <c r="I97" s="19">
        <v>1.0</v>
      </c>
      <c r="J97" s="19">
        <v>1.0</v>
      </c>
      <c r="K97" s="19">
        <v>0.0</v>
      </c>
      <c r="L97" s="19">
        <v>0.0</v>
      </c>
      <c r="M97" s="19">
        <v>2.0</v>
      </c>
      <c r="N97" s="13">
        <f t="shared" si="22"/>
        <v>15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3.0</v>
      </c>
      <c r="K98" s="19">
        <v>0.0</v>
      </c>
      <c r="L98" s="19">
        <v>0.0</v>
      </c>
      <c r="M98" s="19">
        <v>0.0</v>
      </c>
      <c r="N98" s="13">
        <f t="shared" si="22"/>
        <v>4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0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M103" si="23">SUM(E93:E100)</f>
        <v>3</v>
      </c>
      <c r="F103" s="13">
        <f t="shared" si="23"/>
        <v>10</v>
      </c>
      <c r="G103" s="13">
        <f t="shared" si="23"/>
        <v>18</v>
      </c>
      <c r="H103" s="13">
        <f t="shared" si="23"/>
        <v>17</v>
      </c>
      <c r="I103" s="13">
        <f t="shared" si="23"/>
        <v>15</v>
      </c>
      <c r="J103" s="13">
        <f t="shared" si="23"/>
        <v>29</v>
      </c>
      <c r="K103" s="13">
        <f t="shared" si="23"/>
        <v>1</v>
      </c>
      <c r="L103" s="13">
        <f t="shared" si="23"/>
        <v>1</v>
      </c>
      <c r="M103" s="13">
        <f t="shared" si="23"/>
        <v>6</v>
      </c>
      <c r="N103" s="13">
        <f t="shared" si="22"/>
        <v>100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1.0</v>
      </c>
      <c r="G105" s="19">
        <v>1.0</v>
      </c>
      <c r="H105" s="19">
        <v>0.0</v>
      </c>
      <c r="I105" s="19">
        <v>0.0</v>
      </c>
      <c r="J105" s="19">
        <v>1.0</v>
      </c>
      <c r="K105" s="19">
        <v>0.0</v>
      </c>
      <c r="L105" s="19">
        <v>1.0</v>
      </c>
      <c r="M105" s="19">
        <v>0.0</v>
      </c>
      <c r="N105" s="13">
        <f t="shared" ref="N105:N115" si="24">SUM(E105:M105)</f>
        <v>4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3">
        <f t="shared" si="24"/>
        <v>2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1.0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3">
        <f t="shared" si="24"/>
        <v>2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1.0</v>
      </c>
      <c r="K108" s="19">
        <v>0.0</v>
      </c>
      <c r="L108" s="19">
        <v>0.0</v>
      </c>
      <c r="M108" s="19">
        <v>0.0</v>
      </c>
      <c r="N108" s="13">
        <f t="shared" si="24"/>
        <v>1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3">
        <f t="shared" si="24"/>
        <v>1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1.0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M115" si="25">SUM(E105:E112)</f>
        <v>0</v>
      </c>
      <c r="F115" s="13">
        <f t="shared" si="25"/>
        <v>1</v>
      </c>
      <c r="G115" s="13">
        <f t="shared" si="25"/>
        <v>2</v>
      </c>
      <c r="H115" s="13">
        <f t="shared" si="25"/>
        <v>2</v>
      </c>
      <c r="I115" s="13">
        <f t="shared" si="25"/>
        <v>1</v>
      </c>
      <c r="J115" s="13">
        <f t="shared" si="25"/>
        <v>3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4"/>
        <v>11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5.0</v>
      </c>
      <c r="F117" s="19">
        <v>1.0</v>
      </c>
      <c r="G117" s="19">
        <v>0.0</v>
      </c>
      <c r="H117" s="19">
        <v>8.0</v>
      </c>
      <c r="I117" s="19">
        <v>3.0</v>
      </c>
      <c r="J117" s="19">
        <v>3.0</v>
      </c>
      <c r="K117" s="19">
        <v>0.0</v>
      </c>
      <c r="L117" s="19">
        <v>3.0</v>
      </c>
      <c r="M117" s="19">
        <v>1.0</v>
      </c>
      <c r="N117" s="13">
        <f t="shared" ref="N117:N127" si="26">SUM(E117:M117)</f>
        <v>24</v>
      </c>
      <c r="O117" s="5"/>
      <c r="P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1.0</v>
      </c>
      <c r="F118" s="19">
        <v>3.0</v>
      </c>
      <c r="G118" s="19">
        <v>0.0</v>
      </c>
      <c r="H118" s="19">
        <v>2.0</v>
      </c>
      <c r="I118" s="19">
        <v>2.0</v>
      </c>
      <c r="J118" s="19">
        <v>2.0</v>
      </c>
      <c r="K118" s="19">
        <v>1.0</v>
      </c>
      <c r="L118" s="19">
        <v>2.0</v>
      </c>
      <c r="M118" s="19">
        <v>10.0</v>
      </c>
      <c r="N118" s="13">
        <f t="shared" si="26"/>
        <v>23</v>
      </c>
      <c r="O118" s="5"/>
      <c r="P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3">
        <f t="shared" si="26"/>
        <v>2</v>
      </c>
      <c r="O119" s="5"/>
      <c r="P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3">
        <f t="shared" si="26"/>
        <v>0</v>
      </c>
      <c r="O120" s="5"/>
      <c r="P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3">
        <f t="shared" si="26"/>
        <v>0</v>
      </c>
      <c r="O121" s="5"/>
      <c r="P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3">
        <f t="shared" si="26"/>
        <v>0</v>
      </c>
      <c r="O122" s="5"/>
      <c r="P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13">
        <f t="shared" si="26"/>
        <v>0</v>
      </c>
      <c r="O123" s="5"/>
      <c r="P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13">
        <f t="shared" si="26"/>
        <v>0</v>
      </c>
      <c r="O124" s="5"/>
      <c r="P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13">
        <f t="shared" si="26"/>
        <v>0</v>
      </c>
      <c r="O125" s="5"/>
      <c r="P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13">
        <f t="shared" si="26"/>
        <v>0</v>
      </c>
      <c r="O126" s="5"/>
      <c r="P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M127" si="27">SUM(E117:E120)</f>
        <v>6</v>
      </c>
      <c r="F127" s="61">
        <f t="shared" si="27"/>
        <v>4</v>
      </c>
      <c r="G127" s="61">
        <f t="shared" si="27"/>
        <v>0</v>
      </c>
      <c r="H127" s="61">
        <f t="shared" si="27"/>
        <v>11</v>
      </c>
      <c r="I127" s="61">
        <f t="shared" si="27"/>
        <v>5</v>
      </c>
      <c r="J127" s="61">
        <f t="shared" si="27"/>
        <v>5</v>
      </c>
      <c r="K127" s="61">
        <f t="shared" si="27"/>
        <v>1</v>
      </c>
      <c r="L127" s="61">
        <f t="shared" si="27"/>
        <v>6</v>
      </c>
      <c r="M127" s="61">
        <f t="shared" si="27"/>
        <v>11</v>
      </c>
      <c r="N127" s="13">
        <f t="shared" si="26"/>
        <v>49</v>
      </c>
      <c r="O127" s="5"/>
      <c r="P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5"/>
      <c r="P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5.0</v>
      </c>
      <c r="F129" s="19">
        <v>1.0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1.0</v>
      </c>
      <c r="N129" s="13">
        <f t="shared" ref="N129:N139" si="28">SUM(E129:M129)</f>
        <v>8</v>
      </c>
      <c r="O129" s="5"/>
      <c r="P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4.0</v>
      </c>
      <c r="F130" s="19">
        <v>15.0</v>
      </c>
      <c r="G130" s="19">
        <v>4.0</v>
      </c>
      <c r="H130" s="19">
        <v>2.0</v>
      </c>
      <c r="I130" s="19">
        <v>1.0</v>
      </c>
      <c r="J130" s="19">
        <v>0.0</v>
      </c>
      <c r="K130" s="19">
        <v>1.0</v>
      </c>
      <c r="L130" s="19">
        <v>5.0</v>
      </c>
      <c r="M130" s="19">
        <v>1.0</v>
      </c>
      <c r="N130" s="13">
        <f t="shared" si="28"/>
        <v>33</v>
      </c>
      <c r="O130" s="1"/>
      <c r="P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3">
        <f t="shared" si="28"/>
        <v>2</v>
      </c>
      <c r="O131" s="54"/>
      <c r="P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3">
        <f t="shared" si="28"/>
        <v>0</v>
      </c>
      <c r="O132" s="5"/>
      <c r="P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0</v>
      </c>
      <c r="O133" s="5"/>
      <c r="P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3">
        <f t="shared" si="28"/>
        <v>1</v>
      </c>
      <c r="O134" s="5"/>
      <c r="P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3">
        <f t="shared" si="28"/>
        <v>1</v>
      </c>
      <c r="O135" s="5"/>
      <c r="P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0</v>
      </c>
      <c r="O136" s="5"/>
      <c r="P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3">
        <f t="shared" si="28"/>
        <v>0</v>
      </c>
      <c r="O137" s="5"/>
      <c r="P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3">
        <f t="shared" si="28"/>
        <v>0</v>
      </c>
      <c r="O138" s="5"/>
      <c r="P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M139" si="29">SUM(E129:E136)</f>
        <v>10</v>
      </c>
      <c r="F139" s="13">
        <f t="shared" si="29"/>
        <v>16</v>
      </c>
      <c r="G139" s="13">
        <f t="shared" si="29"/>
        <v>5</v>
      </c>
      <c r="H139" s="13">
        <f t="shared" si="29"/>
        <v>2</v>
      </c>
      <c r="I139" s="13">
        <f t="shared" si="29"/>
        <v>2</v>
      </c>
      <c r="J139" s="13">
        <f t="shared" si="29"/>
        <v>0</v>
      </c>
      <c r="K139" s="13">
        <f t="shared" si="29"/>
        <v>2</v>
      </c>
      <c r="L139" s="13">
        <f t="shared" si="29"/>
        <v>5</v>
      </c>
      <c r="M139" s="13">
        <f t="shared" si="29"/>
        <v>3</v>
      </c>
      <c r="N139" s="13">
        <f t="shared" si="28"/>
        <v>45</v>
      </c>
      <c r="O139" s="5"/>
      <c r="P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5"/>
      <c r="P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3">
        <f t="shared" ref="N141:N151" si="30">SUM(E141:M141)</f>
        <v>1</v>
      </c>
      <c r="O141" s="1"/>
      <c r="P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3">
        <f t="shared" si="30"/>
        <v>0</v>
      </c>
      <c r="O142" s="54"/>
      <c r="P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3">
        <f t="shared" si="30"/>
        <v>0</v>
      </c>
      <c r="O143" s="5"/>
      <c r="P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3">
        <f t="shared" si="30"/>
        <v>0</v>
      </c>
      <c r="O144" s="5"/>
      <c r="P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3">
        <f t="shared" si="30"/>
        <v>0</v>
      </c>
      <c r="O145" s="5"/>
      <c r="P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3">
        <f t="shared" si="30"/>
        <v>0</v>
      </c>
      <c r="O146" s="5"/>
      <c r="P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3">
        <f t="shared" si="30"/>
        <v>0</v>
      </c>
      <c r="O147" s="5"/>
      <c r="P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3">
        <f t="shared" si="30"/>
        <v>0</v>
      </c>
      <c r="O148" s="5"/>
      <c r="P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3">
        <f t="shared" si="30"/>
        <v>0</v>
      </c>
      <c r="O149" s="5"/>
      <c r="P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3">
        <f t="shared" si="30"/>
        <v>0</v>
      </c>
      <c r="O150" s="5"/>
      <c r="P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0"/>
        <v>1</v>
      </c>
      <c r="O151" s="1"/>
      <c r="P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13"/>
      <c r="O152" s="54"/>
      <c r="P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3">
        <f t="shared" ref="N153:N162" si="32">SUM(E153:M153)</f>
        <v>1</v>
      </c>
      <c r="O153" s="5"/>
      <c r="P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3">
        <f t="shared" si="32"/>
        <v>2</v>
      </c>
      <c r="O154" s="5"/>
      <c r="P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3">
        <f t="shared" si="32"/>
        <v>1</v>
      </c>
      <c r="O155" s="5"/>
      <c r="P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3">
        <f t="shared" si="32"/>
        <v>0</v>
      </c>
      <c r="O156" s="5"/>
      <c r="P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1.0</v>
      </c>
      <c r="M157" s="19">
        <v>0.0</v>
      </c>
      <c r="N157" s="13">
        <f t="shared" si="32"/>
        <v>1</v>
      </c>
      <c r="O157" s="5"/>
      <c r="P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3">
        <f t="shared" si="32"/>
        <v>0</v>
      </c>
      <c r="O158" s="5"/>
      <c r="P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3">
        <f t="shared" si="32"/>
        <v>0</v>
      </c>
      <c r="O159" s="5"/>
      <c r="P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3">
        <f t="shared" si="32"/>
        <v>0</v>
      </c>
      <c r="O160" s="5"/>
      <c r="P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  <c r="O161" s="5"/>
      <c r="P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3">
        <f t="shared" si="32"/>
        <v>0</v>
      </c>
      <c r="O162" s="5"/>
      <c r="P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M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2</v>
      </c>
      <c r="M163" s="13">
        <f t="shared" si="33"/>
        <v>0</v>
      </c>
      <c r="N163" s="13">
        <f>SUM(E164:M164)</f>
        <v>0</v>
      </c>
      <c r="O163" s="5"/>
      <c r="P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5"/>
      <c r="P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3">
        <f t="shared" ref="N165:N175" si="34">SUM(E165:M165)</f>
        <v>2</v>
      </c>
      <c r="O165" s="1"/>
      <c r="P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3">
        <f t="shared" si="34"/>
        <v>0</v>
      </c>
      <c r="O166" s="54"/>
      <c r="P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3">
        <f t="shared" si="34"/>
        <v>1</v>
      </c>
      <c r="O167" s="5"/>
      <c r="P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3">
        <f t="shared" si="34"/>
        <v>0</v>
      </c>
      <c r="O168" s="5"/>
      <c r="P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3">
        <f t="shared" si="34"/>
        <v>0</v>
      </c>
      <c r="O169" s="5"/>
      <c r="P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3">
        <f t="shared" si="34"/>
        <v>0</v>
      </c>
      <c r="O170" s="5"/>
      <c r="P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1.0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3">
        <f t="shared" si="34"/>
        <v>1</v>
      </c>
      <c r="O171" s="5"/>
      <c r="P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3">
        <f t="shared" si="34"/>
        <v>0</v>
      </c>
      <c r="O172" s="5"/>
      <c r="P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3">
        <f t="shared" si="34"/>
        <v>0</v>
      </c>
      <c r="O173" s="5"/>
      <c r="P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3">
        <f t="shared" si="34"/>
        <v>0</v>
      </c>
      <c r="O174" s="5"/>
      <c r="P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M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2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4"/>
        <v>4</v>
      </c>
      <c r="O175" s="5"/>
      <c r="P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1"/>
      <c r="P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4.0</v>
      </c>
      <c r="G177" s="19">
        <v>0.0</v>
      </c>
      <c r="H177" s="19">
        <v>1.0</v>
      </c>
      <c r="I177" s="19">
        <v>2.0</v>
      </c>
      <c r="J177" s="19">
        <v>0.0</v>
      </c>
      <c r="K177" s="19">
        <v>0.0</v>
      </c>
      <c r="L177" s="19">
        <v>0.0</v>
      </c>
      <c r="M177" s="19">
        <v>0.0</v>
      </c>
      <c r="N177" s="13">
        <f t="shared" ref="N177:N187" si="36">SUM(E177:M177)</f>
        <v>7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2.0</v>
      </c>
      <c r="F178" s="19">
        <v>3.0</v>
      </c>
      <c r="G178" s="19">
        <v>0.0</v>
      </c>
      <c r="H178" s="19">
        <v>2.0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3">
        <f t="shared" si="36"/>
        <v>8</v>
      </c>
      <c r="O178" s="5"/>
      <c r="P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3">
        <f t="shared" si="36"/>
        <v>1</v>
      </c>
      <c r="O179" s="5"/>
      <c r="P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3">
        <f t="shared" si="36"/>
        <v>0</v>
      </c>
      <c r="O180" s="5"/>
      <c r="P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6"/>
        <v>0</v>
      </c>
      <c r="O181" s="5"/>
      <c r="P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0</v>
      </c>
      <c r="O182" s="5"/>
      <c r="P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6"/>
        <v>0</v>
      </c>
      <c r="O183" s="5"/>
      <c r="P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3">
        <f t="shared" si="36"/>
        <v>0</v>
      </c>
      <c r="O184" s="5"/>
      <c r="P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3">
        <f t="shared" si="36"/>
        <v>0</v>
      </c>
      <c r="O185" s="5"/>
      <c r="P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M187" si="37">SUM(E177:E184)</f>
        <v>2</v>
      </c>
      <c r="F187" s="13">
        <f t="shared" si="37"/>
        <v>7</v>
      </c>
      <c r="G187" s="13">
        <f t="shared" si="37"/>
        <v>0</v>
      </c>
      <c r="H187" s="13">
        <f t="shared" si="37"/>
        <v>3</v>
      </c>
      <c r="I187" s="13">
        <f t="shared" si="37"/>
        <v>2</v>
      </c>
      <c r="J187" s="13">
        <f t="shared" si="37"/>
        <v>1</v>
      </c>
      <c r="K187" s="13">
        <f t="shared" si="37"/>
        <v>0</v>
      </c>
      <c r="L187" s="13">
        <f t="shared" si="37"/>
        <v>1</v>
      </c>
      <c r="M187" s="13">
        <f t="shared" si="37"/>
        <v>0</v>
      </c>
      <c r="N187" s="13">
        <f t="shared" si="36"/>
        <v>16</v>
      </c>
      <c r="O187" s="1"/>
      <c r="P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3">
        <f t="shared" ref="N189:N199" si="38">SUM(E189:M189)</f>
        <v>2</v>
      </c>
      <c r="O189" s="5"/>
      <c r="P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3">
        <f t="shared" si="38"/>
        <v>1</v>
      </c>
      <c r="O190" s="5"/>
      <c r="P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1.0</v>
      </c>
      <c r="N191" s="13">
        <f t="shared" si="38"/>
        <v>1</v>
      </c>
      <c r="O191" s="5"/>
      <c r="P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  <c r="O192" s="5"/>
      <c r="P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3">
        <f t="shared" si="38"/>
        <v>0</v>
      </c>
      <c r="O193" s="5"/>
      <c r="P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  <c r="O194" s="5"/>
      <c r="P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3">
        <f t="shared" si="38"/>
        <v>0</v>
      </c>
      <c r="O196" s="1"/>
      <c r="P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3">
        <f t="shared" si="38"/>
        <v>0</v>
      </c>
      <c r="O197" s="1"/>
      <c r="P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8"/>
        <v>0</v>
      </c>
      <c r="O198" s="1"/>
      <c r="P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M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8"/>
        <v>4</v>
      </c>
      <c r="O199" s="54"/>
      <c r="P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5"/>
      <c r="P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0.0</v>
      </c>
      <c r="F201" s="19">
        <v>1.0</v>
      </c>
      <c r="G201" s="19">
        <v>8.0</v>
      </c>
      <c r="H201" s="19">
        <v>13.0</v>
      </c>
      <c r="I201" s="19">
        <v>1.0</v>
      </c>
      <c r="J201" s="19">
        <v>4.0</v>
      </c>
      <c r="K201" s="19">
        <v>0.0</v>
      </c>
      <c r="L201" s="19">
        <v>3.0</v>
      </c>
      <c r="M201" s="19">
        <v>0.0</v>
      </c>
      <c r="N201" s="13">
        <f t="shared" ref="N201:N211" si="40">SUM(E201:M201)</f>
        <v>30</v>
      </c>
      <c r="O201" s="5"/>
      <c r="P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0.0</v>
      </c>
      <c r="F202" s="19">
        <v>0.0</v>
      </c>
      <c r="G202" s="19">
        <v>1.0</v>
      </c>
      <c r="H202" s="19">
        <v>6.0</v>
      </c>
      <c r="I202" s="19">
        <v>8.0</v>
      </c>
      <c r="J202" s="19">
        <v>21.0</v>
      </c>
      <c r="K202" s="19">
        <v>0.0</v>
      </c>
      <c r="L202" s="19">
        <v>4.0</v>
      </c>
      <c r="M202" s="19">
        <v>2.0</v>
      </c>
      <c r="N202" s="13">
        <f t="shared" si="40"/>
        <v>42</v>
      </c>
      <c r="O202" s="5"/>
      <c r="P202" s="5"/>
    </row>
    <row r="203" ht="12.75" customHeight="1">
      <c r="A203" s="18"/>
      <c r="B203" s="57">
        <v>2.0</v>
      </c>
      <c r="C203" s="52" t="s">
        <v>149</v>
      </c>
      <c r="D203" s="60"/>
      <c r="E203" s="19">
        <v>1.0</v>
      </c>
      <c r="F203" s="19">
        <v>3.0</v>
      </c>
      <c r="G203" s="19">
        <v>3.0</v>
      </c>
      <c r="H203" s="19">
        <v>15.0</v>
      </c>
      <c r="I203" s="19">
        <v>6.0</v>
      </c>
      <c r="J203" s="19">
        <v>2.0</v>
      </c>
      <c r="K203" s="19">
        <v>3.0</v>
      </c>
      <c r="L203" s="19">
        <v>5.0</v>
      </c>
      <c r="M203" s="19">
        <v>1.0</v>
      </c>
      <c r="N203" s="13">
        <f t="shared" si="40"/>
        <v>39</v>
      </c>
      <c r="O203" s="5"/>
      <c r="P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2.0</v>
      </c>
      <c r="H204" s="19">
        <v>1.0</v>
      </c>
      <c r="I204" s="19">
        <v>1.0</v>
      </c>
      <c r="J204" s="19">
        <v>1.0</v>
      </c>
      <c r="K204" s="19">
        <v>0.0</v>
      </c>
      <c r="L204" s="19">
        <v>0.0</v>
      </c>
      <c r="M204" s="19">
        <v>1.0</v>
      </c>
      <c r="N204" s="13">
        <f t="shared" si="40"/>
        <v>6</v>
      </c>
      <c r="O204" s="5"/>
      <c r="P204" s="5"/>
    </row>
    <row r="205" ht="12.75" customHeight="1">
      <c r="A205" s="18"/>
      <c r="B205" s="57">
        <v>4.0</v>
      </c>
      <c r="C205" s="52" t="s">
        <v>151</v>
      </c>
      <c r="D205" s="60"/>
      <c r="E205" s="19">
        <v>1.0</v>
      </c>
      <c r="F205" s="19">
        <v>2.0</v>
      </c>
      <c r="G205" s="19">
        <v>8.0</v>
      </c>
      <c r="H205" s="19">
        <v>13.0</v>
      </c>
      <c r="I205" s="19">
        <v>4.0</v>
      </c>
      <c r="J205" s="19">
        <v>2.0</v>
      </c>
      <c r="K205" s="19">
        <v>0.0</v>
      </c>
      <c r="L205" s="19">
        <v>0.0</v>
      </c>
      <c r="M205" s="19">
        <v>1.0</v>
      </c>
      <c r="N205" s="13">
        <f t="shared" si="40"/>
        <v>31</v>
      </c>
      <c r="O205" s="5"/>
      <c r="P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3">
        <f t="shared" si="40"/>
        <v>0</v>
      </c>
      <c r="O206" s="5"/>
      <c r="P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  <c r="O207" s="1"/>
      <c r="P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1.0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3">
        <f t="shared" si="40"/>
        <v>2</v>
      </c>
      <c r="O208" s="54"/>
      <c r="P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3">
        <f t="shared" si="40"/>
        <v>0</v>
      </c>
      <c r="O209" s="54"/>
      <c r="P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3">
        <f t="shared" si="40"/>
        <v>0</v>
      </c>
      <c r="O210" s="54"/>
      <c r="P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M211" si="41">SUM(E201:E208)</f>
        <v>2</v>
      </c>
      <c r="F211" s="13">
        <f t="shared" si="41"/>
        <v>6</v>
      </c>
      <c r="G211" s="13">
        <f t="shared" si="41"/>
        <v>23</v>
      </c>
      <c r="H211" s="13">
        <f t="shared" si="41"/>
        <v>49</v>
      </c>
      <c r="I211" s="13">
        <f t="shared" si="41"/>
        <v>20</v>
      </c>
      <c r="J211" s="13">
        <f t="shared" si="41"/>
        <v>30</v>
      </c>
      <c r="K211" s="13">
        <f t="shared" si="41"/>
        <v>3</v>
      </c>
      <c r="L211" s="13">
        <f t="shared" si="41"/>
        <v>12</v>
      </c>
      <c r="M211" s="13">
        <f t="shared" si="41"/>
        <v>5</v>
      </c>
      <c r="N211" s="13">
        <f t="shared" si="40"/>
        <v>150</v>
      </c>
      <c r="O211" s="5"/>
      <c r="P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5"/>
      <c r="P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0.0</v>
      </c>
      <c r="G213" s="19">
        <v>1.0</v>
      </c>
      <c r="H213" s="19">
        <v>1.0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3">
        <f t="shared" ref="N213:N223" si="42">SUM(E213:M213)</f>
        <v>2</v>
      </c>
      <c r="O213" s="5"/>
      <c r="P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10.0</v>
      </c>
      <c r="F214" s="19">
        <v>1.0</v>
      </c>
      <c r="G214" s="19">
        <v>1.0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1.0</v>
      </c>
      <c r="N214" s="13">
        <f t="shared" si="42"/>
        <v>13</v>
      </c>
      <c r="O214" s="5"/>
      <c r="P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5.0</v>
      </c>
      <c r="K215" s="19">
        <v>0.0</v>
      </c>
      <c r="L215" s="19">
        <v>0.0</v>
      </c>
      <c r="M215" s="19">
        <v>1.0</v>
      </c>
      <c r="N215" s="13">
        <f t="shared" si="42"/>
        <v>6</v>
      </c>
      <c r="O215" s="5"/>
      <c r="P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3">
        <f t="shared" si="42"/>
        <v>2</v>
      </c>
      <c r="O216" s="5"/>
      <c r="P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3">
        <f t="shared" si="42"/>
        <v>2</v>
      </c>
      <c r="O217" s="5"/>
      <c r="P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3">
        <f t="shared" si="42"/>
        <v>0</v>
      </c>
      <c r="O218" s="1"/>
      <c r="P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3">
        <f t="shared" si="42"/>
        <v>0</v>
      </c>
      <c r="O219" s="54"/>
      <c r="P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2"/>
        <v>0</v>
      </c>
      <c r="O220" s="5"/>
      <c r="P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3">
        <f t="shared" si="42"/>
        <v>0</v>
      </c>
      <c r="O221" s="5"/>
      <c r="P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3">
        <f t="shared" si="42"/>
        <v>0</v>
      </c>
      <c r="O222" s="5"/>
      <c r="P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M223" si="43">SUM(E213:E220)</f>
        <v>10</v>
      </c>
      <c r="F223" s="13">
        <f t="shared" si="43"/>
        <v>2</v>
      </c>
      <c r="G223" s="13">
        <f t="shared" si="43"/>
        <v>3</v>
      </c>
      <c r="H223" s="13">
        <f t="shared" si="43"/>
        <v>1</v>
      </c>
      <c r="I223" s="13">
        <f t="shared" si="43"/>
        <v>0</v>
      </c>
      <c r="J223" s="13">
        <f t="shared" si="43"/>
        <v>5</v>
      </c>
      <c r="K223" s="13">
        <f t="shared" si="43"/>
        <v>0</v>
      </c>
      <c r="L223" s="13">
        <f t="shared" si="43"/>
        <v>1</v>
      </c>
      <c r="M223" s="13">
        <f t="shared" si="43"/>
        <v>3</v>
      </c>
      <c r="N223" s="13">
        <f t="shared" si="42"/>
        <v>25</v>
      </c>
      <c r="O223" s="5"/>
      <c r="P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5"/>
      <c r="P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3">
        <f t="shared" ref="N225:N235" si="44">SUM(E225:M225)</f>
        <v>1</v>
      </c>
      <c r="O225" s="5"/>
      <c r="P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3">
        <f t="shared" si="44"/>
        <v>0</v>
      </c>
      <c r="O226" s="5"/>
      <c r="P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3">
        <f t="shared" si="44"/>
        <v>0</v>
      </c>
      <c r="O227" s="5"/>
      <c r="P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0</v>
      </c>
      <c r="O228" s="5"/>
      <c r="P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3">
        <f t="shared" si="44"/>
        <v>0</v>
      </c>
      <c r="O230" s="54"/>
      <c r="P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3">
        <f t="shared" si="44"/>
        <v>0</v>
      </c>
      <c r="O231" s="5"/>
      <c r="P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3">
        <f t="shared" si="44"/>
        <v>0</v>
      </c>
      <c r="O232" s="5"/>
      <c r="P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3">
        <f t="shared" si="44"/>
        <v>0</v>
      </c>
      <c r="O233" s="5"/>
      <c r="P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3">
        <f t="shared" si="44"/>
        <v>0</v>
      </c>
      <c r="O234" s="5"/>
      <c r="P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M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4"/>
        <v>1</v>
      </c>
      <c r="O235" s="5"/>
      <c r="P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5"/>
      <c r="P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0.0</v>
      </c>
      <c r="F237" s="19">
        <v>1.0</v>
      </c>
      <c r="G237" s="19">
        <v>2.0</v>
      </c>
      <c r="H237" s="19">
        <v>1.0</v>
      </c>
      <c r="I237" s="19">
        <v>0.0</v>
      </c>
      <c r="J237" s="19">
        <v>2.0</v>
      </c>
      <c r="K237" s="19">
        <v>2.0</v>
      </c>
      <c r="L237" s="19">
        <v>0.0</v>
      </c>
      <c r="M237" s="19">
        <v>0.0</v>
      </c>
      <c r="N237" s="13">
        <f t="shared" ref="N237:N247" si="46">SUM(E237:M237)</f>
        <v>8</v>
      </c>
      <c r="O237" s="5"/>
      <c r="P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0.0</v>
      </c>
      <c r="G238" s="19">
        <v>0.0</v>
      </c>
      <c r="H238" s="19">
        <v>1.0</v>
      </c>
      <c r="I238" s="19">
        <v>2.0</v>
      </c>
      <c r="J238" s="19">
        <v>1.0</v>
      </c>
      <c r="K238" s="19">
        <v>0.0</v>
      </c>
      <c r="L238" s="19">
        <v>0.0</v>
      </c>
      <c r="M238" s="19">
        <v>0.0</v>
      </c>
      <c r="N238" s="13">
        <f t="shared" si="46"/>
        <v>4</v>
      </c>
      <c r="O238" s="5"/>
      <c r="P238" s="5"/>
    </row>
    <row r="239" ht="12.75" customHeight="1">
      <c r="A239" s="18"/>
      <c r="B239" s="57">
        <v>2.0</v>
      </c>
      <c r="C239" s="52" t="s">
        <v>176</v>
      </c>
      <c r="D239" s="60"/>
      <c r="E239" s="19">
        <v>6.0</v>
      </c>
      <c r="F239" s="19">
        <v>9.0</v>
      </c>
      <c r="G239" s="19">
        <v>0.0</v>
      </c>
      <c r="H239" s="19">
        <v>0.0</v>
      </c>
      <c r="I239" s="19">
        <v>1.0</v>
      </c>
      <c r="J239" s="19">
        <v>0.0</v>
      </c>
      <c r="K239" s="19">
        <v>2.0</v>
      </c>
      <c r="L239" s="19">
        <v>1.0</v>
      </c>
      <c r="M239" s="19">
        <v>0.0</v>
      </c>
      <c r="N239" s="13">
        <f t="shared" si="46"/>
        <v>19</v>
      </c>
      <c r="O239" s="5"/>
      <c r="P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3">
        <f t="shared" si="46"/>
        <v>1</v>
      </c>
      <c r="O240" s="1"/>
      <c r="P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1.0</v>
      </c>
      <c r="I241" s="19">
        <v>1.0</v>
      </c>
      <c r="J241" s="19">
        <v>2.0</v>
      </c>
      <c r="K241" s="19">
        <v>0.0</v>
      </c>
      <c r="L241" s="19">
        <v>1.0</v>
      </c>
      <c r="M241" s="19">
        <v>0.0</v>
      </c>
      <c r="N241" s="13">
        <f t="shared" si="46"/>
        <v>5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6"/>
        <v>0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2.0</v>
      </c>
      <c r="K244" s="19">
        <v>0.0</v>
      </c>
      <c r="L244" s="19">
        <v>0.0</v>
      </c>
      <c r="M244" s="19">
        <v>0.0</v>
      </c>
      <c r="N244" s="13">
        <f t="shared" si="46"/>
        <v>3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M247" si="47">SUM(E237:E244)</f>
        <v>6</v>
      </c>
      <c r="F247" s="13">
        <f t="shared" si="47"/>
        <v>10</v>
      </c>
      <c r="G247" s="13">
        <f t="shared" si="47"/>
        <v>2</v>
      </c>
      <c r="H247" s="13">
        <f t="shared" si="47"/>
        <v>3</v>
      </c>
      <c r="I247" s="13">
        <f t="shared" si="47"/>
        <v>5</v>
      </c>
      <c r="J247" s="13">
        <f t="shared" si="47"/>
        <v>7</v>
      </c>
      <c r="K247" s="13">
        <f t="shared" si="47"/>
        <v>5</v>
      </c>
      <c r="L247" s="13">
        <f t="shared" si="47"/>
        <v>2</v>
      </c>
      <c r="M247" s="13">
        <f t="shared" si="47"/>
        <v>0</v>
      </c>
      <c r="N247" s="13">
        <f t="shared" si="46"/>
        <v>40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3">
        <f t="shared" ref="N249:N259" si="48">SUM(E249:M249)</f>
        <v>2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1.0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8"/>
        <v>1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M259" si="49">SUM(E249:E255)</f>
        <v>2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8"/>
        <v>3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M262" si="50">E55+E67+E79+E91+E103+E115+E127+E139+E151+E163+E175+E187+E199+E211+E223+E235+E247+E259</f>
        <v>199</v>
      </c>
      <c r="F262" s="19">
        <f t="shared" si="50"/>
        <v>208</v>
      </c>
      <c r="G262" s="19">
        <f t="shared" si="50"/>
        <v>197</v>
      </c>
      <c r="H262" s="19">
        <f t="shared" si="50"/>
        <v>193</v>
      </c>
      <c r="I262" s="19">
        <f t="shared" si="50"/>
        <v>179</v>
      </c>
      <c r="J262" s="19">
        <f t="shared" si="50"/>
        <v>217</v>
      </c>
      <c r="K262" s="19">
        <f t="shared" si="50"/>
        <v>186</v>
      </c>
      <c r="L262" s="19">
        <f t="shared" si="50"/>
        <v>189</v>
      </c>
      <c r="M262" s="19">
        <f t="shared" si="50"/>
        <v>172</v>
      </c>
      <c r="N262" s="13">
        <f t="shared" ref="N262:N264" si="51">SUM(E262:M262)</f>
        <v>1740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25.0</v>
      </c>
      <c r="F263" s="19">
        <v>22.0</v>
      </c>
      <c r="G263" s="19">
        <v>27.0</v>
      </c>
      <c r="H263" s="19">
        <v>50.0</v>
      </c>
      <c r="I263" s="19">
        <v>29.0</v>
      </c>
      <c r="J263" s="19">
        <v>22.0</v>
      </c>
      <c r="K263" s="19">
        <v>24.0</v>
      </c>
      <c r="L263" s="19">
        <v>49.0</v>
      </c>
      <c r="M263" s="19"/>
      <c r="N263" s="13">
        <f t="shared" si="51"/>
        <v>248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M264" si="52">SUM(E262:E263)</f>
        <v>224</v>
      </c>
      <c r="F264" s="13">
        <f t="shared" si="52"/>
        <v>230</v>
      </c>
      <c r="G264" s="13">
        <f t="shared" si="52"/>
        <v>224</v>
      </c>
      <c r="H264" s="13">
        <f t="shared" si="52"/>
        <v>243</v>
      </c>
      <c r="I264" s="13">
        <f t="shared" si="52"/>
        <v>208</v>
      </c>
      <c r="J264" s="13">
        <f t="shared" si="52"/>
        <v>239</v>
      </c>
      <c r="K264" s="13">
        <f t="shared" si="52"/>
        <v>210</v>
      </c>
      <c r="L264" s="13">
        <f t="shared" si="52"/>
        <v>238</v>
      </c>
      <c r="M264" s="13">
        <f t="shared" si="52"/>
        <v>172</v>
      </c>
      <c r="N264" s="13">
        <f t="shared" si="51"/>
        <v>1988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105.0</v>
      </c>
      <c r="F14" s="19">
        <v>112.0</v>
      </c>
      <c r="G14" s="19">
        <v>122.0</v>
      </c>
      <c r="H14" s="19">
        <v>135.0</v>
      </c>
      <c r="I14" s="19">
        <v>144.0</v>
      </c>
      <c r="J14" s="19">
        <v>144.0</v>
      </c>
      <c r="K14" s="19">
        <v>140.0</v>
      </c>
      <c r="L14" s="19">
        <v>140.0</v>
      </c>
      <c r="M14" s="19">
        <v>116.0</v>
      </c>
      <c r="N14" s="19">
        <v>132.0</v>
      </c>
      <c r="O14" s="19">
        <v>112.0</v>
      </c>
      <c r="P14" s="19">
        <v>119.0</v>
      </c>
      <c r="Q14" s="19">
        <v>116.0</v>
      </c>
      <c r="R14" s="19">
        <v>132.0</v>
      </c>
      <c r="S14" s="19">
        <v>140.0</v>
      </c>
      <c r="T14" s="13">
        <f t="shared" ref="T14:T16" si="1">SUM(E14:S14)</f>
        <v>1909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134.0</v>
      </c>
      <c r="G15" s="19">
        <v>116.0</v>
      </c>
      <c r="H15" s="19">
        <v>148.0</v>
      </c>
      <c r="I15" s="19">
        <v>140.0</v>
      </c>
      <c r="J15" s="19">
        <v>136.0</v>
      </c>
      <c r="K15" s="19">
        <v>135.0</v>
      </c>
      <c r="L15" s="19">
        <v>126.0</v>
      </c>
      <c r="M15" s="19">
        <v>117.0</v>
      </c>
      <c r="N15" s="19">
        <v>134.0</v>
      </c>
      <c r="O15" s="19">
        <v>114.0</v>
      </c>
      <c r="P15" s="19">
        <v>122.0</v>
      </c>
      <c r="Q15" s="19">
        <v>130.0</v>
      </c>
      <c r="R15" s="19">
        <v>124.0</v>
      </c>
      <c r="S15" s="19">
        <v>141.0</v>
      </c>
      <c r="T15" s="13">
        <f t="shared" si="1"/>
        <v>1938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226</v>
      </c>
      <c r="F16" s="13">
        <f t="shared" si="2"/>
        <v>246</v>
      </c>
      <c r="G16" s="13">
        <f t="shared" si="2"/>
        <v>238</v>
      </c>
      <c r="H16" s="13">
        <f t="shared" si="2"/>
        <v>283</v>
      </c>
      <c r="I16" s="13">
        <f t="shared" si="2"/>
        <v>284</v>
      </c>
      <c r="J16" s="13">
        <f t="shared" si="2"/>
        <v>280</v>
      </c>
      <c r="K16" s="13">
        <f t="shared" si="2"/>
        <v>275</v>
      </c>
      <c r="L16" s="13">
        <f t="shared" si="2"/>
        <v>266</v>
      </c>
      <c r="M16" s="13">
        <f t="shared" si="2"/>
        <v>233</v>
      </c>
      <c r="N16" s="13">
        <f t="shared" si="2"/>
        <v>266</v>
      </c>
      <c r="O16" s="13">
        <f t="shared" si="2"/>
        <v>226</v>
      </c>
      <c r="P16" s="13">
        <f t="shared" si="2"/>
        <v>241</v>
      </c>
      <c r="Q16" s="13">
        <f t="shared" si="2"/>
        <v>246</v>
      </c>
      <c r="R16" s="13">
        <f t="shared" si="2"/>
        <v>256</v>
      </c>
      <c r="S16" s="13">
        <f t="shared" si="2"/>
        <v>281</v>
      </c>
      <c r="T16" s="13">
        <f t="shared" si="1"/>
        <v>3847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19"/>
      <c r="Q17" s="19"/>
      <c r="R17" s="19"/>
      <c r="S17" s="78"/>
      <c r="T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84.0</v>
      </c>
      <c r="F19" s="19">
        <v>85.0</v>
      </c>
      <c r="G19" s="19">
        <v>102.0</v>
      </c>
      <c r="H19" s="19">
        <v>100.0</v>
      </c>
      <c r="I19" s="19">
        <v>135.0</v>
      </c>
      <c r="J19" s="19">
        <v>137.0</v>
      </c>
      <c r="K19" s="19">
        <v>103.0</v>
      </c>
      <c r="L19" s="19">
        <v>111.0</v>
      </c>
      <c r="M19" s="19">
        <v>99.0</v>
      </c>
      <c r="N19" s="19">
        <v>98.0</v>
      </c>
      <c r="O19" s="19">
        <v>81.0</v>
      </c>
      <c r="P19" s="19">
        <v>104.0</v>
      </c>
      <c r="Q19" s="19">
        <v>93.0</v>
      </c>
      <c r="R19" s="19">
        <v>106.0</v>
      </c>
      <c r="S19" s="19">
        <v>110.0</v>
      </c>
      <c r="T19" s="13">
        <f t="shared" ref="T19:T30" si="3">SUM(E19:S19)</f>
        <v>1548</v>
      </c>
    </row>
    <row r="20" ht="12.75" customHeight="1">
      <c r="A20" s="34"/>
      <c r="B20" s="27"/>
      <c r="C20" s="35"/>
      <c r="D20" s="19" t="s">
        <v>13</v>
      </c>
      <c r="E20" s="19">
        <v>112.0</v>
      </c>
      <c r="F20" s="19">
        <v>105.0</v>
      </c>
      <c r="G20" s="19">
        <v>99.0</v>
      </c>
      <c r="H20" s="19">
        <v>123.0</v>
      </c>
      <c r="I20" s="19">
        <v>131.0</v>
      </c>
      <c r="J20" s="19">
        <v>105.0</v>
      </c>
      <c r="K20" s="19">
        <v>111.0</v>
      </c>
      <c r="L20" s="19">
        <v>109.0</v>
      </c>
      <c r="M20" s="19">
        <v>103.0</v>
      </c>
      <c r="N20" s="19">
        <v>113.0</v>
      </c>
      <c r="O20" s="19">
        <v>90.0</v>
      </c>
      <c r="P20" s="19">
        <v>90.0</v>
      </c>
      <c r="Q20" s="19">
        <v>105.0</v>
      </c>
      <c r="R20" s="19">
        <v>101.0</v>
      </c>
      <c r="S20" s="19">
        <v>107.0</v>
      </c>
      <c r="T20" s="13">
        <f t="shared" si="3"/>
        <v>1604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196</v>
      </c>
      <c r="F21" s="13">
        <f t="shared" si="4"/>
        <v>190</v>
      </c>
      <c r="G21" s="13">
        <f t="shared" si="4"/>
        <v>201</v>
      </c>
      <c r="H21" s="13">
        <f t="shared" si="4"/>
        <v>223</v>
      </c>
      <c r="I21" s="13">
        <f t="shared" si="4"/>
        <v>266</v>
      </c>
      <c r="J21" s="13">
        <f t="shared" si="4"/>
        <v>242</v>
      </c>
      <c r="K21" s="13">
        <f t="shared" si="4"/>
        <v>214</v>
      </c>
      <c r="L21" s="13">
        <f t="shared" si="4"/>
        <v>220</v>
      </c>
      <c r="M21" s="13">
        <f t="shared" si="4"/>
        <v>202</v>
      </c>
      <c r="N21" s="13">
        <f t="shared" si="4"/>
        <v>211</v>
      </c>
      <c r="O21" s="13">
        <f t="shared" si="4"/>
        <v>171</v>
      </c>
      <c r="P21" s="13">
        <f t="shared" si="4"/>
        <v>194</v>
      </c>
      <c r="Q21" s="13">
        <f t="shared" si="4"/>
        <v>198</v>
      </c>
      <c r="R21" s="13">
        <f t="shared" si="4"/>
        <v>207</v>
      </c>
      <c r="S21" s="13">
        <f t="shared" si="4"/>
        <v>217</v>
      </c>
      <c r="T21" s="13">
        <f t="shared" si="3"/>
        <v>3152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0.0</v>
      </c>
      <c r="T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3.0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3">
        <f t="shared" si="3"/>
        <v>6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0.0</v>
      </c>
      <c r="P26" s="19">
        <v>0.0</v>
      </c>
      <c r="Q26" s="19">
        <v>1.0</v>
      </c>
      <c r="R26" s="19">
        <v>1.0</v>
      </c>
      <c r="S26" s="19">
        <v>0.0</v>
      </c>
      <c r="T26" s="13">
        <f t="shared" si="3"/>
        <v>5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1</v>
      </c>
      <c r="T27" s="13">
        <f t="shared" si="3"/>
        <v>11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84</v>
      </c>
      <c r="F28" s="13">
        <f t="shared" si="7"/>
        <v>85</v>
      </c>
      <c r="G28" s="13">
        <f t="shared" si="7"/>
        <v>102</v>
      </c>
      <c r="H28" s="13">
        <f t="shared" si="7"/>
        <v>100</v>
      </c>
      <c r="I28" s="13">
        <f t="shared" si="7"/>
        <v>135</v>
      </c>
      <c r="J28" s="13">
        <f t="shared" si="7"/>
        <v>137</v>
      </c>
      <c r="K28" s="13">
        <f t="shared" si="7"/>
        <v>103</v>
      </c>
      <c r="L28" s="13">
        <f t="shared" si="7"/>
        <v>111</v>
      </c>
      <c r="M28" s="13">
        <f t="shared" si="7"/>
        <v>102</v>
      </c>
      <c r="N28" s="13">
        <f t="shared" si="7"/>
        <v>98</v>
      </c>
      <c r="O28" s="13">
        <f t="shared" si="7"/>
        <v>81</v>
      </c>
      <c r="P28" s="13">
        <f t="shared" si="7"/>
        <v>104</v>
      </c>
      <c r="Q28" s="13">
        <f t="shared" si="7"/>
        <v>93</v>
      </c>
      <c r="R28" s="13">
        <f t="shared" si="7"/>
        <v>108</v>
      </c>
      <c r="S28" s="13">
        <f t="shared" si="7"/>
        <v>111</v>
      </c>
      <c r="T28" s="13">
        <f t="shared" si="3"/>
        <v>1554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112</v>
      </c>
      <c r="F29" s="13">
        <f t="shared" si="8"/>
        <v>105</v>
      </c>
      <c r="G29" s="13">
        <f t="shared" si="8"/>
        <v>99</v>
      </c>
      <c r="H29" s="13">
        <f t="shared" si="8"/>
        <v>123</v>
      </c>
      <c r="I29" s="13">
        <f t="shared" si="8"/>
        <v>131</v>
      </c>
      <c r="J29" s="13">
        <f t="shared" si="8"/>
        <v>105</v>
      </c>
      <c r="K29" s="13">
        <f t="shared" si="8"/>
        <v>111</v>
      </c>
      <c r="L29" s="13">
        <f t="shared" si="8"/>
        <v>109</v>
      </c>
      <c r="M29" s="13">
        <f t="shared" si="8"/>
        <v>107</v>
      </c>
      <c r="N29" s="13">
        <f t="shared" si="8"/>
        <v>113</v>
      </c>
      <c r="O29" s="13">
        <f t="shared" si="8"/>
        <v>90</v>
      </c>
      <c r="P29" s="13">
        <f t="shared" si="8"/>
        <v>90</v>
      </c>
      <c r="Q29" s="13">
        <f t="shared" si="8"/>
        <v>108</v>
      </c>
      <c r="R29" s="13">
        <f t="shared" si="8"/>
        <v>102</v>
      </c>
      <c r="S29" s="13">
        <f t="shared" si="8"/>
        <v>107</v>
      </c>
      <c r="T29" s="13">
        <f t="shared" si="3"/>
        <v>1612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196</v>
      </c>
      <c r="F30" s="13">
        <f t="shared" si="9"/>
        <v>190</v>
      </c>
      <c r="G30" s="13">
        <f t="shared" si="9"/>
        <v>201</v>
      </c>
      <c r="H30" s="13">
        <f t="shared" si="9"/>
        <v>223</v>
      </c>
      <c r="I30" s="13">
        <f t="shared" si="9"/>
        <v>266</v>
      </c>
      <c r="J30" s="13">
        <f t="shared" si="9"/>
        <v>242</v>
      </c>
      <c r="K30" s="13">
        <f t="shared" si="9"/>
        <v>214</v>
      </c>
      <c r="L30" s="13">
        <f t="shared" si="9"/>
        <v>220</v>
      </c>
      <c r="M30" s="13">
        <f t="shared" si="9"/>
        <v>209</v>
      </c>
      <c r="N30" s="13">
        <f t="shared" si="9"/>
        <v>211</v>
      </c>
      <c r="O30" s="13">
        <f t="shared" si="9"/>
        <v>171</v>
      </c>
      <c r="P30" s="13">
        <f t="shared" si="9"/>
        <v>194</v>
      </c>
      <c r="Q30" s="13">
        <f t="shared" si="9"/>
        <v>201</v>
      </c>
      <c r="R30" s="13">
        <f t="shared" si="9"/>
        <v>210</v>
      </c>
      <c r="S30" s="13">
        <f t="shared" si="9"/>
        <v>218</v>
      </c>
      <c r="T30" s="13">
        <f t="shared" si="3"/>
        <v>3166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19"/>
      <c r="Q31" s="19"/>
      <c r="R31" s="19"/>
      <c r="S31" s="78"/>
      <c r="T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1" t="s">
        <v>213</v>
      </c>
      <c r="Q32" s="71" t="s">
        <v>214</v>
      </c>
      <c r="R32" s="71" t="s">
        <v>216</v>
      </c>
      <c r="S32" s="71" t="s">
        <v>217</v>
      </c>
      <c r="T32" s="70"/>
    </row>
    <row r="33" ht="12.75" customHeight="1">
      <c r="A33" s="19">
        <v>1.0</v>
      </c>
      <c r="B33" s="20" t="s">
        <v>27</v>
      </c>
      <c r="C33" s="15"/>
      <c r="D33" s="16"/>
      <c r="E33" s="19">
        <v>230.0</v>
      </c>
      <c r="F33" s="19">
        <v>250.0</v>
      </c>
      <c r="G33" s="19">
        <v>242.0</v>
      </c>
      <c r="H33" s="19">
        <v>288.0</v>
      </c>
      <c r="I33" s="19">
        <v>290.0</v>
      </c>
      <c r="J33" s="19">
        <v>286.0</v>
      </c>
      <c r="K33" s="19">
        <v>280.0</v>
      </c>
      <c r="L33" s="19">
        <v>272.0</v>
      </c>
      <c r="M33" s="19">
        <v>239.0</v>
      </c>
      <c r="N33" s="19">
        <v>272.0</v>
      </c>
      <c r="O33" s="19">
        <v>231.0</v>
      </c>
      <c r="P33" s="19">
        <v>246.0</v>
      </c>
      <c r="Q33" s="19">
        <v>251.0</v>
      </c>
      <c r="R33" s="19">
        <v>261.0</v>
      </c>
      <c r="S33" s="19">
        <v>286.0</v>
      </c>
      <c r="T33" s="13">
        <f t="shared" ref="T33:T36" si="10">SUM(E33:S33)</f>
        <v>3924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190.0</v>
      </c>
      <c r="G34" s="13">
        <v>201.0</v>
      </c>
      <c r="H34" s="13">
        <v>223.0</v>
      </c>
      <c r="I34" s="13">
        <v>266.0</v>
      </c>
      <c r="J34" s="13">
        <v>242.0</v>
      </c>
      <c r="K34" s="13">
        <v>214.0</v>
      </c>
      <c r="L34" s="13">
        <v>220.0</v>
      </c>
      <c r="M34" s="13">
        <v>209.0</v>
      </c>
      <c r="N34" s="13">
        <v>211.0</v>
      </c>
      <c r="O34" s="13">
        <v>171.0</v>
      </c>
      <c r="P34" s="13">
        <v>194.0</v>
      </c>
      <c r="Q34" s="13">
        <v>201.0</v>
      </c>
      <c r="R34" s="13">
        <v>210.0</v>
      </c>
      <c r="S34" s="13">
        <v>218.0</v>
      </c>
      <c r="T34" s="13">
        <f t="shared" si="10"/>
        <v>3166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1.0</v>
      </c>
      <c r="M35" s="19">
        <v>2.0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1.0</v>
      </c>
      <c r="T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34</v>
      </c>
      <c r="F36" s="13">
        <f t="shared" si="11"/>
        <v>60</v>
      </c>
      <c r="G36" s="13">
        <f t="shared" si="11"/>
        <v>41</v>
      </c>
      <c r="H36" s="13">
        <f t="shared" si="11"/>
        <v>64</v>
      </c>
      <c r="I36" s="13">
        <f t="shared" si="11"/>
        <v>24</v>
      </c>
      <c r="J36" s="13">
        <f t="shared" si="11"/>
        <v>44</v>
      </c>
      <c r="K36" s="13">
        <f t="shared" si="11"/>
        <v>66</v>
      </c>
      <c r="L36" s="13">
        <f t="shared" si="11"/>
        <v>51</v>
      </c>
      <c r="M36" s="13">
        <f t="shared" si="11"/>
        <v>28</v>
      </c>
      <c r="N36" s="13">
        <f t="shared" si="11"/>
        <v>61</v>
      </c>
      <c r="O36" s="13">
        <f t="shared" si="11"/>
        <v>60</v>
      </c>
      <c r="P36" s="13">
        <f t="shared" si="11"/>
        <v>52</v>
      </c>
      <c r="Q36" s="13">
        <f t="shared" si="11"/>
        <v>50</v>
      </c>
      <c r="R36" s="13">
        <f t="shared" si="11"/>
        <v>50</v>
      </c>
      <c r="S36" s="13">
        <f t="shared" si="11"/>
        <v>67</v>
      </c>
      <c r="T36" s="13">
        <f t="shared" si="10"/>
        <v>752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19"/>
      <c r="Q37" s="19"/>
      <c r="R37" s="19"/>
      <c r="S37" s="78"/>
      <c r="T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1" t="s">
        <v>213</v>
      </c>
      <c r="Q38" s="71" t="s">
        <v>214</v>
      </c>
      <c r="R38" s="71" t="s">
        <v>216</v>
      </c>
      <c r="S38" s="71" t="s">
        <v>217</v>
      </c>
      <c r="T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9"/>
      <c r="Q42" s="19"/>
      <c r="R42" s="19"/>
      <c r="S42" s="78"/>
      <c r="T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71" t="s">
        <v>213</v>
      </c>
      <c r="Q43" s="71" t="s">
        <v>214</v>
      </c>
      <c r="R43" s="71" t="s">
        <v>216</v>
      </c>
      <c r="S43" s="71" t="s">
        <v>217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9"/>
      <c r="Q44" s="19"/>
      <c r="R44" s="19"/>
      <c r="S44" s="78"/>
      <c r="T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0.0</v>
      </c>
      <c r="F45" s="19">
        <v>3.0</v>
      </c>
      <c r="G45" s="19">
        <v>1.0</v>
      </c>
      <c r="H45" s="19">
        <v>2.0</v>
      </c>
      <c r="I45" s="19">
        <v>2.0</v>
      </c>
      <c r="J45" s="19">
        <v>11.0</v>
      </c>
      <c r="K45" s="19">
        <v>10.0</v>
      </c>
      <c r="L45" s="19">
        <v>10.0</v>
      </c>
      <c r="M45" s="19">
        <v>5.0</v>
      </c>
      <c r="N45" s="19">
        <v>7.0</v>
      </c>
      <c r="O45" s="19">
        <v>4.0</v>
      </c>
      <c r="P45" s="19">
        <v>5.0</v>
      </c>
      <c r="Q45" s="19">
        <v>4.0</v>
      </c>
      <c r="R45" s="19">
        <v>7.0</v>
      </c>
      <c r="S45" s="19">
        <v>9.0</v>
      </c>
      <c r="T45" s="13">
        <f t="shared" ref="T45:T55" si="14">SUM(E45:S45)</f>
        <v>80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3.0</v>
      </c>
      <c r="F46" s="19">
        <v>2.0</v>
      </c>
      <c r="G46" s="19">
        <v>1.0</v>
      </c>
      <c r="H46" s="19">
        <v>2.0</v>
      </c>
      <c r="I46" s="19">
        <v>14.0</v>
      </c>
      <c r="J46" s="19">
        <v>15.0</v>
      </c>
      <c r="K46" s="19">
        <v>8.0</v>
      </c>
      <c r="L46" s="19">
        <v>8.0</v>
      </c>
      <c r="M46" s="19">
        <v>11.0</v>
      </c>
      <c r="N46" s="19">
        <v>18.0</v>
      </c>
      <c r="O46" s="19">
        <v>7.0</v>
      </c>
      <c r="P46" s="19">
        <v>12.0</v>
      </c>
      <c r="Q46" s="19">
        <v>12.0</v>
      </c>
      <c r="R46" s="19">
        <v>27.0</v>
      </c>
      <c r="S46" s="19">
        <v>36.0</v>
      </c>
      <c r="T46" s="13">
        <f t="shared" si="14"/>
        <v>176</v>
      </c>
    </row>
    <row r="47" ht="12.75" customHeight="1">
      <c r="A47" s="18"/>
      <c r="B47" s="57">
        <v>2.0</v>
      </c>
      <c r="C47" s="52" t="s">
        <v>41</v>
      </c>
      <c r="D47" s="16"/>
      <c r="E47" s="19">
        <v>1.0</v>
      </c>
      <c r="F47" s="19">
        <v>0.0</v>
      </c>
      <c r="G47" s="19">
        <v>0.0</v>
      </c>
      <c r="H47" s="19">
        <v>0.0</v>
      </c>
      <c r="I47" s="19">
        <v>1.0</v>
      </c>
      <c r="J47" s="19">
        <v>7.0</v>
      </c>
      <c r="K47" s="19">
        <v>1.0</v>
      </c>
      <c r="L47" s="19">
        <v>4.0</v>
      </c>
      <c r="M47" s="19">
        <v>6.0</v>
      </c>
      <c r="N47" s="19">
        <v>6.0</v>
      </c>
      <c r="O47" s="19">
        <v>0.0</v>
      </c>
      <c r="P47" s="19">
        <v>2.0</v>
      </c>
      <c r="Q47" s="19">
        <v>0.0</v>
      </c>
      <c r="R47" s="19">
        <v>2.0</v>
      </c>
      <c r="S47" s="19">
        <v>5.0</v>
      </c>
      <c r="T47" s="13">
        <f t="shared" si="14"/>
        <v>35</v>
      </c>
    </row>
    <row r="48" ht="12.75" customHeight="1">
      <c r="A48" s="18"/>
      <c r="B48" s="57">
        <v>3.0</v>
      </c>
      <c r="C48" s="52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2.0</v>
      </c>
      <c r="M48" s="19">
        <v>0.0</v>
      </c>
      <c r="N48" s="19">
        <v>0.0</v>
      </c>
      <c r="O48" s="19">
        <v>0.0</v>
      </c>
      <c r="P48" s="19">
        <v>1.0</v>
      </c>
      <c r="Q48" s="19">
        <v>1.0</v>
      </c>
      <c r="R48" s="19">
        <v>1.0</v>
      </c>
      <c r="S48" s="19">
        <v>1.0</v>
      </c>
      <c r="T48" s="13">
        <f t="shared" si="14"/>
        <v>8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1.0</v>
      </c>
      <c r="K49" s="19">
        <v>1.0</v>
      </c>
      <c r="L49" s="19">
        <v>1.0</v>
      </c>
      <c r="M49" s="19">
        <v>0.0</v>
      </c>
      <c r="N49" s="19">
        <v>0.0</v>
      </c>
      <c r="O49" s="19">
        <v>1.0</v>
      </c>
      <c r="P49" s="19">
        <v>1.0</v>
      </c>
      <c r="Q49" s="19">
        <v>0.0</v>
      </c>
      <c r="R49" s="19">
        <v>1.0</v>
      </c>
      <c r="S49" s="19">
        <v>0.0</v>
      </c>
      <c r="T49" s="13">
        <f t="shared" si="14"/>
        <v>7</v>
      </c>
    </row>
    <row r="50" ht="12.75" customHeight="1">
      <c r="A50" s="18"/>
      <c r="B50" s="57">
        <v>5.0</v>
      </c>
      <c r="C50" s="52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3">
        <f t="shared" si="14"/>
        <v>3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1.0</v>
      </c>
      <c r="T51" s="13">
        <f t="shared" si="14"/>
        <v>2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3">
        <f t="shared" si="14"/>
        <v>1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S55" si="15">SUM(E45:E52)</f>
        <v>6</v>
      </c>
      <c r="F55" s="13">
        <f t="shared" si="15"/>
        <v>5</v>
      </c>
      <c r="G55" s="13">
        <f t="shared" si="15"/>
        <v>3</v>
      </c>
      <c r="H55" s="13">
        <f t="shared" si="15"/>
        <v>4</v>
      </c>
      <c r="I55" s="13">
        <f t="shared" si="15"/>
        <v>20</v>
      </c>
      <c r="J55" s="13">
        <f t="shared" si="15"/>
        <v>34</v>
      </c>
      <c r="K55" s="13">
        <f t="shared" si="15"/>
        <v>22</v>
      </c>
      <c r="L55" s="13">
        <f t="shared" si="15"/>
        <v>25</v>
      </c>
      <c r="M55" s="13">
        <f t="shared" si="15"/>
        <v>22</v>
      </c>
      <c r="N55" s="13">
        <f t="shared" si="15"/>
        <v>31</v>
      </c>
      <c r="O55" s="13">
        <f t="shared" si="15"/>
        <v>12</v>
      </c>
      <c r="P55" s="13">
        <f t="shared" si="15"/>
        <v>21</v>
      </c>
      <c r="Q55" s="13">
        <f t="shared" si="15"/>
        <v>17</v>
      </c>
      <c r="R55" s="13">
        <f t="shared" si="15"/>
        <v>38</v>
      </c>
      <c r="S55" s="13">
        <f t="shared" si="15"/>
        <v>52</v>
      </c>
      <c r="T55" s="13">
        <f t="shared" si="14"/>
        <v>312</v>
      </c>
    </row>
    <row r="56" ht="12.75" customHeight="1">
      <c r="A56" s="47"/>
      <c r="B56" s="46"/>
      <c r="C56" s="46"/>
      <c r="D56" s="46"/>
      <c r="E56" s="46"/>
      <c r="T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5.0</v>
      </c>
      <c r="F57" s="19">
        <v>7.0</v>
      </c>
      <c r="G57" s="19">
        <v>5.0</v>
      </c>
      <c r="H57" s="19">
        <v>5.0</v>
      </c>
      <c r="I57" s="19">
        <v>12.0</v>
      </c>
      <c r="J57" s="19">
        <v>8.0</v>
      </c>
      <c r="K57" s="19">
        <v>11.0</v>
      </c>
      <c r="L57" s="19">
        <v>5.0</v>
      </c>
      <c r="M57" s="19">
        <v>9.0</v>
      </c>
      <c r="N57" s="19">
        <v>15.0</v>
      </c>
      <c r="O57" s="19">
        <v>6.0</v>
      </c>
      <c r="P57" s="19">
        <v>12.0</v>
      </c>
      <c r="Q57" s="19">
        <v>9.0</v>
      </c>
      <c r="R57" s="19">
        <v>11.0</v>
      </c>
      <c r="S57" s="19">
        <v>11.0</v>
      </c>
      <c r="T57" s="13">
        <f t="shared" ref="T57:T67" si="16">SUM(E57:S57)</f>
        <v>131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22.0</v>
      </c>
      <c r="F58" s="19">
        <v>13.0</v>
      </c>
      <c r="G58" s="19">
        <v>4.0</v>
      </c>
      <c r="H58" s="19">
        <v>9.0</v>
      </c>
      <c r="I58" s="19">
        <v>20.0</v>
      </c>
      <c r="J58" s="19">
        <v>10.0</v>
      </c>
      <c r="K58" s="19">
        <v>10.0</v>
      </c>
      <c r="L58" s="19">
        <v>11.0</v>
      </c>
      <c r="M58" s="19">
        <v>5.0</v>
      </c>
      <c r="N58" s="19">
        <v>10.0</v>
      </c>
      <c r="O58" s="19">
        <v>5.0</v>
      </c>
      <c r="P58" s="19">
        <v>18.0</v>
      </c>
      <c r="Q58" s="19">
        <v>3.0</v>
      </c>
      <c r="R58" s="19">
        <v>7.0</v>
      </c>
      <c r="S58" s="19">
        <v>8.0</v>
      </c>
      <c r="T58" s="13">
        <f t="shared" si="16"/>
        <v>155</v>
      </c>
    </row>
    <row r="59" ht="12.75" customHeight="1">
      <c r="A59" s="18"/>
      <c r="B59" s="57">
        <v>2.0</v>
      </c>
      <c r="C59" s="52" t="s">
        <v>50</v>
      </c>
      <c r="D59" s="58"/>
      <c r="E59" s="19">
        <v>2.0</v>
      </c>
      <c r="F59" s="19">
        <v>2.0</v>
      </c>
      <c r="G59" s="19">
        <v>2.0</v>
      </c>
      <c r="H59" s="19">
        <v>2.0</v>
      </c>
      <c r="I59" s="19">
        <v>4.0</v>
      </c>
      <c r="J59" s="19">
        <v>3.0</v>
      </c>
      <c r="K59" s="19">
        <v>1.0</v>
      </c>
      <c r="L59" s="19">
        <v>2.0</v>
      </c>
      <c r="M59" s="19">
        <v>1.0</v>
      </c>
      <c r="N59" s="19">
        <v>1.0</v>
      </c>
      <c r="O59" s="19">
        <v>3.0</v>
      </c>
      <c r="P59" s="19">
        <v>0.0</v>
      </c>
      <c r="Q59" s="19">
        <v>3.0</v>
      </c>
      <c r="R59" s="19">
        <v>5.0</v>
      </c>
      <c r="S59" s="19">
        <v>4.0</v>
      </c>
      <c r="T59" s="13">
        <f t="shared" si="16"/>
        <v>35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1.0</v>
      </c>
      <c r="G60" s="19">
        <v>1.0</v>
      </c>
      <c r="H60" s="19">
        <v>0.0</v>
      </c>
      <c r="I60" s="19">
        <v>1.0</v>
      </c>
      <c r="J60" s="19">
        <v>0.0</v>
      </c>
      <c r="K60" s="19">
        <v>0.0</v>
      </c>
      <c r="L60" s="19">
        <v>0.0</v>
      </c>
      <c r="M60" s="19">
        <v>0.0</v>
      </c>
      <c r="N60" s="19">
        <v>1.0</v>
      </c>
      <c r="O60" s="19">
        <v>0.0</v>
      </c>
      <c r="P60" s="19">
        <v>1.0</v>
      </c>
      <c r="Q60" s="19">
        <v>1.0</v>
      </c>
      <c r="R60" s="19">
        <v>0.0</v>
      </c>
      <c r="S60" s="19">
        <v>4.0</v>
      </c>
      <c r="T60" s="13">
        <f t="shared" si="16"/>
        <v>11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2.0</v>
      </c>
      <c r="G61" s="19">
        <v>0.0</v>
      </c>
      <c r="H61" s="19">
        <v>0.0</v>
      </c>
      <c r="I61" s="19">
        <v>3.0</v>
      </c>
      <c r="J61" s="19">
        <v>2.0</v>
      </c>
      <c r="K61" s="19">
        <v>1.0</v>
      </c>
      <c r="L61" s="19">
        <v>1.0</v>
      </c>
      <c r="M61" s="19">
        <v>1.0</v>
      </c>
      <c r="N61" s="19">
        <v>1.0</v>
      </c>
      <c r="O61" s="19">
        <v>0.0</v>
      </c>
      <c r="P61" s="19">
        <v>0.0</v>
      </c>
      <c r="Q61" s="19">
        <v>0.0</v>
      </c>
      <c r="R61" s="19">
        <v>0.0</v>
      </c>
      <c r="S61" s="19">
        <v>2.0</v>
      </c>
      <c r="T61" s="13">
        <f t="shared" si="16"/>
        <v>14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0.0</v>
      </c>
      <c r="I62" s="19">
        <v>2.0</v>
      </c>
      <c r="J62" s="19">
        <v>1.0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3">
        <f t="shared" si="16"/>
        <v>6</v>
      </c>
    </row>
    <row r="63" ht="12.75" customHeight="1">
      <c r="A63" s="18"/>
      <c r="B63" s="57">
        <v>6.0</v>
      </c>
      <c r="C63" s="52" t="s">
        <v>54</v>
      </c>
      <c r="D63" s="60"/>
      <c r="E63" s="19">
        <v>1.0</v>
      </c>
      <c r="F63" s="19">
        <v>0.0</v>
      </c>
      <c r="G63" s="19">
        <v>0.0</v>
      </c>
      <c r="H63" s="19">
        <v>0.0</v>
      </c>
      <c r="I63" s="19">
        <v>1.0</v>
      </c>
      <c r="J63" s="19">
        <v>1.0</v>
      </c>
      <c r="K63" s="19">
        <v>0.0</v>
      </c>
      <c r="L63" s="19">
        <v>1.0</v>
      </c>
      <c r="M63" s="19">
        <v>2.0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3">
        <f t="shared" si="16"/>
        <v>6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2.0</v>
      </c>
      <c r="P64" s="19">
        <v>0.0</v>
      </c>
      <c r="Q64" s="19">
        <v>0.0</v>
      </c>
      <c r="R64" s="19">
        <v>0.0</v>
      </c>
      <c r="S64" s="19">
        <v>1.0</v>
      </c>
      <c r="T64" s="13">
        <f t="shared" si="16"/>
        <v>3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S67" si="17">SUM(E57:E64)</f>
        <v>32</v>
      </c>
      <c r="F67" s="13">
        <f t="shared" si="17"/>
        <v>25</v>
      </c>
      <c r="G67" s="13">
        <f t="shared" si="17"/>
        <v>12</v>
      </c>
      <c r="H67" s="13">
        <f t="shared" si="17"/>
        <v>16</v>
      </c>
      <c r="I67" s="13">
        <f t="shared" si="17"/>
        <v>43</v>
      </c>
      <c r="J67" s="13">
        <f t="shared" si="17"/>
        <v>25</v>
      </c>
      <c r="K67" s="13">
        <f t="shared" si="17"/>
        <v>23</v>
      </c>
      <c r="L67" s="13">
        <f t="shared" si="17"/>
        <v>21</v>
      </c>
      <c r="M67" s="13">
        <f t="shared" si="17"/>
        <v>18</v>
      </c>
      <c r="N67" s="13">
        <f t="shared" si="17"/>
        <v>29</v>
      </c>
      <c r="O67" s="13">
        <f t="shared" si="17"/>
        <v>16</v>
      </c>
      <c r="P67" s="13">
        <f t="shared" si="17"/>
        <v>32</v>
      </c>
      <c r="Q67" s="13">
        <f t="shared" si="17"/>
        <v>16</v>
      </c>
      <c r="R67" s="13">
        <f t="shared" si="17"/>
        <v>23</v>
      </c>
      <c r="S67" s="13">
        <f t="shared" si="17"/>
        <v>30</v>
      </c>
      <c r="T67" s="13">
        <f t="shared" si="16"/>
        <v>361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6.0</v>
      </c>
      <c r="F69" s="19">
        <v>1.0</v>
      </c>
      <c r="G69" s="19">
        <v>4.0</v>
      </c>
      <c r="H69" s="19">
        <v>2.0</v>
      </c>
      <c r="I69" s="19">
        <v>13.0</v>
      </c>
      <c r="J69" s="19">
        <v>6.0</v>
      </c>
      <c r="K69" s="19">
        <v>17.0</v>
      </c>
      <c r="L69" s="19">
        <v>6.0</v>
      </c>
      <c r="M69" s="19">
        <v>1.0</v>
      </c>
      <c r="N69" s="19">
        <v>0.0</v>
      </c>
      <c r="O69" s="19">
        <v>4.0</v>
      </c>
      <c r="P69" s="19">
        <v>5.0</v>
      </c>
      <c r="Q69" s="19">
        <v>2.0</v>
      </c>
      <c r="R69" s="19">
        <v>4.0</v>
      </c>
      <c r="S69" s="19">
        <v>6.0</v>
      </c>
      <c r="T69" s="13">
        <f t="shared" ref="T69:T79" si="18">SUM(E69:S69)</f>
        <v>77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12.0</v>
      </c>
      <c r="F70" s="19">
        <v>6.0</v>
      </c>
      <c r="G70" s="19">
        <v>1.0</v>
      </c>
      <c r="H70" s="19">
        <v>3.0</v>
      </c>
      <c r="I70" s="19">
        <v>26.0</v>
      </c>
      <c r="J70" s="19">
        <v>3.0</v>
      </c>
      <c r="K70" s="19">
        <v>4.0</v>
      </c>
      <c r="L70" s="19">
        <v>1.0</v>
      </c>
      <c r="M70" s="19">
        <v>3.0</v>
      </c>
      <c r="N70" s="19">
        <v>0.0</v>
      </c>
      <c r="O70" s="19">
        <v>1.0</v>
      </c>
      <c r="P70" s="19">
        <v>11.0</v>
      </c>
      <c r="Q70" s="19">
        <v>0.0</v>
      </c>
      <c r="R70" s="19">
        <v>7.0</v>
      </c>
      <c r="S70" s="19">
        <v>4.0</v>
      </c>
      <c r="T70" s="13">
        <f t="shared" si="18"/>
        <v>82</v>
      </c>
    </row>
    <row r="71" ht="12.75" customHeight="1">
      <c r="A71" s="18"/>
      <c r="B71" s="57">
        <v>2.0</v>
      </c>
      <c r="C71" s="52" t="s">
        <v>58</v>
      </c>
      <c r="D71" s="60"/>
      <c r="E71" s="19">
        <v>1.0</v>
      </c>
      <c r="F71" s="19">
        <v>1.0</v>
      </c>
      <c r="G71" s="19">
        <v>2.0</v>
      </c>
      <c r="H71" s="19">
        <v>1.0</v>
      </c>
      <c r="I71" s="19">
        <v>3.0</v>
      </c>
      <c r="J71" s="19">
        <v>6.0</v>
      </c>
      <c r="K71" s="19">
        <v>5.0</v>
      </c>
      <c r="L71" s="19">
        <v>1.0</v>
      </c>
      <c r="M71" s="19">
        <v>0.0</v>
      </c>
      <c r="N71" s="19">
        <v>2.0</v>
      </c>
      <c r="O71" s="19">
        <v>12.0</v>
      </c>
      <c r="P71" s="19">
        <v>5.0</v>
      </c>
      <c r="Q71" s="19">
        <v>21.0</v>
      </c>
      <c r="R71" s="19">
        <v>6.0</v>
      </c>
      <c r="S71" s="19">
        <v>3.0</v>
      </c>
      <c r="T71" s="13">
        <f t="shared" si="18"/>
        <v>69</v>
      </c>
    </row>
    <row r="72" ht="12.75" customHeight="1">
      <c r="A72" s="18"/>
      <c r="B72" s="57">
        <v>3.0</v>
      </c>
      <c r="C72" s="52" t="s">
        <v>59</v>
      </c>
      <c r="D72" s="60"/>
      <c r="E72" s="19">
        <v>23.0</v>
      </c>
      <c r="F72" s="19">
        <v>27.0</v>
      </c>
      <c r="G72" s="19">
        <v>22.0</v>
      </c>
      <c r="H72" s="19">
        <v>17.0</v>
      </c>
      <c r="I72" s="19">
        <v>8.0</v>
      </c>
      <c r="J72" s="19">
        <v>2.0</v>
      </c>
      <c r="K72" s="19">
        <v>2.0</v>
      </c>
      <c r="L72" s="19">
        <v>2.0</v>
      </c>
      <c r="M72" s="19">
        <v>0.0</v>
      </c>
      <c r="N72" s="19">
        <v>1.0</v>
      </c>
      <c r="O72" s="19">
        <v>6.0</v>
      </c>
      <c r="P72" s="19">
        <v>20.0</v>
      </c>
      <c r="Q72" s="19">
        <v>2.0</v>
      </c>
      <c r="R72" s="19">
        <v>3.0</v>
      </c>
      <c r="S72" s="19">
        <v>10.0</v>
      </c>
      <c r="T72" s="13">
        <f t="shared" si="18"/>
        <v>145</v>
      </c>
    </row>
    <row r="73" ht="12.75" customHeight="1">
      <c r="A73" s="18"/>
      <c r="B73" s="57">
        <v>4.0</v>
      </c>
      <c r="C73" s="52" t="s">
        <v>60</v>
      </c>
      <c r="D73" s="60"/>
      <c r="E73" s="19">
        <v>1.0</v>
      </c>
      <c r="F73" s="19">
        <v>0.0</v>
      </c>
      <c r="G73" s="19">
        <v>0.0</v>
      </c>
      <c r="H73" s="19">
        <v>1.0</v>
      </c>
      <c r="I73" s="19">
        <v>0.0</v>
      </c>
      <c r="J73" s="19">
        <v>1.0</v>
      </c>
      <c r="K73" s="19">
        <v>0.0</v>
      </c>
      <c r="L73" s="19">
        <v>1.0</v>
      </c>
      <c r="M73" s="19">
        <v>1.0</v>
      </c>
      <c r="N73" s="19">
        <v>0.0</v>
      </c>
      <c r="O73" s="19">
        <v>0.0</v>
      </c>
      <c r="P73" s="19">
        <v>0.0</v>
      </c>
      <c r="Q73" s="19">
        <v>1.0</v>
      </c>
      <c r="R73" s="19">
        <v>1.0</v>
      </c>
      <c r="S73" s="19">
        <v>2.0</v>
      </c>
      <c r="T73" s="13">
        <f t="shared" si="18"/>
        <v>9</v>
      </c>
    </row>
    <row r="74" ht="12.75" customHeight="1">
      <c r="A74" s="18"/>
      <c r="B74" s="57">
        <v>5.0</v>
      </c>
      <c r="C74" s="52" t="s">
        <v>61</v>
      </c>
      <c r="D74" s="60"/>
      <c r="E74" s="19">
        <v>4.0</v>
      </c>
      <c r="F74" s="19">
        <v>3.0</v>
      </c>
      <c r="G74" s="19">
        <v>2.0</v>
      </c>
      <c r="H74" s="19">
        <v>3.0</v>
      </c>
      <c r="I74" s="19">
        <v>6.0</v>
      </c>
      <c r="J74" s="19">
        <v>5.0</v>
      </c>
      <c r="K74" s="19">
        <v>7.0</v>
      </c>
      <c r="L74" s="19">
        <v>0.0</v>
      </c>
      <c r="M74" s="19">
        <v>1.0</v>
      </c>
      <c r="N74" s="19">
        <v>0.0</v>
      </c>
      <c r="O74" s="19">
        <v>2.0</v>
      </c>
      <c r="P74" s="19">
        <v>5.0</v>
      </c>
      <c r="Q74" s="19">
        <v>0.0</v>
      </c>
      <c r="R74" s="19">
        <v>0.0</v>
      </c>
      <c r="S74" s="19">
        <v>4.0</v>
      </c>
      <c r="T74" s="13">
        <f t="shared" si="18"/>
        <v>42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1.0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3.0</v>
      </c>
      <c r="T75" s="13">
        <f t="shared" si="18"/>
        <v>6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2.0</v>
      </c>
      <c r="K76" s="19">
        <v>0.0</v>
      </c>
      <c r="L76" s="19">
        <v>1.0</v>
      </c>
      <c r="M76" s="19">
        <v>0.0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9">
        <v>1.0</v>
      </c>
      <c r="T76" s="13">
        <f t="shared" si="18"/>
        <v>6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S79" si="19">SUM(E69:E76)</f>
        <v>47</v>
      </c>
      <c r="F79" s="13">
        <f t="shared" si="19"/>
        <v>39</v>
      </c>
      <c r="G79" s="13">
        <f t="shared" si="19"/>
        <v>32</v>
      </c>
      <c r="H79" s="13">
        <f t="shared" si="19"/>
        <v>27</v>
      </c>
      <c r="I79" s="13">
        <f t="shared" si="19"/>
        <v>56</v>
      </c>
      <c r="J79" s="13">
        <f t="shared" si="19"/>
        <v>25</v>
      </c>
      <c r="K79" s="13">
        <f t="shared" si="19"/>
        <v>35</v>
      </c>
      <c r="L79" s="13">
        <f t="shared" si="19"/>
        <v>13</v>
      </c>
      <c r="M79" s="13">
        <f t="shared" si="19"/>
        <v>7</v>
      </c>
      <c r="N79" s="13">
        <f t="shared" si="19"/>
        <v>3</v>
      </c>
      <c r="O79" s="13">
        <f t="shared" si="19"/>
        <v>26</v>
      </c>
      <c r="P79" s="13">
        <f t="shared" si="19"/>
        <v>46</v>
      </c>
      <c r="Q79" s="13">
        <f t="shared" si="19"/>
        <v>26</v>
      </c>
      <c r="R79" s="13">
        <f t="shared" si="19"/>
        <v>21</v>
      </c>
      <c r="S79" s="13">
        <f t="shared" si="19"/>
        <v>33</v>
      </c>
      <c r="T79" s="13">
        <f t="shared" si="18"/>
        <v>436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8.0</v>
      </c>
      <c r="F81" s="19">
        <v>7.0</v>
      </c>
      <c r="G81" s="19">
        <v>6.0</v>
      </c>
      <c r="H81" s="19">
        <v>4.0</v>
      </c>
      <c r="I81" s="19">
        <v>5.0</v>
      </c>
      <c r="J81" s="19">
        <v>4.0</v>
      </c>
      <c r="K81" s="19">
        <v>4.0</v>
      </c>
      <c r="L81" s="19">
        <v>5.0</v>
      </c>
      <c r="M81" s="19">
        <v>8.0</v>
      </c>
      <c r="N81" s="19">
        <v>5.0</v>
      </c>
      <c r="O81" s="19">
        <v>8.0</v>
      </c>
      <c r="P81" s="19">
        <v>3.0</v>
      </c>
      <c r="Q81" s="19">
        <v>4.0</v>
      </c>
      <c r="R81" s="19">
        <v>9.0</v>
      </c>
      <c r="S81" s="19">
        <v>3.0</v>
      </c>
      <c r="T81" s="13">
        <f t="shared" ref="T81:T91" si="20">SUM(E81:S81)</f>
        <v>83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28.0</v>
      </c>
      <c r="F82" s="19">
        <v>27.0</v>
      </c>
      <c r="G82" s="19">
        <v>43.0</v>
      </c>
      <c r="H82" s="19">
        <v>49.0</v>
      </c>
      <c r="I82" s="19">
        <v>8.0</v>
      </c>
      <c r="J82" s="19">
        <v>10.0</v>
      </c>
      <c r="K82" s="19">
        <v>7.0</v>
      </c>
      <c r="L82" s="19">
        <v>28.0</v>
      </c>
      <c r="M82" s="19">
        <v>48.0</v>
      </c>
      <c r="N82" s="19">
        <v>31.0</v>
      </c>
      <c r="O82" s="19">
        <v>9.0</v>
      </c>
      <c r="P82" s="19">
        <v>17.0</v>
      </c>
      <c r="Q82" s="19">
        <v>49.0</v>
      </c>
      <c r="R82" s="19">
        <v>25.0</v>
      </c>
      <c r="S82" s="19">
        <v>12.0</v>
      </c>
      <c r="T82" s="13">
        <f t="shared" si="20"/>
        <v>391</v>
      </c>
    </row>
    <row r="83" ht="12.75" customHeight="1">
      <c r="A83" s="18"/>
      <c r="B83" s="57">
        <v>2.0</v>
      </c>
      <c r="C83" s="52" t="s">
        <v>66</v>
      </c>
      <c r="D83" s="60"/>
      <c r="E83" s="19">
        <v>5.0</v>
      </c>
      <c r="F83" s="19">
        <v>0.0</v>
      </c>
      <c r="G83" s="19">
        <v>0.0</v>
      </c>
      <c r="H83" s="19">
        <v>1.0</v>
      </c>
      <c r="I83" s="19">
        <v>2.0</v>
      </c>
      <c r="J83" s="19">
        <v>5.0</v>
      </c>
      <c r="K83" s="19">
        <v>1.0</v>
      </c>
      <c r="L83" s="19">
        <v>1.0</v>
      </c>
      <c r="M83" s="19">
        <v>2.0</v>
      </c>
      <c r="N83" s="19">
        <v>0.0</v>
      </c>
      <c r="O83" s="19">
        <v>1.0</v>
      </c>
      <c r="P83" s="19">
        <v>4.0</v>
      </c>
      <c r="Q83" s="19">
        <v>2.0</v>
      </c>
      <c r="R83" s="19">
        <v>1.0</v>
      </c>
      <c r="S83" s="19">
        <v>1.0</v>
      </c>
      <c r="T83" s="13">
        <f t="shared" si="20"/>
        <v>26</v>
      </c>
    </row>
    <row r="84" ht="12.75" customHeight="1">
      <c r="A84" s="18"/>
      <c r="B84" s="57">
        <v>3.0</v>
      </c>
      <c r="C84" s="52" t="s">
        <v>67</v>
      </c>
      <c r="D84" s="60"/>
      <c r="E84" s="19">
        <v>1.0</v>
      </c>
      <c r="F84" s="19">
        <v>0.0</v>
      </c>
      <c r="G84" s="19">
        <v>0.0</v>
      </c>
      <c r="H84" s="19">
        <v>0.0</v>
      </c>
      <c r="I84" s="19">
        <v>2.0</v>
      </c>
      <c r="J84" s="19">
        <v>0.0</v>
      </c>
      <c r="K84" s="19">
        <v>0.0</v>
      </c>
      <c r="L84" s="19">
        <v>1.0</v>
      </c>
      <c r="M84" s="19">
        <v>1.0</v>
      </c>
      <c r="N84" s="19">
        <v>2.0</v>
      </c>
      <c r="O84" s="19">
        <v>1.0</v>
      </c>
      <c r="P84" s="19">
        <v>0.0</v>
      </c>
      <c r="Q84" s="19">
        <v>0.0</v>
      </c>
      <c r="R84" s="19">
        <v>0.0</v>
      </c>
      <c r="S84" s="19">
        <v>1.0</v>
      </c>
      <c r="T84" s="13">
        <f t="shared" si="20"/>
        <v>9</v>
      </c>
    </row>
    <row r="85" ht="12.75" customHeight="1">
      <c r="A85" s="18"/>
      <c r="B85" s="57">
        <v>4.0</v>
      </c>
      <c r="C85" s="52" t="s">
        <v>68</v>
      </c>
      <c r="D85" s="60"/>
      <c r="E85" s="19">
        <v>1.0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2.0</v>
      </c>
      <c r="M85" s="19">
        <v>1.0</v>
      </c>
      <c r="N85" s="19">
        <v>0.0</v>
      </c>
      <c r="O85" s="19">
        <v>0.0</v>
      </c>
      <c r="P85" s="19">
        <v>0.0</v>
      </c>
      <c r="Q85" s="19">
        <v>2.0</v>
      </c>
      <c r="R85" s="19">
        <v>0.0</v>
      </c>
      <c r="S85" s="19">
        <v>2.0</v>
      </c>
      <c r="T85" s="13">
        <f t="shared" si="20"/>
        <v>9</v>
      </c>
    </row>
    <row r="86" ht="12.75" customHeight="1">
      <c r="A86" s="18"/>
      <c r="B86" s="57">
        <v>5.0</v>
      </c>
      <c r="C86" s="52" t="s">
        <v>69</v>
      </c>
      <c r="D86" s="60"/>
      <c r="E86" s="19">
        <v>1.0</v>
      </c>
      <c r="F86" s="19">
        <v>1.0</v>
      </c>
      <c r="G86" s="19">
        <v>2.0</v>
      </c>
      <c r="H86" s="19">
        <v>0.0</v>
      </c>
      <c r="I86" s="19">
        <v>1.0</v>
      </c>
      <c r="J86" s="19">
        <v>6.0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2.0</v>
      </c>
      <c r="R86" s="19">
        <v>0.0</v>
      </c>
      <c r="S86" s="19">
        <v>0.0</v>
      </c>
      <c r="T86" s="13">
        <f t="shared" si="20"/>
        <v>13</v>
      </c>
    </row>
    <row r="87" ht="12.75" customHeight="1">
      <c r="A87" s="18"/>
      <c r="B87" s="57">
        <v>6.0</v>
      </c>
      <c r="C87" s="52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2.0</v>
      </c>
      <c r="S87" s="19">
        <v>0.0</v>
      </c>
      <c r="T87" s="13">
        <f t="shared" si="20"/>
        <v>5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1.0</v>
      </c>
      <c r="Q88" s="19">
        <v>0.0</v>
      </c>
      <c r="R88" s="19">
        <v>0.0</v>
      </c>
      <c r="S88" s="19">
        <v>0.0</v>
      </c>
      <c r="T88" s="13">
        <f t="shared" si="20"/>
        <v>2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S91" si="21">SUM(E81:E88)</f>
        <v>45</v>
      </c>
      <c r="F91" s="13">
        <f t="shared" si="21"/>
        <v>36</v>
      </c>
      <c r="G91" s="13">
        <f t="shared" si="21"/>
        <v>52</v>
      </c>
      <c r="H91" s="13">
        <f t="shared" si="21"/>
        <v>54</v>
      </c>
      <c r="I91" s="13">
        <f t="shared" si="21"/>
        <v>18</v>
      </c>
      <c r="J91" s="13">
        <f t="shared" si="21"/>
        <v>26</v>
      </c>
      <c r="K91" s="13">
        <f t="shared" si="21"/>
        <v>12</v>
      </c>
      <c r="L91" s="13">
        <f t="shared" si="21"/>
        <v>38</v>
      </c>
      <c r="M91" s="13">
        <f t="shared" si="21"/>
        <v>60</v>
      </c>
      <c r="N91" s="13">
        <f t="shared" si="21"/>
        <v>38</v>
      </c>
      <c r="O91" s="13">
        <f t="shared" si="21"/>
        <v>19</v>
      </c>
      <c r="P91" s="13">
        <f t="shared" si="21"/>
        <v>25</v>
      </c>
      <c r="Q91" s="13">
        <f t="shared" si="21"/>
        <v>59</v>
      </c>
      <c r="R91" s="13">
        <f t="shared" si="21"/>
        <v>37</v>
      </c>
      <c r="S91" s="13">
        <f t="shared" si="21"/>
        <v>19</v>
      </c>
      <c r="T91" s="13">
        <f t="shared" si="20"/>
        <v>538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5.0</v>
      </c>
      <c r="G93" s="19">
        <v>8.0</v>
      </c>
      <c r="H93" s="19">
        <v>4.0</v>
      </c>
      <c r="I93" s="19">
        <v>0.0</v>
      </c>
      <c r="J93" s="19">
        <v>3.0</v>
      </c>
      <c r="K93" s="19">
        <v>2.0</v>
      </c>
      <c r="L93" s="19">
        <v>3.0</v>
      </c>
      <c r="M93" s="19">
        <v>4.0</v>
      </c>
      <c r="N93" s="19">
        <v>4.0</v>
      </c>
      <c r="O93" s="19">
        <v>9.0</v>
      </c>
      <c r="P93" s="19">
        <v>3.0</v>
      </c>
      <c r="Q93" s="19">
        <v>4.0</v>
      </c>
      <c r="R93" s="19">
        <v>7.0</v>
      </c>
      <c r="S93" s="19">
        <v>3.0</v>
      </c>
      <c r="T93" s="13">
        <f t="shared" ref="T93:T103" si="22">SUM(E93:S93)</f>
        <v>59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0.0</v>
      </c>
      <c r="F94" s="19">
        <v>2.0</v>
      </c>
      <c r="G94" s="19">
        <v>1.0</v>
      </c>
      <c r="H94" s="19">
        <v>4.0</v>
      </c>
      <c r="I94" s="19">
        <v>2.0</v>
      </c>
      <c r="J94" s="19">
        <v>1.0</v>
      </c>
      <c r="K94" s="19">
        <v>3.0</v>
      </c>
      <c r="L94" s="19">
        <v>0.0</v>
      </c>
      <c r="M94" s="19">
        <v>1.0</v>
      </c>
      <c r="N94" s="19">
        <v>5.0</v>
      </c>
      <c r="O94" s="19">
        <v>0.0</v>
      </c>
      <c r="P94" s="19">
        <v>1.0</v>
      </c>
      <c r="Q94" s="19">
        <v>7.0</v>
      </c>
      <c r="R94" s="19">
        <v>0.0</v>
      </c>
      <c r="S94" s="19">
        <v>0.0</v>
      </c>
      <c r="T94" s="13">
        <f t="shared" si="22"/>
        <v>27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0.0</v>
      </c>
      <c r="G95" s="19">
        <v>19.0</v>
      </c>
      <c r="H95" s="19">
        <v>10.0</v>
      </c>
      <c r="I95" s="19">
        <v>14.0</v>
      </c>
      <c r="J95" s="19">
        <v>13.0</v>
      </c>
      <c r="K95" s="19">
        <v>12.0</v>
      </c>
      <c r="L95" s="19">
        <v>14.0</v>
      </c>
      <c r="M95" s="19">
        <v>19.0</v>
      </c>
      <c r="N95" s="19">
        <v>16.0</v>
      </c>
      <c r="O95" s="19">
        <v>0.0</v>
      </c>
      <c r="P95" s="19">
        <v>3.0</v>
      </c>
      <c r="Q95" s="19">
        <v>1.0</v>
      </c>
      <c r="R95" s="19">
        <v>6.0</v>
      </c>
      <c r="S95" s="19">
        <v>2.0</v>
      </c>
      <c r="T95" s="13">
        <f t="shared" si="22"/>
        <v>129</v>
      </c>
    </row>
    <row r="96" ht="12.75" customHeight="1">
      <c r="A96" s="18"/>
      <c r="B96" s="57">
        <v>3.0</v>
      </c>
      <c r="C96" s="52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2.0</v>
      </c>
      <c r="S96" s="19">
        <v>0.0</v>
      </c>
      <c r="T96" s="13">
        <f t="shared" si="22"/>
        <v>5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1.0</v>
      </c>
      <c r="G97" s="19">
        <v>3.0</v>
      </c>
      <c r="H97" s="19">
        <v>3.0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2.0</v>
      </c>
      <c r="O97" s="19">
        <v>3.0</v>
      </c>
      <c r="P97" s="19">
        <v>5.0</v>
      </c>
      <c r="Q97" s="19">
        <v>11.0</v>
      </c>
      <c r="R97" s="19">
        <v>10.0</v>
      </c>
      <c r="S97" s="19">
        <v>2.0</v>
      </c>
      <c r="T97" s="13">
        <f t="shared" si="22"/>
        <v>40</v>
      </c>
    </row>
    <row r="98" ht="12.75" customHeight="1">
      <c r="A98" s="18"/>
      <c r="B98" s="57">
        <v>5.0</v>
      </c>
      <c r="C98" s="52" t="s">
        <v>78</v>
      </c>
      <c r="D98" s="60"/>
      <c r="E98" s="19">
        <v>1.0</v>
      </c>
      <c r="F98" s="19">
        <v>0.0</v>
      </c>
      <c r="G98" s="19">
        <v>2.0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5.0</v>
      </c>
      <c r="P98" s="19">
        <v>0.0</v>
      </c>
      <c r="Q98" s="19">
        <v>4.0</v>
      </c>
      <c r="R98" s="19">
        <v>6.0</v>
      </c>
      <c r="S98" s="19">
        <v>1.0</v>
      </c>
      <c r="T98" s="13">
        <f t="shared" si="22"/>
        <v>20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1.0</v>
      </c>
      <c r="P99" s="19">
        <v>0.0</v>
      </c>
      <c r="Q99" s="19">
        <v>1.0</v>
      </c>
      <c r="R99" s="19">
        <v>0.0</v>
      </c>
      <c r="S99" s="19">
        <v>0.0</v>
      </c>
      <c r="T99" s="13">
        <f t="shared" si="22"/>
        <v>3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S103" si="23">SUM(E93:E100)</f>
        <v>2</v>
      </c>
      <c r="F103" s="13">
        <f t="shared" si="23"/>
        <v>8</v>
      </c>
      <c r="G103" s="13">
        <f t="shared" si="23"/>
        <v>33</v>
      </c>
      <c r="H103" s="13">
        <f t="shared" si="23"/>
        <v>22</v>
      </c>
      <c r="I103" s="13">
        <f t="shared" si="23"/>
        <v>17</v>
      </c>
      <c r="J103" s="13">
        <f t="shared" si="23"/>
        <v>18</v>
      </c>
      <c r="K103" s="13">
        <f t="shared" si="23"/>
        <v>17</v>
      </c>
      <c r="L103" s="13">
        <f t="shared" si="23"/>
        <v>17</v>
      </c>
      <c r="M103" s="13">
        <f t="shared" si="23"/>
        <v>24</v>
      </c>
      <c r="N103" s="13">
        <f t="shared" si="23"/>
        <v>27</v>
      </c>
      <c r="O103" s="13">
        <f t="shared" si="23"/>
        <v>19</v>
      </c>
      <c r="P103" s="13">
        <f t="shared" si="23"/>
        <v>12</v>
      </c>
      <c r="Q103" s="13">
        <f t="shared" si="23"/>
        <v>28</v>
      </c>
      <c r="R103" s="13">
        <f t="shared" si="23"/>
        <v>31</v>
      </c>
      <c r="S103" s="13">
        <f t="shared" si="23"/>
        <v>8</v>
      </c>
      <c r="T103" s="13">
        <f t="shared" si="22"/>
        <v>283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2.0</v>
      </c>
      <c r="T105" s="13">
        <f t="shared" ref="T105:T115" si="24">SUM(E105:S105)</f>
        <v>5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2.0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1.0</v>
      </c>
      <c r="R106" s="19">
        <v>1.0</v>
      </c>
      <c r="S106" s="19">
        <v>1.0</v>
      </c>
      <c r="T106" s="13">
        <f t="shared" si="24"/>
        <v>6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S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3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1</v>
      </c>
      <c r="R115" s="13">
        <f t="shared" si="25"/>
        <v>2</v>
      </c>
      <c r="S115" s="13">
        <f t="shared" si="25"/>
        <v>3</v>
      </c>
      <c r="T115" s="13">
        <f t="shared" si="24"/>
        <v>12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1.0</v>
      </c>
      <c r="F117" s="19">
        <v>0.0</v>
      </c>
      <c r="G117" s="19">
        <v>1.0</v>
      </c>
      <c r="H117" s="19">
        <v>2.0</v>
      </c>
      <c r="I117" s="19">
        <v>9.0</v>
      </c>
      <c r="J117" s="19">
        <v>15.0</v>
      </c>
      <c r="K117" s="19">
        <v>8.0</v>
      </c>
      <c r="L117" s="19">
        <v>1.0</v>
      </c>
      <c r="M117" s="19">
        <v>1.0</v>
      </c>
      <c r="N117" s="19">
        <v>5.0</v>
      </c>
      <c r="O117" s="19">
        <v>0.0</v>
      </c>
      <c r="P117" s="19">
        <v>4.0</v>
      </c>
      <c r="Q117" s="19">
        <v>1.0</v>
      </c>
      <c r="R117" s="19">
        <v>4.0</v>
      </c>
      <c r="S117" s="19">
        <v>0.0</v>
      </c>
      <c r="T117" s="13">
        <f t="shared" ref="T117:T127" si="26">SUM(E117:S117)</f>
        <v>52</v>
      </c>
      <c r="U117" s="5"/>
      <c r="V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1.0</v>
      </c>
      <c r="F118" s="19">
        <v>3.0</v>
      </c>
      <c r="G118" s="19">
        <v>2.0</v>
      </c>
      <c r="H118" s="19">
        <v>0.0</v>
      </c>
      <c r="I118" s="19">
        <v>6.0</v>
      </c>
      <c r="J118" s="19">
        <v>11.0</v>
      </c>
      <c r="K118" s="19">
        <v>10.0</v>
      </c>
      <c r="L118" s="19">
        <v>1.0</v>
      </c>
      <c r="M118" s="19">
        <v>4.0</v>
      </c>
      <c r="N118" s="19">
        <v>1.0</v>
      </c>
      <c r="O118" s="19">
        <v>0.0</v>
      </c>
      <c r="P118" s="19">
        <v>0.0</v>
      </c>
      <c r="Q118" s="19">
        <v>2.0</v>
      </c>
      <c r="R118" s="19">
        <v>0.0</v>
      </c>
      <c r="S118" s="19">
        <v>2.0</v>
      </c>
      <c r="T118" s="13">
        <f t="shared" si="26"/>
        <v>43</v>
      </c>
      <c r="U118" s="5"/>
      <c r="V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3.0</v>
      </c>
      <c r="N119" s="19">
        <v>1.0</v>
      </c>
      <c r="O119" s="19">
        <v>1.0</v>
      </c>
      <c r="P119" s="19">
        <v>0.0</v>
      </c>
      <c r="Q119" s="19">
        <v>0.0</v>
      </c>
      <c r="R119" s="19">
        <v>1.0</v>
      </c>
      <c r="S119" s="19">
        <v>0.0</v>
      </c>
      <c r="T119" s="13">
        <f t="shared" si="26"/>
        <v>7</v>
      </c>
      <c r="U119" s="5"/>
      <c r="V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1.0</v>
      </c>
      <c r="S120" s="19">
        <v>0.0</v>
      </c>
      <c r="T120" s="13">
        <f t="shared" si="26"/>
        <v>3</v>
      </c>
      <c r="U120" s="5"/>
      <c r="V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  <c r="U121" s="5"/>
      <c r="V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  <c r="U122" s="5"/>
      <c r="V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13">
        <f t="shared" si="26"/>
        <v>0</v>
      </c>
      <c r="U123" s="5"/>
      <c r="V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13">
        <f t="shared" si="26"/>
        <v>0</v>
      </c>
      <c r="U124" s="5"/>
      <c r="V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13">
        <f t="shared" si="26"/>
        <v>0</v>
      </c>
      <c r="U125" s="5"/>
      <c r="V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13">
        <f t="shared" si="26"/>
        <v>0</v>
      </c>
      <c r="U126" s="5"/>
      <c r="V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S127" si="27">SUM(E117:E120)</f>
        <v>2</v>
      </c>
      <c r="F127" s="61">
        <f t="shared" si="27"/>
        <v>3</v>
      </c>
      <c r="G127" s="61">
        <f t="shared" si="27"/>
        <v>3</v>
      </c>
      <c r="H127" s="61">
        <f t="shared" si="27"/>
        <v>2</v>
      </c>
      <c r="I127" s="61">
        <f t="shared" si="27"/>
        <v>15</v>
      </c>
      <c r="J127" s="61">
        <f t="shared" si="27"/>
        <v>27</v>
      </c>
      <c r="K127" s="61">
        <f t="shared" si="27"/>
        <v>19</v>
      </c>
      <c r="L127" s="61">
        <f t="shared" si="27"/>
        <v>2</v>
      </c>
      <c r="M127" s="61">
        <f t="shared" si="27"/>
        <v>8</v>
      </c>
      <c r="N127" s="61">
        <f t="shared" si="27"/>
        <v>7</v>
      </c>
      <c r="O127" s="61">
        <f t="shared" si="27"/>
        <v>1</v>
      </c>
      <c r="P127" s="61">
        <f t="shared" si="27"/>
        <v>5</v>
      </c>
      <c r="Q127" s="61">
        <f t="shared" si="27"/>
        <v>3</v>
      </c>
      <c r="R127" s="61">
        <f t="shared" si="27"/>
        <v>6</v>
      </c>
      <c r="S127" s="61">
        <f t="shared" si="27"/>
        <v>2</v>
      </c>
      <c r="T127" s="13">
        <f t="shared" si="26"/>
        <v>105</v>
      </c>
      <c r="U127" s="5"/>
      <c r="V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5"/>
      <c r="V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1.0</v>
      </c>
      <c r="G129" s="19">
        <v>0.0</v>
      </c>
      <c r="H129" s="19">
        <v>2.0</v>
      </c>
      <c r="I129" s="19">
        <v>1.0</v>
      </c>
      <c r="J129" s="19">
        <v>0.0</v>
      </c>
      <c r="K129" s="19">
        <v>0.0</v>
      </c>
      <c r="L129" s="19">
        <v>4.0</v>
      </c>
      <c r="M129" s="19">
        <v>0.0</v>
      </c>
      <c r="N129" s="19">
        <v>0.0</v>
      </c>
      <c r="O129" s="19">
        <v>3.0</v>
      </c>
      <c r="P129" s="19">
        <v>2.0</v>
      </c>
      <c r="Q129" s="19">
        <v>0.0</v>
      </c>
      <c r="R129" s="19">
        <v>0.0</v>
      </c>
      <c r="S129" s="19">
        <v>4.0</v>
      </c>
      <c r="T129" s="13">
        <f t="shared" ref="T129:T139" si="28">SUM(E129:S129)</f>
        <v>17</v>
      </c>
      <c r="U129" s="5"/>
      <c r="V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0.0</v>
      </c>
      <c r="G130" s="19">
        <v>1.0</v>
      </c>
      <c r="H130" s="19">
        <v>2.0</v>
      </c>
      <c r="I130" s="19">
        <v>4.0</v>
      </c>
      <c r="J130" s="19">
        <v>1.0</v>
      </c>
      <c r="K130" s="19">
        <v>1.0</v>
      </c>
      <c r="L130" s="19">
        <v>2.0</v>
      </c>
      <c r="M130" s="19">
        <v>1.0</v>
      </c>
      <c r="N130" s="19">
        <v>3.0</v>
      </c>
      <c r="O130" s="19">
        <v>1.0</v>
      </c>
      <c r="P130" s="19">
        <v>2.0</v>
      </c>
      <c r="Q130" s="19">
        <v>1.0</v>
      </c>
      <c r="R130" s="19">
        <v>4.0</v>
      </c>
      <c r="S130" s="19">
        <v>8.0</v>
      </c>
      <c r="T130" s="13">
        <f t="shared" si="28"/>
        <v>31</v>
      </c>
      <c r="U130" s="1"/>
      <c r="V130" s="1"/>
    </row>
    <row r="131" ht="12.75" customHeight="1">
      <c r="A131" s="18"/>
      <c r="B131" s="57">
        <v>2.0</v>
      </c>
      <c r="C131" s="52" t="s">
        <v>98</v>
      </c>
      <c r="D131" s="58"/>
      <c r="E131" s="19">
        <v>2.0</v>
      </c>
      <c r="F131" s="19">
        <v>1.0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0.0</v>
      </c>
      <c r="M131" s="19">
        <v>2.0</v>
      </c>
      <c r="N131" s="19">
        <v>2.0</v>
      </c>
      <c r="O131" s="19">
        <v>0.0</v>
      </c>
      <c r="P131" s="19">
        <v>3.0</v>
      </c>
      <c r="Q131" s="19">
        <v>1.0</v>
      </c>
      <c r="R131" s="19">
        <v>0.0</v>
      </c>
      <c r="S131" s="19">
        <v>0.0</v>
      </c>
      <c r="T131" s="13">
        <f t="shared" si="28"/>
        <v>12</v>
      </c>
      <c r="U131" s="54"/>
      <c r="V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1.0</v>
      </c>
      <c r="T132" s="13">
        <f t="shared" si="28"/>
        <v>1</v>
      </c>
      <c r="U132" s="5"/>
      <c r="V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1.0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1</v>
      </c>
      <c r="U133" s="5"/>
      <c r="V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4.0</v>
      </c>
      <c r="G134" s="19">
        <v>13.0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17</v>
      </c>
      <c r="U134" s="5"/>
      <c r="V134" s="5"/>
    </row>
    <row r="135" ht="12.75" customHeight="1">
      <c r="A135" s="18"/>
      <c r="B135" s="57">
        <v>6.0</v>
      </c>
      <c r="C135" s="52" t="s">
        <v>102</v>
      </c>
      <c r="D135" s="60"/>
      <c r="E135" s="19">
        <v>3.0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1.0</v>
      </c>
      <c r="N135" s="19">
        <v>1.0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6</v>
      </c>
      <c r="U135" s="5"/>
      <c r="V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  <c r="U136" s="5"/>
      <c r="V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  <c r="U137" s="5"/>
      <c r="V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  <c r="U138" s="5"/>
      <c r="V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S139" si="29">SUM(E129:E136)</f>
        <v>5</v>
      </c>
      <c r="F139" s="13">
        <f t="shared" si="29"/>
        <v>7</v>
      </c>
      <c r="G139" s="13">
        <f t="shared" si="29"/>
        <v>14</v>
      </c>
      <c r="H139" s="13">
        <f t="shared" si="29"/>
        <v>5</v>
      </c>
      <c r="I139" s="13">
        <f t="shared" si="29"/>
        <v>5</v>
      </c>
      <c r="J139" s="13">
        <f t="shared" si="29"/>
        <v>1</v>
      </c>
      <c r="K139" s="13">
        <f t="shared" si="29"/>
        <v>1</v>
      </c>
      <c r="L139" s="13">
        <f t="shared" si="29"/>
        <v>6</v>
      </c>
      <c r="M139" s="13">
        <f t="shared" si="29"/>
        <v>5</v>
      </c>
      <c r="N139" s="13">
        <f t="shared" si="29"/>
        <v>6</v>
      </c>
      <c r="O139" s="13">
        <f t="shared" si="29"/>
        <v>4</v>
      </c>
      <c r="P139" s="13">
        <f t="shared" si="29"/>
        <v>7</v>
      </c>
      <c r="Q139" s="13">
        <f t="shared" si="29"/>
        <v>2</v>
      </c>
      <c r="R139" s="13">
        <f t="shared" si="29"/>
        <v>4</v>
      </c>
      <c r="S139" s="13">
        <f t="shared" si="29"/>
        <v>13</v>
      </c>
      <c r="T139" s="13">
        <f t="shared" si="28"/>
        <v>85</v>
      </c>
      <c r="U139" s="5"/>
      <c r="V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5"/>
      <c r="V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1.0</v>
      </c>
      <c r="S141" s="19">
        <v>0.0</v>
      </c>
      <c r="T141" s="13">
        <f t="shared" ref="T141:T151" si="30">SUM(E141:S141)</f>
        <v>4</v>
      </c>
      <c r="U141" s="1"/>
      <c r="V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1.0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1</v>
      </c>
      <c r="U142" s="54"/>
      <c r="V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  <c r="U143" s="5"/>
      <c r="V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  <c r="U145" s="5"/>
      <c r="V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1.0</v>
      </c>
      <c r="N146" s="19">
        <v>0.0</v>
      </c>
      <c r="O146" s="19">
        <v>0.0</v>
      </c>
      <c r="P146" s="19">
        <v>0.0</v>
      </c>
      <c r="Q146" s="19">
        <v>1.0</v>
      </c>
      <c r="R146" s="19">
        <v>0.0</v>
      </c>
      <c r="S146" s="19">
        <v>0.0</v>
      </c>
      <c r="T146" s="13">
        <f t="shared" si="30"/>
        <v>2</v>
      </c>
      <c r="U146" s="5"/>
      <c r="V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0</v>
      </c>
      <c r="U147" s="5"/>
      <c r="V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  <c r="U149" s="5"/>
      <c r="V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  <c r="U150" s="5"/>
      <c r="V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S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2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1</v>
      </c>
      <c r="R151" s="13">
        <f t="shared" si="31"/>
        <v>1</v>
      </c>
      <c r="S151" s="13">
        <f t="shared" si="31"/>
        <v>0</v>
      </c>
      <c r="T151" s="13">
        <f t="shared" si="30"/>
        <v>7</v>
      </c>
      <c r="U151" s="1"/>
      <c r="V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13"/>
      <c r="U152" s="54"/>
      <c r="V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2.0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3">
        <f t="shared" ref="T153:T162" si="32">SUM(E153:S153)</f>
        <v>3</v>
      </c>
      <c r="U153" s="5"/>
      <c r="V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4.0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3">
        <f t="shared" si="32"/>
        <v>6</v>
      </c>
      <c r="U154" s="5"/>
      <c r="V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1</v>
      </c>
      <c r="U155" s="5"/>
      <c r="V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0</v>
      </c>
      <c r="U156" s="5"/>
      <c r="V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0</v>
      </c>
      <c r="U157" s="5"/>
      <c r="V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2"/>
        <v>0</v>
      </c>
      <c r="U158" s="5"/>
      <c r="V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2"/>
        <v>0</v>
      </c>
      <c r="U159" s="5"/>
      <c r="V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2"/>
        <v>0</v>
      </c>
      <c r="U160" s="5"/>
      <c r="V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  <c r="U161" s="5"/>
      <c r="V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  <c r="U162" s="5"/>
      <c r="V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S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2</v>
      </c>
      <c r="N163" s="13">
        <f t="shared" si="33"/>
        <v>4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>SUM(E164:S164)</f>
        <v>0</v>
      </c>
      <c r="U163" s="5"/>
      <c r="V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5"/>
      <c r="V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1.0</v>
      </c>
      <c r="T165" s="13">
        <f t="shared" ref="T165:T175" si="34">SUM(E165:S165)</f>
        <v>2</v>
      </c>
      <c r="U165" s="1"/>
      <c r="V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4"/>
        <v>2</v>
      </c>
      <c r="U166" s="54"/>
      <c r="V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1.0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1</v>
      </c>
      <c r="U167" s="5"/>
      <c r="V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0</v>
      </c>
      <c r="U168" s="5"/>
      <c r="V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1</v>
      </c>
      <c r="U169" s="5"/>
      <c r="V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2.0</v>
      </c>
      <c r="S170" s="19">
        <v>0.0</v>
      </c>
      <c r="T170" s="13">
        <f t="shared" si="34"/>
        <v>2</v>
      </c>
      <c r="U170" s="5"/>
      <c r="V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  <c r="U171" s="5"/>
      <c r="V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1.0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1</v>
      </c>
      <c r="U172" s="5"/>
      <c r="V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4"/>
        <v>0</v>
      </c>
      <c r="U173" s="5"/>
      <c r="V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4"/>
        <v>0</v>
      </c>
      <c r="U174" s="5"/>
      <c r="V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S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0</v>
      </c>
      <c r="R175" s="13">
        <f t="shared" si="35"/>
        <v>3</v>
      </c>
      <c r="S175" s="13">
        <f t="shared" si="35"/>
        <v>1</v>
      </c>
      <c r="T175" s="13">
        <f t="shared" si="34"/>
        <v>9</v>
      </c>
      <c r="U175" s="5"/>
      <c r="V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1"/>
      <c r="V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2.0</v>
      </c>
      <c r="J177" s="19">
        <v>3.0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2.0</v>
      </c>
      <c r="S177" s="19">
        <v>1.0</v>
      </c>
      <c r="T177" s="13">
        <f t="shared" ref="T177:T187" si="36">SUM(E177:S177)</f>
        <v>9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4.0</v>
      </c>
      <c r="K178" s="19">
        <v>3.0</v>
      </c>
      <c r="L178" s="19">
        <v>0.0</v>
      </c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1.0</v>
      </c>
      <c r="T178" s="13">
        <f t="shared" si="36"/>
        <v>9</v>
      </c>
      <c r="U178" s="5"/>
      <c r="V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2.0</v>
      </c>
      <c r="G179" s="19">
        <v>0.0</v>
      </c>
      <c r="H179" s="19">
        <v>0.0</v>
      </c>
      <c r="I179" s="19">
        <v>2.0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3">
        <f t="shared" si="36"/>
        <v>5</v>
      </c>
      <c r="U179" s="5"/>
      <c r="V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1</v>
      </c>
      <c r="U180" s="5"/>
      <c r="V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0</v>
      </c>
      <c r="U181" s="5"/>
      <c r="V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1.0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2</v>
      </c>
      <c r="U182" s="5"/>
      <c r="V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1</v>
      </c>
      <c r="U183" s="5"/>
      <c r="V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1.0</v>
      </c>
      <c r="Q184" s="19">
        <v>0.0</v>
      </c>
      <c r="R184" s="19">
        <v>0.0</v>
      </c>
      <c r="S184" s="19">
        <v>0.0</v>
      </c>
      <c r="T184" s="13">
        <f t="shared" si="36"/>
        <v>1</v>
      </c>
      <c r="U184" s="5"/>
      <c r="V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6"/>
        <v>0</v>
      </c>
      <c r="U185" s="5"/>
      <c r="V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6"/>
        <v>0</v>
      </c>
      <c r="U186" s="5"/>
      <c r="V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S187" si="37">SUM(E177:E184)</f>
        <v>0</v>
      </c>
      <c r="F187" s="13">
        <f t="shared" si="37"/>
        <v>2</v>
      </c>
      <c r="G187" s="13">
        <f t="shared" si="37"/>
        <v>0</v>
      </c>
      <c r="H187" s="13">
        <f t="shared" si="37"/>
        <v>0</v>
      </c>
      <c r="I187" s="13">
        <f t="shared" si="37"/>
        <v>7</v>
      </c>
      <c r="J187" s="13">
        <f t="shared" si="37"/>
        <v>8</v>
      </c>
      <c r="K187" s="13">
        <f t="shared" si="37"/>
        <v>4</v>
      </c>
      <c r="L187" s="13">
        <f t="shared" si="37"/>
        <v>0</v>
      </c>
      <c r="M187" s="13">
        <f t="shared" si="37"/>
        <v>0</v>
      </c>
      <c r="N187" s="13">
        <f t="shared" si="37"/>
        <v>1</v>
      </c>
      <c r="O187" s="13">
        <f t="shared" si="37"/>
        <v>1</v>
      </c>
      <c r="P187" s="13">
        <f t="shared" si="37"/>
        <v>1</v>
      </c>
      <c r="Q187" s="13">
        <f t="shared" si="37"/>
        <v>0</v>
      </c>
      <c r="R187" s="13">
        <f t="shared" si="37"/>
        <v>2</v>
      </c>
      <c r="S187" s="13">
        <f t="shared" si="37"/>
        <v>2</v>
      </c>
      <c r="T187" s="13">
        <f t="shared" si="36"/>
        <v>28</v>
      </c>
      <c r="U187" s="1"/>
      <c r="V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2.0</v>
      </c>
      <c r="G189" s="19">
        <v>0.0</v>
      </c>
      <c r="H189" s="19">
        <v>1.0</v>
      </c>
      <c r="I189" s="19">
        <v>4.0</v>
      </c>
      <c r="J189" s="19">
        <v>0.0</v>
      </c>
      <c r="K189" s="19">
        <v>1.0</v>
      </c>
      <c r="L189" s="19">
        <v>0.0</v>
      </c>
      <c r="M189" s="19">
        <v>0.0</v>
      </c>
      <c r="N189" s="19">
        <v>2.0</v>
      </c>
      <c r="O189" s="19">
        <v>0.0</v>
      </c>
      <c r="P189" s="19">
        <v>1.0</v>
      </c>
      <c r="Q189" s="19">
        <v>0.0</v>
      </c>
      <c r="R189" s="19">
        <v>1.0</v>
      </c>
      <c r="S189" s="19">
        <v>0.0</v>
      </c>
      <c r="T189" s="13">
        <f t="shared" ref="T189:T199" si="38">SUM(E189:S189)</f>
        <v>12</v>
      </c>
      <c r="U189" s="5"/>
      <c r="V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3.0</v>
      </c>
      <c r="J190" s="19">
        <v>1.0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5</v>
      </c>
      <c r="U190" s="5"/>
      <c r="V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1</v>
      </c>
      <c r="U191" s="5"/>
      <c r="V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1</v>
      </c>
      <c r="U192" s="5"/>
      <c r="V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0</v>
      </c>
      <c r="U193" s="5"/>
      <c r="V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  <c r="U195" s="5"/>
      <c r="V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8"/>
        <v>0</v>
      </c>
      <c r="U197" s="1"/>
      <c r="V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8"/>
        <v>0</v>
      </c>
      <c r="U198" s="1"/>
      <c r="V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S199" si="39">SUM(E189:E196)</f>
        <v>0</v>
      </c>
      <c r="F199" s="13">
        <f t="shared" si="39"/>
        <v>2</v>
      </c>
      <c r="G199" s="13">
        <f t="shared" si="39"/>
        <v>1</v>
      </c>
      <c r="H199" s="13">
        <f t="shared" si="39"/>
        <v>2</v>
      </c>
      <c r="I199" s="13">
        <f t="shared" si="39"/>
        <v>7</v>
      </c>
      <c r="J199" s="13">
        <f t="shared" si="39"/>
        <v>1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8"/>
        <v>19</v>
      </c>
      <c r="U199" s="54"/>
      <c r="V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5"/>
      <c r="V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4.0</v>
      </c>
      <c r="F201" s="19">
        <v>1.0</v>
      </c>
      <c r="G201" s="19">
        <v>2.0</v>
      </c>
      <c r="H201" s="19">
        <v>3.0</v>
      </c>
      <c r="I201" s="19">
        <v>4.0</v>
      </c>
      <c r="J201" s="19">
        <v>7.0</v>
      </c>
      <c r="K201" s="19">
        <v>5.0</v>
      </c>
      <c r="L201" s="19">
        <v>1.0</v>
      </c>
      <c r="M201" s="19">
        <v>0.0</v>
      </c>
      <c r="N201" s="19">
        <v>5.0</v>
      </c>
      <c r="O201" s="19">
        <v>7.0</v>
      </c>
      <c r="P201" s="19">
        <v>5.0</v>
      </c>
      <c r="Q201" s="19">
        <v>5.0</v>
      </c>
      <c r="R201" s="19">
        <v>1.0</v>
      </c>
      <c r="S201" s="19">
        <v>3.0</v>
      </c>
      <c r="T201" s="13">
        <f t="shared" ref="T201:T211" si="40">SUM(E201:S201)</f>
        <v>53</v>
      </c>
      <c r="U201" s="5"/>
      <c r="V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7.0</v>
      </c>
      <c r="F202" s="19">
        <v>4.0</v>
      </c>
      <c r="G202" s="19">
        <v>1.0</v>
      </c>
      <c r="H202" s="19">
        <v>10.0</v>
      </c>
      <c r="I202" s="19">
        <v>6.0</v>
      </c>
      <c r="J202" s="19">
        <v>3.0</v>
      </c>
      <c r="K202" s="19">
        <v>6.0</v>
      </c>
      <c r="L202" s="19">
        <v>1.0</v>
      </c>
      <c r="M202" s="19">
        <v>1.0</v>
      </c>
      <c r="N202" s="19">
        <v>2.0</v>
      </c>
      <c r="O202" s="19">
        <v>2.0</v>
      </c>
      <c r="P202" s="19">
        <v>5.0</v>
      </c>
      <c r="Q202" s="19">
        <v>0.0</v>
      </c>
      <c r="R202" s="19">
        <v>3.0</v>
      </c>
      <c r="S202" s="19">
        <v>0.0</v>
      </c>
      <c r="T202" s="13">
        <f t="shared" si="40"/>
        <v>51</v>
      </c>
      <c r="U202" s="5"/>
      <c r="V202" s="5"/>
    </row>
    <row r="203" ht="12.75" customHeight="1">
      <c r="A203" s="18"/>
      <c r="B203" s="57">
        <v>2.0</v>
      </c>
      <c r="C203" s="52" t="s">
        <v>149</v>
      </c>
      <c r="D203" s="60"/>
      <c r="E203" s="19">
        <v>1.0</v>
      </c>
      <c r="F203" s="19">
        <v>2.0</v>
      </c>
      <c r="G203" s="19">
        <v>1.0</v>
      </c>
      <c r="H203" s="19">
        <v>7.0</v>
      </c>
      <c r="I203" s="19">
        <v>1.0</v>
      </c>
      <c r="J203" s="19">
        <v>2.0</v>
      </c>
      <c r="K203" s="19">
        <v>4.0</v>
      </c>
      <c r="L203" s="19">
        <v>0.0</v>
      </c>
      <c r="M203" s="19">
        <v>0.0</v>
      </c>
      <c r="N203" s="19">
        <v>1.0</v>
      </c>
      <c r="O203" s="19">
        <v>2.0</v>
      </c>
      <c r="P203" s="19">
        <v>1.0</v>
      </c>
      <c r="Q203" s="19">
        <v>1.0</v>
      </c>
      <c r="R203" s="19">
        <v>1.0</v>
      </c>
      <c r="S203" s="19">
        <v>0.0</v>
      </c>
      <c r="T203" s="13">
        <f t="shared" si="40"/>
        <v>24</v>
      </c>
      <c r="U203" s="5"/>
      <c r="V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1.0</v>
      </c>
      <c r="G204" s="19">
        <v>0.0</v>
      </c>
      <c r="H204" s="19">
        <v>0.0</v>
      </c>
      <c r="I204" s="19">
        <v>1.0</v>
      </c>
      <c r="J204" s="19">
        <v>2.0</v>
      </c>
      <c r="K204" s="19">
        <v>3.0</v>
      </c>
      <c r="L204" s="19">
        <v>0.0</v>
      </c>
      <c r="M204" s="19">
        <v>0.0</v>
      </c>
      <c r="N204" s="19">
        <v>0.0</v>
      </c>
      <c r="O204" s="19">
        <v>1.0</v>
      </c>
      <c r="P204" s="19">
        <v>0.0</v>
      </c>
      <c r="Q204" s="19">
        <v>0.0</v>
      </c>
      <c r="R204" s="19">
        <v>0.0</v>
      </c>
      <c r="S204" s="19">
        <v>1.0</v>
      </c>
      <c r="T204" s="13">
        <f t="shared" si="40"/>
        <v>9</v>
      </c>
      <c r="U204" s="5"/>
      <c r="V204" s="5"/>
    </row>
    <row r="205" ht="12.75" customHeight="1">
      <c r="A205" s="18"/>
      <c r="B205" s="57">
        <v>4.0</v>
      </c>
      <c r="C205" s="52" t="s">
        <v>151</v>
      </c>
      <c r="D205" s="60"/>
      <c r="E205" s="19">
        <v>3.0</v>
      </c>
      <c r="F205" s="19">
        <v>0.0</v>
      </c>
      <c r="G205" s="19">
        <v>3.0</v>
      </c>
      <c r="H205" s="19">
        <v>3.0</v>
      </c>
      <c r="I205" s="19">
        <v>0.0</v>
      </c>
      <c r="J205" s="19">
        <v>1.0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3">
        <f t="shared" si="40"/>
        <v>12</v>
      </c>
      <c r="U205" s="5"/>
      <c r="V205" s="5"/>
    </row>
    <row r="206" ht="12.75" customHeight="1">
      <c r="A206" s="18"/>
      <c r="B206" s="57">
        <v>5.0</v>
      </c>
      <c r="C206" s="52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/>
      <c r="Q206" s="19">
        <v>0.0</v>
      </c>
      <c r="R206" s="19">
        <v>0.0</v>
      </c>
      <c r="S206" s="19">
        <v>1.0</v>
      </c>
      <c r="T206" s="13">
        <f t="shared" si="40"/>
        <v>2</v>
      </c>
      <c r="U206" s="5"/>
      <c r="V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1.0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/>
      <c r="Q207" s="19">
        <v>0.0</v>
      </c>
      <c r="R207" s="19">
        <v>0.0</v>
      </c>
      <c r="S207" s="19">
        <v>0.0</v>
      </c>
      <c r="T207" s="13">
        <f t="shared" si="40"/>
        <v>1</v>
      </c>
      <c r="U207" s="1"/>
      <c r="V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/>
      <c r="Q208" s="19">
        <v>0.0</v>
      </c>
      <c r="R208" s="19">
        <v>0.0</v>
      </c>
      <c r="S208" s="19">
        <v>1.0</v>
      </c>
      <c r="T208" s="13">
        <f t="shared" si="40"/>
        <v>1</v>
      </c>
      <c r="U208" s="54"/>
      <c r="V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0"/>
        <v>0</v>
      </c>
      <c r="U209" s="54"/>
      <c r="V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0"/>
        <v>0</v>
      </c>
      <c r="U210" s="54"/>
      <c r="V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S211" si="41">SUM(E201:E208)</f>
        <v>16</v>
      </c>
      <c r="F211" s="13">
        <f t="shared" si="41"/>
        <v>8</v>
      </c>
      <c r="G211" s="13">
        <f t="shared" si="41"/>
        <v>8</v>
      </c>
      <c r="H211" s="13">
        <f t="shared" si="41"/>
        <v>23</v>
      </c>
      <c r="I211" s="13">
        <f t="shared" si="41"/>
        <v>12</v>
      </c>
      <c r="J211" s="13">
        <f t="shared" si="41"/>
        <v>15</v>
      </c>
      <c r="K211" s="13">
        <f t="shared" si="41"/>
        <v>18</v>
      </c>
      <c r="L211" s="13">
        <f t="shared" si="41"/>
        <v>2</v>
      </c>
      <c r="M211" s="13">
        <f t="shared" si="41"/>
        <v>2</v>
      </c>
      <c r="N211" s="13">
        <f t="shared" si="41"/>
        <v>8</v>
      </c>
      <c r="O211" s="13">
        <f t="shared" si="41"/>
        <v>12</v>
      </c>
      <c r="P211" s="13">
        <f t="shared" si="41"/>
        <v>11</v>
      </c>
      <c r="Q211" s="13">
        <f t="shared" si="41"/>
        <v>6</v>
      </c>
      <c r="R211" s="13">
        <f t="shared" si="41"/>
        <v>6</v>
      </c>
      <c r="S211" s="13">
        <f t="shared" si="41"/>
        <v>6</v>
      </c>
      <c r="T211" s="13">
        <f t="shared" si="40"/>
        <v>153</v>
      </c>
      <c r="U211" s="5"/>
      <c r="V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5"/>
      <c r="V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0.0</v>
      </c>
      <c r="G213" s="19">
        <v>2.0</v>
      </c>
      <c r="H213" s="19">
        <v>2.0</v>
      </c>
      <c r="I213" s="19">
        <v>3.0</v>
      </c>
      <c r="J213" s="19">
        <v>4.0</v>
      </c>
      <c r="K213" s="19">
        <v>1.0</v>
      </c>
      <c r="L213" s="19">
        <v>0.0</v>
      </c>
      <c r="M213" s="19">
        <v>1.0</v>
      </c>
      <c r="N213" s="19">
        <v>1.0</v>
      </c>
      <c r="O213" s="19">
        <v>4.0</v>
      </c>
      <c r="P213" s="19">
        <v>1.0</v>
      </c>
      <c r="Q213" s="19">
        <v>0.0</v>
      </c>
      <c r="R213" s="19">
        <v>0.0</v>
      </c>
      <c r="S213" s="19">
        <v>2.0</v>
      </c>
      <c r="T213" s="13">
        <f t="shared" ref="T213:T223" si="42">SUM(E213:S213)</f>
        <v>21</v>
      </c>
      <c r="U213" s="5"/>
      <c r="V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4.0</v>
      </c>
      <c r="F214" s="19">
        <v>0.0</v>
      </c>
      <c r="G214" s="19">
        <v>0.0</v>
      </c>
      <c r="H214" s="19">
        <v>1.0</v>
      </c>
      <c r="I214" s="19">
        <v>3.0</v>
      </c>
      <c r="J214" s="19">
        <v>2.0</v>
      </c>
      <c r="K214" s="19">
        <v>11.0</v>
      </c>
      <c r="L214" s="19">
        <v>4.0</v>
      </c>
      <c r="M214" s="19">
        <v>2.0</v>
      </c>
      <c r="N214" s="19">
        <v>3.0</v>
      </c>
      <c r="O214" s="19">
        <v>1.0</v>
      </c>
      <c r="P214" s="19">
        <v>2.0</v>
      </c>
      <c r="Q214" s="19">
        <v>1.0</v>
      </c>
      <c r="R214" s="19">
        <v>0.0</v>
      </c>
      <c r="S214" s="19">
        <v>2.0</v>
      </c>
      <c r="T214" s="13">
        <f t="shared" si="42"/>
        <v>36</v>
      </c>
      <c r="U214" s="5"/>
      <c r="V214" s="5"/>
    </row>
    <row r="215" ht="12.75" customHeight="1">
      <c r="A215" s="18"/>
      <c r="B215" s="57">
        <v>2.0</v>
      </c>
      <c r="C215" s="52" t="s">
        <v>158</v>
      </c>
      <c r="D215" s="58"/>
      <c r="E215" s="19">
        <v>1.0</v>
      </c>
      <c r="F215" s="19">
        <v>13.0</v>
      </c>
      <c r="G215" s="19">
        <v>5.0</v>
      </c>
      <c r="H215" s="19">
        <v>16.0</v>
      </c>
      <c r="I215" s="19">
        <v>12.0</v>
      </c>
      <c r="J215" s="19">
        <v>7.0</v>
      </c>
      <c r="K215" s="19">
        <v>3.0</v>
      </c>
      <c r="L215" s="19">
        <v>5.0</v>
      </c>
      <c r="M215" s="19">
        <v>0.0</v>
      </c>
      <c r="N215" s="19">
        <v>0.0</v>
      </c>
      <c r="O215" s="19">
        <v>22.0</v>
      </c>
      <c r="P215" s="19">
        <v>12.0</v>
      </c>
      <c r="Q215" s="19">
        <v>21.0</v>
      </c>
      <c r="R215" s="19">
        <v>12.0</v>
      </c>
      <c r="S215" s="19">
        <v>13.0</v>
      </c>
      <c r="T215" s="13">
        <f t="shared" si="42"/>
        <v>142</v>
      </c>
      <c r="U215" s="5"/>
      <c r="V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3">
        <f t="shared" si="42"/>
        <v>1</v>
      </c>
      <c r="U216" s="5"/>
      <c r="V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0</v>
      </c>
      <c r="U217" s="5"/>
      <c r="V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1.0</v>
      </c>
      <c r="Q218" s="19">
        <v>0.0</v>
      </c>
      <c r="R218" s="19">
        <v>0.0</v>
      </c>
      <c r="S218" s="19">
        <v>0.0</v>
      </c>
      <c r="T218" s="13">
        <f t="shared" si="42"/>
        <v>1</v>
      </c>
      <c r="U218" s="1"/>
      <c r="V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2</v>
      </c>
      <c r="U219" s="54"/>
      <c r="V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2"/>
        <v>0</v>
      </c>
      <c r="U220" s="5"/>
      <c r="V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2"/>
        <v>0</v>
      </c>
      <c r="U221" s="5"/>
      <c r="V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2"/>
        <v>0</v>
      </c>
      <c r="U222" s="5"/>
      <c r="V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S223" si="43">SUM(E213:E220)</f>
        <v>5</v>
      </c>
      <c r="F223" s="13">
        <f t="shared" si="43"/>
        <v>13</v>
      </c>
      <c r="G223" s="13">
        <f t="shared" si="43"/>
        <v>7</v>
      </c>
      <c r="H223" s="13">
        <f t="shared" si="43"/>
        <v>19</v>
      </c>
      <c r="I223" s="13">
        <f t="shared" si="43"/>
        <v>19</v>
      </c>
      <c r="J223" s="13">
        <f t="shared" si="43"/>
        <v>13</v>
      </c>
      <c r="K223" s="13">
        <f t="shared" si="43"/>
        <v>16</v>
      </c>
      <c r="L223" s="13">
        <f t="shared" si="43"/>
        <v>10</v>
      </c>
      <c r="M223" s="13">
        <f t="shared" si="43"/>
        <v>3</v>
      </c>
      <c r="N223" s="13">
        <f t="shared" si="43"/>
        <v>4</v>
      </c>
      <c r="O223" s="13">
        <f t="shared" si="43"/>
        <v>27</v>
      </c>
      <c r="P223" s="13">
        <f t="shared" si="43"/>
        <v>16</v>
      </c>
      <c r="Q223" s="13">
        <f t="shared" si="43"/>
        <v>22</v>
      </c>
      <c r="R223" s="13">
        <f t="shared" si="43"/>
        <v>12</v>
      </c>
      <c r="S223" s="13">
        <f t="shared" si="43"/>
        <v>17</v>
      </c>
      <c r="T223" s="13">
        <f t="shared" si="42"/>
        <v>203</v>
      </c>
      <c r="U223" s="5"/>
      <c r="V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5"/>
      <c r="V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5" si="44">SUM(E225:S225)</f>
        <v>0</v>
      </c>
      <c r="U225" s="5"/>
      <c r="V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1.0</v>
      </c>
      <c r="N226" s="19">
        <v>0.0</v>
      </c>
      <c r="O226" s="19">
        <v>0.0</v>
      </c>
      <c r="P226" s="19"/>
      <c r="Q226" s="19">
        <v>0.0</v>
      </c>
      <c r="R226" s="19">
        <v>0.0</v>
      </c>
      <c r="S226" s="19">
        <v>0.0</v>
      </c>
      <c r="T226" s="13">
        <f t="shared" si="44"/>
        <v>1</v>
      </c>
      <c r="U226" s="5"/>
      <c r="V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0</v>
      </c>
      <c r="U227" s="5"/>
      <c r="V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1.0</v>
      </c>
      <c r="M228" s="19">
        <v>0.0</v>
      </c>
      <c r="N228" s="19">
        <v>0.0</v>
      </c>
      <c r="O228" s="19">
        <v>0.0</v>
      </c>
      <c r="P228" s="19"/>
      <c r="Q228" s="19">
        <v>0.0</v>
      </c>
      <c r="R228" s="19">
        <v>0.0</v>
      </c>
      <c r="S228" s="19">
        <v>0.0</v>
      </c>
      <c r="T228" s="13">
        <f t="shared" si="44"/>
        <v>1</v>
      </c>
      <c r="U228" s="5"/>
      <c r="V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/>
      <c r="Q229" s="19">
        <v>0.0</v>
      </c>
      <c r="R229" s="19">
        <v>0.0</v>
      </c>
      <c r="S229" s="19">
        <v>0.0</v>
      </c>
      <c r="T229" s="13">
        <f t="shared" si="44"/>
        <v>0</v>
      </c>
      <c r="U229" s="1"/>
      <c r="V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/>
      <c r="Q230" s="19">
        <v>0.0</v>
      </c>
      <c r="R230" s="19">
        <v>0.0</v>
      </c>
      <c r="S230" s="19">
        <v>0.0</v>
      </c>
      <c r="T230" s="13">
        <f t="shared" si="44"/>
        <v>0</v>
      </c>
      <c r="U230" s="54"/>
      <c r="V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/>
      <c r="Q231" s="19">
        <v>0.0</v>
      </c>
      <c r="R231" s="19">
        <v>0.0</v>
      </c>
      <c r="S231" s="19">
        <v>0.0</v>
      </c>
      <c r="T231" s="13">
        <f t="shared" si="44"/>
        <v>0</v>
      </c>
      <c r="U231" s="5"/>
      <c r="V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/>
      <c r="Q232" s="19">
        <v>0.0</v>
      </c>
      <c r="R232" s="19">
        <v>0.0</v>
      </c>
      <c r="S232" s="19">
        <v>0.0</v>
      </c>
      <c r="T232" s="13">
        <f t="shared" si="44"/>
        <v>1</v>
      </c>
      <c r="U232" s="5"/>
      <c r="V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4"/>
        <v>0</v>
      </c>
      <c r="U233" s="5"/>
      <c r="V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4"/>
        <v>0</v>
      </c>
      <c r="U234" s="5"/>
      <c r="V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S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4"/>
        <v>3</v>
      </c>
      <c r="U235" s="5"/>
      <c r="V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5"/>
      <c r="V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1.0</v>
      </c>
      <c r="G237" s="19">
        <v>1.0</v>
      </c>
      <c r="H237" s="19">
        <v>0.0</v>
      </c>
      <c r="I237" s="19">
        <v>2.0</v>
      </c>
      <c r="J237" s="19">
        <v>2.0</v>
      </c>
      <c r="K237" s="19">
        <v>1.0</v>
      </c>
      <c r="L237" s="19">
        <v>2.0</v>
      </c>
      <c r="M237" s="19">
        <v>2.0</v>
      </c>
      <c r="N237" s="19">
        <v>2.0</v>
      </c>
      <c r="O237" s="19">
        <v>0.0</v>
      </c>
      <c r="P237" s="19">
        <v>0.0</v>
      </c>
      <c r="Q237" s="19">
        <v>1.0</v>
      </c>
      <c r="R237" s="19">
        <v>0.0</v>
      </c>
      <c r="S237" s="19">
        <v>0.0</v>
      </c>
      <c r="T237" s="13">
        <f t="shared" ref="T237:T247" si="46">SUM(E237:S237)</f>
        <v>15</v>
      </c>
      <c r="U237" s="5"/>
      <c r="V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1.0</v>
      </c>
      <c r="F238" s="19">
        <v>0.0</v>
      </c>
      <c r="G238" s="19">
        <v>0.0</v>
      </c>
      <c r="H238" s="19">
        <v>1.0</v>
      </c>
      <c r="I238" s="19">
        <v>0.0</v>
      </c>
      <c r="J238" s="19">
        <v>1.0</v>
      </c>
      <c r="K238" s="19">
        <v>0.0</v>
      </c>
      <c r="L238" s="19">
        <v>0.0</v>
      </c>
      <c r="M238" s="19">
        <v>1.0</v>
      </c>
      <c r="N238" s="19">
        <v>2.0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3">
        <f t="shared" si="46"/>
        <v>6</v>
      </c>
      <c r="U238" s="5"/>
      <c r="V238" s="5"/>
    </row>
    <row r="239" ht="12.75" customHeight="1">
      <c r="A239" s="18"/>
      <c r="B239" s="57">
        <v>2.0</v>
      </c>
      <c r="C239" s="52" t="s">
        <v>176</v>
      </c>
      <c r="D239" s="60"/>
      <c r="E239" s="19">
        <v>10.0</v>
      </c>
      <c r="F239" s="19">
        <v>15.0</v>
      </c>
      <c r="G239" s="19">
        <v>17.0</v>
      </c>
      <c r="H239" s="19">
        <v>29.0</v>
      </c>
      <c r="I239" s="19">
        <v>6.0</v>
      </c>
      <c r="J239" s="19">
        <v>3.0</v>
      </c>
      <c r="K239" s="19">
        <v>13.0</v>
      </c>
      <c r="L239" s="19">
        <v>44.0</v>
      </c>
      <c r="M239" s="19">
        <v>24.0</v>
      </c>
      <c r="N239" s="19">
        <v>31.0</v>
      </c>
      <c r="O239" s="19">
        <v>0.0</v>
      </c>
      <c r="P239" s="19">
        <v>2.0</v>
      </c>
      <c r="Q239" s="19">
        <v>2.0</v>
      </c>
      <c r="R239" s="19">
        <v>1.0</v>
      </c>
      <c r="S239" s="19">
        <v>0.0</v>
      </c>
      <c r="T239" s="13">
        <f t="shared" si="46"/>
        <v>197</v>
      </c>
      <c r="U239" s="5"/>
      <c r="V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2.0</v>
      </c>
      <c r="H240" s="19">
        <v>1.0</v>
      </c>
      <c r="I240" s="19">
        <v>0.0</v>
      </c>
      <c r="J240" s="19">
        <v>0.0</v>
      </c>
      <c r="K240" s="19">
        <v>1.0</v>
      </c>
      <c r="L240" s="19">
        <v>1.0</v>
      </c>
      <c r="M240" s="19">
        <v>1.0</v>
      </c>
      <c r="N240" s="19">
        <v>2.0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6"/>
        <v>8</v>
      </c>
      <c r="U240" s="1"/>
      <c r="V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1.0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0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1.0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1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3.0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1.0</v>
      </c>
      <c r="S244" s="19">
        <v>0.0</v>
      </c>
      <c r="T244" s="13">
        <f t="shared" si="46"/>
        <v>4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S247" si="47">SUM(E237:E244)</f>
        <v>12</v>
      </c>
      <c r="F247" s="13">
        <f t="shared" si="47"/>
        <v>16</v>
      </c>
      <c r="G247" s="13">
        <f t="shared" si="47"/>
        <v>21</v>
      </c>
      <c r="H247" s="13">
        <f t="shared" si="47"/>
        <v>31</v>
      </c>
      <c r="I247" s="13">
        <f t="shared" si="47"/>
        <v>9</v>
      </c>
      <c r="J247" s="13">
        <f t="shared" si="47"/>
        <v>6</v>
      </c>
      <c r="K247" s="13">
        <f t="shared" si="47"/>
        <v>15</v>
      </c>
      <c r="L247" s="13">
        <f t="shared" si="47"/>
        <v>50</v>
      </c>
      <c r="M247" s="13">
        <f t="shared" si="47"/>
        <v>28</v>
      </c>
      <c r="N247" s="13">
        <f t="shared" si="47"/>
        <v>38</v>
      </c>
      <c r="O247" s="13">
        <f t="shared" si="47"/>
        <v>0</v>
      </c>
      <c r="P247" s="13">
        <f t="shared" si="47"/>
        <v>2</v>
      </c>
      <c r="Q247" s="13">
        <f t="shared" si="47"/>
        <v>3</v>
      </c>
      <c r="R247" s="13">
        <f t="shared" si="47"/>
        <v>2</v>
      </c>
      <c r="S247" s="13">
        <f t="shared" si="47"/>
        <v>0</v>
      </c>
      <c r="T247" s="13">
        <f t="shared" si="46"/>
        <v>233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9" si="48">SUM(E249:S249)</f>
        <v>0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/>
      <c r="Q250" s="19">
        <v>0.0</v>
      </c>
      <c r="R250" s="19">
        <v>0.0</v>
      </c>
      <c r="S250" s="19">
        <v>0.0</v>
      </c>
      <c r="T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/>
      <c r="Q251" s="19">
        <v>0.0</v>
      </c>
      <c r="R251" s="19">
        <v>0.0</v>
      </c>
      <c r="S251" s="19">
        <v>0.0</v>
      </c>
      <c r="T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/>
      <c r="Q252" s="19">
        <v>0.0</v>
      </c>
      <c r="R252" s="19">
        <v>1.0</v>
      </c>
      <c r="S252" s="19">
        <v>0.0</v>
      </c>
      <c r="T252" s="13">
        <f t="shared" si="48"/>
        <v>1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1.0</v>
      </c>
      <c r="P253" s="19"/>
      <c r="Q253" s="19">
        <v>0.0</v>
      </c>
      <c r="R253" s="19">
        <v>0.0</v>
      </c>
      <c r="S253" s="19">
        <v>0.0</v>
      </c>
      <c r="T253" s="13">
        <f t="shared" si="48"/>
        <v>1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/>
      <c r="Q254" s="19">
        <v>0.0</v>
      </c>
      <c r="R254" s="19">
        <v>0.0</v>
      </c>
      <c r="S254" s="19">
        <v>0.0</v>
      </c>
      <c r="T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/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S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8"/>
        <v>2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71" t="s">
        <v>213</v>
      </c>
      <c r="Q261" s="71" t="s">
        <v>214</v>
      </c>
      <c r="R261" s="71" t="s">
        <v>216</v>
      </c>
      <c r="S261" s="71" t="s">
        <v>217</v>
      </c>
      <c r="T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S262" si="50">E55+E67+E79+E91+E103+E115+E127+E139+E151+E163+E175+E187+E199+E211+E223+E235+E247+E259</f>
        <v>172</v>
      </c>
      <c r="F262" s="19">
        <f t="shared" si="50"/>
        <v>167</v>
      </c>
      <c r="G262" s="19">
        <f t="shared" si="50"/>
        <v>187</v>
      </c>
      <c r="H262" s="19">
        <f t="shared" si="50"/>
        <v>205</v>
      </c>
      <c r="I262" s="19">
        <f t="shared" si="50"/>
        <v>230</v>
      </c>
      <c r="J262" s="19">
        <f t="shared" si="50"/>
        <v>202</v>
      </c>
      <c r="K262" s="19">
        <f t="shared" si="50"/>
        <v>185</v>
      </c>
      <c r="L262" s="19">
        <f t="shared" si="50"/>
        <v>186</v>
      </c>
      <c r="M262" s="19">
        <f t="shared" si="50"/>
        <v>183</v>
      </c>
      <c r="N262" s="19">
        <f t="shared" si="50"/>
        <v>198</v>
      </c>
      <c r="O262" s="19">
        <f t="shared" si="50"/>
        <v>143</v>
      </c>
      <c r="P262" s="19">
        <f t="shared" si="50"/>
        <v>180</v>
      </c>
      <c r="Q262" s="19">
        <f t="shared" si="50"/>
        <v>184</v>
      </c>
      <c r="R262" s="19">
        <f t="shared" si="50"/>
        <v>190</v>
      </c>
      <c r="S262" s="19">
        <f t="shared" si="50"/>
        <v>187</v>
      </c>
      <c r="T262" s="13">
        <f t="shared" ref="T262:T264" si="51">SUM(E262:S262)</f>
        <v>2799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24.0</v>
      </c>
      <c r="F263" s="19">
        <v>23.0</v>
      </c>
      <c r="G263" s="19">
        <v>14.0</v>
      </c>
      <c r="H263" s="19">
        <v>18.0</v>
      </c>
      <c r="I263" s="19">
        <v>36.0</v>
      </c>
      <c r="J263" s="19">
        <v>40.0</v>
      </c>
      <c r="K263" s="19">
        <v>29.0</v>
      </c>
      <c r="L263" s="19">
        <v>32.0</v>
      </c>
      <c r="M263" s="19">
        <v>28.0</v>
      </c>
      <c r="N263" s="19">
        <v>13.0</v>
      </c>
      <c r="O263" s="19">
        <v>25.0</v>
      </c>
      <c r="P263" s="19">
        <v>15.0</v>
      </c>
      <c r="Q263" s="19">
        <v>17.0</v>
      </c>
      <c r="R263" s="19">
        <v>20.0</v>
      </c>
      <c r="S263" s="19">
        <v>31.0</v>
      </c>
      <c r="T263" s="13">
        <f t="shared" si="51"/>
        <v>365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S264" si="52">SUM(E262:E263)</f>
        <v>196</v>
      </c>
      <c r="F264" s="13">
        <f t="shared" si="52"/>
        <v>190</v>
      </c>
      <c r="G264" s="13">
        <f t="shared" si="52"/>
        <v>201</v>
      </c>
      <c r="H264" s="13">
        <f t="shared" si="52"/>
        <v>223</v>
      </c>
      <c r="I264" s="13">
        <f t="shared" si="52"/>
        <v>266</v>
      </c>
      <c r="J264" s="13">
        <f t="shared" si="52"/>
        <v>242</v>
      </c>
      <c r="K264" s="13">
        <f t="shared" si="52"/>
        <v>214</v>
      </c>
      <c r="L264" s="13">
        <f t="shared" si="52"/>
        <v>218</v>
      </c>
      <c r="M264" s="13">
        <f t="shared" si="52"/>
        <v>211</v>
      </c>
      <c r="N264" s="13">
        <f t="shared" si="52"/>
        <v>211</v>
      </c>
      <c r="O264" s="13">
        <f t="shared" si="52"/>
        <v>168</v>
      </c>
      <c r="P264" s="13">
        <f t="shared" si="52"/>
        <v>195</v>
      </c>
      <c r="Q264" s="13">
        <f t="shared" si="52"/>
        <v>201</v>
      </c>
      <c r="R264" s="13">
        <f t="shared" si="52"/>
        <v>210</v>
      </c>
      <c r="S264" s="13">
        <f t="shared" si="52"/>
        <v>218</v>
      </c>
      <c r="T264" s="13">
        <f t="shared" si="51"/>
        <v>3164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128.0</v>
      </c>
      <c r="G14" s="19">
        <v>143.0</v>
      </c>
      <c r="H14" s="19">
        <v>143.0</v>
      </c>
      <c r="I14" s="19">
        <v>133.0</v>
      </c>
      <c r="J14" s="19">
        <v>148.0</v>
      </c>
      <c r="K14" s="19">
        <v>149.0</v>
      </c>
      <c r="L14" s="19">
        <v>139.0</v>
      </c>
      <c r="M14" s="19">
        <v>126.0</v>
      </c>
      <c r="N14" s="19">
        <v>141.0</v>
      </c>
      <c r="O14" s="19">
        <v>126.0</v>
      </c>
      <c r="P14" s="19">
        <v>141.0</v>
      </c>
      <c r="Q14" s="19">
        <v>124.0</v>
      </c>
      <c r="R14" s="19">
        <v>133.0</v>
      </c>
      <c r="S14" s="19">
        <v>137.0</v>
      </c>
      <c r="T14" s="13">
        <f t="shared" ref="T14:T16" si="1">SUM(E14:S14)</f>
        <v>2046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144.0</v>
      </c>
      <c r="G15" s="19">
        <v>136.0</v>
      </c>
      <c r="H15" s="19">
        <v>145.0</v>
      </c>
      <c r="I15" s="19">
        <v>139.0</v>
      </c>
      <c r="J15" s="19">
        <v>139.0</v>
      </c>
      <c r="K15" s="19">
        <v>135.0</v>
      </c>
      <c r="L15" s="19">
        <v>135.0</v>
      </c>
      <c r="M15" s="19">
        <v>140.0</v>
      </c>
      <c r="N15" s="19">
        <v>146.0</v>
      </c>
      <c r="O15" s="19">
        <v>145.0</v>
      </c>
      <c r="P15" s="19">
        <v>138.0</v>
      </c>
      <c r="Q15" s="19">
        <v>148.0</v>
      </c>
      <c r="R15" s="19">
        <v>143.0</v>
      </c>
      <c r="S15" s="19">
        <v>159.0</v>
      </c>
      <c r="T15" s="13">
        <f t="shared" si="1"/>
        <v>2127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270</v>
      </c>
      <c r="F16" s="13">
        <f t="shared" si="2"/>
        <v>272</v>
      </c>
      <c r="G16" s="13">
        <f t="shared" si="2"/>
        <v>279</v>
      </c>
      <c r="H16" s="13">
        <f t="shared" si="2"/>
        <v>288</v>
      </c>
      <c r="I16" s="13">
        <f t="shared" si="2"/>
        <v>272</v>
      </c>
      <c r="J16" s="13">
        <f t="shared" si="2"/>
        <v>287</v>
      </c>
      <c r="K16" s="13">
        <f t="shared" si="2"/>
        <v>284</v>
      </c>
      <c r="L16" s="13">
        <f t="shared" si="2"/>
        <v>274</v>
      </c>
      <c r="M16" s="13">
        <f t="shared" si="2"/>
        <v>266</v>
      </c>
      <c r="N16" s="13">
        <f t="shared" si="2"/>
        <v>287</v>
      </c>
      <c r="O16" s="13">
        <f t="shared" si="2"/>
        <v>271</v>
      </c>
      <c r="P16" s="13">
        <f t="shared" si="2"/>
        <v>279</v>
      </c>
      <c r="Q16" s="13">
        <f t="shared" si="2"/>
        <v>272</v>
      </c>
      <c r="R16" s="13">
        <f t="shared" si="2"/>
        <v>276</v>
      </c>
      <c r="S16" s="13">
        <f t="shared" si="2"/>
        <v>296</v>
      </c>
      <c r="T16" s="13">
        <f t="shared" si="1"/>
        <v>4173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19"/>
      <c r="Q17" s="19"/>
      <c r="R17" s="19"/>
      <c r="S17" s="78"/>
      <c r="T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104.0</v>
      </c>
      <c r="F19" s="19">
        <v>107.0</v>
      </c>
      <c r="G19" s="19">
        <v>115.0</v>
      </c>
      <c r="H19" s="19">
        <v>107.0</v>
      </c>
      <c r="I19" s="19">
        <v>87.0</v>
      </c>
      <c r="J19" s="19">
        <v>109.0</v>
      </c>
      <c r="K19" s="19">
        <v>123.0</v>
      </c>
      <c r="L19" s="19">
        <v>105.0</v>
      </c>
      <c r="M19" s="19">
        <v>88.0</v>
      </c>
      <c r="N19" s="19">
        <v>109.0</v>
      </c>
      <c r="O19" s="19">
        <v>95.0</v>
      </c>
      <c r="P19" s="19">
        <v>114.0</v>
      </c>
      <c r="Q19" s="19">
        <v>96.0</v>
      </c>
      <c r="R19" s="19">
        <v>100.0</v>
      </c>
      <c r="S19" s="19">
        <v>100.0</v>
      </c>
      <c r="T19" s="13">
        <f t="shared" ref="T19:T30" si="3">SUM(E19:S19)</f>
        <v>1559</v>
      </c>
    </row>
    <row r="20" ht="12.75" customHeight="1">
      <c r="A20" s="34"/>
      <c r="B20" s="27"/>
      <c r="C20" s="35"/>
      <c r="D20" s="19" t="s">
        <v>13</v>
      </c>
      <c r="E20" s="19">
        <v>113.0</v>
      </c>
      <c r="F20" s="19">
        <v>113.0</v>
      </c>
      <c r="G20" s="19">
        <v>113.0</v>
      </c>
      <c r="H20" s="19">
        <v>113.0</v>
      </c>
      <c r="I20" s="19">
        <v>107.0</v>
      </c>
      <c r="J20" s="19">
        <v>116.0</v>
      </c>
      <c r="K20" s="19">
        <v>117.0</v>
      </c>
      <c r="L20" s="19">
        <v>117.0</v>
      </c>
      <c r="M20" s="19">
        <v>112.0</v>
      </c>
      <c r="N20" s="19">
        <v>119.0</v>
      </c>
      <c r="O20" s="19">
        <v>117.0</v>
      </c>
      <c r="P20" s="19">
        <v>118.0</v>
      </c>
      <c r="Q20" s="19">
        <v>116.0</v>
      </c>
      <c r="R20" s="19">
        <v>120.0</v>
      </c>
      <c r="S20" s="19">
        <v>133.0</v>
      </c>
      <c r="T20" s="13">
        <f t="shared" si="3"/>
        <v>1744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217</v>
      </c>
      <c r="F21" s="13">
        <f t="shared" si="4"/>
        <v>220</v>
      </c>
      <c r="G21" s="13">
        <f t="shared" si="4"/>
        <v>228</v>
      </c>
      <c r="H21" s="13">
        <f t="shared" si="4"/>
        <v>220</v>
      </c>
      <c r="I21" s="13">
        <f t="shared" si="4"/>
        <v>194</v>
      </c>
      <c r="J21" s="13">
        <f t="shared" si="4"/>
        <v>225</v>
      </c>
      <c r="K21" s="13">
        <f t="shared" si="4"/>
        <v>240</v>
      </c>
      <c r="L21" s="13">
        <f t="shared" si="4"/>
        <v>222</v>
      </c>
      <c r="M21" s="13">
        <f t="shared" si="4"/>
        <v>200</v>
      </c>
      <c r="N21" s="13">
        <f t="shared" si="4"/>
        <v>228</v>
      </c>
      <c r="O21" s="13">
        <f t="shared" si="4"/>
        <v>212</v>
      </c>
      <c r="P21" s="13">
        <f t="shared" si="4"/>
        <v>232</v>
      </c>
      <c r="Q21" s="13">
        <f t="shared" si="4"/>
        <v>212</v>
      </c>
      <c r="R21" s="13">
        <f t="shared" si="4"/>
        <v>220</v>
      </c>
      <c r="S21" s="13">
        <f t="shared" si="4"/>
        <v>233</v>
      </c>
      <c r="T21" s="13">
        <f t="shared" si="3"/>
        <v>3303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2.0</v>
      </c>
      <c r="I25" s="19">
        <v>2.0</v>
      </c>
      <c r="J25" s="19">
        <v>0.0</v>
      </c>
      <c r="K25" s="19">
        <v>3.0</v>
      </c>
      <c r="L25" s="19">
        <v>4.0</v>
      </c>
      <c r="M25" s="19">
        <v>3.0</v>
      </c>
      <c r="N25" s="19">
        <v>0.0</v>
      </c>
      <c r="O25" s="19">
        <v>1.0</v>
      </c>
      <c r="P25" s="19">
        <v>0.0</v>
      </c>
      <c r="Q25" s="19">
        <v>1.0</v>
      </c>
      <c r="R25" s="19">
        <v>0.0</v>
      </c>
      <c r="S25" s="19">
        <v>1.0</v>
      </c>
      <c r="T25" s="13">
        <f t="shared" si="3"/>
        <v>20</v>
      </c>
    </row>
    <row r="26" ht="12.75" customHeight="1">
      <c r="A26" s="34"/>
      <c r="B26" s="27"/>
      <c r="C26" s="35"/>
      <c r="D26" s="19" t="s">
        <v>13</v>
      </c>
      <c r="E26" s="19">
        <v>4.0</v>
      </c>
      <c r="F26" s="19">
        <v>1.0</v>
      </c>
      <c r="G26" s="19">
        <v>1.0</v>
      </c>
      <c r="H26" s="19">
        <v>5.0</v>
      </c>
      <c r="I26" s="19">
        <v>3.0</v>
      </c>
      <c r="J26" s="19">
        <v>0.0</v>
      </c>
      <c r="K26" s="19">
        <v>1.0</v>
      </c>
      <c r="L26" s="19">
        <v>8.0</v>
      </c>
      <c r="M26" s="19">
        <v>3.0</v>
      </c>
      <c r="N26" s="19">
        <v>1.0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5</v>
      </c>
      <c r="F27" s="13">
        <f t="shared" si="6"/>
        <v>3</v>
      </c>
      <c r="G27" s="13">
        <f t="shared" si="6"/>
        <v>1</v>
      </c>
      <c r="H27" s="13">
        <f t="shared" si="6"/>
        <v>7</v>
      </c>
      <c r="I27" s="13">
        <f t="shared" si="6"/>
        <v>5</v>
      </c>
      <c r="J27" s="13">
        <f t="shared" si="6"/>
        <v>0</v>
      </c>
      <c r="K27" s="13">
        <f t="shared" si="6"/>
        <v>4</v>
      </c>
      <c r="L27" s="13">
        <f t="shared" si="6"/>
        <v>12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1</v>
      </c>
      <c r="T27" s="13">
        <f t="shared" si="3"/>
        <v>49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109</v>
      </c>
      <c r="G28" s="13">
        <f t="shared" si="7"/>
        <v>115</v>
      </c>
      <c r="H28" s="13">
        <f t="shared" si="7"/>
        <v>109</v>
      </c>
      <c r="I28" s="13">
        <f t="shared" si="7"/>
        <v>89</v>
      </c>
      <c r="J28" s="13">
        <f t="shared" si="7"/>
        <v>110</v>
      </c>
      <c r="K28" s="13">
        <f t="shared" si="7"/>
        <v>126</v>
      </c>
      <c r="L28" s="13">
        <f t="shared" si="7"/>
        <v>109</v>
      </c>
      <c r="M28" s="13">
        <f t="shared" si="7"/>
        <v>91</v>
      </c>
      <c r="N28" s="13">
        <f t="shared" si="7"/>
        <v>109</v>
      </c>
      <c r="O28" s="13">
        <f t="shared" si="7"/>
        <v>96</v>
      </c>
      <c r="P28" s="13">
        <f t="shared" si="7"/>
        <v>114</v>
      </c>
      <c r="Q28" s="13">
        <f t="shared" si="7"/>
        <v>97</v>
      </c>
      <c r="R28" s="13">
        <f t="shared" si="7"/>
        <v>100</v>
      </c>
      <c r="S28" s="13">
        <f t="shared" si="7"/>
        <v>101</v>
      </c>
      <c r="T28" s="13">
        <f t="shared" si="3"/>
        <v>1580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117</v>
      </c>
      <c r="F29" s="13">
        <f t="shared" si="8"/>
        <v>114</v>
      </c>
      <c r="G29" s="13">
        <f t="shared" si="8"/>
        <v>114</v>
      </c>
      <c r="H29" s="13">
        <f t="shared" si="8"/>
        <v>118</v>
      </c>
      <c r="I29" s="13">
        <f t="shared" si="8"/>
        <v>110</v>
      </c>
      <c r="J29" s="13">
        <f t="shared" si="8"/>
        <v>116</v>
      </c>
      <c r="K29" s="13">
        <f t="shared" si="8"/>
        <v>118</v>
      </c>
      <c r="L29" s="13">
        <f t="shared" si="8"/>
        <v>125</v>
      </c>
      <c r="M29" s="13">
        <f t="shared" si="8"/>
        <v>115</v>
      </c>
      <c r="N29" s="13">
        <f t="shared" si="8"/>
        <v>120</v>
      </c>
      <c r="O29" s="13">
        <f t="shared" si="8"/>
        <v>118</v>
      </c>
      <c r="P29" s="13">
        <f t="shared" si="8"/>
        <v>118</v>
      </c>
      <c r="Q29" s="13">
        <f t="shared" si="8"/>
        <v>117</v>
      </c>
      <c r="R29" s="13">
        <f t="shared" si="8"/>
        <v>120</v>
      </c>
      <c r="S29" s="13">
        <f t="shared" si="8"/>
        <v>133</v>
      </c>
      <c r="T29" s="13">
        <f t="shared" si="3"/>
        <v>1773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222</v>
      </c>
      <c r="F30" s="13">
        <f t="shared" si="9"/>
        <v>223</v>
      </c>
      <c r="G30" s="13">
        <f t="shared" si="9"/>
        <v>229</v>
      </c>
      <c r="H30" s="13">
        <f t="shared" si="9"/>
        <v>227</v>
      </c>
      <c r="I30" s="13">
        <f t="shared" si="9"/>
        <v>199</v>
      </c>
      <c r="J30" s="13">
        <f t="shared" si="9"/>
        <v>226</v>
      </c>
      <c r="K30" s="13">
        <f t="shared" si="9"/>
        <v>244</v>
      </c>
      <c r="L30" s="13">
        <f t="shared" si="9"/>
        <v>234</v>
      </c>
      <c r="M30" s="13">
        <f t="shared" si="9"/>
        <v>206</v>
      </c>
      <c r="N30" s="13">
        <f t="shared" si="9"/>
        <v>229</v>
      </c>
      <c r="O30" s="13">
        <f t="shared" si="9"/>
        <v>214</v>
      </c>
      <c r="P30" s="13">
        <f t="shared" si="9"/>
        <v>232</v>
      </c>
      <c r="Q30" s="13">
        <f t="shared" si="9"/>
        <v>214</v>
      </c>
      <c r="R30" s="13">
        <f t="shared" si="9"/>
        <v>220</v>
      </c>
      <c r="S30" s="13">
        <f t="shared" si="9"/>
        <v>234</v>
      </c>
      <c r="T30" s="13">
        <f t="shared" si="3"/>
        <v>3353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19"/>
      <c r="Q31" s="19"/>
      <c r="R31" s="19"/>
      <c r="S31" s="78"/>
      <c r="T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1" t="s">
        <v>213</v>
      </c>
      <c r="Q32" s="71" t="s">
        <v>214</v>
      </c>
      <c r="R32" s="71" t="s">
        <v>216</v>
      </c>
      <c r="S32" s="71" t="s">
        <v>217</v>
      </c>
      <c r="T32" s="70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278.0</v>
      </c>
      <c r="G33" s="19">
        <v>285.0</v>
      </c>
      <c r="H33" s="19">
        <v>295.0</v>
      </c>
      <c r="I33" s="19">
        <v>306.0</v>
      </c>
      <c r="J33" s="19">
        <v>293.0</v>
      </c>
      <c r="K33" s="19">
        <v>290.0</v>
      </c>
      <c r="L33" s="19">
        <v>276.0</v>
      </c>
      <c r="M33" s="19">
        <v>276.0</v>
      </c>
      <c r="N33" s="19">
        <v>293.0</v>
      </c>
      <c r="O33" s="19">
        <v>286.0</v>
      </c>
      <c r="P33" s="19">
        <v>285.0</v>
      </c>
      <c r="Q33" s="19">
        <v>278.0</v>
      </c>
      <c r="R33" s="19">
        <v>282.0</v>
      </c>
      <c r="S33" s="19">
        <v>302.0</v>
      </c>
      <c r="T33" s="13">
        <f t="shared" ref="T33:T36" si="10">SUM(E33:S33)</f>
        <v>4301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223.0</v>
      </c>
      <c r="G34" s="13">
        <v>229.0</v>
      </c>
      <c r="H34" s="13">
        <v>227.0</v>
      </c>
      <c r="I34" s="13">
        <v>199.0</v>
      </c>
      <c r="J34" s="13">
        <v>226.0</v>
      </c>
      <c r="K34" s="13">
        <v>244.0</v>
      </c>
      <c r="L34" s="13">
        <v>234.0</v>
      </c>
      <c r="M34" s="13">
        <v>206.0</v>
      </c>
      <c r="N34" s="13">
        <v>229.0</v>
      </c>
      <c r="O34" s="13">
        <v>214.0</v>
      </c>
      <c r="P34" s="13">
        <v>232.0</v>
      </c>
      <c r="Q34" s="13">
        <v>214.0</v>
      </c>
      <c r="R34" s="13">
        <v>220.0</v>
      </c>
      <c r="S34" s="13">
        <v>234.0</v>
      </c>
      <c r="T34" s="13">
        <f t="shared" si="10"/>
        <v>3353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29.0</v>
      </c>
      <c r="J35" s="19">
        <v>0.0</v>
      </c>
      <c r="K35" s="19">
        <v>1.0</v>
      </c>
      <c r="L35" s="19">
        <v>0.0</v>
      </c>
      <c r="M35" s="19">
        <v>3.0</v>
      </c>
      <c r="N35" s="19">
        <v>0.0</v>
      </c>
      <c r="O35" s="19">
        <v>2.0</v>
      </c>
      <c r="P35" s="19">
        <v>1.0</v>
      </c>
      <c r="Q35" s="19">
        <v>1.0</v>
      </c>
      <c r="R35" s="19">
        <v>2.0</v>
      </c>
      <c r="S35" s="19">
        <v>3.0</v>
      </c>
      <c r="T35" s="13">
        <f t="shared" si="10"/>
        <v>43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54</v>
      </c>
      <c r="F36" s="13">
        <f t="shared" si="11"/>
        <v>54</v>
      </c>
      <c r="G36" s="13">
        <f t="shared" si="11"/>
        <v>56</v>
      </c>
      <c r="H36" s="13">
        <f t="shared" si="11"/>
        <v>68</v>
      </c>
      <c r="I36" s="13">
        <f t="shared" si="11"/>
        <v>78</v>
      </c>
      <c r="J36" s="13">
        <f t="shared" si="11"/>
        <v>67</v>
      </c>
      <c r="K36" s="13">
        <f t="shared" si="11"/>
        <v>45</v>
      </c>
      <c r="L36" s="13">
        <f t="shared" si="11"/>
        <v>42</v>
      </c>
      <c r="M36" s="13">
        <f t="shared" si="11"/>
        <v>67</v>
      </c>
      <c r="N36" s="13">
        <f t="shared" si="11"/>
        <v>64</v>
      </c>
      <c r="O36" s="13">
        <f t="shared" si="11"/>
        <v>70</v>
      </c>
      <c r="P36" s="13">
        <f t="shared" si="11"/>
        <v>52</v>
      </c>
      <c r="Q36" s="13">
        <f t="shared" si="11"/>
        <v>63</v>
      </c>
      <c r="R36" s="13">
        <f t="shared" si="11"/>
        <v>60</v>
      </c>
      <c r="S36" s="13">
        <f t="shared" si="11"/>
        <v>65</v>
      </c>
      <c r="T36" s="13">
        <f t="shared" si="10"/>
        <v>905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19"/>
      <c r="Q37" s="19"/>
      <c r="R37" s="19"/>
      <c r="S37" s="78"/>
      <c r="T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1" t="s">
        <v>213</v>
      </c>
      <c r="Q38" s="71" t="s">
        <v>214</v>
      </c>
      <c r="R38" s="71" t="s">
        <v>216</v>
      </c>
      <c r="S38" s="71" t="s">
        <v>217</v>
      </c>
      <c r="T38" s="70"/>
    </row>
    <row r="39" ht="12.75" customHeight="1">
      <c r="A39" s="31"/>
      <c r="B39" s="45" t="s">
        <v>33</v>
      </c>
      <c r="C39" s="23"/>
      <c r="D39" s="19" t="s">
        <v>12</v>
      </c>
      <c r="E39" s="19">
        <v>2.0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5</v>
      </c>
    </row>
    <row r="40" ht="12.75" customHeight="1">
      <c r="A40" s="34"/>
      <c r="C40" s="27"/>
      <c r="D40" s="19" t="s">
        <v>13</v>
      </c>
      <c r="E40" s="19">
        <v>2.0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4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4</v>
      </c>
      <c r="F41" s="13">
        <f t="shared" si="13"/>
        <v>0</v>
      </c>
      <c r="G41" s="13">
        <f t="shared" si="13"/>
        <v>1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9"/>
      <c r="Q42" s="19"/>
      <c r="R42" s="19"/>
      <c r="S42" s="78"/>
      <c r="T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71" t="s">
        <v>213</v>
      </c>
      <c r="Q43" s="71" t="s">
        <v>214</v>
      </c>
      <c r="R43" s="71" t="s">
        <v>216</v>
      </c>
      <c r="S43" s="71" t="s">
        <v>217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9"/>
      <c r="Q44" s="19"/>
      <c r="R44" s="19"/>
      <c r="S44" s="78"/>
      <c r="T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10.0</v>
      </c>
      <c r="F45" s="19">
        <v>8.0</v>
      </c>
      <c r="G45" s="19">
        <v>21.0</v>
      </c>
      <c r="H45" s="19">
        <v>11.0</v>
      </c>
      <c r="I45" s="19">
        <v>8.0</v>
      </c>
      <c r="J45" s="19">
        <v>7.0</v>
      </c>
      <c r="K45" s="19">
        <v>9.0</v>
      </c>
      <c r="L45" s="19">
        <v>15.0</v>
      </c>
      <c r="M45" s="19">
        <v>19.0</v>
      </c>
      <c r="N45" s="19">
        <v>16.0</v>
      </c>
      <c r="O45" s="19">
        <v>11.0</v>
      </c>
      <c r="P45" s="19">
        <v>9.0</v>
      </c>
      <c r="Q45" s="19">
        <v>3.0</v>
      </c>
      <c r="R45" s="19">
        <v>9.0</v>
      </c>
      <c r="S45" s="19">
        <v>4.0</v>
      </c>
      <c r="T45" s="13">
        <f t="shared" ref="T45:T55" si="14">SUM(E45:S45)</f>
        <v>160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15.0</v>
      </c>
      <c r="F46" s="19">
        <v>24.0</v>
      </c>
      <c r="G46" s="19">
        <v>39.0</v>
      </c>
      <c r="H46" s="19">
        <v>29.0</v>
      </c>
      <c r="I46" s="19">
        <v>5.0</v>
      </c>
      <c r="J46" s="19">
        <v>19.0</v>
      </c>
      <c r="K46" s="19">
        <v>24.0</v>
      </c>
      <c r="L46" s="19">
        <v>17.0</v>
      </c>
      <c r="M46" s="19">
        <v>35.0</v>
      </c>
      <c r="N46" s="19">
        <v>20.0</v>
      </c>
      <c r="O46" s="19">
        <v>17.0</v>
      </c>
      <c r="P46" s="19">
        <v>20.0</v>
      </c>
      <c r="Q46" s="19">
        <v>13.0</v>
      </c>
      <c r="R46" s="19">
        <v>10.0</v>
      </c>
      <c r="S46" s="19">
        <v>9.0</v>
      </c>
      <c r="T46" s="13">
        <f t="shared" si="14"/>
        <v>296</v>
      </c>
    </row>
    <row r="47" ht="12.75" customHeight="1">
      <c r="A47" s="18"/>
      <c r="B47" s="57">
        <v>2.0</v>
      </c>
      <c r="C47" s="52" t="s">
        <v>41</v>
      </c>
      <c r="D47" s="16"/>
      <c r="E47" s="19">
        <v>5.0</v>
      </c>
      <c r="F47" s="19">
        <v>4.0</v>
      </c>
      <c r="G47" s="19">
        <v>6.0</v>
      </c>
      <c r="H47" s="19">
        <v>5.0</v>
      </c>
      <c r="I47" s="19">
        <v>1.0</v>
      </c>
      <c r="J47" s="19">
        <v>4.0</v>
      </c>
      <c r="K47" s="19">
        <v>2.0</v>
      </c>
      <c r="L47" s="19">
        <v>0.0</v>
      </c>
      <c r="M47" s="19">
        <v>7.0</v>
      </c>
      <c r="N47" s="19">
        <v>34.0</v>
      </c>
      <c r="O47" s="19">
        <v>5.0</v>
      </c>
      <c r="P47" s="19">
        <v>1.0</v>
      </c>
      <c r="Q47" s="19">
        <v>9.0</v>
      </c>
      <c r="R47" s="19">
        <v>3.0</v>
      </c>
      <c r="S47" s="19">
        <v>52.0</v>
      </c>
      <c r="T47" s="13">
        <f t="shared" si="14"/>
        <v>138</v>
      </c>
    </row>
    <row r="48" ht="12.75" customHeight="1">
      <c r="A48" s="18"/>
      <c r="B48" s="57">
        <v>3.0</v>
      </c>
      <c r="C48" s="52" t="s">
        <v>42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0.0</v>
      </c>
      <c r="J48" s="19">
        <v>3.0</v>
      </c>
      <c r="K48" s="19">
        <v>1.0</v>
      </c>
      <c r="L48" s="19">
        <v>0.0</v>
      </c>
      <c r="M48" s="19">
        <v>1.0</v>
      </c>
      <c r="N48" s="19">
        <v>0.0</v>
      </c>
      <c r="O48" s="19">
        <v>1.0</v>
      </c>
      <c r="P48" s="19">
        <v>1.0</v>
      </c>
      <c r="Q48" s="19">
        <v>0.0</v>
      </c>
      <c r="R48" s="19">
        <v>1.0</v>
      </c>
      <c r="S48" s="19">
        <v>1.0</v>
      </c>
      <c r="T48" s="13">
        <f t="shared" si="14"/>
        <v>11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1.0</v>
      </c>
      <c r="G49" s="19">
        <v>1.0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4.0</v>
      </c>
      <c r="N49" s="19">
        <v>1.0</v>
      </c>
      <c r="O49" s="19">
        <v>0.0</v>
      </c>
      <c r="P49" s="19">
        <v>0.0</v>
      </c>
      <c r="Q49" s="19">
        <v>1.0</v>
      </c>
      <c r="R49" s="19">
        <v>1.0</v>
      </c>
      <c r="S49" s="19">
        <v>0.0</v>
      </c>
      <c r="T49" s="13">
        <f t="shared" si="14"/>
        <v>10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3">
        <f t="shared" si="14"/>
        <v>3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1.0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1.0</v>
      </c>
      <c r="P51" s="19">
        <v>1.0</v>
      </c>
      <c r="Q51" s="19">
        <v>0.0</v>
      </c>
      <c r="R51" s="19">
        <v>1.0</v>
      </c>
      <c r="S51" s="19">
        <v>0.0</v>
      </c>
      <c r="T51" s="13">
        <f t="shared" si="14"/>
        <v>7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5.0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1.0</v>
      </c>
      <c r="P52" s="19">
        <v>0.0</v>
      </c>
      <c r="Q52" s="19">
        <v>0.0</v>
      </c>
      <c r="R52" s="19">
        <v>1.0</v>
      </c>
      <c r="S52" s="19">
        <v>1.0</v>
      </c>
      <c r="T52" s="13">
        <f t="shared" si="14"/>
        <v>8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S55" si="15">SUM(E45:E52)</f>
        <v>31</v>
      </c>
      <c r="F55" s="13">
        <f t="shared" si="15"/>
        <v>39</v>
      </c>
      <c r="G55" s="13">
        <f t="shared" si="15"/>
        <v>68</v>
      </c>
      <c r="H55" s="13">
        <f t="shared" si="15"/>
        <v>46</v>
      </c>
      <c r="I55" s="13">
        <f t="shared" si="15"/>
        <v>20</v>
      </c>
      <c r="J55" s="13">
        <f t="shared" si="15"/>
        <v>33</v>
      </c>
      <c r="K55" s="13">
        <f t="shared" si="15"/>
        <v>36</v>
      </c>
      <c r="L55" s="13">
        <f t="shared" si="15"/>
        <v>34</v>
      </c>
      <c r="M55" s="13">
        <f t="shared" si="15"/>
        <v>66</v>
      </c>
      <c r="N55" s="13">
        <f t="shared" si="15"/>
        <v>72</v>
      </c>
      <c r="O55" s="13">
        <f t="shared" si="15"/>
        <v>36</v>
      </c>
      <c r="P55" s="13">
        <f t="shared" si="15"/>
        <v>33</v>
      </c>
      <c r="Q55" s="13">
        <f t="shared" si="15"/>
        <v>26</v>
      </c>
      <c r="R55" s="13">
        <f t="shared" si="15"/>
        <v>26</v>
      </c>
      <c r="S55" s="13">
        <f t="shared" si="15"/>
        <v>67</v>
      </c>
      <c r="T55" s="13">
        <f t="shared" si="14"/>
        <v>633</v>
      </c>
    </row>
    <row r="56" ht="12.75" customHeight="1">
      <c r="A56" s="47"/>
      <c r="B56" s="46"/>
      <c r="C56" s="46"/>
      <c r="D56" s="46"/>
      <c r="E56" s="46"/>
      <c r="T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8.0</v>
      </c>
      <c r="F57" s="19">
        <v>10.0</v>
      </c>
      <c r="G57" s="19">
        <v>11.0</v>
      </c>
      <c r="H57" s="19">
        <v>24.0</v>
      </c>
      <c r="I57" s="19">
        <v>10.0</v>
      </c>
      <c r="J57" s="19">
        <v>14.0</v>
      </c>
      <c r="K57" s="19">
        <v>7.0</v>
      </c>
      <c r="L57" s="19">
        <v>10.0</v>
      </c>
      <c r="M57" s="19">
        <v>14.0</v>
      </c>
      <c r="N57" s="19">
        <v>7.0</v>
      </c>
      <c r="O57" s="19">
        <v>13.0</v>
      </c>
      <c r="P57" s="19">
        <v>20.0</v>
      </c>
      <c r="Q57" s="19">
        <v>6.0</v>
      </c>
      <c r="R57" s="19">
        <v>17.0</v>
      </c>
      <c r="S57" s="19">
        <v>2.0</v>
      </c>
      <c r="T57" s="13">
        <f t="shared" ref="T57:T67" si="16">SUM(E57:S57)</f>
        <v>173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12.0</v>
      </c>
      <c r="F58" s="19">
        <v>12.0</v>
      </c>
      <c r="G58" s="19">
        <v>16.0</v>
      </c>
      <c r="H58" s="19">
        <v>13.0</v>
      </c>
      <c r="I58" s="19">
        <v>38.0</v>
      </c>
      <c r="J58" s="19">
        <v>52.0</v>
      </c>
      <c r="K58" s="19">
        <v>51.0</v>
      </c>
      <c r="L58" s="19">
        <v>78.0</v>
      </c>
      <c r="M58" s="19">
        <v>40.0</v>
      </c>
      <c r="N58" s="19">
        <v>29.0</v>
      </c>
      <c r="O58" s="19">
        <v>53.0</v>
      </c>
      <c r="P58" s="19">
        <v>69.0</v>
      </c>
      <c r="Q58" s="19">
        <v>38.0</v>
      </c>
      <c r="R58" s="19">
        <v>11.0</v>
      </c>
      <c r="S58" s="19">
        <v>18.0</v>
      </c>
      <c r="T58" s="13">
        <f t="shared" si="16"/>
        <v>530</v>
      </c>
    </row>
    <row r="59" ht="12.75" customHeight="1">
      <c r="A59" s="18"/>
      <c r="B59" s="57">
        <v>2.0</v>
      </c>
      <c r="C59" s="52" t="s">
        <v>50</v>
      </c>
      <c r="D59" s="58"/>
      <c r="E59" s="19">
        <v>4.0</v>
      </c>
      <c r="F59" s="19">
        <v>7.0</v>
      </c>
      <c r="G59" s="19">
        <v>3.0</v>
      </c>
      <c r="H59" s="19">
        <v>3.0</v>
      </c>
      <c r="I59" s="19">
        <v>3.0</v>
      </c>
      <c r="J59" s="19">
        <v>1.0</v>
      </c>
      <c r="K59" s="19">
        <v>2.0</v>
      </c>
      <c r="L59" s="19">
        <v>0.0</v>
      </c>
      <c r="M59" s="19">
        <v>2.0</v>
      </c>
      <c r="N59" s="19">
        <v>4.0</v>
      </c>
      <c r="O59" s="19">
        <v>2.0</v>
      </c>
      <c r="P59" s="19">
        <v>2.0</v>
      </c>
      <c r="Q59" s="19">
        <v>4.0</v>
      </c>
      <c r="R59" s="19">
        <v>1.0</v>
      </c>
      <c r="S59" s="19">
        <v>0.0</v>
      </c>
      <c r="T59" s="13">
        <f t="shared" si="16"/>
        <v>38</v>
      </c>
    </row>
    <row r="60" ht="12.75" customHeight="1">
      <c r="A60" s="18"/>
      <c r="B60" s="57">
        <v>3.0</v>
      </c>
      <c r="C60" s="52" t="s">
        <v>51</v>
      </c>
      <c r="D60" s="58"/>
      <c r="E60" s="19">
        <v>2.0</v>
      </c>
      <c r="F60" s="19">
        <v>1.0</v>
      </c>
      <c r="G60" s="19">
        <v>1.0</v>
      </c>
      <c r="H60" s="19">
        <v>1.0</v>
      </c>
      <c r="I60" s="19">
        <v>1.0</v>
      </c>
      <c r="J60" s="19">
        <v>0.0</v>
      </c>
      <c r="K60" s="19">
        <v>2.0</v>
      </c>
      <c r="L60" s="19">
        <v>1.0</v>
      </c>
      <c r="M60" s="19">
        <v>1.0</v>
      </c>
      <c r="N60" s="19">
        <v>0.0</v>
      </c>
      <c r="O60" s="19">
        <v>0.0</v>
      </c>
      <c r="P60" s="19">
        <v>0.0</v>
      </c>
      <c r="Q60" s="19">
        <v>2.0</v>
      </c>
      <c r="R60" s="19">
        <v>1.0</v>
      </c>
      <c r="S60" s="19">
        <v>3.0</v>
      </c>
      <c r="T60" s="13">
        <f t="shared" si="16"/>
        <v>16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1.0</v>
      </c>
      <c r="G61" s="19">
        <v>0.0</v>
      </c>
      <c r="H61" s="19">
        <v>0.0</v>
      </c>
      <c r="I61" s="19">
        <v>1.0</v>
      </c>
      <c r="J61" s="19">
        <v>0.0</v>
      </c>
      <c r="K61" s="19">
        <v>1.0</v>
      </c>
      <c r="L61" s="19">
        <v>0.0</v>
      </c>
      <c r="M61" s="19">
        <v>1.0</v>
      </c>
      <c r="N61" s="19">
        <v>2.0</v>
      </c>
      <c r="O61" s="19">
        <v>1.0</v>
      </c>
      <c r="P61" s="19">
        <v>2.0</v>
      </c>
      <c r="Q61" s="19">
        <v>0.0</v>
      </c>
      <c r="R61" s="19">
        <v>3.0</v>
      </c>
      <c r="S61" s="19">
        <v>1.0</v>
      </c>
      <c r="T61" s="13">
        <f t="shared" si="16"/>
        <v>13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2.0</v>
      </c>
      <c r="N62" s="19">
        <v>1.0</v>
      </c>
      <c r="O62" s="19">
        <v>0.0</v>
      </c>
      <c r="P62" s="19">
        <v>1.0</v>
      </c>
      <c r="Q62" s="19">
        <v>1.0</v>
      </c>
      <c r="R62" s="19">
        <v>0.0</v>
      </c>
      <c r="S62" s="19">
        <v>0.0</v>
      </c>
      <c r="T62" s="13">
        <f t="shared" si="16"/>
        <v>6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2.0</v>
      </c>
      <c r="G63" s="19">
        <v>0.0</v>
      </c>
      <c r="H63" s="19">
        <v>1.0</v>
      </c>
      <c r="I63" s="19">
        <v>0.0</v>
      </c>
      <c r="J63" s="19">
        <v>3.0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3">
        <f t="shared" si="16"/>
        <v>7</v>
      </c>
    </row>
    <row r="64" ht="12.75" customHeight="1">
      <c r="A64" s="18"/>
      <c r="B64" s="57">
        <v>7.0</v>
      </c>
      <c r="C64" s="52" t="s">
        <v>55</v>
      </c>
      <c r="D64" s="58"/>
      <c r="E64" s="19">
        <v>1.0</v>
      </c>
      <c r="F64" s="19">
        <v>0.0</v>
      </c>
      <c r="G64" s="19">
        <v>1.0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2.0</v>
      </c>
      <c r="Q64" s="19">
        <v>1.0</v>
      </c>
      <c r="R64" s="19">
        <v>1.0</v>
      </c>
      <c r="S64" s="19">
        <v>0.0</v>
      </c>
      <c r="T64" s="13">
        <f t="shared" si="16"/>
        <v>8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S67" si="17">SUM(E57:E64)</f>
        <v>27</v>
      </c>
      <c r="F67" s="13">
        <f t="shared" si="17"/>
        <v>33</v>
      </c>
      <c r="G67" s="13">
        <f t="shared" si="17"/>
        <v>32</v>
      </c>
      <c r="H67" s="13">
        <f t="shared" si="17"/>
        <v>42</v>
      </c>
      <c r="I67" s="13">
        <f t="shared" si="17"/>
        <v>55</v>
      </c>
      <c r="J67" s="13">
        <f t="shared" si="17"/>
        <v>70</v>
      </c>
      <c r="K67" s="13">
        <f t="shared" si="17"/>
        <v>64</v>
      </c>
      <c r="L67" s="13">
        <f t="shared" si="17"/>
        <v>89</v>
      </c>
      <c r="M67" s="13">
        <f t="shared" si="17"/>
        <v>60</v>
      </c>
      <c r="N67" s="13">
        <f t="shared" si="17"/>
        <v>44</v>
      </c>
      <c r="O67" s="13">
        <f t="shared" si="17"/>
        <v>69</v>
      </c>
      <c r="P67" s="13">
        <f t="shared" si="17"/>
        <v>96</v>
      </c>
      <c r="Q67" s="13">
        <f t="shared" si="17"/>
        <v>52</v>
      </c>
      <c r="R67" s="13">
        <f t="shared" si="17"/>
        <v>34</v>
      </c>
      <c r="S67" s="13">
        <f t="shared" si="17"/>
        <v>24</v>
      </c>
      <c r="T67" s="13">
        <f t="shared" si="16"/>
        <v>791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6.0</v>
      </c>
      <c r="F69" s="19">
        <v>12.0</v>
      </c>
      <c r="G69" s="19">
        <v>9.0</v>
      </c>
      <c r="H69" s="19">
        <v>9.0</v>
      </c>
      <c r="I69" s="19">
        <v>7.0</v>
      </c>
      <c r="J69" s="19">
        <v>2.0</v>
      </c>
      <c r="K69" s="19">
        <v>1.0</v>
      </c>
      <c r="L69" s="19">
        <v>1.0</v>
      </c>
      <c r="M69" s="19">
        <v>4.0</v>
      </c>
      <c r="N69" s="19">
        <v>7.0</v>
      </c>
      <c r="O69" s="19">
        <v>3.0</v>
      </c>
      <c r="P69" s="19">
        <v>13.0</v>
      </c>
      <c r="Q69" s="19">
        <v>3.0</v>
      </c>
      <c r="R69" s="19">
        <v>1.0</v>
      </c>
      <c r="S69" s="19">
        <v>3.0</v>
      </c>
      <c r="T69" s="13">
        <f t="shared" ref="T69:T79" si="18">SUM(E69:S69)</f>
        <v>81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4.0</v>
      </c>
      <c r="F70" s="19">
        <v>18.0</v>
      </c>
      <c r="G70" s="19">
        <v>7.0</v>
      </c>
      <c r="H70" s="19">
        <v>12.0</v>
      </c>
      <c r="I70" s="19">
        <v>2.0</v>
      </c>
      <c r="J70" s="19">
        <v>4.0</v>
      </c>
      <c r="K70" s="19">
        <v>6.0</v>
      </c>
      <c r="L70" s="19">
        <v>2.0</v>
      </c>
      <c r="M70" s="19">
        <v>3.0</v>
      </c>
      <c r="N70" s="19">
        <v>20.0</v>
      </c>
      <c r="O70" s="19">
        <v>27.0</v>
      </c>
      <c r="P70" s="19">
        <v>15.0</v>
      </c>
      <c r="Q70" s="19">
        <v>5.0</v>
      </c>
      <c r="R70" s="19">
        <v>6.0</v>
      </c>
      <c r="S70" s="19">
        <v>20.0</v>
      </c>
      <c r="T70" s="13">
        <f t="shared" si="18"/>
        <v>151</v>
      </c>
    </row>
    <row r="71" ht="12.75" customHeight="1">
      <c r="A71" s="18"/>
      <c r="B71" s="57">
        <v>2.0</v>
      </c>
      <c r="C71" s="52" t="s">
        <v>58</v>
      </c>
      <c r="D71" s="60"/>
      <c r="E71" s="19">
        <v>5.0</v>
      </c>
      <c r="F71" s="19">
        <v>3.0</v>
      </c>
      <c r="G71" s="19">
        <v>7.0</v>
      </c>
      <c r="H71" s="19">
        <v>8.0</v>
      </c>
      <c r="I71" s="19">
        <v>4.0</v>
      </c>
      <c r="J71" s="19">
        <v>3.0</v>
      </c>
      <c r="K71" s="19">
        <v>3.0</v>
      </c>
      <c r="L71" s="19">
        <v>0.0</v>
      </c>
      <c r="M71" s="19">
        <v>5.0</v>
      </c>
      <c r="N71" s="19">
        <v>0.0</v>
      </c>
      <c r="O71" s="19">
        <v>2.0</v>
      </c>
      <c r="P71" s="19">
        <v>1.0</v>
      </c>
      <c r="Q71" s="19">
        <v>0.0</v>
      </c>
      <c r="R71" s="19">
        <v>0.0</v>
      </c>
      <c r="S71" s="19">
        <v>2.0</v>
      </c>
      <c r="T71" s="13">
        <f t="shared" si="18"/>
        <v>43</v>
      </c>
    </row>
    <row r="72" ht="12.75" customHeight="1">
      <c r="A72" s="18"/>
      <c r="B72" s="57">
        <v>3.0</v>
      </c>
      <c r="C72" s="52" t="s">
        <v>59</v>
      </c>
      <c r="D72" s="60"/>
      <c r="E72" s="19">
        <v>1.0</v>
      </c>
      <c r="F72" s="19">
        <v>0.0</v>
      </c>
      <c r="G72" s="19">
        <v>1.0</v>
      </c>
      <c r="H72" s="19">
        <v>3.0</v>
      </c>
      <c r="I72" s="19">
        <v>1.0</v>
      </c>
      <c r="J72" s="19">
        <v>0.0</v>
      </c>
      <c r="K72" s="19">
        <v>2.0</v>
      </c>
      <c r="L72" s="19">
        <v>0.0</v>
      </c>
      <c r="M72" s="19">
        <v>0.0</v>
      </c>
      <c r="N72" s="19">
        <v>1.0</v>
      </c>
      <c r="O72" s="19">
        <v>2.0</v>
      </c>
      <c r="P72" s="19">
        <v>1.0</v>
      </c>
      <c r="Q72" s="19">
        <v>0.0</v>
      </c>
      <c r="R72" s="19">
        <v>2.0</v>
      </c>
      <c r="S72" s="19">
        <v>2.0</v>
      </c>
      <c r="T72" s="13">
        <f t="shared" si="18"/>
        <v>16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0.0</v>
      </c>
      <c r="G73" s="19">
        <v>0.0</v>
      </c>
      <c r="H73" s="19">
        <v>1.0</v>
      </c>
      <c r="I73" s="19">
        <v>3.0</v>
      </c>
      <c r="J73" s="19">
        <v>1.0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3">
        <f t="shared" si="18"/>
        <v>6</v>
      </c>
    </row>
    <row r="74" ht="12.75" customHeight="1">
      <c r="A74" s="18"/>
      <c r="B74" s="57">
        <v>5.0</v>
      </c>
      <c r="C74" s="52" t="s">
        <v>61</v>
      </c>
      <c r="D74" s="60"/>
      <c r="E74" s="19">
        <v>5.0</v>
      </c>
      <c r="F74" s="19">
        <v>4.0</v>
      </c>
      <c r="G74" s="19">
        <v>11.0</v>
      </c>
      <c r="H74" s="19">
        <v>5.0</v>
      </c>
      <c r="I74" s="19">
        <v>13.0</v>
      </c>
      <c r="J74" s="19">
        <v>6.0</v>
      </c>
      <c r="K74" s="19">
        <v>4.0</v>
      </c>
      <c r="L74" s="19">
        <v>8.0</v>
      </c>
      <c r="M74" s="19">
        <v>4.0</v>
      </c>
      <c r="N74" s="19">
        <v>3.0</v>
      </c>
      <c r="O74" s="19">
        <v>3.0</v>
      </c>
      <c r="P74" s="19">
        <v>1.0</v>
      </c>
      <c r="Q74" s="19">
        <v>7.0</v>
      </c>
      <c r="R74" s="19">
        <v>4.0</v>
      </c>
      <c r="S74" s="19">
        <v>7.0</v>
      </c>
      <c r="T74" s="13">
        <f t="shared" si="18"/>
        <v>85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2.0</v>
      </c>
      <c r="N75" s="19">
        <v>1.0</v>
      </c>
      <c r="O75" s="19">
        <v>1.0</v>
      </c>
      <c r="P75" s="19">
        <v>0.0</v>
      </c>
      <c r="Q75" s="19">
        <v>0.0</v>
      </c>
      <c r="R75" s="19">
        <v>0.0</v>
      </c>
      <c r="S75" s="19">
        <v>0.0</v>
      </c>
      <c r="T75" s="13">
        <f t="shared" si="18"/>
        <v>4</v>
      </c>
    </row>
    <row r="76" ht="12.75" customHeight="1">
      <c r="A76" s="18"/>
      <c r="B76" s="57">
        <v>7.0</v>
      </c>
      <c r="C76" s="52" t="s">
        <v>63</v>
      </c>
      <c r="D76" s="60"/>
      <c r="E76" s="19">
        <v>1.0</v>
      </c>
      <c r="F76" s="19">
        <v>0.0</v>
      </c>
      <c r="G76" s="19">
        <v>0.0</v>
      </c>
      <c r="H76" s="19">
        <v>1.0</v>
      </c>
      <c r="I76" s="19">
        <v>1.0</v>
      </c>
      <c r="J76" s="19">
        <v>0.0</v>
      </c>
      <c r="K76" s="19">
        <v>2.0</v>
      </c>
      <c r="L76" s="19">
        <v>0.0</v>
      </c>
      <c r="M76" s="19">
        <v>1.0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3.0</v>
      </c>
      <c r="T76" s="13">
        <f t="shared" si="18"/>
        <v>9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S79" si="19">SUM(E69:E76)</f>
        <v>22</v>
      </c>
      <c r="F79" s="13">
        <f t="shared" si="19"/>
        <v>37</v>
      </c>
      <c r="G79" s="13">
        <f t="shared" si="19"/>
        <v>35</v>
      </c>
      <c r="H79" s="13">
        <f t="shared" si="19"/>
        <v>39</v>
      </c>
      <c r="I79" s="13">
        <f t="shared" si="19"/>
        <v>31</v>
      </c>
      <c r="J79" s="13">
        <f t="shared" si="19"/>
        <v>16</v>
      </c>
      <c r="K79" s="13">
        <f t="shared" si="19"/>
        <v>18</v>
      </c>
      <c r="L79" s="13">
        <f t="shared" si="19"/>
        <v>12</v>
      </c>
      <c r="M79" s="13">
        <f t="shared" si="19"/>
        <v>19</v>
      </c>
      <c r="N79" s="13">
        <f t="shared" si="19"/>
        <v>32</v>
      </c>
      <c r="O79" s="13">
        <f t="shared" si="19"/>
        <v>38</v>
      </c>
      <c r="P79" s="13">
        <f t="shared" si="19"/>
        <v>31</v>
      </c>
      <c r="Q79" s="13">
        <f t="shared" si="19"/>
        <v>15</v>
      </c>
      <c r="R79" s="13">
        <f t="shared" si="19"/>
        <v>13</v>
      </c>
      <c r="S79" s="13">
        <f t="shared" si="19"/>
        <v>37</v>
      </c>
      <c r="T79" s="13">
        <f t="shared" si="18"/>
        <v>395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0.0</v>
      </c>
      <c r="F81" s="19">
        <v>1.0</v>
      </c>
      <c r="G81" s="19">
        <v>4.0</v>
      </c>
      <c r="H81" s="19">
        <v>1.0</v>
      </c>
      <c r="I81" s="19">
        <v>3.0</v>
      </c>
      <c r="J81" s="19">
        <v>2.0</v>
      </c>
      <c r="K81" s="19">
        <v>8.0</v>
      </c>
      <c r="L81" s="19">
        <v>7.0</v>
      </c>
      <c r="M81" s="19">
        <v>1.0</v>
      </c>
      <c r="N81" s="19">
        <v>4.0</v>
      </c>
      <c r="O81" s="19">
        <v>5.0</v>
      </c>
      <c r="P81" s="19">
        <v>3.0</v>
      </c>
      <c r="Q81" s="19">
        <v>5.0</v>
      </c>
      <c r="R81" s="19">
        <v>8.0</v>
      </c>
      <c r="S81" s="19">
        <v>5.0</v>
      </c>
      <c r="T81" s="13">
        <f t="shared" ref="T81:T91" si="20">SUM(E81:S81)</f>
        <v>57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11.0</v>
      </c>
      <c r="F82" s="19">
        <v>16.0</v>
      </c>
      <c r="G82" s="19">
        <v>11.0</v>
      </c>
      <c r="H82" s="19">
        <v>3.0</v>
      </c>
      <c r="I82" s="19">
        <v>6.0</v>
      </c>
      <c r="J82" s="19">
        <v>22.0</v>
      </c>
      <c r="K82" s="19">
        <v>22.0</v>
      </c>
      <c r="L82" s="19">
        <v>8.0</v>
      </c>
      <c r="M82" s="19">
        <v>4.0</v>
      </c>
      <c r="N82" s="19">
        <v>6.0</v>
      </c>
      <c r="O82" s="19">
        <v>6.0</v>
      </c>
      <c r="P82" s="19">
        <v>14.0</v>
      </c>
      <c r="Q82" s="19">
        <v>3.0</v>
      </c>
      <c r="R82" s="19">
        <v>11.0</v>
      </c>
      <c r="S82" s="19">
        <v>7.0</v>
      </c>
      <c r="T82" s="13">
        <f t="shared" si="20"/>
        <v>150</v>
      </c>
    </row>
    <row r="83" ht="12.75" customHeight="1">
      <c r="A83" s="18"/>
      <c r="B83" s="57">
        <v>2.0</v>
      </c>
      <c r="C83" s="52" t="s">
        <v>66</v>
      </c>
      <c r="D83" s="60"/>
      <c r="E83" s="19">
        <v>0.0</v>
      </c>
      <c r="F83" s="19">
        <v>2.0</v>
      </c>
      <c r="G83" s="19">
        <v>0.0</v>
      </c>
      <c r="H83" s="19">
        <v>3.0</v>
      </c>
      <c r="I83" s="19">
        <v>3.0</v>
      </c>
      <c r="J83" s="19">
        <v>2.0</v>
      </c>
      <c r="K83" s="19">
        <v>2.0</v>
      </c>
      <c r="L83" s="19">
        <v>2.0</v>
      </c>
      <c r="M83" s="19">
        <v>1.0</v>
      </c>
      <c r="N83" s="19">
        <v>0.0</v>
      </c>
      <c r="O83" s="19">
        <v>2.0</v>
      </c>
      <c r="P83" s="19">
        <v>3.0</v>
      </c>
      <c r="Q83" s="19">
        <v>6.0</v>
      </c>
      <c r="R83" s="19">
        <v>3.0</v>
      </c>
      <c r="S83" s="19">
        <v>3.0</v>
      </c>
      <c r="T83" s="13">
        <f t="shared" si="20"/>
        <v>32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3">
        <f t="shared" si="20"/>
        <v>3</v>
      </c>
    </row>
    <row r="85" ht="12.75" customHeight="1">
      <c r="A85" s="18"/>
      <c r="B85" s="57">
        <v>4.0</v>
      </c>
      <c r="C85" s="52" t="s">
        <v>68</v>
      </c>
      <c r="D85" s="60"/>
      <c r="E85" s="19">
        <v>0.0</v>
      </c>
      <c r="F85" s="19">
        <v>0.0</v>
      </c>
      <c r="G85" s="19">
        <v>2.0</v>
      </c>
      <c r="H85" s="19">
        <v>1.0</v>
      </c>
      <c r="I85" s="19">
        <v>0.0</v>
      </c>
      <c r="J85" s="19">
        <v>0.0</v>
      </c>
      <c r="K85" s="19">
        <v>0.0</v>
      </c>
      <c r="L85" s="19">
        <v>1.0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1.0</v>
      </c>
      <c r="S85" s="19">
        <v>1.0</v>
      </c>
      <c r="T85" s="13">
        <f t="shared" si="20"/>
        <v>7</v>
      </c>
    </row>
    <row r="86" ht="12.75" customHeight="1">
      <c r="A86" s="18"/>
      <c r="B86" s="57">
        <v>5.0</v>
      </c>
      <c r="C86" s="52" t="s">
        <v>69</v>
      </c>
      <c r="D86" s="60"/>
      <c r="E86" s="19">
        <v>5.0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1.0</v>
      </c>
      <c r="M86" s="19">
        <v>1.0</v>
      </c>
      <c r="N86" s="19">
        <v>0.0</v>
      </c>
      <c r="O86" s="19">
        <v>2.0</v>
      </c>
      <c r="P86" s="19">
        <v>0.0</v>
      </c>
      <c r="Q86" s="19">
        <v>0.0</v>
      </c>
      <c r="R86" s="19">
        <v>0.0</v>
      </c>
      <c r="S86" s="19">
        <v>0.0</v>
      </c>
      <c r="T86" s="13">
        <f t="shared" si="20"/>
        <v>9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1.0</v>
      </c>
      <c r="H87" s="19">
        <v>0.0</v>
      </c>
      <c r="I87" s="19">
        <v>3.0</v>
      </c>
      <c r="J87" s="19">
        <v>0.0</v>
      </c>
      <c r="K87" s="19">
        <v>5.0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3">
        <f t="shared" si="20"/>
        <v>10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1.0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0"/>
        <v>3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S91" si="21">SUM(E81:E88)</f>
        <v>16</v>
      </c>
      <c r="F91" s="13">
        <f t="shared" si="21"/>
        <v>19</v>
      </c>
      <c r="G91" s="13">
        <f t="shared" si="21"/>
        <v>18</v>
      </c>
      <c r="H91" s="13">
        <f t="shared" si="21"/>
        <v>9</v>
      </c>
      <c r="I91" s="13">
        <f t="shared" si="21"/>
        <v>17</v>
      </c>
      <c r="J91" s="13">
        <f t="shared" si="21"/>
        <v>26</v>
      </c>
      <c r="K91" s="13">
        <f t="shared" si="21"/>
        <v>38</v>
      </c>
      <c r="L91" s="13">
        <f t="shared" si="21"/>
        <v>19</v>
      </c>
      <c r="M91" s="13">
        <f t="shared" si="21"/>
        <v>8</v>
      </c>
      <c r="N91" s="13">
        <f t="shared" si="21"/>
        <v>12</v>
      </c>
      <c r="O91" s="13">
        <f t="shared" si="21"/>
        <v>16</v>
      </c>
      <c r="P91" s="13">
        <f t="shared" si="21"/>
        <v>20</v>
      </c>
      <c r="Q91" s="13">
        <f t="shared" si="21"/>
        <v>14</v>
      </c>
      <c r="R91" s="13">
        <f t="shared" si="21"/>
        <v>23</v>
      </c>
      <c r="S91" s="13">
        <f t="shared" si="21"/>
        <v>16</v>
      </c>
      <c r="T91" s="13">
        <f t="shared" si="20"/>
        <v>271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6.0</v>
      </c>
      <c r="F93" s="19">
        <v>1.0</v>
      </c>
      <c r="G93" s="19">
        <v>1.0</v>
      </c>
      <c r="H93" s="19">
        <v>4.0</v>
      </c>
      <c r="I93" s="19">
        <v>2.0</v>
      </c>
      <c r="J93" s="19">
        <v>2.0</v>
      </c>
      <c r="K93" s="19">
        <v>1.0</v>
      </c>
      <c r="L93" s="19">
        <v>0.0</v>
      </c>
      <c r="M93" s="19">
        <v>1.0</v>
      </c>
      <c r="N93" s="19">
        <v>1.0</v>
      </c>
      <c r="O93" s="19">
        <v>0.0</v>
      </c>
      <c r="P93" s="19">
        <v>0.0</v>
      </c>
      <c r="Q93" s="19">
        <v>1.0</v>
      </c>
      <c r="R93" s="19">
        <v>2.0</v>
      </c>
      <c r="S93" s="19">
        <v>2.0</v>
      </c>
      <c r="T93" s="13">
        <f t="shared" ref="T93:T103" si="22">SUM(E93:S93)</f>
        <v>24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3.0</v>
      </c>
      <c r="F94" s="19">
        <v>1.0</v>
      </c>
      <c r="G94" s="19">
        <v>1.0</v>
      </c>
      <c r="H94" s="19">
        <v>1.0</v>
      </c>
      <c r="I94" s="19">
        <v>1.0</v>
      </c>
      <c r="J94" s="19">
        <v>1.0</v>
      </c>
      <c r="K94" s="19">
        <v>0.0</v>
      </c>
      <c r="L94" s="19">
        <v>0.0</v>
      </c>
      <c r="M94" s="19">
        <v>0.0</v>
      </c>
      <c r="N94" s="19">
        <v>0.0</v>
      </c>
      <c r="O94" s="19">
        <v>3.0</v>
      </c>
      <c r="P94" s="19">
        <v>3.0</v>
      </c>
      <c r="Q94" s="19">
        <v>7.0</v>
      </c>
      <c r="R94" s="19">
        <v>3.0</v>
      </c>
      <c r="S94" s="19">
        <v>0.0</v>
      </c>
      <c r="T94" s="13">
        <f t="shared" si="22"/>
        <v>24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2.0</v>
      </c>
      <c r="Q95" s="19">
        <v>0.0</v>
      </c>
      <c r="R95" s="19">
        <v>0.0</v>
      </c>
      <c r="S95" s="19">
        <v>0.0</v>
      </c>
      <c r="T95" s="13">
        <f t="shared" si="22"/>
        <v>3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1.0</v>
      </c>
      <c r="T96" s="13">
        <f t="shared" si="22"/>
        <v>3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2.0</v>
      </c>
      <c r="S97" s="19">
        <v>1.0</v>
      </c>
      <c r="T97" s="13">
        <f t="shared" si="22"/>
        <v>3</v>
      </c>
    </row>
    <row r="98" ht="12.75" customHeight="1">
      <c r="A98" s="18"/>
      <c r="B98" s="57">
        <v>5.0</v>
      </c>
      <c r="C98" s="52" t="s">
        <v>78</v>
      </c>
      <c r="D98" s="60"/>
      <c r="E98" s="19">
        <v>2.0</v>
      </c>
      <c r="F98" s="19">
        <v>0.0</v>
      </c>
      <c r="G98" s="19">
        <v>2.0</v>
      </c>
      <c r="H98" s="19">
        <v>0.0</v>
      </c>
      <c r="I98" s="19">
        <v>1.0</v>
      </c>
      <c r="J98" s="19">
        <v>0.0</v>
      </c>
      <c r="K98" s="19">
        <v>3.0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3">
        <f t="shared" si="22"/>
        <v>10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0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S103" si="23">SUM(E93:E100)</f>
        <v>11</v>
      </c>
      <c r="F103" s="13">
        <f t="shared" si="23"/>
        <v>2</v>
      </c>
      <c r="G103" s="13">
        <f t="shared" si="23"/>
        <v>4</v>
      </c>
      <c r="H103" s="13">
        <f t="shared" si="23"/>
        <v>5</v>
      </c>
      <c r="I103" s="13">
        <f t="shared" si="23"/>
        <v>5</v>
      </c>
      <c r="J103" s="13">
        <f t="shared" si="23"/>
        <v>3</v>
      </c>
      <c r="K103" s="13">
        <f t="shared" si="23"/>
        <v>5</v>
      </c>
      <c r="L103" s="13">
        <f t="shared" si="23"/>
        <v>1</v>
      </c>
      <c r="M103" s="13">
        <f t="shared" si="23"/>
        <v>1</v>
      </c>
      <c r="N103" s="13">
        <f t="shared" si="23"/>
        <v>1</v>
      </c>
      <c r="O103" s="13">
        <f t="shared" si="23"/>
        <v>3</v>
      </c>
      <c r="P103" s="13">
        <f t="shared" si="23"/>
        <v>5</v>
      </c>
      <c r="Q103" s="13">
        <f t="shared" si="23"/>
        <v>9</v>
      </c>
      <c r="R103" s="13">
        <f t="shared" si="23"/>
        <v>8</v>
      </c>
      <c r="S103" s="13">
        <f t="shared" si="23"/>
        <v>4</v>
      </c>
      <c r="T103" s="13">
        <f t="shared" si="22"/>
        <v>67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2.0</v>
      </c>
      <c r="O105" s="19">
        <v>0.0</v>
      </c>
      <c r="P105" s="19">
        <v>0.0</v>
      </c>
      <c r="Q105" s="19">
        <v>3.0</v>
      </c>
      <c r="R105" s="19">
        <v>2.0</v>
      </c>
      <c r="S105" s="19">
        <v>1.0</v>
      </c>
      <c r="T105" s="13">
        <f t="shared" ref="T105:T115" si="24">SUM(E105:S105)</f>
        <v>10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2.0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1.0</v>
      </c>
      <c r="S106" s="19">
        <v>0.0</v>
      </c>
      <c r="T106" s="13">
        <f t="shared" si="24"/>
        <v>5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1.0</v>
      </c>
      <c r="T108" s="13">
        <f t="shared" si="24"/>
        <v>1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S115" si="25">SUM(E105:E112)</f>
        <v>2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0</v>
      </c>
      <c r="P115" s="13">
        <f t="shared" si="25"/>
        <v>1</v>
      </c>
      <c r="Q115" s="13">
        <f t="shared" si="25"/>
        <v>4</v>
      </c>
      <c r="R115" s="13">
        <f t="shared" si="25"/>
        <v>3</v>
      </c>
      <c r="S115" s="13">
        <f t="shared" si="25"/>
        <v>2</v>
      </c>
      <c r="T115" s="13">
        <f t="shared" si="24"/>
        <v>17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1.0</v>
      </c>
      <c r="G117" s="19">
        <v>1.0</v>
      </c>
      <c r="H117" s="19">
        <v>1.0</v>
      </c>
      <c r="I117" s="19">
        <v>1.0</v>
      </c>
      <c r="J117" s="19">
        <v>0.0</v>
      </c>
      <c r="K117" s="19">
        <v>1.0</v>
      </c>
      <c r="L117" s="19">
        <v>5.0</v>
      </c>
      <c r="M117" s="19">
        <v>1.0</v>
      </c>
      <c r="N117" s="19">
        <v>2.0</v>
      </c>
      <c r="O117" s="19">
        <v>0.0</v>
      </c>
      <c r="P117" s="19">
        <v>3.0</v>
      </c>
      <c r="Q117" s="19">
        <v>0.0</v>
      </c>
      <c r="R117" s="19">
        <v>4.0</v>
      </c>
      <c r="S117" s="19">
        <v>0.0</v>
      </c>
      <c r="T117" s="13">
        <f t="shared" ref="T117:T127" si="26">SUM(E117:S117)</f>
        <v>20</v>
      </c>
      <c r="U117" s="5"/>
      <c r="V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1.0</v>
      </c>
      <c r="F118" s="19">
        <v>1.0</v>
      </c>
      <c r="G118" s="19">
        <v>3.0</v>
      </c>
      <c r="H118" s="19">
        <v>5.0</v>
      </c>
      <c r="I118" s="19">
        <v>2.0</v>
      </c>
      <c r="J118" s="19">
        <v>1.0</v>
      </c>
      <c r="K118" s="19">
        <v>1.0</v>
      </c>
      <c r="L118" s="19">
        <v>3.0</v>
      </c>
      <c r="M118" s="19">
        <v>0.0</v>
      </c>
      <c r="N118" s="19">
        <v>0.0</v>
      </c>
      <c r="O118" s="19">
        <v>1.0</v>
      </c>
      <c r="P118" s="19">
        <v>2.0</v>
      </c>
      <c r="Q118" s="19">
        <v>0.0</v>
      </c>
      <c r="R118" s="19">
        <v>1.0</v>
      </c>
      <c r="S118" s="19">
        <v>0.0</v>
      </c>
      <c r="T118" s="13">
        <f t="shared" si="26"/>
        <v>21</v>
      </c>
      <c r="U118" s="5"/>
      <c r="V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1.0</v>
      </c>
      <c r="P119" s="19">
        <v>1.0</v>
      </c>
      <c r="Q119" s="19">
        <v>0.0</v>
      </c>
      <c r="R119" s="19">
        <v>0.0</v>
      </c>
      <c r="S119" s="19">
        <v>0.0</v>
      </c>
      <c r="T119" s="13">
        <f t="shared" si="26"/>
        <v>4</v>
      </c>
      <c r="U119" s="5"/>
      <c r="V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2.0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1.0</v>
      </c>
      <c r="T120" s="13">
        <f t="shared" si="26"/>
        <v>3</v>
      </c>
      <c r="U120" s="5"/>
      <c r="V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  <c r="U121" s="5"/>
      <c r="V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  <c r="U122" s="5"/>
      <c r="V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13">
        <f t="shared" si="26"/>
        <v>0</v>
      </c>
      <c r="U123" s="5"/>
      <c r="V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13">
        <f t="shared" si="26"/>
        <v>0</v>
      </c>
      <c r="U124" s="5"/>
      <c r="V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13">
        <f t="shared" si="26"/>
        <v>0</v>
      </c>
      <c r="U125" s="5"/>
      <c r="V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13">
        <f t="shared" si="26"/>
        <v>0</v>
      </c>
      <c r="U126" s="5"/>
      <c r="V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S127" si="27">SUM(E117:E120)</f>
        <v>1</v>
      </c>
      <c r="F127" s="61">
        <f t="shared" si="27"/>
        <v>2</v>
      </c>
      <c r="G127" s="61">
        <f t="shared" si="27"/>
        <v>4</v>
      </c>
      <c r="H127" s="61">
        <f t="shared" si="27"/>
        <v>8</v>
      </c>
      <c r="I127" s="61">
        <f t="shared" si="27"/>
        <v>4</v>
      </c>
      <c r="J127" s="61">
        <f t="shared" si="27"/>
        <v>1</v>
      </c>
      <c r="K127" s="61">
        <f t="shared" si="27"/>
        <v>2</v>
      </c>
      <c r="L127" s="61">
        <f t="shared" si="27"/>
        <v>8</v>
      </c>
      <c r="M127" s="61">
        <f t="shared" si="27"/>
        <v>2</v>
      </c>
      <c r="N127" s="61">
        <f t="shared" si="27"/>
        <v>2</v>
      </c>
      <c r="O127" s="61">
        <f t="shared" si="27"/>
        <v>2</v>
      </c>
      <c r="P127" s="61">
        <f t="shared" si="27"/>
        <v>6</v>
      </c>
      <c r="Q127" s="61">
        <f t="shared" si="27"/>
        <v>0</v>
      </c>
      <c r="R127" s="61">
        <f t="shared" si="27"/>
        <v>5</v>
      </c>
      <c r="S127" s="61">
        <f t="shared" si="27"/>
        <v>1</v>
      </c>
      <c r="T127" s="13">
        <f t="shared" si="26"/>
        <v>48</v>
      </c>
      <c r="U127" s="5"/>
      <c r="V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5"/>
      <c r="V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3.0</v>
      </c>
      <c r="G129" s="19">
        <v>3.0</v>
      </c>
      <c r="H129" s="19">
        <v>3.0</v>
      </c>
      <c r="I129" s="19">
        <v>0.0</v>
      </c>
      <c r="J129" s="19">
        <v>1.0</v>
      </c>
      <c r="K129" s="19">
        <v>12.0</v>
      </c>
      <c r="L129" s="19">
        <v>5.0</v>
      </c>
      <c r="M129" s="19">
        <v>2.0</v>
      </c>
      <c r="N129" s="19">
        <v>2.0</v>
      </c>
      <c r="O129" s="19">
        <v>2.0</v>
      </c>
      <c r="P129" s="19">
        <v>2.0</v>
      </c>
      <c r="Q129" s="19">
        <v>0.0</v>
      </c>
      <c r="R129" s="19">
        <v>4.0</v>
      </c>
      <c r="S129" s="19">
        <v>0.0</v>
      </c>
      <c r="T129" s="13">
        <f t="shared" ref="T129:T139" si="28">SUM(E129:S129)</f>
        <v>39</v>
      </c>
      <c r="U129" s="5"/>
      <c r="V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8.0</v>
      </c>
      <c r="F130" s="19">
        <v>2.0</v>
      </c>
      <c r="G130" s="19">
        <v>9.0</v>
      </c>
      <c r="H130" s="19">
        <v>3.0</v>
      </c>
      <c r="I130" s="19">
        <v>3.0</v>
      </c>
      <c r="J130" s="19">
        <v>1.0</v>
      </c>
      <c r="K130" s="19">
        <v>21.0</v>
      </c>
      <c r="L130" s="19">
        <v>11.0</v>
      </c>
      <c r="M130" s="19">
        <v>2.0</v>
      </c>
      <c r="N130" s="19">
        <v>0.0</v>
      </c>
      <c r="O130" s="19">
        <v>2.0</v>
      </c>
      <c r="P130" s="19">
        <v>1.0</v>
      </c>
      <c r="Q130" s="19">
        <v>2.0</v>
      </c>
      <c r="R130" s="19">
        <v>5.0</v>
      </c>
      <c r="S130" s="19">
        <v>3.0</v>
      </c>
      <c r="T130" s="13">
        <f t="shared" si="28"/>
        <v>73</v>
      </c>
      <c r="U130" s="1"/>
      <c r="V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1.0</v>
      </c>
      <c r="G131" s="19">
        <v>2.0</v>
      </c>
      <c r="H131" s="19">
        <v>1.0</v>
      </c>
      <c r="I131" s="19">
        <v>0.0</v>
      </c>
      <c r="J131" s="19">
        <v>3.0</v>
      </c>
      <c r="K131" s="19">
        <v>0.0</v>
      </c>
      <c r="L131" s="19">
        <v>1.0</v>
      </c>
      <c r="M131" s="19">
        <v>0.0</v>
      </c>
      <c r="N131" s="19">
        <v>1.0</v>
      </c>
      <c r="O131" s="19">
        <v>0.0</v>
      </c>
      <c r="P131" s="19">
        <v>0.0</v>
      </c>
      <c r="Q131" s="19">
        <v>7.0</v>
      </c>
      <c r="R131" s="19">
        <v>1.0</v>
      </c>
      <c r="S131" s="19">
        <v>4.0</v>
      </c>
      <c r="T131" s="13">
        <f t="shared" si="28"/>
        <v>22</v>
      </c>
      <c r="U131" s="54"/>
      <c r="V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1.0</v>
      </c>
      <c r="T132" s="13">
        <f t="shared" si="28"/>
        <v>3</v>
      </c>
      <c r="U132" s="5"/>
      <c r="V132" s="5"/>
    </row>
    <row r="133" ht="12.75" customHeight="1">
      <c r="A133" s="18"/>
      <c r="B133" s="57">
        <v>4.0</v>
      </c>
      <c r="C133" s="52" t="s">
        <v>100</v>
      </c>
      <c r="D133" s="58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2</v>
      </c>
      <c r="U133" s="5"/>
      <c r="V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1.0</v>
      </c>
      <c r="Q134" s="19">
        <v>0.0</v>
      </c>
      <c r="R134" s="19">
        <v>2.0</v>
      </c>
      <c r="S134" s="19">
        <v>0.0</v>
      </c>
      <c r="T134" s="13">
        <f t="shared" si="28"/>
        <v>4</v>
      </c>
      <c r="U134" s="5"/>
      <c r="V134" s="5"/>
    </row>
    <row r="135" ht="12.75" customHeight="1">
      <c r="A135" s="18"/>
      <c r="B135" s="57">
        <v>6.0</v>
      </c>
      <c r="C135" s="52" t="s">
        <v>102</v>
      </c>
      <c r="D135" s="60"/>
      <c r="E135" s="19">
        <v>1.0</v>
      </c>
      <c r="F135" s="19">
        <v>0.0</v>
      </c>
      <c r="G135" s="19">
        <v>2.0</v>
      </c>
      <c r="H135" s="19">
        <v>0.0</v>
      </c>
      <c r="I135" s="19">
        <v>0.0</v>
      </c>
      <c r="J135" s="19">
        <v>0.0</v>
      </c>
      <c r="K135" s="19">
        <v>3.0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7</v>
      </c>
      <c r="U135" s="5"/>
      <c r="V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1.0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1.0</v>
      </c>
      <c r="S136" s="19">
        <v>0.0</v>
      </c>
      <c r="T136" s="13">
        <f t="shared" si="28"/>
        <v>3</v>
      </c>
      <c r="U136" s="5"/>
      <c r="V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  <c r="U137" s="5"/>
      <c r="V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  <c r="U138" s="5"/>
      <c r="V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S139" si="29">SUM(E129:E136)</f>
        <v>11</v>
      </c>
      <c r="F139" s="13">
        <f t="shared" si="29"/>
        <v>6</v>
      </c>
      <c r="G139" s="13">
        <f t="shared" si="29"/>
        <v>17</v>
      </c>
      <c r="H139" s="13">
        <f t="shared" si="29"/>
        <v>8</v>
      </c>
      <c r="I139" s="13">
        <f t="shared" si="29"/>
        <v>3</v>
      </c>
      <c r="J139" s="13">
        <f t="shared" si="29"/>
        <v>6</v>
      </c>
      <c r="K139" s="13">
        <f t="shared" si="29"/>
        <v>37</v>
      </c>
      <c r="L139" s="13">
        <f t="shared" si="29"/>
        <v>20</v>
      </c>
      <c r="M139" s="13">
        <f t="shared" si="29"/>
        <v>4</v>
      </c>
      <c r="N139" s="13">
        <f t="shared" si="29"/>
        <v>3</v>
      </c>
      <c r="O139" s="13">
        <f t="shared" si="29"/>
        <v>4</v>
      </c>
      <c r="P139" s="13">
        <f t="shared" si="29"/>
        <v>4</v>
      </c>
      <c r="Q139" s="13">
        <f t="shared" si="29"/>
        <v>9</v>
      </c>
      <c r="R139" s="13">
        <f t="shared" si="29"/>
        <v>13</v>
      </c>
      <c r="S139" s="13">
        <f t="shared" si="29"/>
        <v>8</v>
      </c>
      <c r="T139" s="13">
        <f t="shared" si="28"/>
        <v>153</v>
      </c>
      <c r="U139" s="5"/>
      <c r="V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5"/>
      <c r="V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0.0</v>
      </c>
      <c r="T141" s="13">
        <f t="shared" ref="T141:T151" si="30">SUM(E141:S141)</f>
        <v>2</v>
      </c>
      <c r="U141" s="1"/>
      <c r="V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2.0</v>
      </c>
      <c r="T142" s="13">
        <f t="shared" si="30"/>
        <v>2</v>
      </c>
      <c r="U142" s="54"/>
      <c r="V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  <c r="U143" s="5"/>
      <c r="V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  <c r="U145" s="5"/>
      <c r="V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  <c r="U146" s="5"/>
      <c r="V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1.0</v>
      </c>
      <c r="Q147" s="19">
        <v>0.0</v>
      </c>
      <c r="R147" s="19">
        <v>0.0</v>
      </c>
      <c r="S147" s="19">
        <v>0.0</v>
      </c>
      <c r="T147" s="13">
        <f t="shared" si="30"/>
        <v>1</v>
      </c>
      <c r="U147" s="5"/>
      <c r="V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  <c r="U149" s="5"/>
      <c r="V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  <c r="U150" s="5"/>
      <c r="V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2</v>
      </c>
      <c r="Q151" s="13">
        <f t="shared" si="31"/>
        <v>0</v>
      </c>
      <c r="R151" s="13">
        <f t="shared" si="31"/>
        <v>0</v>
      </c>
      <c r="S151" s="13">
        <f t="shared" si="31"/>
        <v>2</v>
      </c>
      <c r="T151" s="13">
        <f t="shared" si="30"/>
        <v>5</v>
      </c>
      <c r="U151" s="1"/>
      <c r="V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13"/>
      <c r="U152" s="54"/>
      <c r="V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6.0</v>
      </c>
      <c r="F153" s="19">
        <v>12.0</v>
      </c>
      <c r="G153" s="19">
        <v>4.0</v>
      </c>
      <c r="H153" s="19">
        <v>6.0</v>
      </c>
      <c r="I153" s="19">
        <v>2.0</v>
      </c>
      <c r="J153" s="19">
        <v>15.0</v>
      </c>
      <c r="K153" s="19">
        <v>0.0</v>
      </c>
      <c r="L153" s="19">
        <v>1.0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3">
        <f t="shared" ref="T153:T162" si="32">SUM(E153:S153)</f>
        <v>47</v>
      </c>
      <c r="U153" s="5"/>
      <c r="V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5.0</v>
      </c>
      <c r="F154" s="19">
        <v>10.0</v>
      </c>
      <c r="G154" s="19">
        <v>5.0</v>
      </c>
      <c r="H154" s="19">
        <v>5.0</v>
      </c>
      <c r="I154" s="19">
        <v>6.0</v>
      </c>
      <c r="J154" s="19">
        <v>6.0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3">
        <f t="shared" si="32"/>
        <v>39</v>
      </c>
      <c r="U154" s="5"/>
      <c r="V154" s="5"/>
    </row>
    <row r="155" ht="12.75" customHeight="1">
      <c r="A155" s="18"/>
      <c r="B155" s="57">
        <v>2.0</v>
      </c>
      <c r="C155" s="62" t="s">
        <v>116</v>
      </c>
      <c r="D155" s="60"/>
      <c r="E155" s="19">
        <v>2.0</v>
      </c>
      <c r="F155" s="19">
        <v>1.0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5</v>
      </c>
      <c r="U155" s="5"/>
      <c r="V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1.0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1</v>
      </c>
      <c r="U156" s="5"/>
      <c r="V156" s="5"/>
    </row>
    <row r="157" ht="12.75" customHeight="1">
      <c r="A157" s="18"/>
      <c r="B157" s="57">
        <v>4.0</v>
      </c>
      <c r="C157" s="62" t="s">
        <v>118</v>
      </c>
      <c r="D157" s="60"/>
      <c r="E157" s="19">
        <v>1.0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1</v>
      </c>
      <c r="U157" s="5"/>
      <c r="V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2"/>
        <v>0</v>
      </c>
      <c r="U158" s="5"/>
      <c r="V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2"/>
        <v>0</v>
      </c>
      <c r="U159" s="5"/>
      <c r="V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2"/>
        <v>0</v>
      </c>
      <c r="U160" s="5"/>
      <c r="V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  <c r="U161" s="5"/>
      <c r="V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  <c r="U162" s="5"/>
      <c r="V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S163" si="33">SUM(E153:E157)</f>
        <v>14</v>
      </c>
      <c r="F163" s="13">
        <f t="shared" si="33"/>
        <v>23</v>
      </c>
      <c r="G163" s="13">
        <f t="shared" si="33"/>
        <v>9</v>
      </c>
      <c r="H163" s="13">
        <f t="shared" si="33"/>
        <v>12</v>
      </c>
      <c r="I163" s="13">
        <f t="shared" si="33"/>
        <v>8</v>
      </c>
      <c r="J163" s="13">
        <f t="shared" si="33"/>
        <v>22</v>
      </c>
      <c r="K163" s="13">
        <f t="shared" si="33"/>
        <v>0</v>
      </c>
      <c r="L163" s="13">
        <f t="shared" si="33"/>
        <v>2</v>
      </c>
      <c r="M163" s="13">
        <f t="shared" si="33"/>
        <v>0</v>
      </c>
      <c r="N163" s="13">
        <f t="shared" si="33"/>
        <v>2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>SUM(E164:S164)</f>
        <v>0</v>
      </c>
      <c r="U163" s="5"/>
      <c r="V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5"/>
      <c r="V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3">
        <f t="shared" ref="T165:T175" si="34">SUM(E165:S165)</f>
        <v>3</v>
      </c>
      <c r="U165" s="1"/>
      <c r="V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4"/>
        <v>1</v>
      </c>
      <c r="U166" s="54"/>
      <c r="V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0</v>
      </c>
      <c r="U167" s="5"/>
      <c r="V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1.0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1</v>
      </c>
      <c r="U168" s="5"/>
      <c r="V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  <c r="U169" s="5"/>
      <c r="V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0</v>
      </c>
      <c r="U170" s="5"/>
      <c r="V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  <c r="U171" s="5"/>
      <c r="V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  <c r="U172" s="5"/>
      <c r="V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4"/>
        <v>0</v>
      </c>
      <c r="U173" s="5"/>
      <c r="V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4"/>
        <v>0</v>
      </c>
      <c r="U174" s="5"/>
      <c r="V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S175" si="35">SUM(E165:E172)</f>
        <v>0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4"/>
        <v>5</v>
      </c>
      <c r="U175" s="5"/>
      <c r="V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1"/>
      <c r="V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0.0</v>
      </c>
      <c r="J177" s="19">
        <v>2.0</v>
      </c>
      <c r="K177" s="19">
        <v>1.0</v>
      </c>
      <c r="L177" s="19">
        <v>0.0</v>
      </c>
      <c r="M177" s="19">
        <v>1.0</v>
      </c>
      <c r="N177" s="19">
        <v>0.0</v>
      </c>
      <c r="O177" s="19">
        <v>0.0</v>
      </c>
      <c r="P177" s="19">
        <v>1.0</v>
      </c>
      <c r="Q177" s="19">
        <v>0.0</v>
      </c>
      <c r="R177" s="19">
        <v>2.0</v>
      </c>
      <c r="S177" s="19">
        <v>1.0</v>
      </c>
      <c r="T177" s="13">
        <f t="shared" ref="T177:T187" si="36">SUM(E177:S177)</f>
        <v>10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2.0</v>
      </c>
      <c r="F178" s="19">
        <v>0.0</v>
      </c>
      <c r="G178" s="19">
        <v>4.0</v>
      </c>
      <c r="H178" s="19">
        <v>0.0</v>
      </c>
      <c r="I178" s="19">
        <v>2.0</v>
      </c>
      <c r="J178" s="19">
        <v>3.0</v>
      </c>
      <c r="K178" s="19">
        <v>2.0</v>
      </c>
      <c r="L178" s="19">
        <v>2.0</v>
      </c>
      <c r="M178" s="19">
        <v>2.0</v>
      </c>
      <c r="N178" s="19">
        <v>1.0</v>
      </c>
      <c r="O178" s="19">
        <v>0.0</v>
      </c>
      <c r="P178" s="19">
        <v>0.0</v>
      </c>
      <c r="Q178" s="19">
        <v>1.0</v>
      </c>
      <c r="R178" s="19">
        <v>1.0</v>
      </c>
      <c r="S178" s="19">
        <v>0.0</v>
      </c>
      <c r="T178" s="13">
        <f t="shared" si="36"/>
        <v>20</v>
      </c>
      <c r="U178" s="5"/>
      <c r="V178" s="5"/>
    </row>
    <row r="179" ht="12.75" customHeight="1">
      <c r="A179" s="18"/>
      <c r="B179" s="57">
        <v>2.0</v>
      </c>
      <c r="C179" s="52" t="s">
        <v>131</v>
      </c>
      <c r="D179" s="60"/>
      <c r="E179" s="19">
        <v>4.0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1.0</v>
      </c>
      <c r="Q179" s="19">
        <v>1.0</v>
      </c>
      <c r="R179" s="19">
        <v>0.0</v>
      </c>
      <c r="S179" s="19">
        <v>0.0</v>
      </c>
      <c r="T179" s="13">
        <f t="shared" si="36"/>
        <v>8</v>
      </c>
      <c r="U179" s="5"/>
      <c r="V179" s="5"/>
    </row>
    <row r="180" ht="12.75" customHeight="1">
      <c r="A180" s="18"/>
      <c r="B180" s="57">
        <v>3.0</v>
      </c>
      <c r="C180" s="52" t="s">
        <v>132</v>
      </c>
      <c r="D180" s="60"/>
      <c r="E180" s="19">
        <v>2.0</v>
      </c>
      <c r="F180" s="19">
        <v>1.0</v>
      </c>
      <c r="G180" s="19">
        <v>0.0</v>
      </c>
      <c r="H180" s="19">
        <v>1.0</v>
      </c>
      <c r="I180" s="19">
        <v>0.0</v>
      </c>
      <c r="J180" s="19">
        <v>2.0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7</v>
      </c>
      <c r="U180" s="5"/>
      <c r="V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1</v>
      </c>
      <c r="U181" s="5"/>
      <c r="V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3">
        <f t="shared" si="36"/>
        <v>2</v>
      </c>
      <c r="U182" s="5"/>
      <c r="V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1</v>
      </c>
      <c r="U183" s="5"/>
      <c r="V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9">
        <v>1.0</v>
      </c>
      <c r="O184" s="19">
        <v>0.0</v>
      </c>
      <c r="P184" s="19">
        <v>5.0</v>
      </c>
      <c r="Q184" s="19">
        <v>0.0</v>
      </c>
      <c r="R184" s="19">
        <v>0.0</v>
      </c>
      <c r="S184" s="19">
        <v>0.0</v>
      </c>
      <c r="T184" s="13">
        <f t="shared" si="36"/>
        <v>7</v>
      </c>
      <c r="U184" s="5"/>
      <c r="V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6"/>
        <v>0</v>
      </c>
      <c r="U185" s="5"/>
      <c r="V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6"/>
        <v>0</v>
      </c>
      <c r="U186" s="5"/>
      <c r="V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S187" si="37">SUM(E177:E184)</f>
        <v>9</v>
      </c>
      <c r="F187" s="13">
        <f t="shared" si="37"/>
        <v>2</v>
      </c>
      <c r="G187" s="13">
        <f t="shared" si="37"/>
        <v>6</v>
      </c>
      <c r="H187" s="13">
        <f t="shared" si="37"/>
        <v>1</v>
      </c>
      <c r="I187" s="13">
        <f t="shared" si="37"/>
        <v>3</v>
      </c>
      <c r="J187" s="13">
        <f t="shared" si="37"/>
        <v>8</v>
      </c>
      <c r="K187" s="13">
        <f t="shared" si="37"/>
        <v>4</v>
      </c>
      <c r="L187" s="13">
        <f t="shared" si="37"/>
        <v>2</v>
      </c>
      <c r="M187" s="13">
        <f t="shared" si="37"/>
        <v>4</v>
      </c>
      <c r="N187" s="13">
        <f t="shared" si="37"/>
        <v>3</v>
      </c>
      <c r="O187" s="13">
        <f t="shared" si="37"/>
        <v>0</v>
      </c>
      <c r="P187" s="13">
        <f t="shared" si="37"/>
        <v>7</v>
      </c>
      <c r="Q187" s="13">
        <f t="shared" si="37"/>
        <v>2</v>
      </c>
      <c r="R187" s="13">
        <f t="shared" si="37"/>
        <v>3</v>
      </c>
      <c r="S187" s="13">
        <f t="shared" si="37"/>
        <v>2</v>
      </c>
      <c r="T187" s="13">
        <f t="shared" si="36"/>
        <v>56</v>
      </c>
      <c r="U187" s="1"/>
      <c r="V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9" si="38">SUM(E189:S189)</f>
        <v>0</v>
      </c>
      <c r="U189" s="5"/>
      <c r="V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2</v>
      </c>
      <c r="U190" s="5"/>
      <c r="V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1.0</v>
      </c>
      <c r="T191" s="13">
        <f t="shared" si="38"/>
        <v>1</v>
      </c>
      <c r="U191" s="5"/>
      <c r="V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0</v>
      </c>
      <c r="U192" s="5"/>
      <c r="V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0</v>
      </c>
      <c r="U193" s="5"/>
      <c r="V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3.0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3</v>
      </c>
      <c r="U195" s="5"/>
      <c r="V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8"/>
        <v>0</v>
      </c>
      <c r="U197" s="1"/>
      <c r="V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8"/>
        <v>0</v>
      </c>
      <c r="U198" s="1"/>
      <c r="V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S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4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8"/>
        <v>6</v>
      </c>
      <c r="U199" s="54"/>
      <c r="V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5"/>
      <c r="V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7.0</v>
      </c>
      <c r="F201" s="19">
        <v>7.0</v>
      </c>
      <c r="G201" s="19">
        <v>4.0</v>
      </c>
      <c r="H201" s="19">
        <v>5.0</v>
      </c>
      <c r="I201" s="19">
        <v>2.0</v>
      </c>
      <c r="J201" s="19">
        <v>0.0</v>
      </c>
      <c r="K201" s="19">
        <v>3.0</v>
      </c>
      <c r="L201" s="19">
        <v>2.0</v>
      </c>
      <c r="M201" s="19">
        <v>1.0</v>
      </c>
      <c r="N201" s="19">
        <v>1.0</v>
      </c>
      <c r="O201" s="19">
        <v>0.0</v>
      </c>
      <c r="P201" s="19">
        <v>2.0</v>
      </c>
      <c r="Q201" s="19">
        <v>9.0</v>
      </c>
      <c r="R201" s="19">
        <v>3.0</v>
      </c>
      <c r="S201" s="19">
        <v>4.0</v>
      </c>
      <c r="T201" s="13">
        <f t="shared" ref="T201:T211" si="40">SUM(E201:S201)</f>
        <v>50</v>
      </c>
      <c r="U201" s="5"/>
      <c r="V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8.0</v>
      </c>
      <c r="F202" s="19">
        <v>4.0</v>
      </c>
      <c r="G202" s="19">
        <v>2.0</v>
      </c>
      <c r="H202" s="19">
        <v>7.0</v>
      </c>
      <c r="I202" s="19">
        <v>2.0</v>
      </c>
      <c r="J202" s="19">
        <v>3.0</v>
      </c>
      <c r="K202" s="19">
        <v>3.0</v>
      </c>
      <c r="L202" s="19">
        <v>3.0</v>
      </c>
      <c r="M202" s="19">
        <v>1.0</v>
      </c>
      <c r="N202" s="19">
        <v>4.0</v>
      </c>
      <c r="O202" s="19">
        <v>0.0</v>
      </c>
      <c r="P202" s="19">
        <v>1.0</v>
      </c>
      <c r="Q202" s="19">
        <v>6.0</v>
      </c>
      <c r="R202" s="19">
        <v>2.0</v>
      </c>
      <c r="S202" s="19">
        <v>6.0</v>
      </c>
      <c r="T202" s="13">
        <f t="shared" si="40"/>
        <v>52</v>
      </c>
      <c r="U202" s="5"/>
      <c r="V202" s="5"/>
    </row>
    <row r="203" ht="12.75" customHeight="1">
      <c r="A203" s="18"/>
      <c r="B203" s="57">
        <v>2.0</v>
      </c>
      <c r="C203" s="52" t="s">
        <v>149</v>
      </c>
      <c r="D203" s="60"/>
      <c r="E203" s="19">
        <v>8.0</v>
      </c>
      <c r="F203" s="19">
        <v>2.0</v>
      </c>
      <c r="G203" s="19">
        <v>2.0</v>
      </c>
      <c r="H203" s="19">
        <v>3.0</v>
      </c>
      <c r="I203" s="19">
        <v>0.0</v>
      </c>
      <c r="J203" s="19">
        <v>0.0</v>
      </c>
      <c r="K203" s="19">
        <v>2.0</v>
      </c>
      <c r="L203" s="19">
        <v>2.0</v>
      </c>
      <c r="M203" s="19">
        <v>0.0</v>
      </c>
      <c r="N203" s="19">
        <v>1.0</v>
      </c>
      <c r="O203" s="19">
        <v>1.0</v>
      </c>
      <c r="P203" s="19">
        <v>0.0</v>
      </c>
      <c r="Q203" s="19">
        <v>3.0</v>
      </c>
      <c r="R203" s="19">
        <v>1.0</v>
      </c>
      <c r="S203" s="19">
        <v>3.0</v>
      </c>
      <c r="T203" s="13">
        <f t="shared" si="40"/>
        <v>28</v>
      </c>
      <c r="U203" s="5"/>
      <c r="V203" s="5"/>
    </row>
    <row r="204" ht="12.75" customHeight="1">
      <c r="A204" s="18"/>
      <c r="B204" s="57">
        <v>3.0</v>
      </c>
      <c r="C204" s="52" t="s">
        <v>150</v>
      </c>
      <c r="D204" s="60"/>
      <c r="E204" s="19">
        <v>3.0</v>
      </c>
      <c r="F204" s="19">
        <v>0.0</v>
      </c>
      <c r="G204" s="19">
        <v>0.0</v>
      </c>
      <c r="H204" s="19">
        <v>0.0</v>
      </c>
      <c r="I204" s="19">
        <v>0.0</v>
      </c>
      <c r="J204" s="19">
        <v>1.0</v>
      </c>
      <c r="K204" s="19">
        <v>1.0</v>
      </c>
      <c r="L204" s="19">
        <v>1.0</v>
      </c>
      <c r="M204" s="19">
        <v>2.0</v>
      </c>
      <c r="N204" s="19">
        <v>0.0</v>
      </c>
      <c r="O204" s="19">
        <v>0.0</v>
      </c>
      <c r="P204" s="19">
        <v>0.0</v>
      </c>
      <c r="Q204" s="19">
        <v>1.0</v>
      </c>
      <c r="R204" s="19">
        <v>0.0</v>
      </c>
      <c r="S204" s="19">
        <v>2.0</v>
      </c>
      <c r="T204" s="13">
        <f t="shared" si="40"/>
        <v>11</v>
      </c>
      <c r="U204" s="5"/>
      <c r="V204" s="5"/>
    </row>
    <row r="205" ht="12.75" customHeight="1">
      <c r="A205" s="18"/>
      <c r="B205" s="57">
        <v>4.0</v>
      </c>
      <c r="C205" s="52" t="s">
        <v>151</v>
      </c>
      <c r="D205" s="60"/>
      <c r="E205" s="19">
        <v>2.0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3">
        <f t="shared" si="40"/>
        <v>5</v>
      </c>
      <c r="U205" s="5"/>
      <c r="V205" s="5"/>
    </row>
    <row r="206" ht="12.75" customHeight="1">
      <c r="A206" s="18"/>
      <c r="B206" s="57">
        <v>5.0</v>
      </c>
      <c r="C206" s="52" t="s">
        <v>152</v>
      </c>
      <c r="D206" s="60"/>
      <c r="E206" s="19">
        <v>1.0</v>
      </c>
      <c r="F206" s="19">
        <v>0.0</v>
      </c>
      <c r="G206" s="19">
        <v>0.0</v>
      </c>
      <c r="H206" s="19">
        <v>1.0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1.0</v>
      </c>
      <c r="S206" s="19">
        <v>0.0</v>
      </c>
      <c r="T206" s="13">
        <f t="shared" si="40"/>
        <v>5</v>
      </c>
      <c r="U206" s="5"/>
      <c r="V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3.0</v>
      </c>
      <c r="M207" s="19">
        <v>0.0</v>
      </c>
      <c r="N207" s="19">
        <v>0.0</v>
      </c>
      <c r="O207" s="19">
        <v>0.0</v>
      </c>
      <c r="P207" s="19">
        <v>0.0</v>
      </c>
      <c r="Q207" s="19">
        <v>2.0</v>
      </c>
      <c r="R207" s="19">
        <v>1.0</v>
      </c>
      <c r="S207" s="19">
        <v>2.0</v>
      </c>
      <c r="T207" s="13">
        <f t="shared" si="40"/>
        <v>9</v>
      </c>
      <c r="U207" s="1"/>
      <c r="V207" s="1"/>
    </row>
    <row r="208" ht="12.75" customHeight="1">
      <c r="A208" s="18"/>
      <c r="B208" s="57">
        <v>7.0</v>
      </c>
      <c r="C208" s="52" t="s">
        <v>154</v>
      </c>
      <c r="D208" s="60"/>
      <c r="E208" s="19">
        <v>2.0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3">
        <f t="shared" si="40"/>
        <v>4</v>
      </c>
      <c r="U208" s="54"/>
      <c r="V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0"/>
        <v>0</v>
      </c>
      <c r="U209" s="54"/>
      <c r="V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0"/>
        <v>0</v>
      </c>
      <c r="U210" s="54"/>
      <c r="V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S211" si="41">SUM(E201:E208)</f>
        <v>31</v>
      </c>
      <c r="F211" s="13">
        <f t="shared" si="41"/>
        <v>13</v>
      </c>
      <c r="G211" s="13">
        <f t="shared" si="41"/>
        <v>8</v>
      </c>
      <c r="H211" s="13">
        <f t="shared" si="41"/>
        <v>16</v>
      </c>
      <c r="I211" s="13">
        <f t="shared" si="41"/>
        <v>6</v>
      </c>
      <c r="J211" s="13">
        <f t="shared" si="41"/>
        <v>5</v>
      </c>
      <c r="K211" s="13">
        <f t="shared" si="41"/>
        <v>11</v>
      </c>
      <c r="L211" s="13">
        <f t="shared" si="41"/>
        <v>11</v>
      </c>
      <c r="M211" s="13">
        <f t="shared" si="41"/>
        <v>4</v>
      </c>
      <c r="N211" s="13">
        <f t="shared" si="41"/>
        <v>6</v>
      </c>
      <c r="O211" s="13">
        <f t="shared" si="41"/>
        <v>1</v>
      </c>
      <c r="P211" s="13">
        <f t="shared" si="41"/>
        <v>3</v>
      </c>
      <c r="Q211" s="13">
        <f t="shared" si="41"/>
        <v>22</v>
      </c>
      <c r="R211" s="13">
        <f t="shared" si="41"/>
        <v>9</v>
      </c>
      <c r="S211" s="13">
        <f t="shared" si="41"/>
        <v>18</v>
      </c>
      <c r="T211" s="13">
        <f t="shared" si="40"/>
        <v>164</v>
      </c>
      <c r="U211" s="5"/>
      <c r="V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5"/>
      <c r="V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2.0</v>
      </c>
      <c r="F213" s="19">
        <v>0.0</v>
      </c>
      <c r="G213" s="19">
        <v>0.0</v>
      </c>
      <c r="H213" s="19">
        <v>1.0</v>
      </c>
      <c r="I213" s="19">
        <v>1.0</v>
      </c>
      <c r="J213" s="19">
        <v>0.0</v>
      </c>
      <c r="K213" s="19">
        <v>0.0</v>
      </c>
      <c r="L213" s="19">
        <v>2.0</v>
      </c>
      <c r="M213" s="19">
        <v>1.0</v>
      </c>
      <c r="N213" s="19">
        <v>0.0</v>
      </c>
      <c r="O213" s="19">
        <v>0.0</v>
      </c>
      <c r="P213" s="19">
        <v>3.0</v>
      </c>
      <c r="Q213" s="19">
        <v>4.0</v>
      </c>
      <c r="R213" s="19">
        <v>5.0</v>
      </c>
      <c r="S213" s="19">
        <v>0.0</v>
      </c>
      <c r="T213" s="13">
        <f t="shared" ref="T213:T223" si="42">SUM(E213:S213)</f>
        <v>19</v>
      </c>
      <c r="U213" s="5"/>
      <c r="V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3.0</v>
      </c>
      <c r="F214" s="19">
        <v>2.0</v>
      </c>
      <c r="G214" s="19">
        <v>3.0</v>
      </c>
      <c r="H214" s="19">
        <v>2.0</v>
      </c>
      <c r="I214" s="19">
        <v>2.0</v>
      </c>
      <c r="J214" s="19">
        <v>4.0</v>
      </c>
      <c r="K214" s="19">
        <v>0.0</v>
      </c>
      <c r="L214" s="19">
        <v>0.0</v>
      </c>
      <c r="M214" s="19">
        <v>5.0</v>
      </c>
      <c r="N214" s="19">
        <v>3.0</v>
      </c>
      <c r="O214" s="19">
        <v>0.0</v>
      </c>
      <c r="P214" s="19">
        <v>1.0</v>
      </c>
      <c r="Q214" s="19">
        <v>6.0</v>
      </c>
      <c r="R214" s="19">
        <v>2.0</v>
      </c>
      <c r="S214" s="19">
        <v>0.0</v>
      </c>
      <c r="T214" s="13">
        <f t="shared" si="42"/>
        <v>33</v>
      </c>
      <c r="U214" s="5"/>
      <c r="V214" s="5"/>
    </row>
    <row r="215" ht="12.75" customHeight="1">
      <c r="A215" s="18"/>
      <c r="B215" s="57">
        <v>2.0</v>
      </c>
      <c r="C215" s="52" t="s">
        <v>158</v>
      </c>
      <c r="D215" s="58"/>
      <c r="E215" s="19">
        <v>1.0</v>
      </c>
      <c r="F215" s="19">
        <v>1.0</v>
      </c>
      <c r="G215" s="19">
        <v>1.0</v>
      </c>
      <c r="H215" s="19">
        <v>1.0</v>
      </c>
      <c r="I215" s="19">
        <v>2.0</v>
      </c>
      <c r="J215" s="19">
        <v>0.0</v>
      </c>
      <c r="K215" s="19">
        <v>4.0</v>
      </c>
      <c r="L215" s="19">
        <v>1.0</v>
      </c>
      <c r="M215" s="19">
        <v>1.0</v>
      </c>
      <c r="N215" s="19">
        <v>4.0</v>
      </c>
      <c r="O215" s="19">
        <v>0.0</v>
      </c>
      <c r="P215" s="19">
        <v>0.0</v>
      </c>
      <c r="Q215" s="19">
        <v>14.0</v>
      </c>
      <c r="R215" s="19">
        <v>41.0</v>
      </c>
      <c r="S215" s="19">
        <v>25.0</v>
      </c>
      <c r="T215" s="13">
        <f t="shared" si="42"/>
        <v>96</v>
      </c>
      <c r="U215" s="5"/>
      <c r="V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1.0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1.0</v>
      </c>
      <c r="S216" s="19">
        <v>1.0</v>
      </c>
      <c r="T216" s="13">
        <f t="shared" si="42"/>
        <v>6</v>
      </c>
      <c r="U216" s="5"/>
      <c r="V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1</v>
      </c>
      <c r="U217" s="5"/>
      <c r="V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2.0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2</v>
      </c>
      <c r="U218" s="1"/>
      <c r="V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1</v>
      </c>
      <c r="U219" s="54"/>
      <c r="V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2.0</v>
      </c>
      <c r="R220" s="19">
        <v>1.0</v>
      </c>
      <c r="S220" s="19">
        <v>0.0</v>
      </c>
      <c r="T220" s="13">
        <f t="shared" si="42"/>
        <v>4</v>
      </c>
      <c r="U220" s="5"/>
      <c r="V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2"/>
        <v>0</v>
      </c>
      <c r="U221" s="5"/>
      <c r="V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2"/>
        <v>0</v>
      </c>
      <c r="U222" s="5"/>
      <c r="V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S223" si="43">SUM(E213:E220)</f>
        <v>6</v>
      </c>
      <c r="F223" s="13">
        <f t="shared" si="43"/>
        <v>3</v>
      </c>
      <c r="G223" s="13">
        <f t="shared" si="43"/>
        <v>5</v>
      </c>
      <c r="H223" s="13">
        <f t="shared" si="43"/>
        <v>5</v>
      </c>
      <c r="I223" s="13">
        <f t="shared" si="43"/>
        <v>6</v>
      </c>
      <c r="J223" s="13">
        <f t="shared" si="43"/>
        <v>7</v>
      </c>
      <c r="K223" s="13">
        <f t="shared" si="43"/>
        <v>4</v>
      </c>
      <c r="L223" s="13">
        <f t="shared" si="43"/>
        <v>4</v>
      </c>
      <c r="M223" s="13">
        <f t="shared" si="43"/>
        <v>8</v>
      </c>
      <c r="N223" s="13">
        <f t="shared" si="43"/>
        <v>7</v>
      </c>
      <c r="O223" s="13">
        <f t="shared" si="43"/>
        <v>0</v>
      </c>
      <c r="P223" s="13">
        <f t="shared" si="43"/>
        <v>4</v>
      </c>
      <c r="Q223" s="13">
        <f t="shared" si="43"/>
        <v>27</v>
      </c>
      <c r="R223" s="13">
        <f t="shared" si="43"/>
        <v>50</v>
      </c>
      <c r="S223" s="13">
        <f t="shared" si="43"/>
        <v>26</v>
      </c>
      <c r="T223" s="13">
        <f t="shared" si="42"/>
        <v>162</v>
      </c>
      <c r="U223" s="5"/>
      <c r="V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5"/>
      <c r="V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1.0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3">
        <f t="shared" ref="T225:T235" si="44">SUM(E225:S225)</f>
        <v>3</v>
      </c>
      <c r="U225" s="5"/>
      <c r="V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4"/>
        <v>0</v>
      </c>
      <c r="U226" s="5"/>
      <c r="V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0</v>
      </c>
      <c r="U227" s="5"/>
      <c r="V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0</v>
      </c>
      <c r="U228" s="5"/>
      <c r="V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1.0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1</v>
      </c>
      <c r="U229" s="1"/>
      <c r="V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  <c r="U230" s="54"/>
      <c r="V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  <c r="U231" s="5"/>
      <c r="V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3">
        <f t="shared" si="44"/>
        <v>1</v>
      </c>
      <c r="U232" s="5"/>
      <c r="V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4"/>
        <v>0</v>
      </c>
      <c r="U233" s="5"/>
      <c r="V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4"/>
        <v>0</v>
      </c>
      <c r="U234" s="5"/>
      <c r="V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S235" si="45">SUM(E225:E232)</f>
        <v>1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4"/>
        <v>5</v>
      </c>
      <c r="U235" s="5"/>
      <c r="V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5"/>
      <c r="V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1.0</v>
      </c>
      <c r="G237" s="19">
        <v>1.0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3">
        <f t="shared" ref="T237:T247" si="46">SUM(E237:S237)</f>
        <v>3</v>
      </c>
      <c r="U237" s="5"/>
      <c r="V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1.0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3">
        <f t="shared" si="46"/>
        <v>4</v>
      </c>
      <c r="U238" s="5"/>
      <c r="V238" s="5"/>
    </row>
    <row r="239" ht="12.75" customHeight="1">
      <c r="A239" s="18"/>
      <c r="B239" s="57">
        <v>2.0</v>
      </c>
      <c r="C239" s="52" t="s">
        <v>176</v>
      </c>
      <c r="D239" s="60"/>
      <c r="E239" s="19">
        <v>1.0</v>
      </c>
      <c r="F239" s="19">
        <v>1.0</v>
      </c>
      <c r="G239" s="19">
        <v>1.0</v>
      </c>
      <c r="H239" s="19">
        <v>0.0</v>
      </c>
      <c r="I239" s="19">
        <v>1.0</v>
      </c>
      <c r="J239" s="19">
        <v>2.0</v>
      </c>
      <c r="K239" s="19">
        <v>1.0</v>
      </c>
      <c r="L239" s="19">
        <v>0.0</v>
      </c>
      <c r="M239" s="19">
        <v>3.0</v>
      </c>
      <c r="N239" s="19">
        <v>13.0</v>
      </c>
      <c r="O239" s="19">
        <v>5.0</v>
      </c>
      <c r="P239" s="19">
        <v>1.0</v>
      </c>
      <c r="Q239" s="19">
        <v>9.0</v>
      </c>
      <c r="R239" s="19">
        <v>2.0</v>
      </c>
      <c r="S239" s="19">
        <v>1.0</v>
      </c>
      <c r="T239" s="13">
        <f t="shared" si="46"/>
        <v>41</v>
      </c>
      <c r="U239" s="5"/>
      <c r="V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3">
        <f t="shared" si="46"/>
        <v>3</v>
      </c>
      <c r="U240" s="1"/>
      <c r="V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1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2.0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2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12.0</v>
      </c>
      <c r="L244" s="19">
        <v>1.0</v>
      </c>
      <c r="M244" s="19">
        <v>0.0</v>
      </c>
      <c r="N244" s="19">
        <v>0.0</v>
      </c>
      <c r="O244" s="19">
        <v>0.0</v>
      </c>
      <c r="P244" s="19">
        <v>1.0</v>
      </c>
      <c r="Q244" s="19">
        <v>1.0</v>
      </c>
      <c r="R244" s="19">
        <v>3.0</v>
      </c>
      <c r="S244" s="19"/>
      <c r="T244" s="13">
        <f t="shared" si="46"/>
        <v>18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S247" si="47">SUM(E237:E244)</f>
        <v>2</v>
      </c>
      <c r="F247" s="13">
        <f t="shared" si="47"/>
        <v>3</v>
      </c>
      <c r="G247" s="13">
        <f t="shared" si="47"/>
        <v>2</v>
      </c>
      <c r="H247" s="13">
        <f t="shared" si="47"/>
        <v>1</v>
      </c>
      <c r="I247" s="13">
        <f t="shared" si="47"/>
        <v>4</v>
      </c>
      <c r="J247" s="13">
        <f t="shared" si="47"/>
        <v>3</v>
      </c>
      <c r="K247" s="13">
        <f t="shared" si="47"/>
        <v>13</v>
      </c>
      <c r="L247" s="13">
        <f t="shared" si="47"/>
        <v>1</v>
      </c>
      <c r="M247" s="13">
        <f t="shared" si="47"/>
        <v>4</v>
      </c>
      <c r="N247" s="13">
        <f t="shared" si="47"/>
        <v>14</v>
      </c>
      <c r="O247" s="13">
        <f t="shared" si="47"/>
        <v>7</v>
      </c>
      <c r="P247" s="13">
        <f t="shared" si="47"/>
        <v>2</v>
      </c>
      <c r="Q247" s="13">
        <f t="shared" si="47"/>
        <v>10</v>
      </c>
      <c r="R247" s="13">
        <f t="shared" si="47"/>
        <v>5</v>
      </c>
      <c r="S247" s="13">
        <f t="shared" si="47"/>
        <v>2</v>
      </c>
      <c r="T247" s="13">
        <f t="shared" si="46"/>
        <v>73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2.0</v>
      </c>
      <c r="F249" s="19">
        <v>0.0</v>
      </c>
      <c r="G249" s="19">
        <v>0.0</v>
      </c>
      <c r="H249" s="19">
        <v>1.0</v>
      </c>
      <c r="I249" s="19">
        <v>1.0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1.0</v>
      </c>
      <c r="S249" s="19">
        <v>0.0</v>
      </c>
      <c r="T249" s="13">
        <f t="shared" ref="T249:T259" si="48">SUM(E249:S249)</f>
        <v>7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1.0</v>
      </c>
      <c r="F250" s="19">
        <v>0.0</v>
      </c>
      <c r="G250" s="19">
        <v>0.0</v>
      </c>
      <c r="H250" s="19">
        <v>0.0</v>
      </c>
      <c r="I250" s="19">
        <v>2.0</v>
      </c>
      <c r="J250" s="19">
        <v>1.0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1.0</v>
      </c>
      <c r="R250" s="19">
        <v>1.0</v>
      </c>
      <c r="S250" s="19">
        <v>1.0</v>
      </c>
      <c r="T250" s="13">
        <f t="shared" si="48"/>
        <v>8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2.0</v>
      </c>
      <c r="J251" s="19">
        <v>1.0</v>
      </c>
      <c r="K251" s="19">
        <v>0.0</v>
      </c>
      <c r="L251" s="19">
        <v>0.0</v>
      </c>
      <c r="M251" s="19">
        <v>1.0</v>
      </c>
      <c r="N251" s="19">
        <v>1.0</v>
      </c>
      <c r="O251" s="19">
        <v>0.0</v>
      </c>
      <c r="P251" s="19">
        <v>0.0</v>
      </c>
      <c r="Q251" s="19">
        <v>3.0</v>
      </c>
      <c r="R251" s="19">
        <v>6.0</v>
      </c>
      <c r="S251" s="19">
        <v>4.0</v>
      </c>
      <c r="T251" s="13">
        <f t="shared" si="48"/>
        <v>18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1.0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2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1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S259" si="49">SUM(E249:E255)</f>
        <v>3</v>
      </c>
      <c r="F259" s="13">
        <f t="shared" si="49"/>
        <v>1</v>
      </c>
      <c r="G259" s="13">
        <f t="shared" si="49"/>
        <v>0</v>
      </c>
      <c r="H259" s="13">
        <f t="shared" si="49"/>
        <v>1</v>
      </c>
      <c r="I259" s="13">
        <f t="shared" si="49"/>
        <v>5</v>
      </c>
      <c r="J259" s="13">
        <f t="shared" si="49"/>
        <v>3</v>
      </c>
      <c r="K259" s="13">
        <f t="shared" si="49"/>
        <v>0</v>
      </c>
      <c r="L259" s="13">
        <f t="shared" si="49"/>
        <v>1</v>
      </c>
      <c r="M259" s="13">
        <f t="shared" si="49"/>
        <v>3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4</v>
      </c>
      <c r="R259" s="13">
        <f t="shared" si="49"/>
        <v>8</v>
      </c>
      <c r="S259" s="13">
        <f t="shared" si="49"/>
        <v>5</v>
      </c>
      <c r="T259" s="13">
        <f t="shared" si="48"/>
        <v>36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71" t="s">
        <v>213</v>
      </c>
      <c r="Q261" s="71" t="s">
        <v>214</v>
      </c>
      <c r="R261" s="71" t="s">
        <v>216</v>
      </c>
      <c r="S261" s="71" t="s">
        <v>217</v>
      </c>
      <c r="T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S262" si="50">E55+E67+E79+E91+E103+E115+E127+E139+E151+E163+E175+E187+E199+E211+E223+E235+E247+E259</f>
        <v>187</v>
      </c>
      <c r="F262" s="19">
        <f t="shared" si="50"/>
        <v>187</v>
      </c>
      <c r="G262" s="19">
        <f t="shared" si="50"/>
        <v>208</v>
      </c>
      <c r="H262" s="19">
        <f t="shared" si="50"/>
        <v>197</v>
      </c>
      <c r="I262" s="19">
        <f t="shared" si="50"/>
        <v>170</v>
      </c>
      <c r="J262" s="19">
        <f t="shared" si="50"/>
        <v>206</v>
      </c>
      <c r="K262" s="19">
        <f t="shared" si="50"/>
        <v>233</v>
      </c>
      <c r="L262" s="19">
        <f t="shared" si="50"/>
        <v>205</v>
      </c>
      <c r="M262" s="19">
        <f t="shared" si="50"/>
        <v>183</v>
      </c>
      <c r="N262" s="19">
        <f t="shared" si="50"/>
        <v>201</v>
      </c>
      <c r="O262" s="19">
        <f t="shared" si="50"/>
        <v>176</v>
      </c>
      <c r="P262" s="19">
        <f t="shared" si="50"/>
        <v>216</v>
      </c>
      <c r="Q262" s="19">
        <f t="shared" si="50"/>
        <v>194</v>
      </c>
      <c r="R262" s="19">
        <f t="shared" si="50"/>
        <v>201</v>
      </c>
      <c r="S262" s="19">
        <f t="shared" si="50"/>
        <v>216</v>
      </c>
      <c r="T262" s="13">
        <f t="shared" ref="T262:T264" si="51">SUM(E262:S262)</f>
        <v>2980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35.0</v>
      </c>
      <c r="F263" s="19">
        <v>36.0</v>
      </c>
      <c r="G263" s="19">
        <v>21.0</v>
      </c>
      <c r="H263" s="19">
        <v>30.0</v>
      </c>
      <c r="I263" s="19">
        <v>29.0</v>
      </c>
      <c r="J263" s="19">
        <v>20.0</v>
      </c>
      <c r="K263" s="19">
        <v>23.0</v>
      </c>
      <c r="L263" s="19">
        <v>18.0</v>
      </c>
      <c r="M263" s="19">
        <v>22.0</v>
      </c>
      <c r="N263" s="19">
        <v>28.0</v>
      </c>
      <c r="O263" s="19">
        <v>37.0</v>
      </c>
      <c r="P263" s="19">
        <v>18.0</v>
      </c>
      <c r="Q263" s="19">
        <v>20.0</v>
      </c>
      <c r="R263" s="19">
        <v>21.0</v>
      </c>
      <c r="S263" s="19">
        <v>15.0</v>
      </c>
      <c r="T263" s="13">
        <f t="shared" si="51"/>
        <v>373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S264" si="52">SUM(E262:E263)</f>
        <v>222</v>
      </c>
      <c r="F264" s="13">
        <f t="shared" si="52"/>
        <v>223</v>
      </c>
      <c r="G264" s="13">
        <f t="shared" si="52"/>
        <v>229</v>
      </c>
      <c r="H264" s="13">
        <f t="shared" si="52"/>
        <v>227</v>
      </c>
      <c r="I264" s="13">
        <f t="shared" si="52"/>
        <v>199</v>
      </c>
      <c r="J264" s="13">
        <f t="shared" si="52"/>
        <v>226</v>
      </c>
      <c r="K264" s="13">
        <f t="shared" si="52"/>
        <v>256</v>
      </c>
      <c r="L264" s="13">
        <f t="shared" si="52"/>
        <v>223</v>
      </c>
      <c r="M264" s="13">
        <f t="shared" si="52"/>
        <v>205</v>
      </c>
      <c r="N264" s="13">
        <f t="shared" si="52"/>
        <v>229</v>
      </c>
      <c r="O264" s="13">
        <f t="shared" si="52"/>
        <v>213</v>
      </c>
      <c r="P264" s="13">
        <f t="shared" si="52"/>
        <v>234</v>
      </c>
      <c r="Q264" s="13">
        <f t="shared" si="52"/>
        <v>214</v>
      </c>
      <c r="R264" s="13">
        <f t="shared" si="52"/>
        <v>222</v>
      </c>
      <c r="S264" s="13">
        <f t="shared" si="52"/>
        <v>231</v>
      </c>
      <c r="T264" s="13">
        <f t="shared" si="51"/>
        <v>3353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132.0</v>
      </c>
      <c r="G14" s="19">
        <v>126.0</v>
      </c>
      <c r="H14" s="19">
        <v>116.0</v>
      </c>
      <c r="I14" s="19">
        <v>129.0</v>
      </c>
      <c r="J14" s="19">
        <v>127.0</v>
      </c>
      <c r="K14" s="19">
        <v>140.0</v>
      </c>
      <c r="L14" s="19">
        <v>127.0</v>
      </c>
      <c r="M14" s="19">
        <v>103.0</v>
      </c>
      <c r="N14" s="19">
        <v>120.0</v>
      </c>
      <c r="O14" s="19">
        <v>137.0</v>
      </c>
      <c r="P14" s="19">
        <v>152.0</v>
      </c>
      <c r="Q14" s="19">
        <v>140.0</v>
      </c>
      <c r="R14" s="19">
        <v>131.0</v>
      </c>
      <c r="S14" s="19">
        <v>152.0</v>
      </c>
      <c r="T14" s="13">
        <f t="shared" ref="T14:T16" si="1">SUM(E14:S14)</f>
        <v>1953</v>
      </c>
    </row>
    <row r="15" ht="12.75" customHeight="1">
      <c r="A15" s="18"/>
      <c r="B15" s="26"/>
      <c r="C15" s="27"/>
      <c r="D15" s="19" t="s">
        <v>13</v>
      </c>
      <c r="E15" s="19">
        <v>152.0</v>
      </c>
      <c r="F15" s="19">
        <v>131.0</v>
      </c>
      <c r="G15" s="19">
        <v>143.0</v>
      </c>
      <c r="H15" s="19">
        <v>124.0</v>
      </c>
      <c r="I15" s="19">
        <v>131.0</v>
      </c>
      <c r="J15" s="19">
        <v>132.0</v>
      </c>
      <c r="K15" s="19">
        <v>144.0</v>
      </c>
      <c r="L15" s="19">
        <v>128.0</v>
      </c>
      <c r="M15" s="19">
        <v>120.0</v>
      </c>
      <c r="N15" s="19">
        <v>119.0</v>
      </c>
      <c r="O15" s="19">
        <v>146.0</v>
      </c>
      <c r="P15" s="19">
        <v>137.0</v>
      </c>
      <c r="Q15" s="19">
        <v>151.0</v>
      </c>
      <c r="R15" s="19">
        <v>142.0</v>
      </c>
      <c r="S15" s="19">
        <v>137.0</v>
      </c>
      <c r="T15" s="13">
        <f t="shared" si="1"/>
        <v>2037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273</v>
      </c>
      <c r="F16" s="13">
        <f t="shared" si="2"/>
        <v>263</v>
      </c>
      <c r="G16" s="13">
        <f t="shared" si="2"/>
        <v>269</v>
      </c>
      <c r="H16" s="13">
        <f t="shared" si="2"/>
        <v>240</v>
      </c>
      <c r="I16" s="13">
        <f t="shared" si="2"/>
        <v>260</v>
      </c>
      <c r="J16" s="13">
        <f t="shared" si="2"/>
        <v>259</v>
      </c>
      <c r="K16" s="13">
        <f t="shared" si="2"/>
        <v>284</v>
      </c>
      <c r="L16" s="13">
        <f t="shared" si="2"/>
        <v>255</v>
      </c>
      <c r="M16" s="13">
        <f t="shared" si="2"/>
        <v>223</v>
      </c>
      <c r="N16" s="13">
        <f t="shared" si="2"/>
        <v>239</v>
      </c>
      <c r="O16" s="13">
        <f t="shared" si="2"/>
        <v>283</v>
      </c>
      <c r="P16" s="13">
        <f t="shared" si="2"/>
        <v>289</v>
      </c>
      <c r="Q16" s="13">
        <f t="shared" si="2"/>
        <v>291</v>
      </c>
      <c r="R16" s="13">
        <f t="shared" si="2"/>
        <v>273</v>
      </c>
      <c r="S16" s="13">
        <f t="shared" si="2"/>
        <v>289</v>
      </c>
      <c r="T16" s="13">
        <f t="shared" si="1"/>
        <v>3990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19"/>
      <c r="Q17" s="19"/>
      <c r="R17" s="19"/>
      <c r="S17" s="78"/>
      <c r="T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86.0</v>
      </c>
      <c r="F19" s="19">
        <v>91.0</v>
      </c>
      <c r="G19" s="19">
        <v>87.0</v>
      </c>
      <c r="H19" s="19">
        <v>85.0</v>
      </c>
      <c r="I19" s="19">
        <v>89.0</v>
      </c>
      <c r="J19" s="19">
        <v>93.0</v>
      </c>
      <c r="K19" s="19">
        <v>108.0</v>
      </c>
      <c r="L19" s="19">
        <v>86.0</v>
      </c>
      <c r="M19" s="19">
        <v>78.0</v>
      </c>
      <c r="N19" s="19">
        <v>85.0</v>
      </c>
      <c r="O19" s="19">
        <v>114.0</v>
      </c>
      <c r="P19" s="19">
        <v>108.0</v>
      </c>
      <c r="Q19" s="19">
        <v>107.0</v>
      </c>
      <c r="R19" s="19">
        <v>105.0</v>
      </c>
      <c r="S19" s="19">
        <v>126.0</v>
      </c>
      <c r="T19" s="13">
        <f t="shared" ref="T19:T30" si="3">SUM(E19:S19)</f>
        <v>1448</v>
      </c>
    </row>
    <row r="20" ht="12.75" customHeight="1">
      <c r="A20" s="34"/>
      <c r="B20" s="27"/>
      <c r="C20" s="35"/>
      <c r="D20" s="19" t="s">
        <v>13</v>
      </c>
      <c r="E20" s="19">
        <v>121.0</v>
      </c>
      <c r="F20" s="19">
        <v>110.0</v>
      </c>
      <c r="G20" s="19">
        <v>115.0</v>
      </c>
      <c r="H20" s="19">
        <v>103.0</v>
      </c>
      <c r="I20" s="19">
        <v>108.0</v>
      </c>
      <c r="J20" s="19">
        <v>104.0</v>
      </c>
      <c r="K20" s="19">
        <v>117.0</v>
      </c>
      <c r="L20" s="19">
        <v>112.0</v>
      </c>
      <c r="M20" s="19">
        <v>103.0</v>
      </c>
      <c r="N20" s="19">
        <v>98.0</v>
      </c>
      <c r="O20" s="19">
        <v>121.0</v>
      </c>
      <c r="P20" s="19">
        <v>111.0</v>
      </c>
      <c r="Q20" s="19">
        <v>121.0</v>
      </c>
      <c r="R20" s="19">
        <v>124.0</v>
      </c>
      <c r="S20" s="19">
        <v>124.0</v>
      </c>
      <c r="T20" s="13">
        <f t="shared" si="3"/>
        <v>1692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207</v>
      </c>
      <c r="F21" s="13">
        <f t="shared" si="4"/>
        <v>201</v>
      </c>
      <c r="G21" s="13">
        <f t="shared" si="4"/>
        <v>202</v>
      </c>
      <c r="H21" s="13">
        <f t="shared" si="4"/>
        <v>188</v>
      </c>
      <c r="I21" s="13">
        <f t="shared" si="4"/>
        <v>197</v>
      </c>
      <c r="J21" s="13">
        <f t="shared" si="4"/>
        <v>197</v>
      </c>
      <c r="K21" s="13">
        <f t="shared" si="4"/>
        <v>225</v>
      </c>
      <c r="L21" s="13">
        <f t="shared" si="4"/>
        <v>198</v>
      </c>
      <c r="M21" s="13">
        <f t="shared" si="4"/>
        <v>181</v>
      </c>
      <c r="N21" s="13">
        <f t="shared" si="4"/>
        <v>183</v>
      </c>
      <c r="O21" s="13">
        <f t="shared" si="4"/>
        <v>235</v>
      </c>
      <c r="P21" s="13">
        <f t="shared" si="4"/>
        <v>219</v>
      </c>
      <c r="Q21" s="13">
        <f t="shared" si="4"/>
        <v>228</v>
      </c>
      <c r="R21" s="13">
        <f t="shared" si="4"/>
        <v>229</v>
      </c>
      <c r="S21" s="13">
        <f t="shared" si="4"/>
        <v>250</v>
      </c>
      <c r="T21" s="13">
        <f t="shared" si="3"/>
        <v>3140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S28" si="7">SUM(E19,E22,E25)</f>
        <v>86</v>
      </c>
      <c r="F28" s="13">
        <f t="shared" si="7"/>
        <v>91</v>
      </c>
      <c r="G28" s="13">
        <f t="shared" si="7"/>
        <v>87</v>
      </c>
      <c r="H28" s="13">
        <f t="shared" si="7"/>
        <v>86</v>
      </c>
      <c r="I28" s="13">
        <f t="shared" si="7"/>
        <v>89</v>
      </c>
      <c r="J28" s="13">
        <f t="shared" si="7"/>
        <v>93</v>
      </c>
      <c r="K28" s="13">
        <f t="shared" si="7"/>
        <v>108</v>
      </c>
      <c r="L28" s="13">
        <f t="shared" si="7"/>
        <v>86</v>
      </c>
      <c r="M28" s="13">
        <f t="shared" si="7"/>
        <v>78</v>
      </c>
      <c r="N28" s="13">
        <f t="shared" si="7"/>
        <v>85</v>
      </c>
      <c r="O28" s="13">
        <f t="shared" si="7"/>
        <v>114</v>
      </c>
      <c r="P28" s="13">
        <f t="shared" si="7"/>
        <v>108</v>
      </c>
      <c r="Q28" s="13">
        <f t="shared" si="7"/>
        <v>107</v>
      </c>
      <c r="R28" s="13">
        <f t="shared" si="7"/>
        <v>105</v>
      </c>
      <c r="S28" s="13">
        <f t="shared" si="7"/>
        <v>126</v>
      </c>
      <c r="T28" s="13">
        <f t="shared" si="3"/>
        <v>1449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122</v>
      </c>
      <c r="F29" s="13">
        <f t="shared" si="8"/>
        <v>110</v>
      </c>
      <c r="G29" s="13">
        <f t="shared" si="8"/>
        <v>115</v>
      </c>
      <c r="H29" s="13">
        <f t="shared" si="8"/>
        <v>103</v>
      </c>
      <c r="I29" s="13">
        <f t="shared" si="8"/>
        <v>108</v>
      </c>
      <c r="J29" s="13">
        <f t="shared" si="8"/>
        <v>104</v>
      </c>
      <c r="K29" s="13">
        <f t="shared" si="8"/>
        <v>117</v>
      </c>
      <c r="L29" s="13">
        <f t="shared" si="8"/>
        <v>112</v>
      </c>
      <c r="M29" s="13">
        <f t="shared" si="8"/>
        <v>103</v>
      </c>
      <c r="N29" s="13">
        <f t="shared" si="8"/>
        <v>98</v>
      </c>
      <c r="O29" s="13">
        <f t="shared" si="8"/>
        <v>121</v>
      </c>
      <c r="P29" s="13">
        <f t="shared" si="8"/>
        <v>111</v>
      </c>
      <c r="Q29" s="13">
        <f t="shared" si="8"/>
        <v>121</v>
      </c>
      <c r="R29" s="13">
        <f t="shared" si="8"/>
        <v>124</v>
      </c>
      <c r="S29" s="13">
        <f t="shared" si="8"/>
        <v>124</v>
      </c>
      <c r="T29" s="13">
        <f t="shared" si="3"/>
        <v>1693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208</v>
      </c>
      <c r="F30" s="13">
        <f t="shared" si="9"/>
        <v>201</v>
      </c>
      <c r="G30" s="13">
        <f t="shared" si="9"/>
        <v>202</v>
      </c>
      <c r="H30" s="13">
        <f t="shared" si="9"/>
        <v>189</v>
      </c>
      <c r="I30" s="13">
        <f t="shared" si="9"/>
        <v>197</v>
      </c>
      <c r="J30" s="13">
        <f t="shared" si="9"/>
        <v>197</v>
      </c>
      <c r="K30" s="13">
        <f t="shared" si="9"/>
        <v>225</v>
      </c>
      <c r="L30" s="13">
        <f t="shared" si="9"/>
        <v>198</v>
      </c>
      <c r="M30" s="13">
        <f t="shared" si="9"/>
        <v>181</v>
      </c>
      <c r="N30" s="13">
        <f t="shared" si="9"/>
        <v>183</v>
      </c>
      <c r="O30" s="13">
        <f t="shared" si="9"/>
        <v>235</v>
      </c>
      <c r="P30" s="13">
        <f t="shared" si="9"/>
        <v>219</v>
      </c>
      <c r="Q30" s="13">
        <f t="shared" si="9"/>
        <v>228</v>
      </c>
      <c r="R30" s="13">
        <f t="shared" si="9"/>
        <v>229</v>
      </c>
      <c r="S30" s="13">
        <f t="shared" si="9"/>
        <v>250</v>
      </c>
      <c r="T30" s="13">
        <f t="shared" si="3"/>
        <v>3142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19"/>
      <c r="Q31" s="19"/>
      <c r="R31" s="19"/>
      <c r="S31" s="78"/>
      <c r="T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1" t="s">
        <v>213</v>
      </c>
      <c r="Q32" s="71" t="s">
        <v>214</v>
      </c>
      <c r="R32" s="71" t="s">
        <v>216</v>
      </c>
      <c r="S32" s="71" t="s">
        <v>217</v>
      </c>
      <c r="T32" s="70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266.0</v>
      </c>
      <c r="G33" s="19">
        <v>275.0</v>
      </c>
      <c r="H33" s="19">
        <v>245.0</v>
      </c>
      <c r="I33" s="19">
        <v>264.0</v>
      </c>
      <c r="J33" s="19">
        <v>265.0</v>
      </c>
      <c r="K33" s="19">
        <v>270.0</v>
      </c>
      <c r="L33" s="19">
        <v>261.0</v>
      </c>
      <c r="M33" s="19">
        <v>229.0</v>
      </c>
      <c r="N33" s="19">
        <v>244.0</v>
      </c>
      <c r="O33" s="19">
        <v>289.0</v>
      </c>
      <c r="P33" s="19">
        <v>295.0</v>
      </c>
      <c r="Q33" s="19">
        <v>297.0</v>
      </c>
      <c r="R33" s="19">
        <v>279.0</v>
      </c>
      <c r="S33" s="19">
        <v>295.0</v>
      </c>
      <c r="T33" s="13">
        <f t="shared" ref="T33:T36" si="10">SUM(E33:S33)</f>
        <v>4053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201.0</v>
      </c>
      <c r="G34" s="13">
        <v>202.0</v>
      </c>
      <c r="H34" s="13">
        <v>189.0</v>
      </c>
      <c r="I34" s="13">
        <v>197.0</v>
      </c>
      <c r="J34" s="13">
        <v>197.0</v>
      </c>
      <c r="K34" s="13">
        <v>225.0</v>
      </c>
      <c r="L34" s="13">
        <v>198.0</v>
      </c>
      <c r="M34" s="13">
        <v>181.0</v>
      </c>
      <c r="N34" s="13">
        <v>183.0</v>
      </c>
      <c r="O34" s="13">
        <v>235.0</v>
      </c>
      <c r="P34" s="13">
        <v>219.0</v>
      </c>
      <c r="Q34" s="13">
        <v>228.0</v>
      </c>
      <c r="R34" s="13">
        <v>229.0</v>
      </c>
      <c r="S34" s="13">
        <v>250.0</v>
      </c>
      <c r="T34" s="13">
        <f t="shared" si="10"/>
        <v>3142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27.0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29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71</v>
      </c>
      <c r="F36" s="13">
        <f t="shared" si="11"/>
        <v>65</v>
      </c>
      <c r="G36" s="13">
        <f t="shared" si="11"/>
        <v>73</v>
      </c>
      <c r="H36" s="13">
        <f t="shared" si="11"/>
        <v>56</v>
      </c>
      <c r="I36" s="13">
        <f t="shared" si="11"/>
        <v>67</v>
      </c>
      <c r="J36" s="13">
        <f t="shared" si="11"/>
        <v>68</v>
      </c>
      <c r="K36" s="13">
        <f t="shared" si="11"/>
        <v>44</v>
      </c>
      <c r="L36" s="13">
        <f t="shared" si="11"/>
        <v>36</v>
      </c>
      <c r="M36" s="13">
        <f t="shared" si="11"/>
        <v>48</v>
      </c>
      <c r="N36" s="13">
        <f t="shared" si="11"/>
        <v>61</v>
      </c>
      <c r="O36" s="13">
        <f t="shared" si="11"/>
        <v>53</v>
      </c>
      <c r="P36" s="13">
        <f t="shared" si="11"/>
        <v>76</v>
      </c>
      <c r="Q36" s="13">
        <f t="shared" si="11"/>
        <v>69</v>
      </c>
      <c r="R36" s="13">
        <f t="shared" si="11"/>
        <v>50</v>
      </c>
      <c r="S36" s="13">
        <f t="shared" si="11"/>
        <v>45</v>
      </c>
      <c r="T36" s="13">
        <f t="shared" si="10"/>
        <v>882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19"/>
      <c r="Q37" s="19"/>
      <c r="R37" s="19"/>
      <c r="S37" s="78"/>
      <c r="T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1" t="s">
        <v>213</v>
      </c>
      <c r="Q38" s="71" t="s">
        <v>214</v>
      </c>
      <c r="R38" s="71" t="s">
        <v>216</v>
      </c>
      <c r="S38" s="71" t="s">
        <v>217</v>
      </c>
      <c r="T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9"/>
      <c r="Q42" s="19"/>
      <c r="R42" s="19"/>
      <c r="S42" s="78"/>
      <c r="T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71" t="s">
        <v>213</v>
      </c>
      <c r="Q43" s="71" t="s">
        <v>214</v>
      </c>
      <c r="R43" s="71" t="s">
        <v>216</v>
      </c>
      <c r="S43" s="71" t="s">
        <v>217</v>
      </c>
      <c r="T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9"/>
      <c r="Q44" s="19"/>
      <c r="R44" s="19"/>
      <c r="S44" s="78"/>
      <c r="T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6.0</v>
      </c>
      <c r="F45" s="19">
        <v>12.0</v>
      </c>
      <c r="G45" s="19">
        <v>21.0</v>
      </c>
      <c r="H45" s="19">
        <v>4.0</v>
      </c>
      <c r="I45" s="19">
        <v>17.0</v>
      </c>
      <c r="J45" s="19">
        <v>5.0</v>
      </c>
      <c r="K45" s="19">
        <v>16.0</v>
      </c>
      <c r="L45" s="19">
        <v>5.0</v>
      </c>
      <c r="M45" s="19">
        <v>3.0</v>
      </c>
      <c r="N45" s="19">
        <v>2.0</v>
      </c>
      <c r="O45" s="19">
        <v>8.0</v>
      </c>
      <c r="P45" s="19">
        <v>5.0</v>
      </c>
      <c r="Q45" s="19">
        <v>10.0</v>
      </c>
      <c r="R45" s="19">
        <v>5.0</v>
      </c>
      <c r="S45" s="19">
        <v>9.0</v>
      </c>
      <c r="T45" s="13">
        <f t="shared" ref="T45:T55" si="14">SUM(E45:S45)</f>
        <v>128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24.0</v>
      </c>
      <c r="F46" s="19">
        <v>39.0</v>
      </c>
      <c r="G46" s="19">
        <v>29.0</v>
      </c>
      <c r="H46" s="19">
        <v>34.0</v>
      </c>
      <c r="I46" s="19">
        <v>46.0</v>
      </c>
      <c r="J46" s="19">
        <v>26.0</v>
      </c>
      <c r="K46" s="19">
        <v>20.0</v>
      </c>
      <c r="L46" s="19">
        <v>16.0</v>
      </c>
      <c r="M46" s="19">
        <v>7.0</v>
      </c>
      <c r="N46" s="19">
        <v>7.0</v>
      </c>
      <c r="O46" s="19">
        <v>12.0</v>
      </c>
      <c r="P46" s="19">
        <v>28.0</v>
      </c>
      <c r="Q46" s="19">
        <v>20.0</v>
      </c>
      <c r="R46" s="19">
        <v>14.0</v>
      </c>
      <c r="S46" s="19">
        <v>14.0</v>
      </c>
      <c r="T46" s="13">
        <f t="shared" si="14"/>
        <v>336</v>
      </c>
    </row>
    <row r="47" ht="12.75" customHeight="1">
      <c r="A47" s="18"/>
      <c r="B47" s="57">
        <v>2.0</v>
      </c>
      <c r="C47" s="52" t="s">
        <v>41</v>
      </c>
      <c r="D47" s="16"/>
      <c r="E47" s="19">
        <v>2.0</v>
      </c>
      <c r="F47" s="19">
        <v>2.0</v>
      </c>
      <c r="G47" s="19">
        <v>10.0</v>
      </c>
      <c r="H47" s="19">
        <v>0.0</v>
      </c>
      <c r="I47" s="19">
        <v>5.0</v>
      </c>
      <c r="J47" s="19">
        <v>2.0</v>
      </c>
      <c r="K47" s="19">
        <v>2.0</v>
      </c>
      <c r="L47" s="19">
        <v>4.0</v>
      </c>
      <c r="M47" s="19">
        <v>1.0</v>
      </c>
      <c r="N47" s="19">
        <v>1.0</v>
      </c>
      <c r="O47" s="19">
        <v>3.0</v>
      </c>
      <c r="P47" s="19">
        <v>6.0</v>
      </c>
      <c r="Q47" s="19">
        <v>3.0</v>
      </c>
      <c r="R47" s="19">
        <v>1.0</v>
      </c>
      <c r="S47" s="19">
        <v>5.0</v>
      </c>
      <c r="T47" s="13">
        <f t="shared" si="14"/>
        <v>47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1.0</v>
      </c>
      <c r="J48" s="19">
        <v>1.0</v>
      </c>
      <c r="K48" s="19">
        <v>0.0</v>
      </c>
      <c r="L48" s="19">
        <v>0.0</v>
      </c>
      <c r="M48" s="19">
        <v>1.0</v>
      </c>
      <c r="N48" s="19">
        <v>0.0</v>
      </c>
      <c r="O48" s="19">
        <v>2.0</v>
      </c>
      <c r="P48" s="19">
        <v>1.0</v>
      </c>
      <c r="Q48" s="19">
        <v>2.0</v>
      </c>
      <c r="R48" s="19">
        <v>1.0</v>
      </c>
      <c r="S48" s="19">
        <v>2.0</v>
      </c>
      <c r="T48" s="13">
        <f t="shared" si="14"/>
        <v>11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1.0</v>
      </c>
      <c r="G49" s="19">
        <v>0.0</v>
      </c>
      <c r="H49" s="19">
        <v>1.0</v>
      </c>
      <c r="I49" s="19">
        <v>1.0</v>
      </c>
      <c r="J49" s="19">
        <v>0.0</v>
      </c>
      <c r="K49" s="19">
        <v>0.0</v>
      </c>
      <c r="L49" s="19">
        <v>1.0</v>
      </c>
      <c r="M49" s="19">
        <v>1.0</v>
      </c>
      <c r="N49" s="19">
        <v>1.0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3">
        <f t="shared" si="14"/>
        <v>7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1.0</v>
      </c>
      <c r="G50" s="19">
        <v>0.0</v>
      </c>
      <c r="H50" s="19">
        <v>1.0</v>
      </c>
      <c r="I50" s="19">
        <v>0.0</v>
      </c>
      <c r="J50" s="19">
        <v>1.0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2.0</v>
      </c>
      <c r="Q50" s="19">
        <v>0.0</v>
      </c>
      <c r="R50" s="19">
        <v>0.0</v>
      </c>
      <c r="S50" s="19">
        <v>0.0</v>
      </c>
      <c r="T50" s="13">
        <f t="shared" si="14"/>
        <v>6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2.0</v>
      </c>
      <c r="H51" s="19">
        <v>0.0</v>
      </c>
      <c r="I51" s="19">
        <v>0.0</v>
      </c>
      <c r="J51" s="19">
        <v>1.0</v>
      </c>
      <c r="K51" s="19">
        <v>2.0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3">
        <f t="shared" si="14"/>
        <v>5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2.0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3">
        <f t="shared" si="14"/>
        <v>3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S55" si="15">SUM(E45:E52)</f>
        <v>32</v>
      </c>
      <c r="F55" s="13">
        <f t="shared" si="15"/>
        <v>55</v>
      </c>
      <c r="G55" s="13">
        <f t="shared" si="15"/>
        <v>62</v>
      </c>
      <c r="H55" s="13">
        <f t="shared" si="15"/>
        <v>40</v>
      </c>
      <c r="I55" s="13">
        <f t="shared" si="15"/>
        <v>70</v>
      </c>
      <c r="J55" s="13">
        <f t="shared" si="15"/>
        <v>36</v>
      </c>
      <c r="K55" s="13">
        <f t="shared" si="15"/>
        <v>40</v>
      </c>
      <c r="L55" s="13">
        <f t="shared" si="15"/>
        <v>27</v>
      </c>
      <c r="M55" s="13">
        <f t="shared" si="15"/>
        <v>15</v>
      </c>
      <c r="N55" s="13">
        <f t="shared" si="15"/>
        <v>12</v>
      </c>
      <c r="O55" s="13">
        <f t="shared" si="15"/>
        <v>25</v>
      </c>
      <c r="P55" s="13">
        <f t="shared" si="15"/>
        <v>42</v>
      </c>
      <c r="Q55" s="13">
        <f t="shared" si="15"/>
        <v>35</v>
      </c>
      <c r="R55" s="13">
        <f t="shared" si="15"/>
        <v>22</v>
      </c>
      <c r="S55" s="13">
        <f t="shared" si="15"/>
        <v>30</v>
      </c>
      <c r="T55" s="13">
        <f t="shared" si="14"/>
        <v>543</v>
      </c>
    </row>
    <row r="56" ht="12.75" customHeight="1">
      <c r="A56" s="47"/>
      <c r="B56" s="46"/>
      <c r="C56" s="46"/>
      <c r="D56" s="46"/>
      <c r="E56" s="46"/>
      <c r="T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16.0</v>
      </c>
      <c r="F57" s="19">
        <v>12.0</v>
      </c>
      <c r="G57" s="19">
        <v>12.0</v>
      </c>
      <c r="H57" s="19">
        <v>11.0</v>
      </c>
      <c r="I57" s="19">
        <v>3.0</v>
      </c>
      <c r="J57" s="19">
        <v>12.0</v>
      </c>
      <c r="K57" s="19">
        <v>17.0</v>
      </c>
      <c r="L57" s="19">
        <v>13.0</v>
      </c>
      <c r="M57" s="19">
        <v>7.0</v>
      </c>
      <c r="N57" s="19">
        <v>15.0</v>
      </c>
      <c r="O57" s="19">
        <v>7.0</v>
      </c>
      <c r="P57" s="19">
        <v>5.0</v>
      </c>
      <c r="Q57" s="19">
        <v>9.0</v>
      </c>
      <c r="R57" s="19">
        <v>8.0</v>
      </c>
      <c r="S57" s="19">
        <v>12.0</v>
      </c>
      <c r="T57" s="13">
        <f t="shared" ref="T57:T67" si="16">SUM(E57:S57)</f>
        <v>159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8.0</v>
      </c>
      <c r="F58" s="19">
        <v>12.0</v>
      </c>
      <c r="G58" s="19">
        <v>13.0</v>
      </c>
      <c r="H58" s="19">
        <v>22.0</v>
      </c>
      <c r="I58" s="19">
        <v>14.0</v>
      </c>
      <c r="J58" s="19">
        <v>25.0</v>
      </c>
      <c r="K58" s="19">
        <v>26.0</v>
      </c>
      <c r="L58" s="19">
        <v>21.0</v>
      </c>
      <c r="M58" s="19">
        <v>17.0</v>
      </c>
      <c r="N58" s="19">
        <v>4.0</v>
      </c>
      <c r="O58" s="19">
        <v>24.0</v>
      </c>
      <c r="P58" s="19">
        <v>44.0</v>
      </c>
      <c r="Q58" s="19">
        <v>30.0</v>
      </c>
      <c r="R58" s="19">
        <v>17.0</v>
      </c>
      <c r="S58" s="19">
        <v>11.0</v>
      </c>
      <c r="T58" s="13">
        <f t="shared" si="16"/>
        <v>288</v>
      </c>
    </row>
    <row r="59" ht="12.75" customHeight="1">
      <c r="A59" s="18"/>
      <c r="B59" s="57">
        <v>2.0</v>
      </c>
      <c r="C59" s="52" t="s">
        <v>50</v>
      </c>
      <c r="D59" s="58"/>
      <c r="E59" s="19">
        <v>5.0</v>
      </c>
      <c r="F59" s="19">
        <v>1.0</v>
      </c>
      <c r="G59" s="19">
        <v>3.0</v>
      </c>
      <c r="H59" s="19">
        <v>5.0</v>
      </c>
      <c r="I59" s="19">
        <v>3.0</v>
      </c>
      <c r="J59" s="19">
        <v>5.0</v>
      </c>
      <c r="K59" s="19">
        <v>3.0</v>
      </c>
      <c r="L59" s="19">
        <v>2.0</v>
      </c>
      <c r="M59" s="19">
        <v>1.0</v>
      </c>
      <c r="N59" s="19">
        <v>5.0</v>
      </c>
      <c r="O59" s="19">
        <v>5.0</v>
      </c>
      <c r="P59" s="19">
        <v>2.0</v>
      </c>
      <c r="Q59" s="19">
        <v>5.0</v>
      </c>
      <c r="R59" s="19">
        <v>2.0</v>
      </c>
      <c r="S59" s="19">
        <v>4.0</v>
      </c>
      <c r="T59" s="13">
        <f t="shared" si="16"/>
        <v>51</v>
      </c>
    </row>
    <row r="60" ht="12.75" customHeight="1">
      <c r="A60" s="18"/>
      <c r="B60" s="57">
        <v>3.0</v>
      </c>
      <c r="C60" s="52" t="s">
        <v>51</v>
      </c>
      <c r="D60" s="58"/>
      <c r="E60" s="19">
        <v>2.0</v>
      </c>
      <c r="F60" s="19">
        <v>1.0</v>
      </c>
      <c r="G60" s="19">
        <v>3.0</v>
      </c>
      <c r="H60" s="19">
        <v>0.0</v>
      </c>
      <c r="I60" s="19">
        <v>0.0</v>
      </c>
      <c r="J60" s="19">
        <v>1.0</v>
      </c>
      <c r="K60" s="19">
        <v>3.0</v>
      </c>
      <c r="L60" s="19">
        <v>1.0</v>
      </c>
      <c r="M60" s="19">
        <v>1.0</v>
      </c>
      <c r="N60" s="19">
        <v>4.0</v>
      </c>
      <c r="O60" s="19">
        <v>1.0</v>
      </c>
      <c r="P60" s="19">
        <v>0.0</v>
      </c>
      <c r="Q60" s="19">
        <v>0.0</v>
      </c>
      <c r="R60" s="19">
        <v>0.0</v>
      </c>
      <c r="S60" s="19">
        <v>3.0</v>
      </c>
      <c r="T60" s="13">
        <f t="shared" si="16"/>
        <v>20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2.0</v>
      </c>
      <c r="G61" s="19">
        <v>3.0</v>
      </c>
      <c r="H61" s="19">
        <v>0.0</v>
      </c>
      <c r="I61" s="19">
        <v>1.0</v>
      </c>
      <c r="J61" s="19">
        <v>1.0</v>
      </c>
      <c r="K61" s="19">
        <v>1.0</v>
      </c>
      <c r="L61" s="19">
        <v>1.0</v>
      </c>
      <c r="M61" s="19">
        <v>1.0</v>
      </c>
      <c r="N61" s="19">
        <v>1.0</v>
      </c>
      <c r="O61" s="19">
        <v>1.0</v>
      </c>
      <c r="P61" s="19">
        <v>1.0</v>
      </c>
      <c r="Q61" s="19">
        <v>0.0</v>
      </c>
      <c r="R61" s="19">
        <v>0.0</v>
      </c>
      <c r="S61" s="19">
        <v>0.0</v>
      </c>
      <c r="T61" s="13">
        <f t="shared" si="16"/>
        <v>14</v>
      </c>
    </row>
    <row r="62" ht="12.75" customHeight="1">
      <c r="A62" s="18"/>
      <c r="B62" s="57">
        <v>5.0</v>
      </c>
      <c r="C62" s="52" t="s">
        <v>53</v>
      </c>
      <c r="D62" s="58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4.0</v>
      </c>
      <c r="K62" s="19">
        <v>1.0</v>
      </c>
      <c r="L62" s="19">
        <v>0.0</v>
      </c>
      <c r="M62" s="19">
        <v>0.0</v>
      </c>
      <c r="N62" s="19">
        <v>0.0</v>
      </c>
      <c r="O62" s="19">
        <v>1.0</v>
      </c>
      <c r="P62" s="19">
        <v>1.0</v>
      </c>
      <c r="Q62" s="19">
        <v>1.0</v>
      </c>
      <c r="R62" s="19">
        <v>0.0</v>
      </c>
      <c r="S62" s="19">
        <v>0.0</v>
      </c>
      <c r="T62" s="13">
        <f t="shared" si="16"/>
        <v>9</v>
      </c>
    </row>
    <row r="63" ht="12.75" customHeight="1">
      <c r="A63" s="18"/>
      <c r="B63" s="57">
        <v>6.0</v>
      </c>
      <c r="C63" s="52" t="s">
        <v>54</v>
      </c>
      <c r="D63" s="60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3.0</v>
      </c>
      <c r="P63" s="19">
        <v>0.0</v>
      </c>
      <c r="Q63" s="19">
        <v>1.0</v>
      </c>
      <c r="R63" s="19">
        <v>0.0</v>
      </c>
      <c r="S63" s="19">
        <v>0.0</v>
      </c>
      <c r="T63" s="13">
        <f t="shared" si="16"/>
        <v>5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2.0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3">
        <f t="shared" si="16"/>
        <v>3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S67" si="17">SUM(E57:E64)</f>
        <v>34</v>
      </c>
      <c r="F67" s="13">
        <f t="shared" si="17"/>
        <v>30</v>
      </c>
      <c r="G67" s="13">
        <f t="shared" si="17"/>
        <v>34</v>
      </c>
      <c r="H67" s="13">
        <f t="shared" si="17"/>
        <v>38</v>
      </c>
      <c r="I67" s="13">
        <f t="shared" si="17"/>
        <v>21</v>
      </c>
      <c r="J67" s="13">
        <f t="shared" si="17"/>
        <v>48</v>
      </c>
      <c r="K67" s="13">
        <f t="shared" si="17"/>
        <v>51</v>
      </c>
      <c r="L67" s="13">
        <f t="shared" si="17"/>
        <v>38</v>
      </c>
      <c r="M67" s="13">
        <f t="shared" si="17"/>
        <v>27</v>
      </c>
      <c r="N67" s="13">
        <f t="shared" si="17"/>
        <v>29</v>
      </c>
      <c r="O67" s="13">
        <f t="shared" si="17"/>
        <v>42</v>
      </c>
      <c r="P67" s="13">
        <f t="shared" si="17"/>
        <v>53</v>
      </c>
      <c r="Q67" s="13">
        <f t="shared" si="17"/>
        <v>46</v>
      </c>
      <c r="R67" s="13">
        <f t="shared" si="17"/>
        <v>27</v>
      </c>
      <c r="S67" s="13">
        <f t="shared" si="17"/>
        <v>31</v>
      </c>
      <c r="T67" s="13">
        <f t="shared" si="16"/>
        <v>549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5.0</v>
      </c>
      <c r="F69" s="19">
        <v>6.0</v>
      </c>
      <c r="G69" s="19">
        <v>6.0</v>
      </c>
      <c r="H69" s="19">
        <v>4.0</v>
      </c>
      <c r="I69" s="19">
        <v>5.0</v>
      </c>
      <c r="J69" s="19">
        <v>1.0</v>
      </c>
      <c r="K69" s="19">
        <v>9.0</v>
      </c>
      <c r="L69" s="19">
        <v>10.0</v>
      </c>
      <c r="M69" s="19">
        <v>10.0</v>
      </c>
      <c r="N69" s="19">
        <v>8.0</v>
      </c>
      <c r="O69" s="19">
        <v>4.0</v>
      </c>
      <c r="P69" s="19">
        <v>3.0</v>
      </c>
      <c r="Q69" s="19">
        <v>5.0</v>
      </c>
      <c r="R69" s="19">
        <v>3.0</v>
      </c>
      <c r="S69" s="19">
        <v>7.0</v>
      </c>
      <c r="T69" s="13">
        <f t="shared" ref="T69:T79" si="18">SUM(E69:S69)</f>
        <v>86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7.0</v>
      </c>
      <c r="F70" s="19">
        <v>10.0</v>
      </c>
      <c r="G70" s="19">
        <v>1.0</v>
      </c>
      <c r="H70" s="19">
        <v>5.0</v>
      </c>
      <c r="I70" s="19">
        <v>4.0</v>
      </c>
      <c r="J70" s="19">
        <v>14.0</v>
      </c>
      <c r="K70" s="19">
        <v>12.0</v>
      </c>
      <c r="L70" s="19">
        <v>14.0</v>
      </c>
      <c r="M70" s="19">
        <v>35.0</v>
      </c>
      <c r="N70" s="19">
        <v>7.0</v>
      </c>
      <c r="O70" s="19">
        <v>1.0</v>
      </c>
      <c r="P70" s="19">
        <v>10.0</v>
      </c>
      <c r="Q70" s="19">
        <v>8.0</v>
      </c>
      <c r="R70" s="19">
        <v>3.0</v>
      </c>
      <c r="S70" s="19">
        <v>4.0</v>
      </c>
      <c r="T70" s="13">
        <f t="shared" si="18"/>
        <v>135</v>
      </c>
    </row>
    <row r="71" ht="12.75" customHeight="1">
      <c r="A71" s="18"/>
      <c r="B71" s="57">
        <v>2.0</v>
      </c>
      <c r="C71" s="52" t="s">
        <v>58</v>
      </c>
      <c r="D71" s="60"/>
      <c r="E71" s="19">
        <v>4.0</v>
      </c>
      <c r="F71" s="19">
        <v>3.0</v>
      </c>
      <c r="G71" s="19">
        <v>7.0</v>
      </c>
      <c r="H71" s="19">
        <v>2.0</v>
      </c>
      <c r="I71" s="19">
        <v>1.0</v>
      </c>
      <c r="J71" s="19">
        <v>1.0</v>
      </c>
      <c r="K71" s="19">
        <v>4.0</v>
      </c>
      <c r="L71" s="19">
        <v>2.0</v>
      </c>
      <c r="M71" s="19">
        <v>3.0</v>
      </c>
      <c r="N71" s="19">
        <v>1.0</v>
      </c>
      <c r="O71" s="19">
        <v>0.0</v>
      </c>
      <c r="P71" s="19">
        <v>3.0</v>
      </c>
      <c r="Q71" s="19">
        <v>10.0</v>
      </c>
      <c r="R71" s="19">
        <v>2.0</v>
      </c>
      <c r="S71" s="19">
        <v>13.0</v>
      </c>
      <c r="T71" s="13">
        <f t="shared" si="18"/>
        <v>56</v>
      </c>
    </row>
    <row r="72" ht="12.75" customHeight="1">
      <c r="A72" s="18"/>
      <c r="B72" s="57">
        <v>3.0</v>
      </c>
      <c r="C72" s="52" t="s">
        <v>59</v>
      </c>
      <c r="D72" s="60"/>
      <c r="E72" s="19">
        <v>1.0</v>
      </c>
      <c r="F72" s="19">
        <v>0.0</v>
      </c>
      <c r="G72" s="19">
        <v>1.0</v>
      </c>
      <c r="H72" s="19">
        <v>2.0</v>
      </c>
      <c r="I72" s="19">
        <v>0.0</v>
      </c>
      <c r="J72" s="19">
        <v>4.0</v>
      </c>
      <c r="K72" s="19">
        <v>3.0</v>
      </c>
      <c r="L72" s="19">
        <v>0.0</v>
      </c>
      <c r="M72" s="19">
        <v>0.0</v>
      </c>
      <c r="N72" s="19">
        <v>2.0</v>
      </c>
      <c r="O72" s="19">
        <v>1.0</v>
      </c>
      <c r="P72" s="19">
        <v>2.0</v>
      </c>
      <c r="Q72" s="19">
        <v>1.0</v>
      </c>
      <c r="R72" s="19">
        <v>2.0</v>
      </c>
      <c r="S72" s="19">
        <v>8.0</v>
      </c>
      <c r="T72" s="13">
        <f t="shared" si="18"/>
        <v>27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2.0</v>
      </c>
      <c r="G73" s="19">
        <v>2.0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9">
        <v>3.0</v>
      </c>
      <c r="T73" s="13">
        <f t="shared" si="18"/>
        <v>8</v>
      </c>
    </row>
    <row r="74" ht="12.75" customHeight="1">
      <c r="A74" s="18"/>
      <c r="B74" s="57">
        <v>5.0</v>
      </c>
      <c r="C74" s="52" t="s">
        <v>61</v>
      </c>
      <c r="D74" s="60"/>
      <c r="E74" s="19">
        <v>3.0</v>
      </c>
      <c r="F74" s="19">
        <v>3.0</v>
      </c>
      <c r="G74" s="19">
        <v>2.0</v>
      </c>
      <c r="H74" s="19">
        <v>8.0</v>
      </c>
      <c r="I74" s="19">
        <v>8.0</v>
      </c>
      <c r="J74" s="19">
        <v>3.0</v>
      </c>
      <c r="K74" s="19">
        <v>10.0</v>
      </c>
      <c r="L74" s="19">
        <v>6.0</v>
      </c>
      <c r="M74" s="19">
        <v>10.0</v>
      </c>
      <c r="N74" s="19">
        <v>10.0</v>
      </c>
      <c r="O74" s="19">
        <v>2.0</v>
      </c>
      <c r="P74" s="19">
        <v>1.0</v>
      </c>
      <c r="Q74" s="19">
        <v>2.0</v>
      </c>
      <c r="R74" s="19">
        <v>4.0</v>
      </c>
      <c r="S74" s="19">
        <v>7.0</v>
      </c>
      <c r="T74" s="13">
        <f t="shared" si="18"/>
        <v>79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1.0</v>
      </c>
      <c r="T75" s="13">
        <f t="shared" si="18"/>
        <v>2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0.0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1.0</v>
      </c>
      <c r="T76" s="13">
        <f t="shared" si="18"/>
        <v>2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S79" si="19">SUM(E69:E76)</f>
        <v>20</v>
      </c>
      <c r="F79" s="13">
        <f t="shared" si="19"/>
        <v>24</v>
      </c>
      <c r="G79" s="13">
        <f t="shared" si="19"/>
        <v>19</v>
      </c>
      <c r="H79" s="13">
        <f t="shared" si="19"/>
        <v>22</v>
      </c>
      <c r="I79" s="13">
        <f t="shared" si="19"/>
        <v>18</v>
      </c>
      <c r="J79" s="13">
        <f t="shared" si="19"/>
        <v>23</v>
      </c>
      <c r="K79" s="13">
        <f t="shared" si="19"/>
        <v>39</v>
      </c>
      <c r="L79" s="13">
        <f t="shared" si="19"/>
        <v>32</v>
      </c>
      <c r="M79" s="13">
        <f t="shared" si="19"/>
        <v>58</v>
      </c>
      <c r="N79" s="13">
        <f t="shared" si="19"/>
        <v>28</v>
      </c>
      <c r="O79" s="13">
        <f t="shared" si="19"/>
        <v>8</v>
      </c>
      <c r="P79" s="13">
        <f t="shared" si="19"/>
        <v>19</v>
      </c>
      <c r="Q79" s="13">
        <f t="shared" si="19"/>
        <v>27</v>
      </c>
      <c r="R79" s="13">
        <f t="shared" si="19"/>
        <v>14</v>
      </c>
      <c r="S79" s="13">
        <f t="shared" si="19"/>
        <v>44</v>
      </c>
      <c r="T79" s="13">
        <f t="shared" si="18"/>
        <v>395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10.0</v>
      </c>
      <c r="F81" s="19">
        <v>3.0</v>
      </c>
      <c r="G81" s="19">
        <v>4.0</v>
      </c>
      <c r="H81" s="19">
        <v>4.0</v>
      </c>
      <c r="I81" s="19">
        <v>1.0</v>
      </c>
      <c r="J81" s="19">
        <v>3.0</v>
      </c>
      <c r="K81" s="19">
        <v>4.0</v>
      </c>
      <c r="L81" s="19">
        <v>2.0</v>
      </c>
      <c r="M81" s="19">
        <v>7.0</v>
      </c>
      <c r="N81" s="19">
        <v>5.0</v>
      </c>
      <c r="O81" s="19">
        <v>3.0</v>
      </c>
      <c r="P81" s="19">
        <v>0.0</v>
      </c>
      <c r="Q81" s="19">
        <v>2.0</v>
      </c>
      <c r="R81" s="19">
        <v>3.0</v>
      </c>
      <c r="S81" s="19">
        <v>1.0</v>
      </c>
      <c r="T81" s="13">
        <f t="shared" ref="T81:T91" si="20">SUM(E81:S81)</f>
        <v>52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29.0</v>
      </c>
      <c r="F82" s="19">
        <v>19.0</v>
      </c>
      <c r="G82" s="19">
        <v>7.0</v>
      </c>
      <c r="H82" s="19">
        <v>6.0</v>
      </c>
      <c r="I82" s="19">
        <v>9.0</v>
      </c>
      <c r="J82" s="19">
        <v>7.0</v>
      </c>
      <c r="K82" s="19">
        <v>9.0</v>
      </c>
      <c r="L82" s="19">
        <v>9.0</v>
      </c>
      <c r="M82" s="19">
        <v>5.0</v>
      </c>
      <c r="N82" s="19">
        <v>7.0</v>
      </c>
      <c r="O82" s="19">
        <v>2.0</v>
      </c>
      <c r="P82" s="19">
        <v>1.0</v>
      </c>
      <c r="Q82" s="19">
        <v>8.0</v>
      </c>
      <c r="R82" s="19">
        <v>7.0</v>
      </c>
      <c r="S82" s="19">
        <v>8.0</v>
      </c>
      <c r="T82" s="13">
        <f t="shared" si="20"/>
        <v>133</v>
      </c>
    </row>
    <row r="83" ht="12.75" customHeight="1">
      <c r="A83" s="18"/>
      <c r="B83" s="57">
        <v>2.0</v>
      </c>
      <c r="C83" s="52" t="s">
        <v>66</v>
      </c>
      <c r="D83" s="60"/>
      <c r="E83" s="19">
        <v>3.0</v>
      </c>
      <c r="F83" s="19">
        <v>2.0</v>
      </c>
      <c r="G83" s="19">
        <v>2.0</v>
      </c>
      <c r="H83" s="19">
        <v>1.0</v>
      </c>
      <c r="I83" s="19">
        <v>2.0</v>
      </c>
      <c r="J83" s="19">
        <v>773.0</v>
      </c>
      <c r="K83" s="19">
        <v>4.0</v>
      </c>
      <c r="L83" s="19">
        <v>2.0</v>
      </c>
      <c r="M83" s="19">
        <v>4.0</v>
      </c>
      <c r="N83" s="19">
        <v>4.0</v>
      </c>
      <c r="O83" s="19">
        <v>3.0</v>
      </c>
      <c r="P83" s="19">
        <v>0.0</v>
      </c>
      <c r="Q83" s="19">
        <v>2.0</v>
      </c>
      <c r="R83" s="19">
        <v>2.0</v>
      </c>
      <c r="S83" s="19">
        <v>1.0</v>
      </c>
      <c r="T83" s="13">
        <f t="shared" si="20"/>
        <v>805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1.0</v>
      </c>
      <c r="G84" s="19">
        <v>0.0</v>
      </c>
      <c r="H84" s="19">
        <v>1.0</v>
      </c>
      <c r="I84" s="19">
        <v>0.0</v>
      </c>
      <c r="J84" s="19">
        <v>0.0</v>
      </c>
      <c r="K84" s="19">
        <v>2.0</v>
      </c>
      <c r="L84" s="19">
        <v>0.0</v>
      </c>
      <c r="M84" s="19">
        <v>1.0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2.0</v>
      </c>
      <c r="T84" s="13">
        <f t="shared" si="20"/>
        <v>8</v>
      </c>
    </row>
    <row r="85" ht="12.75" customHeight="1">
      <c r="A85" s="18"/>
      <c r="B85" s="57">
        <v>4.0</v>
      </c>
      <c r="C85" s="52" t="s">
        <v>68</v>
      </c>
      <c r="D85" s="60"/>
      <c r="E85" s="19">
        <v>2.0</v>
      </c>
      <c r="F85" s="19">
        <v>2.0</v>
      </c>
      <c r="G85" s="19">
        <v>0.0</v>
      </c>
      <c r="H85" s="19">
        <v>2.0</v>
      </c>
      <c r="I85" s="19">
        <v>1.0</v>
      </c>
      <c r="J85" s="19">
        <v>3.0</v>
      </c>
      <c r="K85" s="19">
        <v>1.0</v>
      </c>
      <c r="L85" s="19">
        <v>0.0</v>
      </c>
      <c r="M85" s="19">
        <v>8.0</v>
      </c>
      <c r="N85" s="19">
        <v>2.0</v>
      </c>
      <c r="O85" s="19">
        <v>2.0</v>
      </c>
      <c r="P85" s="19">
        <v>0.0</v>
      </c>
      <c r="Q85" s="19">
        <v>0.0</v>
      </c>
      <c r="R85" s="19">
        <v>1.0</v>
      </c>
      <c r="S85" s="19">
        <v>2.0</v>
      </c>
      <c r="T85" s="13">
        <f t="shared" si="20"/>
        <v>26</v>
      </c>
    </row>
    <row r="86" ht="12.75" customHeight="1">
      <c r="A86" s="18"/>
      <c r="B86" s="57">
        <v>5.0</v>
      </c>
      <c r="C86" s="52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6.0</v>
      </c>
      <c r="Q86" s="19">
        <v>2.0</v>
      </c>
      <c r="R86" s="19">
        <v>2.0</v>
      </c>
      <c r="S86" s="19">
        <v>4.0</v>
      </c>
      <c r="T86" s="13">
        <f t="shared" si="20"/>
        <v>15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85.0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1.0</v>
      </c>
      <c r="Q87" s="19">
        <v>1.0</v>
      </c>
      <c r="R87" s="19">
        <v>1.0</v>
      </c>
      <c r="S87" s="19">
        <v>0.0</v>
      </c>
      <c r="T87" s="13">
        <f t="shared" si="20"/>
        <v>89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1.0</v>
      </c>
      <c r="T88" s="13">
        <f t="shared" si="20"/>
        <v>2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S91" si="21">SUM(E81:E88)</f>
        <v>44</v>
      </c>
      <c r="F91" s="13">
        <f t="shared" si="21"/>
        <v>27</v>
      </c>
      <c r="G91" s="13">
        <f t="shared" si="21"/>
        <v>13</v>
      </c>
      <c r="H91" s="13">
        <f t="shared" si="21"/>
        <v>14</v>
      </c>
      <c r="I91" s="13">
        <f t="shared" si="21"/>
        <v>13</v>
      </c>
      <c r="J91" s="13">
        <f t="shared" si="21"/>
        <v>871</v>
      </c>
      <c r="K91" s="13">
        <f t="shared" si="21"/>
        <v>20</v>
      </c>
      <c r="L91" s="13">
        <f t="shared" si="21"/>
        <v>13</v>
      </c>
      <c r="M91" s="13">
        <f t="shared" si="21"/>
        <v>25</v>
      </c>
      <c r="N91" s="13">
        <f t="shared" si="21"/>
        <v>18</v>
      </c>
      <c r="O91" s="13">
        <f t="shared" si="21"/>
        <v>14</v>
      </c>
      <c r="P91" s="13">
        <f t="shared" si="21"/>
        <v>8</v>
      </c>
      <c r="Q91" s="13">
        <f t="shared" si="21"/>
        <v>15</v>
      </c>
      <c r="R91" s="13">
        <f t="shared" si="21"/>
        <v>16</v>
      </c>
      <c r="S91" s="13">
        <f t="shared" si="21"/>
        <v>19</v>
      </c>
      <c r="T91" s="13">
        <f t="shared" si="20"/>
        <v>1130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1.0</v>
      </c>
      <c r="F93" s="19">
        <v>3.0</v>
      </c>
      <c r="G93" s="19">
        <v>5.0</v>
      </c>
      <c r="H93" s="19">
        <v>0.0</v>
      </c>
      <c r="I93" s="19">
        <v>1.0</v>
      </c>
      <c r="J93" s="19">
        <v>0.0</v>
      </c>
      <c r="K93" s="19">
        <v>7.0</v>
      </c>
      <c r="L93" s="19">
        <v>12.0</v>
      </c>
      <c r="M93" s="19">
        <v>1.0</v>
      </c>
      <c r="N93" s="19">
        <v>3.0</v>
      </c>
      <c r="O93" s="19">
        <v>11.0</v>
      </c>
      <c r="P93" s="19">
        <v>3.0</v>
      </c>
      <c r="Q93" s="19">
        <v>5.0</v>
      </c>
      <c r="R93" s="19">
        <v>8.0</v>
      </c>
      <c r="S93" s="19">
        <v>6.0</v>
      </c>
      <c r="T93" s="13">
        <f t="shared" ref="T93:T103" si="22">SUM(E93:S93)</f>
        <v>66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1.0</v>
      </c>
      <c r="F94" s="19">
        <v>0.0</v>
      </c>
      <c r="G94" s="19">
        <v>0.0</v>
      </c>
      <c r="H94" s="19">
        <v>0.0</v>
      </c>
      <c r="I94" s="19">
        <v>1.0</v>
      </c>
      <c r="J94" s="19">
        <v>1.0</v>
      </c>
      <c r="K94" s="19">
        <v>2.0</v>
      </c>
      <c r="L94" s="19">
        <v>2.0</v>
      </c>
      <c r="M94" s="19">
        <v>0.0</v>
      </c>
      <c r="N94" s="19">
        <v>0.0</v>
      </c>
      <c r="O94" s="19">
        <v>14.0</v>
      </c>
      <c r="P94" s="19">
        <v>12.0</v>
      </c>
      <c r="Q94" s="19">
        <v>3.0</v>
      </c>
      <c r="R94" s="19">
        <v>11.0</v>
      </c>
      <c r="S94" s="19">
        <v>13.0</v>
      </c>
      <c r="T94" s="13">
        <f t="shared" si="22"/>
        <v>60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9.0</v>
      </c>
      <c r="M95" s="19">
        <v>0.0</v>
      </c>
      <c r="N95" s="19">
        <v>0.0</v>
      </c>
      <c r="O95" s="19">
        <v>7.0</v>
      </c>
      <c r="P95" s="19">
        <v>12.0</v>
      </c>
      <c r="Q95" s="19">
        <v>2.0</v>
      </c>
      <c r="R95" s="19">
        <v>27.0</v>
      </c>
      <c r="S95" s="19">
        <v>16.0</v>
      </c>
      <c r="T95" s="13">
        <f t="shared" si="22"/>
        <v>73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1.0</v>
      </c>
      <c r="P96" s="19">
        <v>1.0</v>
      </c>
      <c r="Q96" s="19">
        <v>1.0</v>
      </c>
      <c r="R96" s="19">
        <v>1.0</v>
      </c>
      <c r="S96" s="19">
        <v>0.0</v>
      </c>
      <c r="T96" s="13">
        <f t="shared" si="22"/>
        <v>5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3.0</v>
      </c>
      <c r="G97" s="19">
        <v>1.0</v>
      </c>
      <c r="H97" s="19">
        <v>0.0</v>
      </c>
      <c r="I97" s="19">
        <v>1.0</v>
      </c>
      <c r="J97" s="19">
        <v>2.0</v>
      </c>
      <c r="K97" s="19">
        <v>1.0</v>
      </c>
      <c r="L97" s="19">
        <v>3.0</v>
      </c>
      <c r="M97" s="19">
        <v>0.0</v>
      </c>
      <c r="N97" s="19">
        <v>0.0</v>
      </c>
      <c r="O97" s="19">
        <v>5.0</v>
      </c>
      <c r="P97" s="19">
        <v>5.0</v>
      </c>
      <c r="Q97" s="19">
        <v>2.0</v>
      </c>
      <c r="R97" s="19">
        <v>1.0</v>
      </c>
      <c r="S97" s="19">
        <v>5.0</v>
      </c>
      <c r="T97" s="13">
        <f t="shared" si="22"/>
        <v>29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4.0</v>
      </c>
      <c r="L98" s="19">
        <v>1.0</v>
      </c>
      <c r="M98" s="19">
        <v>0.0</v>
      </c>
      <c r="N98" s="19">
        <v>0.0</v>
      </c>
      <c r="O98" s="19">
        <v>3.0</v>
      </c>
      <c r="P98" s="19">
        <v>1.0</v>
      </c>
      <c r="Q98" s="19">
        <v>0.0</v>
      </c>
      <c r="R98" s="19">
        <v>0.0</v>
      </c>
      <c r="S98" s="19">
        <v>4.0</v>
      </c>
      <c r="T98" s="13">
        <f t="shared" si="22"/>
        <v>13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3">
        <f t="shared" si="22"/>
        <v>1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S103" si="23">SUM(E93:E100)</f>
        <v>2</v>
      </c>
      <c r="F103" s="13">
        <f t="shared" si="23"/>
        <v>6</v>
      </c>
      <c r="G103" s="13">
        <f t="shared" si="23"/>
        <v>6</v>
      </c>
      <c r="H103" s="13">
        <f t="shared" si="23"/>
        <v>0</v>
      </c>
      <c r="I103" s="13">
        <f t="shared" si="23"/>
        <v>3</v>
      </c>
      <c r="J103" s="13">
        <f t="shared" si="23"/>
        <v>3</v>
      </c>
      <c r="K103" s="13">
        <f t="shared" si="23"/>
        <v>14</v>
      </c>
      <c r="L103" s="13">
        <f t="shared" si="23"/>
        <v>28</v>
      </c>
      <c r="M103" s="13">
        <f t="shared" si="23"/>
        <v>1</v>
      </c>
      <c r="N103" s="13">
        <f t="shared" si="23"/>
        <v>3</v>
      </c>
      <c r="O103" s="13">
        <f t="shared" si="23"/>
        <v>41</v>
      </c>
      <c r="P103" s="13">
        <f t="shared" si="23"/>
        <v>34</v>
      </c>
      <c r="Q103" s="13">
        <f t="shared" si="23"/>
        <v>13</v>
      </c>
      <c r="R103" s="13">
        <f t="shared" si="23"/>
        <v>49</v>
      </c>
      <c r="S103" s="13">
        <f t="shared" si="23"/>
        <v>44</v>
      </c>
      <c r="T103" s="13">
        <f t="shared" si="22"/>
        <v>247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2.0</v>
      </c>
      <c r="F105" s="19">
        <v>0.0</v>
      </c>
      <c r="G105" s="19">
        <v>2.0</v>
      </c>
      <c r="H105" s="19">
        <v>0.0</v>
      </c>
      <c r="I105" s="19">
        <v>2.0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2.0</v>
      </c>
      <c r="T105" s="13">
        <f t="shared" ref="T105:T115" si="24">SUM(E105:S105)</f>
        <v>10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1.0</v>
      </c>
      <c r="O106" s="19">
        <v>0.0</v>
      </c>
      <c r="P106" s="19">
        <v>1.0</v>
      </c>
      <c r="Q106" s="19">
        <v>0.0</v>
      </c>
      <c r="R106" s="19">
        <v>0.0</v>
      </c>
      <c r="S106" s="19">
        <v>2.0</v>
      </c>
      <c r="T106" s="13">
        <f t="shared" si="24"/>
        <v>5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0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1.0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1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1.0</v>
      </c>
      <c r="S111" s="19">
        <v>0.0</v>
      </c>
      <c r="T111" s="13">
        <f t="shared" si="24"/>
        <v>1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S115" si="25">SUM(E105:E112)</f>
        <v>2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2</v>
      </c>
      <c r="P115" s="13">
        <f t="shared" si="25"/>
        <v>1</v>
      </c>
      <c r="Q115" s="13">
        <f t="shared" si="25"/>
        <v>0</v>
      </c>
      <c r="R115" s="13">
        <f t="shared" si="25"/>
        <v>2</v>
      </c>
      <c r="S115" s="13">
        <f t="shared" si="25"/>
        <v>4</v>
      </c>
      <c r="T115" s="13">
        <f t="shared" si="24"/>
        <v>18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2.0</v>
      </c>
      <c r="F117" s="19">
        <v>3.0</v>
      </c>
      <c r="G117" s="19">
        <v>2.0</v>
      </c>
      <c r="H117" s="19">
        <v>1.0</v>
      </c>
      <c r="I117" s="19">
        <v>1.0</v>
      </c>
      <c r="J117" s="19">
        <v>3.0</v>
      </c>
      <c r="K117" s="19">
        <v>1.0</v>
      </c>
      <c r="L117" s="19">
        <v>3.0</v>
      </c>
      <c r="M117" s="19">
        <v>1.0</v>
      </c>
      <c r="N117" s="19">
        <v>2.0</v>
      </c>
      <c r="O117" s="19">
        <v>1.0</v>
      </c>
      <c r="P117" s="19">
        <v>1.0</v>
      </c>
      <c r="Q117" s="19">
        <v>4.0</v>
      </c>
      <c r="R117" s="19">
        <v>1.0</v>
      </c>
      <c r="S117" s="19">
        <v>0.0</v>
      </c>
      <c r="T117" s="13">
        <f t="shared" ref="T117:T127" si="26">SUM(E117:S117)</f>
        <v>26</v>
      </c>
      <c r="U117" s="5"/>
      <c r="V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2.0</v>
      </c>
      <c r="F118" s="19">
        <v>0.0</v>
      </c>
      <c r="G118" s="19">
        <v>0.0</v>
      </c>
      <c r="H118" s="19">
        <v>2.0</v>
      </c>
      <c r="I118" s="19">
        <v>1.0</v>
      </c>
      <c r="J118" s="19">
        <v>1.0</v>
      </c>
      <c r="K118" s="19">
        <v>0.0</v>
      </c>
      <c r="L118" s="19">
        <v>2.0</v>
      </c>
      <c r="M118" s="19">
        <v>0.0</v>
      </c>
      <c r="N118" s="19">
        <v>1.0</v>
      </c>
      <c r="O118" s="19">
        <v>0.0</v>
      </c>
      <c r="P118" s="19">
        <v>2.0</v>
      </c>
      <c r="Q118" s="19">
        <v>3.0</v>
      </c>
      <c r="R118" s="19">
        <v>1.0</v>
      </c>
      <c r="S118" s="19">
        <v>2.0</v>
      </c>
      <c r="T118" s="13">
        <f t="shared" si="26"/>
        <v>17</v>
      </c>
      <c r="U118" s="5"/>
      <c r="V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3.0</v>
      </c>
      <c r="R119" s="19">
        <v>1.0</v>
      </c>
      <c r="S119" s="19">
        <v>1.0</v>
      </c>
      <c r="T119" s="13">
        <f t="shared" si="26"/>
        <v>6</v>
      </c>
      <c r="U119" s="5"/>
      <c r="V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0</v>
      </c>
      <c r="U120" s="5"/>
      <c r="V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  <c r="U121" s="5"/>
      <c r="V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  <c r="U122" s="5"/>
      <c r="V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13">
        <f t="shared" si="26"/>
        <v>0</v>
      </c>
      <c r="U123" s="5"/>
      <c r="V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13">
        <f t="shared" si="26"/>
        <v>0</v>
      </c>
      <c r="U124" s="5"/>
      <c r="V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13">
        <f t="shared" si="26"/>
        <v>0</v>
      </c>
      <c r="U125" s="5"/>
      <c r="V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13">
        <f t="shared" si="26"/>
        <v>0</v>
      </c>
      <c r="U126" s="5"/>
      <c r="V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S127" si="27">SUM(E117:E120)</f>
        <v>4</v>
      </c>
      <c r="F127" s="61">
        <f t="shared" si="27"/>
        <v>3</v>
      </c>
      <c r="G127" s="61">
        <f t="shared" si="27"/>
        <v>2</v>
      </c>
      <c r="H127" s="61">
        <f t="shared" si="27"/>
        <v>3</v>
      </c>
      <c r="I127" s="61">
        <f t="shared" si="27"/>
        <v>2</v>
      </c>
      <c r="J127" s="61">
        <f t="shared" si="27"/>
        <v>4</v>
      </c>
      <c r="K127" s="61">
        <f t="shared" si="27"/>
        <v>1</v>
      </c>
      <c r="L127" s="61">
        <f t="shared" si="27"/>
        <v>5</v>
      </c>
      <c r="M127" s="61">
        <f t="shared" si="27"/>
        <v>1</v>
      </c>
      <c r="N127" s="61">
        <f t="shared" si="27"/>
        <v>3</v>
      </c>
      <c r="O127" s="61">
        <f t="shared" si="27"/>
        <v>2</v>
      </c>
      <c r="P127" s="61">
        <f t="shared" si="27"/>
        <v>3</v>
      </c>
      <c r="Q127" s="61">
        <f t="shared" si="27"/>
        <v>10</v>
      </c>
      <c r="R127" s="61">
        <f t="shared" si="27"/>
        <v>3</v>
      </c>
      <c r="S127" s="61">
        <f t="shared" si="27"/>
        <v>3</v>
      </c>
      <c r="T127" s="13">
        <f t="shared" si="26"/>
        <v>49</v>
      </c>
      <c r="U127" s="5"/>
      <c r="V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5"/>
      <c r="V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1.0</v>
      </c>
      <c r="G129" s="19">
        <v>1.0</v>
      </c>
      <c r="H129" s="19">
        <v>2.0</v>
      </c>
      <c r="I129" s="19">
        <v>2.0</v>
      </c>
      <c r="J129" s="19">
        <v>5.0</v>
      </c>
      <c r="K129" s="19">
        <v>0.0</v>
      </c>
      <c r="L129" s="19">
        <v>1.0</v>
      </c>
      <c r="M129" s="19">
        <v>5.0</v>
      </c>
      <c r="N129" s="19">
        <v>0.0</v>
      </c>
      <c r="O129" s="19">
        <v>1.0</v>
      </c>
      <c r="P129" s="19">
        <v>1.0</v>
      </c>
      <c r="Q129" s="19">
        <v>0.0</v>
      </c>
      <c r="R129" s="19">
        <v>0.0</v>
      </c>
      <c r="S129" s="19">
        <v>0.0</v>
      </c>
      <c r="T129" s="13">
        <f t="shared" ref="T129:T139" si="28">SUM(E129:S129)</f>
        <v>19</v>
      </c>
      <c r="U129" s="5"/>
      <c r="V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1.0</v>
      </c>
      <c r="F130" s="19">
        <v>4.0</v>
      </c>
      <c r="G130" s="19">
        <v>2.0</v>
      </c>
      <c r="H130" s="19">
        <v>2.0</v>
      </c>
      <c r="I130" s="19">
        <v>0.0</v>
      </c>
      <c r="J130" s="19">
        <v>2.0</v>
      </c>
      <c r="K130" s="19">
        <v>2.0</v>
      </c>
      <c r="L130" s="19">
        <v>0.0</v>
      </c>
      <c r="M130" s="19">
        <v>7.0</v>
      </c>
      <c r="N130" s="19">
        <v>7.0</v>
      </c>
      <c r="O130" s="19">
        <v>0.0</v>
      </c>
      <c r="P130" s="19">
        <v>0.0</v>
      </c>
      <c r="Q130" s="19">
        <v>0.0</v>
      </c>
      <c r="R130" s="19">
        <v>1.0</v>
      </c>
      <c r="S130" s="19">
        <v>1.0</v>
      </c>
      <c r="T130" s="13">
        <f t="shared" si="28"/>
        <v>29</v>
      </c>
      <c r="U130" s="1"/>
      <c r="V130" s="1"/>
    </row>
    <row r="131" ht="12.75" customHeight="1">
      <c r="A131" s="18"/>
      <c r="B131" s="57">
        <v>2.0</v>
      </c>
      <c r="C131" s="52" t="s">
        <v>98</v>
      </c>
      <c r="D131" s="58"/>
      <c r="E131" s="19">
        <v>3.0</v>
      </c>
      <c r="F131" s="19">
        <v>5.0</v>
      </c>
      <c r="G131" s="19">
        <v>1.0</v>
      </c>
      <c r="H131" s="19">
        <v>9.0</v>
      </c>
      <c r="I131" s="19">
        <v>3.0</v>
      </c>
      <c r="J131" s="19">
        <v>3.0</v>
      </c>
      <c r="K131" s="19">
        <v>2.0</v>
      </c>
      <c r="L131" s="19">
        <v>4.0</v>
      </c>
      <c r="M131" s="19">
        <v>1.0</v>
      </c>
      <c r="N131" s="19">
        <v>4.0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3">
        <f t="shared" si="28"/>
        <v>35</v>
      </c>
      <c r="U131" s="54"/>
      <c r="V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3">
        <f t="shared" si="28"/>
        <v>0</v>
      </c>
      <c r="U132" s="5"/>
      <c r="V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0</v>
      </c>
      <c r="U133" s="5"/>
      <c r="V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1</v>
      </c>
      <c r="U134" s="5"/>
      <c r="V134" s="5"/>
    </row>
    <row r="135" ht="12.75" customHeight="1">
      <c r="A135" s="18"/>
      <c r="B135" s="57">
        <v>6.0</v>
      </c>
      <c r="C135" s="52" t="s">
        <v>102</v>
      </c>
      <c r="D135" s="60"/>
      <c r="E135" s="19">
        <v>1.0</v>
      </c>
      <c r="F135" s="19">
        <v>0.0</v>
      </c>
      <c r="G135" s="19">
        <v>1.0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2</v>
      </c>
      <c r="U135" s="5"/>
      <c r="V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  <c r="U136" s="5"/>
      <c r="V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  <c r="U137" s="5"/>
      <c r="V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  <c r="U138" s="5"/>
      <c r="V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S139" si="29">SUM(E129:E136)</f>
        <v>5</v>
      </c>
      <c r="F139" s="13">
        <f t="shared" si="29"/>
        <v>10</v>
      </c>
      <c r="G139" s="13">
        <f t="shared" si="29"/>
        <v>6</v>
      </c>
      <c r="H139" s="13">
        <f t="shared" si="29"/>
        <v>13</v>
      </c>
      <c r="I139" s="13">
        <f t="shared" si="29"/>
        <v>5</v>
      </c>
      <c r="J139" s="13">
        <f t="shared" si="29"/>
        <v>10</v>
      </c>
      <c r="K139" s="13">
        <f t="shared" si="29"/>
        <v>4</v>
      </c>
      <c r="L139" s="13">
        <f t="shared" si="29"/>
        <v>5</v>
      </c>
      <c r="M139" s="13">
        <f t="shared" si="29"/>
        <v>13</v>
      </c>
      <c r="N139" s="13">
        <f t="shared" si="29"/>
        <v>11</v>
      </c>
      <c r="O139" s="13">
        <f t="shared" si="29"/>
        <v>1</v>
      </c>
      <c r="P139" s="13">
        <f t="shared" si="29"/>
        <v>1</v>
      </c>
      <c r="Q139" s="13">
        <f t="shared" si="29"/>
        <v>0</v>
      </c>
      <c r="R139" s="13">
        <f t="shared" si="29"/>
        <v>1</v>
      </c>
      <c r="S139" s="13">
        <f t="shared" si="29"/>
        <v>1</v>
      </c>
      <c r="T139" s="13">
        <f t="shared" si="28"/>
        <v>86</v>
      </c>
      <c r="U139" s="5"/>
      <c r="V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5"/>
      <c r="V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1.0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1.0</v>
      </c>
      <c r="N141" s="19">
        <v>0.0</v>
      </c>
      <c r="O141" s="19">
        <v>1.0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51" si="30">SUM(E141:S141)</f>
        <v>5</v>
      </c>
      <c r="U141" s="1"/>
      <c r="V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1.0</v>
      </c>
      <c r="Q142" s="19">
        <v>0.0</v>
      </c>
      <c r="R142" s="19">
        <v>0.0</v>
      </c>
      <c r="S142" s="19">
        <v>0.0</v>
      </c>
      <c r="T142" s="13">
        <f t="shared" si="30"/>
        <v>1</v>
      </c>
      <c r="U142" s="54"/>
      <c r="V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  <c r="U143" s="5"/>
      <c r="V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  <c r="U145" s="5"/>
      <c r="V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  <c r="U146" s="5"/>
      <c r="V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1.0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1</v>
      </c>
      <c r="U147" s="5"/>
      <c r="V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  <c r="U149" s="5"/>
      <c r="V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  <c r="U150" s="5"/>
      <c r="V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S151" si="31">SUM(E141:E148)</f>
        <v>1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1</v>
      </c>
      <c r="N151" s="13">
        <f t="shared" si="31"/>
        <v>1</v>
      </c>
      <c r="O151" s="13">
        <f t="shared" si="31"/>
        <v>1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0"/>
        <v>7</v>
      </c>
      <c r="U151" s="1"/>
      <c r="V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13"/>
      <c r="U152" s="54"/>
      <c r="V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2.0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3.0</v>
      </c>
      <c r="P153" s="19">
        <v>1.0</v>
      </c>
      <c r="Q153" s="19">
        <v>4.0</v>
      </c>
      <c r="R153" s="19">
        <v>0.0</v>
      </c>
      <c r="S153" s="19">
        <v>3.0</v>
      </c>
      <c r="T153" s="13">
        <f t="shared" ref="T153:T162" si="32">SUM(E153:S153)</f>
        <v>13</v>
      </c>
      <c r="U153" s="5"/>
      <c r="V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6.0</v>
      </c>
      <c r="P154" s="19">
        <v>2.0</v>
      </c>
      <c r="Q154" s="19">
        <v>2.0</v>
      </c>
      <c r="R154" s="19">
        <v>6.0</v>
      </c>
      <c r="S154" s="19">
        <v>3.0</v>
      </c>
      <c r="T154" s="13">
        <f t="shared" si="32"/>
        <v>19</v>
      </c>
      <c r="U154" s="5"/>
      <c r="V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3.0</v>
      </c>
      <c r="S155" s="19">
        <v>2.0</v>
      </c>
      <c r="T155" s="13">
        <f t="shared" si="32"/>
        <v>6</v>
      </c>
      <c r="U155" s="5"/>
      <c r="V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1.0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1</v>
      </c>
      <c r="U156" s="5"/>
      <c r="V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1.0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1.0</v>
      </c>
      <c r="P157" s="19">
        <v>0.0</v>
      </c>
      <c r="Q157" s="19">
        <v>0.0</v>
      </c>
      <c r="R157" s="19">
        <v>1.0</v>
      </c>
      <c r="S157" s="19">
        <v>0.0</v>
      </c>
      <c r="T157" s="13">
        <f t="shared" si="32"/>
        <v>3</v>
      </c>
      <c r="U157" s="5"/>
      <c r="V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2"/>
        <v>0</v>
      </c>
      <c r="U158" s="5"/>
      <c r="V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2"/>
        <v>0</v>
      </c>
      <c r="U159" s="5"/>
      <c r="V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2"/>
        <v>0</v>
      </c>
      <c r="U160" s="5"/>
      <c r="V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  <c r="U161" s="5"/>
      <c r="V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  <c r="U162" s="5"/>
      <c r="V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S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2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11</v>
      </c>
      <c r="P163" s="13">
        <f t="shared" si="33"/>
        <v>3</v>
      </c>
      <c r="Q163" s="13">
        <f t="shared" si="33"/>
        <v>7</v>
      </c>
      <c r="R163" s="13">
        <f t="shared" si="33"/>
        <v>10</v>
      </c>
      <c r="S163" s="13">
        <f t="shared" si="33"/>
        <v>8</v>
      </c>
      <c r="T163" s="13">
        <f>SUM(E164:S164)</f>
        <v>0</v>
      </c>
      <c r="U163" s="5"/>
      <c r="V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5"/>
      <c r="V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1.0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3">
        <f t="shared" ref="T165:T175" si="34">SUM(E165:S165)</f>
        <v>4</v>
      </c>
      <c r="U165" s="1"/>
      <c r="V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4"/>
        <v>2</v>
      </c>
      <c r="U166" s="54"/>
      <c r="V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1.0</v>
      </c>
      <c r="Q167" s="19">
        <v>0.0</v>
      </c>
      <c r="R167" s="19">
        <v>1.0</v>
      </c>
      <c r="S167" s="19">
        <v>0.0</v>
      </c>
      <c r="T167" s="13">
        <f t="shared" si="34"/>
        <v>2</v>
      </c>
      <c r="U167" s="5"/>
      <c r="V167" s="5"/>
    </row>
    <row r="168" ht="12.75" customHeight="1">
      <c r="A168" s="18"/>
      <c r="B168" s="57">
        <v>3.0</v>
      </c>
      <c r="C168" s="52" t="s">
        <v>123</v>
      </c>
      <c r="D168" s="60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1</v>
      </c>
      <c r="U168" s="5"/>
      <c r="V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  <c r="U169" s="5"/>
      <c r="V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0</v>
      </c>
      <c r="U170" s="5"/>
      <c r="V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  <c r="U171" s="5"/>
      <c r="V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  <c r="U172" s="5"/>
      <c r="V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4"/>
        <v>0</v>
      </c>
      <c r="U173" s="5"/>
      <c r="V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4"/>
        <v>0</v>
      </c>
      <c r="U174" s="5"/>
      <c r="V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S175" si="35">SUM(E165:E172)</f>
        <v>1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2</v>
      </c>
      <c r="S175" s="13">
        <f t="shared" si="35"/>
        <v>0</v>
      </c>
      <c r="T175" s="13">
        <f t="shared" si="34"/>
        <v>9</v>
      </c>
      <c r="U175" s="5"/>
      <c r="V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1"/>
      <c r="V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3.0</v>
      </c>
      <c r="F177" s="19">
        <v>0.0</v>
      </c>
      <c r="G177" s="19">
        <v>2.0</v>
      </c>
      <c r="H177" s="19">
        <v>2.0</v>
      </c>
      <c r="I177" s="19">
        <v>2.0</v>
      </c>
      <c r="J177" s="19">
        <v>0.0</v>
      </c>
      <c r="K177" s="19">
        <v>1.0</v>
      </c>
      <c r="L177" s="19">
        <v>1.0</v>
      </c>
      <c r="M177" s="19">
        <v>1.0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3">
        <f t="shared" ref="T177:T187" si="36">SUM(E177:S177)</f>
        <v>12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0.0</v>
      </c>
      <c r="F178" s="19">
        <v>1.0</v>
      </c>
      <c r="G178" s="19">
        <v>0.0</v>
      </c>
      <c r="H178" s="19">
        <v>2.0</v>
      </c>
      <c r="I178" s="19">
        <v>4.0</v>
      </c>
      <c r="J178" s="19">
        <v>1.0</v>
      </c>
      <c r="K178" s="19">
        <v>0.0</v>
      </c>
      <c r="L178" s="19">
        <v>1.0</v>
      </c>
      <c r="M178" s="19">
        <v>0.0</v>
      </c>
      <c r="N178" s="19">
        <v>1.0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3">
        <f t="shared" si="36"/>
        <v>11</v>
      </c>
      <c r="U178" s="5"/>
      <c r="V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1.0</v>
      </c>
      <c r="H179" s="19">
        <v>1.0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3">
        <f t="shared" si="36"/>
        <v>3</v>
      </c>
      <c r="U179" s="5"/>
      <c r="V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3">
        <f t="shared" si="36"/>
        <v>2</v>
      </c>
      <c r="U180" s="5"/>
      <c r="V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2</v>
      </c>
      <c r="U181" s="5"/>
      <c r="V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3">
        <f t="shared" si="36"/>
        <v>1</v>
      </c>
      <c r="U182" s="5"/>
      <c r="V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0</v>
      </c>
      <c r="U183" s="5"/>
      <c r="V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1.0</v>
      </c>
      <c r="T184" s="13">
        <f t="shared" si="36"/>
        <v>3</v>
      </c>
      <c r="U184" s="5"/>
      <c r="V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6"/>
        <v>0</v>
      </c>
      <c r="U185" s="5"/>
      <c r="V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6"/>
        <v>0</v>
      </c>
      <c r="U186" s="5"/>
      <c r="V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S187" si="37">SUM(E177:E184)</f>
        <v>3</v>
      </c>
      <c r="F187" s="13">
        <f t="shared" si="37"/>
        <v>1</v>
      </c>
      <c r="G187" s="13">
        <f t="shared" si="37"/>
        <v>3</v>
      </c>
      <c r="H187" s="13">
        <f t="shared" si="37"/>
        <v>6</v>
      </c>
      <c r="I187" s="13">
        <f t="shared" si="37"/>
        <v>8</v>
      </c>
      <c r="J187" s="13">
        <f t="shared" si="37"/>
        <v>1</v>
      </c>
      <c r="K187" s="13">
        <f t="shared" si="37"/>
        <v>1</v>
      </c>
      <c r="L187" s="13">
        <f t="shared" si="37"/>
        <v>3</v>
      </c>
      <c r="M187" s="13">
        <f t="shared" si="37"/>
        <v>1</v>
      </c>
      <c r="N187" s="13">
        <f t="shared" si="37"/>
        <v>1</v>
      </c>
      <c r="O187" s="13">
        <f t="shared" si="37"/>
        <v>1</v>
      </c>
      <c r="P187" s="13">
        <f t="shared" si="37"/>
        <v>0</v>
      </c>
      <c r="Q187" s="13">
        <f t="shared" si="37"/>
        <v>1</v>
      </c>
      <c r="R187" s="13">
        <f t="shared" si="37"/>
        <v>2</v>
      </c>
      <c r="S187" s="13">
        <f t="shared" si="37"/>
        <v>2</v>
      </c>
      <c r="T187" s="13">
        <f t="shared" si="36"/>
        <v>34</v>
      </c>
      <c r="U187" s="1"/>
      <c r="V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9" si="38">SUM(E189:S189)</f>
        <v>1</v>
      </c>
      <c r="U189" s="5"/>
      <c r="V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3">
        <f t="shared" si="38"/>
        <v>1</v>
      </c>
      <c r="U190" s="5"/>
      <c r="V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0</v>
      </c>
      <c r="U191" s="5"/>
      <c r="V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0</v>
      </c>
      <c r="U192" s="5"/>
      <c r="V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1.0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1</v>
      </c>
      <c r="U193" s="5"/>
      <c r="V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7">
        <v>6.0</v>
      </c>
      <c r="C195" s="52" t="s">
        <v>144</v>
      </c>
      <c r="D195" s="60"/>
      <c r="E195" s="19">
        <v>4.0</v>
      </c>
      <c r="F195" s="19">
        <v>0.0</v>
      </c>
      <c r="G195" s="19">
        <v>0.0</v>
      </c>
      <c r="H195" s="19">
        <v>0.0</v>
      </c>
      <c r="I195" s="19">
        <v>1.0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5</v>
      </c>
      <c r="U195" s="5"/>
      <c r="V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8"/>
        <v>0</v>
      </c>
      <c r="U197" s="1"/>
      <c r="V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8"/>
        <v>0</v>
      </c>
      <c r="U198" s="1"/>
      <c r="V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S199" si="39">SUM(E189:E196)</f>
        <v>4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8"/>
        <v>8</v>
      </c>
      <c r="U199" s="54"/>
      <c r="V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5"/>
      <c r="V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1.0</v>
      </c>
      <c r="F201" s="19">
        <v>4.0</v>
      </c>
      <c r="G201" s="19">
        <v>2.0</v>
      </c>
      <c r="H201" s="19">
        <v>2.0</v>
      </c>
      <c r="I201" s="19">
        <v>7.0</v>
      </c>
      <c r="J201" s="19">
        <v>2.0</v>
      </c>
      <c r="K201" s="19">
        <v>3.0</v>
      </c>
      <c r="L201" s="19">
        <v>3.0</v>
      </c>
      <c r="M201" s="19">
        <v>7.0</v>
      </c>
      <c r="N201" s="19">
        <v>11.0</v>
      </c>
      <c r="O201" s="19">
        <v>6.0</v>
      </c>
      <c r="P201" s="19">
        <v>2.0</v>
      </c>
      <c r="Q201" s="19">
        <v>3.0</v>
      </c>
      <c r="R201" s="19">
        <v>15.0</v>
      </c>
      <c r="S201" s="19">
        <v>4.0</v>
      </c>
      <c r="T201" s="13">
        <f t="shared" ref="T201:T211" si="40">SUM(E201:S201)</f>
        <v>72</v>
      </c>
      <c r="U201" s="5"/>
      <c r="V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2.0</v>
      </c>
      <c r="F202" s="19">
        <v>4.0</v>
      </c>
      <c r="G202" s="19">
        <v>1.0</v>
      </c>
      <c r="H202" s="19">
        <v>3.0</v>
      </c>
      <c r="I202" s="19">
        <v>6.0</v>
      </c>
      <c r="J202" s="19">
        <v>3.0</v>
      </c>
      <c r="K202" s="19">
        <v>3.0</v>
      </c>
      <c r="L202" s="19">
        <v>3.0</v>
      </c>
      <c r="M202" s="19">
        <v>3.0</v>
      </c>
      <c r="N202" s="19">
        <v>11.0</v>
      </c>
      <c r="O202" s="19">
        <v>2.0</v>
      </c>
      <c r="P202" s="19">
        <v>0.0</v>
      </c>
      <c r="Q202" s="19">
        <v>6.0</v>
      </c>
      <c r="R202" s="19">
        <v>4.0</v>
      </c>
      <c r="S202" s="19">
        <v>1.0</v>
      </c>
      <c r="T202" s="13">
        <f t="shared" si="40"/>
        <v>52</v>
      </c>
      <c r="U202" s="5"/>
      <c r="V202" s="5"/>
    </row>
    <row r="203" ht="12.75" customHeight="1">
      <c r="A203" s="18"/>
      <c r="B203" s="57">
        <v>2.0</v>
      </c>
      <c r="C203" s="52" t="s">
        <v>149</v>
      </c>
      <c r="D203" s="60"/>
      <c r="E203" s="19">
        <v>2.0</v>
      </c>
      <c r="F203" s="19">
        <v>3.0</v>
      </c>
      <c r="G203" s="19">
        <v>0.0</v>
      </c>
      <c r="H203" s="19">
        <v>2.0</v>
      </c>
      <c r="I203" s="19">
        <v>2.0</v>
      </c>
      <c r="J203" s="19">
        <v>3.0</v>
      </c>
      <c r="K203" s="19">
        <v>5.0</v>
      </c>
      <c r="L203" s="19">
        <v>0.0</v>
      </c>
      <c r="M203" s="19">
        <v>1.0</v>
      </c>
      <c r="N203" s="19">
        <v>4.0</v>
      </c>
      <c r="O203" s="19">
        <v>1.0</v>
      </c>
      <c r="P203" s="19">
        <v>0.0</v>
      </c>
      <c r="Q203" s="19">
        <v>1.0</v>
      </c>
      <c r="R203" s="19">
        <v>0.0</v>
      </c>
      <c r="S203" s="19">
        <v>0.0</v>
      </c>
      <c r="T203" s="13">
        <f t="shared" si="40"/>
        <v>24</v>
      </c>
      <c r="U203" s="5"/>
      <c r="V203" s="5"/>
    </row>
    <row r="204" ht="12.75" customHeight="1">
      <c r="A204" s="18"/>
      <c r="B204" s="57">
        <v>3.0</v>
      </c>
      <c r="C204" s="52" t="s">
        <v>150</v>
      </c>
      <c r="D204" s="60"/>
      <c r="E204" s="19">
        <v>2.0</v>
      </c>
      <c r="F204" s="19">
        <v>1.0</v>
      </c>
      <c r="G204" s="19">
        <v>1.0</v>
      </c>
      <c r="H204" s="19">
        <v>2.0</v>
      </c>
      <c r="I204" s="19">
        <v>3.0</v>
      </c>
      <c r="J204" s="19">
        <v>0.0</v>
      </c>
      <c r="K204" s="19">
        <v>1.0</v>
      </c>
      <c r="L204" s="19">
        <v>0.0</v>
      </c>
      <c r="M204" s="19">
        <v>2.0</v>
      </c>
      <c r="N204" s="19">
        <v>2.0</v>
      </c>
      <c r="O204" s="19">
        <v>3.0</v>
      </c>
      <c r="P204" s="19">
        <v>1.0</v>
      </c>
      <c r="Q204" s="19">
        <v>3.0</v>
      </c>
      <c r="R204" s="19">
        <v>1.0</v>
      </c>
      <c r="S204" s="19">
        <v>1.0</v>
      </c>
      <c r="T204" s="13">
        <f t="shared" si="40"/>
        <v>23</v>
      </c>
      <c r="U204" s="5"/>
      <c r="V204" s="5"/>
    </row>
    <row r="205" ht="12.75" customHeight="1">
      <c r="A205" s="18"/>
      <c r="B205" s="57">
        <v>4.0</v>
      </c>
      <c r="C205" s="52" t="s">
        <v>151</v>
      </c>
      <c r="D205" s="60"/>
      <c r="E205" s="19">
        <v>0.0</v>
      </c>
      <c r="F205" s="19">
        <v>0.0</v>
      </c>
      <c r="G205" s="19">
        <v>3.0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3.0</v>
      </c>
      <c r="N205" s="19">
        <v>0.0</v>
      </c>
      <c r="O205" s="19">
        <v>7.0</v>
      </c>
      <c r="P205" s="19">
        <v>0.0</v>
      </c>
      <c r="Q205" s="19">
        <v>14.0</v>
      </c>
      <c r="R205" s="19">
        <v>8.0</v>
      </c>
      <c r="S205" s="19">
        <v>6.0</v>
      </c>
      <c r="T205" s="13">
        <f t="shared" si="40"/>
        <v>42</v>
      </c>
      <c r="U205" s="5"/>
      <c r="V205" s="5"/>
    </row>
    <row r="206" ht="12.75" customHeight="1">
      <c r="A206" s="18"/>
      <c r="B206" s="57">
        <v>5.0</v>
      </c>
      <c r="C206" s="52" t="s">
        <v>152</v>
      </c>
      <c r="D206" s="60"/>
      <c r="E206" s="19">
        <v>2.0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2.0</v>
      </c>
      <c r="L206" s="19">
        <v>1.0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3">
        <f t="shared" si="40"/>
        <v>7</v>
      </c>
      <c r="U206" s="5"/>
      <c r="V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0</v>
      </c>
      <c r="U207" s="1"/>
      <c r="V207" s="1"/>
    </row>
    <row r="208" ht="12.75" customHeight="1">
      <c r="A208" s="18"/>
      <c r="B208" s="57">
        <v>7.0</v>
      </c>
      <c r="C208" s="52" t="s">
        <v>154</v>
      </c>
      <c r="D208" s="60"/>
      <c r="E208" s="19">
        <v>1.0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2.0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0"/>
        <v>4</v>
      </c>
      <c r="U208" s="54"/>
      <c r="V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0"/>
        <v>0</v>
      </c>
      <c r="U209" s="54"/>
      <c r="V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0"/>
        <v>0</v>
      </c>
      <c r="U210" s="54"/>
      <c r="V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S211" si="41">SUM(E201:E208)</f>
        <v>10</v>
      </c>
      <c r="F211" s="13">
        <f t="shared" si="41"/>
        <v>12</v>
      </c>
      <c r="G211" s="13">
        <f t="shared" si="41"/>
        <v>7</v>
      </c>
      <c r="H211" s="13">
        <f t="shared" si="41"/>
        <v>9</v>
      </c>
      <c r="I211" s="13">
        <f t="shared" si="41"/>
        <v>21</v>
      </c>
      <c r="J211" s="13">
        <f t="shared" si="41"/>
        <v>8</v>
      </c>
      <c r="K211" s="13">
        <f t="shared" si="41"/>
        <v>14</v>
      </c>
      <c r="L211" s="13">
        <f t="shared" si="41"/>
        <v>7</v>
      </c>
      <c r="M211" s="13">
        <f t="shared" si="41"/>
        <v>16</v>
      </c>
      <c r="N211" s="13">
        <f t="shared" si="41"/>
        <v>30</v>
      </c>
      <c r="O211" s="13">
        <f t="shared" si="41"/>
        <v>20</v>
      </c>
      <c r="P211" s="13">
        <f t="shared" si="41"/>
        <v>3</v>
      </c>
      <c r="Q211" s="13">
        <f t="shared" si="41"/>
        <v>27</v>
      </c>
      <c r="R211" s="13">
        <f t="shared" si="41"/>
        <v>28</v>
      </c>
      <c r="S211" s="13">
        <f t="shared" si="41"/>
        <v>12</v>
      </c>
      <c r="T211" s="13">
        <f t="shared" si="40"/>
        <v>224</v>
      </c>
      <c r="U211" s="5"/>
      <c r="V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5"/>
      <c r="V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3.0</v>
      </c>
      <c r="F213" s="19">
        <v>2.0</v>
      </c>
      <c r="G213" s="19">
        <v>7.0</v>
      </c>
      <c r="H213" s="19">
        <v>1.0</v>
      </c>
      <c r="I213" s="19">
        <v>3.0</v>
      </c>
      <c r="J213" s="19">
        <v>2.0</v>
      </c>
      <c r="K213" s="19">
        <v>1.0</v>
      </c>
      <c r="L213" s="19">
        <v>0.0</v>
      </c>
      <c r="M213" s="19">
        <v>1.0</v>
      </c>
      <c r="N213" s="19">
        <v>1.0</v>
      </c>
      <c r="O213" s="19">
        <v>3.0</v>
      </c>
      <c r="P213" s="19">
        <v>2.0</v>
      </c>
      <c r="Q213" s="19">
        <v>2.0</v>
      </c>
      <c r="R213" s="19">
        <v>1.0</v>
      </c>
      <c r="S213" s="19">
        <v>2.0</v>
      </c>
      <c r="T213" s="13">
        <f t="shared" ref="T213:T223" si="42">SUM(E213:S213)</f>
        <v>31</v>
      </c>
      <c r="U213" s="5"/>
      <c r="V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1.0</v>
      </c>
      <c r="F214" s="19">
        <v>0.0</v>
      </c>
      <c r="G214" s="19">
        <v>2.0</v>
      </c>
      <c r="H214" s="19">
        <v>0.0</v>
      </c>
      <c r="I214" s="19">
        <v>1.0</v>
      </c>
      <c r="J214" s="19">
        <v>2.0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1.0</v>
      </c>
      <c r="Q214" s="19">
        <v>0.0</v>
      </c>
      <c r="R214" s="19">
        <v>1.0</v>
      </c>
      <c r="S214" s="19">
        <v>2.0</v>
      </c>
      <c r="T214" s="13">
        <f t="shared" si="42"/>
        <v>10</v>
      </c>
      <c r="U214" s="5"/>
      <c r="V214" s="5"/>
    </row>
    <row r="215" ht="12.75" customHeight="1">
      <c r="A215" s="18"/>
      <c r="B215" s="57">
        <v>2.0</v>
      </c>
      <c r="C215" s="52" t="s">
        <v>158</v>
      </c>
      <c r="D215" s="58"/>
      <c r="E215" s="19">
        <v>5.0</v>
      </c>
      <c r="F215" s="19">
        <v>3.0</v>
      </c>
      <c r="G215" s="19">
        <v>1.0</v>
      </c>
      <c r="H215" s="19">
        <v>6.0</v>
      </c>
      <c r="I215" s="19">
        <v>4.0</v>
      </c>
      <c r="J215" s="19">
        <v>6.0</v>
      </c>
      <c r="K215" s="19">
        <v>2.0</v>
      </c>
      <c r="L215" s="19">
        <v>9.0</v>
      </c>
      <c r="M215" s="19">
        <v>0.0</v>
      </c>
      <c r="N215" s="19">
        <v>2.0</v>
      </c>
      <c r="O215" s="19">
        <v>2.0</v>
      </c>
      <c r="P215" s="19">
        <v>6.0</v>
      </c>
      <c r="Q215" s="19">
        <v>16.0</v>
      </c>
      <c r="R215" s="19">
        <v>4.0</v>
      </c>
      <c r="S215" s="19">
        <v>0.0</v>
      </c>
      <c r="T215" s="13">
        <f t="shared" si="42"/>
        <v>66</v>
      </c>
      <c r="U215" s="5"/>
      <c r="V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3">
        <f t="shared" si="42"/>
        <v>0</v>
      </c>
      <c r="U216" s="5"/>
      <c r="V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3.0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3</v>
      </c>
      <c r="U217" s="5"/>
      <c r="V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1</v>
      </c>
      <c r="U218" s="1"/>
      <c r="V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2</v>
      </c>
      <c r="U219" s="54"/>
      <c r="V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2"/>
        <v>0</v>
      </c>
      <c r="U220" s="5"/>
      <c r="V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2"/>
        <v>0</v>
      </c>
      <c r="U221" s="5"/>
      <c r="V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2"/>
        <v>0</v>
      </c>
      <c r="U222" s="5"/>
      <c r="V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S223" si="43">SUM(E213:E220)</f>
        <v>9</v>
      </c>
      <c r="F223" s="13">
        <f t="shared" si="43"/>
        <v>8</v>
      </c>
      <c r="G223" s="13">
        <f t="shared" si="43"/>
        <v>10</v>
      </c>
      <c r="H223" s="13">
        <f t="shared" si="43"/>
        <v>7</v>
      </c>
      <c r="I223" s="13">
        <f t="shared" si="43"/>
        <v>8</v>
      </c>
      <c r="J223" s="13">
        <f t="shared" si="43"/>
        <v>11</v>
      </c>
      <c r="K223" s="13">
        <f t="shared" si="43"/>
        <v>3</v>
      </c>
      <c r="L223" s="13">
        <f t="shared" si="43"/>
        <v>9</v>
      </c>
      <c r="M223" s="13">
        <f t="shared" si="43"/>
        <v>3</v>
      </c>
      <c r="N223" s="13">
        <f t="shared" si="43"/>
        <v>3</v>
      </c>
      <c r="O223" s="13">
        <f t="shared" si="43"/>
        <v>5</v>
      </c>
      <c r="P223" s="13">
        <f t="shared" si="43"/>
        <v>9</v>
      </c>
      <c r="Q223" s="13">
        <f t="shared" si="43"/>
        <v>18</v>
      </c>
      <c r="R223" s="13">
        <f t="shared" si="43"/>
        <v>6</v>
      </c>
      <c r="S223" s="13">
        <f t="shared" si="43"/>
        <v>4</v>
      </c>
      <c r="T223" s="13">
        <f t="shared" si="42"/>
        <v>113</v>
      </c>
      <c r="U223" s="5"/>
      <c r="V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5"/>
      <c r="V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5" si="44">SUM(E225:S225)</f>
        <v>2</v>
      </c>
      <c r="U225" s="5"/>
      <c r="V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1.0</v>
      </c>
      <c r="H226" s="19">
        <v>3.0</v>
      </c>
      <c r="I226" s="19">
        <v>0.0</v>
      </c>
      <c r="J226" s="19">
        <v>1.0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4"/>
        <v>5</v>
      </c>
      <c r="U226" s="5"/>
      <c r="V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0</v>
      </c>
      <c r="U227" s="5"/>
      <c r="V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0</v>
      </c>
      <c r="U228" s="5"/>
      <c r="V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  <c r="U229" s="1"/>
      <c r="V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  <c r="U230" s="54"/>
      <c r="V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  <c r="U231" s="5"/>
      <c r="V231" s="5"/>
    </row>
    <row r="232" ht="12.75" customHeight="1">
      <c r="A232" s="18"/>
      <c r="B232" s="57">
        <v>7.0</v>
      </c>
      <c r="C232" s="52" t="s">
        <v>172</v>
      </c>
      <c r="D232" s="60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3">
        <f t="shared" si="44"/>
        <v>1</v>
      </c>
      <c r="U232" s="5"/>
      <c r="V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4"/>
        <v>0</v>
      </c>
      <c r="U233" s="5"/>
      <c r="V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4"/>
        <v>0</v>
      </c>
      <c r="U234" s="5"/>
      <c r="V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S235" si="45">SUM(E225:E232)</f>
        <v>1</v>
      </c>
      <c r="F235" s="13">
        <f t="shared" si="45"/>
        <v>0</v>
      </c>
      <c r="G235" s="13">
        <f t="shared" si="45"/>
        <v>1</v>
      </c>
      <c r="H235" s="13">
        <f t="shared" si="45"/>
        <v>3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4"/>
        <v>8</v>
      </c>
      <c r="U235" s="5"/>
      <c r="V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5"/>
      <c r="V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0.0</v>
      </c>
      <c r="F237" s="19">
        <v>1.0</v>
      </c>
      <c r="G237" s="19">
        <v>0.0</v>
      </c>
      <c r="H237" s="19">
        <v>0.0</v>
      </c>
      <c r="I237" s="19">
        <v>2.0</v>
      </c>
      <c r="J237" s="19">
        <v>2.0</v>
      </c>
      <c r="K237" s="19">
        <v>0.0</v>
      </c>
      <c r="L237" s="19">
        <v>0.0</v>
      </c>
      <c r="M237" s="19">
        <v>0.0</v>
      </c>
      <c r="N237" s="19">
        <v>1.0</v>
      </c>
      <c r="O237" s="19">
        <v>2.0</v>
      </c>
      <c r="P237" s="19">
        <v>0.0</v>
      </c>
      <c r="Q237" s="19">
        <v>0.0</v>
      </c>
      <c r="R237" s="19">
        <v>2.0</v>
      </c>
      <c r="S237" s="19">
        <v>1.0</v>
      </c>
      <c r="T237" s="13">
        <f t="shared" ref="T237:T247" si="46">SUM(E237:S237)</f>
        <v>11</v>
      </c>
      <c r="U237" s="5"/>
      <c r="V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0.0</v>
      </c>
      <c r="G238" s="19">
        <v>1.0</v>
      </c>
      <c r="H238" s="19">
        <v>0.0</v>
      </c>
      <c r="I238" s="19">
        <v>1.0</v>
      </c>
      <c r="J238" s="19">
        <v>0.0</v>
      </c>
      <c r="K238" s="19">
        <v>1.0</v>
      </c>
      <c r="L238" s="19">
        <v>0.0</v>
      </c>
      <c r="M238" s="19">
        <v>1.0</v>
      </c>
      <c r="N238" s="19">
        <v>0.0</v>
      </c>
      <c r="O238" s="19">
        <v>2.0</v>
      </c>
      <c r="P238" s="19">
        <v>0.0</v>
      </c>
      <c r="Q238" s="19">
        <v>1.0</v>
      </c>
      <c r="R238" s="19">
        <v>0.0</v>
      </c>
      <c r="S238" s="19">
        <v>0.0</v>
      </c>
      <c r="T238" s="13">
        <f t="shared" si="46"/>
        <v>7</v>
      </c>
      <c r="U238" s="5"/>
      <c r="V238" s="5"/>
    </row>
    <row r="239" ht="12.75" customHeight="1">
      <c r="A239" s="18"/>
      <c r="B239" s="57">
        <v>2.0</v>
      </c>
      <c r="C239" s="52" t="s">
        <v>176</v>
      </c>
      <c r="D239" s="60"/>
      <c r="E239" s="19">
        <v>3.0</v>
      </c>
      <c r="F239" s="19">
        <v>0.0</v>
      </c>
      <c r="G239" s="19">
        <v>2.0</v>
      </c>
      <c r="H239" s="19">
        <v>5.0</v>
      </c>
      <c r="I239" s="19">
        <v>0.0</v>
      </c>
      <c r="J239" s="19">
        <v>3.0</v>
      </c>
      <c r="K239" s="19">
        <v>3.0</v>
      </c>
      <c r="L239" s="19">
        <v>0.0</v>
      </c>
      <c r="M239" s="19">
        <v>1.0</v>
      </c>
      <c r="N239" s="19">
        <v>1.0</v>
      </c>
      <c r="O239" s="19">
        <v>31.0</v>
      </c>
      <c r="P239" s="19">
        <v>19.0</v>
      </c>
      <c r="Q239" s="19">
        <v>12.0</v>
      </c>
      <c r="R239" s="19">
        <v>28.0</v>
      </c>
      <c r="S239" s="19">
        <v>18.0</v>
      </c>
      <c r="T239" s="13">
        <f t="shared" si="46"/>
        <v>126</v>
      </c>
      <c r="U239" s="5"/>
      <c r="V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4.0</v>
      </c>
      <c r="P240" s="19">
        <v>1.0</v>
      </c>
      <c r="Q240" s="19">
        <v>0.0</v>
      </c>
      <c r="R240" s="19">
        <v>1.0</v>
      </c>
      <c r="S240" s="19">
        <v>0.0</v>
      </c>
      <c r="T240" s="13">
        <f t="shared" si="46"/>
        <v>6</v>
      </c>
      <c r="U240" s="1"/>
      <c r="V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2.0</v>
      </c>
      <c r="Q241" s="19">
        <v>0.0</v>
      </c>
      <c r="R241" s="19">
        <v>0.0</v>
      </c>
      <c r="S241" s="19">
        <v>0.0</v>
      </c>
      <c r="T241" s="13">
        <f t="shared" si="46"/>
        <v>2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0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1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5.0</v>
      </c>
      <c r="F244" s="19">
        <v>3.0</v>
      </c>
      <c r="G244" s="19">
        <v>6.0</v>
      </c>
      <c r="H244" s="19">
        <v>2.0</v>
      </c>
      <c r="I244" s="19">
        <v>0.0</v>
      </c>
      <c r="J244" s="19">
        <v>1.0</v>
      </c>
      <c r="K244" s="19">
        <v>1.0</v>
      </c>
      <c r="L244" s="19">
        <v>0.0</v>
      </c>
      <c r="M244" s="19">
        <v>0.0</v>
      </c>
      <c r="N244" s="19">
        <v>2.0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3">
        <f t="shared" si="46"/>
        <v>20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S247" si="47">SUM(E237:E244)</f>
        <v>8</v>
      </c>
      <c r="F247" s="13">
        <f t="shared" si="47"/>
        <v>4</v>
      </c>
      <c r="G247" s="13">
        <f t="shared" si="47"/>
        <v>9</v>
      </c>
      <c r="H247" s="13">
        <f t="shared" si="47"/>
        <v>7</v>
      </c>
      <c r="I247" s="13">
        <f t="shared" si="47"/>
        <v>3</v>
      </c>
      <c r="J247" s="13">
        <f t="shared" si="47"/>
        <v>7</v>
      </c>
      <c r="K247" s="13">
        <f t="shared" si="47"/>
        <v>5</v>
      </c>
      <c r="L247" s="13">
        <f t="shared" si="47"/>
        <v>0</v>
      </c>
      <c r="M247" s="13">
        <f t="shared" si="47"/>
        <v>2</v>
      </c>
      <c r="N247" s="13">
        <f t="shared" si="47"/>
        <v>4</v>
      </c>
      <c r="O247" s="13">
        <f t="shared" si="47"/>
        <v>39</v>
      </c>
      <c r="P247" s="13">
        <f t="shared" si="47"/>
        <v>22</v>
      </c>
      <c r="Q247" s="13">
        <f t="shared" si="47"/>
        <v>13</v>
      </c>
      <c r="R247" s="13">
        <f t="shared" si="47"/>
        <v>31</v>
      </c>
      <c r="S247" s="13">
        <f t="shared" si="47"/>
        <v>19</v>
      </c>
      <c r="T247" s="13">
        <f t="shared" si="46"/>
        <v>173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2.0</v>
      </c>
      <c r="Q249" s="19">
        <v>0.0</v>
      </c>
      <c r="R249" s="19">
        <v>0.0</v>
      </c>
      <c r="S249" s="19">
        <v>0.0</v>
      </c>
      <c r="T249" s="13">
        <f t="shared" ref="T249:T259" si="48">SUM(E249:S249)</f>
        <v>4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1.0</v>
      </c>
      <c r="T251" s="13">
        <f t="shared" si="48"/>
        <v>2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S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2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8"/>
        <v>6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71" t="s">
        <v>213</v>
      </c>
      <c r="Q261" s="71" t="s">
        <v>214</v>
      </c>
      <c r="R261" s="71" t="s">
        <v>216</v>
      </c>
      <c r="S261" s="71" t="s">
        <v>217</v>
      </c>
      <c r="T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S262" si="50">E55+E67+E79+E91+E103+E115+E127+E139+E151+E163+E175+E187+E199+E211+E223+E235+E247+E259</f>
        <v>181</v>
      </c>
      <c r="F262" s="19">
        <f t="shared" si="50"/>
        <v>183</v>
      </c>
      <c r="G262" s="19">
        <f t="shared" si="50"/>
        <v>176</v>
      </c>
      <c r="H262" s="19">
        <f t="shared" si="50"/>
        <v>164</v>
      </c>
      <c r="I262" s="19">
        <f t="shared" si="50"/>
        <v>176</v>
      </c>
      <c r="J262" s="19">
        <f t="shared" si="50"/>
        <v>1025</v>
      </c>
      <c r="K262" s="19">
        <f t="shared" si="50"/>
        <v>193</v>
      </c>
      <c r="L262" s="19">
        <f t="shared" si="50"/>
        <v>170</v>
      </c>
      <c r="M262" s="19">
        <f t="shared" si="50"/>
        <v>165</v>
      </c>
      <c r="N262" s="19">
        <f t="shared" si="50"/>
        <v>145</v>
      </c>
      <c r="O262" s="19">
        <f t="shared" si="50"/>
        <v>213</v>
      </c>
      <c r="P262" s="19">
        <f t="shared" si="50"/>
        <v>202</v>
      </c>
      <c r="Q262" s="19">
        <f t="shared" si="50"/>
        <v>213</v>
      </c>
      <c r="R262" s="19">
        <f t="shared" si="50"/>
        <v>213</v>
      </c>
      <c r="S262" s="19">
        <f t="shared" si="50"/>
        <v>222</v>
      </c>
      <c r="T262" s="13">
        <f t="shared" ref="T262:T264" si="51">SUM(E262:S262)</f>
        <v>3641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27.0</v>
      </c>
      <c r="F263" s="19">
        <v>18.0</v>
      </c>
      <c r="G263" s="19">
        <v>26.0</v>
      </c>
      <c r="H263" s="19">
        <v>25.0</v>
      </c>
      <c r="I263" s="19">
        <v>21.0</v>
      </c>
      <c r="J263" s="19">
        <v>21.0</v>
      </c>
      <c r="K263" s="19">
        <v>32.0</v>
      </c>
      <c r="L263" s="19">
        <v>27.0</v>
      </c>
      <c r="M263" s="19">
        <v>16.0</v>
      </c>
      <c r="N263" s="19">
        <v>37.0</v>
      </c>
      <c r="O263" s="19">
        <v>24.0</v>
      </c>
      <c r="P263" s="19">
        <v>17.0</v>
      </c>
      <c r="Q263" s="19">
        <v>14.0</v>
      </c>
      <c r="R263" s="19">
        <v>17.0</v>
      </c>
      <c r="S263" s="19">
        <v>28.0</v>
      </c>
      <c r="T263" s="13">
        <f t="shared" si="51"/>
        <v>350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S264" si="52">SUM(E262:E263)</f>
        <v>208</v>
      </c>
      <c r="F264" s="13">
        <f t="shared" si="52"/>
        <v>201</v>
      </c>
      <c r="G264" s="13">
        <f t="shared" si="52"/>
        <v>202</v>
      </c>
      <c r="H264" s="13">
        <f t="shared" si="52"/>
        <v>189</v>
      </c>
      <c r="I264" s="13">
        <f t="shared" si="52"/>
        <v>197</v>
      </c>
      <c r="J264" s="13">
        <f t="shared" si="52"/>
        <v>1046</v>
      </c>
      <c r="K264" s="13">
        <f t="shared" si="52"/>
        <v>225</v>
      </c>
      <c r="L264" s="13">
        <f t="shared" si="52"/>
        <v>197</v>
      </c>
      <c r="M264" s="13">
        <f t="shared" si="52"/>
        <v>181</v>
      </c>
      <c r="N264" s="13">
        <f t="shared" si="52"/>
        <v>182</v>
      </c>
      <c r="O264" s="13">
        <f t="shared" si="52"/>
        <v>237</v>
      </c>
      <c r="P264" s="13">
        <f t="shared" si="52"/>
        <v>219</v>
      </c>
      <c r="Q264" s="13">
        <f t="shared" si="52"/>
        <v>227</v>
      </c>
      <c r="R264" s="13">
        <f t="shared" si="52"/>
        <v>230</v>
      </c>
      <c r="S264" s="13">
        <f t="shared" si="52"/>
        <v>250</v>
      </c>
      <c r="T264" s="13">
        <f t="shared" si="51"/>
        <v>3991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144.0</v>
      </c>
      <c r="G14" s="19">
        <v>147.0</v>
      </c>
      <c r="H14" s="19">
        <v>146.0</v>
      </c>
      <c r="I14" s="19">
        <v>104.0</v>
      </c>
      <c r="J14" s="19">
        <v>123.0</v>
      </c>
      <c r="K14" s="19">
        <v>133.0</v>
      </c>
      <c r="L14" s="19">
        <v>130.0</v>
      </c>
      <c r="M14" s="19">
        <v>121.0</v>
      </c>
      <c r="N14" s="19">
        <v>132.0</v>
      </c>
      <c r="O14" s="13">
        <f t="shared" ref="O14:O16" si="1">SUM(E14:N14)</f>
        <v>1305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125.0</v>
      </c>
      <c r="G15" s="19">
        <v>108.0</v>
      </c>
      <c r="H15" s="19">
        <v>137.0</v>
      </c>
      <c r="I15" s="19">
        <v>112.0</v>
      </c>
      <c r="J15" s="19">
        <v>133.0</v>
      </c>
      <c r="K15" s="19">
        <v>134.0</v>
      </c>
      <c r="L15" s="19">
        <v>133.0</v>
      </c>
      <c r="M15" s="19">
        <v>126.0</v>
      </c>
      <c r="N15" s="19">
        <v>128.0</v>
      </c>
      <c r="O15" s="13">
        <f t="shared" si="1"/>
        <v>1263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252</v>
      </c>
      <c r="F16" s="13">
        <f t="shared" si="2"/>
        <v>269</v>
      </c>
      <c r="G16" s="13">
        <f t="shared" si="2"/>
        <v>255</v>
      </c>
      <c r="H16" s="13">
        <f t="shared" si="2"/>
        <v>283</v>
      </c>
      <c r="I16" s="13">
        <f t="shared" si="2"/>
        <v>216</v>
      </c>
      <c r="J16" s="13">
        <f t="shared" si="2"/>
        <v>256</v>
      </c>
      <c r="K16" s="13">
        <f t="shared" si="2"/>
        <v>267</v>
      </c>
      <c r="L16" s="13">
        <f t="shared" si="2"/>
        <v>263</v>
      </c>
      <c r="M16" s="13">
        <f t="shared" si="2"/>
        <v>247</v>
      </c>
      <c r="N16" s="13">
        <f t="shared" si="2"/>
        <v>260</v>
      </c>
      <c r="O16" s="13">
        <f t="shared" si="1"/>
        <v>2568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106.0</v>
      </c>
      <c r="F19" s="19">
        <v>112.0</v>
      </c>
      <c r="G19" s="19">
        <v>103.0</v>
      </c>
      <c r="H19" s="19">
        <v>122.0</v>
      </c>
      <c r="I19" s="19">
        <v>98.0</v>
      </c>
      <c r="J19" s="19">
        <v>111.0</v>
      </c>
      <c r="K19" s="19">
        <v>110.0</v>
      </c>
      <c r="L19" s="19">
        <v>109.0</v>
      </c>
      <c r="M19" s="19">
        <v>101.0</v>
      </c>
      <c r="N19" s="19">
        <v>113.0</v>
      </c>
      <c r="O19" s="13">
        <f t="shared" ref="O19:O30" si="3">SUM(E19:N19)</f>
        <v>1085</v>
      </c>
    </row>
    <row r="20" ht="12.75" customHeight="1">
      <c r="A20" s="34"/>
      <c r="B20" s="27"/>
      <c r="C20" s="35"/>
      <c r="D20" s="19" t="s">
        <v>13</v>
      </c>
      <c r="E20" s="19">
        <v>116.0</v>
      </c>
      <c r="F20" s="19">
        <v>111.0</v>
      </c>
      <c r="G20" s="19">
        <v>123.0</v>
      </c>
      <c r="H20" s="19">
        <v>125.0</v>
      </c>
      <c r="I20" s="19">
        <v>107.0</v>
      </c>
      <c r="J20" s="19">
        <v>123.0</v>
      </c>
      <c r="K20" s="19">
        <v>117.0</v>
      </c>
      <c r="L20" s="19">
        <v>116.0</v>
      </c>
      <c r="M20" s="19">
        <v>115.0</v>
      </c>
      <c r="N20" s="19">
        <v>114.0</v>
      </c>
      <c r="O20" s="13">
        <f t="shared" si="3"/>
        <v>1167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222</v>
      </c>
      <c r="F21" s="13">
        <f t="shared" si="4"/>
        <v>223</v>
      </c>
      <c r="G21" s="13">
        <f t="shared" si="4"/>
        <v>226</v>
      </c>
      <c r="H21" s="13">
        <f t="shared" si="4"/>
        <v>247</v>
      </c>
      <c r="I21" s="13">
        <f t="shared" si="4"/>
        <v>205</v>
      </c>
      <c r="J21" s="13">
        <f t="shared" si="4"/>
        <v>234</v>
      </c>
      <c r="K21" s="13">
        <f t="shared" si="4"/>
        <v>227</v>
      </c>
      <c r="L21" s="13">
        <f t="shared" si="4"/>
        <v>225</v>
      </c>
      <c r="M21" s="13">
        <f t="shared" si="4"/>
        <v>216</v>
      </c>
      <c r="N21" s="13">
        <f t="shared" si="4"/>
        <v>227</v>
      </c>
      <c r="O21" s="13">
        <f t="shared" si="3"/>
        <v>2252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2.0</v>
      </c>
      <c r="M23" s="19">
        <v>0.0</v>
      </c>
      <c r="N23" s="19">
        <v>2.0</v>
      </c>
      <c r="O23" s="13">
        <f t="shared" si="3"/>
        <v>8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2.0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3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N28" si="7">SUM(E19,E22,E25)</f>
        <v>106</v>
      </c>
      <c r="F28" s="13">
        <f t="shared" si="7"/>
        <v>113</v>
      </c>
      <c r="G28" s="13">
        <f t="shared" si="7"/>
        <v>103</v>
      </c>
      <c r="H28" s="13">
        <f t="shared" si="7"/>
        <v>122</v>
      </c>
      <c r="I28" s="13">
        <f t="shared" si="7"/>
        <v>98</v>
      </c>
      <c r="J28" s="13">
        <f t="shared" si="7"/>
        <v>112</v>
      </c>
      <c r="K28" s="13">
        <f t="shared" si="7"/>
        <v>111</v>
      </c>
      <c r="L28" s="13">
        <f t="shared" si="7"/>
        <v>109</v>
      </c>
      <c r="M28" s="13">
        <f t="shared" si="7"/>
        <v>101</v>
      </c>
      <c r="N28" s="13">
        <f t="shared" si="7"/>
        <v>113</v>
      </c>
      <c r="O28" s="13">
        <f t="shared" si="3"/>
        <v>1088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116</v>
      </c>
      <c r="F29" s="13">
        <f t="shared" si="8"/>
        <v>114</v>
      </c>
      <c r="G29" s="13">
        <f t="shared" si="8"/>
        <v>125</v>
      </c>
      <c r="H29" s="13">
        <f t="shared" si="8"/>
        <v>125</v>
      </c>
      <c r="I29" s="13">
        <f t="shared" si="8"/>
        <v>107</v>
      </c>
      <c r="J29" s="13">
        <f t="shared" si="8"/>
        <v>123</v>
      </c>
      <c r="K29" s="13">
        <f t="shared" si="8"/>
        <v>119</v>
      </c>
      <c r="L29" s="13">
        <f t="shared" si="8"/>
        <v>118</v>
      </c>
      <c r="M29" s="13">
        <f t="shared" si="8"/>
        <v>115</v>
      </c>
      <c r="N29" s="13">
        <f t="shared" si="8"/>
        <v>116</v>
      </c>
      <c r="O29" s="13">
        <f t="shared" si="3"/>
        <v>1178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222</v>
      </c>
      <c r="F30" s="13">
        <f t="shared" si="9"/>
        <v>227</v>
      </c>
      <c r="G30" s="13">
        <f t="shared" si="9"/>
        <v>228</v>
      </c>
      <c r="H30" s="13">
        <f t="shared" si="9"/>
        <v>247</v>
      </c>
      <c r="I30" s="13">
        <f t="shared" si="9"/>
        <v>205</v>
      </c>
      <c r="J30" s="13">
        <f t="shared" si="9"/>
        <v>235</v>
      </c>
      <c r="K30" s="13">
        <f t="shared" si="9"/>
        <v>230</v>
      </c>
      <c r="L30" s="13">
        <f t="shared" si="9"/>
        <v>227</v>
      </c>
      <c r="M30" s="13">
        <f t="shared" si="9"/>
        <v>216</v>
      </c>
      <c r="N30" s="13">
        <f t="shared" si="9"/>
        <v>229</v>
      </c>
      <c r="O30" s="13">
        <f t="shared" si="3"/>
        <v>2266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0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275.0</v>
      </c>
      <c r="G33" s="19">
        <v>261.0</v>
      </c>
      <c r="H33" s="19">
        <v>291.0</v>
      </c>
      <c r="I33" s="19">
        <v>221.0</v>
      </c>
      <c r="J33" s="19">
        <v>262.0</v>
      </c>
      <c r="K33" s="19">
        <v>273.0</v>
      </c>
      <c r="L33" s="19">
        <v>269.0</v>
      </c>
      <c r="M33" s="19">
        <v>252.0</v>
      </c>
      <c r="N33" s="19">
        <v>266.0</v>
      </c>
      <c r="O33" s="13">
        <f t="shared" ref="O33:O36" si="10">SUM(E33:N33)</f>
        <v>2628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227.0</v>
      </c>
      <c r="G34" s="13">
        <v>228.0</v>
      </c>
      <c r="H34" s="13">
        <v>247.0</v>
      </c>
      <c r="I34" s="13">
        <v>205.0</v>
      </c>
      <c r="J34" s="13">
        <v>235.0</v>
      </c>
      <c r="K34" s="13">
        <v>230.0</v>
      </c>
      <c r="L34" s="13">
        <v>227.0</v>
      </c>
      <c r="M34" s="13">
        <v>216.0</v>
      </c>
      <c r="N34" s="13">
        <v>229.0</v>
      </c>
      <c r="O34" s="13">
        <f t="shared" si="10"/>
        <v>2266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2.0</v>
      </c>
      <c r="L35" s="19">
        <v>0.0</v>
      </c>
      <c r="M35" s="19">
        <v>0.0</v>
      </c>
      <c r="N35" s="19">
        <v>1.0</v>
      </c>
      <c r="O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35</v>
      </c>
      <c r="F36" s="13">
        <f t="shared" si="11"/>
        <v>47</v>
      </c>
      <c r="G36" s="13">
        <f t="shared" si="11"/>
        <v>33</v>
      </c>
      <c r="H36" s="13">
        <f t="shared" si="11"/>
        <v>44</v>
      </c>
      <c r="I36" s="13">
        <f t="shared" si="11"/>
        <v>16</v>
      </c>
      <c r="J36" s="13">
        <f t="shared" si="11"/>
        <v>27</v>
      </c>
      <c r="K36" s="13">
        <f t="shared" si="11"/>
        <v>41</v>
      </c>
      <c r="L36" s="13">
        <f t="shared" si="11"/>
        <v>42</v>
      </c>
      <c r="M36" s="13">
        <f t="shared" si="11"/>
        <v>36</v>
      </c>
      <c r="N36" s="13">
        <f t="shared" si="11"/>
        <v>36</v>
      </c>
      <c r="O36" s="13">
        <f t="shared" si="10"/>
        <v>357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2.0</v>
      </c>
      <c r="K39" s="19">
        <v>1.0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6.0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3">
        <f t="shared" si="12"/>
        <v>7</v>
      </c>
    </row>
    <row r="41" ht="12.75" customHeight="1">
      <c r="A41" s="43"/>
      <c r="B41" s="46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7</v>
      </c>
      <c r="I41" s="13">
        <f t="shared" si="13"/>
        <v>0</v>
      </c>
      <c r="J41" s="13">
        <f t="shared" si="13"/>
        <v>2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11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4.0</v>
      </c>
      <c r="F45" s="19">
        <v>7.0</v>
      </c>
      <c r="G45" s="19">
        <v>15.0</v>
      </c>
      <c r="H45" s="19">
        <v>6.0</v>
      </c>
      <c r="I45" s="19">
        <v>6.0</v>
      </c>
      <c r="J45" s="19">
        <v>8.0</v>
      </c>
      <c r="K45" s="19">
        <v>9.0</v>
      </c>
      <c r="L45" s="19">
        <v>7.0</v>
      </c>
      <c r="M45" s="19">
        <v>7.0</v>
      </c>
      <c r="N45" s="19">
        <v>3.0</v>
      </c>
      <c r="O45" s="13">
        <f t="shared" ref="O45:O55" si="14">SUM(E45:N45)</f>
        <v>72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18.0</v>
      </c>
      <c r="F46" s="19">
        <v>11.0</v>
      </c>
      <c r="G46" s="19">
        <v>24.0</v>
      </c>
      <c r="H46" s="19">
        <v>8.0</v>
      </c>
      <c r="I46" s="19">
        <v>24.0</v>
      </c>
      <c r="J46" s="19">
        <v>7.0</v>
      </c>
      <c r="K46" s="19">
        <v>10.0</v>
      </c>
      <c r="L46" s="19">
        <v>9.0</v>
      </c>
      <c r="M46" s="19">
        <v>18.0</v>
      </c>
      <c r="N46" s="19">
        <v>2.0</v>
      </c>
      <c r="O46" s="13">
        <f t="shared" si="14"/>
        <v>131</v>
      </c>
    </row>
    <row r="47" ht="12.75" customHeight="1">
      <c r="A47" s="18"/>
      <c r="B47" s="57">
        <v>2.0</v>
      </c>
      <c r="C47" s="52" t="s">
        <v>41</v>
      </c>
      <c r="D47" s="16"/>
      <c r="E47" s="19">
        <v>3.0</v>
      </c>
      <c r="F47" s="19">
        <v>1.0</v>
      </c>
      <c r="G47" s="19">
        <v>8.0</v>
      </c>
      <c r="H47" s="19">
        <v>4.0</v>
      </c>
      <c r="I47" s="19">
        <v>0.0</v>
      </c>
      <c r="J47" s="19">
        <v>4.0</v>
      </c>
      <c r="K47" s="19">
        <v>5.0</v>
      </c>
      <c r="L47" s="19">
        <v>7.0</v>
      </c>
      <c r="M47" s="19">
        <v>1.0</v>
      </c>
      <c r="N47" s="19">
        <v>1.0</v>
      </c>
      <c r="O47" s="13">
        <f t="shared" si="14"/>
        <v>34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2.0</v>
      </c>
      <c r="G48" s="19">
        <v>0.0</v>
      </c>
      <c r="H48" s="19">
        <v>0.0</v>
      </c>
      <c r="I48" s="19">
        <v>0.0</v>
      </c>
      <c r="J48" s="19">
        <v>3.0</v>
      </c>
      <c r="K48" s="19">
        <v>0.0</v>
      </c>
      <c r="L48" s="19">
        <v>0.0</v>
      </c>
      <c r="M48" s="19">
        <v>1.0</v>
      </c>
      <c r="N48" s="19">
        <v>0.0</v>
      </c>
      <c r="O48" s="13">
        <f t="shared" si="14"/>
        <v>6</v>
      </c>
    </row>
    <row r="49" ht="12.75" customHeight="1">
      <c r="A49" s="18"/>
      <c r="B49" s="57">
        <v>4.0</v>
      </c>
      <c r="C49" s="52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2.0</v>
      </c>
      <c r="L49" s="19">
        <v>0.0</v>
      </c>
      <c r="M49" s="19">
        <v>0.0</v>
      </c>
      <c r="N49" s="19">
        <v>0.0</v>
      </c>
      <c r="O49" s="13">
        <f t="shared" si="14"/>
        <v>4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3">
        <f t="shared" si="14"/>
        <v>1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2.0</v>
      </c>
      <c r="L51" s="19">
        <v>0.0</v>
      </c>
      <c r="M51" s="19">
        <v>0.0</v>
      </c>
      <c r="N51" s="19">
        <v>0.0</v>
      </c>
      <c r="O51" s="13">
        <f t="shared" si="14"/>
        <v>3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3">
        <f t="shared" si="14"/>
        <v>0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N55" si="15">SUM(E45:E52)</f>
        <v>26</v>
      </c>
      <c r="F55" s="13">
        <f t="shared" si="15"/>
        <v>22</v>
      </c>
      <c r="G55" s="13">
        <f t="shared" si="15"/>
        <v>49</v>
      </c>
      <c r="H55" s="13">
        <f t="shared" si="15"/>
        <v>18</v>
      </c>
      <c r="I55" s="13">
        <f t="shared" si="15"/>
        <v>30</v>
      </c>
      <c r="J55" s="13">
        <f t="shared" si="15"/>
        <v>22</v>
      </c>
      <c r="K55" s="13">
        <f t="shared" si="15"/>
        <v>28</v>
      </c>
      <c r="L55" s="13">
        <f t="shared" si="15"/>
        <v>23</v>
      </c>
      <c r="M55" s="13">
        <f t="shared" si="15"/>
        <v>27</v>
      </c>
      <c r="N55" s="13">
        <f t="shared" si="15"/>
        <v>6</v>
      </c>
      <c r="O55" s="13">
        <f t="shared" si="14"/>
        <v>251</v>
      </c>
    </row>
    <row r="56" ht="12.75" customHeight="1">
      <c r="A56" s="47"/>
      <c r="B56" s="46"/>
      <c r="C56" s="46"/>
      <c r="D56" s="46"/>
      <c r="E56" s="46"/>
      <c r="O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14.0</v>
      </c>
      <c r="F57" s="19">
        <v>11.0</v>
      </c>
      <c r="G57" s="19">
        <v>5.0</v>
      </c>
      <c r="H57" s="19">
        <v>20.0</v>
      </c>
      <c r="I57" s="19">
        <v>12.0</v>
      </c>
      <c r="J57" s="19">
        <v>12.0</v>
      </c>
      <c r="K57" s="19">
        <v>15.0</v>
      </c>
      <c r="L57" s="19">
        <v>13.0</v>
      </c>
      <c r="M57" s="19">
        <v>7.0</v>
      </c>
      <c r="N57" s="19">
        <v>11.0</v>
      </c>
      <c r="O57" s="13">
        <f t="shared" ref="O57:O67" si="16">SUM(E57:N57)</f>
        <v>120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34.0</v>
      </c>
      <c r="F58" s="19">
        <v>48.0</v>
      </c>
      <c r="G58" s="19">
        <v>79.0</v>
      </c>
      <c r="H58" s="19">
        <v>68.0</v>
      </c>
      <c r="I58" s="19">
        <v>52.0</v>
      </c>
      <c r="J58" s="19">
        <v>56.0</v>
      </c>
      <c r="K58" s="19">
        <v>70.0</v>
      </c>
      <c r="L58" s="19">
        <v>60.0</v>
      </c>
      <c r="M58" s="19">
        <v>99.0</v>
      </c>
      <c r="N58" s="19">
        <v>95.0</v>
      </c>
      <c r="O58" s="13">
        <f t="shared" si="16"/>
        <v>661</v>
      </c>
    </row>
    <row r="59" ht="12.75" customHeight="1">
      <c r="A59" s="18"/>
      <c r="B59" s="57">
        <v>2.0</v>
      </c>
      <c r="C59" s="52" t="s">
        <v>50</v>
      </c>
      <c r="D59" s="58"/>
      <c r="E59" s="19">
        <v>8.0</v>
      </c>
      <c r="F59" s="19">
        <v>2.0</v>
      </c>
      <c r="G59" s="19">
        <v>1.0</v>
      </c>
      <c r="H59" s="19">
        <v>5.0</v>
      </c>
      <c r="I59" s="19">
        <v>6.0</v>
      </c>
      <c r="J59" s="19">
        <v>3.0</v>
      </c>
      <c r="K59" s="19">
        <v>4.0</v>
      </c>
      <c r="L59" s="19">
        <v>6.0</v>
      </c>
      <c r="M59" s="19">
        <v>5.0</v>
      </c>
      <c r="N59" s="19">
        <v>3.0</v>
      </c>
      <c r="O59" s="13">
        <f t="shared" si="16"/>
        <v>43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0.0</v>
      </c>
      <c r="G60" s="19">
        <v>0.0</v>
      </c>
      <c r="H60" s="19">
        <v>2.0</v>
      </c>
      <c r="I60" s="19">
        <v>3.0</v>
      </c>
      <c r="J60" s="19">
        <v>0.0</v>
      </c>
      <c r="K60" s="19">
        <v>0.0</v>
      </c>
      <c r="L60" s="19">
        <v>0.0</v>
      </c>
      <c r="M60" s="19">
        <v>1.0</v>
      </c>
      <c r="N60" s="19">
        <v>1.0</v>
      </c>
      <c r="O60" s="13">
        <f t="shared" si="16"/>
        <v>8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0.0</v>
      </c>
      <c r="G61" s="19">
        <v>1.0</v>
      </c>
      <c r="H61" s="19">
        <v>3.0</v>
      </c>
      <c r="I61" s="19">
        <v>3.0</v>
      </c>
      <c r="J61" s="19">
        <v>0.0</v>
      </c>
      <c r="K61" s="19">
        <v>0.0</v>
      </c>
      <c r="L61" s="19">
        <v>2.0</v>
      </c>
      <c r="M61" s="19">
        <v>1.0</v>
      </c>
      <c r="N61" s="19">
        <v>2.0</v>
      </c>
      <c r="O61" s="13">
        <f t="shared" si="16"/>
        <v>12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3">
        <f t="shared" si="16"/>
        <v>2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2.0</v>
      </c>
      <c r="K63" s="19">
        <v>0.0</v>
      </c>
      <c r="L63" s="19">
        <v>0.0</v>
      </c>
      <c r="M63" s="19">
        <v>0.0</v>
      </c>
      <c r="N63" s="19">
        <v>0.0</v>
      </c>
      <c r="O63" s="13">
        <f t="shared" si="16"/>
        <v>3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3">
        <f t="shared" si="16"/>
        <v>0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N67" si="17">SUM(E57:E64)</f>
        <v>57</v>
      </c>
      <c r="F67" s="13">
        <f t="shared" si="17"/>
        <v>62</v>
      </c>
      <c r="G67" s="13">
        <f t="shared" si="17"/>
        <v>87</v>
      </c>
      <c r="H67" s="13">
        <f t="shared" si="17"/>
        <v>98</v>
      </c>
      <c r="I67" s="13">
        <f t="shared" si="17"/>
        <v>76</v>
      </c>
      <c r="J67" s="13">
        <f t="shared" si="17"/>
        <v>73</v>
      </c>
      <c r="K67" s="13">
        <f t="shared" si="17"/>
        <v>89</v>
      </c>
      <c r="L67" s="13">
        <f t="shared" si="17"/>
        <v>81</v>
      </c>
      <c r="M67" s="13">
        <f t="shared" si="17"/>
        <v>114</v>
      </c>
      <c r="N67" s="13">
        <f t="shared" si="17"/>
        <v>112</v>
      </c>
      <c r="O67" s="13">
        <f t="shared" si="16"/>
        <v>849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2.0</v>
      </c>
      <c r="F69" s="19">
        <v>2.0</v>
      </c>
      <c r="G69" s="19">
        <v>3.0</v>
      </c>
      <c r="H69" s="19">
        <v>7.0</v>
      </c>
      <c r="I69" s="19">
        <v>1.0</v>
      </c>
      <c r="J69" s="19">
        <v>9.0</v>
      </c>
      <c r="K69" s="19">
        <v>4.0</v>
      </c>
      <c r="L69" s="19">
        <v>11.0</v>
      </c>
      <c r="M69" s="19">
        <v>4.0</v>
      </c>
      <c r="N69" s="19">
        <v>7.0</v>
      </c>
      <c r="O69" s="13">
        <f t="shared" ref="O69:O79" si="18">SUM(E69:N69)</f>
        <v>50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12.0</v>
      </c>
      <c r="F70" s="19">
        <v>17.0</v>
      </c>
      <c r="G70" s="19">
        <v>12.0</v>
      </c>
      <c r="H70" s="19">
        <v>18.0</v>
      </c>
      <c r="I70" s="19">
        <v>10.0</v>
      </c>
      <c r="J70" s="19">
        <v>5.0</v>
      </c>
      <c r="K70" s="19">
        <v>6.0</v>
      </c>
      <c r="L70" s="19">
        <v>4.0</v>
      </c>
      <c r="M70" s="19">
        <v>13.0</v>
      </c>
      <c r="N70" s="19">
        <v>4.0</v>
      </c>
      <c r="O70" s="13">
        <f t="shared" si="18"/>
        <v>101</v>
      </c>
    </row>
    <row r="71" ht="12.75" customHeight="1">
      <c r="A71" s="18"/>
      <c r="B71" s="57">
        <v>2.0</v>
      </c>
      <c r="C71" s="52" t="s">
        <v>58</v>
      </c>
      <c r="D71" s="60"/>
      <c r="E71" s="19">
        <v>1.0</v>
      </c>
      <c r="F71" s="19">
        <v>2.0</v>
      </c>
      <c r="G71" s="19">
        <v>1.0</v>
      </c>
      <c r="H71" s="19">
        <v>1.0</v>
      </c>
      <c r="I71" s="19">
        <v>1.0</v>
      </c>
      <c r="J71" s="19">
        <v>0.0</v>
      </c>
      <c r="K71" s="19">
        <v>0.0</v>
      </c>
      <c r="L71" s="19">
        <v>2.0</v>
      </c>
      <c r="M71" s="19">
        <v>1.0</v>
      </c>
      <c r="N71" s="19">
        <v>0.0</v>
      </c>
      <c r="O71" s="13">
        <f t="shared" si="18"/>
        <v>9</v>
      </c>
    </row>
    <row r="72" ht="12.75" customHeight="1">
      <c r="A72" s="18"/>
      <c r="B72" s="57">
        <v>3.0</v>
      </c>
      <c r="C72" s="52" t="s">
        <v>59</v>
      </c>
      <c r="D72" s="60"/>
      <c r="E72" s="19">
        <v>1.0</v>
      </c>
      <c r="F72" s="19">
        <v>2.0</v>
      </c>
      <c r="G72" s="19">
        <v>1.0</v>
      </c>
      <c r="H72" s="19">
        <v>3.0</v>
      </c>
      <c r="I72" s="19">
        <v>0.0</v>
      </c>
      <c r="J72" s="19">
        <v>0.0</v>
      </c>
      <c r="K72" s="19">
        <v>9.0</v>
      </c>
      <c r="L72" s="19">
        <v>4.0</v>
      </c>
      <c r="M72" s="19">
        <v>1.0</v>
      </c>
      <c r="N72" s="19">
        <v>2.0</v>
      </c>
      <c r="O72" s="13">
        <f t="shared" si="18"/>
        <v>23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2.0</v>
      </c>
      <c r="L73" s="19">
        <v>0.0</v>
      </c>
      <c r="M73" s="19">
        <v>0.0</v>
      </c>
      <c r="N73" s="19">
        <v>0.0</v>
      </c>
      <c r="O73" s="13">
        <f t="shared" si="18"/>
        <v>2</v>
      </c>
    </row>
    <row r="74" ht="12.75" customHeight="1">
      <c r="A74" s="18"/>
      <c r="B74" s="57">
        <v>5.0</v>
      </c>
      <c r="C74" s="52" t="s">
        <v>61</v>
      </c>
      <c r="D74" s="60"/>
      <c r="E74" s="19">
        <v>3.0</v>
      </c>
      <c r="F74" s="19">
        <v>2.0</v>
      </c>
      <c r="G74" s="19">
        <v>0.0</v>
      </c>
      <c r="H74" s="19">
        <v>2.0</v>
      </c>
      <c r="I74" s="19">
        <v>1.0</v>
      </c>
      <c r="J74" s="19">
        <v>0.0</v>
      </c>
      <c r="K74" s="19">
        <v>8.0</v>
      </c>
      <c r="L74" s="19">
        <v>8.0</v>
      </c>
      <c r="M74" s="19">
        <v>2.0</v>
      </c>
      <c r="N74" s="19">
        <v>0.0</v>
      </c>
      <c r="O74" s="13">
        <f t="shared" si="18"/>
        <v>26</v>
      </c>
    </row>
    <row r="75" ht="12.75" customHeight="1">
      <c r="A75" s="18"/>
      <c r="B75" s="57">
        <v>6.0</v>
      </c>
      <c r="C75" s="52" t="s">
        <v>62</v>
      </c>
      <c r="D75" s="60"/>
      <c r="E75" s="19">
        <v>1.0</v>
      </c>
      <c r="F75" s="19">
        <v>0.0</v>
      </c>
      <c r="G75" s="19">
        <v>0.0</v>
      </c>
      <c r="H75" s="19">
        <v>1.0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3">
        <f t="shared" si="18"/>
        <v>3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2.0</v>
      </c>
      <c r="L76" s="19">
        <v>3.0</v>
      </c>
      <c r="M76" s="19">
        <v>0.0</v>
      </c>
      <c r="N76" s="19">
        <v>0.0</v>
      </c>
      <c r="O76" s="13">
        <f t="shared" si="18"/>
        <v>5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N79" si="19">SUM(E69:E76)</f>
        <v>20</v>
      </c>
      <c r="F79" s="13">
        <f t="shared" si="19"/>
        <v>25</v>
      </c>
      <c r="G79" s="13">
        <f t="shared" si="19"/>
        <v>17</v>
      </c>
      <c r="H79" s="13">
        <f t="shared" si="19"/>
        <v>32</v>
      </c>
      <c r="I79" s="13">
        <f t="shared" si="19"/>
        <v>13</v>
      </c>
      <c r="J79" s="13">
        <f t="shared" si="19"/>
        <v>14</v>
      </c>
      <c r="K79" s="13">
        <f t="shared" si="19"/>
        <v>31</v>
      </c>
      <c r="L79" s="13">
        <f t="shared" si="19"/>
        <v>33</v>
      </c>
      <c r="M79" s="13">
        <f t="shared" si="19"/>
        <v>21</v>
      </c>
      <c r="N79" s="13">
        <f t="shared" si="19"/>
        <v>13</v>
      </c>
      <c r="O79" s="13">
        <f t="shared" si="18"/>
        <v>219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2.0</v>
      </c>
      <c r="F81" s="19">
        <v>17.0</v>
      </c>
      <c r="G81" s="19">
        <v>3.0</v>
      </c>
      <c r="H81" s="19">
        <v>5.0</v>
      </c>
      <c r="I81" s="19">
        <v>6.0</v>
      </c>
      <c r="J81" s="19">
        <v>5.0</v>
      </c>
      <c r="K81" s="19">
        <v>0.0</v>
      </c>
      <c r="L81" s="19">
        <v>2.0</v>
      </c>
      <c r="M81" s="19">
        <v>3.0</v>
      </c>
      <c r="N81" s="19">
        <v>0.0</v>
      </c>
      <c r="O81" s="13">
        <f t="shared" ref="O81:O91" si="20">SUM(E81:N81)</f>
        <v>43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62.0</v>
      </c>
      <c r="F82" s="19">
        <v>29.0</v>
      </c>
      <c r="G82" s="19">
        <v>22.0</v>
      </c>
      <c r="H82" s="19">
        <v>42.0</v>
      </c>
      <c r="I82" s="19">
        <v>50.0</v>
      </c>
      <c r="J82" s="19">
        <v>29.0</v>
      </c>
      <c r="K82" s="19">
        <v>13.0</v>
      </c>
      <c r="L82" s="19">
        <v>6.0</v>
      </c>
      <c r="M82" s="19">
        <v>7.0</v>
      </c>
      <c r="N82" s="19">
        <v>0.0</v>
      </c>
      <c r="O82" s="13">
        <f t="shared" si="20"/>
        <v>260</v>
      </c>
    </row>
    <row r="83" ht="12.75" customHeight="1">
      <c r="A83" s="18"/>
      <c r="B83" s="57">
        <v>2.0</v>
      </c>
      <c r="C83" s="52" t="s">
        <v>66</v>
      </c>
      <c r="D83" s="60"/>
      <c r="E83" s="19">
        <v>1.0</v>
      </c>
      <c r="F83" s="19">
        <v>1.0</v>
      </c>
      <c r="G83" s="19">
        <v>0.0</v>
      </c>
      <c r="H83" s="19">
        <v>0.0</v>
      </c>
      <c r="I83" s="19">
        <v>1.0</v>
      </c>
      <c r="J83" s="19">
        <v>1.0</v>
      </c>
      <c r="K83" s="19">
        <v>3.0</v>
      </c>
      <c r="L83" s="19">
        <v>3.0</v>
      </c>
      <c r="M83" s="19">
        <v>0.0</v>
      </c>
      <c r="N83" s="19">
        <v>1.0</v>
      </c>
      <c r="O83" s="13">
        <f t="shared" si="20"/>
        <v>11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1.0</v>
      </c>
      <c r="G84" s="19">
        <v>0.0</v>
      </c>
      <c r="H84" s="19">
        <v>0.0</v>
      </c>
      <c r="I84" s="19">
        <v>0.0</v>
      </c>
      <c r="J84" s="19">
        <v>1.0</v>
      </c>
      <c r="K84" s="19">
        <v>1.0</v>
      </c>
      <c r="L84" s="19">
        <v>0.0</v>
      </c>
      <c r="M84" s="19">
        <v>1.0</v>
      </c>
      <c r="N84" s="19">
        <v>0.0</v>
      </c>
      <c r="O84" s="13">
        <f t="shared" si="20"/>
        <v>4</v>
      </c>
    </row>
    <row r="85" ht="12.75" customHeight="1">
      <c r="A85" s="18"/>
      <c r="B85" s="57">
        <v>4.0</v>
      </c>
      <c r="C85" s="52" t="s">
        <v>68</v>
      </c>
      <c r="D85" s="60"/>
      <c r="E85" s="19">
        <v>3.0</v>
      </c>
      <c r="F85" s="19">
        <v>1.0</v>
      </c>
      <c r="G85" s="19">
        <v>2.0</v>
      </c>
      <c r="H85" s="19">
        <v>2.0</v>
      </c>
      <c r="I85" s="19">
        <v>2.0</v>
      </c>
      <c r="J85" s="19">
        <v>2.0</v>
      </c>
      <c r="K85" s="19">
        <v>1.0</v>
      </c>
      <c r="L85" s="19">
        <v>0.0</v>
      </c>
      <c r="M85" s="19">
        <v>0.0</v>
      </c>
      <c r="N85" s="19">
        <v>0.0</v>
      </c>
      <c r="O85" s="13">
        <f t="shared" si="20"/>
        <v>13</v>
      </c>
    </row>
    <row r="86" ht="12.75" customHeight="1">
      <c r="A86" s="18"/>
      <c r="B86" s="57">
        <v>5.0</v>
      </c>
      <c r="C86" s="52" t="s">
        <v>69</v>
      </c>
      <c r="D86" s="60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3">
        <f t="shared" si="20"/>
        <v>1</v>
      </c>
    </row>
    <row r="87" ht="12.75" customHeight="1">
      <c r="A87" s="18"/>
      <c r="B87" s="57">
        <v>6.0</v>
      </c>
      <c r="C87" s="52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3">
        <f t="shared" si="20"/>
        <v>2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3">
        <f t="shared" si="20"/>
        <v>0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N91" si="21">SUM(E81:E88)</f>
        <v>70</v>
      </c>
      <c r="F91" s="13">
        <f t="shared" si="21"/>
        <v>49</v>
      </c>
      <c r="G91" s="13">
        <f t="shared" si="21"/>
        <v>27</v>
      </c>
      <c r="H91" s="13">
        <f t="shared" si="21"/>
        <v>49</v>
      </c>
      <c r="I91" s="13">
        <f t="shared" si="21"/>
        <v>59</v>
      </c>
      <c r="J91" s="13">
        <f t="shared" si="21"/>
        <v>38</v>
      </c>
      <c r="K91" s="13">
        <f t="shared" si="21"/>
        <v>18</v>
      </c>
      <c r="L91" s="13">
        <f t="shared" si="21"/>
        <v>11</v>
      </c>
      <c r="M91" s="13">
        <f t="shared" si="21"/>
        <v>12</v>
      </c>
      <c r="N91" s="13">
        <f t="shared" si="21"/>
        <v>1</v>
      </c>
      <c r="O91" s="13">
        <f t="shared" si="20"/>
        <v>334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1.0</v>
      </c>
      <c r="F93" s="19">
        <v>1.0</v>
      </c>
      <c r="G93" s="19">
        <v>1.0</v>
      </c>
      <c r="H93" s="19">
        <v>0.0</v>
      </c>
      <c r="I93" s="19">
        <v>1.0</v>
      </c>
      <c r="J93" s="19">
        <v>1.0</v>
      </c>
      <c r="K93" s="19">
        <v>2.0</v>
      </c>
      <c r="L93" s="19">
        <v>2.0</v>
      </c>
      <c r="M93" s="19">
        <v>0.0</v>
      </c>
      <c r="N93" s="19">
        <v>4.0</v>
      </c>
      <c r="O93" s="13">
        <f t="shared" ref="O93:O103" si="22">SUM(E93:N93)</f>
        <v>13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1.0</v>
      </c>
      <c r="F94" s="19">
        <v>0.0</v>
      </c>
      <c r="G94" s="19">
        <v>0.0</v>
      </c>
      <c r="H94" s="19">
        <v>0.0</v>
      </c>
      <c r="I94" s="19">
        <v>2.0</v>
      </c>
      <c r="J94" s="19">
        <v>4.0</v>
      </c>
      <c r="K94" s="19">
        <v>3.0</v>
      </c>
      <c r="L94" s="19">
        <v>3.0</v>
      </c>
      <c r="M94" s="19">
        <v>5.0</v>
      </c>
      <c r="N94" s="19">
        <v>2.0</v>
      </c>
      <c r="O94" s="13">
        <f t="shared" si="22"/>
        <v>20</v>
      </c>
    </row>
    <row r="95" ht="12.75" customHeight="1">
      <c r="A95" s="18"/>
      <c r="B95" s="57">
        <v>2.0</v>
      </c>
      <c r="C95" s="52" t="s">
        <v>75</v>
      </c>
      <c r="D95" s="60"/>
      <c r="E95" s="19">
        <v>4.0</v>
      </c>
      <c r="F95" s="19">
        <v>5.0</v>
      </c>
      <c r="G95" s="19">
        <v>11.0</v>
      </c>
      <c r="H95" s="19">
        <v>1.0</v>
      </c>
      <c r="I95" s="19">
        <v>6.0</v>
      </c>
      <c r="J95" s="19">
        <v>25.0</v>
      </c>
      <c r="K95" s="19">
        <v>1.0</v>
      </c>
      <c r="L95" s="19">
        <v>0.0</v>
      </c>
      <c r="M95" s="19">
        <v>3.0</v>
      </c>
      <c r="N95" s="19">
        <v>17.0</v>
      </c>
      <c r="O95" s="13">
        <f t="shared" si="22"/>
        <v>73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3">
        <f t="shared" si="22"/>
        <v>0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1.0</v>
      </c>
      <c r="K97" s="19">
        <v>0.0</v>
      </c>
      <c r="L97" s="19">
        <v>1.0</v>
      </c>
      <c r="M97" s="19">
        <v>0.0</v>
      </c>
      <c r="N97" s="19">
        <v>0.0</v>
      </c>
      <c r="O97" s="13">
        <f t="shared" si="22"/>
        <v>3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1.0</v>
      </c>
      <c r="K98" s="19">
        <v>1.0</v>
      </c>
      <c r="L98" s="19">
        <v>0.0</v>
      </c>
      <c r="M98" s="19">
        <v>0.0</v>
      </c>
      <c r="N98" s="19">
        <v>0.0</v>
      </c>
      <c r="O98" s="13">
        <f t="shared" si="22"/>
        <v>3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3">
        <f t="shared" si="22"/>
        <v>0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N103" si="23">SUM(E93:E100)</f>
        <v>6</v>
      </c>
      <c r="F103" s="13">
        <f t="shared" si="23"/>
        <v>6</v>
      </c>
      <c r="G103" s="13">
        <f t="shared" si="23"/>
        <v>13</v>
      </c>
      <c r="H103" s="13">
        <f t="shared" si="23"/>
        <v>2</v>
      </c>
      <c r="I103" s="13">
        <f t="shared" si="23"/>
        <v>9</v>
      </c>
      <c r="J103" s="13">
        <f t="shared" si="23"/>
        <v>32</v>
      </c>
      <c r="K103" s="13">
        <f t="shared" si="23"/>
        <v>7</v>
      </c>
      <c r="L103" s="13">
        <f t="shared" si="23"/>
        <v>6</v>
      </c>
      <c r="M103" s="13">
        <f t="shared" si="23"/>
        <v>8</v>
      </c>
      <c r="N103" s="13">
        <f t="shared" si="23"/>
        <v>23</v>
      </c>
      <c r="O103" s="13">
        <f t="shared" si="22"/>
        <v>112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6.0</v>
      </c>
      <c r="F105" s="19">
        <v>6.0</v>
      </c>
      <c r="G105" s="19">
        <v>13.0</v>
      </c>
      <c r="H105" s="19">
        <v>2.0</v>
      </c>
      <c r="I105" s="19">
        <v>9.0</v>
      </c>
      <c r="J105" s="19">
        <v>32.0</v>
      </c>
      <c r="K105" s="19">
        <v>7.0</v>
      </c>
      <c r="L105" s="19">
        <v>6.0</v>
      </c>
      <c r="M105" s="19">
        <v>8.0</v>
      </c>
      <c r="N105" s="19">
        <v>23.0</v>
      </c>
      <c r="O105" s="13">
        <f t="shared" ref="O105:O115" si="24">SUM(E105:N105)</f>
        <v>112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/>
      <c r="N106" s="19">
        <v>0.0</v>
      </c>
      <c r="O106" s="13">
        <f t="shared" si="24"/>
        <v>0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/>
      <c r="N107" s="19">
        <v>0.0</v>
      </c>
      <c r="O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/>
      <c r="N108" s="19">
        <v>0.0</v>
      </c>
      <c r="O108" s="13">
        <f t="shared" si="24"/>
        <v>1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/>
      <c r="N109" s="19">
        <v>0.0</v>
      </c>
      <c r="O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/>
      <c r="N110" s="19">
        <v>0.0</v>
      </c>
      <c r="O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/>
      <c r="N111" s="19">
        <v>0.0</v>
      </c>
      <c r="O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/>
      <c r="N112" s="19">
        <v>0.0</v>
      </c>
      <c r="O112" s="13">
        <f t="shared" si="24"/>
        <v>0</v>
      </c>
    </row>
    <row r="113" ht="12.75" customHeight="1">
      <c r="A113" s="18"/>
      <c r="B113" s="72"/>
      <c r="C113" s="73"/>
      <c r="D113" s="75"/>
      <c r="E113" s="19">
        <v>0.0</v>
      </c>
      <c r="F113" s="19">
        <v>0.0</v>
      </c>
      <c r="G113" s="19">
        <v>0.0</v>
      </c>
      <c r="H113" s="19">
        <v>1.0</v>
      </c>
      <c r="I113" s="19">
        <v>0.0</v>
      </c>
      <c r="J113" s="19">
        <v>0.0</v>
      </c>
      <c r="K113" s="19">
        <v>0.0</v>
      </c>
      <c r="L113" s="19">
        <v>0.0</v>
      </c>
      <c r="M113" s="19"/>
      <c r="N113" s="19">
        <v>0.0</v>
      </c>
      <c r="O113" s="13">
        <f t="shared" si="24"/>
        <v>1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N115" si="25">SUM(E105:E112)</f>
        <v>6</v>
      </c>
      <c r="F115" s="13">
        <f t="shared" si="25"/>
        <v>6</v>
      </c>
      <c r="G115" s="13">
        <f t="shared" si="25"/>
        <v>13</v>
      </c>
      <c r="H115" s="13">
        <f t="shared" si="25"/>
        <v>2</v>
      </c>
      <c r="I115" s="13">
        <f t="shared" si="25"/>
        <v>10</v>
      </c>
      <c r="J115" s="13">
        <f t="shared" si="25"/>
        <v>32</v>
      </c>
      <c r="K115" s="13">
        <f t="shared" si="25"/>
        <v>8</v>
      </c>
      <c r="L115" s="13">
        <f t="shared" si="25"/>
        <v>6</v>
      </c>
      <c r="M115" s="13">
        <f t="shared" si="25"/>
        <v>8</v>
      </c>
      <c r="N115" s="13">
        <f t="shared" si="25"/>
        <v>23</v>
      </c>
      <c r="O115" s="13">
        <f t="shared" si="24"/>
        <v>114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1.0</v>
      </c>
      <c r="F117" s="19">
        <v>1.0</v>
      </c>
      <c r="G117" s="19">
        <v>0.0</v>
      </c>
      <c r="H117" s="19">
        <v>0.0</v>
      </c>
      <c r="I117" s="19">
        <v>0.0</v>
      </c>
      <c r="J117" s="19">
        <v>2.0</v>
      </c>
      <c r="K117" s="19">
        <v>2.0</v>
      </c>
      <c r="L117" s="19">
        <v>4.0</v>
      </c>
      <c r="M117" s="19">
        <v>1.0</v>
      </c>
      <c r="N117" s="19">
        <v>5.0</v>
      </c>
      <c r="O117" s="13">
        <f t="shared" ref="O117:O127" si="26">SUM(E117:N117)</f>
        <v>16</v>
      </c>
      <c r="P117" s="5"/>
      <c r="Q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2.0</v>
      </c>
      <c r="F118" s="19">
        <v>1.0</v>
      </c>
      <c r="G118" s="19">
        <v>0.0</v>
      </c>
      <c r="H118" s="19">
        <v>0.0</v>
      </c>
      <c r="I118" s="19">
        <v>0.0</v>
      </c>
      <c r="J118" s="19">
        <v>2.0</v>
      </c>
      <c r="K118" s="19">
        <v>4.0</v>
      </c>
      <c r="L118" s="19">
        <v>0.0</v>
      </c>
      <c r="M118" s="19">
        <v>0.0</v>
      </c>
      <c r="N118" s="19">
        <v>3.0</v>
      </c>
      <c r="O118" s="13">
        <f t="shared" si="26"/>
        <v>12</v>
      </c>
      <c r="P118" s="5"/>
      <c r="Q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3">
        <f t="shared" si="26"/>
        <v>1</v>
      </c>
      <c r="P119" s="5"/>
      <c r="Q119" s="5"/>
    </row>
    <row r="120" ht="12.75" customHeight="1">
      <c r="A120" s="18"/>
      <c r="B120" s="57">
        <v>3.0</v>
      </c>
      <c r="C120" s="52" t="s">
        <v>94</v>
      </c>
      <c r="D120" s="60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3">
        <f t="shared" si="26"/>
        <v>2</v>
      </c>
      <c r="P120" s="5"/>
      <c r="Q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3">
        <f t="shared" si="26"/>
        <v>0</v>
      </c>
      <c r="P121" s="5"/>
      <c r="Q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3">
        <f t="shared" si="26"/>
        <v>0</v>
      </c>
      <c r="P122" s="5"/>
      <c r="Q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13">
        <f t="shared" si="26"/>
        <v>0</v>
      </c>
      <c r="P123" s="5"/>
      <c r="Q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13">
        <f t="shared" si="26"/>
        <v>0</v>
      </c>
      <c r="P124" s="5"/>
      <c r="Q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13">
        <f t="shared" si="26"/>
        <v>0</v>
      </c>
      <c r="P125" s="5"/>
      <c r="Q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13">
        <f t="shared" si="26"/>
        <v>0</v>
      </c>
      <c r="P126" s="5"/>
      <c r="Q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N127" si="27">SUM(E117:E120)</f>
        <v>4</v>
      </c>
      <c r="F127" s="61">
        <f t="shared" si="27"/>
        <v>2</v>
      </c>
      <c r="G127" s="61">
        <f t="shared" si="27"/>
        <v>0</v>
      </c>
      <c r="H127" s="61">
        <f t="shared" si="27"/>
        <v>0</v>
      </c>
      <c r="I127" s="61">
        <f t="shared" si="27"/>
        <v>0</v>
      </c>
      <c r="J127" s="61">
        <f t="shared" si="27"/>
        <v>4</v>
      </c>
      <c r="K127" s="61">
        <f t="shared" si="27"/>
        <v>7</v>
      </c>
      <c r="L127" s="61">
        <f t="shared" si="27"/>
        <v>4</v>
      </c>
      <c r="M127" s="61">
        <f t="shared" si="27"/>
        <v>2</v>
      </c>
      <c r="N127" s="61">
        <f t="shared" si="27"/>
        <v>8</v>
      </c>
      <c r="O127" s="13">
        <f t="shared" si="26"/>
        <v>31</v>
      </c>
      <c r="P127" s="5"/>
      <c r="Q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5"/>
      <c r="Q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1.0</v>
      </c>
      <c r="F129" s="19">
        <v>1.0</v>
      </c>
      <c r="G129" s="19">
        <v>1.0</v>
      </c>
      <c r="H129" s="19">
        <v>3.0</v>
      </c>
      <c r="I129" s="19">
        <v>0.0</v>
      </c>
      <c r="J129" s="19">
        <v>0.0</v>
      </c>
      <c r="K129" s="19">
        <v>0.0</v>
      </c>
      <c r="L129" s="19">
        <v>2.0</v>
      </c>
      <c r="M129" s="19">
        <v>1.0</v>
      </c>
      <c r="N129" s="19">
        <v>2.0</v>
      </c>
      <c r="O129" s="13">
        <f t="shared" ref="O129:O139" si="28">SUM(E129:N129)</f>
        <v>11</v>
      </c>
      <c r="P129" s="5"/>
      <c r="Q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2.0</v>
      </c>
      <c r="G130" s="19">
        <v>0.0</v>
      </c>
      <c r="H130" s="19">
        <v>1.0</v>
      </c>
      <c r="I130" s="19">
        <v>2.0</v>
      </c>
      <c r="J130" s="19">
        <v>0.0</v>
      </c>
      <c r="K130" s="19">
        <v>0.0</v>
      </c>
      <c r="L130" s="19">
        <v>2.0</v>
      </c>
      <c r="M130" s="19">
        <v>5.0</v>
      </c>
      <c r="N130" s="19">
        <v>11.0</v>
      </c>
      <c r="O130" s="13">
        <f t="shared" si="28"/>
        <v>23</v>
      </c>
      <c r="P130" s="1"/>
      <c r="Q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4.0</v>
      </c>
      <c r="G131" s="19">
        <v>1.0</v>
      </c>
      <c r="H131" s="19">
        <v>0.0</v>
      </c>
      <c r="I131" s="19">
        <v>2.0</v>
      </c>
      <c r="J131" s="19">
        <v>1.0</v>
      </c>
      <c r="K131" s="19">
        <v>1.0</v>
      </c>
      <c r="L131" s="19">
        <v>1.0</v>
      </c>
      <c r="M131" s="19">
        <v>0.0</v>
      </c>
      <c r="N131" s="19">
        <v>1.0</v>
      </c>
      <c r="O131" s="13">
        <f t="shared" si="28"/>
        <v>12</v>
      </c>
      <c r="P131" s="54"/>
      <c r="Q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3">
        <f t="shared" si="28"/>
        <v>1</v>
      </c>
      <c r="P132" s="5"/>
      <c r="Q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3">
        <f t="shared" si="28"/>
        <v>1</v>
      </c>
      <c r="P133" s="5"/>
      <c r="Q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3.0</v>
      </c>
      <c r="O134" s="13">
        <f t="shared" si="28"/>
        <v>5</v>
      </c>
      <c r="P134" s="5"/>
      <c r="Q134" s="5"/>
    </row>
    <row r="135" ht="12.75" customHeight="1">
      <c r="A135" s="18"/>
      <c r="B135" s="57">
        <v>6.0</v>
      </c>
      <c r="C135" s="52" t="s">
        <v>102</v>
      </c>
      <c r="D135" s="60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3">
        <f t="shared" si="28"/>
        <v>0</v>
      </c>
      <c r="P135" s="5"/>
      <c r="Q135" s="5"/>
    </row>
    <row r="136" ht="12.75" customHeight="1">
      <c r="A136" s="18"/>
      <c r="B136" s="57">
        <v>7.0</v>
      </c>
      <c r="C136" s="52" t="s">
        <v>103</v>
      </c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3">
        <f t="shared" si="28"/>
        <v>0</v>
      </c>
      <c r="P136" s="5"/>
      <c r="Q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3">
        <f t="shared" si="28"/>
        <v>0</v>
      </c>
      <c r="P137" s="5"/>
      <c r="Q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3">
        <f t="shared" si="28"/>
        <v>0</v>
      </c>
      <c r="P138" s="5"/>
      <c r="Q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N139" si="29">SUM(E129:E136)</f>
        <v>2</v>
      </c>
      <c r="F139" s="13">
        <f t="shared" si="29"/>
        <v>8</v>
      </c>
      <c r="G139" s="13">
        <f t="shared" si="29"/>
        <v>3</v>
      </c>
      <c r="H139" s="13">
        <f t="shared" si="29"/>
        <v>4</v>
      </c>
      <c r="I139" s="13">
        <f t="shared" si="29"/>
        <v>4</v>
      </c>
      <c r="J139" s="13">
        <f t="shared" si="29"/>
        <v>1</v>
      </c>
      <c r="K139" s="13">
        <f t="shared" si="29"/>
        <v>2</v>
      </c>
      <c r="L139" s="13">
        <f t="shared" si="29"/>
        <v>6</v>
      </c>
      <c r="M139" s="13">
        <f t="shared" si="29"/>
        <v>6</v>
      </c>
      <c r="N139" s="13">
        <f t="shared" si="29"/>
        <v>17</v>
      </c>
      <c r="O139" s="13">
        <f t="shared" si="28"/>
        <v>53</v>
      </c>
      <c r="P139" s="5"/>
      <c r="Q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5"/>
      <c r="Q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/>
      <c r="N141" s="19">
        <v>0.0</v>
      </c>
      <c r="O141" s="13">
        <f t="shared" ref="O141:O151" si="30">SUM(E141:N141)</f>
        <v>0</v>
      </c>
      <c r="P141" s="1"/>
      <c r="Q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/>
      <c r="N142" s="19">
        <v>0.0</v>
      </c>
      <c r="O142" s="13">
        <f t="shared" si="30"/>
        <v>0</v>
      </c>
      <c r="P142" s="54"/>
      <c r="Q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/>
      <c r="N143" s="19">
        <v>0.0</v>
      </c>
      <c r="O143" s="13">
        <f t="shared" si="30"/>
        <v>0</v>
      </c>
      <c r="P143" s="5"/>
      <c r="Q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/>
      <c r="N144" s="19">
        <v>0.0</v>
      </c>
      <c r="O144" s="13">
        <f t="shared" si="30"/>
        <v>0</v>
      </c>
      <c r="P144" s="5"/>
      <c r="Q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/>
      <c r="N145" s="19">
        <v>0.0</v>
      </c>
      <c r="O145" s="13">
        <f t="shared" si="30"/>
        <v>0</v>
      </c>
      <c r="P145" s="5"/>
      <c r="Q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/>
      <c r="N146" s="19">
        <v>0.0</v>
      </c>
      <c r="O146" s="13">
        <f t="shared" si="30"/>
        <v>0</v>
      </c>
      <c r="P146" s="5"/>
      <c r="Q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1.0</v>
      </c>
      <c r="M147" s="19"/>
      <c r="N147" s="19">
        <v>0.0</v>
      </c>
      <c r="O147" s="13">
        <f t="shared" si="30"/>
        <v>1</v>
      </c>
      <c r="P147" s="5"/>
      <c r="Q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/>
      <c r="N148" s="19">
        <v>0.0</v>
      </c>
      <c r="O148" s="13">
        <f t="shared" si="30"/>
        <v>0</v>
      </c>
      <c r="P148" s="5"/>
      <c r="Q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3">
        <f t="shared" si="30"/>
        <v>0</v>
      </c>
      <c r="P149" s="5"/>
      <c r="Q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3">
        <f t="shared" si="30"/>
        <v>0</v>
      </c>
      <c r="P150" s="5"/>
      <c r="Q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0"/>
        <v>1</v>
      </c>
      <c r="P151" s="1"/>
      <c r="Q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13"/>
      <c r="P152" s="54"/>
      <c r="Q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1.0</v>
      </c>
      <c r="G153" s="19">
        <v>0.0</v>
      </c>
      <c r="H153" s="19">
        <v>0.0</v>
      </c>
      <c r="I153" s="19">
        <v>1.0</v>
      </c>
      <c r="J153" s="19">
        <v>1.0</v>
      </c>
      <c r="K153" s="19">
        <v>0.0</v>
      </c>
      <c r="L153" s="19">
        <v>0.0</v>
      </c>
      <c r="M153" s="19"/>
      <c r="N153" s="19">
        <v>0.0</v>
      </c>
      <c r="O153" s="13">
        <f t="shared" ref="O153:O162" si="32">SUM(E153:N153)</f>
        <v>3</v>
      </c>
      <c r="P153" s="5"/>
      <c r="Q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1.0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/>
      <c r="N154" s="19">
        <v>0.0</v>
      </c>
      <c r="O154" s="13">
        <f t="shared" si="32"/>
        <v>3</v>
      </c>
      <c r="P154" s="5"/>
      <c r="Q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1.0</v>
      </c>
      <c r="G155" s="19">
        <v>1.0</v>
      </c>
      <c r="H155" s="19">
        <v>2.0</v>
      </c>
      <c r="I155" s="19">
        <v>0.0</v>
      </c>
      <c r="J155" s="19">
        <v>0.0</v>
      </c>
      <c r="K155" s="19">
        <v>0.0</v>
      </c>
      <c r="L155" s="19">
        <v>0.0</v>
      </c>
      <c r="M155" s="19"/>
      <c r="N155" s="19">
        <v>0.0</v>
      </c>
      <c r="O155" s="13">
        <f t="shared" si="32"/>
        <v>4</v>
      </c>
      <c r="P155" s="5"/>
      <c r="Q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/>
      <c r="N156" s="19">
        <v>0.0</v>
      </c>
      <c r="O156" s="13">
        <f t="shared" si="32"/>
        <v>0</v>
      </c>
      <c r="P156" s="5"/>
      <c r="Q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/>
      <c r="N157" s="19">
        <v>0.0</v>
      </c>
      <c r="O157" s="13">
        <f t="shared" si="32"/>
        <v>0</v>
      </c>
      <c r="P157" s="5"/>
      <c r="Q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3">
        <f t="shared" si="32"/>
        <v>0</v>
      </c>
      <c r="P158" s="5"/>
      <c r="Q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3">
        <f t="shared" si="32"/>
        <v>0</v>
      </c>
      <c r="P159" s="5"/>
      <c r="Q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3">
        <f t="shared" si="32"/>
        <v>0</v>
      </c>
      <c r="P160" s="5"/>
      <c r="Q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3">
        <f t="shared" si="32"/>
        <v>0</v>
      </c>
      <c r="P161" s="5"/>
      <c r="Q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3">
        <f t="shared" si="32"/>
        <v>0</v>
      </c>
      <c r="P162" s="5"/>
      <c r="Q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N163" si="33">SUM(E153:E157)</f>
        <v>1</v>
      </c>
      <c r="F163" s="13">
        <f t="shared" si="33"/>
        <v>3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>SUM(E164:N164)</f>
        <v>0</v>
      </c>
      <c r="P163" s="5"/>
      <c r="Q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5"/>
      <c r="Q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1.0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/>
      <c r="N165" s="19">
        <v>0.0</v>
      </c>
      <c r="O165" s="13">
        <f t="shared" ref="O165:O175" si="34">SUM(E165:N165)</f>
        <v>2</v>
      </c>
      <c r="P165" s="1"/>
      <c r="Q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1.0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/>
      <c r="N166" s="19">
        <v>0.0</v>
      </c>
      <c r="O166" s="13">
        <f t="shared" si="34"/>
        <v>2</v>
      </c>
      <c r="P166" s="54"/>
      <c r="Q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/>
      <c r="N167" s="19">
        <v>0.0</v>
      </c>
      <c r="O167" s="13">
        <f t="shared" si="34"/>
        <v>1</v>
      </c>
      <c r="P167" s="5"/>
      <c r="Q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/>
      <c r="N168" s="19">
        <v>0.0</v>
      </c>
      <c r="O168" s="13">
        <f t="shared" si="34"/>
        <v>0</v>
      </c>
      <c r="P168" s="5"/>
      <c r="Q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/>
      <c r="N169" s="19">
        <v>0.0</v>
      </c>
      <c r="O169" s="13">
        <f t="shared" si="34"/>
        <v>1</v>
      </c>
      <c r="P169" s="5"/>
      <c r="Q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/>
      <c r="N170" s="19">
        <v>0.0</v>
      </c>
      <c r="O170" s="13">
        <f t="shared" si="34"/>
        <v>0</v>
      </c>
      <c r="P170" s="5"/>
      <c r="Q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/>
      <c r="N171" s="19">
        <v>0.0</v>
      </c>
      <c r="O171" s="13">
        <f t="shared" si="34"/>
        <v>0</v>
      </c>
      <c r="P171" s="5"/>
      <c r="Q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/>
      <c r="N172" s="19">
        <v>0.0</v>
      </c>
      <c r="O172" s="13">
        <f t="shared" si="34"/>
        <v>0</v>
      </c>
      <c r="P172" s="5"/>
      <c r="Q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3">
        <f t="shared" si="34"/>
        <v>0</v>
      </c>
      <c r="P173" s="5"/>
      <c r="Q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3">
        <f t="shared" si="34"/>
        <v>0</v>
      </c>
      <c r="P174" s="5"/>
      <c r="Q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N175" si="35">SUM(E165:E172)</f>
        <v>0</v>
      </c>
      <c r="F175" s="13">
        <f t="shared" si="35"/>
        <v>2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4"/>
        <v>6</v>
      </c>
      <c r="P175" s="5"/>
      <c r="Q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1"/>
      <c r="Q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/>
      <c r="N177" s="19">
        <v>0.0</v>
      </c>
      <c r="O177" s="13">
        <f t="shared" ref="O177:O187" si="36">SUM(E177:N177)</f>
        <v>1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1.0</v>
      </c>
      <c r="F178" s="19">
        <v>0.0</v>
      </c>
      <c r="G178" s="19">
        <v>0.0</v>
      </c>
      <c r="H178" s="19">
        <v>1.0</v>
      </c>
      <c r="I178" s="19">
        <v>0.0</v>
      </c>
      <c r="J178" s="19">
        <v>4.0</v>
      </c>
      <c r="K178" s="19">
        <v>0.0</v>
      </c>
      <c r="L178" s="19">
        <v>0.0</v>
      </c>
      <c r="M178" s="19"/>
      <c r="N178" s="19">
        <v>0.0</v>
      </c>
      <c r="O178" s="13">
        <f t="shared" si="36"/>
        <v>6</v>
      </c>
      <c r="P178" s="5"/>
      <c r="Q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1.0</v>
      </c>
      <c r="M179" s="19"/>
      <c r="N179" s="19">
        <v>0.0</v>
      </c>
      <c r="O179" s="13">
        <f t="shared" si="36"/>
        <v>2</v>
      </c>
      <c r="P179" s="5"/>
      <c r="Q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/>
      <c r="N180" s="19">
        <v>0.0</v>
      </c>
      <c r="O180" s="13">
        <f t="shared" si="36"/>
        <v>0</v>
      </c>
      <c r="P180" s="5"/>
      <c r="Q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/>
      <c r="N181" s="19">
        <v>0.0</v>
      </c>
      <c r="O181" s="13">
        <f t="shared" si="36"/>
        <v>0</v>
      </c>
      <c r="P181" s="5"/>
      <c r="Q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/>
      <c r="N182" s="19">
        <v>0.0</v>
      </c>
      <c r="O182" s="13">
        <f t="shared" si="36"/>
        <v>1</v>
      </c>
      <c r="P182" s="5"/>
      <c r="Q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1.0</v>
      </c>
      <c r="K183" s="19">
        <v>0.0</v>
      </c>
      <c r="L183" s="19">
        <v>0.0</v>
      </c>
      <c r="M183" s="19"/>
      <c r="N183" s="19">
        <v>0.0</v>
      </c>
      <c r="O183" s="13">
        <f t="shared" si="36"/>
        <v>1</v>
      </c>
      <c r="P183" s="5"/>
      <c r="Q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/>
      <c r="N184" s="19">
        <v>0.0</v>
      </c>
      <c r="O184" s="13">
        <f t="shared" si="36"/>
        <v>0</v>
      </c>
      <c r="P184" s="5"/>
      <c r="Q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3">
        <f t="shared" si="36"/>
        <v>0</v>
      </c>
      <c r="P185" s="5"/>
      <c r="Q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3">
        <f t="shared" si="36"/>
        <v>0</v>
      </c>
      <c r="P186" s="5"/>
      <c r="Q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N187" si="37">SUM(E177:E184)</f>
        <v>1</v>
      </c>
      <c r="F187" s="13">
        <f t="shared" si="37"/>
        <v>0</v>
      </c>
      <c r="G187" s="13">
        <f t="shared" si="37"/>
        <v>0</v>
      </c>
      <c r="H187" s="13">
        <f t="shared" si="37"/>
        <v>1</v>
      </c>
      <c r="I187" s="13">
        <f t="shared" si="37"/>
        <v>0</v>
      </c>
      <c r="J187" s="13">
        <f t="shared" si="37"/>
        <v>7</v>
      </c>
      <c r="K187" s="13">
        <f t="shared" si="37"/>
        <v>0</v>
      </c>
      <c r="L187" s="13">
        <f t="shared" si="37"/>
        <v>2</v>
      </c>
      <c r="M187" s="13">
        <f t="shared" si="37"/>
        <v>0</v>
      </c>
      <c r="N187" s="13">
        <f t="shared" si="37"/>
        <v>0</v>
      </c>
      <c r="O187" s="13">
        <f t="shared" si="36"/>
        <v>11</v>
      </c>
      <c r="P187" s="1"/>
      <c r="Q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1.0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/>
      <c r="N189" s="19">
        <v>0.0</v>
      </c>
      <c r="O189" s="13">
        <f t="shared" ref="O189:O199" si="38">SUM(E189:N189)</f>
        <v>2</v>
      </c>
      <c r="P189" s="5"/>
      <c r="Q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/>
      <c r="N190" s="19">
        <v>0.0</v>
      </c>
      <c r="O190" s="13">
        <f t="shared" si="38"/>
        <v>1</v>
      </c>
      <c r="P190" s="5"/>
      <c r="Q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2.0</v>
      </c>
      <c r="I191" s="19">
        <v>0.0</v>
      </c>
      <c r="J191" s="19">
        <v>0.0</v>
      </c>
      <c r="K191" s="19">
        <v>0.0</v>
      </c>
      <c r="L191" s="19">
        <v>0.0</v>
      </c>
      <c r="M191" s="19"/>
      <c r="N191" s="19">
        <v>0.0</v>
      </c>
      <c r="O191" s="13">
        <f t="shared" si="38"/>
        <v>2</v>
      </c>
      <c r="P191" s="5"/>
      <c r="Q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/>
      <c r="N192" s="19">
        <v>0.0</v>
      </c>
      <c r="O192" s="13">
        <f t="shared" si="38"/>
        <v>0</v>
      </c>
      <c r="P192" s="5"/>
      <c r="Q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/>
      <c r="N193" s="19">
        <v>0.0</v>
      </c>
      <c r="O193" s="13">
        <f t="shared" si="38"/>
        <v>0</v>
      </c>
      <c r="P193" s="5"/>
      <c r="Q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/>
      <c r="N194" s="19">
        <v>0.0</v>
      </c>
      <c r="O194" s="13">
        <f t="shared" si="38"/>
        <v>0</v>
      </c>
      <c r="P194" s="5"/>
      <c r="Q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/>
      <c r="N195" s="19">
        <v>0.0</v>
      </c>
      <c r="O195" s="13">
        <f t="shared" si="38"/>
        <v>0</v>
      </c>
      <c r="P195" s="5"/>
      <c r="Q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/>
      <c r="N196" s="19">
        <v>0.0</v>
      </c>
      <c r="O196" s="13">
        <f t="shared" si="38"/>
        <v>0</v>
      </c>
      <c r="P196" s="1"/>
      <c r="Q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3">
        <f t="shared" si="38"/>
        <v>0</v>
      </c>
      <c r="P197" s="1"/>
      <c r="Q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3">
        <f t="shared" si="38"/>
        <v>0</v>
      </c>
      <c r="P198" s="1"/>
      <c r="Q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N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3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8"/>
        <v>5</v>
      </c>
      <c r="P199" s="54"/>
      <c r="Q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5"/>
      <c r="Q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3.0</v>
      </c>
      <c r="F201" s="19">
        <v>6.0</v>
      </c>
      <c r="G201" s="19">
        <v>6.0</v>
      </c>
      <c r="H201" s="19">
        <v>3.0</v>
      </c>
      <c r="I201" s="19">
        <v>0.0</v>
      </c>
      <c r="J201" s="19">
        <v>4.0</v>
      </c>
      <c r="K201" s="19">
        <v>5.0</v>
      </c>
      <c r="L201" s="19">
        <v>3.0</v>
      </c>
      <c r="M201" s="19">
        <v>1.0</v>
      </c>
      <c r="N201" s="19">
        <v>8.0</v>
      </c>
      <c r="O201" s="13">
        <f t="shared" ref="O201:O211" si="40">SUM(E201:N201)</f>
        <v>39</v>
      </c>
      <c r="P201" s="5"/>
      <c r="Q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11.0</v>
      </c>
      <c r="F202" s="19">
        <v>3.0</v>
      </c>
      <c r="G202" s="19">
        <v>0.0</v>
      </c>
      <c r="H202" s="19">
        <v>1.0</v>
      </c>
      <c r="I202" s="19">
        <v>1.0</v>
      </c>
      <c r="J202" s="19">
        <v>2.0</v>
      </c>
      <c r="K202" s="19">
        <v>4.0</v>
      </c>
      <c r="L202" s="19">
        <v>6.0</v>
      </c>
      <c r="M202" s="19">
        <v>0.0</v>
      </c>
      <c r="N202" s="19">
        <v>3.0</v>
      </c>
      <c r="O202" s="13">
        <f t="shared" si="40"/>
        <v>31</v>
      </c>
      <c r="P202" s="5"/>
      <c r="Q202" s="5"/>
    </row>
    <row r="203" ht="12.75" customHeight="1">
      <c r="A203" s="18"/>
      <c r="B203" s="57">
        <v>2.0</v>
      </c>
      <c r="C203" s="52" t="s">
        <v>149</v>
      </c>
      <c r="D203" s="60"/>
      <c r="E203" s="19">
        <v>2.0</v>
      </c>
      <c r="F203" s="19">
        <v>2.0</v>
      </c>
      <c r="G203" s="19">
        <v>1.0</v>
      </c>
      <c r="H203" s="19">
        <v>6.0</v>
      </c>
      <c r="I203" s="19">
        <v>0.0</v>
      </c>
      <c r="J203" s="19">
        <v>7.0</v>
      </c>
      <c r="K203" s="19">
        <v>6.0</v>
      </c>
      <c r="L203" s="19">
        <v>14.0</v>
      </c>
      <c r="M203" s="19">
        <v>1.0</v>
      </c>
      <c r="N203" s="19">
        <v>4.0</v>
      </c>
      <c r="O203" s="13">
        <f t="shared" si="40"/>
        <v>43</v>
      </c>
      <c r="P203" s="5"/>
      <c r="Q203" s="5"/>
    </row>
    <row r="204" ht="12.75" customHeight="1">
      <c r="A204" s="18"/>
      <c r="B204" s="57">
        <v>3.0</v>
      </c>
      <c r="C204" s="52" t="s">
        <v>150</v>
      </c>
      <c r="D204" s="60"/>
      <c r="E204" s="19">
        <v>2.0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3">
        <f t="shared" si="40"/>
        <v>2</v>
      </c>
      <c r="P204" s="5"/>
      <c r="Q204" s="5"/>
    </row>
    <row r="205" ht="12.75" customHeight="1">
      <c r="A205" s="18"/>
      <c r="B205" s="57">
        <v>4.0</v>
      </c>
      <c r="C205" s="52" t="s">
        <v>151</v>
      </c>
      <c r="D205" s="60"/>
      <c r="E205" s="19">
        <v>1.0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3">
        <f t="shared" si="40"/>
        <v>1</v>
      </c>
      <c r="P205" s="5"/>
      <c r="Q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1.0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1.0</v>
      </c>
      <c r="O206" s="13">
        <f t="shared" si="40"/>
        <v>4</v>
      </c>
      <c r="P206" s="5"/>
      <c r="Q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3">
        <f t="shared" si="40"/>
        <v>1</v>
      </c>
      <c r="P207" s="1"/>
      <c r="Q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3">
        <f t="shared" si="40"/>
        <v>1</v>
      </c>
      <c r="P208" s="54"/>
      <c r="Q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3">
        <f t="shared" si="40"/>
        <v>0</v>
      </c>
      <c r="P209" s="54"/>
      <c r="Q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3">
        <f t="shared" si="40"/>
        <v>0</v>
      </c>
      <c r="P210" s="54"/>
      <c r="Q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N211" si="41">SUM(E201:E208)</f>
        <v>19</v>
      </c>
      <c r="F211" s="13">
        <f t="shared" si="41"/>
        <v>12</v>
      </c>
      <c r="G211" s="13">
        <f t="shared" si="41"/>
        <v>8</v>
      </c>
      <c r="H211" s="13">
        <f t="shared" si="41"/>
        <v>10</v>
      </c>
      <c r="I211" s="13">
        <f t="shared" si="41"/>
        <v>1</v>
      </c>
      <c r="J211" s="13">
        <f t="shared" si="41"/>
        <v>13</v>
      </c>
      <c r="K211" s="13">
        <f t="shared" si="41"/>
        <v>15</v>
      </c>
      <c r="L211" s="13">
        <f t="shared" si="41"/>
        <v>26</v>
      </c>
      <c r="M211" s="13">
        <f t="shared" si="41"/>
        <v>2</v>
      </c>
      <c r="N211" s="13">
        <f t="shared" si="41"/>
        <v>16</v>
      </c>
      <c r="O211" s="13">
        <f t="shared" si="40"/>
        <v>122</v>
      </c>
      <c r="P211" s="5"/>
      <c r="Q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5"/>
      <c r="Q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1.0</v>
      </c>
      <c r="F213" s="19">
        <v>0.0</v>
      </c>
      <c r="G213" s="19">
        <v>0.0</v>
      </c>
      <c r="H213" s="19">
        <v>1.0</v>
      </c>
      <c r="I213" s="19">
        <v>0.0</v>
      </c>
      <c r="J213" s="19">
        <v>0.0</v>
      </c>
      <c r="K213" s="19">
        <v>0.0</v>
      </c>
      <c r="L213" s="19">
        <v>1.0</v>
      </c>
      <c r="M213" s="19">
        <v>1.0</v>
      </c>
      <c r="N213" s="19">
        <v>0.0</v>
      </c>
      <c r="O213" s="13">
        <f t="shared" ref="O213:O223" si="42">SUM(E213:N213)</f>
        <v>4</v>
      </c>
      <c r="P213" s="5"/>
      <c r="Q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2.0</v>
      </c>
      <c r="F214" s="19">
        <v>0.0</v>
      </c>
      <c r="G214" s="19">
        <v>0.0</v>
      </c>
      <c r="H214" s="19">
        <v>0.0</v>
      </c>
      <c r="I214" s="19">
        <v>0.0</v>
      </c>
      <c r="J214" s="19">
        <v>1.0</v>
      </c>
      <c r="K214" s="19">
        <v>1.0</v>
      </c>
      <c r="L214" s="19">
        <v>3.0</v>
      </c>
      <c r="M214" s="19"/>
      <c r="N214" s="19">
        <v>0.0</v>
      </c>
      <c r="O214" s="13">
        <f t="shared" si="42"/>
        <v>7</v>
      </c>
      <c r="P214" s="5"/>
      <c r="Q214" s="5"/>
    </row>
    <row r="215" ht="12.75" customHeight="1">
      <c r="A215" s="18"/>
      <c r="B215" s="57">
        <v>2.0</v>
      </c>
      <c r="C215" s="52" t="s">
        <v>158</v>
      </c>
      <c r="D215" s="58"/>
      <c r="E215" s="19">
        <v>1.0</v>
      </c>
      <c r="F215" s="19">
        <v>3.0</v>
      </c>
      <c r="G215" s="19">
        <v>1.0</v>
      </c>
      <c r="H215" s="19">
        <v>0.0</v>
      </c>
      <c r="I215" s="19">
        <v>0.0</v>
      </c>
      <c r="J215" s="19">
        <v>0.0</v>
      </c>
      <c r="K215" s="19">
        <v>0.0</v>
      </c>
      <c r="L215" s="19">
        <v>2.0</v>
      </c>
      <c r="M215" s="19"/>
      <c r="N215" s="19">
        <v>0.0</v>
      </c>
      <c r="O215" s="13">
        <f t="shared" si="42"/>
        <v>7</v>
      </c>
      <c r="P215" s="5"/>
      <c r="Q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/>
      <c r="N216" s="19">
        <v>0.0</v>
      </c>
      <c r="O216" s="13">
        <f t="shared" si="42"/>
        <v>0</v>
      </c>
      <c r="P216" s="5"/>
      <c r="Q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/>
      <c r="N217" s="19">
        <v>0.0</v>
      </c>
      <c r="O217" s="13">
        <f t="shared" si="42"/>
        <v>0</v>
      </c>
      <c r="P217" s="5"/>
      <c r="Q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/>
      <c r="N218" s="19">
        <v>0.0</v>
      </c>
      <c r="O218" s="13">
        <f t="shared" si="42"/>
        <v>0</v>
      </c>
      <c r="P218" s="1"/>
      <c r="Q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/>
      <c r="N219" s="19">
        <v>0.0</v>
      </c>
      <c r="O219" s="13">
        <f t="shared" si="42"/>
        <v>0</v>
      </c>
      <c r="P219" s="54"/>
      <c r="Q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/>
      <c r="N220" s="19">
        <v>0.0</v>
      </c>
      <c r="O220" s="13">
        <f t="shared" si="42"/>
        <v>1</v>
      </c>
      <c r="P220" s="5"/>
      <c r="Q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3">
        <f t="shared" si="42"/>
        <v>0</v>
      </c>
      <c r="P221" s="5"/>
      <c r="Q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3">
        <f t="shared" si="42"/>
        <v>0</v>
      </c>
      <c r="P222" s="5"/>
      <c r="Q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N223" si="43">SUM(E213:E220)</f>
        <v>4</v>
      </c>
      <c r="F223" s="13">
        <f t="shared" si="43"/>
        <v>3</v>
      </c>
      <c r="G223" s="13">
        <f t="shared" si="43"/>
        <v>1</v>
      </c>
      <c r="H223" s="13">
        <f t="shared" si="43"/>
        <v>1</v>
      </c>
      <c r="I223" s="13">
        <f t="shared" si="43"/>
        <v>0</v>
      </c>
      <c r="J223" s="13">
        <f t="shared" si="43"/>
        <v>1</v>
      </c>
      <c r="K223" s="13">
        <f t="shared" si="43"/>
        <v>1</v>
      </c>
      <c r="L223" s="13">
        <f t="shared" si="43"/>
        <v>7</v>
      </c>
      <c r="M223" s="13">
        <f t="shared" si="43"/>
        <v>1</v>
      </c>
      <c r="N223" s="13">
        <f t="shared" si="43"/>
        <v>0</v>
      </c>
      <c r="O223" s="13">
        <f t="shared" si="42"/>
        <v>19</v>
      </c>
      <c r="P223" s="5"/>
      <c r="Q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5"/>
      <c r="Q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/>
      <c r="N225" s="19">
        <v>0.0</v>
      </c>
      <c r="O225" s="13">
        <f t="shared" ref="O225:O235" si="44">SUM(E225:N225)</f>
        <v>0</v>
      </c>
      <c r="P225" s="5"/>
      <c r="Q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/>
      <c r="N226" s="19">
        <v>0.0</v>
      </c>
      <c r="O226" s="13">
        <f t="shared" si="44"/>
        <v>1</v>
      </c>
      <c r="P226" s="5"/>
      <c r="Q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/>
      <c r="N227" s="19">
        <v>0.0</v>
      </c>
      <c r="O227" s="13">
        <f t="shared" si="44"/>
        <v>0</v>
      </c>
      <c r="P227" s="5"/>
      <c r="Q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/>
      <c r="N228" s="19">
        <v>0.0</v>
      </c>
      <c r="O228" s="13">
        <f t="shared" si="44"/>
        <v>0</v>
      </c>
      <c r="P228" s="5"/>
      <c r="Q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1.0</v>
      </c>
      <c r="K229" s="19">
        <v>0.0</v>
      </c>
      <c r="L229" s="19">
        <v>0.0</v>
      </c>
      <c r="M229" s="19"/>
      <c r="N229" s="19">
        <v>0.0</v>
      </c>
      <c r="O229" s="13">
        <f t="shared" si="44"/>
        <v>1</v>
      </c>
      <c r="P229" s="1"/>
      <c r="Q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/>
      <c r="N230" s="19">
        <v>0.0</v>
      </c>
      <c r="O230" s="13">
        <f t="shared" si="44"/>
        <v>0</v>
      </c>
      <c r="P230" s="54"/>
      <c r="Q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/>
      <c r="N231" s="19">
        <v>0.0</v>
      </c>
      <c r="O231" s="13">
        <f t="shared" si="44"/>
        <v>0</v>
      </c>
      <c r="P231" s="5"/>
      <c r="Q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/>
      <c r="N232" s="19">
        <v>0.0</v>
      </c>
      <c r="O232" s="13">
        <f t="shared" si="44"/>
        <v>0</v>
      </c>
      <c r="P232" s="5"/>
      <c r="Q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3">
        <f t="shared" si="44"/>
        <v>0</v>
      </c>
      <c r="P233" s="5"/>
      <c r="Q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3">
        <f t="shared" si="44"/>
        <v>0</v>
      </c>
      <c r="P234" s="5"/>
      <c r="Q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N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4"/>
        <v>2</v>
      </c>
      <c r="P235" s="5"/>
      <c r="Q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5"/>
      <c r="Q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2.0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3">
        <f t="shared" ref="O237:O247" si="46">SUM(E237:N237)</f>
        <v>3</v>
      </c>
      <c r="P237" s="5"/>
      <c r="Q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3">
        <f t="shared" si="46"/>
        <v>1</v>
      </c>
      <c r="P238" s="5"/>
      <c r="Q238" s="5"/>
    </row>
    <row r="239" ht="12.75" customHeight="1">
      <c r="A239" s="18"/>
      <c r="B239" s="57">
        <v>2.0</v>
      </c>
      <c r="C239" s="52" t="s">
        <v>176</v>
      </c>
      <c r="D239" s="60"/>
      <c r="E239" s="19">
        <v>1.0</v>
      </c>
      <c r="F239" s="19">
        <v>0.0</v>
      </c>
      <c r="G239" s="19">
        <v>0.0</v>
      </c>
      <c r="H239" s="19">
        <v>0.0</v>
      </c>
      <c r="I239" s="19">
        <v>1.0</v>
      </c>
      <c r="J239" s="19">
        <v>0.0</v>
      </c>
      <c r="K239" s="19">
        <v>1.0</v>
      </c>
      <c r="L239" s="19">
        <v>0.0</v>
      </c>
      <c r="M239" s="19">
        <v>3.0</v>
      </c>
      <c r="N239" s="19">
        <v>2.0</v>
      </c>
      <c r="O239" s="13">
        <f t="shared" si="46"/>
        <v>8</v>
      </c>
      <c r="P239" s="5"/>
      <c r="Q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1.0</v>
      </c>
      <c r="G240" s="19">
        <v>0.0</v>
      </c>
      <c r="H240" s="19">
        <v>1.0</v>
      </c>
      <c r="I240" s="19">
        <v>0.0</v>
      </c>
      <c r="J240" s="19">
        <v>1.0</v>
      </c>
      <c r="K240" s="19">
        <v>0.0</v>
      </c>
      <c r="L240" s="19">
        <v>4.0</v>
      </c>
      <c r="M240" s="19">
        <v>0.0</v>
      </c>
      <c r="N240" s="19">
        <v>0.0</v>
      </c>
      <c r="O240" s="13">
        <f t="shared" si="46"/>
        <v>7</v>
      </c>
      <c r="P240" s="1"/>
      <c r="Q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3">
        <f t="shared" si="46"/>
        <v>0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1.0</v>
      </c>
      <c r="F244" s="19">
        <v>3.0</v>
      </c>
      <c r="G244" s="19">
        <v>0.0</v>
      </c>
      <c r="H244" s="19">
        <v>1.0</v>
      </c>
      <c r="I244" s="19">
        <v>0.0</v>
      </c>
      <c r="J244" s="19">
        <v>0.0</v>
      </c>
      <c r="K244" s="19">
        <v>0.0</v>
      </c>
      <c r="L244" s="19">
        <v>0.0</v>
      </c>
      <c r="M244" s="19">
        <v>6.0</v>
      </c>
      <c r="N244" s="19">
        <v>0.0</v>
      </c>
      <c r="O244" s="13">
        <f t="shared" si="46"/>
        <v>11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N247" si="47">SUM(E237:E244)</f>
        <v>3</v>
      </c>
      <c r="F247" s="13">
        <f t="shared" si="47"/>
        <v>6</v>
      </c>
      <c r="G247" s="13">
        <f t="shared" si="47"/>
        <v>1</v>
      </c>
      <c r="H247" s="13">
        <f t="shared" si="47"/>
        <v>2</v>
      </c>
      <c r="I247" s="13">
        <f t="shared" si="47"/>
        <v>1</v>
      </c>
      <c r="J247" s="13">
        <f t="shared" si="47"/>
        <v>1</v>
      </c>
      <c r="K247" s="13">
        <f t="shared" si="47"/>
        <v>1</v>
      </c>
      <c r="L247" s="13">
        <f t="shared" si="47"/>
        <v>4</v>
      </c>
      <c r="M247" s="13">
        <f t="shared" si="47"/>
        <v>10</v>
      </c>
      <c r="N247" s="13">
        <f t="shared" si="47"/>
        <v>2</v>
      </c>
      <c r="O247" s="13">
        <f t="shared" si="46"/>
        <v>31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/>
      <c r="N249" s="19">
        <v>0.0</v>
      </c>
      <c r="O249" s="13">
        <f t="shared" ref="O249:O259" si="48">SUM(E249:N249)</f>
        <v>0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/>
      <c r="N250" s="19">
        <v>0.0</v>
      </c>
      <c r="O250" s="13">
        <f t="shared" si="48"/>
        <v>1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/>
      <c r="N251" s="19">
        <v>0.0</v>
      </c>
      <c r="O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/>
      <c r="N252" s="19">
        <v>0.0</v>
      </c>
      <c r="O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/>
      <c r="N253" s="19">
        <v>0.0</v>
      </c>
      <c r="O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/>
      <c r="N254" s="19">
        <v>0.0</v>
      </c>
      <c r="O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/>
      <c r="N255" s="19">
        <v>0.0</v>
      </c>
      <c r="O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N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8"/>
        <v>1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N262" si="50">E55+E67+E79+E91+E103+E115+E127+E139+E151+E163+E175+E187+E199+E211+E223+E235+E247+E259</f>
        <v>220</v>
      </c>
      <c r="F262" s="19">
        <f t="shared" si="50"/>
        <v>207</v>
      </c>
      <c r="G262" s="19">
        <f t="shared" si="50"/>
        <v>221</v>
      </c>
      <c r="H262" s="19">
        <f t="shared" si="50"/>
        <v>225</v>
      </c>
      <c r="I262" s="19">
        <f t="shared" si="50"/>
        <v>204</v>
      </c>
      <c r="J262" s="19">
        <f t="shared" si="50"/>
        <v>241</v>
      </c>
      <c r="K262" s="19">
        <f t="shared" si="50"/>
        <v>209</v>
      </c>
      <c r="L262" s="19">
        <f t="shared" si="50"/>
        <v>212</v>
      </c>
      <c r="M262" s="19">
        <f t="shared" si="50"/>
        <v>211</v>
      </c>
      <c r="N262" s="19">
        <f t="shared" si="50"/>
        <v>221</v>
      </c>
      <c r="O262" s="13">
        <f t="shared" ref="O262:O264" si="51">SUM(E262:N262)</f>
        <v>2171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8.0</v>
      </c>
      <c r="F263" s="19">
        <v>26.0</v>
      </c>
      <c r="G263" s="19">
        <v>20.0</v>
      </c>
      <c r="H263" s="19">
        <v>23.0</v>
      </c>
      <c r="I263" s="19">
        <v>10.0</v>
      </c>
      <c r="J263" s="19">
        <v>26.0</v>
      </c>
      <c r="K263" s="19">
        <v>28.0</v>
      </c>
      <c r="L263" s="19">
        <v>21.0</v>
      </c>
      <c r="M263" s="19">
        <v>13.0</v>
      </c>
      <c r="N263" s="19">
        <v>31.0</v>
      </c>
      <c r="O263" s="13">
        <f t="shared" si="51"/>
        <v>206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N264" si="52">SUM(E262:E263)</f>
        <v>228</v>
      </c>
      <c r="F264" s="13">
        <f t="shared" si="52"/>
        <v>233</v>
      </c>
      <c r="G264" s="13">
        <f t="shared" si="52"/>
        <v>241</v>
      </c>
      <c r="H264" s="13">
        <f t="shared" si="52"/>
        <v>248</v>
      </c>
      <c r="I264" s="13">
        <f t="shared" si="52"/>
        <v>214</v>
      </c>
      <c r="J264" s="13">
        <f t="shared" si="52"/>
        <v>267</v>
      </c>
      <c r="K264" s="13">
        <f t="shared" si="52"/>
        <v>237</v>
      </c>
      <c r="L264" s="13">
        <f t="shared" si="52"/>
        <v>233</v>
      </c>
      <c r="M264" s="13">
        <f t="shared" si="52"/>
        <v>224</v>
      </c>
      <c r="N264" s="13">
        <f t="shared" si="52"/>
        <v>252</v>
      </c>
      <c r="O264" s="13">
        <f t="shared" si="51"/>
        <v>2377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13" t="s">
        <v>218</v>
      </c>
      <c r="U13" s="13" t="s">
        <v>219</v>
      </c>
      <c r="V13" s="13" t="s">
        <v>220</v>
      </c>
      <c r="W13" s="13" t="s">
        <v>221</v>
      </c>
      <c r="X13" s="13" t="s">
        <v>227</v>
      </c>
      <c r="Y13" s="13" t="s">
        <v>228</v>
      </c>
      <c r="Z13" s="13" t="s">
        <v>229</v>
      </c>
      <c r="AA13" s="13" t="s">
        <v>230</v>
      </c>
      <c r="AB13" s="13" t="s">
        <v>231</v>
      </c>
      <c r="AC13" s="13" t="s">
        <v>232</v>
      </c>
      <c r="AD13" s="13" t="s">
        <v>233</v>
      </c>
      <c r="AE13" s="37"/>
    </row>
    <row r="14" ht="12.75" customHeight="1">
      <c r="A14" s="18"/>
      <c r="B14" s="22" t="s">
        <v>11</v>
      </c>
      <c r="C14" s="23"/>
      <c r="D14" s="19" t="s">
        <v>12</v>
      </c>
      <c r="E14" s="19">
        <v>112.0</v>
      </c>
      <c r="F14" s="19">
        <v>131.0</v>
      </c>
      <c r="G14" s="19">
        <v>133.0</v>
      </c>
      <c r="H14" s="19">
        <v>135.0</v>
      </c>
      <c r="I14" s="19">
        <v>137.0</v>
      </c>
      <c r="J14" s="19">
        <v>138.0</v>
      </c>
      <c r="K14" s="19">
        <v>129.0</v>
      </c>
      <c r="L14" s="19">
        <v>147.0</v>
      </c>
      <c r="M14" s="19">
        <v>117.0</v>
      </c>
      <c r="N14" s="19">
        <v>154.0</v>
      </c>
      <c r="O14" s="19">
        <v>158.0</v>
      </c>
      <c r="P14" s="19">
        <v>136.0</v>
      </c>
      <c r="Q14" s="19">
        <v>136.0</v>
      </c>
      <c r="R14" s="19">
        <v>130.0</v>
      </c>
      <c r="S14" s="19">
        <v>142.0</v>
      </c>
      <c r="T14" s="19">
        <v>140.0</v>
      </c>
      <c r="U14" s="19">
        <v>135.0</v>
      </c>
      <c r="V14" s="19">
        <v>125.0</v>
      </c>
      <c r="W14" s="19">
        <v>136.0</v>
      </c>
      <c r="X14" s="19">
        <v>134.0</v>
      </c>
      <c r="Y14" s="19">
        <v>137.0</v>
      </c>
      <c r="Z14" s="19">
        <v>135.0</v>
      </c>
      <c r="AA14" s="19">
        <v>128.0</v>
      </c>
      <c r="AB14" s="19">
        <v>134.0</v>
      </c>
      <c r="AC14" s="19">
        <v>143.0</v>
      </c>
      <c r="AD14" s="19">
        <v>146.0</v>
      </c>
      <c r="AE14" s="13">
        <f t="shared" ref="AE14:AE16" si="1">SUM(E14:AD14)</f>
        <v>3528</v>
      </c>
    </row>
    <row r="15" ht="12.75" customHeight="1">
      <c r="A15" s="18"/>
      <c r="B15" s="26"/>
      <c r="C15" s="27"/>
      <c r="D15" s="19" t="s">
        <v>13</v>
      </c>
      <c r="E15" s="19">
        <v>98.0</v>
      </c>
      <c r="F15" s="19">
        <v>128.0</v>
      </c>
      <c r="G15" s="19">
        <v>133.0</v>
      </c>
      <c r="H15" s="19">
        <v>132.0</v>
      </c>
      <c r="I15" s="19">
        <v>131.0</v>
      </c>
      <c r="J15" s="19">
        <v>130.0</v>
      </c>
      <c r="K15" s="19">
        <v>136.0</v>
      </c>
      <c r="L15" s="19">
        <v>125.0</v>
      </c>
      <c r="M15" s="19">
        <v>115.0</v>
      </c>
      <c r="N15" s="19">
        <v>134.0</v>
      </c>
      <c r="O15" s="19">
        <v>141.0</v>
      </c>
      <c r="P15" s="19">
        <v>128.0</v>
      </c>
      <c r="Q15" s="19">
        <v>137.0</v>
      </c>
      <c r="R15" s="19">
        <v>133.0</v>
      </c>
      <c r="S15" s="19">
        <v>130.0</v>
      </c>
      <c r="T15" s="19">
        <v>136.0</v>
      </c>
      <c r="U15" s="19">
        <v>126.0</v>
      </c>
      <c r="V15" s="19">
        <v>139.0</v>
      </c>
      <c r="W15" s="19">
        <v>135.0</v>
      </c>
      <c r="X15" s="19">
        <v>136.0</v>
      </c>
      <c r="Y15" s="19">
        <v>133.0</v>
      </c>
      <c r="Z15" s="19">
        <v>131.0</v>
      </c>
      <c r="AA15" s="19">
        <v>136.0</v>
      </c>
      <c r="AB15" s="19">
        <v>133.0</v>
      </c>
      <c r="AC15" s="19">
        <v>137.0</v>
      </c>
      <c r="AD15" s="19">
        <v>145.0</v>
      </c>
      <c r="AE15" s="13">
        <f t="shared" si="1"/>
        <v>3418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210</v>
      </c>
      <c r="F16" s="13">
        <f t="shared" si="2"/>
        <v>259</v>
      </c>
      <c r="G16" s="13">
        <f t="shared" si="2"/>
        <v>266</v>
      </c>
      <c r="H16" s="13">
        <f t="shared" si="2"/>
        <v>267</v>
      </c>
      <c r="I16" s="13">
        <f t="shared" si="2"/>
        <v>268</v>
      </c>
      <c r="J16" s="13">
        <f t="shared" si="2"/>
        <v>268</v>
      </c>
      <c r="K16" s="13">
        <f t="shared" si="2"/>
        <v>265</v>
      </c>
      <c r="L16" s="13">
        <f t="shared" si="2"/>
        <v>272</v>
      </c>
      <c r="M16" s="13">
        <f t="shared" si="2"/>
        <v>232</v>
      </c>
      <c r="N16" s="13">
        <f t="shared" si="2"/>
        <v>288</v>
      </c>
      <c r="O16" s="13">
        <f t="shared" si="2"/>
        <v>299</v>
      </c>
      <c r="P16" s="13">
        <f t="shared" si="2"/>
        <v>264</v>
      </c>
      <c r="Q16" s="13">
        <f t="shared" si="2"/>
        <v>273</v>
      </c>
      <c r="R16" s="13">
        <f t="shared" si="2"/>
        <v>263</v>
      </c>
      <c r="S16" s="13">
        <f t="shared" si="2"/>
        <v>272</v>
      </c>
      <c r="T16" s="13">
        <f t="shared" si="2"/>
        <v>276</v>
      </c>
      <c r="U16" s="13">
        <f t="shared" si="2"/>
        <v>261</v>
      </c>
      <c r="V16" s="13">
        <f t="shared" si="2"/>
        <v>264</v>
      </c>
      <c r="W16" s="13">
        <f t="shared" si="2"/>
        <v>271</v>
      </c>
      <c r="X16" s="13">
        <f t="shared" si="2"/>
        <v>270</v>
      </c>
      <c r="Y16" s="13">
        <f t="shared" si="2"/>
        <v>270</v>
      </c>
      <c r="Z16" s="13">
        <f t="shared" si="2"/>
        <v>266</v>
      </c>
      <c r="AA16" s="13">
        <f t="shared" si="2"/>
        <v>264</v>
      </c>
      <c r="AB16" s="13">
        <f t="shared" si="2"/>
        <v>267</v>
      </c>
      <c r="AC16" s="13">
        <f t="shared" si="2"/>
        <v>280</v>
      </c>
      <c r="AD16" s="13">
        <f t="shared" si="2"/>
        <v>291</v>
      </c>
      <c r="AE16" s="13">
        <f t="shared" si="1"/>
        <v>6946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19"/>
      <c r="Q17" s="19"/>
      <c r="R17" s="19"/>
      <c r="S17" s="78"/>
      <c r="T17" s="19"/>
      <c r="U17" s="19"/>
      <c r="V17" s="19"/>
      <c r="W17" s="19"/>
      <c r="X17" s="78"/>
      <c r="Y17" s="19"/>
      <c r="Z17" s="19"/>
      <c r="AA17" s="19"/>
      <c r="AB17" s="19"/>
      <c r="AC17" s="78"/>
      <c r="AD17" s="19"/>
      <c r="AE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13" t="s">
        <v>218</v>
      </c>
      <c r="U18" s="13" t="s">
        <v>219</v>
      </c>
      <c r="V18" s="13" t="s">
        <v>220</v>
      </c>
      <c r="W18" s="13" t="s">
        <v>221</v>
      </c>
      <c r="X18" s="13" t="s">
        <v>227</v>
      </c>
      <c r="Y18" s="13" t="s">
        <v>228</v>
      </c>
      <c r="Z18" s="13" t="s">
        <v>229</v>
      </c>
      <c r="AA18" s="13" t="s">
        <v>230</v>
      </c>
      <c r="AB18" s="13" t="s">
        <v>231</v>
      </c>
      <c r="AC18" s="13" t="s">
        <v>232</v>
      </c>
      <c r="AD18" s="13" t="s">
        <v>233</v>
      </c>
      <c r="AE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69.0</v>
      </c>
      <c r="F19" s="19">
        <v>95.0</v>
      </c>
      <c r="G19" s="19">
        <v>102.0</v>
      </c>
      <c r="H19" s="19">
        <v>111.0</v>
      </c>
      <c r="I19" s="19">
        <v>101.0</v>
      </c>
      <c r="J19" s="19">
        <v>97.0</v>
      </c>
      <c r="K19" s="19">
        <v>103.0</v>
      </c>
      <c r="L19" s="19">
        <v>105.0</v>
      </c>
      <c r="M19" s="19">
        <v>77.0</v>
      </c>
      <c r="N19" s="19">
        <v>118.0</v>
      </c>
      <c r="O19" s="19">
        <v>118.0</v>
      </c>
      <c r="P19" s="19">
        <v>105.0</v>
      </c>
      <c r="Q19" s="19">
        <v>100.0</v>
      </c>
      <c r="R19" s="19">
        <v>96.0</v>
      </c>
      <c r="S19" s="19">
        <v>119.0</v>
      </c>
      <c r="T19" s="19">
        <v>107.0</v>
      </c>
      <c r="U19" s="19">
        <v>93.0</v>
      </c>
      <c r="V19" s="19">
        <v>98.0</v>
      </c>
      <c r="W19" s="19">
        <v>94.0</v>
      </c>
      <c r="X19" s="19">
        <v>93.0</v>
      </c>
      <c r="Y19" s="19">
        <v>87.0</v>
      </c>
      <c r="Z19" s="19">
        <v>91.0</v>
      </c>
      <c r="AA19" s="19">
        <v>79.0</v>
      </c>
      <c r="AB19" s="19">
        <v>107.0</v>
      </c>
      <c r="AC19" s="19">
        <v>99.0</v>
      </c>
      <c r="AD19" s="19">
        <v>98.0</v>
      </c>
      <c r="AE19" s="13">
        <f t="shared" ref="AE19:AE30" si="3">SUM(E19:AD19)</f>
        <v>2562</v>
      </c>
    </row>
    <row r="20" ht="12.75" customHeight="1">
      <c r="A20" s="34"/>
      <c r="B20" s="27"/>
      <c r="C20" s="35"/>
      <c r="D20" s="19" t="s">
        <v>13</v>
      </c>
      <c r="E20" s="19">
        <v>66.0</v>
      </c>
      <c r="F20" s="19">
        <v>102.0</v>
      </c>
      <c r="G20" s="19">
        <v>110.0</v>
      </c>
      <c r="H20" s="19">
        <v>106.0</v>
      </c>
      <c r="I20" s="19">
        <v>108.0</v>
      </c>
      <c r="J20" s="19">
        <v>106.0</v>
      </c>
      <c r="K20" s="19">
        <v>106.0</v>
      </c>
      <c r="L20" s="19">
        <v>101.0</v>
      </c>
      <c r="M20" s="19">
        <v>95.0</v>
      </c>
      <c r="N20" s="19">
        <v>102.0</v>
      </c>
      <c r="O20" s="19">
        <v>107.0</v>
      </c>
      <c r="P20" s="19">
        <v>102.0</v>
      </c>
      <c r="Q20" s="19">
        <v>115.0</v>
      </c>
      <c r="R20" s="19">
        <v>107.0</v>
      </c>
      <c r="S20" s="19">
        <v>108.0</v>
      </c>
      <c r="T20" s="19">
        <v>111.0</v>
      </c>
      <c r="U20" s="19">
        <v>100.0</v>
      </c>
      <c r="V20" s="19">
        <v>109.0</v>
      </c>
      <c r="W20" s="19">
        <v>105.0</v>
      </c>
      <c r="X20" s="19">
        <v>105.0</v>
      </c>
      <c r="Y20" s="19">
        <v>100.0</v>
      </c>
      <c r="Z20" s="19">
        <v>96.0</v>
      </c>
      <c r="AA20" s="19">
        <v>97.0</v>
      </c>
      <c r="AB20" s="19">
        <v>110.0</v>
      </c>
      <c r="AC20" s="19">
        <v>108.0</v>
      </c>
      <c r="AD20" s="19">
        <v>101.0</v>
      </c>
      <c r="AE20" s="13">
        <f t="shared" si="3"/>
        <v>2683</v>
      </c>
    </row>
    <row r="21" ht="12.75" customHeight="1">
      <c r="A21" s="36"/>
      <c r="B21" s="28"/>
      <c r="C21" s="37"/>
      <c r="D21" s="13" t="s">
        <v>14</v>
      </c>
      <c r="E21" s="13">
        <f t="shared" ref="E21:AD21" si="4">SUM(E19:E20)</f>
        <v>135</v>
      </c>
      <c r="F21" s="13">
        <f t="shared" si="4"/>
        <v>197</v>
      </c>
      <c r="G21" s="13">
        <f t="shared" si="4"/>
        <v>212</v>
      </c>
      <c r="H21" s="13">
        <f t="shared" si="4"/>
        <v>217</v>
      </c>
      <c r="I21" s="13">
        <f t="shared" si="4"/>
        <v>209</v>
      </c>
      <c r="J21" s="13">
        <f t="shared" si="4"/>
        <v>203</v>
      </c>
      <c r="K21" s="13">
        <f t="shared" si="4"/>
        <v>209</v>
      </c>
      <c r="L21" s="13">
        <f t="shared" si="4"/>
        <v>206</v>
      </c>
      <c r="M21" s="13">
        <f t="shared" si="4"/>
        <v>172</v>
      </c>
      <c r="N21" s="13">
        <f t="shared" si="4"/>
        <v>220</v>
      </c>
      <c r="O21" s="13">
        <f t="shared" si="4"/>
        <v>225</v>
      </c>
      <c r="P21" s="13">
        <f t="shared" si="4"/>
        <v>207</v>
      </c>
      <c r="Q21" s="13">
        <f t="shared" si="4"/>
        <v>215</v>
      </c>
      <c r="R21" s="13">
        <f t="shared" si="4"/>
        <v>203</v>
      </c>
      <c r="S21" s="13">
        <f t="shared" si="4"/>
        <v>227</v>
      </c>
      <c r="T21" s="13">
        <f t="shared" si="4"/>
        <v>218</v>
      </c>
      <c r="U21" s="13">
        <f t="shared" si="4"/>
        <v>193</v>
      </c>
      <c r="V21" s="13">
        <f t="shared" si="4"/>
        <v>207</v>
      </c>
      <c r="W21" s="13">
        <f t="shared" si="4"/>
        <v>199</v>
      </c>
      <c r="X21" s="13">
        <f t="shared" si="4"/>
        <v>198</v>
      </c>
      <c r="Y21" s="13">
        <f t="shared" si="4"/>
        <v>187</v>
      </c>
      <c r="Z21" s="13">
        <f t="shared" si="4"/>
        <v>187</v>
      </c>
      <c r="AA21" s="13">
        <f t="shared" si="4"/>
        <v>176</v>
      </c>
      <c r="AB21" s="13">
        <f t="shared" si="4"/>
        <v>217</v>
      </c>
      <c r="AC21" s="13">
        <f t="shared" si="4"/>
        <v>207</v>
      </c>
      <c r="AD21" s="13">
        <f t="shared" si="4"/>
        <v>199</v>
      </c>
      <c r="AE21" s="13">
        <f t="shared" si="3"/>
        <v>5245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3.0</v>
      </c>
      <c r="H25" s="19">
        <v>1.0</v>
      </c>
      <c r="I25" s="19">
        <v>2.0</v>
      </c>
      <c r="J25" s="19">
        <v>2.0</v>
      </c>
      <c r="K25" s="19">
        <v>3.0</v>
      </c>
      <c r="L25" s="19">
        <v>0.0</v>
      </c>
      <c r="M25" s="19">
        <v>1.0</v>
      </c>
      <c r="N25" s="19">
        <v>0.0</v>
      </c>
      <c r="O25" s="19">
        <v>0.0</v>
      </c>
      <c r="P25" s="19">
        <v>1.0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4.0</v>
      </c>
      <c r="H26" s="19">
        <v>0.0</v>
      </c>
      <c r="I26" s="19">
        <v>6.0</v>
      </c>
      <c r="J26" s="19">
        <v>5.0</v>
      </c>
      <c r="K26" s="19">
        <v>2.0</v>
      </c>
      <c r="L26" s="19">
        <v>0.0</v>
      </c>
      <c r="M26" s="19">
        <v>3.0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3">
        <f t="shared" si="3"/>
        <v>23</v>
      </c>
    </row>
    <row r="27" ht="12.75" customHeight="1">
      <c r="A27" s="36"/>
      <c r="B27" s="28"/>
      <c r="C27" s="37"/>
      <c r="D27" s="13" t="s">
        <v>14</v>
      </c>
      <c r="E27" s="13">
        <f t="shared" ref="E27:AD27" si="6">SUM(E25:E26)</f>
        <v>0</v>
      </c>
      <c r="F27" s="13">
        <f t="shared" si="6"/>
        <v>1</v>
      </c>
      <c r="G27" s="13">
        <f t="shared" si="6"/>
        <v>7</v>
      </c>
      <c r="H27" s="13">
        <f t="shared" si="6"/>
        <v>1</v>
      </c>
      <c r="I27" s="13">
        <f t="shared" si="6"/>
        <v>8</v>
      </c>
      <c r="J27" s="13">
        <f t="shared" si="6"/>
        <v>7</v>
      </c>
      <c r="K27" s="13">
        <f t="shared" si="6"/>
        <v>5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38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D28" si="7">SUM(E19,E22,E25)</f>
        <v>69</v>
      </c>
      <c r="F28" s="13">
        <f t="shared" si="7"/>
        <v>95</v>
      </c>
      <c r="G28" s="13">
        <f t="shared" si="7"/>
        <v>105</v>
      </c>
      <c r="H28" s="13">
        <f t="shared" si="7"/>
        <v>112</v>
      </c>
      <c r="I28" s="13">
        <f t="shared" si="7"/>
        <v>103</v>
      </c>
      <c r="J28" s="13">
        <f t="shared" si="7"/>
        <v>99</v>
      </c>
      <c r="K28" s="13">
        <f t="shared" si="7"/>
        <v>106</v>
      </c>
      <c r="L28" s="13">
        <f t="shared" si="7"/>
        <v>105</v>
      </c>
      <c r="M28" s="13">
        <f t="shared" si="7"/>
        <v>78</v>
      </c>
      <c r="N28" s="13">
        <f t="shared" si="7"/>
        <v>118</v>
      </c>
      <c r="O28" s="13">
        <f t="shared" si="7"/>
        <v>118</v>
      </c>
      <c r="P28" s="13">
        <f t="shared" si="7"/>
        <v>106</v>
      </c>
      <c r="Q28" s="13">
        <f t="shared" si="7"/>
        <v>100</v>
      </c>
      <c r="R28" s="13">
        <f t="shared" si="7"/>
        <v>97</v>
      </c>
      <c r="S28" s="13">
        <f t="shared" si="7"/>
        <v>119</v>
      </c>
      <c r="T28" s="13">
        <f t="shared" si="7"/>
        <v>108</v>
      </c>
      <c r="U28" s="13">
        <f t="shared" si="7"/>
        <v>93</v>
      </c>
      <c r="V28" s="13">
        <f t="shared" si="7"/>
        <v>98</v>
      </c>
      <c r="W28" s="13">
        <f t="shared" si="7"/>
        <v>94</v>
      </c>
      <c r="X28" s="13">
        <f t="shared" si="7"/>
        <v>93</v>
      </c>
      <c r="Y28" s="13">
        <f t="shared" si="7"/>
        <v>87</v>
      </c>
      <c r="Z28" s="13">
        <f t="shared" si="7"/>
        <v>92</v>
      </c>
      <c r="AA28" s="13">
        <f t="shared" si="7"/>
        <v>79</v>
      </c>
      <c r="AB28" s="13">
        <f t="shared" si="7"/>
        <v>107</v>
      </c>
      <c r="AC28" s="13">
        <f t="shared" si="7"/>
        <v>99</v>
      </c>
      <c r="AD28" s="13">
        <f t="shared" si="7"/>
        <v>98</v>
      </c>
      <c r="AE28" s="13">
        <f t="shared" si="3"/>
        <v>2578</v>
      </c>
    </row>
    <row r="29" ht="12.75" customHeight="1">
      <c r="A29" s="36"/>
      <c r="B29" s="27"/>
      <c r="C29" s="35"/>
      <c r="D29" s="13" t="s">
        <v>13</v>
      </c>
      <c r="E29" s="13">
        <f t="shared" ref="E29:AD29" si="8">SUM(E20,E23,E26)</f>
        <v>66</v>
      </c>
      <c r="F29" s="13">
        <f t="shared" si="8"/>
        <v>103</v>
      </c>
      <c r="G29" s="13">
        <f t="shared" si="8"/>
        <v>114</v>
      </c>
      <c r="H29" s="13">
        <f t="shared" si="8"/>
        <v>106</v>
      </c>
      <c r="I29" s="13">
        <f t="shared" si="8"/>
        <v>114</v>
      </c>
      <c r="J29" s="13">
        <f t="shared" si="8"/>
        <v>111</v>
      </c>
      <c r="K29" s="13">
        <f t="shared" si="8"/>
        <v>108</v>
      </c>
      <c r="L29" s="13">
        <f t="shared" si="8"/>
        <v>101</v>
      </c>
      <c r="M29" s="13">
        <f t="shared" si="8"/>
        <v>98</v>
      </c>
      <c r="N29" s="13">
        <f t="shared" si="8"/>
        <v>102</v>
      </c>
      <c r="O29" s="13">
        <f t="shared" si="8"/>
        <v>107</v>
      </c>
      <c r="P29" s="13">
        <f t="shared" si="8"/>
        <v>102</v>
      </c>
      <c r="Q29" s="13">
        <f t="shared" si="8"/>
        <v>115</v>
      </c>
      <c r="R29" s="13">
        <f t="shared" si="8"/>
        <v>108</v>
      </c>
      <c r="S29" s="13">
        <f t="shared" si="8"/>
        <v>108</v>
      </c>
      <c r="T29" s="13">
        <f t="shared" si="8"/>
        <v>113</v>
      </c>
      <c r="U29" s="13">
        <f t="shared" si="8"/>
        <v>100</v>
      </c>
      <c r="V29" s="13">
        <f t="shared" si="8"/>
        <v>109</v>
      </c>
      <c r="W29" s="13">
        <f t="shared" si="8"/>
        <v>105</v>
      </c>
      <c r="X29" s="13">
        <f t="shared" si="8"/>
        <v>105</v>
      </c>
      <c r="Y29" s="13">
        <f t="shared" si="8"/>
        <v>100</v>
      </c>
      <c r="Z29" s="13">
        <f t="shared" si="8"/>
        <v>96</v>
      </c>
      <c r="AA29" s="13">
        <f t="shared" si="8"/>
        <v>97</v>
      </c>
      <c r="AB29" s="13">
        <f t="shared" si="8"/>
        <v>110</v>
      </c>
      <c r="AC29" s="13">
        <f t="shared" si="8"/>
        <v>108</v>
      </c>
      <c r="AD29" s="13">
        <f t="shared" si="8"/>
        <v>101</v>
      </c>
      <c r="AE29" s="13">
        <f t="shared" si="3"/>
        <v>2707</v>
      </c>
    </row>
    <row r="30" ht="12.75" customHeight="1">
      <c r="A30" s="36"/>
      <c r="B30" s="28"/>
      <c r="C30" s="37"/>
      <c r="D30" s="13" t="s">
        <v>14</v>
      </c>
      <c r="E30" s="13">
        <f t="shared" ref="E30:AD30" si="9">SUM(E28:E29)</f>
        <v>135</v>
      </c>
      <c r="F30" s="13">
        <f t="shared" si="9"/>
        <v>198</v>
      </c>
      <c r="G30" s="13">
        <f t="shared" si="9"/>
        <v>219</v>
      </c>
      <c r="H30" s="13">
        <f t="shared" si="9"/>
        <v>218</v>
      </c>
      <c r="I30" s="13">
        <f t="shared" si="9"/>
        <v>217</v>
      </c>
      <c r="J30" s="13">
        <f t="shared" si="9"/>
        <v>210</v>
      </c>
      <c r="K30" s="13">
        <f t="shared" si="9"/>
        <v>214</v>
      </c>
      <c r="L30" s="13">
        <f t="shared" si="9"/>
        <v>206</v>
      </c>
      <c r="M30" s="13">
        <f t="shared" si="9"/>
        <v>176</v>
      </c>
      <c r="N30" s="13">
        <f t="shared" si="9"/>
        <v>220</v>
      </c>
      <c r="O30" s="13">
        <f t="shared" si="9"/>
        <v>225</v>
      </c>
      <c r="P30" s="13">
        <f t="shared" si="9"/>
        <v>208</v>
      </c>
      <c r="Q30" s="13">
        <f t="shared" si="9"/>
        <v>215</v>
      </c>
      <c r="R30" s="13">
        <f t="shared" si="9"/>
        <v>205</v>
      </c>
      <c r="S30" s="13">
        <f t="shared" si="9"/>
        <v>227</v>
      </c>
      <c r="T30" s="13">
        <f t="shared" si="9"/>
        <v>221</v>
      </c>
      <c r="U30" s="13">
        <f t="shared" si="9"/>
        <v>193</v>
      </c>
      <c r="V30" s="13">
        <f t="shared" si="9"/>
        <v>207</v>
      </c>
      <c r="W30" s="13">
        <f t="shared" si="9"/>
        <v>199</v>
      </c>
      <c r="X30" s="13">
        <f t="shared" si="9"/>
        <v>198</v>
      </c>
      <c r="Y30" s="13">
        <f t="shared" si="9"/>
        <v>187</v>
      </c>
      <c r="Z30" s="13">
        <f t="shared" si="9"/>
        <v>188</v>
      </c>
      <c r="AA30" s="13">
        <f t="shared" si="9"/>
        <v>176</v>
      </c>
      <c r="AB30" s="13">
        <f t="shared" si="9"/>
        <v>217</v>
      </c>
      <c r="AC30" s="13">
        <f t="shared" si="9"/>
        <v>207</v>
      </c>
      <c r="AD30" s="13">
        <f t="shared" si="9"/>
        <v>199</v>
      </c>
      <c r="AE30" s="13">
        <f t="shared" si="3"/>
        <v>5285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19"/>
      <c r="Q31" s="19"/>
      <c r="R31" s="19"/>
      <c r="S31" s="78"/>
      <c r="T31" s="19"/>
      <c r="U31" s="19"/>
      <c r="V31" s="19"/>
      <c r="W31" s="19"/>
      <c r="X31" s="78"/>
      <c r="Y31" s="19"/>
      <c r="Z31" s="19"/>
      <c r="AA31" s="19"/>
      <c r="AB31" s="19"/>
      <c r="AC31" s="78"/>
      <c r="AD31" s="19"/>
      <c r="AE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1" t="s">
        <v>213</v>
      </c>
      <c r="Q32" s="71" t="s">
        <v>214</v>
      </c>
      <c r="R32" s="71" t="s">
        <v>216</v>
      </c>
      <c r="S32" s="71" t="s">
        <v>217</v>
      </c>
      <c r="T32" s="71" t="s">
        <v>218</v>
      </c>
      <c r="U32" s="71" t="s">
        <v>219</v>
      </c>
      <c r="V32" s="71" t="s">
        <v>220</v>
      </c>
      <c r="W32" s="71" t="s">
        <v>221</v>
      </c>
      <c r="X32" s="71" t="s">
        <v>227</v>
      </c>
      <c r="Y32" s="71" t="s">
        <v>228</v>
      </c>
      <c r="Z32" s="71" t="s">
        <v>229</v>
      </c>
      <c r="AA32" s="71" t="s">
        <v>230</v>
      </c>
      <c r="AB32" s="71" t="s">
        <v>231</v>
      </c>
      <c r="AC32" s="71" t="s">
        <v>232</v>
      </c>
      <c r="AD32" s="71" t="s">
        <v>233</v>
      </c>
      <c r="AE32" s="70"/>
    </row>
    <row r="33" ht="12.75" customHeight="1">
      <c r="A33" s="19">
        <v>1.0</v>
      </c>
      <c r="B33" s="20" t="s">
        <v>27</v>
      </c>
      <c r="C33" s="15"/>
      <c r="D33" s="16"/>
      <c r="E33" s="19">
        <v>215.0</v>
      </c>
      <c r="F33" s="19">
        <v>265.0</v>
      </c>
      <c r="G33" s="19">
        <v>282.0</v>
      </c>
      <c r="H33" s="19">
        <v>273.0</v>
      </c>
      <c r="I33" s="19">
        <v>274.0</v>
      </c>
      <c r="J33" s="19">
        <v>274.0</v>
      </c>
      <c r="K33" s="19">
        <v>271.0</v>
      </c>
      <c r="L33" s="19">
        <v>278.0</v>
      </c>
      <c r="M33" s="19">
        <v>237.0</v>
      </c>
      <c r="N33" s="19">
        <v>294.0</v>
      </c>
      <c r="O33" s="19">
        <v>305.0</v>
      </c>
      <c r="P33" s="19">
        <v>270.0</v>
      </c>
      <c r="Q33" s="19">
        <v>296.0</v>
      </c>
      <c r="R33" s="19">
        <v>269.0</v>
      </c>
      <c r="S33" s="19">
        <v>278.0</v>
      </c>
      <c r="T33" s="19">
        <v>283.0</v>
      </c>
      <c r="U33" s="19">
        <v>267.0</v>
      </c>
      <c r="V33" s="19">
        <v>270.0</v>
      </c>
      <c r="W33" s="19">
        <v>277.0</v>
      </c>
      <c r="X33" s="19">
        <v>276.0</v>
      </c>
      <c r="Y33" s="19">
        <v>276.0</v>
      </c>
      <c r="Z33" s="19">
        <v>272.0</v>
      </c>
      <c r="AA33" s="19">
        <v>272.0</v>
      </c>
      <c r="AB33" s="19">
        <v>273.0</v>
      </c>
      <c r="AC33" s="19">
        <v>287.0</v>
      </c>
      <c r="AD33" s="19">
        <v>297.0</v>
      </c>
      <c r="AE33" s="13">
        <f t="shared" ref="AE33:AE36" si="10">SUM(E33:AD33)</f>
        <v>7131</v>
      </c>
    </row>
    <row r="34" ht="12.75" customHeight="1">
      <c r="A34" s="19">
        <v>2.0</v>
      </c>
      <c r="B34" s="20" t="s">
        <v>28</v>
      </c>
      <c r="C34" s="15"/>
      <c r="D34" s="16"/>
      <c r="E34" s="13">
        <v>135.0</v>
      </c>
      <c r="F34" s="13">
        <v>198.0</v>
      </c>
      <c r="G34" s="13">
        <v>219.0</v>
      </c>
      <c r="H34" s="13">
        <v>218.0</v>
      </c>
      <c r="I34" s="13">
        <v>217.0</v>
      </c>
      <c r="J34" s="13">
        <v>210.0</v>
      </c>
      <c r="K34" s="13">
        <v>214.0</v>
      </c>
      <c r="L34" s="13">
        <v>206.0</v>
      </c>
      <c r="M34" s="13">
        <v>176.0</v>
      </c>
      <c r="N34" s="13">
        <v>220.0</v>
      </c>
      <c r="O34" s="13">
        <v>225.0</v>
      </c>
      <c r="P34" s="13">
        <v>208.0</v>
      </c>
      <c r="Q34" s="13">
        <v>215.0</v>
      </c>
      <c r="R34" s="13">
        <v>205.0</v>
      </c>
      <c r="S34" s="13">
        <v>227.0</v>
      </c>
      <c r="T34" s="13">
        <v>221.0</v>
      </c>
      <c r="U34" s="13">
        <v>193.0</v>
      </c>
      <c r="V34" s="13">
        <v>207.0</v>
      </c>
      <c r="W34" s="13">
        <v>199.0</v>
      </c>
      <c r="X34" s="13">
        <v>198.0</v>
      </c>
      <c r="Y34" s="13">
        <v>187.0</v>
      </c>
      <c r="Z34" s="13">
        <v>188.0</v>
      </c>
      <c r="AA34" s="13">
        <v>176.0</v>
      </c>
      <c r="AB34" s="13">
        <v>217.0</v>
      </c>
      <c r="AC34" s="13">
        <v>207.0</v>
      </c>
      <c r="AD34" s="13">
        <v>199.0</v>
      </c>
      <c r="AE34" s="13">
        <f t="shared" si="10"/>
        <v>5285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80</v>
      </c>
      <c r="F36" s="13">
        <f t="shared" si="11"/>
        <v>67</v>
      </c>
      <c r="G36" s="13">
        <f t="shared" si="11"/>
        <v>62</v>
      </c>
      <c r="H36" s="13">
        <f t="shared" si="11"/>
        <v>55</v>
      </c>
      <c r="I36" s="13">
        <f t="shared" si="11"/>
        <v>57</v>
      </c>
      <c r="J36" s="13">
        <f t="shared" si="11"/>
        <v>64</v>
      </c>
      <c r="K36" s="13">
        <f t="shared" si="11"/>
        <v>57</v>
      </c>
      <c r="L36" s="13">
        <f t="shared" si="11"/>
        <v>72</v>
      </c>
      <c r="M36" s="13">
        <f t="shared" si="11"/>
        <v>61</v>
      </c>
      <c r="N36" s="13">
        <f t="shared" si="11"/>
        <v>74</v>
      </c>
      <c r="O36" s="13">
        <f t="shared" si="11"/>
        <v>80</v>
      </c>
      <c r="P36" s="13">
        <f t="shared" si="11"/>
        <v>62</v>
      </c>
      <c r="Q36" s="13">
        <f t="shared" si="11"/>
        <v>81</v>
      </c>
      <c r="R36" s="13">
        <f t="shared" si="11"/>
        <v>64</v>
      </c>
      <c r="S36" s="13">
        <f t="shared" si="11"/>
        <v>51</v>
      </c>
      <c r="T36" s="13">
        <f t="shared" si="11"/>
        <v>62</v>
      </c>
      <c r="U36" s="13">
        <f t="shared" si="11"/>
        <v>74</v>
      </c>
      <c r="V36" s="13">
        <f t="shared" si="11"/>
        <v>63</v>
      </c>
      <c r="W36" s="13">
        <f t="shared" si="11"/>
        <v>78</v>
      </c>
      <c r="X36" s="13">
        <f t="shared" si="11"/>
        <v>78</v>
      </c>
      <c r="Y36" s="13">
        <f t="shared" si="11"/>
        <v>89</v>
      </c>
      <c r="Z36" s="13">
        <f t="shared" si="11"/>
        <v>84</v>
      </c>
      <c r="AA36" s="13">
        <f t="shared" si="11"/>
        <v>96</v>
      </c>
      <c r="AB36" s="13">
        <f t="shared" si="11"/>
        <v>56</v>
      </c>
      <c r="AC36" s="13">
        <f t="shared" si="11"/>
        <v>80</v>
      </c>
      <c r="AD36" s="13">
        <f t="shared" si="11"/>
        <v>98</v>
      </c>
      <c r="AE36" s="13">
        <f t="shared" si="10"/>
        <v>1845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19"/>
      <c r="Q37" s="19"/>
      <c r="R37" s="19"/>
      <c r="S37" s="78"/>
      <c r="T37" s="19"/>
      <c r="U37" s="19"/>
      <c r="V37" s="19"/>
      <c r="W37" s="19"/>
      <c r="X37" s="78"/>
      <c r="Y37" s="19"/>
      <c r="Z37" s="19"/>
      <c r="AA37" s="19"/>
      <c r="AB37" s="19"/>
      <c r="AC37" s="78"/>
      <c r="AD37" s="19"/>
      <c r="AE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1" t="s">
        <v>213</v>
      </c>
      <c r="Q38" s="71" t="s">
        <v>214</v>
      </c>
      <c r="R38" s="71" t="s">
        <v>216</v>
      </c>
      <c r="S38" s="71" t="s">
        <v>217</v>
      </c>
      <c r="T38" s="71" t="s">
        <v>218</v>
      </c>
      <c r="U38" s="71" t="s">
        <v>219</v>
      </c>
      <c r="V38" s="71" t="s">
        <v>220</v>
      </c>
      <c r="W38" s="71" t="s">
        <v>221</v>
      </c>
      <c r="X38" s="71" t="s">
        <v>227</v>
      </c>
      <c r="Y38" s="71" t="s">
        <v>228</v>
      </c>
      <c r="Z38" s="71" t="s">
        <v>229</v>
      </c>
      <c r="AA38" s="71" t="s">
        <v>230</v>
      </c>
      <c r="AB38" s="71" t="s">
        <v>231</v>
      </c>
      <c r="AC38" s="71" t="s">
        <v>232</v>
      </c>
      <c r="AD38" s="71" t="s">
        <v>233</v>
      </c>
      <c r="AE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3">
        <f t="shared" ref="AE39:AE41" si="12">SUM(E39:AD39)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9"/>
      <c r="Q42" s="19"/>
      <c r="R42" s="19"/>
      <c r="S42" s="78"/>
      <c r="T42" s="19"/>
      <c r="U42" s="19"/>
      <c r="V42" s="19"/>
      <c r="W42" s="19"/>
      <c r="X42" s="78"/>
      <c r="Y42" s="19"/>
      <c r="Z42" s="19"/>
      <c r="AA42" s="19"/>
      <c r="AB42" s="19"/>
      <c r="AC42" s="78"/>
      <c r="AD42" s="19"/>
      <c r="AE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71" t="s">
        <v>213</v>
      </c>
      <c r="Q43" s="71" t="s">
        <v>214</v>
      </c>
      <c r="R43" s="71" t="s">
        <v>216</v>
      </c>
      <c r="S43" s="71" t="s">
        <v>217</v>
      </c>
      <c r="T43" s="71" t="s">
        <v>218</v>
      </c>
      <c r="U43" s="71" t="s">
        <v>219</v>
      </c>
      <c r="V43" s="71" t="s">
        <v>220</v>
      </c>
      <c r="W43" s="71" t="s">
        <v>221</v>
      </c>
      <c r="X43" s="71" t="s">
        <v>227</v>
      </c>
      <c r="Y43" s="71" t="s">
        <v>228</v>
      </c>
      <c r="Z43" s="71" t="s">
        <v>229</v>
      </c>
      <c r="AA43" s="71" t="s">
        <v>230</v>
      </c>
      <c r="AB43" s="71" t="s">
        <v>231</v>
      </c>
      <c r="AC43" s="71" t="s">
        <v>232</v>
      </c>
      <c r="AD43" s="71" t="s">
        <v>233</v>
      </c>
      <c r="AE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9"/>
      <c r="Q44" s="19"/>
      <c r="R44" s="19"/>
      <c r="S44" s="78"/>
      <c r="T44" s="19"/>
      <c r="U44" s="19"/>
      <c r="V44" s="19"/>
      <c r="W44" s="19"/>
      <c r="X44" s="78"/>
      <c r="Y44" s="19"/>
      <c r="Z44" s="19"/>
      <c r="AA44" s="19"/>
      <c r="AB44" s="19"/>
      <c r="AC44" s="78"/>
      <c r="AD44" s="19"/>
      <c r="AE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14.0</v>
      </c>
      <c r="F45" s="19">
        <v>2.0</v>
      </c>
      <c r="G45" s="19">
        <v>1.0</v>
      </c>
      <c r="H45" s="19">
        <v>3.0</v>
      </c>
      <c r="I45" s="19">
        <v>2.0</v>
      </c>
      <c r="J45" s="19">
        <v>3.0</v>
      </c>
      <c r="K45" s="19">
        <v>6.0</v>
      </c>
      <c r="L45" s="19">
        <v>8.0</v>
      </c>
      <c r="M45" s="19">
        <v>0.0</v>
      </c>
      <c r="N45" s="19">
        <v>4.0</v>
      </c>
      <c r="O45" s="19">
        <v>4.0</v>
      </c>
      <c r="P45" s="19">
        <v>6.0</v>
      </c>
      <c r="Q45" s="19">
        <v>8.0</v>
      </c>
      <c r="R45" s="19">
        <v>8.0</v>
      </c>
      <c r="S45" s="19">
        <v>9.0</v>
      </c>
      <c r="T45" s="19">
        <v>8.0</v>
      </c>
      <c r="U45" s="19">
        <v>5.0</v>
      </c>
      <c r="V45" s="19">
        <v>4.0</v>
      </c>
      <c r="W45" s="19">
        <v>7.0</v>
      </c>
      <c r="X45" s="19">
        <v>8.0</v>
      </c>
      <c r="Y45" s="19">
        <v>3.0</v>
      </c>
      <c r="Z45" s="19">
        <v>4.0</v>
      </c>
      <c r="AA45" s="19">
        <v>6.0</v>
      </c>
      <c r="AB45" s="19">
        <v>4.0</v>
      </c>
      <c r="AC45" s="19">
        <v>10.0</v>
      </c>
      <c r="AD45" s="19">
        <v>19.0</v>
      </c>
      <c r="AE45" s="13">
        <f t="shared" ref="AE45:AE55" si="14">SUM(E45:AD45)</f>
        <v>156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11.0</v>
      </c>
      <c r="F46" s="19">
        <v>8.0</v>
      </c>
      <c r="G46" s="19">
        <v>13.0</v>
      </c>
      <c r="H46" s="19">
        <v>18.0</v>
      </c>
      <c r="I46" s="19">
        <v>13.0</v>
      </c>
      <c r="J46" s="19">
        <v>5.0</v>
      </c>
      <c r="K46" s="19">
        <v>20.0</v>
      </c>
      <c r="L46" s="19">
        <v>28.0</v>
      </c>
      <c r="M46" s="19">
        <v>15.0</v>
      </c>
      <c r="N46" s="19">
        <v>4.0</v>
      </c>
      <c r="O46" s="19">
        <v>6.0</v>
      </c>
      <c r="P46" s="19">
        <v>8.0</v>
      </c>
      <c r="Q46" s="19">
        <v>18.0</v>
      </c>
      <c r="R46" s="19">
        <v>13.0</v>
      </c>
      <c r="S46" s="19">
        <v>14.0</v>
      </c>
      <c r="T46" s="19">
        <v>16.0</v>
      </c>
      <c r="U46" s="19">
        <v>19.0</v>
      </c>
      <c r="V46" s="19">
        <v>15.0</v>
      </c>
      <c r="W46" s="19">
        <v>13.0</v>
      </c>
      <c r="X46" s="19">
        <v>9.0</v>
      </c>
      <c r="Y46" s="19">
        <v>11.0</v>
      </c>
      <c r="Z46" s="19">
        <v>9.0</v>
      </c>
      <c r="AA46" s="19">
        <v>38.0</v>
      </c>
      <c r="AB46" s="19">
        <v>14.0</v>
      </c>
      <c r="AC46" s="19">
        <v>9.0</v>
      </c>
      <c r="AD46" s="19">
        <v>6.0</v>
      </c>
      <c r="AE46" s="13">
        <f t="shared" si="14"/>
        <v>353</v>
      </c>
    </row>
    <row r="47" ht="12.75" customHeight="1">
      <c r="A47" s="18"/>
      <c r="B47" s="57">
        <v>2.0</v>
      </c>
      <c r="C47" s="52" t="s">
        <v>41</v>
      </c>
      <c r="D47" s="16"/>
      <c r="E47" s="19">
        <v>5.0</v>
      </c>
      <c r="F47" s="19">
        <v>1.0</v>
      </c>
      <c r="G47" s="19">
        <v>3.0</v>
      </c>
      <c r="H47" s="19">
        <v>0.0</v>
      </c>
      <c r="I47" s="19">
        <v>0.0</v>
      </c>
      <c r="J47" s="19">
        <v>7.0</v>
      </c>
      <c r="K47" s="19">
        <v>39.0</v>
      </c>
      <c r="L47" s="19">
        <v>12.0</v>
      </c>
      <c r="M47" s="19">
        <v>15.0</v>
      </c>
      <c r="N47" s="19">
        <v>7.0</v>
      </c>
      <c r="O47" s="19">
        <v>1.0</v>
      </c>
      <c r="P47" s="19">
        <v>3.0</v>
      </c>
      <c r="Q47" s="19">
        <v>1.0</v>
      </c>
      <c r="R47" s="19">
        <v>2.0</v>
      </c>
      <c r="S47" s="19">
        <v>4.0</v>
      </c>
      <c r="T47" s="19">
        <v>4.0</v>
      </c>
      <c r="U47" s="19">
        <v>4.0</v>
      </c>
      <c r="V47" s="19">
        <v>1.0</v>
      </c>
      <c r="W47" s="19">
        <v>1.0</v>
      </c>
      <c r="X47" s="19">
        <v>4.0</v>
      </c>
      <c r="Y47" s="19">
        <v>1.0</v>
      </c>
      <c r="Z47" s="19">
        <v>5.0</v>
      </c>
      <c r="AA47" s="19">
        <v>2.0</v>
      </c>
      <c r="AB47" s="19">
        <v>3.0</v>
      </c>
      <c r="AC47" s="19">
        <v>5.0</v>
      </c>
      <c r="AD47" s="19">
        <v>1.0</v>
      </c>
      <c r="AE47" s="13">
        <f t="shared" si="14"/>
        <v>131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0.0</v>
      </c>
      <c r="J48" s="19">
        <v>2.0</v>
      </c>
      <c r="K48" s="19">
        <v>1.0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1.0</v>
      </c>
      <c r="V48" s="19">
        <v>0.0</v>
      </c>
      <c r="W48" s="19">
        <v>1.0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1.0</v>
      </c>
      <c r="AD48" s="19">
        <v>0.0</v>
      </c>
      <c r="AE48" s="13">
        <f t="shared" si="14"/>
        <v>10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2.0</v>
      </c>
      <c r="L49" s="19">
        <v>1.0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2.0</v>
      </c>
      <c r="T49" s="19">
        <v>0.0</v>
      </c>
      <c r="U49" s="19">
        <v>3.0</v>
      </c>
      <c r="V49" s="19">
        <v>0.0</v>
      </c>
      <c r="W49" s="19">
        <v>3.0</v>
      </c>
      <c r="X49" s="19">
        <v>3.0</v>
      </c>
      <c r="Y49" s="19">
        <v>3.0</v>
      </c>
      <c r="Z49" s="19">
        <v>0.0</v>
      </c>
      <c r="AA49" s="19">
        <v>0.0</v>
      </c>
      <c r="AB49" s="19">
        <v>2.0</v>
      </c>
      <c r="AC49" s="19">
        <v>1.0</v>
      </c>
      <c r="AD49" s="19">
        <v>1.0</v>
      </c>
      <c r="AE49" s="13">
        <f t="shared" si="14"/>
        <v>22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1.0</v>
      </c>
      <c r="H50" s="19">
        <v>1.0</v>
      </c>
      <c r="I50" s="19">
        <v>0.0</v>
      </c>
      <c r="J50" s="19">
        <v>1.0</v>
      </c>
      <c r="K50" s="19">
        <v>0.0</v>
      </c>
      <c r="L50" s="19">
        <v>2.0</v>
      </c>
      <c r="M50" s="19">
        <v>0.0</v>
      </c>
      <c r="N50" s="19">
        <v>1.0</v>
      </c>
      <c r="O50" s="19">
        <v>1.0</v>
      </c>
      <c r="P50" s="19">
        <v>1.0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1.0</v>
      </c>
      <c r="AC50" s="19">
        <v>0.0</v>
      </c>
      <c r="AD50" s="19">
        <v>0.0</v>
      </c>
      <c r="AE50" s="13">
        <f t="shared" si="14"/>
        <v>11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2.0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0.0</v>
      </c>
      <c r="T51" s="19">
        <v>0.0</v>
      </c>
      <c r="U51" s="19">
        <v>1.0</v>
      </c>
      <c r="V51" s="19">
        <v>1.0</v>
      </c>
      <c r="W51" s="19">
        <v>0.0</v>
      </c>
      <c r="X51" s="19">
        <v>0.0</v>
      </c>
      <c r="Y51" s="19">
        <v>1.0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3">
        <f t="shared" si="14"/>
        <v>7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1.0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3">
        <f t="shared" si="14"/>
        <v>3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AD55" si="15">SUM(E45:E52)</f>
        <v>30</v>
      </c>
      <c r="F55" s="13">
        <f t="shared" si="15"/>
        <v>11</v>
      </c>
      <c r="G55" s="13">
        <f t="shared" si="15"/>
        <v>20</v>
      </c>
      <c r="H55" s="13">
        <f t="shared" si="15"/>
        <v>22</v>
      </c>
      <c r="I55" s="13">
        <f t="shared" si="15"/>
        <v>17</v>
      </c>
      <c r="J55" s="13">
        <f t="shared" si="15"/>
        <v>19</v>
      </c>
      <c r="K55" s="13">
        <f t="shared" si="15"/>
        <v>71</v>
      </c>
      <c r="L55" s="13">
        <f t="shared" si="15"/>
        <v>51</v>
      </c>
      <c r="M55" s="13">
        <f t="shared" si="15"/>
        <v>30</v>
      </c>
      <c r="N55" s="13">
        <f t="shared" si="15"/>
        <v>16</v>
      </c>
      <c r="O55" s="13">
        <f t="shared" si="15"/>
        <v>13</v>
      </c>
      <c r="P55" s="13">
        <f t="shared" si="15"/>
        <v>18</v>
      </c>
      <c r="Q55" s="13">
        <f t="shared" si="15"/>
        <v>28</v>
      </c>
      <c r="R55" s="13">
        <f t="shared" si="15"/>
        <v>24</v>
      </c>
      <c r="S55" s="13">
        <f t="shared" si="15"/>
        <v>29</v>
      </c>
      <c r="T55" s="13">
        <f t="shared" si="15"/>
        <v>29</v>
      </c>
      <c r="U55" s="13">
        <f t="shared" si="15"/>
        <v>34</v>
      </c>
      <c r="V55" s="13">
        <f t="shared" si="15"/>
        <v>21</v>
      </c>
      <c r="W55" s="13">
        <f t="shared" si="15"/>
        <v>25</v>
      </c>
      <c r="X55" s="13">
        <f t="shared" si="15"/>
        <v>25</v>
      </c>
      <c r="Y55" s="13">
        <f t="shared" si="15"/>
        <v>19</v>
      </c>
      <c r="Z55" s="13">
        <f t="shared" si="15"/>
        <v>18</v>
      </c>
      <c r="AA55" s="13">
        <f t="shared" si="15"/>
        <v>46</v>
      </c>
      <c r="AB55" s="13">
        <f t="shared" si="15"/>
        <v>24</v>
      </c>
      <c r="AC55" s="13">
        <f t="shared" si="15"/>
        <v>26</v>
      </c>
      <c r="AD55" s="13">
        <f t="shared" si="15"/>
        <v>27</v>
      </c>
      <c r="AE55" s="13">
        <f t="shared" si="14"/>
        <v>693</v>
      </c>
    </row>
    <row r="56" ht="12.75" customHeight="1">
      <c r="A56" s="47"/>
      <c r="B56" s="46"/>
      <c r="C56" s="46"/>
      <c r="D56" s="46"/>
      <c r="E56" s="46"/>
      <c r="AE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3.0</v>
      </c>
      <c r="F57" s="19">
        <v>1.0</v>
      </c>
      <c r="G57" s="19">
        <v>3.0</v>
      </c>
      <c r="H57" s="19">
        <v>8.0</v>
      </c>
      <c r="I57" s="19">
        <v>8.0</v>
      </c>
      <c r="J57" s="19">
        <v>9.0</v>
      </c>
      <c r="K57" s="19">
        <v>9.0</v>
      </c>
      <c r="L57" s="19">
        <v>7.0</v>
      </c>
      <c r="M57" s="19">
        <v>1.0</v>
      </c>
      <c r="N57" s="19">
        <v>9.0</v>
      </c>
      <c r="O57" s="19">
        <v>9.0</v>
      </c>
      <c r="P57" s="19">
        <v>11.0</v>
      </c>
      <c r="Q57" s="19">
        <v>4.0</v>
      </c>
      <c r="R57" s="19">
        <v>12.0</v>
      </c>
      <c r="S57" s="19">
        <v>8.0</v>
      </c>
      <c r="T57" s="19">
        <v>11.0</v>
      </c>
      <c r="U57" s="19">
        <v>9.0</v>
      </c>
      <c r="V57" s="19">
        <v>5.0</v>
      </c>
      <c r="W57" s="19">
        <v>4.0</v>
      </c>
      <c r="X57" s="19">
        <v>7.0</v>
      </c>
      <c r="Y57" s="19">
        <v>6.0</v>
      </c>
      <c r="Z57" s="19">
        <v>3.0</v>
      </c>
      <c r="AA57" s="19">
        <v>5.0</v>
      </c>
      <c r="AB57" s="19">
        <v>4.0</v>
      </c>
      <c r="AC57" s="19">
        <v>4.0</v>
      </c>
      <c r="AD57" s="19">
        <v>8.0</v>
      </c>
      <c r="AE57" s="13">
        <f t="shared" ref="AE57:AE67" si="16">SUM(E57:AD57)</f>
        <v>168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6.0</v>
      </c>
      <c r="F58" s="19">
        <v>2.0</v>
      </c>
      <c r="G58" s="19">
        <v>8.0</v>
      </c>
      <c r="H58" s="19">
        <v>6.0</v>
      </c>
      <c r="I58" s="19">
        <v>4.0</v>
      </c>
      <c r="J58" s="19">
        <v>6.0</v>
      </c>
      <c r="K58" s="19">
        <v>2.0</v>
      </c>
      <c r="L58" s="19">
        <v>9.0</v>
      </c>
      <c r="M58" s="19">
        <v>3.0</v>
      </c>
      <c r="N58" s="19">
        <v>2.0</v>
      </c>
      <c r="O58" s="19">
        <v>5.0</v>
      </c>
      <c r="P58" s="19">
        <v>13.0</v>
      </c>
      <c r="Q58" s="19">
        <v>20.0</v>
      </c>
      <c r="R58" s="19">
        <v>6.0</v>
      </c>
      <c r="S58" s="19">
        <v>8.0</v>
      </c>
      <c r="T58" s="19">
        <v>5.0</v>
      </c>
      <c r="U58" s="19">
        <v>15.0</v>
      </c>
      <c r="V58" s="19">
        <v>18.0</v>
      </c>
      <c r="W58" s="19">
        <v>8.0</v>
      </c>
      <c r="X58" s="19">
        <v>3.0</v>
      </c>
      <c r="Y58" s="19">
        <v>2.0</v>
      </c>
      <c r="Z58" s="19">
        <v>3.0</v>
      </c>
      <c r="AA58" s="19">
        <v>4.0</v>
      </c>
      <c r="AB58" s="19">
        <v>1.0</v>
      </c>
      <c r="AC58" s="19">
        <v>2.0</v>
      </c>
      <c r="AD58" s="19">
        <v>2.0</v>
      </c>
      <c r="AE58" s="13">
        <f t="shared" si="16"/>
        <v>163</v>
      </c>
    </row>
    <row r="59" ht="12.75" customHeight="1">
      <c r="A59" s="18"/>
      <c r="B59" s="57">
        <v>2.0</v>
      </c>
      <c r="C59" s="52" t="s">
        <v>50</v>
      </c>
      <c r="D59" s="58"/>
      <c r="E59" s="19">
        <v>0.0</v>
      </c>
      <c r="F59" s="19">
        <v>4.0</v>
      </c>
      <c r="G59" s="19">
        <v>2.0</v>
      </c>
      <c r="H59" s="19">
        <v>2.0</v>
      </c>
      <c r="I59" s="19">
        <v>5.0</v>
      </c>
      <c r="J59" s="19">
        <v>3.0</v>
      </c>
      <c r="K59" s="19">
        <v>0.0</v>
      </c>
      <c r="L59" s="19">
        <v>2.0</v>
      </c>
      <c r="M59" s="19">
        <v>3.0</v>
      </c>
      <c r="N59" s="19">
        <v>2.0</v>
      </c>
      <c r="O59" s="19">
        <v>3.0</v>
      </c>
      <c r="P59" s="19">
        <v>5.0</v>
      </c>
      <c r="Q59" s="19">
        <v>3.0</v>
      </c>
      <c r="R59" s="19">
        <v>0.0</v>
      </c>
      <c r="S59" s="19">
        <v>1.0</v>
      </c>
      <c r="T59" s="19">
        <v>1.0</v>
      </c>
      <c r="U59" s="19">
        <v>1.0</v>
      </c>
      <c r="V59" s="19">
        <v>5.0</v>
      </c>
      <c r="W59" s="19">
        <v>4.0</v>
      </c>
      <c r="X59" s="19">
        <v>3.0</v>
      </c>
      <c r="Y59" s="19">
        <v>3.0</v>
      </c>
      <c r="Z59" s="19">
        <v>4.0</v>
      </c>
      <c r="AA59" s="19">
        <v>0.0</v>
      </c>
      <c r="AB59" s="19">
        <v>2.0</v>
      </c>
      <c r="AC59" s="19">
        <v>0.0</v>
      </c>
      <c r="AD59" s="19">
        <v>0.0</v>
      </c>
      <c r="AE59" s="13">
        <f t="shared" si="16"/>
        <v>58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9">
        <v>2.0</v>
      </c>
      <c r="M60" s="19">
        <v>1.0</v>
      </c>
      <c r="N60" s="19">
        <v>1.0</v>
      </c>
      <c r="O60" s="19">
        <v>1.0</v>
      </c>
      <c r="P60" s="19">
        <v>3.0</v>
      </c>
      <c r="Q60" s="19">
        <v>0.0</v>
      </c>
      <c r="R60" s="19">
        <v>0.0</v>
      </c>
      <c r="S60" s="19">
        <v>2.0</v>
      </c>
      <c r="T60" s="19">
        <v>1.0</v>
      </c>
      <c r="U60" s="19">
        <v>1.0</v>
      </c>
      <c r="V60" s="19">
        <v>0.0</v>
      </c>
      <c r="W60" s="19">
        <v>0.0</v>
      </c>
      <c r="X60" s="19">
        <v>1.0</v>
      </c>
      <c r="Y60" s="19">
        <v>0.0</v>
      </c>
      <c r="Z60" s="19">
        <v>0.0</v>
      </c>
      <c r="AA60" s="19">
        <v>0.0</v>
      </c>
      <c r="AB60" s="19">
        <v>0.0</v>
      </c>
      <c r="AC60" s="19">
        <v>0.0</v>
      </c>
      <c r="AD60" s="19">
        <v>2.0</v>
      </c>
      <c r="AE60" s="13">
        <f t="shared" si="16"/>
        <v>16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0.0</v>
      </c>
      <c r="G61" s="19">
        <v>1.0</v>
      </c>
      <c r="H61" s="19">
        <v>1.0</v>
      </c>
      <c r="I61" s="19">
        <v>1.0</v>
      </c>
      <c r="J61" s="19">
        <v>3.0</v>
      </c>
      <c r="K61" s="19">
        <v>0.0</v>
      </c>
      <c r="L61" s="19">
        <v>1.0</v>
      </c>
      <c r="M61" s="19">
        <v>2.0</v>
      </c>
      <c r="N61" s="19">
        <v>2.0</v>
      </c>
      <c r="O61" s="19">
        <v>1.0</v>
      </c>
      <c r="P61" s="19">
        <v>2.0</v>
      </c>
      <c r="Q61" s="19">
        <v>0.0</v>
      </c>
      <c r="R61" s="19">
        <v>1.0</v>
      </c>
      <c r="S61" s="19">
        <v>1.0</v>
      </c>
      <c r="T61" s="19">
        <v>0.0</v>
      </c>
      <c r="U61" s="19">
        <v>0.0</v>
      </c>
      <c r="V61" s="19">
        <v>0.0</v>
      </c>
      <c r="W61" s="19">
        <v>1.0</v>
      </c>
      <c r="X61" s="19">
        <v>0.0</v>
      </c>
      <c r="Y61" s="19">
        <v>1.0</v>
      </c>
      <c r="Z61" s="19">
        <v>1.0</v>
      </c>
      <c r="AA61" s="19">
        <v>0.0</v>
      </c>
      <c r="AB61" s="19">
        <v>0.0</v>
      </c>
      <c r="AC61" s="19">
        <v>0.0</v>
      </c>
      <c r="AD61" s="19">
        <v>0.0</v>
      </c>
      <c r="AE61" s="13">
        <f t="shared" si="16"/>
        <v>19</v>
      </c>
    </row>
    <row r="62" ht="12.75" customHeight="1">
      <c r="A62" s="18"/>
      <c r="B62" s="57">
        <v>5.0</v>
      </c>
      <c r="C62" s="52" t="s">
        <v>53</v>
      </c>
      <c r="D62" s="58"/>
      <c r="E62" s="19">
        <v>1.0</v>
      </c>
      <c r="F62" s="19">
        <v>4.0</v>
      </c>
      <c r="G62" s="19">
        <v>6.0</v>
      </c>
      <c r="H62" s="19">
        <v>1.0</v>
      </c>
      <c r="I62" s="19">
        <v>5.0</v>
      </c>
      <c r="J62" s="19">
        <v>2.0</v>
      </c>
      <c r="K62" s="19">
        <v>1.0</v>
      </c>
      <c r="L62" s="19">
        <v>2.0</v>
      </c>
      <c r="M62" s="19">
        <v>0.0</v>
      </c>
      <c r="N62" s="19">
        <v>1.0</v>
      </c>
      <c r="O62" s="19">
        <v>2.0</v>
      </c>
      <c r="P62" s="19">
        <v>0.0</v>
      </c>
      <c r="Q62" s="19">
        <v>0.0</v>
      </c>
      <c r="R62" s="19">
        <v>0.0</v>
      </c>
      <c r="S62" s="19">
        <v>2.0</v>
      </c>
      <c r="T62" s="19">
        <v>4.0</v>
      </c>
      <c r="U62" s="19">
        <v>1.0</v>
      </c>
      <c r="V62" s="19">
        <v>3.0</v>
      </c>
      <c r="W62" s="19">
        <v>0.0</v>
      </c>
      <c r="X62" s="19">
        <v>0.0</v>
      </c>
      <c r="Y62" s="19">
        <v>1.0</v>
      </c>
      <c r="Z62" s="19">
        <v>0.0</v>
      </c>
      <c r="AA62" s="19">
        <v>2.0</v>
      </c>
      <c r="AB62" s="19">
        <v>2.0</v>
      </c>
      <c r="AC62" s="19">
        <v>0.0</v>
      </c>
      <c r="AD62" s="19">
        <v>0.0</v>
      </c>
      <c r="AE62" s="13">
        <f t="shared" si="16"/>
        <v>40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0.0</v>
      </c>
      <c r="G63" s="19">
        <v>1.0</v>
      </c>
      <c r="H63" s="19">
        <v>2.0</v>
      </c>
      <c r="I63" s="19">
        <v>0.0</v>
      </c>
      <c r="J63" s="19">
        <v>0.0</v>
      </c>
      <c r="K63" s="19">
        <v>0.0</v>
      </c>
      <c r="L63" s="19">
        <v>1.0</v>
      </c>
      <c r="M63" s="19">
        <v>0.0</v>
      </c>
      <c r="N63" s="19">
        <v>1.0</v>
      </c>
      <c r="O63" s="19">
        <v>0.0</v>
      </c>
      <c r="P63" s="19">
        <v>1.0</v>
      </c>
      <c r="Q63" s="19">
        <v>0.0</v>
      </c>
      <c r="R63" s="19">
        <v>1.0</v>
      </c>
      <c r="S63" s="19">
        <v>0.0</v>
      </c>
      <c r="T63" s="19">
        <v>0.0</v>
      </c>
      <c r="U63" s="19">
        <v>1.0</v>
      </c>
      <c r="V63" s="19">
        <v>0.0</v>
      </c>
      <c r="W63" s="19">
        <v>0.0</v>
      </c>
      <c r="X63" s="19">
        <v>0.0</v>
      </c>
      <c r="Y63" s="19">
        <v>1.0</v>
      </c>
      <c r="Z63" s="19">
        <v>0.0</v>
      </c>
      <c r="AA63" s="19">
        <v>1.0</v>
      </c>
      <c r="AB63" s="19">
        <v>0.0</v>
      </c>
      <c r="AC63" s="19">
        <v>0.0</v>
      </c>
      <c r="AD63" s="19">
        <v>0.0</v>
      </c>
      <c r="AE63" s="13">
        <f t="shared" si="16"/>
        <v>10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1.0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1.0</v>
      </c>
      <c r="AC64" s="19">
        <v>1.0</v>
      </c>
      <c r="AD64" s="19">
        <v>0.0</v>
      </c>
      <c r="AE64" s="13">
        <f t="shared" si="16"/>
        <v>5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AD67" si="17">SUM(E57:E64)</f>
        <v>10</v>
      </c>
      <c r="F67" s="13">
        <f t="shared" si="17"/>
        <v>12</v>
      </c>
      <c r="G67" s="13">
        <f t="shared" si="17"/>
        <v>21</v>
      </c>
      <c r="H67" s="13">
        <f t="shared" si="17"/>
        <v>20</v>
      </c>
      <c r="I67" s="13">
        <f t="shared" si="17"/>
        <v>24</v>
      </c>
      <c r="J67" s="13">
        <f t="shared" si="17"/>
        <v>24</v>
      </c>
      <c r="K67" s="13">
        <f t="shared" si="17"/>
        <v>12</v>
      </c>
      <c r="L67" s="13">
        <f t="shared" si="17"/>
        <v>24</v>
      </c>
      <c r="M67" s="13">
        <f t="shared" si="17"/>
        <v>10</v>
      </c>
      <c r="N67" s="13">
        <f t="shared" si="17"/>
        <v>18</v>
      </c>
      <c r="O67" s="13">
        <f t="shared" si="17"/>
        <v>21</v>
      </c>
      <c r="P67" s="13">
        <f t="shared" si="17"/>
        <v>36</v>
      </c>
      <c r="Q67" s="13">
        <f t="shared" si="17"/>
        <v>27</v>
      </c>
      <c r="R67" s="13">
        <f t="shared" si="17"/>
        <v>20</v>
      </c>
      <c r="S67" s="13">
        <f t="shared" si="17"/>
        <v>22</v>
      </c>
      <c r="T67" s="13">
        <f t="shared" si="17"/>
        <v>22</v>
      </c>
      <c r="U67" s="13">
        <f t="shared" si="17"/>
        <v>28</v>
      </c>
      <c r="V67" s="13">
        <f t="shared" si="17"/>
        <v>31</v>
      </c>
      <c r="W67" s="13">
        <f t="shared" si="17"/>
        <v>17</v>
      </c>
      <c r="X67" s="13">
        <f t="shared" si="17"/>
        <v>14</v>
      </c>
      <c r="Y67" s="13">
        <f t="shared" si="17"/>
        <v>14</v>
      </c>
      <c r="Z67" s="13">
        <f t="shared" si="17"/>
        <v>11</v>
      </c>
      <c r="AA67" s="13">
        <f t="shared" si="17"/>
        <v>12</v>
      </c>
      <c r="AB67" s="13">
        <f t="shared" si="17"/>
        <v>10</v>
      </c>
      <c r="AC67" s="13">
        <f t="shared" si="17"/>
        <v>7</v>
      </c>
      <c r="AD67" s="13">
        <f t="shared" si="17"/>
        <v>12</v>
      </c>
      <c r="AE67" s="13">
        <f t="shared" si="16"/>
        <v>479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5.0</v>
      </c>
      <c r="F69" s="19">
        <v>9.0</v>
      </c>
      <c r="G69" s="19">
        <v>2.0</v>
      </c>
      <c r="H69" s="19">
        <v>9.0</v>
      </c>
      <c r="I69" s="19">
        <v>8.0</v>
      </c>
      <c r="J69" s="19">
        <v>11.0</v>
      </c>
      <c r="K69" s="19">
        <v>12.0</v>
      </c>
      <c r="L69" s="19">
        <v>13.0</v>
      </c>
      <c r="M69" s="19">
        <v>4.0</v>
      </c>
      <c r="N69" s="19">
        <v>5.0</v>
      </c>
      <c r="O69" s="19">
        <v>8.0</v>
      </c>
      <c r="P69" s="19">
        <v>8.0</v>
      </c>
      <c r="Q69" s="19">
        <v>3.0</v>
      </c>
      <c r="R69" s="19">
        <v>6.0</v>
      </c>
      <c r="S69" s="19">
        <v>4.0</v>
      </c>
      <c r="T69" s="19">
        <v>5.0</v>
      </c>
      <c r="U69" s="19">
        <v>4.0</v>
      </c>
      <c r="V69" s="19">
        <v>3.0</v>
      </c>
      <c r="W69" s="19">
        <v>9.0</v>
      </c>
      <c r="X69" s="19">
        <v>8.0</v>
      </c>
      <c r="Y69" s="19">
        <v>7.0</v>
      </c>
      <c r="Z69" s="19">
        <v>7.0</v>
      </c>
      <c r="AA69" s="19">
        <v>5.0</v>
      </c>
      <c r="AB69" s="19">
        <v>12.0</v>
      </c>
      <c r="AC69" s="19">
        <v>5.0</v>
      </c>
      <c r="AD69" s="19">
        <v>17.0</v>
      </c>
      <c r="AE69" s="13">
        <f t="shared" ref="AE69:AE79" si="18">SUM(E69:AD69)</f>
        <v>189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12.0</v>
      </c>
      <c r="F70" s="19">
        <v>16.0</v>
      </c>
      <c r="G70" s="19">
        <v>9.0</v>
      </c>
      <c r="H70" s="19">
        <v>19.0</v>
      </c>
      <c r="I70" s="19">
        <v>27.0</v>
      </c>
      <c r="J70" s="19">
        <v>37.0</v>
      </c>
      <c r="K70" s="19">
        <v>22.0</v>
      </c>
      <c r="L70" s="19">
        <v>23.0</v>
      </c>
      <c r="M70" s="19">
        <v>6.0</v>
      </c>
      <c r="N70" s="19">
        <v>7.0</v>
      </c>
      <c r="O70" s="19">
        <v>9.0</v>
      </c>
      <c r="P70" s="19">
        <v>10.0</v>
      </c>
      <c r="Q70" s="19">
        <v>27.0</v>
      </c>
      <c r="R70" s="19">
        <v>4.0</v>
      </c>
      <c r="S70" s="19">
        <v>1.0</v>
      </c>
      <c r="T70" s="19">
        <v>4.0</v>
      </c>
      <c r="U70" s="19">
        <v>7.0</v>
      </c>
      <c r="V70" s="19">
        <v>9.0</v>
      </c>
      <c r="W70" s="19">
        <v>9.0</v>
      </c>
      <c r="X70" s="19">
        <v>7.0</v>
      </c>
      <c r="Y70" s="19">
        <v>5.0</v>
      </c>
      <c r="Z70" s="19">
        <v>7.0</v>
      </c>
      <c r="AA70" s="19">
        <v>4.0</v>
      </c>
      <c r="AB70" s="19">
        <v>23.0</v>
      </c>
      <c r="AC70" s="19">
        <v>15.0</v>
      </c>
      <c r="AD70" s="19">
        <v>5.0</v>
      </c>
      <c r="AE70" s="13">
        <f t="shared" si="18"/>
        <v>324</v>
      </c>
    </row>
    <row r="71" ht="12.75" customHeight="1">
      <c r="A71" s="18"/>
      <c r="B71" s="57">
        <v>2.0</v>
      </c>
      <c r="C71" s="52" t="s">
        <v>58</v>
      </c>
      <c r="D71" s="60"/>
      <c r="E71" s="19">
        <v>0.0</v>
      </c>
      <c r="F71" s="19">
        <v>3.0</v>
      </c>
      <c r="G71" s="19">
        <v>1.0</v>
      </c>
      <c r="H71" s="19">
        <v>1.0</v>
      </c>
      <c r="I71" s="19">
        <v>3.0</v>
      </c>
      <c r="J71" s="19">
        <v>1.0</v>
      </c>
      <c r="K71" s="19">
        <v>9.0</v>
      </c>
      <c r="L71" s="19">
        <v>5.0</v>
      </c>
      <c r="M71" s="19">
        <v>6.0</v>
      </c>
      <c r="N71" s="19">
        <v>2.0</v>
      </c>
      <c r="O71" s="19">
        <v>3.0</v>
      </c>
      <c r="P71" s="19">
        <v>4.0</v>
      </c>
      <c r="Q71" s="19">
        <v>1.0</v>
      </c>
      <c r="R71" s="19">
        <v>0.0</v>
      </c>
      <c r="S71" s="19">
        <v>3.0</v>
      </c>
      <c r="T71" s="19">
        <v>2.0</v>
      </c>
      <c r="U71" s="19">
        <v>0.0</v>
      </c>
      <c r="V71" s="19">
        <v>0.0</v>
      </c>
      <c r="W71" s="19">
        <v>7.0</v>
      </c>
      <c r="X71" s="19">
        <v>0.0</v>
      </c>
      <c r="Y71" s="19">
        <v>3.0</v>
      </c>
      <c r="Z71" s="19">
        <v>0.0</v>
      </c>
      <c r="AA71" s="19">
        <v>3.0</v>
      </c>
      <c r="AB71" s="19">
        <v>1.0</v>
      </c>
      <c r="AC71" s="19">
        <v>1.0</v>
      </c>
      <c r="AD71" s="19">
        <v>3.0</v>
      </c>
      <c r="AE71" s="13">
        <f t="shared" si="18"/>
        <v>62</v>
      </c>
    </row>
    <row r="72" ht="12.75" customHeight="1">
      <c r="A72" s="18"/>
      <c r="B72" s="57">
        <v>3.0</v>
      </c>
      <c r="C72" s="52" t="s">
        <v>59</v>
      </c>
      <c r="D72" s="60"/>
      <c r="E72" s="19">
        <v>5.0</v>
      </c>
      <c r="F72" s="19">
        <v>0.0</v>
      </c>
      <c r="G72" s="19">
        <v>6.0</v>
      </c>
      <c r="H72" s="19">
        <v>5.0</v>
      </c>
      <c r="I72" s="19">
        <v>21.0</v>
      </c>
      <c r="J72" s="19">
        <v>23.0</v>
      </c>
      <c r="K72" s="19">
        <v>3.0</v>
      </c>
      <c r="L72" s="19">
        <v>0.0</v>
      </c>
      <c r="M72" s="19">
        <v>10.0</v>
      </c>
      <c r="N72" s="19">
        <v>10.0</v>
      </c>
      <c r="O72" s="19">
        <v>10.0</v>
      </c>
      <c r="P72" s="19">
        <v>17.0</v>
      </c>
      <c r="Q72" s="19">
        <v>3.0</v>
      </c>
      <c r="R72" s="19">
        <v>15.0</v>
      </c>
      <c r="S72" s="19">
        <v>1.0</v>
      </c>
      <c r="T72" s="19">
        <v>5.0</v>
      </c>
      <c r="U72" s="19">
        <v>2.0</v>
      </c>
      <c r="V72" s="19">
        <v>1.0</v>
      </c>
      <c r="W72" s="19">
        <v>9.0</v>
      </c>
      <c r="X72" s="19">
        <v>8.0</v>
      </c>
      <c r="Y72" s="19">
        <v>12.0</v>
      </c>
      <c r="Z72" s="19">
        <v>3.0</v>
      </c>
      <c r="AA72" s="19">
        <v>6.0</v>
      </c>
      <c r="AB72" s="19">
        <v>25.0</v>
      </c>
      <c r="AC72" s="19">
        <v>17.0</v>
      </c>
      <c r="AD72" s="19">
        <v>9.0</v>
      </c>
      <c r="AE72" s="13">
        <f t="shared" si="18"/>
        <v>226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1.0</v>
      </c>
      <c r="G73" s="19">
        <v>0.0</v>
      </c>
      <c r="H73" s="19">
        <v>0.0</v>
      </c>
      <c r="I73" s="19">
        <v>1.0</v>
      </c>
      <c r="J73" s="19">
        <v>4.0</v>
      </c>
      <c r="K73" s="19">
        <v>0.0</v>
      </c>
      <c r="L73" s="19">
        <v>2.0</v>
      </c>
      <c r="M73" s="19">
        <v>0.0</v>
      </c>
      <c r="N73" s="19">
        <v>2.0</v>
      </c>
      <c r="O73" s="19">
        <v>0.0</v>
      </c>
      <c r="P73" s="19">
        <v>1.0</v>
      </c>
      <c r="Q73" s="19">
        <v>0.0</v>
      </c>
      <c r="R73" s="19">
        <v>1.0</v>
      </c>
      <c r="S73" s="19">
        <v>0.0</v>
      </c>
      <c r="T73" s="19">
        <v>0.0</v>
      </c>
      <c r="U73" s="19">
        <v>0.0</v>
      </c>
      <c r="V73" s="19">
        <v>0.0</v>
      </c>
      <c r="W73" s="19">
        <v>2.0</v>
      </c>
      <c r="X73" s="19">
        <v>2.0</v>
      </c>
      <c r="Y73" s="19">
        <v>1.0</v>
      </c>
      <c r="Z73" s="19">
        <v>0.0</v>
      </c>
      <c r="AA73" s="19">
        <v>0.0</v>
      </c>
      <c r="AB73" s="19">
        <v>1.0</v>
      </c>
      <c r="AC73" s="19">
        <v>0.0</v>
      </c>
      <c r="AD73" s="19">
        <v>0.0</v>
      </c>
      <c r="AE73" s="13">
        <f t="shared" si="18"/>
        <v>18</v>
      </c>
    </row>
    <row r="74" ht="12.75" customHeight="1">
      <c r="A74" s="18"/>
      <c r="B74" s="57">
        <v>5.0</v>
      </c>
      <c r="C74" s="52" t="s">
        <v>61</v>
      </c>
      <c r="D74" s="60"/>
      <c r="E74" s="19">
        <v>5.0</v>
      </c>
      <c r="F74" s="19">
        <v>2.0</v>
      </c>
      <c r="G74" s="19">
        <v>0.0</v>
      </c>
      <c r="H74" s="19">
        <v>7.0</v>
      </c>
      <c r="I74" s="19">
        <v>2.0</v>
      </c>
      <c r="J74" s="19">
        <v>14.0</v>
      </c>
      <c r="K74" s="19">
        <v>6.0</v>
      </c>
      <c r="L74" s="19">
        <v>4.0</v>
      </c>
      <c r="M74" s="19">
        <v>4.0</v>
      </c>
      <c r="N74" s="19">
        <v>21.0</v>
      </c>
      <c r="O74" s="19">
        <v>21.0</v>
      </c>
      <c r="P74" s="19">
        <v>8.0</v>
      </c>
      <c r="Q74" s="19">
        <v>3.0</v>
      </c>
      <c r="R74" s="19">
        <v>25.0</v>
      </c>
      <c r="S74" s="19">
        <v>0.0</v>
      </c>
      <c r="T74" s="19">
        <v>1.0</v>
      </c>
      <c r="U74" s="19">
        <v>15.0</v>
      </c>
      <c r="V74" s="19">
        <v>12.0</v>
      </c>
      <c r="W74" s="19">
        <v>12.0</v>
      </c>
      <c r="X74" s="19">
        <v>24.0</v>
      </c>
      <c r="Y74" s="19">
        <v>17.0</v>
      </c>
      <c r="Z74" s="19">
        <v>7.0</v>
      </c>
      <c r="AA74" s="19">
        <v>8.0</v>
      </c>
      <c r="AB74" s="19">
        <v>16.0</v>
      </c>
      <c r="AC74" s="19">
        <v>12.0</v>
      </c>
      <c r="AD74" s="19">
        <v>12.0</v>
      </c>
      <c r="AE74" s="13">
        <f t="shared" si="18"/>
        <v>258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1.0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1.0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3.0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3">
        <f t="shared" si="18"/>
        <v>7</v>
      </c>
    </row>
    <row r="76" ht="12.75" customHeight="1">
      <c r="A76" s="18"/>
      <c r="B76" s="57">
        <v>7.0</v>
      </c>
      <c r="C76" s="52" t="s">
        <v>63</v>
      </c>
      <c r="D76" s="60"/>
      <c r="E76" s="19">
        <v>1.0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4.0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1.0</v>
      </c>
      <c r="AC76" s="19">
        <v>1.0</v>
      </c>
      <c r="AD76" s="19">
        <v>0.0</v>
      </c>
      <c r="AE76" s="13">
        <f t="shared" si="18"/>
        <v>9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AD79" si="19">SUM(E69:E76)</f>
        <v>28</v>
      </c>
      <c r="F79" s="13">
        <f t="shared" si="19"/>
        <v>33</v>
      </c>
      <c r="G79" s="13">
        <f t="shared" si="19"/>
        <v>18</v>
      </c>
      <c r="H79" s="13">
        <f t="shared" si="19"/>
        <v>41</v>
      </c>
      <c r="I79" s="13">
        <f t="shared" si="19"/>
        <v>63</v>
      </c>
      <c r="J79" s="13">
        <f t="shared" si="19"/>
        <v>90</v>
      </c>
      <c r="K79" s="13">
        <f t="shared" si="19"/>
        <v>52</v>
      </c>
      <c r="L79" s="13">
        <f t="shared" si="19"/>
        <v>47</v>
      </c>
      <c r="M79" s="13">
        <f t="shared" si="19"/>
        <v>32</v>
      </c>
      <c r="N79" s="13">
        <f t="shared" si="19"/>
        <v>51</v>
      </c>
      <c r="O79" s="13">
        <f t="shared" si="19"/>
        <v>51</v>
      </c>
      <c r="P79" s="13">
        <f t="shared" si="19"/>
        <v>48</v>
      </c>
      <c r="Q79" s="13">
        <f t="shared" si="19"/>
        <v>38</v>
      </c>
      <c r="R79" s="13">
        <f t="shared" si="19"/>
        <v>51</v>
      </c>
      <c r="S79" s="13">
        <f t="shared" si="19"/>
        <v>9</v>
      </c>
      <c r="T79" s="13">
        <f t="shared" si="19"/>
        <v>17</v>
      </c>
      <c r="U79" s="13">
        <f t="shared" si="19"/>
        <v>28</v>
      </c>
      <c r="V79" s="13">
        <f t="shared" si="19"/>
        <v>25</v>
      </c>
      <c r="W79" s="13">
        <f t="shared" si="19"/>
        <v>51</v>
      </c>
      <c r="X79" s="13">
        <f t="shared" si="19"/>
        <v>49</v>
      </c>
      <c r="Y79" s="13">
        <f t="shared" si="19"/>
        <v>45</v>
      </c>
      <c r="Z79" s="13">
        <f t="shared" si="19"/>
        <v>24</v>
      </c>
      <c r="AA79" s="13">
        <f t="shared" si="19"/>
        <v>26</v>
      </c>
      <c r="AB79" s="13">
        <f t="shared" si="19"/>
        <v>79</v>
      </c>
      <c r="AC79" s="13">
        <f t="shared" si="19"/>
        <v>51</v>
      </c>
      <c r="AD79" s="13">
        <f t="shared" si="19"/>
        <v>46</v>
      </c>
      <c r="AE79" s="13">
        <f t="shared" si="18"/>
        <v>1093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3.0</v>
      </c>
      <c r="F81" s="19">
        <v>7.0</v>
      </c>
      <c r="G81" s="19">
        <v>5.0</v>
      </c>
      <c r="H81" s="19">
        <v>0.0</v>
      </c>
      <c r="I81" s="19">
        <v>1.0</v>
      </c>
      <c r="J81" s="19">
        <v>1.0</v>
      </c>
      <c r="K81" s="19">
        <v>2.0</v>
      </c>
      <c r="L81" s="19">
        <v>5.0</v>
      </c>
      <c r="M81" s="19">
        <v>3.0</v>
      </c>
      <c r="N81" s="19">
        <v>1.0</v>
      </c>
      <c r="O81" s="19">
        <v>7.0</v>
      </c>
      <c r="P81" s="19">
        <v>1.0</v>
      </c>
      <c r="Q81" s="19">
        <v>4.0</v>
      </c>
      <c r="R81" s="19">
        <v>1.0</v>
      </c>
      <c r="S81" s="19">
        <v>3.0</v>
      </c>
      <c r="T81" s="19">
        <v>4.0</v>
      </c>
      <c r="U81" s="19">
        <v>4.0</v>
      </c>
      <c r="V81" s="19">
        <v>0.0</v>
      </c>
      <c r="W81" s="19">
        <v>2.0</v>
      </c>
      <c r="X81" s="19">
        <v>3.0</v>
      </c>
      <c r="Y81" s="19">
        <v>2.0</v>
      </c>
      <c r="Z81" s="19">
        <v>4.0</v>
      </c>
      <c r="AA81" s="19">
        <v>4.0</v>
      </c>
      <c r="AB81" s="19">
        <v>2.0</v>
      </c>
      <c r="AC81" s="19">
        <v>3.0</v>
      </c>
      <c r="AD81" s="19">
        <v>4.0</v>
      </c>
      <c r="AE81" s="13">
        <f t="shared" ref="AE81:AE91" si="20">SUM(E81:AD81)</f>
        <v>76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8.0</v>
      </c>
      <c r="F82" s="19">
        <v>19.0</v>
      </c>
      <c r="G82" s="19">
        <v>16.0</v>
      </c>
      <c r="H82" s="19">
        <v>20.0</v>
      </c>
      <c r="I82" s="19">
        <v>13.0</v>
      </c>
      <c r="J82" s="19">
        <v>12.0</v>
      </c>
      <c r="K82" s="19">
        <v>19.0</v>
      </c>
      <c r="L82" s="19">
        <v>13.0</v>
      </c>
      <c r="M82" s="19">
        <v>5.0</v>
      </c>
      <c r="N82" s="19">
        <v>6.0</v>
      </c>
      <c r="O82" s="19">
        <v>11.0</v>
      </c>
      <c r="P82" s="19">
        <v>5.0</v>
      </c>
      <c r="Q82" s="19">
        <v>43.0</v>
      </c>
      <c r="R82" s="19">
        <v>17.0</v>
      </c>
      <c r="S82" s="19">
        <v>9.0</v>
      </c>
      <c r="T82" s="19">
        <v>4.0</v>
      </c>
      <c r="U82" s="19">
        <v>6.0</v>
      </c>
      <c r="V82" s="19">
        <v>4.0</v>
      </c>
      <c r="W82" s="19">
        <v>19.0</v>
      </c>
      <c r="X82" s="19">
        <v>16.0</v>
      </c>
      <c r="Y82" s="19">
        <v>13.0</v>
      </c>
      <c r="Z82" s="19">
        <v>34.0</v>
      </c>
      <c r="AA82" s="19">
        <v>6.0</v>
      </c>
      <c r="AB82" s="19">
        <v>6.0</v>
      </c>
      <c r="AC82" s="19">
        <v>0.0</v>
      </c>
      <c r="AD82" s="19">
        <v>1.0</v>
      </c>
      <c r="AE82" s="13">
        <f t="shared" si="20"/>
        <v>325</v>
      </c>
    </row>
    <row r="83" ht="12.75" customHeight="1">
      <c r="A83" s="18"/>
      <c r="B83" s="57">
        <v>2.0</v>
      </c>
      <c r="C83" s="52" t="s">
        <v>66</v>
      </c>
      <c r="D83" s="60"/>
      <c r="E83" s="19">
        <v>1.0</v>
      </c>
      <c r="F83" s="19">
        <v>4.0</v>
      </c>
      <c r="G83" s="19">
        <v>2.0</v>
      </c>
      <c r="H83" s="19">
        <v>9.0</v>
      </c>
      <c r="I83" s="19">
        <v>2.0</v>
      </c>
      <c r="J83" s="19">
        <v>1.0</v>
      </c>
      <c r="K83" s="19">
        <v>2.0</v>
      </c>
      <c r="L83" s="19">
        <v>2.0</v>
      </c>
      <c r="M83" s="19">
        <v>24.0</v>
      </c>
      <c r="N83" s="19">
        <v>9.0</v>
      </c>
      <c r="O83" s="19">
        <v>9.0</v>
      </c>
      <c r="P83" s="19">
        <v>9.0</v>
      </c>
      <c r="Q83" s="19">
        <v>10.0</v>
      </c>
      <c r="R83" s="19">
        <v>9.0</v>
      </c>
      <c r="S83" s="19">
        <v>7.0</v>
      </c>
      <c r="T83" s="19">
        <v>10.0</v>
      </c>
      <c r="U83" s="19">
        <v>1.0</v>
      </c>
      <c r="V83" s="19">
        <v>1.0</v>
      </c>
      <c r="W83" s="19">
        <v>1.0</v>
      </c>
      <c r="X83" s="19">
        <v>14.0</v>
      </c>
      <c r="Y83" s="19">
        <v>11.0</v>
      </c>
      <c r="Z83" s="19">
        <v>13.0</v>
      </c>
      <c r="AA83" s="19">
        <v>4.0</v>
      </c>
      <c r="AB83" s="19">
        <v>0.0</v>
      </c>
      <c r="AC83" s="19">
        <v>1.0</v>
      </c>
      <c r="AD83" s="19">
        <v>2.0</v>
      </c>
      <c r="AE83" s="13">
        <f t="shared" si="20"/>
        <v>158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2.0</v>
      </c>
      <c r="M84" s="19">
        <v>0.0</v>
      </c>
      <c r="N84" s="19">
        <v>1.0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1.0</v>
      </c>
      <c r="X84" s="19">
        <v>0.0</v>
      </c>
      <c r="Y84" s="19">
        <v>0.0</v>
      </c>
      <c r="Z84" s="19">
        <v>0.0</v>
      </c>
      <c r="AA84" s="19">
        <v>1.0</v>
      </c>
      <c r="AB84" s="19">
        <v>1.0</v>
      </c>
      <c r="AC84" s="19">
        <v>0.0</v>
      </c>
      <c r="AD84" s="19">
        <v>0.0</v>
      </c>
      <c r="AE84" s="13">
        <f t="shared" si="20"/>
        <v>9</v>
      </c>
    </row>
    <row r="85" ht="12.75" customHeight="1">
      <c r="A85" s="18"/>
      <c r="B85" s="57">
        <v>4.0</v>
      </c>
      <c r="C85" s="52" t="s">
        <v>68</v>
      </c>
      <c r="D85" s="60"/>
      <c r="E85" s="19">
        <v>8.0</v>
      </c>
      <c r="F85" s="19">
        <v>45.0</v>
      </c>
      <c r="G85" s="19">
        <v>17.0</v>
      </c>
      <c r="H85" s="19">
        <v>6.0</v>
      </c>
      <c r="I85" s="19">
        <v>7.0</v>
      </c>
      <c r="J85" s="19">
        <v>9.0</v>
      </c>
      <c r="K85" s="19">
        <v>2.0</v>
      </c>
      <c r="L85" s="19">
        <v>2.0</v>
      </c>
      <c r="M85" s="19">
        <v>0.0</v>
      </c>
      <c r="N85" s="19">
        <v>0.0</v>
      </c>
      <c r="O85" s="19">
        <v>1.0</v>
      </c>
      <c r="P85" s="19">
        <v>1.0</v>
      </c>
      <c r="Q85" s="19">
        <v>3.0</v>
      </c>
      <c r="R85" s="19">
        <v>9.0</v>
      </c>
      <c r="S85" s="19">
        <v>3.0</v>
      </c>
      <c r="T85" s="19">
        <v>0.0</v>
      </c>
      <c r="U85" s="19">
        <v>3.0</v>
      </c>
      <c r="V85" s="19">
        <v>2.0</v>
      </c>
      <c r="W85" s="19">
        <v>0.0</v>
      </c>
      <c r="X85" s="19">
        <v>2.0</v>
      </c>
      <c r="Y85" s="19">
        <v>0.0</v>
      </c>
      <c r="Z85" s="19">
        <v>6.0</v>
      </c>
      <c r="AA85" s="19">
        <v>0.0</v>
      </c>
      <c r="AB85" s="19">
        <v>0.0</v>
      </c>
      <c r="AC85" s="19">
        <v>1.0</v>
      </c>
      <c r="AD85" s="19">
        <v>0.0</v>
      </c>
      <c r="AE85" s="13">
        <f t="shared" si="20"/>
        <v>127</v>
      </c>
    </row>
    <row r="86" ht="12.75" customHeight="1">
      <c r="A86" s="18"/>
      <c r="B86" s="57">
        <v>5.0</v>
      </c>
      <c r="C86" s="52" t="s">
        <v>69</v>
      </c>
      <c r="D86" s="60"/>
      <c r="E86" s="19">
        <v>0.0</v>
      </c>
      <c r="F86" s="19">
        <v>0.0</v>
      </c>
      <c r="G86" s="19">
        <v>1.0</v>
      </c>
      <c r="H86" s="19">
        <v>0.0</v>
      </c>
      <c r="I86" s="19">
        <v>0.0</v>
      </c>
      <c r="J86" s="19">
        <v>0.0</v>
      </c>
      <c r="K86" s="19">
        <v>2.0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9">
        <v>2.0</v>
      </c>
      <c r="R86" s="19">
        <v>0.0</v>
      </c>
      <c r="S86" s="19">
        <v>1.0</v>
      </c>
      <c r="T86" s="19">
        <v>0.0</v>
      </c>
      <c r="U86" s="19">
        <v>3.0</v>
      </c>
      <c r="V86" s="19">
        <v>4.0</v>
      </c>
      <c r="W86" s="19">
        <v>0.0</v>
      </c>
      <c r="X86" s="19">
        <v>0.0</v>
      </c>
      <c r="Y86" s="19">
        <v>1.0</v>
      </c>
      <c r="Z86" s="19">
        <v>0.0</v>
      </c>
      <c r="AA86" s="19">
        <v>1.0</v>
      </c>
      <c r="AB86" s="19">
        <v>2.0</v>
      </c>
      <c r="AC86" s="19">
        <v>1.0</v>
      </c>
      <c r="AD86" s="19">
        <v>1.0</v>
      </c>
      <c r="AE86" s="13">
        <f t="shared" si="20"/>
        <v>20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1.0</v>
      </c>
      <c r="AC87" s="19">
        <v>0.0</v>
      </c>
      <c r="AD87" s="19">
        <v>0.0</v>
      </c>
      <c r="AE87" s="13">
        <f t="shared" si="20"/>
        <v>3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2.0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1.0</v>
      </c>
      <c r="V88" s="19">
        <v>0.0</v>
      </c>
      <c r="W88" s="19">
        <v>1.0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3">
        <f t="shared" si="20"/>
        <v>6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AD91" si="21">SUM(E81:E88)</f>
        <v>20</v>
      </c>
      <c r="F91" s="13">
        <f t="shared" si="21"/>
        <v>77</v>
      </c>
      <c r="G91" s="13">
        <f t="shared" si="21"/>
        <v>43</v>
      </c>
      <c r="H91" s="13">
        <f t="shared" si="21"/>
        <v>36</v>
      </c>
      <c r="I91" s="13">
        <f t="shared" si="21"/>
        <v>24</v>
      </c>
      <c r="J91" s="13">
        <f t="shared" si="21"/>
        <v>23</v>
      </c>
      <c r="K91" s="13">
        <f t="shared" si="21"/>
        <v>27</v>
      </c>
      <c r="L91" s="13">
        <f t="shared" si="21"/>
        <v>24</v>
      </c>
      <c r="M91" s="13">
        <f t="shared" si="21"/>
        <v>32</v>
      </c>
      <c r="N91" s="13">
        <f t="shared" si="21"/>
        <v>19</v>
      </c>
      <c r="O91" s="13">
        <f t="shared" si="21"/>
        <v>29</v>
      </c>
      <c r="P91" s="13">
        <f t="shared" si="21"/>
        <v>17</v>
      </c>
      <c r="Q91" s="13">
        <f t="shared" si="21"/>
        <v>62</v>
      </c>
      <c r="R91" s="13">
        <f t="shared" si="21"/>
        <v>36</v>
      </c>
      <c r="S91" s="13">
        <f t="shared" si="21"/>
        <v>23</v>
      </c>
      <c r="T91" s="13">
        <f t="shared" si="21"/>
        <v>18</v>
      </c>
      <c r="U91" s="13">
        <f t="shared" si="21"/>
        <v>18</v>
      </c>
      <c r="V91" s="13">
        <f t="shared" si="21"/>
        <v>11</v>
      </c>
      <c r="W91" s="13">
        <f t="shared" si="21"/>
        <v>24</v>
      </c>
      <c r="X91" s="13">
        <f t="shared" si="21"/>
        <v>35</v>
      </c>
      <c r="Y91" s="13">
        <f t="shared" si="21"/>
        <v>27</v>
      </c>
      <c r="Z91" s="13">
        <f t="shared" si="21"/>
        <v>57</v>
      </c>
      <c r="AA91" s="13">
        <f t="shared" si="21"/>
        <v>16</v>
      </c>
      <c r="AB91" s="13">
        <f t="shared" si="21"/>
        <v>12</v>
      </c>
      <c r="AC91" s="13">
        <f t="shared" si="21"/>
        <v>6</v>
      </c>
      <c r="AD91" s="13">
        <f t="shared" si="21"/>
        <v>8</v>
      </c>
      <c r="AE91" s="13">
        <f t="shared" si="20"/>
        <v>724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2.0</v>
      </c>
      <c r="F93" s="19">
        <v>4.0</v>
      </c>
      <c r="G93" s="19">
        <v>0.0</v>
      </c>
      <c r="H93" s="19">
        <v>3.0</v>
      </c>
      <c r="I93" s="19">
        <v>3.0</v>
      </c>
      <c r="J93" s="19">
        <v>0.0</v>
      </c>
      <c r="K93" s="19">
        <v>0.0</v>
      </c>
      <c r="L93" s="19">
        <v>1.0</v>
      </c>
      <c r="M93" s="19">
        <v>1.0</v>
      </c>
      <c r="N93" s="19">
        <v>1.0</v>
      </c>
      <c r="O93" s="19">
        <v>3.0</v>
      </c>
      <c r="P93" s="19">
        <v>1.0</v>
      </c>
      <c r="Q93" s="19">
        <v>0.0</v>
      </c>
      <c r="R93" s="19">
        <v>1.0</v>
      </c>
      <c r="S93" s="19">
        <v>0.0</v>
      </c>
      <c r="T93" s="19">
        <v>3.0</v>
      </c>
      <c r="U93" s="19">
        <v>3.0</v>
      </c>
      <c r="V93" s="19">
        <v>2.0</v>
      </c>
      <c r="W93" s="19">
        <v>6.0</v>
      </c>
      <c r="X93" s="19">
        <v>0.0</v>
      </c>
      <c r="Y93" s="19">
        <v>1.0</v>
      </c>
      <c r="Z93" s="19">
        <v>2.0</v>
      </c>
      <c r="AA93" s="19">
        <v>0.0</v>
      </c>
      <c r="AB93" s="19">
        <v>0.0</v>
      </c>
      <c r="AC93" s="19">
        <v>2.0</v>
      </c>
      <c r="AD93" s="19">
        <v>0.0</v>
      </c>
      <c r="AE93" s="13">
        <f t="shared" ref="AE93:AE103" si="22">SUM(E93:AD93)</f>
        <v>39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0.0</v>
      </c>
      <c r="F94" s="19">
        <v>0.0</v>
      </c>
      <c r="G94" s="19">
        <v>0.0</v>
      </c>
      <c r="H94" s="19">
        <v>0.0</v>
      </c>
      <c r="I94" s="19">
        <v>1.0</v>
      </c>
      <c r="J94" s="19">
        <v>0.0</v>
      </c>
      <c r="K94" s="19">
        <v>0.0</v>
      </c>
      <c r="L94" s="19">
        <v>2.0</v>
      </c>
      <c r="M94" s="19">
        <v>0.0</v>
      </c>
      <c r="N94" s="19">
        <v>4.0</v>
      </c>
      <c r="O94" s="19">
        <v>1.0</v>
      </c>
      <c r="P94" s="19">
        <v>6.0</v>
      </c>
      <c r="Q94" s="19">
        <v>0.0</v>
      </c>
      <c r="R94" s="19">
        <v>0.0</v>
      </c>
      <c r="S94" s="19">
        <v>1.0</v>
      </c>
      <c r="T94" s="19">
        <v>2.0</v>
      </c>
      <c r="U94" s="19">
        <v>1.0</v>
      </c>
      <c r="V94" s="19">
        <v>0.0</v>
      </c>
      <c r="W94" s="19">
        <v>2.0</v>
      </c>
      <c r="X94" s="19">
        <v>2.0</v>
      </c>
      <c r="Y94" s="19">
        <v>0.0</v>
      </c>
      <c r="Z94" s="19">
        <v>1.0</v>
      </c>
      <c r="AA94" s="19">
        <v>0.0</v>
      </c>
      <c r="AB94" s="19">
        <v>0.0</v>
      </c>
      <c r="AC94" s="19">
        <v>0.0</v>
      </c>
      <c r="AD94" s="19">
        <v>0.0</v>
      </c>
      <c r="AE94" s="13">
        <f t="shared" si="22"/>
        <v>23</v>
      </c>
    </row>
    <row r="95" ht="12.75" customHeight="1">
      <c r="A95" s="18"/>
      <c r="B95" s="57">
        <v>2.0</v>
      </c>
      <c r="C95" s="52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1.0</v>
      </c>
      <c r="O95" s="19">
        <v>0.0</v>
      </c>
      <c r="P95" s="19">
        <v>1.0</v>
      </c>
      <c r="Q95" s="19">
        <v>0.0</v>
      </c>
      <c r="R95" s="19">
        <v>3.0</v>
      </c>
      <c r="S95" s="19">
        <v>1.0</v>
      </c>
      <c r="T95" s="19">
        <v>0.0</v>
      </c>
      <c r="U95" s="19">
        <v>0.0</v>
      </c>
      <c r="V95" s="19">
        <v>0.0</v>
      </c>
      <c r="W95" s="19">
        <v>0.0</v>
      </c>
      <c r="X95" s="19">
        <v>1.0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3">
        <f t="shared" si="22"/>
        <v>8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3">
        <f t="shared" si="22"/>
        <v>2</v>
      </c>
    </row>
    <row r="97" ht="12.75" customHeight="1">
      <c r="A97" s="18"/>
      <c r="B97" s="57">
        <v>4.0</v>
      </c>
      <c r="C97" s="52" t="s">
        <v>77</v>
      </c>
      <c r="D97" s="60"/>
      <c r="E97" s="19">
        <v>3.0</v>
      </c>
      <c r="F97" s="19">
        <v>0.0</v>
      </c>
      <c r="G97" s="19">
        <v>1.0</v>
      </c>
      <c r="H97" s="19">
        <v>2.0</v>
      </c>
      <c r="I97" s="19">
        <v>0.0</v>
      </c>
      <c r="J97" s="19">
        <v>0.0</v>
      </c>
      <c r="K97" s="19">
        <v>0.0</v>
      </c>
      <c r="L97" s="19">
        <v>1.0</v>
      </c>
      <c r="M97" s="19">
        <v>1.0</v>
      </c>
      <c r="N97" s="19">
        <v>0.0</v>
      </c>
      <c r="O97" s="19">
        <v>1.0</v>
      </c>
      <c r="P97" s="19">
        <v>1.0</v>
      </c>
      <c r="Q97" s="19">
        <v>3.0</v>
      </c>
      <c r="R97" s="19">
        <v>1.0</v>
      </c>
      <c r="S97" s="19">
        <v>3.0</v>
      </c>
      <c r="T97" s="19">
        <v>1.0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1.0</v>
      </c>
      <c r="AC97" s="19">
        <v>0.0</v>
      </c>
      <c r="AD97" s="19">
        <v>0.0</v>
      </c>
      <c r="AE97" s="13">
        <f t="shared" si="22"/>
        <v>20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2.0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3">
        <f t="shared" si="22"/>
        <v>3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3">
        <f t="shared" si="22"/>
        <v>0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AD103" si="23">SUM(E93:E100)</f>
        <v>5</v>
      </c>
      <c r="F103" s="13">
        <f t="shared" si="23"/>
        <v>4</v>
      </c>
      <c r="G103" s="13">
        <f t="shared" si="23"/>
        <v>2</v>
      </c>
      <c r="H103" s="13">
        <f t="shared" si="23"/>
        <v>5</v>
      </c>
      <c r="I103" s="13">
        <f t="shared" si="23"/>
        <v>4</v>
      </c>
      <c r="J103" s="13">
        <f t="shared" si="23"/>
        <v>1</v>
      </c>
      <c r="K103" s="13">
        <f t="shared" si="23"/>
        <v>1</v>
      </c>
      <c r="L103" s="13">
        <f t="shared" si="23"/>
        <v>4</v>
      </c>
      <c r="M103" s="13">
        <f t="shared" si="23"/>
        <v>2</v>
      </c>
      <c r="N103" s="13">
        <f t="shared" si="23"/>
        <v>6</v>
      </c>
      <c r="O103" s="13">
        <f t="shared" si="23"/>
        <v>5</v>
      </c>
      <c r="P103" s="13">
        <f t="shared" si="23"/>
        <v>9</v>
      </c>
      <c r="Q103" s="13">
        <f t="shared" si="23"/>
        <v>4</v>
      </c>
      <c r="R103" s="13">
        <f t="shared" si="23"/>
        <v>5</v>
      </c>
      <c r="S103" s="13">
        <f t="shared" si="23"/>
        <v>5</v>
      </c>
      <c r="T103" s="13">
        <f t="shared" si="23"/>
        <v>6</v>
      </c>
      <c r="U103" s="13">
        <f t="shared" si="23"/>
        <v>5</v>
      </c>
      <c r="V103" s="13">
        <f t="shared" si="23"/>
        <v>2</v>
      </c>
      <c r="W103" s="13">
        <f t="shared" si="23"/>
        <v>8</v>
      </c>
      <c r="X103" s="13">
        <f t="shared" si="23"/>
        <v>3</v>
      </c>
      <c r="Y103" s="13">
        <f t="shared" si="23"/>
        <v>3</v>
      </c>
      <c r="Z103" s="13">
        <f t="shared" si="23"/>
        <v>3</v>
      </c>
      <c r="AA103" s="13">
        <f t="shared" si="23"/>
        <v>0</v>
      </c>
      <c r="AB103" s="13">
        <f t="shared" si="23"/>
        <v>1</v>
      </c>
      <c r="AC103" s="13">
        <f t="shared" si="23"/>
        <v>2</v>
      </c>
      <c r="AD103" s="13">
        <f t="shared" si="23"/>
        <v>0</v>
      </c>
      <c r="AE103" s="13">
        <f t="shared" si="22"/>
        <v>95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2.0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1.0</v>
      </c>
      <c r="AE105" s="13">
        <f t="shared" ref="AE105:AE115" si="24">SUM(E105:AD105)</f>
        <v>7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1.0</v>
      </c>
      <c r="G106" s="19">
        <v>1.0</v>
      </c>
      <c r="H106" s="19">
        <v>0.0</v>
      </c>
      <c r="I106" s="19">
        <v>0.0</v>
      </c>
      <c r="J106" s="19">
        <v>1.0</v>
      </c>
      <c r="K106" s="19">
        <v>1.0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1.0</v>
      </c>
      <c r="U106" s="19">
        <v>0.0</v>
      </c>
      <c r="V106" s="19">
        <v>0.0</v>
      </c>
      <c r="W106" s="19">
        <v>2.0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3">
        <f t="shared" si="24"/>
        <v>9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1.0</v>
      </c>
      <c r="W107" s="19">
        <v>1.0</v>
      </c>
      <c r="X107" s="19">
        <v>1.0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3">
        <f t="shared" si="24"/>
        <v>7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1.0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AD115" si="25">SUM(E105:E112)</f>
        <v>0</v>
      </c>
      <c r="F115" s="13">
        <f t="shared" si="25"/>
        <v>2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1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3</v>
      </c>
      <c r="T115" s="13">
        <f t="shared" si="25"/>
        <v>1</v>
      </c>
      <c r="U115" s="13">
        <f t="shared" si="25"/>
        <v>0</v>
      </c>
      <c r="V115" s="13">
        <f t="shared" si="25"/>
        <v>2</v>
      </c>
      <c r="W115" s="13">
        <f t="shared" si="25"/>
        <v>4</v>
      </c>
      <c r="X115" s="13">
        <f t="shared" si="25"/>
        <v>1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4"/>
        <v>24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1.0</v>
      </c>
      <c r="F117" s="19">
        <v>1.0</v>
      </c>
      <c r="G117" s="19">
        <v>1.0</v>
      </c>
      <c r="H117" s="19">
        <v>0.0</v>
      </c>
      <c r="I117" s="19">
        <v>1.0</v>
      </c>
      <c r="J117" s="19">
        <v>2.0</v>
      </c>
      <c r="K117" s="19">
        <v>1.0</v>
      </c>
      <c r="L117" s="19">
        <v>2.0</v>
      </c>
      <c r="M117" s="19">
        <v>1.0</v>
      </c>
      <c r="N117" s="19">
        <v>0.0</v>
      </c>
      <c r="O117" s="19">
        <v>2.0</v>
      </c>
      <c r="P117" s="19">
        <v>0.0</v>
      </c>
      <c r="Q117" s="19">
        <v>0.0</v>
      </c>
      <c r="R117" s="19">
        <v>2.0</v>
      </c>
      <c r="S117" s="19">
        <v>1.0</v>
      </c>
      <c r="T117" s="19">
        <v>2.0</v>
      </c>
      <c r="U117" s="19">
        <v>0.0</v>
      </c>
      <c r="V117" s="19">
        <v>0.0</v>
      </c>
      <c r="W117" s="19">
        <v>1.0</v>
      </c>
      <c r="X117" s="19">
        <v>0.0</v>
      </c>
      <c r="Y117" s="19">
        <v>2.0</v>
      </c>
      <c r="Z117" s="19">
        <v>0.0</v>
      </c>
      <c r="AA117" s="19">
        <v>0.0</v>
      </c>
      <c r="AB117" s="19">
        <v>0.0</v>
      </c>
      <c r="AC117" s="19">
        <v>4.0</v>
      </c>
      <c r="AD117" s="19">
        <v>2.0</v>
      </c>
      <c r="AE117" s="13">
        <f t="shared" ref="AE117:AE127" si="26">SUM(E117:AD117)</f>
        <v>26</v>
      </c>
      <c r="AF117" s="5"/>
      <c r="AG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2.0</v>
      </c>
      <c r="Q118" s="19">
        <v>3.0</v>
      </c>
      <c r="R118" s="19">
        <v>3.0</v>
      </c>
      <c r="S118" s="19">
        <v>4.0</v>
      </c>
      <c r="T118" s="19">
        <v>3.0</v>
      </c>
      <c r="U118" s="19">
        <v>2.0</v>
      </c>
      <c r="V118" s="19">
        <v>1.0</v>
      </c>
      <c r="W118" s="19">
        <v>1.0</v>
      </c>
      <c r="X118" s="19">
        <v>4.0</v>
      </c>
      <c r="Y118" s="19">
        <v>1.0</v>
      </c>
      <c r="Z118" s="19">
        <v>4.0</v>
      </c>
      <c r="AA118" s="19">
        <v>2.0</v>
      </c>
      <c r="AB118" s="19">
        <v>0.0</v>
      </c>
      <c r="AC118" s="19">
        <v>4.0</v>
      </c>
      <c r="AD118" s="19">
        <v>0.0</v>
      </c>
      <c r="AE118" s="13">
        <f t="shared" si="26"/>
        <v>36</v>
      </c>
      <c r="AF118" s="5"/>
      <c r="AG118" s="5"/>
    </row>
    <row r="119" ht="12.75" customHeight="1">
      <c r="A119" s="18"/>
      <c r="B119" s="57">
        <v>2.0</v>
      </c>
      <c r="C119" s="52" t="s">
        <v>93</v>
      </c>
      <c r="D119" s="60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2.0</v>
      </c>
      <c r="U119" s="19">
        <v>1.0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1.0</v>
      </c>
      <c r="AD119" s="19">
        <v>0.0</v>
      </c>
      <c r="AE119" s="13">
        <f t="shared" si="26"/>
        <v>7</v>
      </c>
      <c r="AF119" s="5"/>
      <c r="AG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1.0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3">
        <f t="shared" si="26"/>
        <v>3</v>
      </c>
      <c r="AF120" s="5"/>
      <c r="AG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3">
        <f t="shared" si="26"/>
        <v>0</v>
      </c>
      <c r="AF121" s="5"/>
      <c r="AG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3">
        <f t="shared" si="26"/>
        <v>0</v>
      </c>
      <c r="AF122" s="5"/>
      <c r="AG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13">
        <f t="shared" si="26"/>
        <v>0</v>
      </c>
      <c r="AF123" s="5"/>
      <c r="AG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13">
        <f t="shared" si="26"/>
        <v>0</v>
      </c>
      <c r="AF124" s="5"/>
      <c r="AG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13">
        <f t="shared" si="26"/>
        <v>0</v>
      </c>
      <c r="AF125" s="5"/>
      <c r="AG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13">
        <f t="shared" si="26"/>
        <v>0</v>
      </c>
      <c r="AF126" s="5"/>
      <c r="AG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AD127" si="27">SUM(E117:E120)</f>
        <v>3</v>
      </c>
      <c r="F127" s="61">
        <f t="shared" si="27"/>
        <v>1</v>
      </c>
      <c r="G127" s="61">
        <f t="shared" si="27"/>
        <v>1</v>
      </c>
      <c r="H127" s="61">
        <f t="shared" si="27"/>
        <v>0</v>
      </c>
      <c r="I127" s="61">
        <f t="shared" si="27"/>
        <v>1</v>
      </c>
      <c r="J127" s="61">
        <f t="shared" si="27"/>
        <v>2</v>
      </c>
      <c r="K127" s="61">
        <f t="shared" si="27"/>
        <v>3</v>
      </c>
      <c r="L127" s="61">
        <f t="shared" si="27"/>
        <v>2</v>
      </c>
      <c r="M127" s="61">
        <f t="shared" si="27"/>
        <v>1</v>
      </c>
      <c r="N127" s="61">
        <f t="shared" si="27"/>
        <v>1</v>
      </c>
      <c r="O127" s="61">
        <f t="shared" si="27"/>
        <v>2</v>
      </c>
      <c r="P127" s="61">
        <f t="shared" si="27"/>
        <v>2</v>
      </c>
      <c r="Q127" s="61">
        <f t="shared" si="27"/>
        <v>3</v>
      </c>
      <c r="R127" s="61">
        <f t="shared" si="27"/>
        <v>6</v>
      </c>
      <c r="S127" s="61">
        <f t="shared" si="27"/>
        <v>6</v>
      </c>
      <c r="T127" s="61">
        <f t="shared" si="27"/>
        <v>7</v>
      </c>
      <c r="U127" s="61">
        <f t="shared" si="27"/>
        <v>3</v>
      </c>
      <c r="V127" s="61">
        <f t="shared" si="27"/>
        <v>1</v>
      </c>
      <c r="W127" s="61">
        <f t="shared" si="27"/>
        <v>3</v>
      </c>
      <c r="X127" s="61">
        <f t="shared" si="27"/>
        <v>4</v>
      </c>
      <c r="Y127" s="61">
        <f t="shared" si="27"/>
        <v>3</v>
      </c>
      <c r="Z127" s="61">
        <f t="shared" si="27"/>
        <v>4</v>
      </c>
      <c r="AA127" s="61">
        <f t="shared" si="27"/>
        <v>2</v>
      </c>
      <c r="AB127" s="61">
        <f t="shared" si="27"/>
        <v>0</v>
      </c>
      <c r="AC127" s="61">
        <f t="shared" si="27"/>
        <v>9</v>
      </c>
      <c r="AD127" s="61">
        <f t="shared" si="27"/>
        <v>2</v>
      </c>
      <c r="AE127" s="13">
        <f t="shared" si="26"/>
        <v>72</v>
      </c>
      <c r="AF127" s="5"/>
      <c r="AG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5"/>
      <c r="AG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2.0</v>
      </c>
      <c r="J129" s="19">
        <v>0.0</v>
      </c>
      <c r="K129" s="19">
        <v>1.0</v>
      </c>
      <c r="L129" s="19">
        <v>0.0</v>
      </c>
      <c r="M129" s="19">
        <v>0.0</v>
      </c>
      <c r="N129" s="19">
        <v>0.0</v>
      </c>
      <c r="O129" s="19">
        <v>1.0</v>
      </c>
      <c r="P129" s="19">
        <v>1.0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3.0</v>
      </c>
      <c r="Z129" s="19">
        <v>0.0</v>
      </c>
      <c r="AA129" s="19">
        <v>0.0</v>
      </c>
      <c r="AB129" s="19">
        <v>2.0</v>
      </c>
      <c r="AC129" s="19">
        <v>1.0</v>
      </c>
      <c r="AD129" s="19">
        <v>0.0</v>
      </c>
      <c r="AE129" s="13">
        <f t="shared" ref="AE129:AE139" si="28">SUM(E129:AD129)</f>
        <v>11</v>
      </c>
      <c r="AF129" s="5"/>
      <c r="AG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0.0</v>
      </c>
      <c r="G130" s="19">
        <v>0.0</v>
      </c>
      <c r="H130" s="19">
        <v>0.0</v>
      </c>
      <c r="I130" s="19">
        <v>3.0</v>
      </c>
      <c r="J130" s="19">
        <v>0.0</v>
      </c>
      <c r="K130" s="19">
        <v>1.0</v>
      </c>
      <c r="L130" s="19">
        <v>0.0</v>
      </c>
      <c r="M130" s="19">
        <v>3.0</v>
      </c>
      <c r="N130" s="19">
        <v>0.0</v>
      </c>
      <c r="O130" s="19">
        <v>2.0</v>
      </c>
      <c r="P130" s="19">
        <v>1.0</v>
      </c>
      <c r="Q130" s="19">
        <v>2.0</v>
      </c>
      <c r="R130" s="19">
        <v>1.0</v>
      </c>
      <c r="S130" s="19">
        <v>0.0</v>
      </c>
      <c r="T130" s="19">
        <v>0.0</v>
      </c>
      <c r="U130" s="19">
        <v>0.0</v>
      </c>
      <c r="V130" s="19">
        <v>0.0</v>
      </c>
      <c r="W130" s="19">
        <v>5.0</v>
      </c>
      <c r="X130" s="19">
        <v>4.0</v>
      </c>
      <c r="Y130" s="19">
        <v>1.0</v>
      </c>
      <c r="Z130" s="19">
        <v>0.0</v>
      </c>
      <c r="AA130" s="19">
        <v>0.0</v>
      </c>
      <c r="AB130" s="19">
        <v>1.0</v>
      </c>
      <c r="AC130" s="19">
        <v>2.0</v>
      </c>
      <c r="AD130" s="19">
        <v>1.0</v>
      </c>
      <c r="AE130" s="13">
        <f t="shared" si="28"/>
        <v>27</v>
      </c>
      <c r="AF130" s="1"/>
      <c r="AG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1.0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1.0</v>
      </c>
      <c r="AA131" s="19">
        <v>3.0</v>
      </c>
      <c r="AB131" s="19">
        <v>0.0</v>
      </c>
      <c r="AC131" s="19">
        <v>0.0</v>
      </c>
      <c r="AD131" s="19">
        <v>0.0</v>
      </c>
      <c r="AE131" s="13">
        <f t="shared" si="28"/>
        <v>7</v>
      </c>
      <c r="AF131" s="54"/>
      <c r="AG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3">
        <f t="shared" si="28"/>
        <v>2</v>
      </c>
      <c r="AF132" s="5"/>
      <c r="AG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3">
        <f t="shared" si="28"/>
        <v>0</v>
      </c>
      <c r="AF133" s="5"/>
      <c r="AG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3">
        <f t="shared" si="28"/>
        <v>1</v>
      </c>
      <c r="AF134" s="5"/>
      <c r="AG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2.0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3">
        <f t="shared" si="28"/>
        <v>3</v>
      </c>
      <c r="AF135" s="5"/>
      <c r="AG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3">
        <f t="shared" si="28"/>
        <v>0</v>
      </c>
      <c r="AF136" s="5"/>
      <c r="AG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3">
        <f t="shared" si="28"/>
        <v>0</v>
      </c>
      <c r="AF137" s="5"/>
      <c r="AG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3">
        <f t="shared" si="28"/>
        <v>0</v>
      </c>
      <c r="AF138" s="5"/>
      <c r="AG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AD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1</v>
      </c>
      <c r="I139" s="13">
        <f t="shared" si="29"/>
        <v>8</v>
      </c>
      <c r="J139" s="13">
        <f t="shared" si="29"/>
        <v>1</v>
      </c>
      <c r="K139" s="13">
        <f t="shared" si="29"/>
        <v>2</v>
      </c>
      <c r="L139" s="13">
        <f t="shared" si="29"/>
        <v>0</v>
      </c>
      <c r="M139" s="13">
        <f t="shared" si="29"/>
        <v>3</v>
      </c>
      <c r="N139" s="13">
        <f t="shared" si="29"/>
        <v>0</v>
      </c>
      <c r="O139" s="13">
        <f t="shared" si="29"/>
        <v>3</v>
      </c>
      <c r="P139" s="13">
        <f t="shared" si="29"/>
        <v>2</v>
      </c>
      <c r="Q139" s="13">
        <f t="shared" si="29"/>
        <v>3</v>
      </c>
      <c r="R139" s="13">
        <f t="shared" si="29"/>
        <v>3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9"/>
        <v>6</v>
      </c>
      <c r="X139" s="13">
        <f t="shared" si="29"/>
        <v>4</v>
      </c>
      <c r="Y139" s="13">
        <f t="shared" si="29"/>
        <v>4</v>
      </c>
      <c r="Z139" s="13">
        <f t="shared" si="29"/>
        <v>1</v>
      </c>
      <c r="AA139" s="13">
        <f t="shared" si="29"/>
        <v>3</v>
      </c>
      <c r="AB139" s="13">
        <f t="shared" si="29"/>
        <v>3</v>
      </c>
      <c r="AC139" s="13">
        <f t="shared" si="29"/>
        <v>3</v>
      </c>
      <c r="AD139" s="13">
        <f t="shared" si="29"/>
        <v>1</v>
      </c>
      <c r="AE139" s="13">
        <f t="shared" si="28"/>
        <v>51</v>
      </c>
      <c r="AF139" s="5"/>
      <c r="AG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5"/>
      <c r="AG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1.0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3">
        <f t="shared" ref="AE141:AE151" si="30">SUM(E141:AD141)</f>
        <v>1</v>
      </c>
      <c r="AF141" s="1"/>
      <c r="AG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1.0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1.0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3">
        <f t="shared" si="30"/>
        <v>2</v>
      </c>
      <c r="AF142" s="54"/>
      <c r="AG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3">
        <f t="shared" si="30"/>
        <v>0</v>
      </c>
      <c r="AF143" s="5"/>
      <c r="AG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3">
        <f t="shared" si="30"/>
        <v>0</v>
      </c>
      <c r="AF144" s="5"/>
      <c r="AG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3">
        <f t="shared" si="30"/>
        <v>0</v>
      </c>
      <c r="AF145" s="5"/>
      <c r="AG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3">
        <f t="shared" si="30"/>
        <v>0</v>
      </c>
      <c r="AF146" s="5"/>
      <c r="AG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3">
        <f t="shared" si="30"/>
        <v>0</v>
      </c>
      <c r="AF147" s="5"/>
      <c r="AG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3">
        <f t="shared" si="30"/>
        <v>0</v>
      </c>
      <c r="AF148" s="5"/>
      <c r="AG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3">
        <f t="shared" si="30"/>
        <v>0</v>
      </c>
      <c r="AF149" s="5"/>
      <c r="AG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3">
        <f t="shared" si="30"/>
        <v>0</v>
      </c>
      <c r="AF150" s="5"/>
      <c r="AG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AD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0"/>
        <v>3</v>
      </c>
      <c r="AF151" s="1"/>
      <c r="AG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13"/>
      <c r="AF152" s="54"/>
      <c r="AG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1.0</v>
      </c>
      <c r="N153" s="19">
        <v>1.0</v>
      </c>
      <c r="O153" s="19">
        <v>0.0</v>
      </c>
      <c r="P153" s="19">
        <v>4.0</v>
      </c>
      <c r="Q153" s="19">
        <v>0.0</v>
      </c>
      <c r="R153" s="19">
        <v>1.0</v>
      </c>
      <c r="S153" s="19">
        <v>3.0</v>
      </c>
      <c r="T153" s="19">
        <v>3.0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3">
        <f t="shared" ref="AE153:AE162" si="32">SUM(E153:AD153)</f>
        <v>14</v>
      </c>
      <c r="AF153" s="5"/>
      <c r="AG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1.0</v>
      </c>
      <c r="N154" s="19">
        <v>3.0</v>
      </c>
      <c r="O154" s="19">
        <v>0.0</v>
      </c>
      <c r="P154" s="19">
        <v>1.0</v>
      </c>
      <c r="Q154" s="19">
        <v>2.0</v>
      </c>
      <c r="R154" s="19">
        <v>0.0</v>
      </c>
      <c r="S154" s="19">
        <v>7.0</v>
      </c>
      <c r="T154" s="19">
        <v>4.0</v>
      </c>
      <c r="U154" s="19">
        <v>0.0</v>
      </c>
      <c r="V154" s="19">
        <v>0.0</v>
      </c>
      <c r="W154" s="19">
        <v>0.0</v>
      </c>
      <c r="X154" s="19">
        <v>0.0</v>
      </c>
      <c r="Y154" s="19">
        <v>2.0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3">
        <f t="shared" si="32"/>
        <v>21</v>
      </c>
      <c r="AF154" s="5"/>
      <c r="AG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1.0</v>
      </c>
      <c r="O155" s="19">
        <v>0.0</v>
      </c>
      <c r="P155" s="19">
        <v>0.0</v>
      </c>
      <c r="Q155" s="19">
        <v>0.0</v>
      </c>
      <c r="R155" s="19">
        <v>0.0</v>
      </c>
      <c r="S155" s="19">
        <v>2.0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1.0</v>
      </c>
      <c r="AC155" s="19">
        <v>0.0</v>
      </c>
      <c r="AD155" s="19">
        <v>0.0</v>
      </c>
      <c r="AE155" s="13">
        <f t="shared" si="32"/>
        <v>5</v>
      </c>
      <c r="AF155" s="5"/>
      <c r="AG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1.0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3">
        <f t="shared" si="32"/>
        <v>1</v>
      </c>
      <c r="AF156" s="5"/>
      <c r="AG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1.0</v>
      </c>
      <c r="AE157" s="13">
        <f t="shared" si="32"/>
        <v>1</v>
      </c>
      <c r="AF157" s="5"/>
      <c r="AG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3">
        <f t="shared" si="32"/>
        <v>0</v>
      </c>
      <c r="AF158" s="5"/>
      <c r="AG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3">
        <f t="shared" si="32"/>
        <v>0</v>
      </c>
      <c r="AF159" s="5"/>
      <c r="AG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3">
        <f t="shared" si="32"/>
        <v>0</v>
      </c>
      <c r="AF160" s="5"/>
      <c r="AG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3">
        <f t="shared" si="32"/>
        <v>0</v>
      </c>
      <c r="AF161" s="5"/>
      <c r="AG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3">
        <f t="shared" si="32"/>
        <v>0</v>
      </c>
      <c r="AF162" s="5"/>
      <c r="AG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AD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3</v>
      </c>
      <c r="N163" s="13">
        <f t="shared" si="33"/>
        <v>5</v>
      </c>
      <c r="O163" s="13">
        <f t="shared" si="33"/>
        <v>0</v>
      </c>
      <c r="P163" s="13">
        <f t="shared" si="33"/>
        <v>5</v>
      </c>
      <c r="Q163" s="13">
        <f t="shared" si="33"/>
        <v>2</v>
      </c>
      <c r="R163" s="13">
        <f t="shared" si="33"/>
        <v>1</v>
      </c>
      <c r="S163" s="13">
        <f t="shared" si="33"/>
        <v>12</v>
      </c>
      <c r="T163" s="13">
        <f t="shared" si="33"/>
        <v>7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3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1</v>
      </c>
      <c r="AE163" s="13">
        <f>SUM(E164:AD164)</f>
        <v>0</v>
      </c>
      <c r="AF163" s="5"/>
      <c r="AG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5"/>
      <c r="AG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1.0</v>
      </c>
      <c r="AC165" s="19">
        <v>0.0</v>
      </c>
      <c r="AD165" s="19">
        <v>0.0</v>
      </c>
      <c r="AE165" s="13">
        <f t="shared" ref="AE165:AE175" si="34">SUM(E165:AD165)</f>
        <v>4</v>
      </c>
      <c r="AF165" s="1"/>
      <c r="AG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3">
        <f t="shared" si="34"/>
        <v>0</v>
      </c>
      <c r="AF166" s="54"/>
      <c r="AG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1.0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3">
        <f t="shared" si="34"/>
        <v>2</v>
      </c>
      <c r="AF167" s="5"/>
      <c r="AG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3">
        <f t="shared" si="34"/>
        <v>3</v>
      </c>
      <c r="AF168" s="5"/>
      <c r="AG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3">
        <f t="shared" si="34"/>
        <v>0</v>
      </c>
      <c r="AF169" s="5"/>
      <c r="AG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3">
        <f t="shared" si="34"/>
        <v>0</v>
      </c>
      <c r="AF170" s="5"/>
      <c r="AG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3">
        <f t="shared" si="34"/>
        <v>0</v>
      </c>
      <c r="AF171" s="5"/>
      <c r="AG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1.0</v>
      </c>
      <c r="AD172" s="19">
        <v>0.0</v>
      </c>
      <c r="AE172" s="13">
        <f t="shared" si="34"/>
        <v>1</v>
      </c>
      <c r="AF172" s="5"/>
      <c r="AG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3">
        <f t="shared" si="34"/>
        <v>0</v>
      </c>
      <c r="AF173" s="5"/>
      <c r="AG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3">
        <f t="shared" si="34"/>
        <v>0</v>
      </c>
      <c r="AF174" s="5"/>
      <c r="AG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AD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2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1</v>
      </c>
      <c r="AD175" s="13">
        <f t="shared" si="35"/>
        <v>0</v>
      </c>
      <c r="AE175" s="13">
        <f t="shared" si="34"/>
        <v>10</v>
      </c>
      <c r="AF175" s="5"/>
      <c r="AG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1"/>
      <c r="AG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2.0</v>
      </c>
      <c r="L177" s="19">
        <v>1.0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4.0</v>
      </c>
      <c r="S177" s="19">
        <v>2.0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1.0</v>
      </c>
      <c r="Z177" s="19">
        <v>1.0</v>
      </c>
      <c r="AA177" s="19">
        <v>1.0</v>
      </c>
      <c r="AB177" s="19">
        <v>0.0</v>
      </c>
      <c r="AC177" s="19">
        <v>0.0</v>
      </c>
      <c r="AD177" s="19">
        <v>0.0</v>
      </c>
      <c r="AE177" s="13">
        <f t="shared" ref="AE177:AE187" si="36">SUM(E177:AD177)</f>
        <v>13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1.0</v>
      </c>
      <c r="M178" s="19">
        <v>1.0</v>
      </c>
      <c r="N178" s="19">
        <v>1.0</v>
      </c>
      <c r="O178" s="19">
        <v>0.0</v>
      </c>
      <c r="P178" s="19">
        <v>1.0</v>
      </c>
      <c r="Q178" s="19">
        <v>0.0</v>
      </c>
      <c r="R178" s="19">
        <v>2.0</v>
      </c>
      <c r="S178" s="19">
        <v>0.0</v>
      </c>
      <c r="T178" s="19">
        <v>0.0</v>
      </c>
      <c r="U178" s="19">
        <v>0.0</v>
      </c>
      <c r="V178" s="19">
        <v>0.0</v>
      </c>
      <c r="W178" s="19">
        <v>2.0</v>
      </c>
      <c r="X178" s="19">
        <v>0.0</v>
      </c>
      <c r="Y178" s="19">
        <v>1.0</v>
      </c>
      <c r="Z178" s="19">
        <v>2.0</v>
      </c>
      <c r="AA178" s="19">
        <v>2.0</v>
      </c>
      <c r="AB178" s="19">
        <v>0.0</v>
      </c>
      <c r="AC178" s="19">
        <v>0.0</v>
      </c>
      <c r="AD178" s="19">
        <v>0.0</v>
      </c>
      <c r="AE178" s="13">
        <f t="shared" si="36"/>
        <v>14</v>
      </c>
      <c r="AF178" s="5"/>
      <c r="AG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2.0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1.0</v>
      </c>
      <c r="AD179" s="19">
        <v>0.0</v>
      </c>
      <c r="AE179" s="13">
        <f t="shared" si="36"/>
        <v>4</v>
      </c>
      <c r="AF179" s="5"/>
      <c r="AG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1.0</v>
      </c>
      <c r="AB180" s="19">
        <v>0.0</v>
      </c>
      <c r="AC180" s="19">
        <v>0.0</v>
      </c>
      <c r="AD180" s="19">
        <v>0.0</v>
      </c>
      <c r="AE180" s="13">
        <f t="shared" si="36"/>
        <v>4</v>
      </c>
      <c r="AF180" s="5"/>
      <c r="AG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1.0</v>
      </c>
      <c r="AB181" s="19">
        <v>0.0</v>
      </c>
      <c r="AC181" s="19">
        <v>0.0</v>
      </c>
      <c r="AD181" s="19">
        <v>1.0</v>
      </c>
      <c r="AE181" s="13">
        <f t="shared" si="36"/>
        <v>4</v>
      </c>
      <c r="AF181" s="5"/>
      <c r="AG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1.0</v>
      </c>
      <c r="AB182" s="19">
        <v>0.0</v>
      </c>
      <c r="AC182" s="19">
        <v>0.0</v>
      </c>
      <c r="AD182" s="19">
        <v>0.0</v>
      </c>
      <c r="AE182" s="13">
        <f t="shared" si="36"/>
        <v>2</v>
      </c>
      <c r="AF182" s="5"/>
      <c r="AG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1.0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3">
        <f t="shared" si="36"/>
        <v>1</v>
      </c>
      <c r="AF183" s="5"/>
      <c r="AG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1.0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3">
        <f t="shared" si="36"/>
        <v>1</v>
      </c>
      <c r="AF184" s="5"/>
      <c r="AG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3">
        <f t="shared" si="36"/>
        <v>0</v>
      </c>
      <c r="AF185" s="5"/>
      <c r="AG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3">
        <f t="shared" si="36"/>
        <v>0</v>
      </c>
      <c r="AF186" s="5"/>
      <c r="AG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AD187" si="37">SUM(E177:E184)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1</v>
      </c>
      <c r="K187" s="13">
        <f t="shared" si="37"/>
        <v>2</v>
      </c>
      <c r="L187" s="13">
        <f t="shared" si="37"/>
        <v>2</v>
      </c>
      <c r="M187" s="13">
        <f t="shared" si="37"/>
        <v>1</v>
      </c>
      <c r="N187" s="13">
        <f t="shared" si="37"/>
        <v>2</v>
      </c>
      <c r="O187" s="13">
        <f t="shared" si="37"/>
        <v>1</v>
      </c>
      <c r="P187" s="13">
        <f t="shared" si="37"/>
        <v>2</v>
      </c>
      <c r="Q187" s="13">
        <f t="shared" si="37"/>
        <v>0</v>
      </c>
      <c r="R187" s="13">
        <f t="shared" si="37"/>
        <v>10</v>
      </c>
      <c r="S187" s="13">
        <f t="shared" si="37"/>
        <v>3</v>
      </c>
      <c r="T187" s="13">
        <f t="shared" si="37"/>
        <v>0</v>
      </c>
      <c r="U187" s="13">
        <f t="shared" si="37"/>
        <v>2</v>
      </c>
      <c r="V187" s="13">
        <f t="shared" si="37"/>
        <v>1</v>
      </c>
      <c r="W187" s="13">
        <f t="shared" si="37"/>
        <v>2</v>
      </c>
      <c r="X187" s="13">
        <f t="shared" si="37"/>
        <v>0</v>
      </c>
      <c r="Y187" s="13">
        <f t="shared" si="37"/>
        <v>2</v>
      </c>
      <c r="Z187" s="13">
        <f t="shared" si="37"/>
        <v>3</v>
      </c>
      <c r="AA187" s="13">
        <f t="shared" si="37"/>
        <v>6</v>
      </c>
      <c r="AB187" s="13">
        <f t="shared" si="37"/>
        <v>0</v>
      </c>
      <c r="AC187" s="13">
        <f t="shared" si="37"/>
        <v>1</v>
      </c>
      <c r="AD187" s="13">
        <f t="shared" si="37"/>
        <v>1</v>
      </c>
      <c r="AE187" s="13">
        <f t="shared" si="36"/>
        <v>43</v>
      </c>
      <c r="AF187" s="1"/>
      <c r="AG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4.0</v>
      </c>
      <c r="F189" s="19">
        <v>1.0</v>
      </c>
      <c r="G189" s="19">
        <v>2.0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2.0</v>
      </c>
      <c r="N189" s="19">
        <v>1.0</v>
      </c>
      <c r="O189" s="19">
        <v>3.0</v>
      </c>
      <c r="P189" s="19">
        <v>1.0</v>
      </c>
      <c r="Q189" s="19">
        <v>1.0</v>
      </c>
      <c r="R189" s="19">
        <v>0.0</v>
      </c>
      <c r="S189" s="19">
        <v>4.0</v>
      </c>
      <c r="T189" s="19">
        <v>1.0</v>
      </c>
      <c r="U189" s="19">
        <v>4.0</v>
      </c>
      <c r="V189" s="19">
        <v>1.0</v>
      </c>
      <c r="W189" s="19">
        <v>2.0</v>
      </c>
      <c r="X189" s="19">
        <v>12.0</v>
      </c>
      <c r="Y189" s="19">
        <v>12.0</v>
      </c>
      <c r="Z189" s="19">
        <v>1.0</v>
      </c>
      <c r="AA189" s="19">
        <v>2.0</v>
      </c>
      <c r="AB189" s="19">
        <v>4.0</v>
      </c>
      <c r="AC189" s="19">
        <v>1.0</v>
      </c>
      <c r="AD189" s="19">
        <v>3.0</v>
      </c>
      <c r="AE189" s="13">
        <f t="shared" ref="AE189:AE199" si="38">SUM(E189:AD189)</f>
        <v>62</v>
      </c>
      <c r="AF189" s="5"/>
      <c r="AG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4.0</v>
      </c>
      <c r="F190" s="19">
        <v>3.0</v>
      </c>
      <c r="G190" s="19">
        <v>0.0</v>
      </c>
      <c r="H190" s="19">
        <v>0.0</v>
      </c>
      <c r="I190" s="19">
        <v>0.0</v>
      </c>
      <c r="J190" s="19">
        <v>0.0</v>
      </c>
      <c r="K190" s="19">
        <v>3.0</v>
      </c>
      <c r="L190" s="19">
        <v>0.0</v>
      </c>
      <c r="M190" s="19">
        <v>5.0</v>
      </c>
      <c r="N190" s="19">
        <v>4.0</v>
      </c>
      <c r="O190" s="19">
        <v>3.0</v>
      </c>
      <c r="P190" s="19">
        <v>3.0</v>
      </c>
      <c r="Q190" s="19">
        <v>1.0</v>
      </c>
      <c r="R190" s="19">
        <v>0.0</v>
      </c>
      <c r="S190" s="19">
        <v>3.0</v>
      </c>
      <c r="T190" s="19">
        <v>0.0</v>
      </c>
      <c r="U190" s="19">
        <v>10.0</v>
      </c>
      <c r="V190" s="19">
        <v>1.0</v>
      </c>
      <c r="W190" s="19">
        <v>5.0</v>
      </c>
      <c r="X190" s="19">
        <v>0.0</v>
      </c>
      <c r="Y190" s="19">
        <v>4.0</v>
      </c>
      <c r="Z190" s="19">
        <v>3.0</v>
      </c>
      <c r="AA190" s="19">
        <v>1.0</v>
      </c>
      <c r="AB190" s="19">
        <v>3.0</v>
      </c>
      <c r="AC190" s="19">
        <v>2.0</v>
      </c>
      <c r="AD190" s="19">
        <v>1.0</v>
      </c>
      <c r="AE190" s="13">
        <f t="shared" si="38"/>
        <v>59</v>
      </c>
      <c r="AF190" s="5"/>
      <c r="AG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1.0</v>
      </c>
      <c r="L191" s="19">
        <v>0.0</v>
      </c>
      <c r="M191" s="19">
        <v>2.0</v>
      </c>
      <c r="N191" s="19">
        <v>0.0</v>
      </c>
      <c r="O191" s="19">
        <v>1.0</v>
      </c>
      <c r="P191" s="19">
        <v>1.0</v>
      </c>
      <c r="Q191" s="19">
        <v>0.0</v>
      </c>
      <c r="R191" s="19">
        <v>0.0</v>
      </c>
      <c r="S191" s="19">
        <v>0.0</v>
      </c>
      <c r="T191" s="19">
        <v>1.0</v>
      </c>
      <c r="U191" s="19">
        <v>0.0</v>
      </c>
      <c r="V191" s="19">
        <v>0.0</v>
      </c>
      <c r="W191" s="19">
        <v>2.0</v>
      </c>
      <c r="X191" s="19">
        <v>1.0</v>
      </c>
      <c r="Y191" s="19">
        <v>0.0</v>
      </c>
      <c r="Z191" s="19">
        <v>0.0</v>
      </c>
      <c r="AA191" s="19">
        <v>1.0</v>
      </c>
      <c r="AB191" s="19">
        <v>0.0</v>
      </c>
      <c r="AC191" s="19">
        <v>0.0</v>
      </c>
      <c r="AD191" s="19">
        <v>2.0</v>
      </c>
      <c r="AE191" s="13">
        <f t="shared" si="38"/>
        <v>12</v>
      </c>
      <c r="AF191" s="5"/>
      <c r="AG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1.0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3">
        <f t="shared" si="38"/>
        <v>1</v>
      </c>
      <c r="AF192" s="5"/>
      <c r="AG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1.0</v>
      </c>
      <c r="P193" s="19">
        <v>0.0</v>
      </c>
      <c r="Q193" s="19">
        <v>0.0</v>
      </c>
      <c r="R193" s="19">
        <v>0.0</v>
      </c>
      <c r="S193" s="19">
        <v>0.0</v>
      </c>
      <c r="T193" s="19">
        <v>1.0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3">
        <f t="shared" si="38"/>
        <v>2</v>
      </c>
      <c r="AF193" s="5"/>
      <c r="AG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2.0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1.0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1.0</v>
      </c>
      <c r="Z194" s="19">
        <v>0.0</v>
      </c>
      <c r="AA194" s="19">
        <v>0.0</v>
      </c>
      <c r="AB194" s="19">
        <v>0.0</v>
      </c>
      <c r="AC194" s="19">
        <v>1.0</v>
      </c>
      <c r="AD194" s="19">
        <v>0.0</v>
      </c>
      <c r="AE194" s="13">
        <f t="shared" si="38"/>
        <v>6</v>
      </c>
      <c r="AF194" s="5"/>
      <c r="AG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1.0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1.0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3">
        <f t="shared" si="38"/>
        <v>2</v>
      </c>
      <c r="AF195" s="5"/>
      <c r="AG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1.0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3">
        <f t="shared" si="38"/>
        <v>1</v>
      </c>
      <c r="AF196" s="1"/>
      <c r="AG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3">
        <f t="shared" si="38"/>
        <v>0</v>
      </c>
      <c r="AF197" s="1"/>
      <c r="AG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3">
        <f t="shared" si="38"/>
        <v>0</v>
      </c>
      <c r="AF198" s="1"/>
      <c r="AG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AD199" si="39">SUM(E189:E196)</f>
        <v>8</v>
      </c>
      <c r="F199" s="13">
        <f t="shared" si="39"/>
        <v>5</v>
      </c>
      <c r="G199" s="13">
        <f t="shared" si="39"/>
        <v>4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4</v>
      </c>
      <c r="L199" s="13">
        <f t="shared" si="39"/>
        <v>0</v>
      </c>
      <c r="M199" s="13">
        <f t="shared" si="39"/>
        <v>9</v>
      </c>
      <c r="N199" s="13">
        <f t="shared" si="39"/>
        <v>6</v>
      </c>
      <c r="O199" s="13">
        <f t="shared" si="39"/>
        <v>10</v>
      </c>
      <c r="P199" s="13">
        <f t="shared" si="39"/>
        <v>5</v>
      </c>
      <c r="Q199" s="13">
        <f t="shared" si="39"/>
        <v>2</v>
      </c>
      <c r="R199" s="13">
        <f t="shared" si="39"/>
        <v>0</v>
      </c>
      <c r="S199" s="13">
        <f t="shared" si="39"/>
        <v>7</v>
      </c>
      <c r="T199" s="13">
        <f t="shared" si="39"/>
        <v>3</v>
      </c>
      <c r="U199" s="13">
        <f t="shared" si="39"/>
        <v>15</v>
      </c>
      <c r="V199" s="13">
        <f t="shared" si="39"/>
        <v>2</v>
      </c>
      <c r="W199" s="13">
        <f t="shared" si="39"/>
        <v>9</v>
      </c>
      <c r="X199" s="13">
        <f t="shared" si="39"/>
        <v>13</v>
      </c>
      <c r="Y199" s="13">
        <f t="shared" si="39"/>
        <v>18</v>
      </c>
      <c r="Z199" s="13">
        <f t="shared" si="39"/>
        <v>4</v>
      </c>
      <c r="AA199" s="13">
        <f t="shared" si="39"/>
        <v>4</v>
      </c>
      <c r="AB199" s="13">
        <f t="shared" si="39"/>
        <v>7</v>
      </c>
      <c r="AC199" s="13">
        <f t="shared" si="39"/>
        <v>4</v>
      </c>
      <c r="AD199" s="13">
        <f t="shared" si="39"/>
        <v>6</v>
      </c>
      <c r="AE199" s="13">
        <f t="shared" si="38"/>
        <v>145</v>
      </c>
      <c r="AF199" s="54"/>
      <c r="AG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5"/>
      <c r="AG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1.0</v>
      </c>
      <c r="F201" s="19">
        <v>0.0</v>
      </c>
      <c r="G201" s="19">
        <v>3.0</v>
      </c>
      <c r="H201" s="19">
        <v>1.0</v>
      </c>
      <c r="I201" s="19">
        <v>0.0</v>
      </c>
      <c r="J201" s="19">
        <v>1.0</v>
      </c>
      <c r="K201" s="19">
        <v>4.0</v>
      </c>
      <c r="L201" s="19">
        <v>7.0</v>
      </c>
      <c r="M201" s="19">
        <v>3.0</v>
      </c>
      <c r="N201" s="19">
        <v>2.0</v>
      </c>
      <c r="O201" s="19">
        <v>1.0</v>
      </c>
      <c r="P201" s="19">
        <v>4.0</v>
      </c>
      <c r="Q201" s="19">
        <v>2.0</v>
      </c>
      <c r="R201" s="19">
        <v>1.0</v>
      </c>
      <c r="S201" s="19">
        <v>2.0</v>
      </c>
      <c r="T201" s="19">
        <v>1.0</v>
      </c>
      <c r="U201" s="19">
        <v>2.0</v>
      </c>
      <c r="V201" s="19">
        <v>0.0</v>
      </c>
      <c r="W201" s="19">
        <v>0.0</v>
      </c>
      <c r="X201" s="19">
        <v>3.0</v>
      </c>
      <c r="Y201" s="19">
        <v>1.0</v>
      </c>
      <c r="Z201" s="19">
        <v>3.0</v>
      </c>
      <c r="AA201" s="19">
        <v>2.0</v>
      </c>
      <c r="AB201" s="19">
        <v>1.0</v>
      </c>
      <c r="AC201" s="19">
        <v>2.0</v>
      </c>
      <c r="AD201" s="19">
        <v>1.0</v>
      </c>
      <c r="AE201" s="13">
        <f t="shared" ref="AE201:AE211" si="40">SUM(E201:AD201)</f>
        <v>48</v>
      </c>
      <c r="AF201" s="5"/>
      <c r="AG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1.0</v>
      </c>
      <c r="F202" s="19">
        <v>0.0</v>
      </c>
      <c r="G202" s="19">
        <v>0.0</v>
      </c>
      <c r="H202" s="19">
        <v>1.0</v>
      </c>
      <c r="I202" s="19">
        <v>2.0</v>
      </c>
      <c r="J202" s="19">
        <v>2.0</v>
      </c>
      <c r="K202" s="19">
        <v>0.0</v>
      </c>
      <c r="L202" s="19">
        <v>1.0</v>
      </c>
      <c r="M202" s="19">
        <v>0.0</v>
      </c>
      <c r="N202" s="19">
        <v>1.0</v>
      </c>
      <c r="O202" s="19">
        <v>2.0</v>
      </c>
      <c r="P202" s="19">
        <v>2.0</v>
      </c>
      <c r="Q202" s="19">
        <v>0.0</v>
      </c>
      <c r="R202" s="19">
        <v>0.0</v>
      </c>
      <c r="S202" s="19">
        <v>2.0</v>
      </c>
      <c r="T202" s="19">
        <v>2.0</v>
      </c>
      <c r="U202" s="19">
        <v>2.0</v>
      </c>
      <c r="V202" s="19">
        <v>0.0</v>
      </c>
      <c r="W202" s="19">
        <v>3.0</v>
      </c>
      <c r="X202" s="19">
        <v>0.0</v>
      </c>
      <c r="Y202" s="19">
        <v>4.0</v>
      </c>
      <c r="Z202" s="19">
        <v>0.0</v>
      </c>
      <c r="AA202" s="19">
        <v>1.0</v>
      </c>
      <c r="AB202" s="19">
        <v>0.0</v>
      </c>
      <c r="AC202" s="19">
        <v>0.0</v>
      </c>
      <c r="AD202" s="19">
        <v>0.0</v>
      </c>
      <c r="AE202" s="13">
        <f t="shared" si="40"/>
        <v>26</v>
      </c>
      <c r="AF202" s="5"/>
      <c r="AG202" s="5"/>
    </row>
    <row r="203" ht="12.75" customHeight="1">
      <c r="A203" s="18"/>
      <c r="B203" s="57">
        <v>2.0</v>
      </c>
      <c r="C203" s="52" t="s">
        <v>149</v>
      </c>
      <c r="D203" s="60"/>
      <c r="E203" s="19">
        <v>0.0</v>
      </c>
      <c r="F203" s="19">
        <v>0.0</v>
      </c>
      <c r="G203" s="19">
        <v>4.0</v>
      </c>
      <c r="H203" s="19">
        <v>1.0</v>
      </c>
      <c r="I203" s="19">
        <v>4.0</v>
      </c>
      <c r="J203" s="19">
        <v>0.0</v>
      </c>
      <c r="K203" s="19">
        <v>1.0</v>
      </c>
      <c r="L203" s="19">
        <v>0.0</v>
      </c>
      <c r="M203" s="19">
        <v>0.0</v>
      </c>
      <c r="N203" s="19">
        <v>1.0</v>
      </c>
      <c r="O203" s="19">
        <v>2.0</v>
      </c>
      <c r="P203" s="19">
        <v>2.0</v>
      </c>
      <c r="Q203" s="19">
        <v>1.0</v>
      </c>
      <c r="R203" s="19">
        <v>0.0</v>
      </c>
      <c r="S203" s="19">
        <v>0.0</v>
      </c>
      <c r="T203" s="19">
        <v>1.0</v>
      </c>
      <c r="U203" s="19">
        <v>0.0</v>
      </c>
      <c r="V203" s="19">
        <v>0.0</v>
      </c>
      <c r="W203" s="19">
        <v>1.0</v>
      </c>
      <c r="X203" s="19">
        <v>0.0</v>
      </c>
      <c r="Y203" s="19">
        <v>1.0</v>
      </c>
      <c r="Z203" s="19">
        <v>0.0</v>
      </c>
      <c r="AA203" s="19">
        <v>1.0</v>
      </c>
      <c r="AB203" s="19">
        <v>0.0</v>
      </c>
      <c r="AC203" s="19">
        <v>1.0</v>
      </c>
      <c r="AD203" s="19">
        <v>1.0</v>
      </c>
      <c r="AE203" s="13">
        <f t="shared" si="40"/>
        <v>22</v>
      </c>
      <c r="AF203" s="5"/>
      <c r="AG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0.0</v>
      </c>
      <c r="S204" s="19">
        <v>1.0</v>
      </c>
      <c r="T204" s="19">
        <v>1.0</v>
      </c>
      <c r="U204" s="19">
        <v>2.0</v>
      </c>
      <c r="V204" s="19">
        <v>0.0</v>
      </c>
      <c r="W204" s="19">
        <v>0.0</v>
      </c>
      <c r="X204" s="19">
        <v>0.0</v>
      </c>
      <c r="Y204" s="19">
        <v>2.0</v>
      </c>
      <c r="Z204" s="19">
        <v>0.0</v>
      </c>
      <c r="AA204" s="19">
        <v>0.0</v>
      </c>
      <c r="AB204" s="19">
        <v>1.0</v>
      </c>
      <c r="AC204" s="19">
        <v>0.0</v>
      </c>
      <c r="AD204" s="19">
        <v>0.0</v>
      </c>
      <c r="AE204" s="13">
        <f t="shared" si="40"/>
        <v>9</v>
      </c>
      <c r="AF204" s="5"/>
      <c r="AG204" s="5"/>
    </row>
    <row r="205" ht="12.75" customHeight="1">
      <c r="A205" s="18"/>
      <c r="B205" s="57">
        <v>4.0</v>
      </c>
      <c r="C205" s="52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3">
        <f t="shared" si="40"/>
        <v>2</v>
      </c>
      <c r="AF205" s="5"/>
      <c r="AG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2.0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3">
        <f t="shared" si="40"/>
        <v>4</v>
      </c>
      <c r="AF206" s="5"/>
      <c r="AG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3">
        <f t="shared" si="40"/>
        <v>0</v>
      </c>
      <c r="AF207" s="1"/>
      <c r="AG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2.0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3.0</v>
      </c>
      <c r="P208" s="19">
        <v>0.0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3">
        <f t="shared" si="40"/>
        <v>7</v>
      </c>
      <c r="AF208" s="54"/>
      <c r="AG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3">
        <f t="shared" si="40"/>
        <v>0</v>
      </c>
      <c r="AF209" s="54"/>
      <c r="AG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3">
        <f t="shared" si="40"/>
        <v>0</v>
      </c>
      <c r="AF210" s="54"/>
      <c r="AG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AD211" si="41">SUM(E201:E208)</f>
        <v>2</v>
      </c>
      <c r="F211" s="13">
        <f t="shared" si="41"/>
        <v>0</v>
      </c>
      <c r="G211" s="13">
        <f t="shared" si="41"/>
        <v>8</v>
      </c>
      <c r="H211" s="13">
        <f t="shared" si="41"/>
        <v>4</v>
      </c>
      <c r="I211" s="13">
        <f t="shared" si="41"/>
        <v>8</v>
      </c>
      <c r="J211" s="13">
        <f t="shared" si="41"/>
        <v>3</v>
      </c>
      <c r="K211" s="13">
        <f t="shared" si="41"/>
        <v>5</v>
      </c>
      <c r="L211" s="13">
        <f t="shared" si="41"/>
        <v>8</v>
      </c>
      <c r="M211" s="13">
        <f t="shared" si="41"/>
        <v>3</v>
      </c>
      <c r="N211" s="13">
        <f t="shared" si="41"/>
        <v>5</v>
      </c>
      <c r="O211" s="13">
        <f t="shared" si="41"/>
        <v>10</v>
      </c>
      <c r="P211" s="13">
        <f t="shared" si="41"/>
        <v>8</v>
      </c>
      <c r="Q211" s="13">
        <f t="shared" si="41"/>
        <v>5</v>
      </c>
      <c r="R211" s="13">
        <f t="shared" si="41"/>
        <v>2</v>
      </c>
      <c r="S211" s="13">
        <f t="shared" si="41"/>
        <v>5</v>
      </c>
      <c r="T211" s="13">
        <f t="shared" si="41"/>
        <v>5</v>
      </c>
      <c r="U211" s="13">
        <f t="shared" si="41"/>
        <v>6</v>
      </c>
      <c r="V211" s="13">
        <f t="shared" si="41"/>
        <v>1</v>
      </c>
      <c r="W211" s="13">
        <f t="shared" si="41"/>
        <v>4</v>
      </c>
      <c r="X211" s="13">
        <f t="shared" si="41"/>
        <v>4</v>
      </c>
      <c r="Y211" s="13">
        <f t="shared" si="41"/>
        <v>8</v>
      </c>
      <c r="Z211" s="13">
        <f t="shared" si="41"/>
        <v>3</v>
      </c>
      <c r="AA211" s="13">
        <f t="shared" si="41"/>
        <v>4</v>
      </c>
      <c r="AB211" s="13">
        <f t="shared" si="41"/>
        <v>2</v>
      </c>
      <c r="AC211" s="13">
        <f t="shared" si="41"/>
        <v>3</v>
      </c>
      <c r="AD211" s="13">
        <f t="shared" si="41"/>
        <v>2</v>
      </c>
      <c r="AE211" s="13">
        <f t="shared" si="40"/>
        <v>118</v>
      </c>
      <c r="AF211" s="5"/>
      <c r="AG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5"/>
      <c r="AG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0.0</v>
      </c>
      <c r="G213" s="19">
        <v>0.0</v>
      </c>
      <c r="H213" s="19">
        <v>1.0</v>
      </c>
      <c r="I213" s="19">
        <v>3.0</v>
      </c>
      <c r="J213" s="19">
        <v>0.0</v>
      </c>
      <c r="K213" s="19">
        <v>0.0</v>
      </c>
      <c r="L213" s="19">
        <v>1.0</v>
      </c>
      <c r="M213" s="19">
        <v>0.0</v>
      </c>
      <c r="N213" s="19">
        <v>0.0</v>
      </c>
      <c r="O213" s="19">
        <v>1.0</v>
      </c>
      <c r="P213" s="19">
        <v>1.0</v>
      </c>
      <c r="Q213" s="19">
        <v>0.0</v>
      </c>
      <c r="R213" s="19">
        <v>1.0</v>
      </c>
      <c r="S213" s="19">
        <v>0.0</v>
      </c>
      <c r="T213" s="19">
        <v>2.0</v>
      </c>
      <c r="U213" s="19">
        <v>0.0</v>
      </c>
      <c r="V213" s="19">
        <v>0.0</v>
      </c>
      <c r="W213" s="19">
        <v>1.0</v>
      </c>
      <c r="X213" s="19">
        <v>1.0</v>
      </c>
      <c r="Y213" s="19">
        <v>0.0</v>
      </c>
      <c r="Z213" s="19">
        <v>1.0</v>
      </c>
      <c r="AA213" s="19">
        <v>1.0</v>
      </c>
      <c r="AB213" s="19">
        <v>3.0</v>
      </c>
      <c r="AC213" s="19">
        <v>5.0</v>
      </c>
      <c r="AD213" s="19">
        <v>0.0</v>
      </c>
      <c r="AE213" s="13">
        <f t="shared" ref="AE213:AE223" si="42">SUM(E213:AD213)</f>
        <v>22</v>
      </c>
      <c r="AF213" s="5"/>
      <c r="AG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1.0</v>
      </c>
      <c r="G214" s="19">
        <v>0.0</v>
      </c>
      <c r="H214" s="19">
        <v>1.0</v>
      </c>
      <c r="I214" s="19">
        <v>0.0</v>
      </c>
      <c r="J214" s="19">
        <v>0.0</v>
      </c>
      <c r="K214" s="19">
        <v>1.0</v>
      </c>
      <c r="L214" s="19">
        <v>0.0</v>
      </c>
      <c r="M214" s="19">
        <v>0.0</v>
      </c>
      <c r="N214" s="19">
        <v>1.0</v>
      </c>
      <c r="O214" s="19">
        <v>1.0</v>
      </c>
      <c r="P214" s="19">
        <v>2.0</v>
      </c>
      <c r="Q214" s="19">
        <v>2.0</v>
      </c>
      <c r="R214" s="19">
        <v>2.0</v>
      </c>
      <c r="S214" s="19">
        <v>1.0</v>
      </c>
      <c r="T214" s="19">
        <v>0.0</v>
      </c>
      <c r="U214" s="19">
        <v>1.0</v>
      </c>
      <c r="V214" s="19">
        <v>0.0</v>
      </c>
      <c r="W214" s="19">
        <v>1.0</v>
      </c>
      <c r="X214" s="19">
        <v>0.0</v>
      </c>
      <c r="Y214" s="19">
        <v>2.0</v>
      </c>
      <c r="Z214" s="19">
        <v>10.0</v>
      </c>
      <c r="AA214" s="19">
        <v>2.0</v>
      </c>
      <c r="AB214" s="19">
        <v>0.0</v>
      </c>
      <c r="AC214" s="19">
        <v>3.0</v>
      </c>
      <c r="AD214" s="19">
        <v>0.0</v>
      </c>
      <c r="AE214" s="13">
        <f t="shared" si="42"/>
        <v>31</v>
      </c>
      <c r="AF214" s="5"/>
      <c r="AG214" s="5"/>
    </row>
    <row r="215" ht="12.75" customHeight="1">
      <c r="A215" s="18"/>
      <c r="B215" s="57">
        <v>2.0</v>
      </c>
      <c r="C215" s="52" t="s">
        <v>158</v>
      </c>
      <c r="D215" s="58"/>
      <c r="E215" s="19">
        <v>1.0</v>
      </c>
      <c r="F215" s="19">
        <v>12.0</v>
      </c>
      <c r="G215" s="19">
        <v>4.0</v>
      </c>
      <c r="H215" s="19">
        <v>1.0</v>
      </c>
      <c r="I215" s="19">
        <v>7.0</v>
      </c>
      <c r="J215" s="19">
        <v>1.0</v>
      </c>
      <c r="K215" s="19">
        <v>4.0</v>
      </c>
      <c r="L215" s="19">
        <v>1.0</v>
      </c>
      <c r="M215" s="19">
        <v>3.0</v>
      </c>
      <c r="N215" s="19">
        <v>0.0</v>
      </c>
      <c r="O215" s="19">
        <v>0.0</v>
      </c>
      <c r="P215" s="19">
        <v>0.0</v>
      </c>
      <c r="Q215" s="19">
        <v>2.0</v>
      </c>
      <c r="R215" s="19">
        <v>4.0</v>
      </c>
      <c r="S215" s="19">
        <v>11.0</v>
      </c>
      <c r="T215" s="19">
        <v>23.0</v>
      </c>
      <c r="U215" s="19">
        <v>0.0</v>
      </c>
      <c r="V215" s="19">
        <v>0.0</v>
      </c>
      <c r="W215" s="19">
        <v>1.0</v>
      </c>
      <c r="X215" s="19">
        <v>3.0</v>
      </c>
      <c r="Y215" s="19">
        <v>3.0</v>
      </c>
      <c r="Z215" s="19">
        <v>3.0</v>
      </c>
      <c r="AA215" s="19">
        <v>14.0</v>
      </c>
      <c r="AB215" s="19">
        <v>39.0</v>
      </c>
      <c r="AC215" s="19">
        <v>36.0</v>
      </c>
      <c r="AD215" s="19">
        <v>3.0</v>
      </c>
      <c r="AE215" s="13">
        <f t="shared" si="42"/>
        <v>176</v>
      </c>
      <c r="AF215" s="5"/>
      <c r="AG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0.0</v>
      </c>
      <c r="AC216" s="19">
        <v>0.0</v>
      </c>
      <c r="AD216" s="19">
        <v>0.0</v>
      </c>
      <c r="AE216" s="13">
        <f t="shared" si="42"/>
        <v>4</v>
      </c>
      <c r="AF216" s="5"/>
      <c r="AG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3">
        <f t="shared" si="42"/>
        <v>0</v>
      </c>
      <c r="AF217" s="5"/>
      <c r="AG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3">
        <f t="shared" si="42"/>
        <v>1</v>
      </c>
      <c r="AF218" s="1"/>
      <c r="AG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3">
        <f t="shared" si="42"/>
        <v>1</v>
      </c>
      <c r="AF219" s="54"/>
      <c r="AG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1.0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3">
        <f t="shared" si="42"/>
        <v>1</v>
      </c>
      <c r="AF220" s="5"/>
      <c r="AG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3">
        <f t="shared" si="42"/>
        <v>0</v>
      </c>
      <c r="AF221" s="5"/>
      <c r="AG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3">
        <f t="shared" si="42"/>
        <v>0</v>
      </c>
      <c r="AF222" s="5"/>
      <c r="AG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AD223" si="43">SUM(E213:E220)</f>
        <v>1</v>
      </c>
      <c r="F223" s="13">
        <f t="shared" si="43"/>
        <v>13</v>
      </c>
      <c r="G223" s="13">
        <f t="shared" si="43"/>
        <v>4</v>
      </c>
      <c r="H223" s="13">
        <f t="shared" si="43"/>
        <v>3</v>
      </c>
      <c r="I223" s="13">
        <f t="shared" si="43"/>
        <v>11</v>
      </c>
      <c r="J223" s="13">
        <f t="shared" si="43"/>
        <v>1</v>
      </c>
      <c r="K223" s="13">
        <f t="shared" si="43"/>
        <v>5</v>
      </c>
      <c r="L223" s="13">
        <f t="shared" si="43"/>
        <v>2</v>
      </c>
      <c r="M223" s="13">
        <f t="shared" si="43"/>
        <v>4</v>
      </c>
      <c r="N223" s="13">
        <f t="shared" si="43"/>
        <v>1</v>
      </c>
      <c r="O223" s="13">
        <f t="shared" si="43"/>
        <v>2</v>
      </c>
      <c r="P223" s="13">
        <f t="shared" si="43"/>
        <v>3</v>
      </c>
      <c r="Q223" s="13">
        <f t="shared" si="43"/>
        <v>4</v>
      </c>
      <c r="R223" s="13">
        <f t="shared" si="43"/>
        <v>7</v>
      </c>
      <c r="S223" s="13">
        <f t="shared" si="43"/>
        <v>13</v>
      </c>
      <c r="T223" s="13">
        <f t="shared" si="43"/>
        <v>25</v>
      </c>
      <c r="U223" s="13">
        <f t="shared" si="43"/>
        <v>1</v>
      </c>
      <c r="V223" s="13">
        <f t="shared" si="43"/>
        <v>0</v>
      </c>
      <c r="W223" s="13">
        <f t="shared" si="43"/>
        <v>4</v>
      </c>
      <c r="X223" s="13">
        <f t="shared" si="43"/>
        <v>6</v>
      </c>
      <c r="Y223" s="13">
        <f t="shared" si="43"/>
        <v>5</v>
      </c>
      <c r="Z223" s="13">
        <f t="shared" si="43"/>
        <v>15</v>
      </c>
      <c r="AA223" s="13">
        <f t="shared" si="43"/>
        <v>17</v>
      </c>
      <c r="AB223" s="13">
        <f t="shared" si="43"/>
        <v>42</v>
      </c>
      <c r="AC223" s="13">
        <f t="shared" si="43"/>
        <v>44</v>
      </c>
      <c r="AD223" s="13">
        <f t="shared" si="43"/>
        <v>3</v>
      </c>
      <c r="AE223" s="13">
        <f t="shared" si="42"/>
        <v>236</v>
      </c>
      <c r="AF223" s="5"/>
      <c r="AG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5"/>
      <c r="AG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3">
        <f t="shared" ref="AE225:AE235" si="44">SUM(E225:AD225)</f>
        <v>2</v>
      </c>
      <c r="AF225" s="5"/>
      <c r="AG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0.0</v>
      </c>
      <c r="R226" s="19">
        <v>1.0</v>
      </c>
      <c r="S226" s="19">
        <v>0.0</v>
      </c>
      <c r="T226" s="19">
        <v>0.0</v>
      </c>
      <c r="U226" s="19">
        <v>3.0</v>
      </c>
      <c r="V226" s="19">
        <v>0.0</v>
      </c>
      <c r="W226" s="19">
        <v>0.0</v>
      </c>
      <c r="X226" s="19">
        <v>0.0</v>
      </c>
      <c r="Y226" s="19">
        <v>0.0</v>
      </c>
      <c r="Z226" s="19">
        <v>1.0</v>
      </c>
      <c r="AA226" s="19">
        <v>1.0</v>
      </c>
      <c r="AB226" s="19">
        <v>2.0</v>
      </c>
      <c r="AC226" s="19">
        <v>0.0</v>
      </c>
      <c r="AD226" s="19">
        <v>0.0</v>
      </c>
      <c r="AE226" s="13">
        <f t="shared" si="44"/>
        <v>11</v>
      </c>
      <c r="AF226" s="5"/>
      <c r="AG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1.0</v>
      </c>
      <c r="T227" s="19">
        <v>0.0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3">
        <f t="shared" si="44"/>
        <v>2</v>
      </c>
      <c r="AF227" s="5"/>
      <c r="AG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3">
        <f t="shared" si="44"/>
        <v>0</v>
      </c>
      <c r="AF228" s="5"/>
      <c r="AG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3">
        <f t="shared" si="44"/>
        <v>0</v>
      </c>
      <c r="AF229" s="1"/>
      <c r="AG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1.0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3">
        <f t="shared" si="44"/>
        <v>1</v>
      </c>
      <c r="AF230" s="54"/>
      <c r="AG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3">
        <f t="shared" si="44"/>
        <v>0</v>
      </c>
      <c r="AF231" s="5"/>
      <c r="AG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1.0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3">
        <f t="shared" si="44"/>
        <v>1</v>
      </c>
      <c r="AF232" s="5"/>
      <c r="AG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3">
        <f t="shared" si="44"/>
        <v>0</v>
      </c>
      <c r="AF233" s="5"/>
      <c r="AG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3">
        <f t="shared" si="44"/>
        <v>0</v>
      </c>
      <c r="AF234" s="5"/>
      <c r="AG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AD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2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1</v>
      </c>
      <c r="T235" s="13">
        <f t="shared" si="45"/>
        <v>1</v>
      </c>
      <c r="U235" s="13">
        <f t="shared" si="45"/>
        <v>5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1</v>
      </c>
      <c r="Z235" s="13">
        <f t="shared" si="45"/>
        <v>1</v>
      </c>
      <c r="AA235" s="13">
        <f t="shared" si="45"/>
        <v>1</v>
      </c>
      <c r="AB235" s="13">
        <f t="shared" si="45"/>
        <v>2</v>
      </c>
      <c r="AC235" s="13">
        <f t="shared" si="45"/>
        <v>0</v>
      </c>
      <c r="AD235" s="13">
        <f t="shared" si="45"/>
        <v>0</v>
      </c>
      <c r="AE235" s="13">
        <f t="shared" si="44"/>
        <v>17</v>
      </c>
      <c r="AF235" s="5"/>
      <c r="AG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5"/>
      <c r="AG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3.0</v>
      </c>
      <c r="J237" s="19">
        <v>0.0</v>
      </c>
      <c r="K237" s="19">
        <v>0.0</v>
      </c>
      <c r="L237" s="19">
        <v>4.0</v>
      </c>
      <c r="M237" s="19">
        <v>0.0</v>
      </c>
      <c r="N237" s="19">
        <v>5.0</v>
      </c>
      <c r="O237" s="19">
        <v>3.0</v>
      </c>
      <c r="P237" s="19">
        <v>4.0</v>
      </c>
      <c r="Q237" s="19">
        <v>0.0</v>
      </c>
      <c r="R237" s="19">
        <v>1.0</v>
      </c>
      <c r="S237" s="19">
        <v>1.0</v>
      </c>
      <c r="T237" s="19">
        <v>2.0</v>
      </c>
      <c r="U237" s="19">
        <v>3.0</v>
      </c>
      <c r="V237" s="19">
        <v>2.0</v>
      </c>
      <c r="W237" s="19">
        <v>1.0</v>
      </c>
      <c r="X237" s="19">
        <v>1.0</v>
      </c>
      <c r="Y237" s="19">
        <v>3.0</v>
      </c>
      <c r="Z237" s="19">
        <v>1.0</v>
      </c>
      <c r="AA237" s="19">
        <v>6.0</v>
      </c>
      <c r="AB237" s="19">
        <v>3.0</v>
      </c>
      <c r="AC237" s="19">
        <v>1.0</v>
      </c>
      <c r="AD237" s="19">
        <v>13.0</v>
      </c>
      <c r="AE237" s="13">
        <f t="shared" ref="AE237:AE247" si="46">SUM(E237:AD237)</f>
        <v>58</v>
      </c>
      <c r="AF237" s="5"/>
      <c r="AG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1.0</v>
      </c>
      <c r="K238" s="19">
        <v>0.0</v>
      </c>
      <c r="L238" s="19">
        <v>2.0</v>
      </c>
      <c r="M238" s="19">
        <v>0.0</v>
      </c>
      <c r="N238" s="19">
        <v>3.0</v>
      </c>
      <c r="O238" s="19">
        <v>0.0</v>
      </c>
      <c r="P238" s="19">
        <v>1.0</v>
      </c>
      <c r="Q238" s="19">
        <v>0.0</v>
      </c>
      <c r="R238" s="19">
        <v>0.0</v>
      </c>
      <c r="S238" s="19">
        <v>0.0</v>
      </c>
      <c r="T238" s="19">
        <v>1.0</v>
      </c>
      <c r="U238" s="19">
        <v>3.0</v>
      </c>
      <c r="V238" s="19">
        <v>1.0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9">
        <v>0.0</v>
      </c>
      <c r="AC238" s="19">
        <v>0.0</v>
      </c>
      <c r="AD238" s="19">
        <v>2.0</v>
      </c>
      <c r="AE238" s="13">
        <f t="shared" si="46"/>
        <v>16</v>
      </c>
      <c r="AF238" s="5"/>
      <c r="AG238" s="5"/>
    </row>
    <row r="239" ht="12.75" customHeight="1">
      <c r="A239" s="18"/>
      <c r="B239" s="57">
        <v>2.0</v>
      </c>
      <c r="C239" s="52" t="s">
        <v>176</v>
      </c>
      <c r="D239" s="60"/>
      <c r="E239" s="19">
        <v>2.0</v>
      </c>
      <c r="F239" s="19">
        <v>5.0</v>
      </c>
      <c r="G239" s="19">
        <v>1.0</v>
      </c>
      <c r="H239" s="19">
        <v>3.0</v>
      </c>
      <c r="I239" s="19">
        <v>9.0</v>
      </c>
      <c r="J239" s="19">
        <v>4.0</v>
      </c>
      <c r="K239" s="19">
        <v>8.0</v>
      </c>
      <c r="L239" s="19">
        <v>10.0</v>
      </c>
      <c r="M239" s="19">
        <v>31.0</v>
      </c>
      <c r="N239" s="19">
        <v>50.0</v>
      </c>
      <c r="O239" s="19">
        <v>41.0</v>
      </c>
      <c r="P239" s="19">
        <v>23.0</v>
      </c>
      <c r="Q239" s="19">
        <v>15.0</v>
      </c>
      <c r="R239" s="19">
        <v>14.0</v>
      </c>
      <c r="S239" s="19">
        <v>45.0</v>
      </c>
      <c r="T239" s="19">
        <v>5.0</v>
      </c>
      <c r="U239" s="19">
        <v>10.0</v>
      </c>
      <c r="V239" s="19">
        <v>55.0</v>
      </c>
      <c r="W239" s="19">
        <v>13.0</v>
      </c>
      <c r="X239" s="19">
        <v>19.0</v>
      </c>
      <c r="Y239" s="19">
        <v>16.0</v>
      </c>
      <c r="Z239" s="19">
        <v>26.0</v>
      </c>
      <c r="AA239" s="19">
        <v>19.0</v>
      </c>
      <c r="AB239" s="19">
        <v>10.0</v>
      </c>
      <c r="AC239" s="19">
        <v>40.0</v>
      </c>
      <c r="AD239" s="19">
        <v>60.0</v>
      </c>
      <c r="AE239" s="13">
        <f t="shared" si="46"/>
        <v>534</v>
      </c>
      <c r="AF239" s="5"/>
      <c r="AG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1.0</v>
      </c>
      <c r="O240" s="19">
        <v>2.0</v>
      </c>
      <c r="P240" s="19">
        <v>0.0</v>
      </c>
      <c r="Q240" s="19">
        <v>1.0</v>
      </c>
      <c r="R240" s="19">
        <v>0.0</v>
      </c>
      <c r="S240" s="19">
        <v>3.0</v>
      </c>
      <c r="T240" s="19">
        <v>0.0</v>
      </c>
      <c r="U240" s="19">
        <v>1.0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1.0</v>
      </c>
      <c r="AC240" s="19">
        <v>0.0</v>
      </c>
      <c r="AD240" s="19">
        <v>3.0</v>
      </c>
      <c r="AE240" s="13">
        <f t="shared" si="46"/>
        <v>14</v>
      </c>
      <c r="AF240" s="1"/>
      <c r="AG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1.0</v>
      </c>
      <c r="U241" s="19">
        <v>0.0</v>
      </c>
      <c r="V241" s="19">
        <v>0.0</v>
      </c>
      <c r="W241" s="19">
        <v>1.0</v>
      </c>
      <c r="X241" s="19">
        <v>2.0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3">
        <f t="shared" si="46"/>
        <v>5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1.0</v>
      </c>
      <c r="H242" s="19">
        <v>1.0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3">
        <f t="shared" si="46"/>
        <v>3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3">
        <f t="shared" si="46"/>
        <v>1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4.0</v>
      </c>
      <c r="F244" s="19">
        <v>4.0</v>
      </c>
      <c r="G244" s="19">
        <v>41.0</v>
      </c>
      <c r="H244" s="19">
        <v>47.0</v>
      </c>
      <c r="I244" s="19">
        <v>13.0</v>
      </c>
      <c r="J244" s="19">
        <v>8.0</v>
      </c>
      <c r="K244" s="19">
        <v>2.0</v>
      </c>
      <c r="L244" s="19">
        <v>3.0</v>
      </c>
      <c r="M244" s="19">
        <v>1.0</v>
      </c>
      <c r="N244" s="19">
        <v>1.0</v>
      </c>
      <c r="O244" s="19">
        <v>3.0</v>
      </c>
      <c r="P244" s="19">
        <v>3.0</v>
      </c>
      <c r="Q244" s="19">
        <v>0.0</v>
      </c>
      <c r="R244" s="19">
        <v>0.0</v>
      </c>
      <c r="S244" s="19">
        <v>2.0</v>
      </c>
      <c r="T244" s="19">
        <v>11.0</v>
      </c>
      <c r="U244" s="19">
        <v>6.0</v>
      </c>
      <c r="V244" s="19">
        <v>3.0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2.0</v>
      </c>
      <c r="AB244" s="19">
        <v>1.0</v>
      </c>
      <c r="AC244" s="19">
        <v>0.0</v>
      </c>
      <c r="AD244" s="19">
        <v>0.0</v>
      </c>
      <c r="AE244" s="13">
        <f t="shared" si="46"/>
        <v>155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AD247" si="47">SUM(E237:E244)</f>
        <v>6</v>
      </c>
      <c r="F247" s="13">
        <f t="shared" si="47"/>
        <v>10</v>
      </c>
      <c r="G247" s="13">
        <f t="shared" si="47"/>
        <v>44</v>
      </c>
      <c r="H247" s="13">
        <f t="shared" si="47"/>
        <v>52</v>
      </c>
      <c r="I247" s="13">
        <f t="shared" si="47"/>
        <v>25</v>
      </c>
      <c r="J247" s="13">
        <f t="shared" si="47"/>
        <v>13</v>
      </c>
      <c r="K247" s="13">
        <f t="shared" si="47"/>
        <v>10</v>
      </c>
      <c r="L247" s="13">
        <f t="shared" si="47"/>
        <v>20</v>
      </c>
      <c r="M247" s="13">
        <f t="shared" si="47"/>
        <v>32</v>
      </c>
      <c r="N247" s="13">
        <f t="shared" si="47"/>
        <v>60</v>
      </c>
      <c r="O247" s="13">
        <f t="shared" si="47"/>
        <v>51</v>
      </c>
      <c r="P247" s="13">
        <f t="shared" si="47"/>
        <v>31</v>
      </c>
      <c r="Q247" s="13">
        <f t="shared" si="47"/>
        <v>16</v>
      </c>
      <c r="R247" s="13">
        <f t="shared" si="47"/>
        <v>15</v>
      </c>
      <c r="S247" s="13">
        <f t="shared" si="47"/>
        <v>51</v>
      </c>
      <c r="T247" s="13">
        <f t="shared" si="47"/>
        <v>20</v>
      </c>
      <c r="U247" s="13">
        <f t="shared" si="47"/>
        <v>23</v>
      </c>
      <c r="V247" s="13">
        <f t="shared" si="47"/>
        <v>61</v>
      </c>
      <c r="W247" s="13">
        <f t="shared" si="47"/>
        <v>15</v>
      </c>
      <c r="X247" s="13">
        <f t="shared" si="47"/>
        <v>22</v>
      </c>
      <c r="Y247" s="13">
        <f t="shared" si="47"/>
        <v>19</v>
      </c>
      <c r="Z247" s="13">
        <f t="shared" si="47"/>
        <v>29</v>
      </c>
      <c r="AA247" s="13">
        <f t="shared" si="47"/>
        <v>27</v>
      </c>
      <c r="AB247" s="13">
        <f t="shared" si="47"/>
        <v>15</v>
      </c>
      <c r="AC247" s="13">
        <f t="shared" si="47"/>
        <v>41</v>
      </c>
      <c r="AD247" s="13">
        <f t="shared" si="47"/>
        <v>78</v>
      </c>
      <c r="AE247" s="13">
        <f t="shared" si="46"/>
        <v>786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1.0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1.0</v>
      </c>
      <c r="AD249" s="19">
        <v>0.0</v>
      </c>
      <c r="AE249" s="13">
        <f t="shared" ref="AE249:AE259" si="48">SUM(E249:AD249)</f>
        <v>3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1.0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3">
        <f t="shared" si="48"/>
        <v>1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1.0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3">
        <f t="shared" si="48"/>
        <v>1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1.0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1.0</v>
      </c>
      <c r="AE255" s="13">
        <f t="shared" si="48"/>
        <v>2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AD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1</v>
      </c>
      <c r="AE259" s="13">
        <f t="shared" si="48"/>
        <v>7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71" t="s">
        <v>213</v>
      </c>
      <c r="Q261" s="71" t="s">
        <v>214</v>
      </c>
      <c r="R261" s="71" t="s">
        <v>216</v>
      </c>
      <c r="S261" s="71" t="s">
        <v>217</v>
      </c>
      <c r="T261" s="71" t="s">
        <v>218</v>
      </c>
      <c r="U261" s="71" t="s">
        <v>219</v>
      </c>
      <c r="V261" s="71" t="s">
        <v>220</v>
      </c>
      <c r="W261" s="71" t="s">
        <v>221</v>
      </c>
      <c r="X261" s="71" t="s">
        <v>227</v>
      </c>
      <c r="Y261" s="71" t="s">
        <v>228</v>
      </c>
      <c r="Z261" s="71" t="s">
        <v>229</v>
      </c>
      <c r="AA261" s="71" t="s">
        <v>230</v>
      </c>
      <c r="AB261" s="71" t="s">
        <v>231</v>
      </c>
      <c r="AC261" s="71" t="s">
        <v>232</v>
      </c>
      <c r="AD261" s="71" t="s">
        <v>233</v>
      </c>
      <c r="AE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AD262" si="50">E55+E67+E79+E91+E103+E115+E127+E139+E151+E163+E175+E187+E199+E211+E223+E235+E247+E259</f>
        <v>115</v>
      </c>
      <c r="F262" s="19">
        <f t="shared" si="50"/>
        <v>168</v>
      </c>
      <c r="G262" s="19">
        <f t="shared" si="50"/>
        <v>167</v>
      </c>
      <c r="H262" s="19">
        <f t="shared" si="50"/>
        <v>184</v>
      </c>
      <c r="I262" s="19">
        <f t="shared" si="50"/>
        <v>190</v>
      </c>
      <c r="J262" s="19">
        <f t="shared" si="50"/>
        <v>181</v>
      </c>
      <c r="K262" s="19">
        <f t="shared" si="50"/>
        <v>196</v>
      </c>
      <c r="L262" s="19">
        <f t="shared" si="50"/>
        <v>188</v>
      </c>
      <c r="M262" s="19">
        <f t="shared" si="50"/>
        <v>163</v>
      </c>
      <c r="N262" s="19">
        <f t="shared" si="50"/>
        <v>192</v>
      </c>
      <c r="O262" s="19">
        <f t="shared" si="50"/>
        <v>203</v>
      </c>
      <c r="P262" s="19">
        <f t="shared" si="50"/>
        <v>186</v>
      </c>
      <c r="Q262" s="19">
        <f t="shared" si="50"/>
        <v>197</v>
      </c>
      <c r="R262" s="19">
        <f t="shared" si="50"/>
        <v>182</v>
      </c>
      <c r="S262" s="19">
        <f t="shared" si="50"/>
        <v>189</v>
      </c>
      <c r="T262" s="19">
        <f t="shared" si="50"/>
        <v>161</v>
      </c>
      <c r="U262" s="19">
        <f t="shared" si="50"/>
        <v>170</v>
      </c>
      <c r="V262" s="19">
        <f t="shared" si="50"/>
        <v>158</v>
      </c>
      <c r="W262" s="19">
        <f t="shared" si="50"/>
        <v>172</v>
      </c>
      <c r="X262" s="19">
        <f t="shared" si="50"/>
        <v>180</v>
      </c>
      <c r="Y262" s="19">
        <f t="shared" si="50"/>
        <v>172</v>
      </c>
      <c r="Z262" s="19">
        <f t="shared" si="50"/>
        <v>173</v>
      </c>
      <c r="AA262" s="19">
        <f t="shared" si="50"/>
        <v>164</v>
      </c>
      <c r="AB262" s="19">
        <f t="shared" si="50"/>
        <v>199</v>
      </c>
      <c r="AC262" s="19">
        <f t="shared" si="50"/>
        <v>199</v>
      </c>
      <c r="AD262" s="19">
        <f t="shared" si="50"/>
        <v>189</v>
      </c>
      <c r="AE262" s="13">
        <f t="shared" ref="AE262:AE264" si="51">SUM(E262:AD262)</f>
        <v>4638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20.0</v>
      </c>
      <c r="F263" s="19">
        <v>30.0</v>
      </c>
      <c r="G263" s="19">
        <v>52.0</v>
      </c>
      <c r="H263" s="19">
        <v>34.0</v>
      </c>
      <c r="I263" s="19">
        <v>27.0</v>
      </c>
      <c r="J263" s="19">
        <v>29.0</v>
      </c>
      <c r="K263" s="19">
        <v>18.0</v>
      </c>
      <c r="L263" s="19">
        <v>18.0</v>
      </c>
      <c r="M263" s="19">
        <v>13.0</v>
      </c>
      <c r="N263" s="19">
        <v>28.0</v>
      </c>
      <c r="O263" s="19">
        <v>22.0</v>
      </c>
      <c r="P263" s="19">
        <v>21.0</v>
      </c>
      <c r="Q263" s="19">
        <v>18.0</v>
      </c>
      <c r="R263" s="19">
        <v>26.0</v>
      </c>
      <c r="S263" s="19">
        <v>38.0</v>
      </c>
      <c r="T263" s="19">
        <v>60.0</v>
      </c>
      <c r="U263" s="19">
        <v>23.0</v>
      </c>
      <c r="V263" s="19">
        <v>49.0</v>
      </c>
      <c r="W263" s="19">
        <v>27.0</v>
      </c>
      <c r="X263" s="19">
        <v>18.0</v>
      </c>
      <c r="Y263" s="19">
        <v>15.0</v>
      </c>
      <c r="Z263" s="19">
        <v>15.0</v>
      </c>
      <c r="AA263" s="19">
        <v>12.0</v>
      </c>
      <c r="AB263" s="19">
        <v>18.0</v>
      </c>
      <c r="AC263" s="19">
        <v>8.0</v>
      </c>
      <c r="AD263" s="19">
        <v>10.0</v>
      </c>
      <c r="AE263" s="13">
        <f t="shared" si="51"/>
        <v>649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AD264" si="52">SUM(E262:E263)</f>
        <v>135</v>
      </c>
      <c r="F264" s="13">
        <f t="shared" si="52"/>
        <v>198</v>
      </c>
      <c r="G264" s="13">
        <f t="shared" si="52"/>
        <v>219</v>
      </c>
      <c r="H264" s="13">
        <f t="shared" si="52"/>
        <v>218</v>
      </c>
      <c r="I264" s="13">
        <f t="shared" si="52"/>
        <v>217</v>
      </c>
      <c r="J264" s="13">
        <f t="shared" si="52"/>
        <v>210</v>
      </c>
      <c r="K264" s="13">
        <f t="shared" si="52"/>
        <v>214</v>
      </c>
      <c r="L264" s="13">
        <f t="shared" si="52"/>
        <v>206</v>
      </c>
      <c r="M264" s="13">
        <f t="shared" si="52"/>
        <v>176</v>
      </c>
      <c r="N264" s="13">
        <f t="shared" si="52"/>
        <v>220</v>
      </c>
      <c r="O264" s="13">
        <f t="shared" si="52"/>
        <v>225</v>
      </c>
      <c r="P264" s="13">
        <f t="shared" si="52"/>
        <v>207</v>
      </c>
      <c r="Q264" s="13">
        <f t="shared" si="52"/>
        <v>215</v>
      </c>
      <c r="R264" s="13">
        <f t="shared" si="52"/>
        <v>208</v>
      </c>
      <c r="S264" s="13">
        <f t="shared" si="52"/>
        <v>227</v>
      </c>
      <c r="T264" s="13">
        <f t="shared" si="52"/>
        <v>221</v>
      </c>
      <c r="U264" s="13">
        <f t="shared" si="52"/>
        <v>193</v>
      </c>
      <c r="V264" s="13">
        <f t="shared" si="52"/>
        <v>207</v>
      </c>
      <c r="W264" s="13">
        <f t="shared" si="52"/>
        <v>199</v>
      </c>
      <c r="X264" s="13">
        <f t="shared" si="52"/>
        <v>198</v>
      </c>
      <c r="Y264" s="13">
        <f t="shared" si="52"/>
        <v>187</v>
      </c>
      <c r="Z264" s="13">
        <f t="shared" si="52"/>
        <v>188</v>
      </c>
      <c r="AA264" s="13">
        <f t="shared" si="52"/>
        <v>176</v>
      </c>
      <c r="AB264" s="13">
        <f t="shared" si="52"/>
        <v>217</v>
      </c>
      <c r="AC264" s="13">
        <f t="shared" si="52"/>
        <v>207</v>
      </c>
      <c r="AD264" s="13">
        <f t="shared" si="52"/>
        <v>199</v>
      </c>
      <c r="AE264" s="13">
        <f t="shared" si="51"/>
        <v>5287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E34&lt;&gt;E64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9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13" t="s">
        <v>218</v>
      </c>
      <c r="U13" s="13" t="s">
        <v>219</v>
      </c>
      <c r="V13" s="37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149.0</v>
      </c>
      <c r="G14" s="19">
        <v>146.0</v>
      </c>
      <c r="H14" s="19">
        <v>142.0</v>
      </c>
      <c r="I14" s="19">
        <v>149.0</v>
      </c>
      <c r="J14" s="19">
        <v>127.0</v>
      </c>
      <c r="K14" s="19">
        <v>131.0</v>
      </c>
      <c r="L14" s="19">
        <v>138.0</v>
      </c>
      <c r="M14" s="19">
        <v>144.0</v>
      </c>
      <c r="N14" s="19">
        <v>153.0</v>
      </c>
      <c r="O14" s="19">
        <v>138.0</v>
      </c>
      <c r="P14" s="19">
        <v>137.0</v>
      </c>
      <c r="Q14" s="19">
        <v>152.0</v>
      </c>
      <c r="R14" s="19">
        <v>140.0</v>
      </c>
      <c r="S14" s="19">
        <v>152.0</v>
      </c>
      <c r="T14" s="19">
        <v>147.0</v>
      </c>
      <c r="U14" s="19">
        <v>152.0</v>
      </c>
      <c r="V14" s="13">
        <f t="shared" ref="V14:V16" si="1">SUM(E14:U14)</f>
        <v>2440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144.0</v>
      </c>
      <c r="G15" s="19">
        <v>146.0</v>
      </c>
      <c r="H15" s="19">
        <v>137.0</v>
      </c>
      <c r="I15" s="19">
        <v>147.0</v>
      </c>
      <c r="J15" s="19">
        <v>129.0</v>
      </c>
      <c r="K15" s="19">
        <v>150.0</v>
      </c>
      <c r="L15" s="19">
        <v>142.0</v>
      </c>
      <c r="M15" s="19">
        <v>145.0</v>
      </c>
      <c r="N15" s="19">
        <v>121.0</v>
      </c>
      <c r="O15" s="19">
        <v>153.0</v>
      </c>
      <c r="P15" s="19">
        <v>132.0</v>
      </c>
      <c r="Q15" s="19">
        <v>143.0</v>
      </c>
      <c r="R15" s="19">
        <v>135.0</v>
      </c>
      <c r="S15" s="19">
        <v>140.0</v>
      </c>
      <c r="T15" s="19">
        <v>144.0</v>
      </c>
      <c r="U15" s="19">
        <v>145.0</v>
      </c>
      <c r="V15" s="13">
        <f t="shared" si="1"/>
        <v>2387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277</v>
      </c>
      <c r="F16" s="13">
        <f t="shared" si="2"/>
        <v>293</v>
      </c>
      <c r="G16" s="13">
        <f t="shared" si="2"/>
        <v>292</v>
      </c>
      <c r="H16" s="13">
        <f t="shared" si="2"/>
        <v>279</v>
      </c>
      <c r="I16" s="13">
        <f t="shared" si="2"/>
        <v>296</v>
      </c>
      <c r="J16" s="13">
        <f t="shared" si="2"/>
        <v>256</v>
      </c>
      <c r="K16" s="13">
        <f t="shared" si="2"/>
        <v>281</v>
      </c>
      <c r="L16" s="13">
        <f t="shared" si="2"/>
        <v>280</v>
      </c>
      <c r="M16" s="13">
        <f t="shared" si="2"/>
        <v>289</v>
      </c>
      <c r="N16" s="13">
        <f t="shared" si="2"/>
        <v>274</v>
      </c>
      <c r="O16" s="13">
        <f t="shared" si="2"/>
        <v>291</v>
      </c>
      <c r="P16" s="13">
        <f t="shared" si="2"/>
        <v>269</v>
      </c>
      <c r="Q16" s="13">
        <f t="shared" si="2"/>
        <v>295</v>
      </c>
      <c r="R16" s="13">
        <f t="shared" si="2"/>
        <v>275</v>
      </c>
      <c r="S16" s="13">
        <f t="shared" si="2"/>
        <v>292</v>
      </c>
      <c r="T16" s="13">
        <f t="shared" si="2"/>
        <v>291</v>
      </c>
      <c r="U16" s="13">
        <f t="shared" si="2"/>
        <v>297</v>
      </c>
      <c r="V16" s="13">
        <f t="shared" si="1"/>
        <v>4827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19"/>
      <c r="Q17" s="19"/>
      <c r="R17" s="19"/>
      <c r="S17" s="78"/>
      <c r="T17" s="19"/>
      <c r="U17" s="19"/>
      <c r="V17" s="70"/>
    </row>
    <row r="18" ht="12.75" customHeight="1">
      <c r="A18" s="31" t="s">
        <v>15</v>
      </c>
      <c r="B18" s="20" t="s">
        <v>16</v>
      </c>
      <c r="C18" s="15"/>
      <c r="D18" s="16"/>
      <c r="E18" s="71" t="s">
        <v>200</v>
      </c>
      <c r="F18" s="71" t="s">
        <v>201</v>
      </c>
      <c r="G18" s="71" t="s">
        <v>202</v>
      </c>
      <c r="H18" s="71" t="s">
        <v>203</v>
      </c>
      <c r="I18" s="71" t="s">
        <v>204</v>
      </c>
      <c r="J18" s="71" t="s">
        <v>205</v>
      </c>
      <c r="K18" s="71" t="s">
        <v>207</v>
      </c>
      <c r="L18" s="71" t="s">
        <v>208</v>
      </c>
      <c r="M18" s="71" t="s">
        <v>209</v>
      </c>
      <c r="N18" s="71" t="s">
        <v>211</v>
      </c>
      <c r="O18" s="71" t="s">
        <v>212</v>
      </c>
      <c r="P18" s="71" t="s">
        <v>213</v>
      </c>
      <c r="Q18" s="71" t="s">
        <v>214</v>
      </c>
      <c r="R18" s="71" t="s">
        <v>216</v>
      </c>
      <c r="S18" s="71" t="s">
        <v>217</v>
      </c>
      <c r="T18" s="71" t="s">
        <v>218</v>
      </c>
      <c r="U18" s="71" t="s">
        <v>219</v>
      </c>
      <c r="V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100.0</v>
      </c>
      <c r="F19" s="19">
        <v>113.0</v>
      </c>
      <c r="G19" s="19">
        <v>125.0</v>
      </c>
      <c r="H19" s="19">
        <v>112.0</v>
      </c>
      <c r="I19" s="19">
        <v>102.0</v>
      </c>
      <c r="J19" s="19">
        <v>112.0</v>
      </c>
      <c r="K19" s="19">
        <v>96.0</v>
      </c>
      <c r="L19" s="19">
        <v>108.0</v>
      </c>
      <c r="M19" s="19">
        <v>108.0</v>
      </c>
      <c r="N19" s="19">
        <v>113.0</v>
      </c>
      <c r="O19" s="19">
        <v>115.0</v>
      </c>
      <c r="P19" s="19">
        <v>102.0</v>
      </c>
      <c r="Q19" s="19">
        <v>116.0</v>
      </c>
      <c r="R19" s="19">
        <v>101.0</v>
      </c>
      <c r="S19" s="19">
        <v>114.0</v>
      </c>
      <c r="T19" s="19">
        <v>95.0</v>
      </c>
      <c r="U19" s="19">
        <v>110.0</v>
      </c>
      <c r="V19" s="13">
        <f t="shared" ref="V19:V30" si="3">SUM(E19:U19)</f>
        <v>1842</v>
      </c>
    </row>
    <row r="20" ht="12.75" customHeight="1">
      <c r="A20" s="34"/>
      <c r="B20" s="27"/>
      <c r="C20" s="35"/>
      <c r="D20" s="19" t="s">
        <v>13</v>
      </c>
      <c r="E20" s="19">
        <v>106.0</v>
      </c>
      <c r="F20" s="19">
        <v>116.0</v>
      </c>
      <c r="G20" s="19">
        <v>132.0</v>
      </c>
      <c r="H20" s="19">
        <v>118.0</v>
      </c>
      <c r="I20" s="19">
        <v>123.0</v>
      </c>
      <c r="J20" s="19">
        <v>116.0</v>
      </c>
      <c r="K20" s="19">
        <v>124.0</v>
      </c>
      <c r="L20" s="19">
        <v>114.0</v>
      </c>
      <c r="M20" s="19">
        <v>121.0</v>
      </c>
      <c r="N20" s="19">
        <v>111.0</v>
      </c>
      <c r="O20" s="19">
        <v>138.0</v>
      </c>
      <c r="P20" s="19">
        <v>96.0</v>
      </c>
      <c r="Q20" s="19">
        <v>107.0</v>
      </c>
      <c r="R20" s="19">
        <v>100.0</v>
      </c>
      <c r="S20" s="19">
        <v>119.0</v>
      </c>
      <c r="T20" s="19">
        <v>127.0</v>
      </c>
      <c r="U20" s="19">
        <v>119.0</v>
      </c>
      <c r="V20" s="13">
        <f t="shared" si="3"/>
        <v>1987</v>
      </c>
    </row>
    <row r="21" ht="12.75" customHeight="1">
      <c r="A21" s="36"/>
      <c r="B21" s="28"/>
      <c r="C21" s="37"/>
      <c r="D21" s="13" t="s">
        <v>14</v>
      </c>
      <c r="E21" s="13">
        <f t="shared" ref="E21:U21" si="4">SUM(E19:E20)</f>
        <v>206</v>
      </c>
      <c r="F21" s="13">
        <f t="shared" si="4"/>
        <v>229</v>
      </c>
      <c r="G21" s="13">
        <f t="shared" si="4"/>
        <v>257</v>
      </c>
      <c r="H21" s="13">
        <f t="shared" si="4"/>
        <v>230</v>
      </c>
      <c r="I21" s="13">
        <f t="shared" si="4"/>
        <v>225</v>
      </c>
      <c r="J21" s="13">
        <f t="shared" si="4"/>
        <v>228</v>
      </c>
      <c r="K21" s="13">
        <f t="shared" si="4"/>
        <v>220</v>
      </c>
      <c r="L21" s="13">
        <f t="shared" si="4"/>
        <v>222</v>
      </c>
      <c r="M21" s="13">
        <f t="shared" si="4"/>
        <v>229</v>
      </c>
      <c r="N21" s="13">
        <f t="shared" si="4"/>
        <v>224</v>
      </c>
      <c r="O21" s="13">
        <f t="shared" si="4"/>
        <v>253</v>
      </c>
      <c r="P21" s="13">
        <f t="shared" si="4"/>
        <v>198</v>
      </c>
      <c r="Q21" s="13">
        <f t="shared" si="4"/>
        <v>223</v>
      </c>
      <c r="R21" s="13">
        <f t="shared" si="4"/>
        <v>201</v>
      </c>
      <c r="S21" s="13">
        <f t="shared" si="4"/>
        <v>233</v>
      </c>
      <c r="T21" s="13">
        <f t="shared" si="4"/>
        <v>222</v>
      </c>
      <c r="U21" s="13">
        <f t="shared" si="4"/>
        <v>229</v>
      </c>
      <c r="V21" s="13">
        <f t="shared" si="3"/>
        <v>3829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0.0</v>
      </c>
      <c r="K25" s="19">
        <v>0.0</v>
      </c>
      <c r="L25" s="19">
        <v>4.0</v>
      </c>
      <c r="M25" s="19">
        <v>0.0</v>
      </c>
      <c r="N25" s="19">
        <v>1.0</v>
      </c>
      <c r="O25" s="19">
        <v>0.0</v>
      </c>
      <c r="P25" s="19">
        <v>1.0</v>
      </c>
      <c r="Q25" s="19">
        <v>2.0</v>
      </c>
      <c r="R25" s="19">
        <v>0.0</v>
      </c>
      <c r="S25" s="19">
        <v>2.0</v>
      </c>
      <c r="T25" s="19">
        <v>0.0</v>
      </c>
      <c r="U25" s="19">
        <v>5.0</v>
      </c>
      <c r="V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1.0</v>
      </c>
      <c r="J26" s="19">
        <v>1.0</v>
      </c>
      <c r="K26" s="19">
        <v>3.0</v>
      </c>
      <c r="L26" s="19">
        <v>1.0</v>
      </c>
      <c r="M26" s="19">
        <v>1.0</v>
      </c>
      <c r="N26" s="19">
        <v>1.0</v>
      </c>
      <c r="O26" s="19">
        <v>0.0</v>
      </c>
      <c r="P26" s="19">
        <v>2.0</v>
      </c>
      <c r="Q26" s="19">
        <v>2.0</v>
      </c>
      <c r="R26" s="19">
        <v>0.0</v>
      </c>
      <c r="S26" s="19">
        <v>0.0</v>
      </c>
      <c r="T26" s="19">
        <v>0.0</v>
      </c>
      <c r="U26" s="19">
        <v>5.0</v>
      </c>
      <c r="V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3</v>
      </c>
      <c r="I27" s="13">
        <f t="shared" si="6"/>
        <v>1</v>
      </c>
      <c r="J27" s="13">
        <f t="shared" si="6"/>
        <v>1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10</v>
      </c>
      <c r="V27" s="13">
        <f t="shared" si="3"/>
        <v>37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U28" si="7">SUM(E19,E22,E25)</f>
        <v>100</v>
      </c>
      <c r="F28" s="13">
        <f t="shared" si="7"/>
        <v>113</v>
      </c>
      <c r="G28" s="13">
        <f t="shared" si="7"/>
        <v>126</v>
      </c>
      <c r="H28" s="13">
        <f t="shared" si="7"/>
        <v>113</v>
      </c>
      <c r="I28" s="13">
        <f t="shared" si="7"/>
        <v>102</v>
      </c>
      <c r="J28" s="13">
        <f t="shared" si="7"/>
        <v>112</v>
      </c>
      <c r="K28" s="13">
        <f t="shared" si="7"/>
        <v>96</v>
      </c>
      <c r="L28" s="13">
        <f t="shared" si="7"/>
        <v>112</v>
      </c>
      <c r="M28" s="13">
        <f t="shared" si="7"/>
        <v>108</v>
      </c>
      <c r="N28" s="13">
        <f t="shared" si="7"/>
        <v>114</v>
      </c>
      <c r="O28" s="13">
        <f t="shared" si="7"/>
        <v>115</v>
      </c>
      <c r="P28" s="13">
        <f t="shared" si="7"/>
        <v>103</v>
      </c>
      <c r="Q28" s="13">
        <f t="shared" si="7"/>
        <v>118</v>
      </c>
      <c r="R28" s="13">
        <f t="shared" si="7"/>
        <v>101</v>
      </c>
      <c r="S28" s="13">
        <f t="shared" si="7"/>
        <v>116</v>
      </c>
      <c r="T28" s="13">
        <f t="shared" si="7"/>
        <v>95</v>
      </c>
      <c r="U28" s="13">
        <f t="shared" si="7"/>
        <v>115</v>
      </c>
      <c r="V28" s="13">
        <f t="shared" si="3"/>
        <v>1859</v>
      </c>
    </row>
    <row r="29" ht="12.75" customHeight="1">
      <c r="A29" s="36"/>
      <c r="B29" s="27"/>
      <c r="C29" s="35"/>
      <c r="D29" s="13" t="s">
        <v>13</v>
      </c>
      <c r="E29" s="13">
        <f t="shared" ref="E29:U29" si="8">SUM(E20,E23,E26)</f>
        <v>106</v>
      </c>
      <c r="F29" s="13">
        <f t="shared" si="8"/>
        <v>116</v>
      </c>
      <c r="G29" s="13">
        <f t="shared" si="8"/>
        <v>133</v>
      </c>
      <c r="H29" s="13">
        <f t="shared" si="8"/>
        <v>120</v>
      </c>
      <c r="I29" s="13">
        <f t="shared" si="8"/>
        <v>124</v>
      </c>
      <c r="J29" s="13">
        <f t="shared" si="8"/>
        <v>117</v>
      </c>
      <c r="K29" s="13">
        <f t="shared" si="8"/>
        <v>127</v>
      </c>
      <c r="L29" s="13">
        <f t="shared" si="8"/>
        <v>115</v>
      </c>
      <c r="M29" s="13">
        <f t="shared" si="8"/>
        <v>122</v>
      </c>
      <c r="N29" s="13">
        <f t="shared" si="8"/>
        <v>113</v>
      </c>
      <c r="O29" s="13">
        <f t="shared" si="8"/>
        <v>138</v>
      </c>
      <c r="P29" s="13">
        <f t="shared" si="8"/>
        <v>98</v>
      </c>
      <c r="Q29" s="13">
        <f t="shared" si="8"/>
        <v>110</v>
      </c>
      <c r="R29" s="13">
        <f t="shared" si="8"/>
        <v>100</v>
      </c>
      <c r="S29" s="13">
        <f t="shared" si="8"/>
        <v>119</v>
      </c>
      <c r="T29" s="13">
        <f t="shared" si="8"/>
        <v>127</v>
      </c>
      <c r="U29" s="13">
        <f t="shared" si="8"/>
        <v>124</v>
      </c>
      <c r="V29" s="13">
        <f t="shared" si="3"/>
        <v>2009</v>
      </c>
    </row>
    <row r="30" ht="12.75" customHeight="1">
      <c r="A30" s="36"/>
      <c r="B30" s="28"/>
      <c r="C30" s="37"/>
      <c r="D30" s="13" t="s">
        <v>14</v>
      </c>
      <c r="E30" s="13">
        <f t="shared" ref="E30:U30" si="9">SUM(E28:E29)</f>
        <v>206</v>
      </c>
      <c r="F30" s="13">
        <f t="shared" si="9"/>
        <v>229</v>
      </c>
      <c r="G30" s="13">
        <f t="shared" si="9"/>
        <v>259</v>
      </c>
      <c r="H30" s="13">
        <f t="shared" si="9"/>
        <v>233</v>
      </c>
      <c r="I30" s="13">
        <f t="shared" si="9"/>
        <v>226</v>
      </c>
      <c r="J30" s="13">
        <f t="shared" si="9"/>
        <v>229</v>
      </c>
      <c r="K30" s="13">
        <f t="shared" si="9"/>
        <v>223</v>
      </c>
      <c r="L30" s="13">
        <f t="shared" si="9"/>
        <v>227</v>
      </c>
      <c r="M30" s="13">
        <f t="shared" si="9"/>
        <v>230</v>
      </c>
      <c r="N30" s="13">
        <f t="shared" si="9"/>
        <v>227</v>
      </c>
      <c r="O30" s="13">
        <f t="shared" si="9"/>
        <v>253</v>
      </c>
      <c r="P30" s="13">
        <f t="shared" si="9"/>
        <v>201</v>
      </c>
      <c r="Q30" s="13">
        <f t="shared" si="9"/>
        <v>228</v>
      </c>
      <c r="R30" s="13">
        <f t="shared" si="9"/>
        <v>201</v>
      </c>
      <c r="S30" s="13">
        <f t="shared" si="9"/>
        <v>235</v>
      </c>
      <c r="T30" s="13">
        <f t="shared" si="9"/>
        <v>222</v>
      </c>
      <c r="U30" s="13">
        <f t="shared" si="9"/>
        <v>239</v>
      </c>
      <c r="V30" s="13">
        <f t="shared" si="3"/>
        <v>3868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19"/>
      <c r="Q31" s="19"/>
      <c r="R31" s="19"/>
      <c r="S31" s="78"/>
      <c r="T31" s="19"/>
      <c r="U31" s="19"/>
      <c r="V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1" t="s">
        <v>213</v>
      </c>
      <c r="Q32" s="71" t="s">
        <v>214</v>
      </c>
      <c r="R32" s="71" t="s">
        <v>216</v>
      </c>
      <c r="S32" s="71" t="s">
        <v>217</v>
      </c>
      <c r="T32" s="71" t="s">
        <v>218</v>
      </c>
      <c r="U32" s="71" t="s">
        <v>219</v>
      </c>
      <c r="V32" s="70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299.0</v>
      </c>
      <c r="G33" s="19">
        <v>298.0</v>
      </c>
      <c r="H33" s="19">
        <v>285.0</v>
      </c>
      <c r="I33" s="19">
        <v>302.0</v>
      </c>
      <c r="J33" s="19">
        <v>262.0</v>
      </c>
      <c r="K33" s="19">
        <v>287.0</v>
      </c>
      <c r="L33" s="19">
        <v>286.0</v>
      </c>
      <c r="M33" s="19">
        <v>295.0</v>
      </c>
      <c r="N33" s="19">
        <v>280.0</v>
      </c>
      <c r="O33" s="19">
        <v>297.0</v>
      </c>
      <c r="P33" s="19">
        <v>275.0</v>
      </c>
      <c r="Q33" s="19">
        <v>301.0</v>
      </c>
      <c r="R33" s="19">
        <v>281.0</v>
      </c>
      <c r="S33" s="19">
        <v>298.0</v>
      </c>
      <c r="T33" s="19">
        <v>297.0</v>
      </c>
      <c r="U33" s="19">
        <v>303.0</v>
      </c>
      <c r="V33" s="13">
        <f t="shared" ref="V33:V36" si="10">SUM(E33:U33)</f>
        <v>4929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229.0</v>
      </c>
      <c r="G34" s="13">
        <v>259.0</v>
      </c>
      <c r="H34" s="13">
        <v>233.0</v>
      </c>
      <c r="I34" s="13">
        <v>226.0</v>
      </c>
      <c r="J34" s="13">
        <v>229.0</v>
      </c>
      <c r="K34" s="13">
        <v>223.0</v>
      </c>
      <c r="L34" s="13">
        <v>227.0</v>
      </c>
      <c r="M34" s="13">
        <v>230.0</v>
      </c>
      <c r="N34" s="13">
        <v>227.0</v>
      </c>
      <c r="O34" s="13">
        <v>253.0</v>
      </c>
      <c r="P34" s="13">
        <v>201.0</v>
      </c>
      <c r="Q34" s="13">
        <v>228.0</v>
      </c>
      <c r="R34" s="13">
        <v>201.0</v>
      </c>
      <c r="S34" s="13">
        <v>235.0</v>
      </c>
      <c r="T34" s="13">
        <v>222.0</v>
      </c>
      <c r="U34" s="13">
        <v>239.0</v>
      </c>
      <c r="V34" s="13">
        <f t="shared" si="10"/>
        <v>3868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6.0</v>
      </c>
      <c r="G35" s="19">
        <v>0.0</v>
      </c>
      <c r="H35" s="19">
        <v>3.0</v>
      </c>
      <c r="I35" s="19">
        <v>0.0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77</v>
      </c>
      <c r="F36" s="13">
        <f t="shared" si="11"/>
        <v>64</v>
      </c>
      <c r="G36" s="13">
        <f t="shared" si="11"/>
        <v>39</v>
      </c>
      <c r="H36" s="13">
        <f t="shared" si="11"/>
        <v>49</v>
      </c>
      <c r="I36" s="13">
        <f t="shared" si="11"/>
        <v>76</v>
      </c>
      <c r="J36" s="13">
        <f t="shared" si="11"/>
        <v>33</v>
      </c>
      <c r="K36" s="13">
        <f t="shared" si="11"/>
        <v>64</v>
      </c>
      <c r="L36" s="13">
        <f t="shared" si="11"/>
        <v>59</v>
      </c>
      <c r="M36" s="13">
        <f t="shared" si="11"/>
        <v>62</v>
      </c>
      <c r="N36" s="13">
        <f t="shared" si="11"/>
        <v>53</v>
      </c>
      <c r="O36" s="13">
        <f t="shared" si="11"/>
        <v>43</v>
      </c>
      <c r="P36" s="13">
        <f t="shared" si="11"/>
        <v>74</v>
      </c>
      <c r="Q36" s="13">
        <f t="shared" si="11"/>
        <v>73</v>
      </c>
      <c r="R36" s="13">
        <f t="shared" si="11"/>
        <v>80</v>
      </c>
      <c r="S36" s="13">
        <f t="shared" si="11"/>
        <v>63</v>
      </c>
      <c r="T36" s="13">
        <f t="shared" si="11"/>
        <v>75</v>
      </c>
      <c r="U36" s="13">
        <f t="shared" si="11"/>
        <v>64</v>
      </c>
      <c r="V36" s="13">
        <f t="shared" si="10"/>
        <v>1048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19"/>
      <c r="Q37" s="19"/>
      <c r="R37" s="19"/>
      <c r="S37" s="78"/>
      <c r="T37" s="19"/>
      <c r="U37" s="19"/>
      <c r="V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1" t="s">
        <v>213</v>
      </c>
      <c r="Q38" s="71" t="s">
        <v>214</v>
      </c>
      <c r="R38" s="71" t="s">
        <v>216</v>
      </c>
      <c r="S38" s="71" t="s">
        <v>217</v>
      </c>
      <c r="T38" s="71" t="s">
        <v>218</v>
      </c>
      <c r="U38" s="71" t="s">
        <v>219</v>
      </c>
      <c r="V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3">
        <f t="shared" ref="V39:V41" si="12">SUM(E39:U39)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1.0</v>
      </c>
      <c r="V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3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9"/>
      <c r="Q42" s="19"/>
      <c r="R42" s="19"/>
      <c r="S42" s="78"/>
      <c r="T42" s="19"/>
      <c r="U42" s="19"/>
      <c r="V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71" t="s">
        <v>213</v>
      </c>
      <c r="Q43" s="71" t="s">
        <v>214</v>
      </c>
      <c r="R43" s="71" t="s">
        <v>216</v>
      </c>
      <c r="S43" s="71" t="s">
        <v>217</v>
      </c>
      <c r="T43" s="71" t="s">
        <v>218</v>
      </c>
      <c r="U43" s="71" t="s">
        <v>219</v>
      </c>
      <c r="V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9"/>
      <c r="Q44" s="19"/>
      <c r="R44" s="19"/>
      <c r="S44" s="78"/>
      <c r="T44" s="19"/>
      <c r="U44" s="19"/>
      <c r="V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11.0</v>
      </c>
      <c r="F45" s="19">
        <v>4.0</v>
      </c>
      <c r="G45" s="19">
        <v>10.0</v>
      </c>
      <c r="H45" s="19">
        <v>17.0</v>
      </c>
      <c r="I45" s="19">
        <v>7.0</v>
      </c>
      <c r="J45" s="19">
        <v>7.0</v>
      </c>
      <c r="K45" s="19">
        <v>7.0</v>
      </c>
      <c r="L45" s="19">
        <v>17.0</v>
      </c>
      <c r="M45" s="19">
        <v>10.0</v>
      </c>
      <c r="N45" s="19">
        <v>4.0</v>
      </c>
      <c r="O45" s="19">
        <v>9.0</v>
      </c>
      <c r="P45" s="19">
        <v>6.0</v>
      </c>
      <c r="Q45" s="19">
        <v>7.0</v>
      </c>
      <c r="R45" s="19">
        <v>10.0</v>
      </c>
      <c r="S45" s="19">
        <v>5.0</v>
      </c>
      <c r="T45" s="19">
        <v>5.0</v>
      </c>
      <c r="U45" s="19">
        <v>3.0</v>
      </c>
      <c r="V45" s="13">
        <f t="shared" ref="V45:V55" si="14">SUM(E45:U45)</f>
        <v>139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12.0</v>
      </c>
      <c r="F46" s="19">
        <v>20.0</v>
      </c>
      <c r="G46" s="19">
        <v>29.0</v>
      </c>
      <c r="H46" s="19">
        <v>33.0</v>
      </c>
      <c r="I46" s="19">
        <v>21.0</v>
      </c>
      <c r="J46" s="19">
        <v>19.0</v>
      </c>
      <c r="K46" s="19">
        <v>14.0</v>
      </c>
      <c r="L46" s="19">
        <v>50.0</v>
      </c>
      <c r="M46" s="19">
        <v>17.0</v>
      </c>
      <c r="N46" s="19">
        <v>33.0</v>
      </c>
      <c r="O46" s="19">
        <v>22.0</v>
      </c>
      <c r="P46" s="19">
        <v>29.0</v>
      </c>
      <c r="Q46" s="19">
        <v>21.0</v>
      </c>
      <c r="R46" s="19">
        <v>12.0</v>
      </c>
      <c r="S46" s="19">
        <v>11.0</v>
      </c>
      <c r="T46" s="19">
        <v>11.0</v>
      </c>
      <c r="U46" s="19">
        <v>20.0</v>
      </c>
      <c r="V46" s="13">
        <f t="shared" si="14"/>
        <v>374</v>
      </c>
    </row>
    <row r="47" ht="12.75" customHeight="1">
      <c r="A47" s="18"/>
      <c r="B47" s="57">
        <v>2.0</v>
      </c>
      <c r="C47" s="52" t="s">
        <v>41</v>
      </c>
      <c r="D47" s="16"/>
      <c r="E47" s="19">
        <v>1.0</v>
      </c>
      <c r="F47" s="19">
        <v>2.0</v>
      </c>
      <c r="G47" s="19">
        <v>5.0</v>
      </c>
      <c r="H47" s="19">
        <v>5.0</v>
      </c>
      <c r="I47" s="19">
        <v>3.0</v>
      </c>
      <c r="J47" s="19">
        <v>5.0</v>
      </c>
      <c r="K47" s="19">
        <v>1.0</v>
      </c>
      <c r="L47" s="19">
        <v>2.0</v>
      </c>
      <c r="M47" s="19">
        <v>0.0</v>
      </c>
      <c r="N47" s="19">
        <v>0.0</v>
      </c>
      <c r="O47" s="19">
        <v>3.0</v>
      </c>
      <c r="P47" s="19">
        <v>5.0</v>
      </c>
      <c r="Q47" s="19">
        <v>0.0</v>
      </c>
      <c r="R47" s="19">
        <v>1.0</v>
      </c>
      <c r="S47" s="19">
        <v>3.0</v>
      </c>
      <c r="T47" s="19">
        <v>0.0</v>
      </c>
      <c r="U47" s="19">
        <v>0.0</v>
      </c>
      <c r="V47" s="13">
        <f t="shared" si="14"/>
        <v>36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0.0</v>
      </c>
      <c r="G48" s="19">
        <v>1.0</v>
      </c>
      <c r="H48" s="19">
        <v>2.0</v>
      </c>
      <c r="I48" s="19">
        <v>0.0</v>
      </c>
      <c r="J48" s="19">
        <v>4.0</v>
      </c>
      <c r="K48" s="19">
        <v>0.0</v>
      </c>
      <c r="L48" s="19">
        <v>0.0</v>
      </c>
      <c r="M48" s="19">
        <v>1.0</v>
      </c>
      <c r="N48" s="19">
        <v>1.0</v>
      </c>
      <c r="O48" s="19">
        <v>0.0</v>
      </c>
      <c r="P48" s="19">
        <v>0.0</v>
      </c>
      <c r="Q48" s="19">
        <v>0.0</v>
      </c>
      <c r="R48" s="19">
        <v>1.0</v>
      </c>
      <c r="S48" s="19">
        <v>1.0</v>
      </c>
      <c r="T48" s="19">
        <v>0.0</v>
      </c>
      <c r="U48" s="19">
        <v>0.0</v>
      </c>
      <c r="V48" s="13">
        <f t="shared" si="14"/>
        <v>11</v>
      </c>
    </row>
    <row r="49" ht="12.75" customHeight="1">
      <c r="A49" s="18"/>
      <c r="B49" s="57">
        <v>4.0</v>
      </c>
      <c r="C49" s="52" t="s">
        <v>43</v>
      </c>
      <c r="D49" s="16"/>
      <c r="E49" s="19">
        <v>2.0</v>
      </c>
      <c r="F49" s="19">
        <v>0.0</v>
      </c>
      <c r="G49" s="19">
        <v>2.0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1.0</v>
      </c>
      <c r="N49" s="19">
        <v>2.0</v>
      </c>
      <c r="O49" s="19">
        <v>0.0</v>
      </c>
      <c r="P49" s="19">
        <v>1.0</v>
      </c>
      <c r="Q49" s="19">
        <v>1.0</v>
      </c>
      <c r="R49" s="19">
        <v>2.0</v>
      </c>
      <c r="S49" s="19">
        <v>1.0</v>
      </c>
      <c r="T49" s="19">
        <v>0.0</v>
      </c>
      <c r="U49" s="19">
        <v>0.0</v>
      </c>
      <c r="V49" s="13">
        <f t="shared" si="14"/>
        <v>13</v>
      </c>
    </row>
    <row r="50" ht="12.75" customHeight="1">
      <c r="A50" s="18"/>
      <c r="B50" s="57">
        <v>5.0</v>
      </c>
      <c r="C50" s="52" t="s">
        <v>44</v>
      </c>
      <c r="D50" s="16"/>
      <c r="E50" s="19">
        <v>1.0</v>
      </c>
      <c r="F50" s="19">
        <v>1.0</v>
      </c>
      <c r="G50" s="19">
        <v>2.0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2.0</v>
      </c>
      <c r="O50" s="19">
        <v>0.0</v>
      </c>
      <c r="P50" s="19">
        <v>0.0</v>
      </c>
      <c r="Q50" s="19">
        <v>2.0</v>
      </c>
      <c r="R50" s="19">
        <v>1.0</v>
      </c>
      <c r="S50" s="19">
        <v>0.0</v>
      </c>
      <c r="T50" s="19">
        <v>0.0</v>
      </c>
      <c r="U50" s="19">
        <v>0.0</v>
      </c>
      <c r="V50" s="13">
        <f t="shared" si="14"/>
        <v>9</v>
      </c>
    </row>
    <row r="51" ht="12.75" customHeight="1">
      <c r="A51" s="18"/>
      <c r="B51" s="57">
        <v>6.0</v>
      </c>
      <c r="C51" s="52" t="s">
        <v>45</v>
      </c>
      <c r="D51" s="16"/>
      <c r="E51" s="19">
        <v>3.0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0.0</v>
      </c>
      <c r="V51" s="13">
        <f t="shared" si="14"/>
        <v>6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3">
        <f t="shared" si="14"/>
        <v>3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U55" si="15">SUM(E45:E52)</f>
        <v>30</v>
      </c>
      <c r="F55" s="13">
        <f t="shared" si="15"/>
        <v>27</v>
      </c>
      <c r="G55" s="13">
        <f t="shared" si="15"/>
        <v>49</v>
      </c>
      <c r="H55" s="13">
        <f t="shared" si="15"/>
        <v>57</v>
      </c>
      <c r="I55" s="13">
        <f t="shared" si="15"/>
        <v>33</v>
      </c>
      <c r="J55" s="13">
        <f t="shared" si="15"/>
        <v>35</v>
      </c>
      <c r="K55" s="13">
        <f t="shared" si="15"/>
        <v>22</v>
      </c>
      <c r="L55" s="13">
        <f t="shared" si="15"/>
        <v>69</v>
      </c>
      <c r="M55" s="13">
        <f t="shared" si="15"/>
        <v>30</v>
      </c>
      <c r="N55" s="13">
        <f t="shared" si="15"/>
        <v>43</v>
      </c>
      <c r="O55" s="13">
        <f t="shared" si="15"/>
        <v>35</v>
      </c>
      <c r="P55" s="13">
        <f t="shared" si="15"/>
        <v>41</v>
      </c>
      <c r="Q55" s="13">
        <f t="shared" si="15"/>
        <v>31</v>
      </c>
      <c r="R55" s="13">
        <f t="shared" si="15"/>
        <v>27</v>
      </c>
      <c r="S55" s="13">
        <f t="shared" si="15"/>
        <v>21</v>
      </c>
      <c r="T55" s="13">
        <f t="shared" si="15"/>
        <v>18</v>
      </c>
      <c r="U55" s="13">
        <f t="shared" si="15"/>
        <v>23</v>
      </c>
      <c r="V55" s="13">
        <f t="shared" si="14"/>
        <v>591</v>
      </c>
    </row>
    <row r="56" ht="12.75" customHeight="1">
      <c r="A56" s="47"/>
      <c r="B56" s="46"/>
      <c r="C56" s="46"/>
      <c r="D56" s="46"/>
      <c r="E56" s="46"/>
      <c r="V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10.0</v>
      </c>
      <c r="F57" s="19">
        <v>6.0</v>
      </c>
      <c r="G57" s="19">
        <v>9.0</v>
      </c>
      <c r="H57" s="19">
        <v>10.0</v>
      </c>
      <c r="I57" s="19">
        <v>11.0</v>
      </c>
      <c r="J57" s="19">
        <v>6.0</v>
      </c>
      <c r="K57" s="19">
        <v>12.0</v>
      </c>
      <c r="L57" s="19">
        <v>16.0</v>
      </c>
      <c r="M57" s="19">
        <v>14.0</v>
      </c>
      <c r="N57" s="19">
        <v>7.0</v>
      </c>
      <c r="O57" s="19">
        <v>8.0</v>
      </c>
      <c r="P57" s="19">
        <v>7.0</v>
      </c>
      <c r="Q57" s="19">
        <v>14.0</v>
      </c>
      <c r="R57" s="19">
        <v>11.0</v>
      </c>
      <c r="S57" s="19">
        <v>12.0</v>
      </c>
      <c r="T57" s="19">
        <v>15.0</v>
      </c>
      <c r="U57" s="19">
        <v>5.0</v>
      </c>
      <c r="V57" s="13">
        <f t="shared" ref="V57:V67" si="16">SUM(E57:U57)</f>
        <v>173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16.0</v>
      </c>
      <c r="F58" s="19">
        <v>16.0</v>
      </c>
      <c r="G58" s="19">
        <v>15.0</v>
      </c>
      <c r="H58" s="19">
        <v>26.0</v>
      </c>
      <c r="I58" s="19">
        <v>27.0</v>
      </c>
      <c r="J58" s="19">
        <v>17.0</v>
      </c>
      <c r="K58" s="19">
        <v>4.0</v>
      </c>
      <c r="L58" s="19">
        <v>11.0</v>
      </c>
      <c r="M58" s="19">
        <v>14.0</v>
      </c>
      <c r="N58" s="19">
        <v>14.0</v>
      </c>
      <c r="O58" s="19">
        <v>26.0</v>
      </c>
      <c r="P58" s="19">
        <v>9.0</v>
      </c>
      <c r="Q58" s="19">
        <v>10.0</v>
      </c>
      <c r="R58" s="19">
        <v>15.0</v>
      </c>
      <c r="S58" s="19">
        <v>30.0</v>
      </c>
      <c r="T58" s="19">
        <v>13.0</v>
      </c>
      <c r="U58" s="19">
        <v>9.0</v>
      </c>
      <c r="V58" s="13">
        <f t="shared" si="16"/>
        <v>272</v>
      </c>
    </row>
    <row r="59" ht="12.75" customHeight="1">
      <c r="A59" s="18"/>
      <c r="B59" s="57">
        <v>2.0</v>
      </c>
      <c r="C59" s="52" t="s">
        <v>50</v>
      </c>
      <c r="D59" s="58"/>
      <c r="E59" s="19">
        <v>1.0</v>
      </c>
      <c r="F59" s="19">
        <v>2.0</v>
      </c>
      <c r="G59" s="19">
        <v>5.0</v>
      </c>
      <c r="H59" s="19">
        <v>4.0</v>
      </c>
      <c r="I59" s="19">
        <v>3.0</v>
      </c>
      <c r="J59" s="19">
        <v>2.0</v>
      </c>
      <c r="K59" s="19">
        <v>6.0</v>
      </c>
      <c r="L59" s="19">
        <v>2.0</v>
      </c>
      <c r="M59" s="19">
        <v>3.0</v>
      </c>
      <c r="N59" s="19">
        <v>1.0</v>
      </c>
      <c r="O59" s="19">
        <v>3.0</v>
      </c>
      <c r="P59" s="19">
        <v>8.0</v>
      </c>
      <c r="Q59" s="19">
        <v>6.0</v>
      </c>
      <c r="R59" s="19">
        <v>6.0</v>
      </c>
      <c r="S59" s="19">
        <v>2.0</v>
      </c>
      <c r="T59" s="19">
        <v>5.0</v>
      </c>
      <c r="U59" s="19">
        <v>3.0</v>
      </c>
      <c r="V59" s="13">
        <f t="shared" si="16"/>
        <v>62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2.0</v>
      </c>
      <c r="G60" s="19">
        <v>0.0</v>
      </c>
      <c r="H60" s="19">
        <v>0.0</v>
      </c>
      <c r="I60" s="19">
        <v>1.0</v>
      </c>
      <c r="J60" s="19">
        <v>1.0</v>
      </c>
      <c r="K60" s="19">
        <v>0.0</v>
      </c>
      <c r="L60" s="19">
        <v>1.0</v>
      </c>
      <c r="M60" s="19">
        <v>1.0</v>
      </c>
      <c r="N60" s="19">
        <v>1.0</v>
      </c>
      <c r="O60" s="19">
        <v>3.0</v>
      </c>
      <c r="P60" s="19">
        <v>0.0</v>
      </c>
      <c r="Q60" s="19">
        <v>3.0</v>
      </c>
      <c r="R60" s="19">
        <v>4.0</v>
      </c>
      <c r="S60" s="19">
        <v>2.0</v>
      </c>
      <c r="T60" s="19">
        <v>2.0</v>
      </c>
      <c r="U60" s="19">
        <v>1.0</v>
      </c>
      <c r="V60" s="13">
        <f t="shared" si="16"/>
        <v>22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2.0</v>
      </c>
      <c r="G61" s="19">
        <v>2.0</v>
      </c>
      <c r="H61" s="19">
        <v>1.0</v>
      </c>
      <c r="I61" s="19">
        <v>1.0</v>
      </c>
      <c r="J61" s="19">
        <v>0.0</v>
      </c>
      <c r="K61" s="19">
        <v>0.0</v>
      </c>
      <c r="L61" s="19">
        <v>2.0</v>
      </c>
      <c r="M61" s="19">
        <v>1.0</v>
      </c>
      <c r="N61" s="19">
        <v>1.0</v>
      </c>
      <c r="O61" s="19">
        <v>2.0</v>
      </c>
      <c r="P61" s="19">
        <v>0.0</v>
      </c>
      <c r="Q61" s="19">
        <v>1.0</v>
      </c>
      <c r="R61" s="19">
        <v>1.0</v>
      </c>
      <c r="S61" s="19">
        <v>2.0</v>
      </c>
      <c r="T61" s="19">
        <v>4.0</v>
      </c>
      <c r="U61" s="19">
        <v>3.0</v>
      </c>
      <c r="V61" s="13">
        <f t="shared" si="16"/>
        <v>23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1.0</v>
      </c>
      <c r="G62" s="19">
        <v>1.0</v>
      </c>
      <c r="H62" s="19">
        <v>1.0</v>
      </c>
      <c r="I62" s="19">
        <v>0.0</v>
      </c>
      <c r="J62" s="19">
        <v>1.0</v>
      </c>
      <c r="K62" s="19">
        <v>3.0</v>
      </c>
      <c r="L62" s="19">
        <v>2.0</v>
      </c>
      <c r="M62" s="19">
        <v>1.0</v>
      </c>
      <c r="N62" s="19">
        <v>3.0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5.0</v>
      </c>
      <c r="V62" s="13">
        <f t="shared" si="16"/>
        <v>19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0.0</v>
      </c>
      <c r="G63" s="19">
        <v>1.0</v>
      </c>
      <c r="H63" s="19">
        <v>0.0</v>
      </c>
      <c r="I63" s="19">
        <v>1.0</v>
      </c>
      <c r="J63" s="19">
        <v>0.0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2.0</v>
      </c>
      <c r="T63" s="19">
        <v>0.0</v>
      </c>
      <c r="U63" s="19">
        <v>0.0</v>
      </c>
      <c r="V63" s="13">
        <f t="shared" si="16"/>
        <v>5</v>
      </c>
    </row>
    <row r="64" ht="12.75" customHeight="1">
      <c r="A64" s="18"/>
      <c r="B64" s="57">
        <v>7.0</v>
      </c>
      <c r="C64" s="52" t="s">
        <v>55</v>
      </c>
      <c r="D64" s="58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2.0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0.0</v>
      </c>
      <c r="S64" s="19">
        <v>1.0</v>
      </c>
      <c r="T64" s="19">
        <v>0.0</v>
      </c>
      <c r="U64" s="19">
        <v>0.0</v>
      </c>
      <c r="V64" s="13">
        <f t="shared" si="16"/>
        <v>5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U67" si="17">SUM(E57:E64)</f>
        <v>28</v>
      </c>
      <c r="F67" s="13">
        <f t="shared" si="17"/>
        <v>29</v>
      </c>
      <c r="G67" s="13">
        <f t="shared" si="17"/>
        <v>33</v>
      </c>
      <c r="H67" s="13">
        <f t="shared" si="17"/>
        <v>42</v>
      </c>
      <c r="I67" s="13">
        <f t="shared" si="17"/>
        <v>44</v>
      </c>
      <c r="J67" s="13">
        <f t="shared" si="17"/>
        <v>29</v>
      </c>
      <c r="K67" s="13">
        <f t="shared" si="17"/>
        <v>25</v>
      </c>
      <c r="L67" s="13">
        <f t="shared" si="17"/>
        <v>35</v>
      </c>
      <c r="M67" s="13">
        <f t="shared" si="17"/>
        <v>34</v>
      </c>
      <c r="N67" s="13">
        <f t="shared" si="17"/>
        <v>27</v>
      </c>
      <c r="O67" s="13">
        <f t="shared" si="17"/>
        <v>43</v>
      </c>
      <c r="P67" s="13">
        <f t="shared" si="17"/>
        <v>24</v>
      </c>
      <c r="Q67" s="13">
        <f t="shared" si="17"/>
        <v>34</v>
      </c>
      <c r="R67" s="13">
        <f t="shared" si="17"/>
        <v>37</v>
      </c>
      <c r="S67" s="13">
        <f t="shared" si="17"/>
        <v>51</v>
      </c>
      <c r="T67" s="13">
        <f t="shared" si="17"/>
        <v>40</v>
      </c>
      <c r="U67" s="13">
        <f t="shared" si="17"/>
        <v>26</v>
      </c>
      <c r="V67" s="13">
        <f t="shared" si="16"/>
        <v>581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12.0</v>
      </c>
      <c r="F69" s="19">
        <v>7.0</v>
      </c>
      <c r="G69" s="19">
        <v>10.0</v>
      </c>
      <c r="H69" s="19">
        <v>2.0</v>
      </c>
      <c r="I69" s="19">
        <v>8.0</v>
      </c>
      <c r="J69" s="19">
        <v>7.0</v>
      </c>
      <c r="K69" s="19">
        <v>4.0</v>
      </c>
      <c r="L69" s="19">
        <v>4.0</v>
      </c>
      <c r="M69" s="19">
        <v>7.0</v>
      </c>
      <c r="N69" s="19">
        <v>6.0</v>
      </c>
      <c r="O69" s="19">
        <v>16.0</v>
      </c>
      <c r="P69" s="19">
        <v>3.0</v>
      </c>
      <c r="Q69" s="19">
        <v>3.0</v>
      </c>
      <c r="R69" s="19">
        <v>13.0</v>
      </c>
      <c r="S69" s="19">
        <v>7.0</v>
      </c>
      <c r="T69" s="19">
        <v>13.0</v>
      </c>
      <c r="U69" s="19">
        <v>5.0</v>
      </c>
      <c r="V69" s="13">
        <f t="shared" ref="V69:V79" si="18">SUM(E69:U69)</f>
        <v>127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20.0</v>
      </c>
      <c r="F70" s="19">
        <v>11.0</v>
      </c>
      <c r="G70" s="19">
        <v>4.0</v>
      </c>
      <c r="H70" s="19">
        <v>4.0</v>
      </c>
      <c r="I70" s="19">
        <v>11.0</v>
      </c>
      <c r="J70" s="19">
        <v>6.0</v>
      </c>
      <c r="K70" s="19">
        <v>6.0</v>
      </c>
      <c r="L70" s="19">
        <v>1.0</v>
      </c>
      <c r="M70" s="19">
        <v>3.0</v>
      </c>
      <c r="N70" s="19">
        <v>10.0</v>
      </c>
      <c r="O70" s="19">
        <v>9.0</v>
      </c>
      <c r="P70" s="19">
        <v>7.0</v>
      </c>
      <c r="Q70" s="19">
        <v>4.0</v>
      </c>
      <c r="R70" s="19">
        <v>10.0</v>
      </c>
      <c r="S70" s="19">
        <v>13.0</v>
      </c>
      <c r="T70" s="19">
        <v>21.0</v>
      </c>
      <c r="U70" s="19">
        <v>6.0</v>
      </c>
      <c r="V70" s="13">
        <f t="shared" si="18"/>
        <v>146</v>
      </c>
    </row>
    <row r="71" ht="12.75" customHeight="1">
      <c r="A71" s="18"/>
      <c r="B71" s="57">
        <v>2.0</v>
      </c>
      <c r="C71" s="52" t="s">
        <v>58</v>
      </c>
      <c r="D71" s="60"/>
      <c r="E71" s="19">
        <v>3.0</v>
      </c>
      <c r="F71" s="19">
        <v>4.0</v>
      </c>
      <c r="G71" s="19">
        <v>3.0</v>
      </c>
      <c r="H71" s="19">
        <v>3.0</v>
      </c>
      <c r="I71" s="19">
        <v>2.0</v>
      </c>
      <c r="J71" s="19">
        <v>4.0</v>
      </c>
      <c r="K71" s="19">
        <v>1.0</v>
      </c>
      <c r="L71" s="19">
        <v>1.0</v>
      </c>
      <c r="M71" s="19">
        <v>0.0</v>
      </c>
      <c r="N71" s="19">
        <v>3.0</v>
      </c>
      <c r="O71" s="19">
        <v>2.0</v>
      </c>
      <c r="P71" s="19">
        <v>2.0</v>
      </c>
      <c r="Q71" s="19">
        <v>2.0</v>
      </c>
      <c r="R71" s="19">
        <v>3.0</v>
      </c>
      <c r="S71" s="19">
        <v>2.0</v>
      </c>
      <c r="T71" s="19">
        <v>6.0</v>
      </c>
      <c r="U71" s="19">
        <v>6.0</v>
      </c>
      <c r="V71" s="13">
        <f t="shared" si="18"/>
        <v>47</v>
      </c>
    </row>
    <row r="72" ht="12.75" customHeight="1">
      <c r="A72" s="18"/>
      <c r="B72" s="57">
        <v>3.0</v>
      </c>
      <c r="C72" s="52" t="s">
        <v>59</v>
      </c>
      <c r="D72" s="60"/>
      <c r="E72" s="19">
        <v>2.0</v>
      </c>
      <c r="F72" s="19">
        <v>1.0</v>
      </c>
      <c r="G72" s="19">
        <v>1.0</v>
      </c>
      <c r="H72" s="19">
        <v>0.0</v>
      </c>
      <c r="I72" s="19">
        <v>7.0</v>
      </c>
      <c r="J72" s="19">
        <v>0.0</v>
      </c>
      <c r="K72" s="19">
        <v>0.0</v>
      </c>
      <c r="L72" s="19">
        <v>2.0</v>
      </c>
      <c r="M72" s="19">
        <v>4.0</v>
      </c>
      <c r="N72" s="19">
        <v>2.0</v>
      </c>
      <c r="O72" s="19">
        <v>1.0</v>
      </c>
      <c r="P72" s="19">
        <v>0.0</v>
      </c>
      <c r="Q72" s="19">
        <v>1.0</v>
      </c>
      <c r="R72" s="19">
        <v>4.0</v>
      </c>
      <c r="S72" s="19">
        <v>11.0</v>
      </c>
      <c r="T72" s="19">
        <v>16.0</v>
      </c>
      <c r="U72" s="19">
        <v>2.0</v>
      </c>
      <c r="V72" s="13">
        <f t="shared" si="18"/>
        <v>54</v>
      </c>
    </row>
    <row r="73" ht="12.75" customHeight="1">
      <c r="A73" s="18"/>
      <c r="B73" s="57">
        <v>4.0</v>
      </c>
      <c r="C73" s="52" t="s">
        <v>60</v>
      </c>
      <c r="D73" s="60"/>
      <c r="E73" s="19">
        <v>1.0</v>
      </c>
      <c r="F73" s="19">
        <v>6.0</v>
      </c>
      <c r="G73" s="19">
        <v>0.0</v>
      </c>
      <c r="H73" s="19">
        <v>0.0</v>
      </c>
      <c r="I73" s="19">
        <v>0.0</v>
      </c>
      <c r="J73" s="19">
        <v>1.0</v>
      </c>
      <c r="K73" s="19">
        <v>0.0</v>
      </c>
      <c r="L73" s="19">
        <v>2.0</v>
      </c>
      <c r="M73" s="19">
        <v>0.0</v>
      </c>
      <c r="N73" s="19">
        <v>3.0</v>
      </c>
      <c r="O73" s="19">
        <v>2.0</v>
      </c>
      <c r="P73" s="19">
        <v>1.0</v>
      </c>
      <c r="Q73" s="19">
        <v>0.0</v>
      </c>
      <c r="R73" s="19">
        <v>1.0</v>
      </c>
      <c r="S73" s="19">
        <v>2.0</v>
      </c>
      <c r="T73" s="19">
        <v>1.0</v>
      </c>
      <c r="U73" s="19">
        <v>2.0</v>
      </c>
      <c r="V73" s="13">
        <f t="shared" si="18"/>
        <v>22</v>
      </c>
    </row>
    <row r="74" ht="12.75" customHeight="1">
      <c r="A74" s="18"/>
      <c r="B74" s="57">
        <v>5.0</v>
      </c>
      <c r="C74" s="52" t="s">
        <v>61</v>
      </c>
      <c r="D74" s="60"/>
      <c r="E74" s="19">
        <v>19.0</v>
      </c>
      <c r="F74" s="19">
        <v>10.0</v>
      </c>
      <c r="G74" s="19">
        <v>26.0</v>
      </c>
      <c r="H74" s="19">
        <v>4.0</v>
      </c>
      <c r="I74" s="19">
        <v>3.0</v>
      </c>
      <c r="J74" s="19">
        <v>5.0</v>
      </c>
      <c r="K74" s="19">
        <v>4.0</v>
      </c>
      <c r="L74" s="19">
        <v>10.0</v>
      </c>
      <c r="M74" s="19">
        <v>6.0</v>
      </c>
      <c r="N74" s="19">
        <v>11.0</v>
      </c>
      <c r="O74" s="19">
        <v>8.0</v>
      </c>
      <c r="P74" s="19">
        <v>6.0</v>
      </c>
      <c r="Q74" s="19">
        <v>18.0</v>
      </c>
      <c r="R74" s="19">
        <v>12.0</v>
      </c>
      <c r="S74" s="19">
        <v>5.0</v>
      </c>
      <c r="T74" s="19">
        <v>1.0</v>
      </c>
      <c r="U74" s="19">
        <v>6.0</v>
      </c>
      <c r="V74" s="13">
        <f t="shared" si="18"/>
        <v>154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3">
        <f t="shared" si="18"/>
        <v>1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9">
        <v>1.0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3">
        <f t="shared" si="18"/>
        <v>2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U79" si="19">SUM(E69:E76)</f>
        <v>57</v>
      </c>
      <c r="F79" s="13">
        <f t="shared" si="19"/>
        <v>40</v>
      </c>
      <c r="G79" s="13">
        <f t="shared" si="19"/>
        <v>44</v>
      </c>
      <c r="H79" s="13">
        <f t="shared" si="19"/>
        <v>13</v>
      </c>
      <c r="I79" s="13">
        <f t="shared" si="19"/>
        <v>32</v>
      </c>
      <c r="J79" s="13">
        <f t="shared" si="19"/>
        <v>23</v>
      </c>
      <c r="K79" s="13">
        <f t="shared" si="19"/>
        <v>15</v>
      </c>
      <c r="L79" s="13">
        <f t="shared" si="19"/>
        <v>20</v>
      </c>
      <c r="M79" s="13">
        <f t="shared" si="19"/>
        <v>20</v>
      </c>
      <c r="N79" s="13">
        <f t="shared" si="19"/>
        <v>36</v>
      </c>
      <c r="O79" s="13">
        <f t="shared" si="19"/>
        <v>38</v>
      </c>
      <c r="P79" s="13">
        <f t="shared" si="19"/>
        <v>19</v>
      </c>
      <c r="Q79" s="13">
        <f t="shared" si="19"/>
        <v>28</v>
      </c>
      <c r="R79" s="13">
        <f t="shared" si="19"/>
        <v>43</v>
      </c>
      <c r="S79" s="13">
        <f t="shared" si="19"/>
        <v>40</v>
      </c>
      <c r="T79" s="13">
        <f t="shared" si="19"/>
        <v>58</v>
      </c>
      <c r="U79" s="13">
        <f t="shared" si="19"/>
        <v>27</v>
      </c>
      <c r="V79" s="13">
        <f t="shared" si="18"/>
        <v>553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2.0</v>
      </c>
      <c r="F81" s="19">
        <v>3.0</v>
      </c>
      <c r="G81" s="19">
        <v>3.0</v>
      </c>
      <c r="H81" s="19">
        <v>6.0</v>
      </c>
      <c r="I81" s="19">
        <v>2.0</v>
      </c>
      <c r="J81" s="19">
        <v>4.0</v>
      </c>
      <c r="K81" s="19">
        <v>6.0</v>
      </c>
      <c r="L81" s="19">
        <v>0.0</v>
      </c>
      <c r="M81" s="19">
        <v>4.0</v>
      </c>
      <c r="N81" s="19">
        <v>2.0</v>
      </c>
      <c r="O81" s="19">
        <v>1.0</v>
      </c>
      <c r="P81" s="19">
        <v>4.0</v>
      </c>
      <c r="Q81" s="19">
        <v>5.0</v>
      </c>
      <c r="R81" s="19">
        <v>3.0</v>
      </c>
      <c r="S81" s="19">
        <v>8.0</v>
      </c>
      <c r="T81" s="19">
        <v>3.0</v>
      </c>
      <c r="U81" s="19">
        <v>8.0</v>
      </c>
      <c r="V81" s="13">
        <f t="shared" ref="V81:V91" si="20">SUM(E81:U81)</f>
        <v>64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3.0</v>
      </c>
      <c r="F82" s="19">
        <v>12.0</v>
      </c>
      <c r="G82" s="19">
        <v>16.0</v>
      </c>
      <c r="H82" s="19">
        <v>10.0</v>
      </c>
      <c r="I82" s="19">
        <v>7.0</v>
      </c>
      <c r="J82" s="19">
        <v>14.0</v>
      </c>
      <c r="K82" s="19">
        <v>10.0</v>
      </c>
      <c r="L82" s="19">
        <v>5.0</v>
      </c>
      <c r="M82" s="19">
        <v>10.0</v>
      </c>
      <c r="N82" s="19">
        <v>4.0</v>
      </c>
      <c r="O82" s="19">
        <v>18.0</v>
      </c>
      <c r="P82" s="19">
        <v>17.0</v>
      </c>
      <c r="Q82" s="19">
        <v>13.0</v>
      </c>
      <c r="R82" s="19">
        <v>8.0</v>
      </c>
      <c r="S82" s="19">
        <v>17.0</v>
      </c>
      <c r="T82" s="19">
        <v>7.0</v>
      </c>
      <c r="U82" s="19">
        <v>51.0</v>
      </c>
      <c r="V82" s="13">
        <f t="shared" si="20"/>
        <v>222</v>
      </c>
    </row>
    <row r="83" ht="12.75" customHeight="1">
      <c r="A83" s="18"/>
      <c r="B83" s="57">
        <v>2.0</v>
      </c>
      <c r="C83" s="52" t="s">
        <v>66</v>
      </c>
      <c r="D83" s="60"/>
      <c r="E83" s="19">
        <v>0.0</v>
      </c>
      <c r="F83" s="19">
        <v>0.0</v>
      </c>
      <c r="G83" s="19">
        <v>3.0</v>
      </c>
      <c r="H83" s="19">
        <v>1.0</v>
      </c>
      <c r="I83" s="19">
        <v>0.0</v>
      </c>
      <c r="J83" s="19">
        <v>5.0</v>
      </c>
      <c r="K83" s="19">
        <v>1.0</v>
      </c>
      <c r="L83" s="19">
        <v>1.0</v>
      </c>
      <c r="M83" s="19">
        <v>4.0</v>
      </c>
      <c r="N83" s="19">
        <v>0.0</v>
      </c>
      <c r="O83" s="19">
        <v>1.0</v>
      </c>
      <c r="P83" s="19">
        <v>0.0</v>
      </c>
      <c r="Q83" s="19">
        <v>1.0</v>
      </c>
      <c r="R83" s="19">
        <v>1.0</v>
      </c>
      <c r="S83" s="19">
        <v>5.0</v>
      </c>
      <c r="T83" s="19">
        <v>6.0</v>
      </c>
      <c r="U83" s="19">
        <v>3.0</v>
      </c>
      <c r="V83" s="13">
        <f t="shared" si="20"/>
        <v>32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1.0</v>
      </c>
      <c r="K84" s="19">
        <v>1.0</v>
      </c>
      <c r="L84" s="19">
        <v>0.0</v>
      </c>
      <c r="M84" s="19">
        <v>1.0</v>
      </c>
      <c r="N84" s="19">
        <v>0.0</v>
      </c>
      <c r="O84" s="19">
        <v>3.0</v>
      </c>
      <c r="P84" s="19">
        <v>1.0</v>
      </c>
      <c r="Q84" s="19">
        <v>1.0</v>
      </c>
      <c r="R84" s="19">
        <v>1.0</v>
      </c>
      <c r="S84" s="19">
        <v>2.0</v>
      </c>
      <c r="T84" s="19">
        <v>1.0</v>
      </c>
      <c r="U84" s="19">
        <v>3.0</v>
      </c>
      <c r="V84" s="13">
        <f t="shared" si="20"/>
        <v>17</v>
      </c>
    </row>
    <row r="85" ht="12.75" customHeight="1">
      <c r="A85" s="18"/>
      <c r="B85" s="57">
        <v>4.0</v>
      </c>
      <c r="C85" s="52" t="s">
        <v>68</v>
      </c>
      <c r="D85" s="60"/>
      <c r="E85" s="19">
        <v>0.0</v>
      </c>
      <c r="F85" s="19">
        <v>0.0</v>
      </c>
      <c r="G85" s="19">
        <v>0.0</v>
      </c>
      <c r="H85" s="19">
        <v>2.0</v>
      </c>
      <c r="I85" s="19">
        <v>0.0</v>
      </c>
      <c r="J85" s="19">
        <v>1.0</v>
      </c>
      <c r="K85" s="19">
        <v>1.0</v>
      </c>
      <c r="L85" s="19">
        <v>1.0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1.0</v>
      </c>
      <c r="S85" s="19">
        <v>1.0</v>
      </c>
      <c r="T85" s="19">
        <v>1.0</v>
      </c>
      <c r="U85" s="19">
        <v>0.0</v>
      </c>
      <c r="V85" s="13">
        <f t="shared" si="20"/>
        <v>9</v>
      </c>
    </row>
    <row r="86" ht="12.75" customHeight="1">
      <c r="A86" s="18"/>
      <c r="B86" s="57">
        <v>5.0</v>
      </c>
      <c r="C86" s="52" t="s">
        <v>69</v>
      </c>
      <c r="D86" s="60"/>
      <c r="E86" s="19">
        <v>2.0</v>
      </c>
      <c r="F86" s="19">
        <v>4.0</v>
      </c>
      <c r="G86" s="19">
        <v>2.0</v>
      </c>
      <c r="H86" s="19">
        <v>2.0</v>
      </c>
      <c r="I86" s="19">
        <v>14.0</v>
      </c>
      <c r="J86" s="19">
        <v>0.0</v>
      </c>
      <c r="K86" s="19">
        <v>0.0</v>
      </c>
      <c r="L86" s="19">
        <v>0.0</v>
      </c>
      <c r="M86" s="19">
        <v>0.0</v>
      </c>
      <c r="N86" s="19">
        <v>3.0</v>
      </c>
      <c r="O86" s="19">
        <v>0.0</v>
      </c>
      <c r="P86" s="19">
        <v>20.0</v>
      </c>
      <c r="Q86" s="19">
        <v>8.0</v>
      </c>
      <c r="R86" s="19">
        <v>9.0</v>
      </c>
      <c r="S86" s="19">
        <v>10.0</v>
      </c>
      <c r="T86" s="19">
        <v>14.0</v>
      </c>
      <c r="U86" s="19">
        <v>2.0</v>
      </c>
      <c r="V86" s="13">
        <f t="shared" si="20"/>
        <v>90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1.0</v>
      </c>
      <c r="U87" s="19">
        <v>0.0</v>
      </c>
      <c r="V87" s="13">
        <f t="shared" si="20"/>
        <v>1</v>
      </c>
    </row>
    <row r="88" ht="12.75" customHeight="1">
      <c r="A88" s="18"/>
      <c r="B88" s="57">
        <v>7.0</v>
      </c>
      <c r="C88" s="52" t="s">
        <v>71</v>
      </c>
      <c r="D88" s="60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1.0</v>
      </c>
      <c r="V88" s="13">
        <f t="shared" si="20"/>
        <v>3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U91" si="21">SUM(E81:E88)</f>
        <v>8</v>
      </c>
      <c r="F91" s="13">
        <f t="shared" si="21"/>
        <v>19</v>
      </c>
      <c r="G91" s="13">
        <f t="shared" si="21"/>
        <v>24</v>
      </c>
      <c r="H91" s="13">
        <f t="shared" si="21"/>
        <v>22</v>
      </c>
      <c r="I91" s="13">
        <f t="shared" si="21"/>
        <v>24</v>
      </c>
      <c r="J91" s="13">
        <f t="shared" si="21"/>
        <v>25</v>
      </c>
      <c r="K91" s="13">
        <f t="shared" si="21"/>
        <v>20</v>
      </c>
      <c r="L91" s="13">
        <f t="shared" si="21"/>
        <v>7</v>
      </c>
      <c r="M91" s="13">
        <f t="shared" si="21"/>
        <v>19</v>
      </c>
      <c r="N91" s="13">
        <f t="shared" si="21"/>
        <v>9</v>
      </c>
      <c r="O91" s="13">
        <f t="shared" si="21"/>
        <v>24</v>
      </c>
      <c r="P91" s="13">
        <f t="shared" si="21"/>
        <v>42</v>
      </c>
      <c r="Q91" s="13">
        <f t="shared" si="21"/>
        <v>28</v>
      </c>
      <c r="R91" s="13">
        <f t="shared" si="21"/>
        <v>23</v>
      </c>
      <c r="S91" s="13">
        <f t="shared" si="21"/>
        <v>43</v>
      </c>
      <c r="T91" s="13">
        <f t="shared" si="21"/>
        <v>33</v>
      </c>
      <c r="U91" s="13">
        <f t="shared" si="21"/>
        <v>68</v>
      </c>
      <c r="V91" s="13">
        <f t="shared" si="20"/>
        <v>438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4.0</v>
      </c>
      <c r="F93" s="19">
        <v>2.0</v>
      </c>
      <c r="G93" s="19">
        <v>1.0</v>
      </c>
      <c r="H93" s="19">
        <v>4.0</v>
      </c>
      <c r="I93" s="19">
        <v>2.0</v>
      </c>
      <c r="J93" s="19">
        <v>6.0</v>
      </c>
      <c r="K93" s="19">
        <v>5.0</v>
      </c>
      <c r="L93" s="19">
        <v>1.0</v>
      </c>
      <c r="M93" s="19">
        <v>1.0</v>
      </c>
      <c r="N93" s="19">
        <v>6.0</v>
      </c>
      <c r="O93" s="19">
        <v>3.0</v>
      </c>
      <c r="P93" s="19">
        <v>3.0</v>
      </c>
      <c r="Q93" s="19">
        <v>9.0</v>
      </c>
      <c r="R93" s="19">
        <v>4.0</v>
      </c>
      <c r="S93" s="19">
        <v>2.0</v>
      </c>
      <c r="T93" s="19">
        <v>3.0</v>
      </c>
      <c r="U93" s="19">
        <v>3.0</v>
      </c>
      <c r="V93" s="13">
        <f t="shared" ref="V93:V103" si="22">SUM(E93:U93)</f>
        <v>59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4.0</v>
      </c>
      <c r="F94" s="19">
        <v>1.0</v>
      </c>
      <c r="G94" s="19">
        <v>4.0</v>
      </c>
      <c r="H94" s="19">
        <v>0.0</v>
      </c>
      <c r="I94" s="19">
        <v>0.0</v>
      </c>
      <c r="J94" s="19">
        <v>6.0</v>
      </c>
      <c r="K94" s="19">
        <v>2.0</v>
      </c>
      <c r="L94" s="19">
        <v>0.0</v>
      </c>
      <c r="M94" s="19">
        <v>1.0</v>
      </c>
      <c r="N94" s="19">
        <v>0.0</v>
      </c>
      <c r="O94" s="19">
        <v>0.0</v>
      </c>
      <c r="P94" s="19">
        <v>7.0</v>
      </c>
      <c r="Q94" s="19">
        <v>2.0</v>
      </c>
      <c r="R94" s="19">
        <v>2.0</v>
      </c>
      <c r="S94" s="19">
        <v>5.0</v>
      </c>
      <c r="T94" s="19">
        <v>0.0</v>
      </c>
      <c r="U94" s="19">
        <v>0.0</v>
      </c>
      <c r="V94" s="13">
        <f t="shared" si="22"/>
        <v>34</v>
      </c>
    </row>
    <row r="95" ht="12.75" customHeight="1">
      <c r="A95" s="18"/>
      <c r="B95" s="57">
        <v>2.0</v>
      </c>
      <c r="C95" s="52" t="s">
        <v>75</v>
      </c>
      <c r="D95" s="60"/>
      <c r="E95" s="19">
        <v>3.0</v>
      </c>
      <c r="F95" s="19">
        <v>4.0</v>
      </c>
      <c r="G95" s="19">
        <v>0.0</v>
      </c>
      <c r="H95" s="19">
        <v>1.0</v>
      </c>
      <c r="I95" s="19">
        <v>2.0</v>
      </c>
      <c r="J95" s="19">
        <v>4.0</v>
      </c>
      <c r="K95" s="19">
        <v>3.0</v>
      </c>
      <c r="L95" s="19">
        <v>0.0</v>
      </c>
      <c r="M95" s="19">
        <v>1.0</v>
      </c>
      <c r="N95" s="19">
        <v>2.0</v>
      </c>
      <c r="O95" s="19">
        <v>3.0</v>
      </c>
      <c r="P95" s="19">
        <v>0.0</v>
      </c>
      <c r="Q95" s="19">
        <v>2.0</v>
      </c>
      <c r="R95" s="19"/>
      <c r="S95" s="19">
        <v>4.0</v>
      </c>
      <c r="T95" s="19">
        <v>2.0</v>
      </c>
      <c r="U95" s="19">
        <v>0.0</v>
      </c>
      <c r="V95" s="13">
        <f t="shared" si="22"/>
        <v>31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/>
      <c r="S96" s="19">
        <v>0.0</v>
      </c>
      <c r="T96" s="19">
        <v>0.0</v>
      </c>
      <c r="U96" s="19">
        <v>0.0</v>
      </c>
      <c r="V96" s="13">
        <f t="shared" si="22"/>
        <v>1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1.0</v>
      </c>
      <c r="P97" s="19">
        <v>0.0</v>
      </c>
      <c r="Q97" s="19">
        <v>2.0</v>
      </c>
      <c r="R97" s="19"/>
      <c r="S97" s="19">
        <v>0.0</v>
      </c>
      <c r="T97" s="19">
        <v>0.0</v>
      </c>
      <c r="U97" s="19">
        <v>0.0</v>
      </c>
      <c r="V97" s="13">
        <f t="shared" si="22"/>
        <v>4</v>
      </c>
    </row>
    <row r="98" ht="12.75" customHeight="1">
      <c r="A98" s="18"/>
      <c r="B98" s="57">
        <v>5.0</v>
      </c>
      <c r="C98" s="52" t="s">
        <v>78</v>
      </c>
      <c r="D98" s="60"/>
      <c r="E98" s="19">
        <v>1.0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1.0</v>
      </c>
      <c r="P98" s="19">
        <v>0.0</v>
      </c>
      <c r="Q98" s="19">
        <v>1.0</v>
      </c>
      <c r="R98" s="19"/>
      <c r="S98" s="19">
        <v>0.0</v>
      </c>
      <c r="T98" s="19">
        <v>0.0</v>
      </c>
      <c r="U98" s="19">
        <v>0.0</v>
      </c>
      <c r="V98" s="13">
        <f t="shared" si="22"/>
        <v>5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/>
      <c r="S99" s="19">
        <v>0.0</v>
      </c>
      <c r="T99" s="19">
        <v>1.0</v>
      </c>
      <c r="U99" s="19">
        <v>0.0</v>
      </c>
      <c r="V99" s="13">
        <f t="shared" si="22"/>
        <v>1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/>
      <c r="S100" s="19">
        <v>0.0</v>
      </c>
      <c r="T100" s="19">
        <v>1.0</v>
      </c>
      <c r="U100" s="19">
        <v>0.0</v>
      </c>
      <c r="V100" s="13">
        <f t="shared" si="22"/>
        <v>2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U103" si="23">SUM(E93:E100)</f>
        <v>12</v>
      </c>
      <c r="F103" s="13">
        <f t="shared" si="23"/>
        <v>7</v>
      </c>
      <c r="G103" s="13">
        <f t="shared" si="23"/>
        <v>6</v>
      </c>
      <c r="H103" s="13">
        <f t="shared" si="23"/>
        <v>5</v>
      </c>
      <c r="I103" s="13">
        <f t="shared" si="23"/>
        <v>4</v>
      </c>
      <c r="J103" s="13">
        <f t="shared" si="23"/>
        <v>17</v>
      </c>
      <c r="K103" s="13">
        <f t="shared" si="23"/>
        <v>10</v>
      </c>
      <c r="L103" s="13">
        <f t="shared" si="23"/>
        <v>1</v>
      </c>
      <c r="M103" s="13">
        <f t="shared" si="23"/>
        <v>5</v>
      </c>
      <c r="N103" s="13">
        <f t="shared" si="23"/>
        <v>8</v>
      </c>
      <c r="O103" s="13">
        <f t="shared" si="23"/>
        <v>9</v>
      </c>
      <c r="P103" s="13">
        <f t="shared" si="23"/>
        <v>10</v>
      </c>
      <c r="Q103" s="13">
        <f t="shared" si="23"/>
        <v>16</v>
      </c>
      <c r="R103" s="13">
        <f t="shared" si="23"/>
        <v>6</v>
      </c>
      <c r="S103" s="13">
        <f t="shared" si="23"/>
        <v>11</v>
      </c>
      <c r="T103" s="13">
        <f t="shared" si="23"/>
        <v>7</v>
      </c>
      <c r="U103" s="13">
        <f t="shared" si="23"/>
        <v>3</v>
      </c>
      <c r="V103" s="13">
        <f t="shared" si="22"/>
        <v>137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/>
      <c r="S105" s="19">
        <v>0.0</v>
      </c>
      <c r="T105" s="19">
        <v>0.0</v>
      </c>
      <c r="U105" s="19">
        <v>0.0</v>
      </c>
      <c r="V105" s="13">
        <f t="shared" ref="V105:V115" si="24">SUM(E105:U105)</f>
        <v>1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/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/>
      <c r="S106" s="19">
        <v>1.0</v>
      </c>
      <c r="T106" s="19">
        <v>0.0</v>
      </c>
      <c r="U106" s="19">
        <v>0.0</v>
      </c>
      <c r="V106" s="13">
        <f t="shared" si="24"/>
        <v>2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/>
      <c r="S107" s="19">
        <v>0.0</v>
      </c>
      <c r="T107" s="19">
        <v>0.0</v>
      </c>
      <c r="U107" s="19">
        <v>0.0</v>
      </c>
      <c r="V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1.0</v>
      </c>
      <c r="H108" s="19">
        <v>0.0</v>
      </c>
      <c r="I108" s="19">
        <v>0.0</v>
      </c>
      <c r="J108" s="19">
        <v>0.0</v>
      </c>
      <c r="K108" s="19">
        <v>0.0</v>
      </c>
      <c r="L108" s="19"/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/>
      <c r="S108" s="19">
        <v>0.0</v>
      </c>
      <c r="T108" s="19">
        <v>0.0</v>
      </c>
      <c r="U108" s="19">
        <v>0.0</v>
      </c>
      <c r="V108" s="13">
        <f t="shared" si="24"/>
        <v>1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/>
      <c r="S109" s="19">
        <v>0.0</v>
      </c>
      <c r="T109" s="19">
        <v>0.0</v>
      </c>
      <c r="U109" s="19">
        <v>0.0</v>
      </c>
      <c r="V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/>
      <c r="S110" s="19">
        <v>0.0</v>
      </c>
      <c r="T110" s="19">
        <v>0.0</v>
      </c>
      <c r="U110" s="19">
        <v>0.0</v>
      </c>
      <c r="V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1.0</v>
      </c>
      <c r="G111" s="19">
        <v>0.0</v>
      </c>
      <c r="H111" s="19">
        <v>0.0</v>
      </c>
      <c r="I111" s="19">
        <v>0.0</v>
      </c>
      <c r="J111" s="19">
        <v>1.0</v>
      </c>
      <c r="K111" s="19">
        <v>0.0</v>
      </c>
      <c r="L111" s="19"/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/>
      <c r="S111" s="19">
        <v>1.0</v>
      </c>
      <c r="T111" s="19">
        <v>0.0</v>
      </c>
      <c r="U111" s="19">
        <v>0.0</v>
      </c>
      <c r="V111" s="13">
        <f t="shared" si="24"/>
        <v>3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/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/>
      <c r="S112" s="19">
        <v>0.0</v>
      </c>
      <c r="T112" s="19">
        <v>0.0</v>
      </c>
      <c r="U112" s="19">
        <v>0.0</v>
      </c>
      <c r="V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U115" si="25">SUM(E105:E112)</f>
        <v>0</v>
      </c>
      <c r="F115" s="13">
        <f t="shared" si="25"/>
        <v>1</v>
      </c>
      <c r="G115" s="13">
        <f t="shared" si="25"/>
        <v>2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0</v>
      </c>
      <c r="V115" s="13">
        <f t="shared" si="24"/>
        <v>8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8.0</v>
      </c>
      <c r="F117" s="19">
        <v>5.0</v>
      </c>
      <c r="G117" s="19">
        <v>2.0</v>
      </c>
      <c r="H117" s="19">
        <v>3.0</v>
      </c>
      <c r="I117" s="19">
        <v>1.0</v>
      </c>
      <c r="J117" s="19">
        <v>2.0</v>
      </c>
      <c r="K117" s="19">
        <v>4.0</v>
      </c>
      <c r="L117" s="19">
        <v>0.0</v>
      </c>
      <c r="M117" s="19">
        <v>1.0</v>
      </c>
      <c r="N117" s="19">
        <v>1.0</v>
      </c>
      <c r="O117" s="19">
        <v>2.0</v>
      </c>
      <c r="P117" s="19">
        <v>3.0</v>
      </c>
      <c r="Q117" s="19">
        <v>1.0</v>
      </c>
      <c r="R117" s="19">
        <v>1.0</v>
      </c>
      <c r="S117" s="19">
        <v>2.0</v>
      </c>
      <c r="T117" s="19">
        <v>0.0</v>
      </c>
      <c r="U117" s="19">
        <v>1.0</v>
      </c>
      <c r="V117" s="13">
        <f t="shared" ref="V117:V127" si="26">SUM(E117:U117)</f>
        <v>37</v>
      </c>
      <c r="W117" s="5"/>
      <c r="X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2.0</v>
      </c>
      <c r="F118" s="19">
        <v>15.0</v>
      </c>
      <c r="G118" s="19">
        <v>0.0</v>
      </c>
      <c r="H118" s="19">
        <v>0.0</v>
      </c>
      <c r="I118" s="19">
        <v>2.0</v>
      </c>
      <c r="J118" s="19">
        <v>1.0</v>
      </c>
      <c r="K118" s="19">
        <v>0.0</v>
      </c>
      <c r="L118" s="19">
        <v>3.0</v>
      </c>
      <c r="M118" s="19">
        <v>2.0</v>
      </c>
      <c r="N118" s="19">
        <v>0.0</v>
      </c>
      <c r="O118" s="19">
        <v>1.0</v>
      </c>
      <c r="P118" s="19">
        <v>2.0</v>
      </c>
      <c r="Q118" s="19">
        <v>2.0</v>
      </c>
      <c r="R118" s="19">
        <v>1.0</v>
      </c>
      <c r="S118" s="19">
        <v>0.0</v>
      </c>
      <c r="T118" s="19">
        <v>2.0</v>
      </c>
      <c r="U118" s="19">
        <v>2.0</v>
      </c>
      <c r="V118" s="13">
        <f t="shared" si="26"/>
        <v>35</v>
      </c>
      <c r="W118" s="5"/>
      <c r="X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3">
        <f t="shared" si="26"/>
        <v>2</v>
      </c>
      <c r="W119" s="5"/>
      <c r="X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3">
        <f t="shared" si="26"/>
        <v>3</v>
      </c>
      <c r="W120" s="5"/>
      <c r="X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3">
        <f t="shared" si="26"/>
        <v>0</v>
      </c>
      <c r="W121" s="5"/>
      <c r="X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3">
        <f t="shared" si="26"/>
        <v>0</v>
      </c>
      <c r="W122" s="5"/>
      <c r="X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13">
        <f t="shared" si="26"/>
        <v>0</v>
      </c>
      <c r="W123" s="5"/>
      <c r="X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13">
        <f t="shared" si="26"/>
        <v>0</v>
      </c>
      <c r="W124" s="5"/>
      <c r="X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13">
        <f t="shared" si="26"/>
        <v>0</v>
      </c>
      <c r="W125" s="5"/>
      <c r="X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13">
        <f t="shared" si="26"/>
        <v>0</v>
      </c>
      <c r="W126" s="5"/>
      <c r="X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U127" si="27">SUM(E117:E120)</f>
        <v>10</v>
      </c>
      <c r="F127" s="61">
        <f t="shared" si="27"/>
        <v>20</v>
      </c>
      <c r="G127" s="61">
        <f t="shared" si="27"/>
        <v>2</v>
      </c>
      <c r="H127" s="61">
        <f t="shared" si="27"/>
        <v>4</v>
      </c>
      <c r="I127" s="61">
        <f t="shared" si="27"/>
        <v>3</v>
      </c>
      <c r="J127" s="61">
        <f t="shared" si="27"/>
        <v>3</v>
      </c>
      <c r="K127" s="61">
        <f t="shared" si="27"/>
        <v>4</v>
      </c>
      <c r="L127" s="61">
        <f t="shared" si="27"/>
        <v>3</v>
      </c>
      <c r="M127" s="61">
        <f t="shared" si="27"/>
        <v>5</v>
      </c>
      <c r="N127" s="61">
        <f t="shared" si="27"/>
        <v>1</v>
      </c>
      <c r="O127" s="61">
        <f t="shared" si="27"/>
        <v>3</v>
      </c>
      <c r="P127" s="61">
        <f t="shared" si="27"/>
        <v>5</v>
      </c>
      <c r="Q127" s="61">
        <f t="shared" si="27"/>
        <v>3</v>
      </c>
      <c r="R127" s="61">
        <f t="shared" si="27"/>
        <v>4</v>
      </c>
      <c r="S127" s="61">
        <f t="shared" si="27"/>
        <v>2</v>
      </c>
      <c r="T127" s="61">
        <f t="shared" si="27"/>
        <v>2</v>
      </c>
      <c r="U127" s="61">
        <f t="shared" si="27"/>
        <v>3</v>
      </c>
      <c r="V127" s="13">
        <f t="shared" si="26"/>
        <v>77</v>
      </c>
      <c r="W127" s="5"/>
      <c r="X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5"/>
      <c r="X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0.0</v>
      </c>
      <c r="J129" s="19">
        <v>1.0</v>
      </c>
      <c r="K129" s="19">
        <v>3.0</v>
      </c>
      <c r="L129" s="19">
        <v>0.0</v>
      </c>
      <c r="M129" s="19">
        <v>0.0</v>
      </c>
      <c r="N129" s="19">
        <v>1.0</v>
      </c>
      <c r="O129" s="19">
        <v>0.0</v>
      </c>
      <c r="P129" s="19">
        <v>1.0</v>
      </c>
      <c r="Q129" s="19">
        <v>0.0</v>
      </c>
      <c r="R129" s="19">
        <v>0.0</v>
      </c>
      <c r="S129" s="19">
        <v>0.0</v>
      </c>
      <c r="T129" s="19">
        <v>0.0</v>
      </c>
      <c r="U129" s="19">
        <v>3.0</v>
      </c>
      <c r="V129" s="13">
        <f t="shared" ref="V129:V139" si="28">SUM(E129:U129)</f>
        <v>10</v>
      </c>
      <c r="W129" s="5"/>
      <c r="X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0.0</v>
      </c>
      <c r="F130" s="19">
        <v>1.0</v>
      </c>
      <c r="G130" s="19">
        <v>1.0</v>
      </c>
      <c r="H130" s="19">
        <v>0.0</v>
      </c>
      <c r="I130" s="19">
        <v>1.0</v>
      </c>
      <c r="J130" s="19">
        <v>2.0</v>
      </c>
      <c r="K130" s="19">
        <v>10.0</v>
      </c>
      <c r="L130" s="19">
        <v>0.0</v>
      </c>
      <c r="M130" s="19">
        <v>1.0</v>
      </c>
      <c r="N130" s="19">
        <v>1.0</v>
      </c>
      <c r="O130" s="19">
        <v>1.0</v>
      </c>
      <c r="P130" s="19">
        <v>1.0</v>
      </c>
      <c r="Q130" s="19">
        <v>0.0</v>
      </c>
      <c r="R130" s="19">
        <v>0.0</v>
      </c>
      <c r="S130" s="19">
        <v>1.0</v>
      </c>
      <c r="T130" s="19">
        <v>0.0</v>
      </c>
      <c r="U130" s="19">
        <v>6.0</v>
      </c>
      <c r="V130" s="13">
        <f t="shared" si="28"/>
        <v>26</v>
      </c>
      <c r="W130" s="1"/>
      <c r="X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3">
        <f t="shared" si="28"/>
        <v>1</v>
      </c>
      <c r="W131" s="54"/>
      <c r="X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1.0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3">
        <f t="shared" si="28"/>
        <v>4</v>
      </c>
      <c r="W132" s="5"/>
      <c r="X132" s="5"/>
    </row>
    <row r="133" ht="12.75" customHeight="1">
      <c r="A133" s="18"/>
      <c r="B133" s="57">
        <v>4.0</v>
      </c>
      <c r="C133" s="52" t="s">
        <v>100</v>
      </c>
      <c r="D133" s="58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28"/>
        <v>1</v>
      </c>
      <c r="W133" s="5"/>
      <c r="X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1.0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28"/>
        <v>2</v>
      </c>
      <c r="W134" s="5"/>
      <c r="X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1.0</v>
      </c>
      <c r="K135" s="19">
        <v>1.0</v>
      </c>
      <c r="L135" s="19">
        <v>2.0</v>
      </c>
      <c r="M135" s="19">
        <v>0.0</v>
      </c>
      <c r="N135" s="19">
        <v>0.0</v>
      </c>
      <c r="O135" s="19">
        <v>0.0</v>
      </c>
      <c r="P135" s="19">
        <v>1.0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3">
        <f t="shared" si="28"/>
        <v>6</v>
      </c>
      <c r="W135" s="5"/>
      <c r="X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3">
        <f t="shared" si="28"/>
        <v>0</v>
      </c>
      <c r="W136" s="5"/>
      <c r="X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8"/>
        <v>0</v>
      </c>
      <c r="W137" s="5"/>
      <c r="X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8"/>
        <v>0</v>
      </c>
      <c r="W138" s="5"/>
      <c r="X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U139" si="29">SUM(E129:E136)</f>
        <v>1</v>
      </c>
      <c r="F139" s="13">
        <f t="shared" si="29"/>
        <v>3</v>
      </c>
      <c r="G139" s="13">
        <f t="shared" si="29"/>
        <v>2</v>
      </c>
      <c r="H139" s="13">
        <f t="shared" si="29"/>
        <v>1</v>
      </c>
      <c r="I139" s="13">
        <f t="shared" si="29"/>
        <v>1</v>
      </c>
      <c r="J139" s="13">
        <f t="shared" si="29"/>
        <v>4</v>
      </c>
      <c r="K139" s="13">
        <f t="shared" si="29"/>
        <v>15</v>
      </c>
      <c r="L139" s="13">
        <f t="shared" si="29"/>
        <v>2</v>
      </c>
      <c r="M139" s="13">
        <f t="shared" si="29"/>
        <v>2</v>
      </c>
      <c r="N139" s="13">
        <f t="shared" si="29"/>
        <v>3</v>
      </c>
      <c r="O139" s="13">
        <f t="shared" si="29"/>
        <v>2</v>
      </c>
      <c r="P139" s="13">
        <f t="shared" si="29"/>
        <v>4</v>
      </c>
      <c r="Q139" s="13">
        <f t="shared" si="29"/>
        <v>0</v>
      </c>
      <c r="R139" s="13">
        <f t="shared" si="29"/>
        <v>0</v>
      </c>
      <c r="S139" s="13">
        <f t="shared" si="29"/>
        <v>1</v>
      </c>
      <c r="T139" s="13">
        <f t="shared" si="29"/>
        <v>0</v>
      </c>
      <c r="U139" s="13">
        <f t="shared" si="29"/>
        <v>9</v>
      </c>
      <c r="V139" s="13">
        <f t="shared" si="28"/>
        <v>50</v>
      </c>
      <c r="W139" s="5"/>
      <c r="X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5"/>
      <c r="X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3">
        <f t="shared" ref="V141:V151" si="30">SUM(E141:U141)</f>
        <v>0</v>
      </c>
      <c r="W141" s="1"/>
      <c r="X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3">
        <f t="shared" si="30"/>
        <v>0</v>
      </c>
      <c r="W142" s="54"/>
      <c r="X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3">
        <f t="shared" si="30"/>
        <v>0</v>
      </c>
      <c r="W143" s="5"/>
      <c r="X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1.0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3">
        <f t="shared" si="30"/>
        <v>1</v>
      </c>
      <c r="W144" s="5"/>
      <c r="X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3">
        <f t="shared" si="30"/>
        <v>0</v>
      </c>
      <c r="W145" s="5"/>
      <c r="X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3">
        <f t="shared" si="30"/>
        <v>0</v>
      </c>
      <c r="W146" s="5"/>
      <c r="X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1.0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3">
        <f t="shared" si="30"/>
        <v>1</v>
      </c>
      <c r="W147" s="5"/>
      <c r="X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3">
        <f t="shared" si="30"/>
        <v>0</v>
      </c>
      <c r="W148" s="5"/>
      <c r="X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  <c r="W149" s="5"/>
      <c r="X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  <c r="W150" s="5"/>
      <c r="X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U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0"/>
        <v>2</v>
      </c>
      <c r="W151" s="1"/>
      <c r="X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13"/>
      <c r="W152" s="54"/>
      <c r="X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/>
      <c r="S153" s="19">
        <v>0.0</v>
      </c>
      <c r="T153" s="19">
        <v>0.0</v>
      </c>
      <c r="U153" s="19">
        <v>0.0</v>
      </c>
      <c r="V153" s="13">
        <f t="shared" ref="V153:V162" si="32">SUM(E153:U153)</f>
        <v>1</v>
      </c>
      <c r="W153" s="5"/>
      <c r="X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1.0</v>
      </c>
      <c r="S154" s="19">
        <v>0.0</v>
      </c>
      <c r="T154" s="19">
        <v>0.0</v>
      </c>
      <c r="U154" s="19">
        <v>0.0</v>
      </c>
      <c r="V154" s="13">
        <f t="shared" si="32"/>
        <v>2</v>
      </c>
      <c r="W154" s="5"/>
      <c r="X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1.0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/>
      <c r="S155" s="19">
        <v>0.0</v>
      </c>
      <c r="T155" s="19">
        <v>0.0</v>
      </c>
      <c r="U155" s="19">
        <v>1.0</v>
      </c>
      <c r="V155" s="13">
        <f t="shared" si="32"/>
        <v>4</v>
      </c>
      <c r="W155" s="5"/>
      <c r="X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3">
        <f t="shared" si="32"/>
        <v>0</v>
      </c>
      <c r="W156" s="5"/>
      <c r="X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3">
        <f t="shared" si="32"/>
        <v>0</v>
      </c>
      <c r="W157" s="5"/>
      <c r="X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3">
        <f t="shared" si="32"/>
        <v>0</v>
      </c>
      <c r="W158" s="5"/>
      <c r="X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3">
        <f t="shared" si="32"/>
        <v>0</v>
      </c>
      <c r="W159" s="5"/>
      <c r="X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2"/>
        <v>0</v>
      </c>
      <c r="W160" s="5"/>
      <c r="X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2"/>
        <v>0</v>
      </c>
      <c r="W161" s="5"/>
      <c r="X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2"/>
        <v>0</v>
      </c>
      <c r="W162" s="5"/>
      <c r="X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U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1</v>
      </c>
      <c r="V163" s="13">
        <f>SUM(E164:U164)</f>
        <v>0</v>
      </c>
      <c r="W163" s="5"/>
      <c r="X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5"/>
      <c r="X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1.0</v>
      </c>
      <c r="T165" s="19">
        <v>0.0</v>
      </c>
      <c r="U165" s="19">
        <v>0.0</v>
      </c>
      <c r="V165" s="13">
        <f t="shared" ref="V165:V175" si="34">SUM(E165:U165)</f>
        <v>4</v>
      </c>
      <c r="W165" s="1"/>
      <c r="X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3">
        <f t="shared" si="34"/>
        <v>1</v>
      </c>
      <c r="W166" s="54"/>
      <c r="X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3">
        <f t="shared" si="34"/>
        <v>1</v>
      </c>
      <c r="W167" s="5"/>
      <c r="X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3">
        <f t="shared" si="34"/>
        <v>0</v>
      </c>
      <c r="W168" s="5"/>
      <c r="X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3">
        <f t="shared" si="34"/>
        <v>0</v>
      </c>
      <c r="W169" s="5"/>
      <c r="X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1.0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1.0</v>
      </c>
      <c r="V170" s="13">
        <f t="shared" si="34"/>
        <v>2</v>
      </c>
      <c r="W170" s="5"/>
      <c r="X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3">
        <f t="shared" si="34"/>
        <v>0</v>
      </c>
      <c r="W171" s="5"/>
      <c r="X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3">
        <f t="shared" si="34"/>
        <v>0</v>
      </c>
      <c r="W172" s="5"/>
      <c r="X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4"/>
        <v>0</v>
      </c>
      <c r="W173" s="5"/>
      <c r="X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4"/>
        <v>0</v>
      </c>
      <c r="W174" s="5"/>
      <c r="X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U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2</v>
      </c>
      <c r="T175" s="13">
        <f t="shared" si="35"/>
        <v>0</v>
      </c>
      <c r="U175" s="13">
        <f t="shared" si="35"/>
        <v>1</v>
      </c>
      <c r="V175" s="13">
        <f t="shared" si="34"/>
        <v>8</v>
      </c>
      <c r="W175" s="5"/>
      <c r="X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1"/>
      <c r="X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2.0</v>
      </c>
      <c r="F177" s="19">
        <v>0.0</v>
      </c>
      <c r="G177" s="19">
        <v>0.0</v>
      </c>
      <c r="H177" s="19">
        <v>3.0</v>
      </c>
      <c r="I177" s="19">
        <v>1.0</v>
      </c>
      <c r="J177" s="19">
        <v>1.0</v>
      </c>
      <c r="K177" s="19">
        <v>1.0</v>
      </c>
      <c r="L177" s="19">
        <v>1.0</v>
      </c>
      <c r="M177" s="19">
        <v>6.0</v>
      </c>
      <c r="N177" s="19">
        <v>1.0</v>
      </c>
      <c r="O177" s="19">
        <v>2.0</v>
      </c>
      <c r="P177" s="19">
        <v>0.0</v>
      </c>
      <c r="Q177" s="19">
        <v>0.0</v>
      </c>
      <c r="R177" s="19">
        <v>2.0</v>
      </c>
      <c r="S177" s="19">
        <v>5.0</v>
      </c>
      <c r="T177" s="19">
        <v>0.0</v>
      </c>
      <c r="U177" s="19">
        <v>1.0</v>
      </c>
      <c r="V177" s="13">
        <f t="shared" ref="V177:V187" si="36">SUM(E177:U177)</f>
        <v>26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2.0</v>
      </c>
      <c r="F178" s="19">
        <v>0.0</v>
      </c>
      <c r="G178" s="19">
        <v>1.0</v>
      </c>
      <c r="H178" s="19">
        <v>1.0</v>
      </c>
      <c r="I178" s="19">
        <v>3.0</v>
      </c>
      <c r="J178" s="19">
        <v>0.0</v>
      </c>
      <c r="K178" s="19">
        <v>1.0</v>
      </c>
      <c r="L178" s="19">
        <v>2.0</v>
      </c>
      <c r="M178" s="19">
        <v>4.0</v>
      </c>
      <c r="N178" s="19">
        <v>2.0</v>
      </c>
      <c r="O178" s="19">
        <v>2.0</v>
      </c>
      <c r="P178" s="19">
        <v>0.0</v>
      </c>
      <c r="Q178" s="19">
        <v>0.0</v>
      </c>
      <c r="R178" s="19">
        <v>1.0</v>
      </c>
      <c r="S178" s="19">
        <v>2.0</v>
      </c>
      <c r="T178" s="19">
        <v>0.0</v>
      </c>
      <c r="U178" s="19">
        <v>0.0</v>
      </c>
      <c r="V178" s="13">
        <f t="shared" si="36"/>
        <v>21</v>
      </c>
      <c r="W178" s="5"/>
      <c r="X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0.0</v>
      </c>
      <c r="H179" s="19">
        <v>2.0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2.0</v>
      </c>
      <c r="S179" s="19">
        <v>1.0</v>
      </c>
      <c r="T179" s="19">
        <v>0.0</v>
      </c>
      <c r="U179" s="19">
        <v>0.0</v>
      </c>
      <c r="V179" s="13">
        <f t="shared" si="36"/>
        <v>7</v>
      </c>
      <c r="W179" s="5"/>
      <c r="X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1.0</v>
      </c>
      <c r="G180" s="19">
        <v>2.0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2.0</v>
      </c>
      <c r="O180" s="19">
        <v>1.0</v>
      </c>
      <c r="P180" s="19">
        <v>1.0</v>
      </c>
      <c r="Q180" s="19">
        <v>1.0</v>
      </c>
      <c r="R180" s="19">
        <v>0.0</v>
      </c>
      <c r="S180" s="19">
        <v>0.0</v>
      </c>
      <c r="T180" s="19">
        <v>0.0</v>
      </c>
      <c r="U180" s="19">
        <v>0.0</v>
      </c>
      <c r="V180" s="13">
        <f t="shared" si="36"/>
        <v>8</v>
      </c>
      <c r="W180" s="5"/>
      <c r="X180" s="5"/>
    </row>
    <row r="181" ht="12.75" customHeight="1">
      <c r="A181" s="18"/>
      <c r="B181" s="57">
        <v>4.0</v>
      </c>
      <c r="C181" s="52" t="s">
        <v>133</v>
      </c>
      <c r="D181" s="60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3">
        <f t="shared" si="36"/>
        <v>1</v>
      </c>
      <c r="W181" s="5"/>
      <c r="X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1.0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3">
        <f t="shared" si="36"/>
        <v>3</v>
      </c>
      <c r="W182" s="5"/>
      <c r="X182" s="5"/>
    </row>
    <row r="183" ht="12.75" customHeight="1">
      <c r="A183" s="18"/>
      <c r="B183" s="57">
        <v>6.0</v>
      </c>
      <c r="C183" s="52" t="s">
        <v>135</v>
      </c>
      <c r="D183" s="60"/>
      <c r="E183" s="19">
        <v>1.0</v>
      </c>
      <c r="F183" s="19">
        <v>1.0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3">
        <f t="shared" si="36"/>
        <v>3</v>
      </c>
      <c r="W183" s="5"/>
      <c r="X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1.0</v>
      </c>
      <c r="L184" s="19">
        <v>0.0</v>
      </c>
      <c r="M184" s="19">
        <v>0.0</v>
      </c>
      <c r="N184" s="19">
        <v>1.0</v>
      </c>
      <c r="O184" s="19">
        <v>6.0</v>
      </c>
      <c r="P184" s="19">
        <v>0.0</v>
      </c>
      <c r="Q184" s="19">
        <v>0.0</v>
      </c>
      <c r="R184" s="19">
        <v>2.0</v>
      </c>
      <c r="S184" s="19">
        <v>1.0</v>
      </c>
      <c r="T184" s="19">
        <v>0.0</v>
      </c>
      <c r="U184" s="19">
        <v>0.0</v>
      </c>
      <c r="V184" s="13">
        <f t="shared" si="36"/>
        <v>11</v>
      </c>
      <c r="W184" s="5"/>
      <c r="X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6"/>
        <v>0</v>
      </c>
      <c r="W185" s="5"/>
      <c r="X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6"/>
        <v>0</v>
      </c>
      <c r="W186" s="5"/>
      <c r="X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U187" si="37">SUM(E177:E184)</f>
        <v>6</v>
      </c>
      <c r="F187" s="13">
        <f t="shared" si="37"/>
        <v>2</v>
      </c>
      <c r="G187" s="13">
        <f t="shared" si="37"/>
        <v>3</v>
      </c>
      <c r="H187" s="13">
        <f t="shared" si="37"/>
        <v>6</v>
      </c>
      <c r="I187" s="13">
        <f t="shared" si="37"/>
        <v>5</v>
      </c>
      <c r="J187" s="13">
        <f t="shared" si="37"/>
        <v>1</v>
      </c>
      <c r="K187" s="13">
        <f t="shared" si="37"/>
        <v>4</v>
      </c>
      <c r="L187" s="13">
        <f t="shared" si="37"/>
        <v>4</v>
      </c>
      <c r="M187" s="13">
        <f t="shared" si="37"/>
        <v>11</v>
      </c>
      <c r="N187" s="13">
        <f t="shared" si="37"/>
        <v>6</v>
      </c>
      <c r="O187" s="13">
        <f t="shared" si="37"/>
        <v>12</v>
      </c>
      <c r="P187" s="13">
        <f t="shared" si="37"/>
        <v>1</v>
      </c>
      <c r="Q187" s="13">
        <f t="shared" si="37"/>
        <v>2</v>
      </c>
      <c r="R187" s="13">
        <f t="shared" si="37"/>
        <v>7</v>
      </c>
      <c r="S187" s="13">
        <f t="shared" si="37"/>
        <v>9</v>
      </c>
      <c r="T187" s="13">
        <f t="shared" si="37"/>
        <v>0</v>
      </c>
      <c r="U187" s="13">
        <f t="shared" si="37"/>
        <v>1</v>
      </c>
      <c r="V187" s="13">
        <f t="shared" si="36"/>
        <v>80</v>
      </c>
      <c r="W187" s="1"/>
      <c r="X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3">
        <f t="shared" ref="V189:V199" si="38">SUM(E189:U189)</f>
        <v>2</v>
      </c>
      <c r="W189" s="5"/>
      <c r="X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3">
        <f t="shared" si="38"/>
        <v>3</v>
      </c>
      <c r="W190" s="5"/>
      <c r="X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3">
        <f t="shared" si="38"/>
        <v>0</v>
      </c>
      <c r="W191" s="5"/>
      <c r="X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3">
        <f t="shared" si="38"/>
        <v>0</v>
      </c>
      <c r="W192" s="5"/>
      <c r="X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3">
        <f t="shared" si="38"/>
        <v>0</v>
      </c>
      <c r="W193" s="5"/>
      <c r="X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3">
        <f t="shared" si="38"/>
        <v>0</v>
      </c>
      <c r="W194" s="5"/>
      <c r="X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3">
        <f t="shared" si="38"/>
        <v>0</v>
      </c>
      <c r="W195" s="5"/>
      <c r="X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3">
        <f t="shared" si="38"/>
        <v>1</v>
      </c>
      <c r="W196" s="1"/>
      <c r="X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8"/>
        <v>0</v>
      </c>
      <c r="W197" s="1"/>
      <c r="X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8"/>
        <v>0</v>
      </c>
      <c r="W198" s="1"/>
      <c r="X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U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8"/>
        <v>6</v>
      </c>
      <c r="W199" s="54"/>
      <c r="X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5"/>
      <c r="X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3.0</v>
      </c>
      <c r="F201" s="19">
        <v>2.0</v>
      </c>
      <c r="G201" s="19">
        <v>5.0</v>
      </c>
      <c r="H201" s="19">
        <v>5.0</v>
      </c>
      <c r="I201" s="19">
        <v>3.0</v>
      </c>
      <c r="J201" s="19">
        <v>1.0</v>
      </c>
      <c r="K201" s="19">
        <v>3.0</v>
      </c>
      <c r="L201" s="19">
        <v>2.0</v>
      </c>
      <c r="M201" s="19">
        <v>1.0</v>
      </c>
      <c r="N201" s="19">
        <v>5.0</v>
      </c>
      <c r="O201" s="19">
        <v>6.0</v>
      </c>
      <c r="P201" s="19">
        <v>4.0</v>
      </c>
      <c r="Q201" s="19">
        <v>14.0</v>
      </c>
      <c r="R201" s="19">
        <v>5.0</v>
      </c>
      <c r="S201" s="19">
        <v>8.0</v>
      </c>
      <c r="T201" s="19">
        <v>3.0</v>
      </c>
      <c r="U201" s="19">
        <v>8.0</v>
      </c>
      <c r="V201" s="13">
        <f t="shared" ref="V201:V211" si="40">SUM(E201:U201)</f>
        <v>78</v>
      </c>
      <c r="W201" s="5"/>
      <c r="X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13.0</v>
      </c>
      <c r="F202" s="19">
        <v>16.0</v>
      </c>
      <c r="G202" s="19">
        <v>6.0</v>
      </c>
      <c r="H202" s="19">
        <v>6.0</v>
      </c>
      <c r="I202" s="19">
        <v>7.0</v>
      </c>
      <c r="J202" s="19">
        <v>5.0</v>
      </c>
      <c r="K202" s="19">
        <v>9.0</v>
      </c>
      <c r="L202" s="19">
        <v>6.0</v>
      </c>
      <c r="M202" s="19">
        <v>4.0</v>
      </c>
      <c r="N202" s="19">
        <v>20.0</v>
      </c>
      <c r="O202" s="19">
        <v>2.0</v>
      </c>
      <c r="P202" s="19">
        <v>2.0</v>
      </c>
      <c r="Q202" s="19">
        <v>12.0</v>
      </c>
      <c r="R202" s="19">
        <v>6.0</v>
      </c>
      <c r="S202" s="19">
        <v>6.0</v>
      </c>
      <c r="T202" s="19">
        <v>1.0</v>
      </c>
      <c r="U202" s="19">
        <v>4.0</v>
      </c>
      <c r="V202" s="13">
        <f t="shared" si="40"/>
        <v>125</v>
      </c>
      <c r="W202" s="5"/>
      <c r="X202" s="5"/>
    </row>
    <row r="203" ht="12.75" customHeight="1">
      <c r="A203" s="18"/>
      <c r="B203" s="57">
        <v>2.0</v>
      </c>
      <c r="C203" s="52" t="s">
        <v>149</v>
      </c>
      <c r="D203" s="60"/>
      <c r="E203" s="19">
        <v>2.0</v>
      </c>
      <c r="F203" s="19">
        <v>1.0</v>
      </c>
      <c r="G203" s="19">
        <v>2.0</v>
      </c>
      <c r="H203" s="19">
        <v>2.0</v>
      </c>
      <c r="I203" s="19">
        <v>5.0</v>
      </c>
      <c r="J203" s="19">
        <v>2.0</v>
      </c>
      <c r="K203" s="19">
        <v>3.0</v>
      </c>
      <c r="L203" s="19">
        <v>1.0</v>
      </c>
      <c r="M203" s="19">
        <v>1.0</v>
      </c>
      <c r="N203" s="19">
        <v>2.0</v>
      </c>
      <c r="O203" s="19">
        <v>0.0</v>
      </c>
      <c r="P203" s="19">
        <v>3.0</v>
      </c>
      <c r="Q203" s="19">
        <v>16.0</v>
      </c>
      <c r="R203" s="19">
        <v>6.0</v>
      </c>
      <c r="S203" s="19">
        <v>3.0</v>
      </c>
      <c r="T203" s="19">
        <v>1.0</v>
      </c>
      <c r="U203" s="19">
        <v>9.0</v>
      </c>
      <c r="V203" s="13">
        <f t="shared" si="40"/>
        <v>59</v>
      </c>
      <c r="W203" s="5"/>
      <c r="X203" s="5"/>
    </row>
    <row r="204" ht="12.75" customHeight="1">
      <c r="A204" s="18"/>
      <c r="B204" s="57">
        <v>3.0</v>
      </c>
      <c r="C204" s="52" t="s">
        <v>150</v>
      </c>
      <c r="D204" s="60"/>
      <c r="E204" s="19">
        <v>1.0</v>
      </c>
      <c r="F204" s="19">
        <v>1.0</v>
      </c>
      <c r="G204" s="19">
        <v>2.0</v>
      </c>
      <c r="H204" s="19">
        <v>1.0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7.0</v>
      </c>
      <c r="R204" s="19">
        <v>2.0</v>
      </c>
      <c r="S204" s="19">
        <v>1.0</v>
      </c>
      <c r="T204" s="19">
        <v>2.0</v>
      </c>
      <c r="U204" s="19">
        <v>2.0</v>
      </c>
      <c r="V204" s="13">
        <f t="shared" si="40"/>
        <v>20</v>
      </c>
      <c r="W204" s="5"/>
      <c r="X204" s="5"/>
    </row>
    <row r="205" ht="12.75" customHeight="1">
      <c r="A205" s="18"/>
      <c r="B205" s="57">
        <v>4.0</v>
      </c>
      <c r="C205" s="52" t="s">
        <v>151</v>
      </c>
      <c r="D205" s="60"/>
      <c r="E205" s="19">
        <v>3.0</v>
      </c>
      <c r="F205" s="19">
        <v>1.0</v>
      </c>
      <c r="G205" s="19">
        <v>18.0</v>
      </c>
      <c r="H205" s="19">
        <v>1.0</v>
      </c>
      <c r="I205" s="19">
        <v>0.0</v>
      </c>
      <c r="J205" s="19">
        <v>7.0</v>
      </c>
      <c r="K205" s="19">
        <v>5.0</v>
      </c>
      <c r="L205" s="19">
        <v>12.0</v>
      </c>
      <c r="M205" s="19">
        <v>5.0</v>
      </c>
      <c r="N205" s="19">
        <v>1.0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1.0</v>
      </c>
      <c r="U205" s="19">
        <v>0.0</v>
      </c>
      <c r="V205" s="13">
        <f t="shared" si="40"/>
        <v>55</v>
      </c>
      <c r="W205" s="5"/>
      <c r="X205" s="5"/>
    </row>
    <row r="206" ht="12.75" customHeight="1">
      <c r="A206" s="18"/>
      <c r="B206" s="57">
        <v>5.0</v>
      </c>
      <c r="C206" s="52" t="s">
        <v>152</v>
      </c>
      <c r="D206" s="60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2.0</v>
      </c>
      <c r="S206" s="19">
        <v>0.0</v>
      </c>
      <c r="T206" s="19">
        <v>0.0</v>
      </c>
      <c r="U206" s="19">
        <v>0.0</v>
      </c>
      <c r="V206" s="13">
        <f t="shared" si="40"/>
        <v>5</v>
      </c>
      <c r="W206" s="5"/>
      <c r="X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3">
        <f t="shared" si="40"/>
        <v>0</v>
      </c>
      <c r="W207" s="1"/>
      <c r="X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2.0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3.0</v>
      </c>
      <c r="U208" s="19">
        <v>0.0</v>
      </c>
      <c r="V208" s="13">
        <f t="shared" si="40"/>
        <v>7</v>
      </c>
      <c r="W208" s="54"/>
      <c r="X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3">
        <f t="shared" si="40"/>
        <v>0</v>
      </c>
      <c r="W209" s="54"/>
      <c r="X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0"/>
        <v>0</v>
      </c>
      <c r="W210" s="54"/>
      <c r="X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U211" si="41">SUM(E201:E208)</f>
        <v>22</v>
      </c>
      <c r="F211" s="13">
        <f t="shared" si="41"/>
        <v>21</v>
      </c>
      <c r="G211" s="13">
        <f t="shared" si="41"/>
        <v>36</v>
      </c>
      <c r="H211" s="13">
        <f t="shared" si="41"/>
        <v>15</v>
      </c>
      <c r="I211" s="13">
        <f t="shared" si="41"/>
        <v>15</v>
      </c>
      <c r="J211" s="13">
        <f t="shared" si="41"/>
        <v>16</v>
      </c>
      <c r="K211" s="13">
        <f t="shared" si="41"/>
        <v>21</v>
      </c>
      <c r="L211" s="13">
        <f t="shared" si="41"/>
        <v>21</v>
      </c>
      <c r="M211" s="13">
        <f t="shared" si="41"/>
        <v>11</v>
      </c>
      <c r="N211" s="13">
        <f t="shared" si="41"/>
        <v>29</v>
      </c>
      <c r="O211" s="13">
        <f t="shared" si="41"/>
        <v>8</v>
      </c>
      <c r="P211" s="13">
        <f t="shared" si="41"/>
        <v>10</v>
      </c>
      <c r="Q211" s="13">
        <f t="shared" si="41"/>
        <v>50</v>
      </c>
      <c r="R211" s="13">
        <f t="shared" si="41"/>
        <v>21</v>
      </c>
      <c r="S211" s="13">
        <f t="shared" si="41"/>
        <v>19</v>
      </c>
      <c r="T211" s="13">
        <f t="shared" si="41"/>
        <v>11</v>
      </c>
      <c r="U211" s="13">
        <f t="shared" si="41"/>
        <v>23</v>
      </c>
      <c r="V211" s="13">
        <f t="shared" si="40"/>
        <v>349</v>
      </c>
      <c r="W211" s="5"/>
      <c r="X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5"/>
      <c r="X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2.0</v>
      </c>
      <c r="F213" s="19">
        <v>1.0</v>
      </c>
      <c r="G213" s="19">
        <v>4.0</v>
      </c>
      <c r="H213" s="19">
        <v>1.0</v>
      </c>
      <c r="I213" s="19">
        <v>0.0</v>
      </c>
      <c r="J213" s="19">
        <v>0.0</v>
      </c>
      <c r="K213" s="19">
        <v>1.0</v>
      </c>
      <c r="L213" s="19">
        <v>0.0</v>
      </c>
      <c r="M213" s="19">
        <v>2.0</v>
      </c>
      <c r="N213" s="19">
        <v>1.0</v>
      </c>
      <c r="O213" s="19">
        <v>2.0</v>
      </c>
      <c r="P213" s="19">
        <v>1.0</v>
      </c>
      <c r="Q213" s="19">
        <v>0.0</v>
      </c>
      <c r="R213" s="19"/>
      <c r="S213" s="19">
        <v>0.0</v>
      </c>
      <c r="T213" s="19">
        <v>1.0</v>
      </c>
      <c r="U213" s="19">
        <v>3.0</v>
      </c>
      <c r="V213" s="13">
        <f t="shared" ref="V213:V223" si="42">SUM(E213:U213)</f>
        <v>19</v>
      </c>
      <c r="W213" s="5"/>
      <c r="X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2.0</v>
      </c>
      <c r="F214" s="19">
        <v>5.0</v>
      </c>
      <c r="G214" s="19">
        <v>7.0</v>
      </c>
      <c r="H214" s="19">
        <v>1.0</v>
      </c>
      <c r="I214" s="19">
        <v>0.0</v>
      </c>
      <c r="J214" s="19">
        <v>1.0</v>
      </c>
      <c r="K214" s="19">
        <v>2.0</v>
      </c>
      <c r="L214" s="19">
        <v>2.0</v>
      </c>
      <c r="M214" s="19">
        <v>4.0</v>
      </c>
      <c r="N214" s="19">
        <v>0.0</v>
      </c>
      <c r="O214" s="19">
        <v>1.0</v>
      </c>
      <c r="P214" s="19">
        <v>3.0</v>
      </c>
      <c r="Q214" s="19">
        <v>0.0</v>
      </c>
      <c r="R214" s="19">
        <v>4.0</v>
      </c>
      <c r="S214" s="19">
        <v>3.0</v>
      </c>
      <c r="T214" s="19">
        <v>5.0</v>
      </c>
      <c r="U214" s="19">
        <v>7.0</v>
      </c>
      <c r="V214" s="13">
        <f t="shared" si="42"/>
        <v>47</v>
      </c>
      <c r="W214" s="5"/>
      <c r="X214" s="5"/>
    </row>
    <row r="215" ht="12.75" customHeight="1">
      <c r="A215" s="18"/>
      <c r="B215" s="57">
        <v>2.0</v>
      </c>
      <c r="C215" s="52" t="s">
        <v>158</v>
      </c>
      <c r="D215" s="58"/>
      <c r="E215" s="19">
        <v>2.0</v>
      </c>
      <c r="F215" s="19">
        <v>0.0</v>
      </c>
      <c r="G215" s="19">
        <v>1.0</v>
      </c>
      <c r="H215" s="19">
        <v>2.0</v>
      </c>
      <c r="I215" s="19">
        <v>1.0</v>
      </c>
      <c r="J215" s="19">
        <v>1.0</v>
      </c>
      <c r="K215" s="19">
        <v>2.0</v>
      </c>
      <c r="L215" s="19">
        <v>1.0</v>
      </c>
      <c r="M215" s="19">
        <v>2.0</v>
      </c>
      <c r="N215" s="19">
        <v>5.0</v>
      </c>
      <c r="O215" s="19">
        <v>54.0</v>
      </c>
      <c r="P215" s="19">
        <v>0.0</v>
      </c>
      <c r="Q215" s="19">
        <v>0.0</v>
      </c>
      <c r="R215" s="19"/>
      <c r="S215" s="19">
        <v>2.0</v>
      </c>
      <c r="T215" s="19">
        <v>1.0</v>
      </c>
      <c r="U215" s="19">
        <v>2.0</v>
      </c>
      <c r="V215" s="13">
        <f t="shared" si="42"/>
        <v>76</v>
      </c>
      <c r="W215" s="5"/>
      <c r="X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0.0</v>
      </c>
      <c r="J216" s="19">
        <v>0.0</v>
      </c>
      <c r="K216" s="19">
        <v>0.0</v>
      </c>
      <c r="L216" s="19"/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/>
      <c r="S216" s="19">
        <v>0.0</v>
      </c>
      <c r="T216" s="19">
        <v>0.0</v>
      </c>
      <c r="U216" s="19">
        <v>1.0</v>
      </c>
      <c r="V216" s="13">
        <f t="shared" si="42"/>
        <v>2</v>
      </c>
      <c r="W216" s="5"/>
      <c r="X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/>
      <c r="M217" s="19">
        <v>0.0</v>
      </c>
      <c r="N217" s="19">
        <v>0.0</v>
      </c>
      <c r="O217" s="19">
        <v>0.0</v>
      </c>
      <c r="P217" s="19">
        <v>1.0</v>
      </c>
      <c r="Q217" s="19">
        <v>1.0</v>
      </c>
      <c r="R217" s="19"/>
      <c r="S217" s="19">
        <v>0.0</v>
      </c>
      <c r="T217" s="19">
        <v>0.0</v>
      </c>
      <c r="U217" s="19">
        <v>0.0</v>
      </c>
      <c r="V217" s="13">
        <f t="shared" si="42"/>
        <v>2</v>
      </c>
      <c r="W217" s="5"/>
      <c r="X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1.0</v>
      </c>
      <c r="H218" s="19">
        <v>0.0</v>
      </c>
      <c r="I218" s="19">
        <v>0.0</v>
      </c>
      <c r="J218" s="19">
        <v>0.0</v>
      </c>
      <c r="K218" s="19">
        <v>0.0</v>
      </c>
      <c r="L218" s="19"/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/>
      <c r="S218" s="19">
        <v>0.0</v>
      </c>
      <c r="T218" s="19">
        <v>0.0</v>
      </c>
      <c r="U218" s="19">
        <v>1.0</v>
      </c>
      <c r="V218" s="13">
        <f t="shared" si="42"/>
        <v>2</v>
      </c>
      <c r="W218" s="1"/>
      <c r="X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/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/>
      <c r="S219" s="19">
        <v>0.0</v>
      </c>
      <c r="T219" s="19">
        <v>0.0</v>
      </c>
      <c r="U219" s="19">
        <v>0.0</v>
      </c>
      <c r="V219" s="13">
        <f t="shared" si="42"/>
        <v>0</v>
      </c>
      <c r="W219" s="54"/>
      <c r="X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/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/>
      <c r="S220" s="19">
        <v>2.0</v>
      </c>
      <c r="T220" s="19">
        <v>0.0</v>
      </c>
      <c r="U220" s="19">
        <v>0.0</v>
      </c>
      <c r="V220" s="13">
        <f t="shared" si="42"/>
        <v>2</v>
      </c>
      <c r="W220" s="5"/>
      <c r="X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2"/>
        <v>0</v>
      </c>
      <c r="W221" s="5"/>
      <c r="X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2"/>
        <v>0</v>
      </c>
      <c r="W222" s="5"/>
      <c r="X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U223" si="43">SUM(E213:E220)</f>
        <v>6</v>
      </c>
      <c r="F223" s="13">
        <f t="shared" si="43"/>
        <v>6</v>
      </c>
      <c r="G223" s="13">
        <f t="shared" si="43"/>
        <v>13</v>
      </c>
      <c r="H223" s="13">
        <f t="shared" si="43"/>
        <v>5</v>
      </c>
      <c r="I223" s="13">
        <f t="shared" si="43"/>
        <v>1</v>
      </c>
      <c r="J223" s="13">
        <f t="shared" si="43"/>
        <v>2</v>
      </c>
      <c r="K223" s="13">
        <f t="shared" si="43"/>
        <v>5</v>
      </c>
      <c r="L223" s="13">
        <f t="shared" si="43"/>
        <v>3</v>
      </c>
      <c r="M223" s="13">
        <f t="shared" si="43"/>
        <v>8</v>
      </c>
      <c r="N223" s="13">
        <f t="shared" si="43"/>
        <v>6</v>
      </c>
      <c r="O223" s="13">
        <f t="shared" si="43"/>
        <v>57</v>
      </c>
      <c r="P223" s="13">
        <f t="shared" si="43"/>
        <v>5</v>
      </c>
      <c r="Q223" s="13">
        <f t="shared" si="43"/>
        <v>1</v>
      </c>
      <c r="R223" s="13">
        <f t="shared" si="43"/>
        <v>4</v>
      </c>
      <c r="S223" s="13">
        <f t="shared" si="43"/>
        <v>7</v>
      </c>
      <c r="T223" s="13">
        <f t="shared" si="43"/>
        <v>7</v>
      </c>
      <c r="U223" s="13">
        <f t="shared" si="43"/>
        <v>14</v>
      </c>
      <c r="V223" s="13">
        <f t="shared" si="42"/>
        <v>150</v>
      </c>
      <c r="W223" s="5"/>
      <c r="X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5"/>
      <c r="X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2.0</v>
      </c>
      <c r="H225" s="19">
        <v>1.0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1.0</v>
      </c>
      <c r="S225" s="19">
        <v>0.0</v>
      </c>
      <c r="T225" s="19">
        <v>0.0</v>
      </c>
      <c r="U225" s="19">
        <v>0.0</v>
      </c>
      <c r="V225" s="13">
        <f t="shared" ref="V225:V235" si="44">SUM(E225:U225)</f>
        <v>6</v>
      </c>
      <c r="W225" s="5"/>
      <c r="X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8.0</v>
      </c>
      <c r="I226" s="19">
        <v>0.0</v>
      </c>
      <c r="J226" s="19">
        <v>2.0</v>
      </c>
      <c r="K226" s="19">
        <v>7.0</v>
      </c>
      <c r="L226" s="19">
        <v>6.0</v>
      </c>
      <c r="M226" s="19">
        <v>4.0</v>
      </c>
      <c r="N226" s="19">
        <v>1.0</v>
      </c>
      <c r="O226" s="19">
        <v>3.0</v>
      </c>
      <c r="P226" s="19">
        <v>0.0</v>
      </c>
      <c r="Q226" s="19">
        <v>1.0</v>
      </c>
      <c r="R226" s="19"/>
      <c r="S226" s="19">
        <v>0.0</v>
      </c>
      <c r="T226" s="19">
        <v>0.0</v>
      </c>
      <c r="U226" s="19">
        <v>0.0</v>
      </c>
      <c r="V226" s="13">
        <f t="shared" si="44"/>
        <v>32</v>
      </c>
      <c r="W226" s="5"/>
      <c r="X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/>
      <c r="S227" s="19">
        <v>0.0</v>
      </c>
      <c r="T227" s="19">
        <v>0.0</v>
      </c>
      <c r="U227" s="19">
        <v>0.0</v>
      </c>
      <c r="V227" s="13">
        <f t="shared" si="44"/>
        <v>0</v>
      </c>
      <c r="W227" s="5"/>
      <c r="X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1.0</v>
      </c>
      <c r="Q228" s="19">
        <v>0.0</v>
      </c>
      <c r="R228" s="19"/>
      <c r="S228" s="19">
        <v>0.0</v>
      </c>
      <c r="T228" s="19">
        <v>0.0</v>
      </c>
      <c r="U228" s="19">
        <v>0.0</v>
      </c>
      <c r="V228" s="13">
        <f t="shared" si="44"/>
        <v>1</v>
      </c>
      <c r="W228" s="5"/>
      <c r="X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/>
      <c r="S229" s="19">
        <v>0.0</v>
      </c>
      <c r="T229" s="19">
        <v>0.0</v>
      </c>
      <c r="U229" s="19">
        <v>0.0</v>
      </c>
      <c r="V229" s="13">
        <f t="shared" si="44"/>
        <v>0</v>
      </c>
      <c r="W229" s="1"/>
      <c r="X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/>
      <c r="S230" s="19">
        <v>0.0</v>
      </c>
      <c r="T230" s="19">
        <v>0.0</v>
      </c>
      <c r="U230" s="19">
        <v>0.0</v>
      </c>
      <c r="V230" s="13">
        <f t="shared" si="44"/>
        <v>0</v>
      </c>
      <c r="W230" s="54"/>
      <c r="X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/>
      <c r="S231" s="19">
        <v>0.0</v>
      </c>
      <c r="T231" s="19">
        <v>0.0</v>
      </c>
      <c r="U231" s="19">
        <v>0.0</v>
      </c>
      <c r="V231" s="13">
        <f t="shared" si="44"/>
        <v>0</v>
      </c>
      <c r="W231" s="5"/>
      <c r="X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2.0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/>
      <c r="S232" s="19">
        <v>0.0</v>
      </c>
      <c r="T232" s="19">
        <v>1.0</v>
      </c>
      <c r="U232" s="19">
        <v>0.0</v>
      </c>
      <c r="V232" s="13">
        <f t="shared" si="44"/>
        <v>4</v>
      </c>
      <c r="W232" s="5"/>
      <c r="X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4"/>
        <v>0</v>
      </c>
      <c r="W233" s="5"/>
      <c r="X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4"/>
        <v>0</v>
      </c>
      <c r="W234" s="5"/>
      <c r="X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U235" si="45">SUM(E225:E232)</f>
        <v>0</v>
      </c>
      <c r="F235" s="13">
        <f t="shared" si="45"/>
        <v>2</v>
      </c>
      <c r="G235" s="13">
        <f t="shared" si="45"/>
        <v>3</v>
      </c>
      <c r="H235" s="13">
        <f t="shared" si="45"/>
        <v>9</v>
      </c>
      <c r="I235" s="13">
        <f t="shared" si="45"/>
        <v>0</v>
      </c>
      <c r="J235" s="13">
        <f t="shared" si="45"/>
        <v>2</v>
      </c>
      <c r="K235" s="13">
        <f t="shared" si="45"/>
        <v>7</v>
      </c>
      <c r="L235" s="13">
        <f t="shared" si="45"/>
        <v>7</v>
      </c>
      <c r="M235" s="13">
        <f t="shared" si="45"/>
        <v>4</v>
      </c>
      <c r="N235" s="13">
        <f t="shared" si="45"/>
        <v>1</v>
      </c>
      <c r="O235" s="13">
        <f t="shared" si="45"/>
        <v>4</v>
      </c>
      <c r="P235" s="13">
        <f t="shared" si="45"/>
        <v>1</v>
      </c>
      <c r="Q235" s="13">
        <f t="shared" si="45"/>
        <v>1</v>
      </c>
      <c r="R235" s="13">
        <f t="shared" si="45"/>
        <v>1</v>
      </c>
      <c r="S235" s="13">
        <f t="shared" si="45"/>
        <v>0</v>
      </c>
      <c r="T235" s="13">
        <f t="shared" si="45"/>
        <v>1</v>
      </c>
      <c r="U235" s="13">
        <f t="shared" si="45"/>
        <v>0</v>
      </c>
      <c r="V235" s="13">
        <f t="shared" si="44"/>
        <v>43</v>
      </c>
      <c r="W235" s="5"/>
      <c r="X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5"/>
      <c r="X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1.0</v>
      </c>
      <c r="G237" s="19">
        <v>1.0</v>
      </c>
      <c r="H237" s="19">
        <v>0.0</v>
      </c>
      <c r="I237" s="19">
        <v>0.0</v>
      </c>
      <c r="J237" s="19">
        <v>2.0</v>
      </c>
      <c r="K237" s="19">
        <v>0.0</v>
      </c>
      <c r="L237" s="19">
        <v>0.0</v>
      </c>
      <c r="M237" s="19">
        <v>5.0</v>
      </c>
      <c r="N237" s="19">
        <v>1.0</v>
      </c>
      <c r="O237" s="19">
        <v>0.0</v>
      </c>
      <c r="P237" s="19">
        <v>1.0</v>
      </c>
      <c r="Q237" s="19">
        <v>1.0</v>
      </c>
      <c r="R237" s="19"/>
      <c r="S237" s="19">
        <v>1.0</v>
      </c>
      <c r="T237" s="19">
        <v>1.0</v>
      </c>
      <c r="U237" s="19">
        <v>0.0</v>
      </c>
      <c r="V237" s="13">
        <f t="shared" ref="V237:V247" si="46">SUM(E237:U237)</f>
        <v>15</v>
      </c>
      <c r="W237" s="5"/>
      <c r="X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0.0</v>
      </c>
      <c r="Q238" s="19">
        <v>0.0</v>
      </c>
      <c r="R238" s="19"/>
      <c r="S238" s="19">
        <v>0.0</v>
      </c>
      <c r="T238" s="19">
        <v>0.0</v>
      </c>
      <c r="U238" s="19">
        <v>1.0</v>
      </c>
      <c r="V238" s="13">
        <f t="shared" si="46"/>
        <v>3</v>
      </c>
      <c r="W238" s="5"/>
      <c r="X238" s="5"/>
    </row>
    <row r="239" ht="12.75" customHeight="1">
      <c r="A239" s="18"/>
      <c r="B239" s="57">
        <v>2.0</v>
      </c>
      <c r="C239" s="52" t="s">
        <v>176</v>
      </c>
      <c r="D239" s="60"/>
      <c r="E239" s="19">
        <v>6.0</v>
      </c>
      <c r="F239" s="19">
        <v>20.0</v>
      </c>
      <c r="G239" s="19">
        <v>3.0</v>
      </c>
      <c r="H239" s="19">
        <v>14.0</v>
      </c>
      <c r="I239" s="19">
        <v>7.0</v>
      </c>
      <c r="J239" s="19">
        <v>24.0</v>
      </c>
      <c r="K239" s="19">
        <v>15.0</v>
      </c>
      <c r="L239" s="19">
        <v>17.0</v>
      </c>
      <c r="M239" s="19">
        <v>7.0</v>
      </c>
      <c r="N239" s="19">
        <v>2.0</v>
      </c>
      <c r="O239" s="19">
        <v>0.0</v>
      </c>
      <c r="P239" s="19">
        <v>0.0</v>
      </c>
      <c r="Q239" s="19">
        <v>1.0</v>
      </c>
      <c r="R239" s="19">
        <v>1.0</v>
      </c>
      <c r="S239" s="19">
        <v>0.0</v>
      </c>
      <c r="T239" s="19">
        <v>0.0</v>
      </c>
      <c r="U239" s="19">
        <v>0.0</v>
      </c>
      <c r="V239" s="13">
        <f t="shared" si="46"/>
        <v>117</v>
      </c>
      <c r="W239" s="5"/>
      <c r="X239" s="5"/>
    </row>
    <row r="240" ht="12.75" customHeight="1">
      <c r="A240" s="18"/>
      <c r="B240" s="57">
        <v>3.0</v>
      </c>
      <c r="C240" s="52" t="s">
        <v>177</v>
      </c>
      <c r="D240" s="60"/>
      <c r="E240" s="19">
        <v>1.0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4.0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3">
        <f t="shared" si="46"/>
        <v>5</v>
      </c>
      <c r="W240" s="1"/>
      <c r="X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2.0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/>
      <c r="S241" s="19">
        <v>0.0</v>
      </c>
      <c r="T241" s="19">
        <v>0.0</v>
      </c>
      <c r="U241" s="19">
        <v>0.0</v>
      </c>
      <c r="V241" s="13">
        <f t="shared" si="46"/>
        <v>3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/>
      <c r="S242" s="19">
        <v>0.0</v>
      </c>
      <c r="T242" s="19">
        <v>0.0</v>
      </c>
      <c r="U242" s="19">
        <v>0.0</v>
      </c>
      <c r="V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/>
      <c r="S243" s="19">
        <v>0.0</v>
      </c>
      <c r="T243" s="19">
        <v>0.0</v>
      </c>
      <c r="U243" s="19">
        <v>0.0</v>
      </c>
      <c r="V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1.0</v>
      </c>
      <c r="F244" s="19">
        <v>6.0</v>
      </c>
      <c r="G244" s="19">
        <v>1.0</v>
      </c>
      <c r="H244" s="19">
        <v>8.0</v>
      </c>
      <c r="I244" s="19">
        <v>1.0</v>
      </c>
      <c r="J244" s="19">
        <v>15.0</v>
      </c>
      <c r="K244" s="19">
        <v>12.0</v>
      </c>
      <c r="L244" s="19">
        <v>11.0</v>
      </c>
      <c r="M244" s="19">
        <v>48.0</v>
      </c>
      <c r="N244" s="19">
        <v>26.0</v>
      </c>
      <c r="O244" s="19">
        <v>2.0</v>
      </c>
      <c r="P244" s="19">
        <v>3.0</v>
      </c>
      <c r="Q244" s="19">
        <v>0.0</v>
      </c>
      <c r="R244" s="19">
        <v>3.0</v>
      </c>
      <c r="S244" s="19">
        <v>1.0</v>
      </c>
      <c r="T244" s="19">
        <v>5.0</v>
      </c>
      <c r="U244" s="19">
        <v>0.0</v>
      </c>
      <c r="V244" s="13">
        <f t="shared" si="46"/>
        <v>143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U247" si="47">SUM(E237:E244)</f>
        <v>9</v>
      </c>
      <c r="F247" s="13">
        <f t="shared" si="47"/>
        <v>27</v>
      </c>
      <c r="G247" s="13">
        <f t="shared" si="47"/>
        <v>5</v>
      </c>
      <c r="H247" s="13">
        <f t="shared" si="47"/>
        <v>23</v>
      </c>
      <c r="I247" s="13">
        <f t="shared" si="47"/>
        <v>8</v>
      </c>
      <c r="J247" s="13">
        <f t="shared" si="47"/>
        <v>44</v>
      </c>
      <c r="K247" s="13">
        <f t="shared" si="47"/>
        <v>27</v>
      </c>
      <c r="L247" s="13">
        <f t="shared" si="47"/>
        <v>33</v>
      </c>
      <c r="M247" s="13">
        <f t="shared" si="47"/>
        <v>61</v>
      </c>
      <c r="N247" s="13">
        <f t="shared" si="47"/>
        <v>29</v>
      </c>
      <c r="O247" s="13">
        <f t="shared" si="47"/>
        <v>2</v>
      </c>
      <c r="P247" s="13">
        <f t="shared" si="47"/>
        <v>4</v>
      </c>
      <c r="Q247" s="13">
        <f t="shared" si="47"/>
        <v>2</v>
      </c>
      <c r="R247" s="13">
        <f t="shared" si="47"/>
        <v>4</v>
      </c>
      <c r="S247" s="13">
        <f t="shared" si="47"/>
        <v>2</v>
      </c>
      <c r="T247" s="13">
        <f t="shared" si="47"/>
        <v>6</v>
      </c>
      <c r="U247" s="13">
        <f t="shared" si="47"/>
        <v>1</v>
      </c>
      <c r="V247" s="13">
        <f t="shared" si="46"/>
        <v>287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0.0</v>
      </c>
      <c r="U249" s="19">
        <v>1.0</v>
      </c>
      <c r="V249" s="13">
        <f t="shared" ref="V249:V259" si="48">SUM(E249:U249)</f>
        <v>4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/>
      <c r="S250" s="19">
        <v>0.0</v>
      </c>
      <c r="T250" s="19">
        <v>0.0</v>
      </c>
      <c r="U250" s="19">
        <v>0.0</v>
      </c>
      <c r="V250" s="13">
        <f t="shared" si="48"/>
        <v>1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/>
      <c r="S251" s="19">
        <v>0.0</v>
      </c>
      <c r="T251" s="19">
        <v>0.0</v>
      </c>
      <c r="U251" s="19">
        <v>0.0</v>
      </c>
      <c r="V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1.0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1.0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/>
      <c r="S252" s="19">
        <v>0.0</v>
      </c>
      <c r="T252" s="19">
        <v>0.0</v>
      </c>
      <c r="U252" s="19">
        <v>0.0</v>
      </c>
      <c r="V252" s="13">
        <f t="shared" si="48"/>
        <v>2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/>
      <c r="S253" s="19">
        <v>0.0</v>
      </c>
      <c r="T253" s="19">
        <v>0.0</v>
      </c>
      <c r="U253" s="19">
        <v>0.0</v>
      </c>
      <c r="V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/>
      <c r="S254" s="19">
        <v>0.0</v>
      </c>
      <c r="T254" s="19">
        <v>0.0</v>
      </c>
      <c r="U254" s="19">
        <v>0.0</v>
      </c>
      <c r="V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/>
      <c r="S255" s="19">
        <v>0.0</v>
      </c>
      <c r="T255" s="19">
        <v>0.0</v>
      </c>
      <c r="U255" s="19">
        <v>0.0</v>
      </c>
      <c r="V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>
        <v>0.0</v>
      </c>
      <c r="U256" s="19">
        <v>1.0</v>
      </c>
      <c r="V256" s="13">
        <f t="shared" si="48"/>
        <v>1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U259" si="49">SUM(E249:E255)</f>
        <v>2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8"/>
        <v>7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71" t="s">
        <v>213</v>
      </c>
      <c r="Q261" s="71" t="s">
        <v>214</v>
      </c>
      <c r="R261" s="71" t="s">
        <v>216</v>
      </c>
      <c r="S261" s="71" t="s">
        <v>217</v>
      </c>
      <c r="T261" s="71" t="s">
        <v>218</v>
      </c>
      <c r="U261" s="71" t="s">
        <v>219</v>
      </c>
      <c r="V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U262" si="50">E55+E67+E79+E91+E103+E115+E127+E139+E151+E163+E175+E187+E199+E211+E223+E235+E247+E259</f>
        <v>191</v>
      </c>
      <c r="F262" s="19">
        <f t="shared" si="50"/>
        <v>205</v>
      </c>
      <c r="G262" s="19">
        <f t="shared" si="50"/>
        <v>223</v>
      </c>
      <c r="H262" s="19">
        <f t="shared" si="50"/>
        <v>203</v>
      </c>
      <c r="I262" s="19">
        <f t="shared" si="50"/>
        <v>172</v>
      </c>
      <c r="J262" s="19">
        <f t="shared" si="50"/>
        <v>206</v>
      </c>
      <c r="K262" s="19">
        <f t="shared" si="50"/>
        <v>175</v>
      </c>
      <c r="L262" s="19">
        <f t="shared" si="50"/>
        <v>210</v>
      </c>
      <c r="M262" s="19">
        <f t="shared" si="50"/>
        <v>211</v>
      </c>
      <c r="N262" s="19">
        <f t="shared" si="50"/>
        <v>200</v>
      </c>
      <c r="O262" s="19">
        <f t="shared" si="50"/>
        <v>239</v>
      </c>
      <c r="P262" s="19">
        <f t="shared" si="50"/>
        <v>168</v>
      </c>
      <c r="Q262" s="19">
        <f t="shared" si="50"/>
        <v>196</v>
      </c>
      <c r="R262" s="19">
        <f t="shared" si="50"/>
        <v>180</v>
      </c>
      <c r="S262" s="19">
        <f t="shared" si="50"/>
        <v>211</v>
      </c>
      <c r="T262" s="19">
        <f t="shared" si="50"/>
        <v>183</v>
      </c>
      <c r="U262" s="19">
        <f t="shared" si="50"/>
        <v>201</v>
      </c>
      <c r="V262" s="13">
        <f t="shared" ref="V262:V264" si="51">SUM(E262:U262)</f>
        <v>3374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15.0</v>
      </c>
      <c r="F263" s="19">
        <v>24.0</v>
      </c>
      <c r="G263" s="19">
        <v>36.0</v>
      </c>
      <c r="H263" s="19">
        <v>30.0</v>
      </c>
      <c r="I263" s="19">
        <v>54.0</v>
      </c>
      <c r="J263" s="19">
        <v>24.0</v>
      </c>
      <c r="K263" s="19">
        <v>48.0</v>
      </c>
      <c r="L263" s="19">
        <v>17.0</v>
      </c>
      <c r="M263" s="19">
        <v>19.0</v>
      </c>
      <c r="N263" s="19">
        <v>26.0</v>
      </c>
      <c r="O263" s="19">
        <v>15.0</v>
      </c>
      <c r="P263" s="19">
        <v>33.0</v>
      </c>
      <c r="Q263" s="19">
        <v>32.0</v>
      </c>
      <c r="R263" s="19">
        <v>21.0</v>
      </c>
      <c r="S263" s="19">
        <v>24.0</v>
      </c>
      <c r="T263" s="19">
        <v>39.0</v>
      </c>
      <c r="U263" s="19">
        <v>38.0</v>
      </c>
      <c r="V263" s="13">
        <f t="shared" si="51"/>
        <v>495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U264" si="52">SUM(E262:E263)</f>
        <v>206</v>
      </c>
      <c r="F264" s="13">
        <f t="shared" si="52"/>
        <v>229</v>
      </c>
      <c r="G264" s="13">
        <f t="shared" si="52"/>
        <v>259</v>
      </c>
      <c r="H264" s="13">
        <f t="shared" si="52"/>
        <v>233</v>
      </c>
      <c r="I264" s="13">
        <f t="shared" si="52"/>
        <v>226</v>
      </c>
      <c r="J264" s="13">
        <f t="shared" si="52"/>
        <v>230</v>
      </c>
      <c r="K264" s="13">
        <f t="shared" si="52"/>
        <v>223</v>
      </c>
      <c r="L264" s="13">
        <f t="shared" si="52"/>
        <v>227</v>
      </c>
      <c r="M264" s="13">
        <f t="shared" si="52"/>
        <v>230</v>
      </c>
      <c r="N264" s="13">
        <f t="shared" si="52"/>
        <v>226</v>
      </c>
      <c r="O264" s="13">
        <f t="shared" si="52"/>
        <v>254</v>
      </c>
      <c r="P264" s="13">
        <f t="shared" si="52"/>
        <v>201</v>
      </c>
      <c r="Q264" s="13">
        <f t="shared" si="52"/>
        <v>228</v>
      </c>
      <c r="R264" s="13">
        <f t="shared" si="52"/>
        <v>201</v>
      </c>
      <c r="S264" s="13">
        <f t="shared" si="52"/>
        <v>235</v>
      </c>
      <c r="T264" s="13">
        <f t="shared" si="52"/>
        <v>222</v>
      </c>
      <c r="U264" s="13">
        <f t="shared" si="52"/>
        <v>239</v>
      </c>
      <c r="V264" s="13">
        <f t="shared" si="51"/>
        <v>3869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9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37"/>
    </row>
    <row r="14" ht="12.75" customHeight="1">
      <c r="A14" s="18"/>
      <c r="B14" s="22" t="s">
        <v>11</v>
      </c>
      <c r="C14" s="23"/>
      <c r="D14" s="19" t="s">
        <v>12</v>
      </c>
      <c r="E14" s="19">
        <v>144.0</v>
      </c>
      <c r="F14" s="19">
        <v>132.0</v>
      </c>
      <c r="G14" s="19">
        <v>153.0</v>
      </c>
      <c r="H14" s="19">
        <v>134.0</v>
      </c>
      <c r="I14" s="19">
        <v>145.0</v>
      </c>
      <c r="J14" s="19">
        <v>144.0</v>
      </c>
      <c r="K14" s="19">
        <v>137.0</v>
      </c>
      <c r="L14" s="19">
        <v>136.0</v>
      </c>
      <c r="M14" s="19">
        <v>122.0</v>
      </c>
      <c r="N14" s="19">
        <v>118.0</v>
      </c>
      <c r="O14" s="19">
        <v>123.0</v>
      </c>
      <c r="P14" s="13">
        <f t="shared" ref="P14:P16" si="1">SUM(E14:O14)</f>
        <v>1488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153.0</v>
      </c>
      <c r="G15" s="19">
        <v>139.0</v>
      </c>
      <c r="H15" s="19">
        <v>143.0</v>
      </c>
      <c r="I15" s="19">
        <v>137.0</v>
      </c>
      <c r="J15" s="19">
        <v>139.0</v>
      </c>
      <c r="K15" s="19">
        <v>149.0</v>
      </c>
      <c r="L15" s="19">
        <v>143.0</v>
      </c>
      <c r="M15" s="19">
        <v>124.0</v>
      </c>
      <c r="N15" s="19">
        <v>115.0</v>
      </c>
      <c r="O15" s="19">
        <v>123.0</v>
      </c>
      <c r="P15" s="13">
        <f t="shared" si="1"/>
        <v>1511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290</v>
      </c>
      <c r="F16" s="13">
        <f t="shared" si="2"/>
        <v>285</v>
      </c>
      <c r="G16" s="13">
        <f t="shared" si="2"/>
        <v>292</v>
      </c>
      <c r="H16" s="13">
        <f t="shared" si="2"/>
        <v>277</v>
      </c>
      <c r="I16" s="13">
        <f t="shared" si="2"/>
        <v>282</v>
      </c>
      <c r="J16" s="13">
        <f t="shared" si="2"/>
        <v>283</v>
      </c>
      <c r="K16" s="13">
        <f t="shared" si="2"/>
        <v>286</v>
      </c>
      <c r="L16" s="13">
        <f t="shared" si="2"/>
        <v>279</v>
      </c>
      <c r="M16" s="13">
        <f t="shared" si="2"/>
        <v>246</v>
      </c>
      <c r="N16" s="13">
        <f t="shared" si="2"/>
        <v>233</v>
      </c>
      <c r="O16" s="13">
        <f t="shared" si="2"/>
        <v>246</v>
      </c>
      <c r="P16" s="13">
        <f t="shared" si="1"/>
        <v>2999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19"/>
      <c r="P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110.0</v>
      </c>
      <c r="F19" s="19">
        <v>104.0</v>
      </c>
      <c r="G19" s="19">
        <v>120.0</v>
      </c>
      <c r="H19" s="19">
        <v>107.0</v>
      </c>
      <c r="I19" s="19">
        <v>131.0</v>
      </c>
      <c r="J19" s="19">
        <v>115.0</v>
      </c>
      <c r="K19" s="19">
        <v>112.0</v>
      </c>
      <c r="L19" s="19">
        <v>104.0</v>
      </c>
      <c r="M19" s="19">
        <v>108.0</v>
      </c>
      <c r="N19" s="19">
        <v>95.0</v>
      </c>
      <c r="O19" s="19">
        <v>98.0</v>
      </c>
      <c r="P19" s="13">
        <f t="shared" ref="P19:P30" si="3">SUM(E19:O19)</f>
        <v>1204</v>
      </c>
    </row>
    <row r="20" ht="12.75" customHeight="1">
      <c r="A20" s="34"/>
      <c r="B20" s="27"/>
      <c r="C20" s="35"/>
      <c r="D20" s="19" t="s">
        <v>13</v>
      </c>
      <c r="E20" s="19">
        <v>113.0</v>
      </c>
      <c r="F20" s="19">
        <v>130.0</v>
      </c>
      <c r="G20" s="19">
        <v>117.0</v>
      </c>
      <c r="H20" s="19">
        <v>122.0</v>
      </c>
      <c r="I20" s="19">
        <v>123.0</v>
      </c>
      <c r="J20" s="19">
        <v>123.0</v>
      </c>
      <c r="K20" s="19">
        <v>128.0</v>
      </c>
      <c r="L20" s="19">
        <v>118.0</v>
      </c>
      <c r="M20" s="19">
        <v>111.0</v>
      </c>
      <c r="N20" s="19">
        <v>98.0</v>
      </c>
      <c r="O20" s="19">
        <v>112.0</v>
      </c>
      <c r="P20" s="13">
        <f t="shared" si="3"/>
        <v>1295</v>
      </c>
    </row>
    <row r="21" ht="12.75" customHeight="1">
      <c r="A21" s="36"/>
      <c r="B21" s="28"/>
      <c r="C21" s="37"/>
      <c r="D21" s="13" t="s">
        <v>14</v>
      </c>
      <c r="E21" s="13">
        <f t="shared" ref="E21:O21" si="4">SUM(E19:E20)</f>
        <v>223</v>
      </c>
      <c r="F21" s="13">
        <f t="shared" si="4"/>
        <v>234</v>
      </c>
      <c r="G21" s="13">
        <f t="shared" si="4"/>
        <v>237</v>
      </c>
      <c r="H21" s="13">
        <f t="shared" si="4"/>
        <v>229</v>
      </c>
      <c r="I21" s="13">
        <f t="shared" si="4"/>
        <v>254</v>
      </c>
      <c r="J21" s="13">
        <f t="shared" si="4"/>
        <v>238</v>
      </c>
      <c r="K21" s="13">
        <f t="shared" si="4"/>
        <v>240</v>
      </c>
      <c r="L21" s="13">
        <f t="shared" si="4"/>
        <v>222</v>
      </c>
      <c r="M21" s="13">
        <f t="shared" si="4"/>
        <v>219</v>
      </c>
      <c r="N21" s="13">
        <f t="shared" si="4"/>
        <v>193</v>
      </c>
      <c r="O21" s="13">
        <f t="shared" si="4"/>
        <v>210</v>
      </c>
      <c r="P21" s="13">
        <f t="shared" si="3"/>
        <v>2499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3">
        <f t="shared" si="3"/>
        <v>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9">
        <v>0.0</v>
      </c>
      <c r="O26" s="19">
        <v>0.0</v>
      </c>
      <c r="P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3"/>
        <v>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O28" si="7">SUM(E19,E22,E25)</f>
        <v>110</v>
      </c>
      <c r="F28" s="13">
        <f t="shared" si="7"/>
        <v>104</v>
      </c>
      <c r="G28" s="13">
        <f t="shared" si="7"/>
        <v>120</v>
      </c>
      <c r="H28" s="13">
        <f t="shared" si="7"/>
        <v>107</v>
      </c>
      <c r="I28" s="13">
        <f t="shared" si="7"/>
        <v>132</v>
      </c>
      <c r="J28" s="13">
        <f t="shared" si="7"/>
        <v>115</v>
      </c>
      <c r="K28" s="13">
        <f t="shared" si="7"/>
        <v>112</v>
      </c>
      <c r="L28" s="13">
        <f t="shared" si="7"/>
        <v>104</v>
      </c>
      <c r="M28" s="13">
        <f t="shared" si="7"/>
        <v>108</v>
      </c>
      <c r="N28" s="13">
        <f t="shared" si="7"/>
        <v>95</v>
      </c>
      <c r="O28" s="13">
        <f t="shared" si="7"/>
        <v>98</v>
      </c>
      <c r="P28" s="13">
        <f t="shared" si="3"/>
        <v>1205</v>
      </c>
    </row>
    <row r="29" ht="12.75" customHeight="1">
      <c r="A29" s="36"/>
      <c r="B29" s="27"/>
      <c r="C29" s="35"/>
      <c r="D29" s="13" t="s">
        <v>13</v>
      </c>
      <c r="E29" s="13">
        <f t="shared" ref="E29:O29" si="8">SUM(E20,E23,E26)</f>
        <v>113</v>
      </c>
      <c r="F29" s="13">
        <f t="shared" si="8"/>
        <v>130</v>
      </c>
      <c r="G29" s="13">
        <f t="shared" si="8"/>
        <v>117</v>
      </c>
      <c r="H29" s="13">
        <f t="shared" si="8"/>
        <v>122</v>
      </c>
      <c r="I29" s="13">
        <f t="shared" si="8"/>
        <v>124</v>
      </c>
      <c r="J29" s="13">
        <f t="shared" si="8"/>
        <v>123</v>
      </c>
      <c r="K29" s="13">
        <f t="shared" si="8"/>
        <v>128</v>
      </c>
      <c r="L29" s="13">
        <f t="shared" si="8"/>
        <v>119</v>
      </c>
      <c r="M29" s="13">
        <f t="shared" si="8"/>
        <v>111</v>
      </c>
      <c r="N29" s="13">
        <f t="shared" si="8"/>
        <v>98</v>
      </c>
      <c r="O29" s="13">
        <f t="shared" si="8"/>
        <v>112</v>
      </c>
      <c r="P29" s="13">
        <f t="shared" si="3"/>
        <v>1297</v>
      </c>
    </row>
    <row r="30" ht="12.75" customHeight="1">
      <c r="A30" s="36"/>
      <c r="B30" s="28"/>
      <c r="C30" s="37"/>
      <c r="D30" s="13" t="s">
        <v>14</v>
      </c>
      <c r="E30" s="13">
        <f t="shared" ref="E30:O30" si="9">SUM(E28:E29)</f>
        <v>223</v>
      </c>
      <c r="F30" s="13">
        <f t="shared" si="9"/>
        <v>234</v>
      </c>
      <c r="G30" s="13">
        <f t="shared" si="9"/>
        <v>237</v>
      </c>
      <c r="H30" s="13">
        <f t="shared" si="9"/>
        <v>229</v>
      </c>
      <c r="I30" s="13">
        <f t="shared" si="9"/>
        <v>256</v>
      </c>
      <c r="J30" s="13">
        <f t="shared" si="9"/>
        <v>238</v>
      </c>
      <c r="K30" s="13">
        <f t="shared" si="9"/>
        <v>240</v>
      </c>
      <c r="L30" s="13">
        <f t="shared" si="9"/>
        <v>223</v>
      </c>
      <c r="M30" s="13">
        <f t="shared" si="9"/>
        <v>219</v>
      </c>
      <c r="N30" s="13">
        <f t="shared" si="9"/>
        <v>193</v>
      </c>
      <c r="O30" s="13">
        <f t="shared" si="9"/>
        <v>210</v>
      </c>
      <c r="P30" s="13">
        <f t="shared" si="3"/>
        <v>2502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19"/>
      <c r="P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1" t="s">
        <v>212</v>
      </c>
      <c r="P32" s="70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291.0</v>
      </c>
      <c r="G33" s="19">
        <v>298.0</v>
      </c>
      <c r="H33" s="19">
        <v>283.0</v>
      </c>
      <c r="I33" s="19">
        <v>288.0</v>
      </c>
      <c r="J33" s="19">
        <v>290.0</v>
      </c>
      <c r="K33" s="19">
        <v>292.0</v>
      </c>
      <c r="L33" s="19">
        <v>285.0</v>
      </c>
      <c r="M33" s="19">
        <v>251.0</v>
      </c>
      <c r="N33" s="19">
        <v>239.0</v>
      </c>
      <c r="O33" s="19">
        <v>251.0</v>
      </c>
      <c r="P33" s="13">
        <f t="shared" ref="P33:P36" si="10">SUM(E33:O33)</f>
        <v>3064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234.0</v>
      </c>
      <c r="G34" s="13">
        <v>237.0</v>
      </c>
      <c r="H34" s="13">
        <v>229.0</v>
      </c>
      <c r="I34" s="13">
        <v>256.0</v>
      </c>
      <c r="J34" s="13">
        <v>238.0</v>
      </c>
      <c r="K34" s="13">
        <v>240.0</v>
      </c>
      <c r="L34" s="13">
        <v>223.0</v>
      </c>
      <c r="M34" s="13">
        <v>219.0</v>
      </c>
      <c r="N34" s="13">
        <v>193.0</v>
      </c>
      <c r="O34" s="13">
        <v>210.0</v>
      </c>
      <c r="P34" s="13">
        <f t="shared" si="10"/>
        <v>2502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73</v>
      </c>
      <c r="F36" s="13">
        <f t="shared" si="11"/>
        <v>57</v>
      </c>
      <c r="G36" s="13">
        <f t="shared" si="11"/>
        <v>61</v>
      </c>
      <c r="H36" s="13">
        <f t="shared" si="11"/>
        <v>54</v>
      </c>
      <c r="I36" s="13">
        <f t="shared" si="11"/>
        <v>32</v>
      </c>
      <c r="J36" s="13">
        <f t="shared" si="11"/>
        <v>52</v>
      </c>
      <c r="K36" s="13">
        <f t="shared" si="11"/>
        <v>52</v>
      </c>
      <c r="L36" s="13">
        <f t="shared" si="11"/>
        <v>62</v>
      </c>
      <c r="M36" s="13">
        <f t="shared" si="11"/>
        <v>32</v>
      </c>
      <c r="N36" s="13">
        <f t="shared" si="11"/>
        <v>46</v>
      </c>
      <c r="O36" s="13">
        <f t="shared" si="11"/>
        <v>41</v>
      </c>
      <c r="P36" s="13">
        <f t="shared" si="10"/>
        <v>562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19"/>
      <c r="P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1" t="s">
        <v>212</v>
      </c>
      <c r="P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3">
        <f t="shared" ref="P39:P41" si="12">SUM(E39:O39)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9"/>
      <c r="P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71" t="s">
        <v>212</v>
      </c>
      <c r="P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9"/>
      <c r="P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11.0</v>
      </c>
      <c r="F45" s="19">
        <v>8.0</v>
      </c>
      <c r="G45" s="19">
        <v>8.0</v>
      </c>
      <c r="H45" s="19">
        <v>8.0</v>
      </c>
      <c r="I45" s="19">
        <v>8.0</v>
      </c>
      <c r="J45" s="19">
        <v>15.0</v>
      </c>
      <c r="K45" s="19">
        <v>16.0</v>
      </c>
      <c r="L45" s="19">
        <v>7.0</v>
      </c>
      <c r="M45" s="19">
        <v>7.0</v>
      </c>
      <c r="N45" s="19">
        <v>6.0</v>
      </c>
      <c r="O45" s="19">
        <v>12.0</v>
      </c>
      <c r="P45" s="13">
        <f t="shared" ref="P45:P55" si="14">SUM(E45:O45)</f>
        <v>106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14.0</v>
      </c>
      <c r="F46" s="19">
        <v>15.0</v>
      </c>
      <c r="G46" s="19">
        <v>22.0</v>
      </c>
      <c r="H46" s="19">
        <v>15.0</v>
      </c>
      <c r="I46" s="19">
        <v>18.0</v>
      </c>
      <c r="J46" s="19">
        <v>23.0</v>
      </c>
      <c r="K46" s="19">
        <v>33.0</v>
      </c>
      <c r="L46" s="19">
        <v>25.0</v>
      </c>
      <c r="M46" s="19">
        <v>11.0</v>
      </c>
      <c r="N46" s="19">
        <v>15.0</v>
      </c>
      <c r="O46" s="19">
        <v>10.0</v>
      </c>
      <c r="P46" s="13">
        <f t="shared" si="14"/>
        <v>201</v>
      </c>
    </row>
    <row r="47" ht="12.75" customHeight="1">
      <c r="A47" s="18"/>
      <c r="B47" s="57">
        <v>2.0</v>
      </c>
      <c r="C47" s="52" t="s">
        <v>41</v>
      </c>
      <c r="D47" s="16"/>
      <c r="E47" s="19">
        <v>2.0</v>
      </c>
      <c r="F47" s="19">
        <v>2.0</v>
      </c>
      <c r="G47" s="19">
        <v>4.0</v>
      </c>
      <c r="H47" s="19">
        <v>6.0</v>
      </c>
      <c r="I47" s="19">
        <v>4.0</v>
      </c>
      <c r="J47" s="19">
        <v>8.0</v>
      </c>
      <c r="K47" s="19">
        <v>13.0</v>
      </c>
      <c r="L47" s="19">
        <v>6.0</v>
      </c>
      <c r="M47" s="19">
        <v>3.0</v>
      </c>
      <c r="N47" s="19">
        <v>0.0</v>
      </c>
      <c r="O47" s="19">
        <v>1.0</v>
      </c>
      <c r="P47" s="13">
        <f t="shared" si="14"/>
        <v>49</v>
      </c>
    </row>
    <row r="48" ht="12.75" customHeight="1">
      <c r="A48" s="18"/>
      <c r="B48" s="57">
        <v>3.0</v>
      </c>
      <c r="C48" s="52" t="s">
        <v>42</v>
      </c>
      <c r="D48" s="16"/>
      <c r="E48" s="19">
        <v>1.0</v>
      </c>
      <c r="F48" s="19">
        <v>3.0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0.0</v>
      </c>
      <c r="N48" s="19">
        <v>1.0</v>
      </c>
      <c r="O48" s="19">
        <v>1.0</v>
      </c>
      <c r="P48" s="13">
        <f t="shared" si="14"/>
        <v>7</v>
      </c>
    </row>
    <row r="49" ht="12.75" customHeight="1">
      <c r="A49" s="18"/>
      <c r="B49" s="57">
        <v>4.0</v>
      </c>
      <c r="C49" s="52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3">
        <f t="shared" si="14"/>
        <v>4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3.0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2.0</v>
      </c>
      <c r="N50" s="19">
        <v>0.0</v>
      </c>
      <c r="O50" s="19">
        <v>2.0</v>
      </c>
      <c r="P50" s="13">
        <f t="shared" si="14"/>
        <v>9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1.0</v>
      </c>
      <c r="G51" s="19">
        <v>2.0</v>
      </c>
      <c r="H51" s="19">
        <v>0.0</v>
      </c>
      <c r="I51" s="19">
        <v>1.0</v>
      </c>
      <c r="J51" s="19">
        <v>0.0</v>
      </c>
      <c r="K51" s="19">
        <v>2.0</v>
      </c>
      <c r="L51" s="19">
        <v>0.0</v>
      </c>
      <c r="M51" s="19">
        <v>0.0</v>
      </c>
      <c r="N51" s="19">
        <v>0.0</v>
      </c>
      <c r="O51" s="19">
        <v>0.0</v>
      </c>
      <c r="P51" s="13">
        <f t="shared" si="14"/>
        <v>6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3">
        <f t="shared" si="14"/>
        <v>1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O55" si="15">SUM(E45:E52)</f>
        <v>29</v>
      </c>
      <c r="F55" s="13">
        <f t="shared" si="15"/>
        <v>31</v>
      </c>
      <c r="G55" s="13">
        <f t="shared" si="15"/>
        <v>39</v>
      </c>
      <c r="H55" s="13">
        <f t="shared" si="15"/>
        <v>29</v>
      </c>
      <c r="I55" s="13">
        <f t="shared" si="15"/>
        <v>32</v>
      </c>
      <c r="J55" s="13">
        <f t="shared" si="15"/>
        <v>47</v>
      </c>
      <c r="K55" s="13">
        <f t="shared" si="15"/>
        <v>66</v>
      </c>
      <c r="L55" s="13">
        <f t="shared" si="15"/>
        <v>38</v>
      </c>
      <c r="M55" s="13">
        <f t="shared" si="15"/>
        <v>23</v>
      </c>
      <c r="N55" s="13">
        <f t="shared" si="15"/>
        <v>22</v>
      </c>
      <c r="O55" s="13">
        <f t="shared" si="15"/>
        <v>27</v>
      </c>
      <c r="P55" s="13">
        <f t="shared" si="14"/>
        <v>383</v>
      </c>
    </row>
    <row r="56" ht="12.75" customHeight="1">
      <c r="A56" s="47"/>
      <c r="B56" s="46"/>
      <c r="C56" s="46"/>
      <c r="D56" s="46"/>
      <c r="E56" s="46"/>
      <c r="P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9.0</v>
      </c>
      <c r="F57" s="19">
        <v>14.0</v>
      </c>
      <c r="G57" s="19">
        <v>7.0</v>
      </c>
      <c r="H57" s="19">
        <v>12.0</v>
      </c>
      <c r="I57" s="19">
        <v>18.0</v>
      </c>
      <c r="J57" s="19">
        <v>7.0</v>
      </c>
      <c r="K57" s="19">
        <v>14.0</v>
      </c>
      <c r="L57" s="19">
        <v>11.0</v>
      </c>
      <c r="M57" s="19">
        <v>10.0</v>
      </c>
      <c r="N57" s="19">
        <v>10.0</v>
      </c>
      <c r="O57" s="19">
        <v>10.0</v>
      </c>
      <c r="P57" s="13">
        <f t="shared" ref="P57:P67" si="16">SUM(E57:O57)</f>
        <v>122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14.0</v>
      </c>
      <c r="F58" s="19">
        <v>20.0</v>
      </c>
      <c r="G58" s="19">
        <v>39.0</v>
      </c>
      <c r="H58" s="19">
        <v>22.0</v>
      </c>
      <c r="I58" s="19">
        <v>46.0</v>
      </c>
      <c r="J58" s="19">
        <v>30.0</v>
      </c>
      <c r="K58" s="19">
        <v>7.0</v>
      </c>
      <c r="L58" s="19">
        <v>9.0</v>
      </c>
      <c r="M58" s="19">
        <v>30.0</v>
      </c>
      <c r="N58" s="19">
        <v>19.0</v>
      </c>
      <c r="O58" s="19">
        <v>39.0</v>
      </c>
      <c r="P58" s="13">
        <f t="shared" si="16"/>
        <v>275</v>
      </c>
    </row>
    <row r="59" ht="12.75" customHeight="1">
      <c r="A59" s="18"/>
      <c r="B59" s="57">
        <v>2.0</v>
      </c>
      <c r="C59" s="52" t="s">
        <v>50</v>
      </c>
      <c r="D59" s="58"/>
      <c r="E59" s="19">
        <v>2.0</v>
      </c>
      <c r="F59" s="19">
        <v>3.0</v>
      </c>
      <c r="G59" s="19">
        <v>4.0</v>
      </c>
      <c r="H59" s="19">
        <v>2.0</v>
      </c>
      <c r="I59" s="19">
        <v>3.0</v>
      </c>
      <c r="J59" s="19">
        <v>1.0</v>
      </c>
      <c r="K59" s="19">
        <v>2.0</v>
      </c>
      <c r="L59" s="19">
        <v>3.0</v>
      </c>
      <c r="M59" s="19">
        <v>1.0</v>
      </c>
      <c r="N59" s="19">
        <v>1.0</v>
      </c>
      <c r="O59" s="19">
        <v>2.0</v>
      </c>
      <c r="P59" s="13">
        <f t="shared" si="16"/>
        <v>24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0.0</v>
      </c>
      <c r="G60" s="19">
        <v>3.0</v>
      </c>
      <c r="H60" s="19">
        <v>0.0</v>
      </c>
      <c r="I60" s="19">
        <v>2.0</v>
      </c>
      <c r="J60" s="19">
        <v>1.0</v>
      </c>
      <c r="K60" s="19">
        <v>0.0</v>
      </c>
      <c r="L60" s="19">
        <v>1.0</v>
      </c>
      <c r="M60" s="19">
        <v>1.0</v>
      </c>
      <c r="N60" s="19">
        <v>0.0</v>
      </c>
      <c r="O60" s="19">
        <v>1.0</v>
      </c>
      <c r="P60" s="13">
        <f t="shared" si="16"/>
        <v>9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1.0</v>
      </c>
      <c r="G61" s="19">
        <v>0.0</v>
      </c>
      <c r="H61" s="19">
        <v>2.0</v>
      </c>
      <c r="I61" s="19">
        <v>1.0</v>
      </c>
      <c r="J61" s="19">
        <v>0.0</v>
      </c>
      <c r="K61" s="19">
        <v>0.0</v>
      </c>
      <c r="L61" s="19">
        <v>1.0</v>
      </c>
      <c r="M61" s="19">
        <v>0.0</v>
      </c>
      <c r="N61" s="19">
        <v>0.0</v>
      </c>
      <c r="O61" s="19">
        <v>1.0</v>
      </c>
      <c r="P61" s="13">
        <f t="shared" si="16"/>
        <v>6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0.0</v>
      </c>
      <c r="G62" s="19">
        <v>0.0</v>
      </c>
      <c r="H62" s="19">
        <v>2.0</v>
      </c>
      <c r="I62" s="19">
        <v>1.0</v>
      </c>
      <c r="J62" s="19">
        <v>0.0</v>
      </c>
      <c r="K62" s="19">
        <v>0.0</v>
      </c>
      <c r="L62" s="19">
        <v>0.0</v>
      </c>
      <c r="M62" s="19">
        <v>1.0</v>
      </c>
      <c r="N62" s="19">
        <v>1.0</v>
      </c>
      <c r="O62" s="19">
        <v>0.0</v>
      </c>
      <c r="P62" s="13">
        <f t="shared" si="16"/>
        <v>5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3">
        <f t="shared" si="16"/>
        <v>0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1.0</v>
      </c>
      <c r="P64" s="13">
        <f t="shared" si="16"/>
        <v>2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O67" si="17">SUM(E57:E64)</f>
        <v>25</v>
      </c>
      <c r="F67" s="13">
        <f t="shared" si="17"/>
        <v>38</v>
      </c>
      <c r="G67" s="13">
        <f t="shared" si="17"/>
        <v>53</v>
      </c>
      <c r="H67" s="13">
        <f t="shared" si="17"/>
        <v>40</v>
      </c>
      <c r="I67" s="13">
        <f t="shared" si="17"/>
        <v>71</v>
      </c>
      <c r="J67" s="13">
        <f t="shared" si="17"/>
        <v>39</v>
      </c>
      <c r="K67" s="13">
        <f t="shared" si="17"/>
        <v>23</v>
      </c>
      <c r="L67" s="13">
        <f t="shared" si="17"/>
        <v>25</v>
      </c>
      <c r="M67" s="13">
        <f t="shared" si="17"/>
        <v>43</v>
      </c>
      <c r="N67" s="13">
        <f t="shared" si="17"/>
        <v>32</v>
      </c>
      <c r="O67" s="13">
        <f t="shared" si="17"/>
        <v>54</v>
      </c>
      <c r="P67" s="13">
        <f t="shared" si="16"/>
        <v>443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8.0</v>
      </c>
      <c r="F69" s="19">
        <v>6.0</v>
      </c>
      <c r="G69" s="19">
        <v>12.0</v>
      </c>
      <c r="H69" s="19">
        <v>6.0</v>
      </c>
      <c r="I69" s="19">
        <v>5.0</v>
      </c>
      <c r="J69" s="19">
        <v>1.0</v>
      </c>
      <c r="K69" s="19">
        <v>4.0</v>
      </c>
      <c r="L69" s="19">
        <v>5.0</v>
      </c>
      <c r="M69" s="19">
        <v>5.0</v>
      </c>
      <c r="N69" s="19">
        <v>3.0</v>
      </c>
      <c r="O69" s="19">
        <v>4.0</v>
      </c>
      <c r="P69" s="13">
        <f t="shared" ref="P69:P79" si="18">SUM(E69:O69)</f>
        <v>59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5.0</v>
      </c>
      <c r="F70" s="19">
        <v>6.0</v>
      </c>
      <c r="G70" s="19">
        <v>8.0</v>
      </c>
      <c r="H70" s="19">
        <v>16.0</v>
      </c>
      <c r="I70" s="19">
        <v>5.0</v>
      </c>
      <c r="J70" s="19">
        <v>5.0</v>
      </c>
      <c r="K70" s="19">
        <v>11.0</v>
      </c>
      <c r="L70" s="19">
        <v>4.0</v>
      </c>
      <c r="M70" s="19">
        <v>11.0</v>
      </c>
      <c r="N70" s="19">
        <v>7.0</v>
      </c>
      <c r="O70" s="19">
        <v>5.0</v>
      </c>
      <c r="P70" s="13">
        <f t="shared" si="18"/>
        <v>83</v>
      </c>
    </row>
    <row r="71" ht="12.75" customHeight="1">
      <c r="A71" s="18"/>
      <c r="B71" s="57">
        <v>2.0</v>
      </c>
      <c r="C71" s="52" t="s">
        <v>58</v>
      </c>
      <c r="D71" s="60"/>
      <c r="E71" s="19">
        <v>2.0</v>
      </c>
      <c r="F71" s="19">
        <v>4.0</v>
      </c>
      <c r="G71" s="19">
        <v>4.0</v>
      </c>
      <c r="H71" s="19">
        <v>0.0</v>
      </c>
      <c r="I71" s="19">
        <v>2.0</v>
      </c>
      <c r="J71" s="19">
        <v>0.0</v>
      </c>
      <c r="K71" s="19">
        <v>2.0</v>
      </c>
      <c r="L71" s="19">
        <v>4.0</v>
      </c>
      <c r="M71" s="19">
        <v>4.0</v>
      </c>
      <c r="N71" s="19">
        <v>0.0</v>
      </c>
      <c r="O71" s="19">
        <v>2.0</v>
      </c>
      <c r="P71" s="13">
        <f t="shared" si="18"/>
        <v>24</v>
      </c>
    </row>
    <row r="72" ht="12.75" customHeight="1">
      <c r="A72" s="18"/>
      <c r="B72" s="57">
        <v>3.0</v>
      </c>
      <c r="C72" s="52" t="s">
        <v>59</v>
      </c>
      <c r="D72" s="60"/>
      <c r="E72" s="19">
        <v>1.0</v>
      </c>
      <c r="F72" s="19">
        <v>1.0</v>
      </c>
      <c r="G72" s="19">
        <v>0.0</v>
      </c>
      <c r="H72" s="19">
        <v>1.0</v>
      </c>
      <c r="I72" s="19">
        <v>1.0</v>
      </c>
      <c r="J72" s="19">
        <v>0.0</v>
      </c>
      <c r="K72" s="19">
        <v>2.0</v>
      </c>
      <c r="L72" s="19">
        <v>1.0</v>
      </c>
      <c r="M72" s="19">
        <v>2.0</v>
      </c>
      <c r="N72" s="19">
        <v>0.0</v>
      </c>
      <c r="O72" s="19">
        <v>2.0</v>
      </c>
      <c r="P72" s="13">
        <f t="shared" si="18"/>
        <v>11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1.0</v>
      </c>
      <c r="J73" s="19">
        <v>0.0</v>
      </c>
      <c r="K73" s="19">
        <v>1.0</v>
      </c>
      <c r="L73" s="19">
        <v>0.0</v>
      </c>
      <c r="M73" s="19">
        <v>0.0</v>
      </c>
      <c r="N73" s="19">
        <v>0.0</v>
      </c>
      <c r="O73" s="19">
        <v>0.0</v>
      </c>
      <c r="P73" s="13">
        <f t="shared" si="18"/>
        <v>2</v>
      </c>
    </row>
    <row r="74" ht="12.75" customHeight="1">
      <c r="A74" s="18"/>
      <c r="B74" s="57">
        <v>5.0</v>
      </c>
      <c r="C74" s="52" t="s">
        <v>61</v>
      </c>
      <c r="D74" s="60"/>
      <c r="E74" s="19">
        <v>4.0</v>
      </c>
      <c r="F74" s="19">
        <v>1.0</v>
      </c>
      <c r="G74" s="19">
        <v>5.0</v>
      </c>
      <c r="H74" s="19">
        <v>2.0</v>
      </c>
      <c r="I74" s="19">
        <v>2.0</v>
      </c>
      <c r="J74" s="19">
        <v>5.0</v>
      </c>
      <c r="K74" s="19">
        <v>3.0</v>
      </c>
      <c r="L74" s="19">
        <v>6.0</v>
      </c>
      <c r="M74" s="19">
        <v>3.0</v>
      </c>
      <c r="N74" s="19">
        <v>0.0</v>
      </c>
      <c r="O74" s="19">
        <v>0.0</v>
      </c>
      <c r="P74" s="13">
        <f t="shared" si="18"/>
        <v>31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1.0</v>
      </c>
      <c r="G75" s="19">
        <v>1.0</v>
      </c>
      <c r="H75" s="19">
        <v>1.0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3">
        <f t="shared" si="18"/>
        <v>4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2.0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3">
        <f t="shared" si="18"/>
        <v>2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O79" si="19">SUM(E69:E76)</f>
        <v>20</v>
      </c>
      <c r="F79" s="13">
        <f t="shared" si="19"/>
        <v>21</v>
      </c>
      <c r="G79" s="13">
        <f t="shared" si="19"/>
        <v>30</v>
      </c>
      <c r="H79" s="13">
        <f t="shared" si="19"/>
        <v>26</v>
      </c>
      <c r="I79" s="13">
        <f t="shared" si="19"/>
        <v>16</v>
      </c>
      <c r="J79" s="13">
        <f t="shared" si="19"/>
        <v>11</v>
      </c>
      <c r="K79" s="13">
        <f t="shared" si="19"/>
        <v>23</v>
      </c>
      <c r="L79" s="13">
        <f t="shared" si="19"/>
        <v>20</v>
      </c>
      <c r="M79" s="13">
        <f t="shared" si="19"/>
        <v>25</v>
      </c>
      <c r="N79" s="13">
        <f t="shared" si="19"/>
        <v>10</v>
      </c>
      <c r="O79" s="13">
        <f t="shared" si="19"/>
        <v>14</v>
      </c>
      <c r="P79" s="13">
        <f t="shared" si="18"/>
        <v>216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3.0</v>
      </c>
      <c r="F81" s="19">
        <v>3.0</v>
      </c>
      <c r="G81" s="19">
        <v>0.0</v>
      </c>
      <c r="H81" s="19">
        <v>4.0</v>
      </c>
      <c r="I81" s="19">
        <v>4.0</v>
      </c>
      <c r="J81" s="19">
        <v>2.0</v>
      </c>
      <c r="K81" s="19">
        <v>3.0</v>
      </c>
      <c r="L81" s="19">
        <v>0.0</v>
      </c>
      <c r="M81" s="19">
        <v>0.0</v>
      </c>
      <c r="N81" s="19">
        <v>1.0</v>
      </c>
      <c r="O81" s="19">
        <v>0.0</v>
      </c>
      <c r="P81" s="13">
        <f t="shared" ref="P81:P91" si="20">SUM(E81:O81)</f>
        <v>20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8.0</v>
      </c>
      <c r="F82" s="19">
        <v>2.0</v>
      </c>
      <c r="G82" s="19">
        <v>5.0</v>
      </c>
      <c r="H82" s="19">
        <v>9.0</v>
      </c>
      <c r="I82" s="19">
        <v>7.0</v>
      </c>
      <c r="J82" s="19">
        <v>4.0</v>
      </c>
      <c r="K82" s="19">
        <v>8.0</v>
      </c>
      <c r="L82" s="19">
        <v>18.0</v>
      </c>
      <c r="M82" s="19">
        <v>0.0</v>
      </c>
      <c r="N82" s="19">
        <v>1.0</v>
      </c>
      <c r="O82" s="19">
        <v>0.0</v>
      </c>
      <c r="P82" s="13">
        <f t="shared" si="20"/>
        <v>62</v>
      </c>
    </row>
    <row r="83" ht="12.75" customHeight="1">
      <c r="A83" s="18"/>
      <c r="B83" s="57">
        <v>2.0</v>
      </c>
      <c r="C83" s="52" t="s">
        <v>66</v>
      </c>
      <c r="D83" s="60"/>
      <c r="E83" s="19">
        <v>1.0</v>
      </c>
      <c r="F83" s="19">
        <v>0.0</v>
      </c>
      <c r="G83" s="19">
        <v>2.0</v>
      </c>
      <c r="H83" s="19">
        <v>5.0</v>
      </c>
      <c r="I83" s="19">
        <v>3.0</v>
      </c>
      <c r="J83" s="19">
        <v>0.0</v>
      </c>
      <c r="K83" s="19">
        <v>1.0</v>
      </c>
      <c r="L83" s="19">
        <v>14.0</v>
      </c>
      <c r="M83" s="19">
        <v>1.0</v>
      </c>
      <c r="N83" s="19">
        <v>1.0</v>
      </c>
      <c r="O83" s="19">
        <v>0.0</v>
      </c>
      <c r="P83" s="13">
        <f t="shared" si="20"/>
        <v>28</v>
      </c>
    </row>
    <row r="84" ht="12.75" customHeight="1">
      <c r="A84" s="18"/>
      <c r="B84" s="57">
        <v>3.0</v>
      </c>
      <c r="C84" s="52" t="s">
        <v>67</v>
      </c>
      <c r="D84" s="60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2.0</v>
      </c>
      <c r="M84" s="19">
        <v>0.0</v>
      </c>
      <c r="N84" s="19">
        <v>0.0</v>
      </c>
      <c r="O84" s="19">
        <v>1.0</v>
      </c>
      <c r="P84" s="13">
        <f t="shared" si="20"/>
        <v>4</v>
      </c>
    </row>
    <row r="85" ht="12.75" customHeight="1">
      <c r="A85" s="18"/>
      <c r="B85" s="57">
        <v>4.0</v>
      </c>
      <c r="C85" s="52" t="s">
        <v>68</v>
      </c>
      <c r="D85" s="60"/>
      <c r="E85" s="19">
        <v>0.0</v>
      </c>
      <c r="F85" s="19">
        <v>0.0</v>
      </c>
      <c r="G85" s="19">
        <v>0.0</v>
      </c>
      <c r="H85" s="19">
        <v>1.0</v>
      </c>
      <c r="I85" s="19">
        <v>1.0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3">
        <f t="shared" si="20"/>
        <v>3</v>
      </c>
    </row>
    <row r="86" ht="12.75" customHeight="1">
      <c r="A86" s="18"/>
      <c r="B86" s="57">
        <v>5.0</v>
      </c>
      <c r="C86" s="52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3.0</v>
      </c>
      <c r="K86" s="19">
        <v>10.0</v>
      </c>
      <c r="L86" s="19">
        <v>3.0</v>
      </c>
      <c r="M86" s="19">
        <v>0.0</v>
      </c>
      <c r="N86" s="19">
        <v>0.0</v>
      </c>
      <c r="O86" s="19">
        <v>0.0</v>
      </c>
      <c r="P86" s="13">
        <f t="shared" si="20"/>
        <v>17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3">
        <f t="shared" si="20"/>
        <v>2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3">
        <f t="shared" si="20"/>
        <v>0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O91" si="21">SUM(E81:E88)</f>
        <v>13</v>
      </c>
      <c r="F91" s="13">
        <f t="shared" si="21"/>
        <v>5</v>
      </c>
      <c r="G91" s="13">
        <f t="shared" si="21"/>
        <v>7</v>
      </c>
      <c r="H91" s="13">
        <f t="shared" si="21"/>
        <v>20</v>
      </c>
      <c r="I91" s="13">
        <f t="shared" si="21"/>
        <v>16</v>
      </c>
      <c r="J91" s="13">
        <f t="shared" si="21"/>
        <v>10</v>
      </c>
      <c r="K91" s="13">
        <f t="shared" si="21"/>
        <v>23</v>
      </c>
      <c r="L91" s="13">
        <f t="shared" si="21"/>
        <v>37</v>
      </c>
      <c r="M91" s="13">
        <f t="shared" si="21"/>
        <v>1</v>
      </c>
      <c r="N91" s="13">
        <f t="shared" si="21"/>
        <v>3</v>
      </c>
      <c r="O91" s="13">
        <f t="shared" si="21"/>
        <v>1</v>
      </c>
      <c r="P91" s="13">
        <f t="shared" si="20"/>
        <v>136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12.0</v>
      </c>
      <c r="F93" s="19">
        <v>20.0</v>
      </c>
      <c r="G93" s="19">
        <v>9.0</v>
      </c>
      <c r="H93" s="19">
        <v>2.0</v>
      </c>
      <c r="I93" s="19">
        <v>15.0</v>
      </c>
      <c r="J93" s="19">
        <v>12.0</v>
      </c>
      <c r="K93" s="19">
        <v>8.0</v>
      </c>
      <c r="L93" s="19">
        <v>8.0</v>
      </c>
      <c r="M93" s="19">
        <v>7.0</v>
      </c>
      <c r="N93" s="19">
        <v>16.0</v>
      </c>
      <c r="O93" s="19">
        <v>14.0</v>
      </c>
      <c r="P93" s="13">
        <f t="shared" ref="P93:P103" si="22">SUM(E93:O93)</f>
        <v>123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7.0</v>
      </c>
      <c r="F94" s="19">
        <v>10.0</v>
      </c>
      <c r="G94" s="19">
        <v>2.0</v>
      </c>
      <c r="H94" s="19">
        <v>1.0</v>
      </c>
      <c r="I94" s="19">
        <v>3.0</v>
      </c>
      <c r="J94" s="19">
        <v>3.0</v>
      </c>
      <c r="K94" s="19">
        <v>3.0</v>
      </c>
      <c r="L94" s="19">
        <v>1.0</v>
      </c>
      <c r="M94" s="19">
        <v>1.0</v>
      </c>
      <c r="N94" s="19">
        <v>6.0</v>
      </c>
      <c r="O94" s="19">
        <v>4.0</v>
      </c>
      <c r="P94" s="13">
        <f t="shared" si="22"/>
        <v>41</v>
      </c>
    </row>
    <row r="95" ht="12.75" customHeight="1">
      <c r="A95" s="18"/>
      <c r="B95" s="57">
        <v>2.0</v>
      </c>
      <c r="C95" s="52" t="s">
        <v>75</v>
      </c>
      <c r="D95" s="60"/>
      <c r="E95" s="19">
        <v>4.0</v>
      </c>
      <c r="F95" s="19">
        <v>9.0</v>
      </c>
      <c r="G95" s="19">
        <v>15.0</v>
      </c>
      <c r="H95" s="19">
        <v>11.0</v>
      </c>
      <c r="I95" s="19">
        <v>9.0</v>
      </c>
      <c r="J95" s="19">
        <v>12.0</v>
      </c>
      <c r="K95" s="19">
        <v>6.0</v>
      </c>
      <c r="L95" s="19">
        <v>9.0</v>
      </c>
      <c r="M95" s="19">
        <v>6.0</v>
      </c>
      <c r="N95" s="19">
        <v>3.0</v>
      </c>
      <c r="O95" s="19">
        <v>1.0</v>
      </c>
      <c r="P95" s="13">
        <f t="shared" si="22"/>
        <v>85</v>
      </c>
    </row>
    <row r="96" ht="12.75" customHeight="1">
      <c r="A96" s="18"/>
      <c r="B96" s="57">
        <v>3.0</v>
      </c>
      <c r="C96" s="52" t="s">
        <v>76</v>
      </c>
      <c r="D96" s="60"/>
      <c r="E96" s="19">
        <v>3.0</v>
      </c>
      <c r="F96" s="19">
        <v>0.0</v>
      </c>
      <c r="G96" s="19">
        <v>0.0</v>
      </c>
      <c r="H96" s="19">
        <v>0.0</v>
      </c>
      <c r="I96" s="19">
        <v>1.0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3.0</v>
      </c>
      <c r="P96" s="13">
        <f t="shared" si="22"/>
        <v>8</v>
      </c>
    </row>
    <row r="97" ht="12.75" customHeight="1">
      <c r="A97" s="18"/>
      <c r="B97" s="57">
        <v>4.0</v>
      </c>
      <c r="C97" s="52" t="s">
        <v>77</v>
      </c>
      <c r="D97" s="60"/>
      <c r="E97" s="19">
        <v>2.0</v>
      </c>
      <c r="F97" s="19">
        <v>2.0</v>
      </c>
      <c r="G97" s="19">
        <v>4.0</v>
      </c>
      <c r="H97" s="19">
        <v>0.0</v>
      </c>
      <c r="I97" s="19">
        <v>3.0</v>
      </c>
      <c r="J97" s="19">
        <v>3.0</v>
      </c>
      <c r="K97" s="19">
        <v>3.0</v>
      </c>
      <c r="L97" s="19">
        <v>1.0</v>
      </c>
      <c r="M97" s="19">
        <v>4.0</v>
      </c>
      <c r="N97" s="19">
        <v>2.0</v>
      </c>
      <c r="O97" s="19">
        <v>2.0</v>
      </c>
      <c r="P97" s="13">
        <f t="shared" si="22"/>
        <v>26</v>
      </c>
    </row>
    <row r="98" ht="12.75" customHeight="1">
      <c r="A98" s="18"/>
      <c r="B98" s="57">
        <v>5.0</v>
      </c>
      <c r="C98" s="52" t="s">
        <v>78</v>
      </c>
      <c r="D98" s="60"/>
      <c r="E98" s="19">
        <v>6.0</v>
      </c>
      <c r="F98" s="19">
        <v>2.0</v>
      </c>
      <c r="G98" s="19">
        <v>9.0</v>
      </c>
      <c r="H98" s="19">
        <v>0.0</v>
      </c>
      <c r="I98" s="19">
        <v>9.0</v>
      </c>
      <c r="J98" s="19">
        <v>3.0</v>
      </c>
      <c r="K98" s="19">
        <v>5.0</v>
      </c>
      <c r="L98" s="19">
        <v>1.0</v>
      </c>
      <c r="M98" s="19">
        <v>2.0</v>
      </c>
      <c r="N98" s="19">
        <v>0.0</v>
      </c>
      <c r="O98" s="19">
        <v>8.0</v>
      </c>
      <c r="P98" s="13">
        <f t="shared" si="22"/>
        <v>45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2.0</v>
      </c>
      <c r="G99" s="19">
        <v>0.0</v>
      </c>
      <c r="H99" s="19">
        <v>0.0</v>
      </c>
      <c r="I99" s="19">
        <v>2.0</v>
      </c>
      <c r="J99" s="19">
        <v>0.0</v>
      </c>
      <c r="K99" s="19">
        <v>0.0</v>
      </c>
      <c r="L99" s="19">
        <v>1.0</v>
      </c>
      <c r="M99" s="19">
        <v>1.0</v>
      </c>
      <c r="N99" s="19">
        <v>0.0</v>
      </c>
      <c r="O99" s="19">
        <v>2.0</v>
      </c>
      <c r="P99" s="13">
        <f t="shared" si="22"/>
        <v>8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1.0</v>
      </c>
      <c r="G100" s="19">
        <v>1.0</v>
      </c>
      <c r="H100" s="19">
        <v>0.0</v>
      </c>
      <c r="I100" s="19">
        <v>1.0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3">
        <f t="shared" si="22"/>
        <v>4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O103" si="23">SUM(E93:E100)</f>
        <v>34</v>
      </c>
      <c r="F103" s="13">
        <f t="shared" si="23"/>
        <v>46</v>
      </c>
      <c r="G103" s="13">
        <f t="shared" si="23"/>
        <v>40</v>
      </c>
      <c r="H103" s="13">
        <f t="shared" si="23"/>
        <v>14</v>
      </c>
      <c r="I103" s="13">
        <f t="shared" si="23"/>
        <v>43</v>
      </c>
      <c r="J103" s="13">
        <f t="shared" si="23"/>
        <v>34</v>
      </c>
      <c r="K103" s="13">
        <f t="shared" si="23"/>
        <v>26</v>
      </c>
      <c r="L103" s="13">
        <f t="shared" si="23"/>
        <v>21</v>
      </c>
      <c r="M103" s="13">
        <f t="shared" si="23"/>
        <v>21</v>
      </c>
      <c r="N103" s="13">
        <f t="shared" si="23"/>
        <v>27</v>
      </c>
      <c r="O103" s="13">
        <f t="shared" si="23"/>
        <v>34</v>
      </c>
      <c r="P103" s="13">
        <f t="shared" si="22"/>
        <v>340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2.0</v>
      </c>
      <c r="F105" s="19">
        <v>1.0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1.0</v>
      </c>
      <c r="N105" s="19">
        <v>0.0</v>
      </c>
      <c r="O105" s="19">
        <v>2.0</v>
      </c>
      <c r="P105" s="13">
        <f t="shared" ref="P105:P115" si="24">SUM(E105:O105)</f>
        <v>7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3">
        <f t="shared" si="24"/>
        <v>1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3">
        <f t="shared" si="24"/>
        <v>2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3">
        <f t="shared" si="24"/>
        <v>1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1.0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3">
        <f t="shared" si="24"/>
        <v>1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3">
        <f t="shared" si="24"/>
        <v>1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O115" si="25">SUM(E105:E112)</f>
        <v>4</v>
      </c>
      <c r="F115" s="13">
        <f t="shared" si="25"/>
        <v>2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4</v>
      </c>
      <c r="P115" s="13">
        <f t="shared" si="24"/>
        <v>13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2.0</v>
      </c>
      <c r="F117" s="19">
        <v>2.0</v>
      </c>
      <c r="G117" s="19">
        <v>1.0</v>
      </c>
      <c r="H117" s="19">
        <v>4.0</v>
      </c>
      <c r="I117" s="19">
        <v>1.0</v>
      </c>
      <c r="J117" s="19">
        <v>1.0</v>
      </c>
      <c r="K117" s="19">
        <v>0.0</v>
      </c>
      <c r="L117" s="19">
        <v>1.0</v>
      </c>
      <c r="M117" s="19">
        <v>4.0</v>
      </c>
      <c r="N117" s="19">
        <v>4.0</v>
      </c>
      <c r="O117" s="19">
        <v>3.0</v>
      </c>
      <c r="P117" s="13">
        <f t="shared" ref="P117:P127" si="26">SUM(E117:O117)</f>
        <v>23</v>
      </c>
      <c r="Q117" s="5"/>
      <c r="R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2.0</v>
      </c>
      <c r="F118" s="19">
        <v>0.0</v>
      </c>
      <c r="G118" s="19">
        <v>1.0</v>
      </c>
      <c r="H118" s="19">
        <v>1.0</v>
      </c>
      <c r="I118" s="19">
        <v>0.0</v>
      </c>
      <c r="J118" s="19">
        <v>0.0</v>
      </c>
      <c r="K118" s="19">
        <v>0.0</v>
      </c>
      <c r="L118" s="19">
        <v>2.0</v>
      </c>
      <c r="M118" s="19">
        <v>5.0</v>
      </c>
      <c r="N118" s="19">
        <v>2.0</v>
      </c>
      <c r="O118" s="19">
        <v>0.0</v>
      </c>
      <c r="P118" s="13">
        <f t="shared" si="26"/>
        <v>13</v>
      </c>
      <c r="Q118" s="5"/>
      <c r="R118" s="5"/>
    </row>
    <row r="119" ht="12.75" customHeight="1">
      <c r="A119" s="18"/>
      <c r="B119" s="57">
        <v>2.0</v>
      </c>
      <c r="C119" s="52" t="s">
        <v>93</v>
      </c>
      <c r="D119" s="60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3">
        <f t="shared" si="26"/>
        <v>2</v>
      </c>
      <c r="Q119" s="5"/>
      <c r="R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3">
        <f t="shared" si="26"/>
        <v>0</v>
      </c>
      <c r="Q120" s="5"/>
      <c r="R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3">
        <f t="shared" si="26"/>
        <v>0</v>
      </c>
      <c r="Q121" s="5"/>
      <c r="R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3">
        <f t="shared" si="26"/>
        <v>0</v>
      </c>
      <c r="Q122" s="5"/>
      <c r="R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13">
        <f t="shared" si="26"/>
        <v>0</v>
      </c>
      <c r="Q123" s="5"/>
      <c r="R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13">
        <f t="shared" si="26"/>
        <v>0</v>
      </c>
      <c r="Q124" s="5"/>
      <c r="R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13">
        <f t="shared" si="26"/>
        <v>0</v>
      </c>
      <c r="Q125" s="5"/>
      <c r="R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13">
        <f t="shared" si="26"/>
        <v>0</v>
      </c>
      <c r="Q126" s="5"/>
      <c r="R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O127" si="27">SUM(E117:E120)</f>
        <v>5</v>
      </c>
      <c r="F127" s="61">
        <f t="shared" si="27"/>
        <v>2</v>
      </c>
      <c r="G127" s="61">
        <f t="shared" si="27"/>
        <v>2</v>
      </c>
      <c r="H127" s="61">
        <f t="shared" si="27"/>
        <v>5</v>
      </c>
      <c r="I127" s="61">
        <f t="shared" si="27"/>
        <v>1</v>
      </c>
      <c r="J127" s="61">
        <f t="shared" si="27"/>
        <v>2</v>
      </c>
      <c r="K127" s="61">
        <f t="shared" si="27"/>
        <v>0</v>
      </c>
      <c r="L127" s="61">
        <f t="shared" si="27"/>
        <v>3</v>
      </c>
      <c r="M127" s="61">
        <f t="shared" si="27"/>
        <v>9</v>
      </c>
      <c r="N127" s="61">
        <f t="shared" si="27"/>
        <v>6</v>
      </c>
      <c r="O127" s="61">
        <f t="shared" si="27"/>
        <v>3</v>
      </c>
      <c r="P127" s="13">
        <f t="shared" si="26"/>
        <v>38</v>
      </c>
      <c r="Q127" s="5"/>
      <c r="R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5"/>
      <c r="R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2.0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1.0</v>
      </c>
      <c r="L129" s="19">
        <v>1.0</v>
      </c>
      <c r="M129" s="19">
        <v>2.0</v>
      </c>
      <c r="N129" s="19">
        <v>3.0</v>
      </c>
      <c r="O129" s="19">
        <v>0.0</v>
      </c>
      <c r="P129" s="13">
        <f t="shared" ref="P129:P139" si="28">SUM(E129:O129)</f>
        <v>9</v>
      </c>
      <c r="Q129" s="5"/>
      <c r="R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1.0</v>
      </c>
      <c r="F130" s="19">
        <v>0.0</v>
      </c>
      <c r="G130" s="19">
        <v>2.0</v>
      </c>
      <c r="H130" s="19">
        <v>1.0</v>
      </c>
      <c r="I130" s="19">
        <v>0.0</v>
      </c>
      <c r="J130" s="19">
        <v>0.0</v>
      </c>
      <c r="K130" s="19">
        <v>3.0</v>
      </c>
      <c r="L130" s="19">
        <v>1.0</v>
      </c>
      <c r="M130" s="19">
        <v>0.0</v>
      </c>
      <c r="N130" s="19">
        <v>0.0</v>
      </c>
      <c r="O130" s="19">
        <v>0.0</v>
      </c>
      <c r="P130" s="13">
        <f t="shared" si="28"/>
        <v>8</v>
      </c>
      <c r="Q130" s="1"/>
      <c r="R130" s="1"/>
    </row>
    <row r="131" ht="12.75" customHeight="1">
      <c r="A131" s="18"/>
      <c r="B131" s="57">
        <v>2.0</v>
      </c>
      <c r="C131" s="52" t="s">
        <v>98</v>
      </c>
      <c r="D131" s="58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2.0</v>
      </c>
      <c r="L131" s="19">
        <v>0.0</v>
      </c>
      <c r="M131" s="19">
        <v>0.0</v>
      </c>
      <c r="N131" s="19">
        <v>0.0</v>
      </c>
      <c r="O131" s="19">
        <v>0.0</v>
      </c>
      <c r="P131" s="13">
        <f t="shared" si="28"/>
        <v>3</v>
      </c>
      <c r="Q131" s="54"/>
      <c r="R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3">
        <f t="shared" si="28"/>
        <v>0</v>
      </c>
      <c r="Q132" s="5"/>
      <c r="R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2.0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3">
        <f t="shared" si="28"/>
        <v>2</v>
      </c>
      <c r="Q133" s="5"/>
      <c r="R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6.0</v>
      </c>
      <c r="O134" s="19">
        <v>0.0</v>
      </c>
      <c r="P134" s="13">
        <f t="shared" si="28"/>
        <v>6</v>
      </c>
      <c r="Q134" s="5"/>
      <c r="R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1.0</v>
      </c>
      <c r="G135" s="19">
        <v>0.0</v>
      </c>
      <c r="H135" s="19">
        <v>1.0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1.0</v>
      </c>
      <c r="O135" s="19">
        <v>0.0</v>
      </c>
      <c r="P135" s="13">
        <f t="shared" si="28"/>
        <v>3</v>
      </c>
      <c r="Q135" s="5"/>
      <c r="R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3">
        <f t="shared" si="28"/>
        <v>0</v>
      </c>
      <c r="Q136" s="5"/>
      <c r="R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3">
        <f t="shared" si="28"/>
        <v>0</v>
      </c>
      <c r="Q137" s="5"/>
      <c r="R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3">
        <f t="shared" si="28"/>
        <v>0</v>
      </c>
      <c r="Q138" s="5"/>
      <c r="R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O139" si="29">SUM(E129:E136)</f>
        <v>3</v>
      </c>
      <c r="F139" s="13">
        <f t="shared" si="29"/>
        <v>3</v>
      </c>
      <c r="G139" s="13">
        <f t="shared" si="29"/>
        <v>3</v>
      </c>
      <c r="H139" s="13">
        <f t="shared" si="29"/>
        <v>2</v>
      </c>
      <c r="I139" s="13">
        <f t="shared" si="29"/>
        <v>0</v>
      </c>
      <c r="J139" s="13">
        <f t="shared" si="29"/>
        <v>0</v>
      </c>
      <c r="K139" s="13">
        <f t="shared" si="29"/>
        <v>6</v>
      </c>
      <c r="L139" s="13">
        <f t="shared" si="29"/>
        <v>2</v>
      </c>
      <c r="M139" s="13">
        <f t="shared" si="29"/>
        <v>2</v>
      </c>
      <c r="N139" s="13">
        <f t="shared" si="29"/>
        <v>10</v>
      </c>
      <c r="O139" s="13">
        <f t="shared" si="29"/>
        <v>0</v>
      </c>
      <c r="P139" s="13">
        <f t="shared" si="28"/>
        <v>31</v>
      </c>
      <c r="Q139" s="5"/>
      <c r="R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5"/>
      <c r="R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1.0</v>
      </c>
      <c r="P141" s="13">
        <f t="shared" ref="P141:P151" si="30">SUM(E141:O141)</f>
        <v>1</v>
      </c>
      <c r="Q141" s="1"/>
      <c r="R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3">
        <f t="shared" si="30"/>
        <v>0</v>
      </c>
      <c r="Q142" s="54"/>
      <c r="R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1.0</v>
      </c>
      <c r="P143" s="13">
        <f t="shared" si="30"/>
        <v>1</v>
      </c>
      <c r="Q143" s="5"/>
      <c r="R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1.0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3">
        <f t="shared" si="30"/>
        <v>1</v>
      </c>
      <c r="Q144" s="5"/>
      <c r="R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1.0</v>
      </c>
      <c r="N145" s="19">
        <v>0.0</v>
      </c>
      <c r="O145" s="19">
        <v>1.0</v>
      </c>
      <c r="P145" s="13">
        <f t="shared" si="30"/>
        <v>2</v>
      </c>
      <c r="Q145" s="5"/>
      <c r="R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1.0</v>
      </c>
      <c r="P146" s="13">
        <f t="shared" si="30"/>
        <v>1</v>
      </c>
      <c r="Q146" s="5"/>
      <c r="R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3">
        <f t="shared" si="30"/>
        <v>0</v>
      </c>
      <c r="Q147" s="5"/>
      <c r="R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3">
        <f t="shared" si="30"/>
        <v>0</v>
      </c>
      <c r="Q148" s="5"/>
      <c r="R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3">
        <f t="shared" si="30"/>
        <v>0</v>
      </c>
      <c r="Q149" s="5"/>
      <c r="R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3">
        <f t="shared" si="30"/>
        <v>0</v>
      </c>
      <c r="Q150" s="5"/>
      <c r="R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O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4</v>
      </c>
      <c r="P151" s="13">
        <f t="shared" si="30"/>
        <v>6</v>
      </c>
      <c r="Q151" s="1"/>
      <c r="R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13"/>
      <c r="Q152" s="54"/>
      <c r="R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0.0</v>
      </c>
      <c r="F153" s="19">
        <v>1.0</v>
      </c>
      <c r="G153" s="19">
        <v>0.0</v>
      </c>
      <c r="H153" s="19">
        <v>2.0</v>
      </c>
      <c r="I153" s="19">
        <v>1.0</v>
      </c>
      <c r="J153" s="19">
        <v>0.0</v>
      </c>
      <c r="K153" s="19">
        <v>1.0</v>
      </c>
      <c r="L153" s="19">
        <v>1.0</v>
      </c>
      <c r="M153" s="19">
        <v>0.0</v>
      </c>
      <c r="N153" s="19">
        <v>0.0</v>
      </c>
      <c r="O153" s="19">
        <v>2.0</v>
      </c>
      <c r="P153" s="13">
        <f t="shared" ref="P153:P162" si="32">SUM(E153:O153)</f>
        <v>8</v>
      </c>
      <c r="Q153" s="5"/>
      <c r="R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0.0</v>
      </c>
      <c r="F154" s="19">
        <v>0.0</v>
      </c>
      <c r="G154" s="19">
        <v>0.0</v>
      </c>
      <c r="H154" s="19">
        <v>2.0</v>
      </c>
      <c r="I154" s="19">
        <v>0.0</v>
      </c>
      <c r="J154" s="19">
        <v>1.0</v>
      </c>
      <c r="K154" s="19">
        <v>0.0</v>
      </c>
      <c r="L154" s="19">
        <v>3.0</v>
      </c>
      <c r="M154" s="19">
        <v>0.0</v>
      </c>
      <c r="N154" s="19">
        <v>0.0</v>
      </c>
      <c r="O154" s="19">
        <v>0.0</v>
      </c>
      <c r="P154" s="13">
        <f t="shared" si="32"/>
        <v>6</v>
      </c>
      <c r="Q154" s="5"/>
      <c r="R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2.0</v>
      </c>
      <c r="I155" s="19">
        <v>1.0</v>
      </c>
      <c r="J155" s="19">
        <v>1.0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3">
        <f t="shared" si="32"/>
        <v>5</v>
      </c>
      <c r="Q155" s="5"/>
      <c r="R155" s="5"/>
    </row>
    <row r="156" ht="12.75" customHeight="1">
      <c r="A156" s="18"/>
      <c r="B156" s="57">
        <v>3.0</v>
      </c>
      <c r="C156" s="62" t="s">
        <v>117</v>
      </c>
      <c r="D156" s="60"/>
      <c r="E156" s="19">
        <v>1.0</v>
      </c>
      <c r="F156" s="19">
        <v>0.0</v>
      </c>
      <c r="G156" s="19">
        <v>0.0</v>
      </c>
      <c r="H156" s="19">
        <v>0.0</v>
      </c>
      <c r="I156" s="19">
        <v>1.0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3">
        <f t="shared" si="32"/>
        <v>2</v>
      </c>
      <c r="Q156" s="5"/>
      <c r="R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3">
        <f t="shared" si="32"/>
        <v>0</v>
      </c>
      <c r="Q157" s="5"/>
      <c r="R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3">
        <f t="shared" si="32"/>
        <v>0</v>
      </c>
      <c r="Q158" s="5"/>
      <c r="R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3">
        <f t="shared" si="32"/>
        <v>0</v>
      </c>
      <c r="Q159" s="5"/>
      <c r="R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3">
        <f t="shared" si="32"/>
        <v>0</v>
      </c>
      <c r="Q160" s="5"/>
      <c r="R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3">
        <f t="shared" si="32"/>
        <v>0</v>
      </c>
      <c r="Q161" s="5"/>
      <c r="R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3">
        <f t="shared" si="32"/>
        <v>0</v>
      </c>
      <c r="Q162" s="5"/>
      <c r="R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O163" si="33">SUM(E153:E157)</f>
        <v>1</v>
      </c>
      <c r="F163" s="13">
        <f t="shared" si="33"/>
        <v>1</v>
      </c>
      <c r="G163" s="13">
        <f t="shared" si="33"/>
        <v>0</v>
      </c>
      <c r="H163" s="13">
        <f t="shared" si="33"/>
        <v>6</v>
      </c>
      <c r="I163" s="13">
        <f t="shared" si="33"/>
        <v>3</v>
      </c>
      <c r="J163" s="13">
        <f t="shared" si="33"/>
        <v>2</v>
      </c>
      <c r="K163" s="13">
        <f t="shared" si="33"/>
        <v>1</v>
      </c>
      <c r="L163" s="13">
        <f t="shared" si="33"/>
        <v>5</v>
      </c>
      <c r="M163" s="13">
        <f t="shared" si="33"/>
        <v>0</v>
      </c>
      <c r="N163" s="13">
        <f t="shared" si="33"/>
        <v>0</v>
      </c>
      <c r="O163" s="13">
        <f t="shared" si="33"/>
        <v>2</v>
      </c>
      <c r="P163" s="13">
        <f>SUM(E164:O164)</f>
        <v>0</v>
      </c>
      <c r="Q163" s="5"/>
      <c r="R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5"/>
      <c r="R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1.0</v>
      </c>
      <c r="F165" s="19">
        <v>2.0</v>
      </c>
      <c r="G165" s="19">
        <v>0.0</v>
      </c>
      <c r="H165" s="19">
        <v>1.0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1.0</v>
      </c>
      <c r="P165" s="13">
        <f t="shared" ref="P165:P175" si="34">SUM(E165:O165)</f>
        <v>7</v>
      </c>
      <c r="Q165" s="1"/>
      <c r="R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3">
        <f t="shared" si="34"/>
        <v>0</v>
      </c>
      <c r="Q166" s="54"/>
      <c r="R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2.0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3">
        <f t="shared" si="34"/>
        <v>2</v>
      </c>
      <c r="Q167" s="5"/>
      <c r="R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3">
        <f t="shared" si="34"/>
        <v>0</v>
      </c>
      <c r="Q168" s="5"/>
      <c r="R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3">
        <f t="shared" si="34"/>
        <v>0</v>
      </c>
      <c r="Q169" s="5"/>
      <c r="R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3">
        <f t="shared" si="34"/>
        <v>0</v>
      </c>
      <c r="Q170" s="5"/>
      <c r="R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3">
        <f t="shared" si="34"/>
        <v>0</v>
      </c>
      <c r="Q171" s="5"/>
      <c r="R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3">
        <f t="shared" si="34"/>
        <v>0</v>
      </c>
      <c r="Q172" s="5"/>
      <c r="R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3">
        <f t="shared" si="34"/>
        <v>0</v>
      </c>
      <c r="Q173" s="5"/>
      <c r="R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3">
        <f t="shared" si="34"/>
        <v>0</v>
      </c>
      <c r="Q174" s="5"/>
      <c r="R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O175" si="35">SUM(E165:E172)</f>
        <v>3</v>
      </c>
      <c r="F175" s="13">
        <f t="shared" si="35"/>
        <v>2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4"/>
        <v>9</v>
      </c>
      <c r="Q175" s="5"/>
      <c r="R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1"/>
      <c r="R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1.0</v>
      </c>
      <c r="F177" s="19">
        <v>5.0</v>
      </c>
      <c r="G177" s="19">
        <v>0.0</v>
      </c>
      <c r="H177" s="19">
        <v>1.0</v>
      </c>
      <c r="I177" s="19">
        <v>2.0</v>
      </c>
      <c r="J177" s="19">
        <v>3.0</v>
      </c>
      <c r="K177" s="19">
        <v>0.0</v>
      </c>
      <c r="L177" s="19">
        <v>1.0</v>
      </c>
      <c r="M177" s="19">
        <v>1.0</v>
      </c>
      <c r="N177" s="19">
        <v>0.0</v>
      </c>
      <c r="O177" s="19">
        <v>0.0</v>
      </c>
      <c r="P177" s="13">
        <f t="shared" ref="P177:P187" si="36">SUM(E177:O177)</f>
        <v>14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0.0</v>
      </c>
      <c r="F178" s="19">
        <v>4.0</v>
      </c>
      <c r="G178" s="19">
        <v>0.0</v>
      </c>
      <c r="H178" s="19">
        <v>1.0</v>
      </c>
      <c r="I178" s="19">
        <v>1.0</v>
      </c>
      <c r="J178" s="19">
        <v>1.0</v>
      </c>
      <c r="K178" s="19">
        <v>0.0</v>
      </c>
      <c r="L178" s="19">
        <v>5.0</v>
      </c>
      <c r="M178" s="19">
        <v>1.0</v>
      </c>
      <c r="N178" s="19">
        <v>1.0</v>
      </c>
      <c r="O178" s="19">
        <v>1.0</v>
      </c>
      <c r="P178" s="13">
        <f t="shared" si="36"/>
        <v>15</v>
      </c>
      <c r="Q178" s="5"/>
      <c r="R178" s="5"/>
    </row>
    <row r="179" ht="12.75" customHeight="1">
      <c r="A179" s="18"/>
      <c r="B179" s="57">
        <v>2.0</v>
      </c>
      <c r="C179" s="52" t="s">
        <v>131</v>
      </c>
      <c r="D179" s="60"/>
      <c r="E179" s="19">
        <v>0.0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3">
        <f t="shared" si="36"/>
        <v>2</v>
      </c>
      <c r="Q179" s="5"/>
      <c r="R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2.0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3">
        <f t="shared" si="36"/>
        <v>2</v>
      </c>
      <c r="Q180" s="5"/>
      <c r="R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3">
        <f t="shared" si="36"/>
        <v>0</v>
      </c>
      <c r="Q181" s="5"/>
      <c r="R181" s="5"/>
    </row>
    <row r="182" ht="12.75" customHeight="1">
      <c r="A182" s="18"/>
      <c r="B182" s="57">
        <v>5.0</v>
      </c>
      <c r="C182" s="52" t="s">
        <v>134</v>
      </c>
      <c r="D182" s="60"/>
      <c r="E182" s="19">
        <v>1.0</v>
      </c>
      <c r="F182" s="19">
        <v>0.0</v>
      </c>
      <c r="G182" s="19">
        <v>1.0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3">
        <f t="shared" si="36"/>
        <v>4</v>
      </c>
      <c r="Q182" s="5"/>
      <c r="R182" s="5"/>
    </row>
    <row r="183" ht="12.75" customHeight="1">
      <c r="A183" s="18"/>
      <c r="B183" s="57">
        <v>6.0</v>
      </c>
      <c r="C183" s="52" t="s">
        <v>135</v>
      </c>
      <c r="D183" s="60"/>
      <c r="E183" s="19">
        <v>1.0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3">
        <f t="shared" si="36"/>
        <v>1</v>
      </c>
      <c r="Q183" s="5"/>
      <c r="R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3">
        <f t="shared" si="36"/>
        <v>1</v>
      </c>
      <c r="Q184" s="5"/>
      <c r="R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3">
        <f t="shared" si="36"/>
        <v>0</v>
      </c>
      <c r="Q185" s="5"/>
      <c r="R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3">
        <f t="shared" si="36"/>
        <v>0</v>
      </c>
      <c r="Q186" s="5"/>
      <c r="R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O187" si="37">SUM(E177:E184)</f>
        <v>3</v>
      </c>
      <c r="F187" s="13">
        <f t="shared" si="37"/>
        <v>9</v>
      </c>
      <c r="G187" s="13">
        <f t="shared" si="37"/>
        <v>2</v>
      </c>
      <c r="H187" s="13">
        <f t="shared" si="37"/>
        <v>2</v>
      </c>
      <c r="I187" s="13">
        <f t="shared" si="37"/>
        <v>4</v>
      </c>
      <c r="J187" s="13">
        <f t="shared" si="37"/>
        <v>6</v>
      </c>
      <c r="K187" s="13">
        <f t="shared" si="37"/>
        <v>1</v>
      </c>
      <c r="L187" s="13">
        <f t="shared" si="37"/>
        <v>7</v>
      </c>
      <c r="M187" s="13">
        <f t="shared" si="37"/>
        <v>2</v>
      </c>
      <c r="N187" s="13">
        <f t="shared" si="37"/>
        <v>1</v>
      </c>
      <c r="O187" s="13">
        <f t="shared" si="37"/>
        <v>2</v>
      </c>
      <c r="P187" s="13">
        <f t="shared" si="36"/>
        <v>39</v>
      </c>
      <c r="Q187" s="1"/>
      <c r="R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3">
        <f t="shared" ref="P189:P199" si="38">SUM(E189:O189)</f>
        <v>1</v>
      </c>
      <c r="Q189" s="5"/>
      <c r="R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3">
        <f t="shared" si="38"/>
        <v>0</v>
      </c>
      <c r="Q190" s="5"/>
      <c r="R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1.0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3">
        <f t="shared" si="38"/>
        <v>2</v>
      </c>
      <c r="Q191" s="5"/>
      <c r="R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3">
        <f t="shared" si="38"/>
        <v>0</v>
      </c>
      <c r="Q192" s="5"/>
      <c r="R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3">
        <f t="shared" si="38"/>
        <v>0</v>
      </c>
      <c r="Q193" s="5"/>
      <c r="R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1.0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3">
        <f t="shared" si="38"/>
        <v>1</v>
      </c>
      <c r="Q194" s="5"/>
      <c r="R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3">
        <f t="shared" si="38"/>
        <v>0</v>
      </c>
      <c r="Q195" s="5"/>
      <c r="R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3">
        <f t="shared" si="38"/>
        <v>0</v>
      </c>
      <c r="Q196" s="1"/>
      <c r="R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3">
        <f t="shared" si="38"/>
        <v>0</v>
      </c>
      <c r="Q197" s="1"/>
      <c r="R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3">
        <f t="shared" si="38"/>
        <v>0</v>
      </c>
      <c r="Q198" s="1"/>
      <c r="R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O199" si="39">SUM(E189:E196)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8"/>
        <v>4</v>
      </c>
      <c r="Q199" s="54"/>
      <c r="R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5"/>
      <c r="R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3.0</v>
      </c>
      <c r="F201" s="19">
        <v>2.0</v>
      </c>
      <c r="G201" s="19">
        <v>2.0</v>
      </c>
      <c r="H201" s="19">
        <v>5.0</v>
      </c>
      <c r="I201" s="19">
        <v>5.0</v>
      </c>
      <c r="J201" s="19">
        <v>5.0</v>
      </c>
      <c r="K201" s="19">
        <v>5.0</v>
      </c>
      <c r="L201" s="19">
        <v>6.0</v>
      </c>
      <c r="M201" s="19">
        <v>12.0</v>
      </c>
      <c r="N201" s="19">
        <v>8.0</v>
      </c>
      <c r="O201" s="19">
        <v>3.0</v>
      </c>
      <c r="P201" s="13">
        <f t="shared" ref="P201:P211" si="40">SUM(E201:O201)</f>
        <v>56</v>
      </c>
      <c r="Q201" s="5"/>
      <c r="R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3.0</v>
      </c>
      <c r="F202" s="19">
        <v>11.0</v>
      </c>
      <c r="G202" s="19">
        <v>5.0</v>
      </c>
      <c r="H202" s="19">
        <v>5.0</v>
      </c>
      <c r="I202" s="19">
        <v>4.0</v>
      </c>
      <c r="J202" s="19">
        <v>3.0</v>
      </c>
      <c r="K202" s="19">
        <v>12.0</v>
      </c>
      <c r="L202" s="19">
        <v>11.0</v>
      </c>
      <c r="M202" s="19">
        <v>17.0</v>
      </c>
      <c r="N202" s="19">
        <v>19.0</v>
      </c>
      <c r="O202" s="19">
        <v>4.0</v>
      </c>
      <c r="P202" s="13">
        <f t="shared" si="40"/>
        <v>94</v>
      </c>
      <c r="Q202" s="5"/>
      <c r="R202" s="5"/>
    </row>
    <row r="203" ht="12.75" customHeight="1">
      <c r="A203" s="18"/>
      <c r="B203" s="57">
        <v>2.0</v>
      </c>
      <c r="C203" s="52" t="s">
        <v>149</v>
      </c>
      <c r="D203" s="60"/>
      <c r="E203" s="19">
        <v>0.0</v>
      </c>
      <c r="F203" s="19">
        <v>7.0</v>
      </c>
      <c r="G203" s="19">
        <v>2.0</v>
      </c>
      <c r="H203" s="19">
        <v>1.0</v>
      </c>
      <c r="I203" s="19">
        <v>2.0</v>
      </c>
      <c r="J203" s="19">
        <v>1.0</v>
      </c>
      <c r="K203" s="19">
        <v>3.0</v>
      </c>
      <c r="L203" s="19">
        <v>6.0</v>
      </c>
      <c r="M203" s="19">
        <v>9.0</v>
      </c>
      <c r="N203" s="19">
        <v>5.0</v>
      </c>
      <c r="O203" s="19">
        <v>2.0</v>
      </c>
      <c r="P203" s="13">
        <f t="shared" si="40"/>
        <v>38</v>
      </c>
      <c r="Q203" s="5"/>
      <c r="R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2.0</v>
      </c>
      <c r="K204" s="19">
        <v>4.0</v>
      </c>
      <c r="L204" s="19">
        <v>0.0</v>
      </c>
      <c r="M204" s="19">
        <v>2.0</v>
      </c>
      <c r="N204" s="19">
        <v>0.0</v>
      </c>
      <c r="O204" s="19">
        <v>0.0</v>
      </c>
      <c r="P204" s="13">
        <f t="shared" si="40"/>
        <v>9</v>
      </c>
      <c r="Q204" s="5"/>
      <c r="R204" s="5"/>
    </row>
    <row r="205" ht="12.75" customHeight="1">
      <c r="A205" s="18"/>
      <c r="B205" s="57">
        <v>4.0</v>
      </c>
      <c r="C205" s="52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2.0</v>
      </c>
      <c r="L205" s="19">
        <v>1.0</v>
      </c>
      <c r="M205" s="19">
        <v>0.0</v>
      </c>
      <c r="N205" s="19">
        <v>1.0</v>
      </c>
      <c r="O205" s="19">
        <v>0.0</v>
      </c>
      <c r="P205" s="13">
        <f t="shared" si="40"/>
        <v>4</v>
      </c>
      <c r="Q205" s="5"/>
      <c r="R205" s="5"/>
    </row>
    <row r="206" ht="12.75" customHeight="1">
      <c r="A206" s="18"/>
      <c r="B206" s="57">
        <v>5.0</v>
      </c>
      <c r="C206" s="52" t="s">
        <v>152</v>
      </c>
      <c r="D206" s="60"/>
      <c r="E206" s="19">
        <v>2.0</v>
      </c>
      <c r="F206" s="19">
        <v>0.0</v>
      </c>
      <c r="G206" s="19">
        <v>1.0</v>
      </c>
      <c r="H206" s="19">
        <v>0.0</v>
      </c>
      <c r="I206" s="19">
        <v>0.0</v>
      </c>
      <c r="J206" s="19">
        <v>2.0</v>
      </c>
      <c r="K206" s="19">
        <v>1.0</v>
      </c>
      <c r="L206" s="19">
        <v>1.0</v>
      </c>
      <c r="M206" s="19">
        <v>0.0</v>
      </c>
      <c r="N206" s="19">
        <v>1.0</v>
      </c>
      <c r="O206" s="19">
        <v>0.0</v>
      </c>
      <c r="P206" s="13">
        <f t="shared" si="40"/>
        <v>8</v>
      </c>
      <c r="Q206" s="5"/>
      <c r="R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3">
        <f t="shared" si="40"/>
        <v>0</v>
      </c>
      <c r="Q207" s="1"/>
      <c r="R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3">
        <f t="shared" si="40"/>
        <v>2</v>
      </c>
      <c r="Q208" s="54"/>
      <c r="R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3">
        <f t="shared" si="40"/>
        <v>0</v>
      </c>
      <c r="Q209" s="54"/>
      <c r="R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3">
        <f t="shared" si="40"/>
        <v>0</v>
      </c>
      <c r="Q210" s="54"/>
      <c r="R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O211" si="41">SUM(E201:E208)</f>
        <v>8</v>
      </c>
      <c r="F211" s="13">
        <f t="shared" si="41"/>
        <v>21</v>
      </c>
      <c r="G211" s="13">
        <f t="shared" si="41"/>
        <v>10</v>
      </c>
      <c r="H211" s="13">
        <f t="shared" si="41"/>
        <v>12</v>
      </c>
      <c r="I211" s="13">
        <f t="shared" si="41"/>
        <v>11</v>
      </c>
      <c r="J211" s="13">
        <f t="shared" si="41"/>
        <v>13</v>
      </c>
      <c r="K211" s="13">
        <f t="shared" si="41"/>
        <v>27</v>
      </c>
      <c r="L211" s="13">
        <f t="shared" si="41"/>
        <v>25</v>
      </c>
      <c r="M211" s="13">
        <f t="shared" si="41"/>
        <v>41</v>
      </c>
      <c r="N211" s="13">
        <f t="shared" si="41"/>
        <v>34</v>
      </c>
      <c r="O211" s="13">
        <f t="shared" si="41"/>
        <v>9</v>
      </c>
      <c r="P211" s="13">
        <f t="shared" si="40"/>
        <v>211</v>
      </c>
      <c r="Q211" s="5"/>
      <c r="R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5"/>
      <c r="R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1.0</v>
      </c>
      <c r="F213" s="19">
        <v>3.0</v>
      </c>
      <c r="G213" s="19">
        <v>2.0</v>
      </c>
      <c r="H213" s="19">
        <v>1.0</v>
      </c>
      <c r="I213" s="19">
        <v>0.0</v>
      </c>
      <c r="J213" s="19">
        <v>1.0</v>
      </c>
      <c r="K213" s="19">
        <v>1.0</v>
      </c>
      <c r="L213" s="19">
        <v>0.0</v>
      </c>
      <c r="M213" s="19">
        <v>0.0</v>
      </c>
      <c r="N213" s="19">
        <v>0.0</v>
      </c>
      <c r="O213" s="19">
        <v>0.0</v>
      </c>
      <c r="P213" s="13">
        <f t="shared" ref="P213:P223" si="42">SUM(E213:O213)</f>
        <v>9</v>
      </c>
      <c r="Q213" s="5"/>
      <c r="R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3.0</v>
      </c>
      <c r="F214" s="19">
        <v>1.0</v>
      </c>
      <c r="G214" s="19">
        <v>0.0</v>
      </c>
      <c r="H214" s="19">
        <v>1.0</v>
      </c>
      <c r="I214" s="19">
        <v>3.0</v>
      </c>
      <c r="J214" s="19">
        <v>1.0</v>
      </c>
      <c r="K214" s="19">
        <v>0.0</v>
      </c>
      <c r="L214" s="19">
        <v>1.0</v>
      </c>
      <c r="M214" s="19">
        <v>0.0</v>
      </c>
      <c r="N214" s="19">
        <v>0.0</v>
      </c>
      <c r="O214" s="19">
        <v>0.0</v>
      </c>
      <c r="P214" s="13">
        <f t="shared" si="42"/>
        <v>10</v>
      </c>
      <c r="Q214" s="5"/>
      <c r="R214" s="5"/>
    </row>
    <row r="215" ht="12.75" customHeight="1">
      <c r="A215" s="18"/>
      <c r="B215" s="57">
        <v>2.0</v>
      </c>
      <c r="C215" s="52" t="s">
        <v>158</v>
      </c>
      <c r="D215" s="58"/>
      <c r="E215" s="19">
        <v>31.0</v>
      </c>
      <c r="F215" s="19">
        <v>4.0</v>
      </c>
      <c r="G215" s="19">
        <v>2.0</v>
      </c>
      <c r="H215" s="19">
        <v>3.0</v>
      </c>
      <c r="I215" s="19">
        <v>0.0</v>
      </c>
      <c r="J215" s="19">
        <v>1.0</v>
      </c>
      <c r="K215" s="19">
        <v>0.0</v>
      </c>
      <c r="L215" s="19">
        <v>1.0</v>
      </c>
      <c r="M215" s="19">
        <v>3.0</v>
      </c>
      <c r="N215" s="19">
        <v>0.0</v>
      </c>
      <c r="O215" s="19">
        <v>2.0</v>
      </c>
      <c r="P215" s="13">
        <f t="shared" si="42"/>
        <v>47</v>
      </c>
      <c r="Q215" s="5"/>
      <c r="R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2.0</v>
      </c>
      <c r="H216" s="19">
        <v>1.0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3">
        <f t="shared" si="42"/>
        <v>4</v>
      </c>
      <c r="Q216" s="5"/>
      <c r="R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3">
        <f t="shared" si="42"/>
        <v>1</v>
      </c>
      <c r="Q217" s="5"/>
      <c r="R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3">
        <f t="shared" si="42"/>
        <v>0</v>
      </c>
      <c r="Q218" s="1"/>
      <c r="R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3">
        <f t="shared" si="42"/>
        <v>0</v>
      </c>
      <c r="Q219" s="54"/>
      <c r="R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3">
        <f t="shared" si="42"/>
        <v>2</v>
      </c>
      <c r="Q220" s="5"/>
      <c r="R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3">
        <f t="shared" si="42"/>
        <v>0</v>
      </c>
      <c r="Q221" s="5"/>
      <c r="R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3">
        <f t="shared" si="42"/>
        <v>0</v>
      </c>
      <c r="Q222" s="5"/>
      <c r="R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O223" si="43">SUM(E213:E220)</f>
        <v>35</v>
      </c>
      <c r="F223" s="13">
        <f t="shared" si="43"/>
        <v>9</v>
      </c>
      <c r="G223" s="13">
        <f t="shared" si="43"/>
        <v>6</v>
      </c>
      <c r="H223" s="13">
        <f t="shared" si="43"/>
        <v>7</v>
      </c>
      <c r="I223" s="13">
        <f t="shared" si="43"/>
        <v>3</v>
      </c>
      <c r="J223" s="13">
        <f t="shared" si="43"/>
        <v>3</v>
      </c>
      <c r="K223" s="13">
        <f t="shared" si="43"/>
        <v>3</v>
      </c>
      <c r="L223" s="13">
        <f t="shared" si="43"/>
        <v>2</v>
      </c>
      <c r="M223" s="13">
        <f t="shared" si="43"/>
        <v>3</v>
      </c>
      <c r="N223" s="13">
        <f t="shared" si="43"/>
        <v>0</v>
      </c>
      <c r="O223" s="13">
        <f t="shared" si="43"/>
        <v>2</v>
      </c>
      <c r="P223" s="13">
        <f t="shared" si="42"/>
        <v>73</v>
      </c>
      <c r="Q223" s="5"/>
      <c r="R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5"/>
      <c r="R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3">
        <f t="shared" ref="P225:P235" si="44">SUM(E225:O225)</f>
        <v>1</v>
      </c>
      <c r="Q225" s="5"/>
      <c r="R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1.0</v>
      </c>
      <c r="G226" s="19">
        <v>0.0</v>
      </c>
      <c r="H226" s="19">
        <v>1.0</v>
      </c>
      <c r="I226" s="19">
        <v>0.0</v>
      </c>
      <c r="J226" s="19">
        <v>1.0</v>
      </c>
      <c r="K226" s="19">
        <v>0.0</v>
      </c>
      <c r="L226" s="19">
        <v>1.0</v>
      </c>
      <c r="M226" s="19">
        <v>0.0</v>
      </c>
      <c r="N226" s="19">
        <v>0.0</v>
      </c>
      <c r="O226" s="19">
        <v>0.0</v>
      </c>
      <c r="P226" s="13">
        <f t="shared" si="44"/>
        <v>4</v>
      </c>
      <c r="Q226" s="5"/>
      <c r="R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0.0</v>
      </c>
      <c r="N227" s="19">
        <v>0.0</v>
      </c>
      <c r="O227" s="19">
        <v>0.0</v>
      </c>
      <c r="P227" s="13">
        <f t="shared" si="44"/>
        <v>1</v>
      </c>
      <c r="Q227" s="5"/>
      <c r="R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1.0</v>
      </c>
      <c r="N228" s="19">
        <v>0.0</v>
      </c>
      <c r="O228" s="19">
        <v>1.0</v>
      </c>
      <c r="P228" s="13">
        <f t="shared" si="44"/>
        <v>2</v>
      </c>
      <c r="Q228" s="5"/>
      <c r="R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3">
        <f t="shared" si="44"/>
        <v>0</v>
      </c>
      <c r="Q229" s="1"/>
      <c r="R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3">
        <f t="shared" si="44"/>
        <v>0</v>
      </c>
      <c r="Q230" s="54"/>
      <c r="R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3">
        <f t="shared" si="44"/>
        <v>0</v>
      </c>
      <c r="Q231" s="5"/>
      <c r="R231" s="5"/>
    </row>
    <row r="232" ht="12.75" customHeight="1">
      <c r="A232" s="18"/>
      <c r="B232" s="57">
        <v>7.0</v>
      </c>
      <c r="C232" s="52" t="s">
        <v>172</v>
      </c>
      <c r="D232" s="60"/>
      <c r="E232" s="19">
        <v>1.0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3">
        <f t="shared" si="44"/>
        <v>2</v>
      </c>
      <c r="Q232" s="5"/>
      <c r="R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3">
        <f t="shared" si="44"/>
        <v>0</v>
      </c>
      <c r="Q233" s="5"/>
      <c r="R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3">
        <f t="shared" si="44"/>
        <v>0</v>
      </c>
      <c r="Q234" s="5"/>
      <c r="R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O235" si="45">SUM(E225:E232)</f>
        <v>1</v>
      </c>
      <c r="F235" s="13">
        <f t="shared" si="45"/>
        <v>3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2</v>
      </c>
      <c r="M235" s="13">
        <f t="shared" si="45"/>
        <v>1</v>
      </c>
      <c r="N235" s="13">
        <f t="shared" si="45"/>
        <v>0</v>
      </c>
      <c r="O235" s="13">
        <f t="shared" si="45"/>
        <v>1</v>
      </c>
      <c r="P235" s="13">
        <f t="shared" si="44"/>
        <v>10</v>
      </c>
      <c r="Q235" s="5"/>
      <c r="R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5"/>
      <c r="R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2.0</v>
      </c>
      <c r="G237" s="19">
        <v>0.0</v>
      </c>
      <c r="H237" s="19">
        <v>2.0</v>
      </c>
      <c r="I237" s="19">
        <v>0.0</v>
      </c>
      <c r="J237" s="19">
        <v>0.0</v>
      </c>
      <c r="K237" s="19">
        <v>0.0</v>
      </c>
      <c r="L237" s="19">
        <v>1.0</v>
      </c>
      <c r="M237" s="19">
        <v>1.0</v>
      </c>
      <c r="N237" s="19">
        <v>0.0</v>
      </c>
      <c r="O237" s="19">
        <v>0.0</v>
      </c>
      <c r="P237" s="13">
        <f t="shared" ref="P237:P247" si="46">SUM(E237:O237)</f>
        <v>7</v>
      </c>
      <c r="Q237" s="5"/>
      <c r="R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1.0</v>
      </c>
      <c r="K238" s="19">
        <v>0.0</v>
      </c>
      <c r="L238" s="19">
        <v>2.0</v>
      </c>
      <c r="M238" s="19">
        <v>0.0</v>
      </c>
      <c r="N238" s="19">
        <v>0.0</v>
      </c>
      <c r="O238" s="19">
        <v>0.0</v>
      </c>
      <c r="P238" s="13">
        <f t="shared" si="46"/>
        <v>3</v>
      </c>
      <c r="Q238" s="5"/>
      <c r="R238" s="5"/>
    </row>
    <row r="239" ht="12.75" customHeight="1">
      <c r="A239" s="18"/>
      <c r="B239" s="57">
        <v>2.0</v>
      </c>
      <c r="C239" s="52" t="s">
        <v>176</v>
      </c>
      <c r="D239" s="60"/>
      <c r="E239" s="19">
        <v>8.0</v>
      </c>
      <c r="F239" s="19">
        <v>3.0</v>
      </c>
      <c r="G239" s="19">
        <v>1.0</v>
      </c>
      <c r="H239" s="19">
        <v>18.0</v>
      </c>
      <c r="I239" s="19">
        <v>2.0</v>
      </c>
      <c r="J239" s="19">
        <v>1.0</v>
      </c>
      <c r="K239" s="19">
        <v>3.0</v>
      </c>
      <c r="L239" s="19">
        <v>4.0</v>
      </c>
      <c r="M239" s="19">
        <v>1.0</v>
      </c>
      <c r="N239" s="19">
        <v>2.0</v>
      </c>
      <c r="O239" s="19">
        <v>0.0</v>
      </c>
      <c r="P239" s="13">
        <f t="shared" si="46"/>
        <v>43</v>
      </c>
      <c r="Q239" s="5"/>
      <c r="R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0.0</v>
      </c>
      <c r="H240" s="19">
        <v>2.0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3">
        <f t="shared" si="46"/>
        <v>2</v>
      </c>
      <c r="Q240" s="1"/>
      <c r="R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3">
        <f t="shared" si="46"/>
        <v>0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3">
        <f t="shared" si="46"/>
        <v>0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1.0</v>
      </c>
      <c r="P244" s="13">
        <f t="shared" si="46"/>
        <v>1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O247" si="47">SUM(E237:E244)</f>
        <v>9</v>
      </c>
      <c r="F247" s="13">
        <f t="shared" si="47"/>
        <v>5</v>
      </c>
      <c r="G247" s="13">
        <f t="shared" si="47"/>
        <v>1</v>
      </c>
      <c r="H247" s="13">
        <f t="shared" si="47"/>
        <v>22</v>
      </c>
      <c r="I247" s="13">
        <f t="shared" si="47"/>
        <v>2</v>
      </c>
      <c r="J247" s="13">
        <f t="shared" si="47"/>
        <v>2</v>
      </c>
      <c r="K247" s="13">
        <f t="shared" si="47"/>
        <v>3</v>
      </c>
      <c r="L247" s="13">
        <f t="shared" si="47"/>
        <v>7</v>
      </c>
      <c r="M247" s="13">
        <f t="shared" si="47"/>
        <v>2</v>
      </c>
      <c r="N247" s="13">
        <f t="shared" si="47"/>
        <v>2</v>
      </c>
      <c r="O247" s="13">
        <f t="shared" si="47"/>
        <v>1</v>
      </c>
      <c r="P247" s="13">
        <f t="shared" si="46"/>
        <v>56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2.0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3">
        <f t="shared" ref="P249:P259" si="48">SUM(E249:O249)</f>
        <v>2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3">
        <f t="shared" si="48"/>
        <v>0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O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2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8"/>
        <v>2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71" t="s">
        <v>212</v>
      </c>
      <c r="P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O262" si="50">E55+E67+E79+E91+E103+E115+E127+E139+E151+E163+E175+E187+E199+E211+E223+E235+E247+E259</f>
        <v>193</v>
      </c>
      <c r="F262" s="19">
        <f t="shared" si="50"/>
        <v>199</v>
      </c>
      <c r="G262" s="19">
        <f t="shared" si="50"/>
        <v>194</v>
      </c>
      <c r="H262" s="19">
        <f t="shared" si="50"/>
        <v>187</v>
      </c>
      <c r="I262" s="19">
        <f t="shared" si="50"/>
        <v>205</v>
      </c>
      <c r="J262" s="19">
        <f t="shared" si="50"/>
        <v>173</v>
      </c>
      <c r="K262" s="19">
        <f t="shared" si="50"/>
        <v>202</v>
      </c>
      <c r="L262" s="19">
        <f t="shared" si="50"/>
        <v>194</v>
      </c>
      <c r="M262" s="19">
        <f t="shared" si="50"/>
        <v>175</v>
      </c>
      <c r="N262" s="19">
        <f t="shared" si="50"/>
        <v>149</v>
      </c>
      <c r="O262" s="19">
        <f t="shared" si="50"/>
        <v>160</v>
      </c>
      <c r="P262" s="13">
        <f t="shared" ref="P262:P264" si="51">SUM(E262:O262)</f>
        <v>2031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30.0</v>
      </c>
      <c r="F263" s="19">
        <v>35.0</v>
      </c>
      <c r="G263" s="19">
        <v>43.0</v>
      </c>
      <c r="H263" s="19">
        <v>42.0</v>
      </c>
      <c r="I263" s="19">
        <v>51.0</v>
      </c>
      <c r="J263" s="19">
        <v>65.0</v>
      </c>
      <c r="K263" s="19">
        <v>38.0</v>
      </c>
      <c r="L263" s="19">
        <v>29.0</v>
      </c>
      <c r="M263" s="19">
        <v>44.0</v>
      </c>
      <c r="N263" s="19">
        <v>44.0</v>
      </c>
      <c r="O263" s="19">
        <v>50.0</v>
      </c>
      <c r="P263" s="13">
        <f t="shared" si="51"/>
        <v>471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O264" si="52">SUM(E262:E263)</f>
        <v>223</v>
      </c>
      <c r="F264" s="13">
        <f t="shared" si="52"/>
        <v>234</v>
      </c>
      <c r="G264" s="13">
        <f t="shared" si="52"/>
        <v>237</v>
      </c>
      <c r="H264" s="13">
        <f t="shared" si="52"/>
        <v>229</v>
      </c>
      <c r="I264" s="13">
        <f t="shared" si="52"/>
        <v>256</v>
      </c>
      <c r="J264" s="13">
        <f t="shared" si="52"/>
        <v>238</v>
      </c>
      <c r="K264" s="13">
        <f t="shared" si="52"/>
        <v>240</v>
      </c>
      <c r="L264" s="13">
        <f t="shared" si="52"/>
        <v>223</v>
      </c>
      <c r="M264" s="13">
        <f t="shared" si="52"/>
        <v>219</v>
      </c>
      <c r="N264" s="13">
        <f t="shared" si="52"/>
        <v>193</v>
      </c>
      <c r="O264" s="13">
        <f t="shared" si="52"/>
        <v>210</v>
      </c>
      <c r="P264" s="13">
        <f t="shared" si="51"/>
        <v>2502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147.0</v>
      </c>
      <c r="G14" s="19">
        <v>147.0</v>
      </c>
      <c r="H14" s="19">
        <v>144.0</v>
      </c>
      <c r="I14" s="19">
        <v>135.0</v>
      </c>
      <c r="J14" s="19">
        <v>151.0</v>
      </c>
      <c r="K14" s="19">
        <v>138.0</v>
      </c>
      <c r="L14" s="19">
        <v>125.0</v>
      </c>
      <c r="M14" s="19">
        <v>126.0</v>
      </c>
      <c r="N14" s="19">
        <v>126.0</v>
      </c>
      <c r="O14" s="13">
        <f t="shared" ref="O14:O16" si="1">SUM(E14:N14)</f>
        <v>1384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141.0</v>
      </c>
      <c r="G15" s="19">
        <v>144.0</v>
      </c>
      <c r="H15" s="19">
        <v>141.0</v>
      </c>
      <c r="I15" s="19">
        <v>149.0</v>
      </c>
      <c r="J15" s="19">
        <v>133.0</v>
      </c>
      <c r="K15" s="19">
        <v>136.0</v>
      </c>
      <c r="L15" s="19">
        <v>119.0</v>
      </c>
      <c r="M15" s="19">
        <v>124.0</v>
      </c>
      <c r="N15" s="19">
        <v>124.0</v>
      </c>
      <c r="O15" s="13">
        <f t="shared" si="1"/>
        <v>1347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281</v>
      </c>
      <c r="F16" s="13">
        <f t="shared" si="2"/>
        <v>288</v>
      </c>
      <c r="G16" s="13">
        <f t="shared" si="2"/>
        <v>291</v>
      </c>
      <c r="H16" s="13">
        <f t="shared" si="2"/>
        <v>285</v>
      </c>
      <c r="I16" s="13">
        <f t="shared" si="2"/>
        <v>284</v>
      </c>
      <c r="J16" s="13">
        <f t="shared" si="2"/>
        <v>284</v>
      </c>
      <c r="K16" s="13">
        <f t="shared" si="2"/>
        <v>274</v>
      </c>
      <c r="L16" s="13">
        <f t="shared" si="2"/>
        <v>244</v>
      </c>
      <c r="M16" s="13">
        <f t="shared" si="2"/>
        <v>250</v>
      </c>
      <c r="N16" s="13">
        <f t="shared" si="2"/>
        <v>250</v>
      </c>
      <c r="O16" s="13">
        <f t="shared" si="1"/>
        <v>2731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8"/>
      <c r="O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118.0</v>
      </c>
      <c r="F19" s="19">
        <v>126.0</v>
      </c>
      <c r="G19" s="19">
        <v>112.0</v>
      </c>
      <c r="H19" s="19">
        <v>110.0</v>
      </c>
      <c r="I19" s="19">
        <v>114.0</v>
      </c>
      <c r="J19" s="19">
        <v>124.0</v>
      </c>
      <c r="K19" s="19">
        <v>113.0</v>
      </c>
      <c r="L19" s="19">
        <v>102.0</v>
      </c>
      <c r="M19" s="19">
        <v>108.0</v>
      </c>
      <c r="N19" s="19">
        <v>110.0</v>
      </c>
      <c r="O19" s="13">
        <f t="shared" ref="O19:O30" si="3">SUM(E19:N19)</f>
        <v>1137</v>
      </c>
    </row>
    <row r="20" ht="12.75" customHeight="1">
      <c r="A20" s="34"/>
      <c r="B20" s="27"/>
      <c r="C20" s="35"/>
      <c r="D20" s="19" t="s">
        <v>13</v>
      </c>
      <c r="E20" s="19">
        <v>116.0</v>
      </c>
      <c r="F20" s="19">
        <v>113.0</v>
      </c>
      <c r="G20" s="19">
        <v>132.0</v>
      </c>
      <c r="H20" s="19">
        <v>125.0</v>
      </c>
      <c r="I20" s="19">
        <v>130.0</v>
      </c>
      <c r="J20" s="19">
        <v>114.0</v>
      </c>
      <c r="K20" s="19">
        <v>117.0</v>
      </c>
      <c r="L20" s="19">
        <v>102.0</v>
      </c>
      <c r="M20" s="19">
        <v>113.0</v>
      </c>
      <c r="N20" s="19">
        <v>107.0</v>
      </c>
      <c r="O20" s="13">
        <f t="shared" si="3"/>
        <v>1169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234</v>
      </c>
      <c r="F21" s="13">
        <f t="shared" si="4"/>
        <v>239</v>
      </c>
      <c r="G21" s="13">
        <f t="shared" si="4"/>
        <v>244</v>
      </c>
      <c r="H21" s="13">
        <f t="shared" si="4"/>
        <v>235</v>
      </c>
      <c r="I21" s="13">
        <f t="shared" si="4"/>
        <v>244</v>
      </c>
      <c r="J21" s="13">
        <f t="shared" si="4"/>
        <v>238</v>
      </c>
      <c r="K21" s="13">
        <f t="shared" si="4"/>
        <v>230</v>
      </c>
      <c r="L21" s="13">
        <f t="shared" si="4"/>
        <v>204</v>
      </c>
      <c r="M21" s="13">
        <f t="shared" si="4"/>
        <v>221</v>
      </c>
      <c r="N21" s="13">
        <f t="shared" si="4"/>
        <v>217</v>
      </c>
      <c r="O21" s="13">
        <f t="shared" si="3"/>
        <v>2306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2.0</v>
      </c>
      <c r="M22" s="19">
        <v>0.0</v>
      </c>
      <c r="N22" s="19">
        <v>0.0</v>
      </c>
      <c r="O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1.0</v>
      </c>
      <c r="M23" s="19">
        <v>0.0</v>
      </c>
      <c r="N23" s="19">
        <v>0.0</v>
      </c>
      <c r="O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3"/>
        <v>7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4.0</v>
      </c>
      <c r="F25" s="19">
        <v>2.0</v>
      </c>
      <c r="G25" s="19">
        <v>0.0</v>
      </c>
      <c r="H25" s="19">
        <v>2.0</v>
      </c>
      <c r="I25" s="19">
        <v>3.0</v>
      </c>
      <c r="J25" s="19">
        <v>0.0</v>
      </c>
      <c r="K25" s="19">
        <v>0.0</v>
      </c>
      <c r="L25" s="19">
        <v>3.0</v>
      </c>
      <c r="M25" s="19">
        <v>1.0</v>
      </c>
      <c r="N25" s="19">
        <v>0.0</v>
      </c>
      <c r="O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5.0</v>
      </c>
      <c r="F26" s="19">
        <v>3.0</v>
      </c>
      <c r="G26" s="19">
        <v>0.0</v>
      </c>
      <c r="H26" s="19">
        <v>1.0</v>
      </c>
      <c r="I26" s="19">
        <v>1.0</v>
      </c>
      <c r="J26" s="19">
        <v>3.0</v>
      </c>
      <c r="K26" s="19">
        <v>0.0</v>
      </c>
      <c r="L26" s="19">
        <v>3.0</v>
      </c>
      <c r="M26" s="19">
        <v>4.0</v>
      </c>
      <c r="N26" s="19">
        <v>0.0</v>
      </c>
      <c r="O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9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3</v>
      </c>
      <c r="K27" s="13">
        <f t="shared" si="6"/>
        <v>0</v>
      </c>
      <c r="L27" s="13">
        <f t="shared" si="6"/>
        <v>6</v>
      </c>
      <c r="M27" s="13">
        <f t="shared" si="6"/>
        <v>5</v>
      </c>
      <c r="N27" s="13">
        <f t="shared" si="6"/>
        <v>0</v>
      </c>
      <c r="O27" s="13">
        <f t="shared" si="3"/>
        <v>35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N28" si="7">SUM(E19,E22,E25)</f>
        <v>122</v>
      </c>
      <c r="F28" s="13">
        <f t="shared" si="7"/>
        <v>128</v>
      </c>
      <c r="G28" s="13">
        <f t="shared" si="7"/>
        <v>112</v>
      </c>
      <c r="H28" s="13">
        <f t="shared" si="7"/>
        <v>112</v>
      </c>
      <c r="I28" s="13">
        <f t="shared" si="7"/>
        <v>118</v>
      </c>
      <c r="J28" s="13">
        <f t="shared" si="7"/>
        <v>125</v>
      </c>
      <c r="K28" s="13">
        <f t="shared" si="7"/>
        <v>113</v>
      </c>
      <c r="L28" s="13">
        <f t="shared" si="7"/>
        <v>107</v>
      </c>
      <c r="M28" s="13">
        <f t="shared" si="7"/>
        <v>109</v>
      </c>
      <c r="N28" s="13">
        <f t="shared" si="7"/>
        <v>110</v>
      </c>
      <c r="O28" s="13">
        <f t="shared" si="3"/>
        <v>1156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121</v>
      </c>
      <c r="F29" s="13">
        <f t="shared" si="8"/>
        <v>116</v>
      </c>
      <c r="G29" s="13">
        <f t="shared" si="8"/>
        <v>132</v>
      </c>
      <c r="H29" s="13">
        <f t="shared" si="8"/>
        <v>127</v>
      </c>
      <c r="I29" s="13">
        <f t="shared" si="8"/>
        <v>131</v>
      </c>
      <c r="J29" s="13">
        <f t="shared" si="8"/>
        <v>118</v>
      </c>
      <c r="K29" s="13">
        <f t="shared" si="8"/>
        <v>117</v>
      </c>
      <c r="L29" s="13">
        <f t="shared" si="8"/>
        <v>106</v>
      </c>
      <c r="M29" s="13">
        <f t="shared" si="8"/>
        <v>117</v>
      </c>
      <c r="N29" s="13">
        <f t="shared" si="8"/>
        <v>107</v>
      </c>
      <c r="O29" s="13">
        <f t="shared" si="3"/>
        <v>1192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243</v>
      </c>
      <c r="F30" s="13">
        <f t="shared" si="9"/>
        <v>244</v>
      </c>
      <c r="G30" s="13">
        <f t="shared" si="9"/>
        <v>244</v>
      </c>
      <c r="H30" s="13">
        <f t="shared" si="9"/>
        <v>239</v>
      </c>
      <c r="I30" s="13">
        <f t="shared" si="9"/>
        <v>249</v>
      </c>
      <c r="J30" s="13">
        <f t="shared" si="9"/>
        <v>243</v>
      </c>
      <c r="K30" s="13">
        <f t="shared" si="9"/>
        <v>230</v>
      </c>
      <c r="L30" s="13">
        <f t="shared" si="9"/>
        <v>213</v>
      </c>
      <c r="M30" s="13">
        <f t="shared" si="9"/>
        <v>226</v>
      </c>
      <c r="N30" s="13">
        <f t="shared" si="9"/>
        <v>217</v>
      </c>
      <c r="O30" s="13">
        <f t="shared" si="3"/>
        <v>2348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8"/>
      <c r="O31" s="70"/>
    </row>
    <row r="32" ht="12.75" customHeight="1">
      <c r="A32" s="43" t="s">
        <v>25</v>
      </c>
      <c r="B32" s="14" t="s">
        <v>26</v>
      </c>
      <c r="C32" s="15"/>
      <c r="D32" s="16"/>
      <c r="E32" s="71" t="s">
        <v>200</v>
      </c>
      <c r="F32" s="71" t="s">
        <v>201</v>
      </c>
      <c r="G32" s="71" t="s">
        <v>202</v>
      </c>
      <c r="H32" s="71" t="s">
        <v>203</v>
      </c>
      <c r="I32" s="71" t="s">
        <v>204</v>
      </c>
      <c r="J32" s="71" t="s">
        <v>205</v>
      </c>
      <c r="K32" s="71" t="s">
        <v>207</v>
      </c>
      <c r="L32" s="71" t="s">
        <v>208</v>
      </c>
      <c r="M32" s="71" t="s">
        <v>209</v>
      </c>
      <c r="N32" s="71" t="s">
        <v>211</v>
      </c>
      <c r="O32" s="70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294.0</v>
      </c>
      <c r="G33" s="19">
        <v>297.0</v>
      </c>
      <c r="H33" s="19">
        <v>291.0</v>
      </c>
      <c r="I33" s="19">
        <v>290.0</v>
      </c>
      <c r="J33" s="19">
        <v>290.0</v>
      </c>
      <c r="K33" s="19">
        <v>280.0</v>
      </c>
      <c r="L33" s="19">
        <v>250.0</v>
      </c>
      <c r="M33" s="19">
        <v>255.0</v>
      </c>
      <c r="N33" s="19">
        <v>255.0</v>
      </c>
      <c r="O33" s="13">
        <f t="shared" ref="O33:O36" si="10">SUM(E33:N33)</f>
        <v>2789</v>
      </c>
    </row>
    <row r="34" ht="12.75" customHeight="1">
      <c r="A34" s="19">
        <v>2.0</v>
      </c>
      <c r="B34" s="20" t="s">
        <v>28</v>
      </c>
      <c r="C34" s="15"/>
      <c r="D34" s="16"/>
      <c r="E34" s="13">
        <v>243.0</v>
      </c>
      <c r="F34" s="13">
        <v>244.0</v>
      </c>
      <c r="G34" s="13">
        <v>244.0</v>
      </c>
      <c r="H34" s="13">
        <v>239.0</v>
      </c>
      <c r="I34" s="13">
        <v>249.0</v>
      </c>
      <c r="J34" s="13">
        <v>243.0</v>
      </c>
      <c r="K34" s="13">
        <v>230.0</v>
      </c>
      <c r="L34" s="13">
        <v>213.0</v>
      </c>
      <c r="M34" s="13">
        <v>226.0</v>
      </c>
      <c r="N34" s="13">
        <v>217.0</v>
      </c>
      <c r="O34" s="13">
        <f t="shared" si="10"/>
        <v>2348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4.0</v>
      </c>
      <c r="G35" s="19">
        <v>0.0</v>
      </c>
      <c r="H35" s="19">
        <v>19.0</v>
      </c>
      <c r="I35" s="19">
        <v>0.0</v>
      </c>
      <c r="J35" s="19">
        <v>0.0</v>
      </c>
      <c r="K35" s="19">
        <v>2.0</v>
      </c>
      <c r="L35" s="19">
        <v>0.0</v>
      </c>
      <c r="M35" s="19">
        <v>0.0</v>
      </c>
      <c r="N35" s="19">
        <v>0.0</v>
      </c>
      <c r="O35" s="13">
        <f t="shared" si="10"/>
        <v>25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44</v>
      </c>
      <c r="F36" s="13">
        <f t="shared" si="11"/>
        <v>46</v>
      </c>
      <c r="G36" s="13">
        <f t="shared" si="11"/>
        <v>53</v>
      </c>
      <c r="H36" s="13">
        <f t="shared" si="11"/>
        <v>33</v>
      </c>
      <c r="I36" s="13">
        <f t="shared" si="11"/>
        <v>41</v>
      </c>
      <c r="J36" s="13">
        <f t="shared" si="11"/>
        <v>47</v>
      </c>
      <c r="K36" s="13">
        <f t="shared" si="11"/>
        <v>48</v>
      </c>
      <c r="L36" s="13">
        <f t="shared" si="11"/>
        <v>37</v>
      </c>
      <c r="M36" s="13">
        <f t="shared" si="11"/>
        <v>29</v>
      </c>
      <c r="N36" s="13">
        <f t="shared" si="11"/>
        <v>38</v>
      </c>
      <c r="O36" s="13">
        <f t="shared" si="10"/>
        <v>416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8"/>
      <c r="O37" s="70"/>
    </row>
    <row r="38" ht="12.75" customHeight="1">
      <c r="A38" s="44" t="s">
        <v>31</v>
      </c>
      <c r="B38" s="14" t="s">
        <v>32</v>
      </c>
      <c r="C38" s="15"/>
      <c r="D38" s="16"/>
      <c r="E38" s="71" t="s">
        <v>200</v>
      </c>
      <c r="F38" s="71" t="s">
        <v>201</v>
      </c>
      <c r="G38" s="71" t="s">
        <v>202</v>
      </c>
      <c r="H38" s="71" t="s">
        <v>203</v>
      </c>
      <c r="I38" s="71" t="s">
        <v>204</v>
      </c>
      <c r="J38" s="71" t="s">
        <v>205</v>
      </c>
      <c r="K38" s="71" t="s">
        <v>207</v>
      </c>
      <c r="L38" s="71" t="s">
        <v>208</v>
      </c>
      <c r="M38" s="71" t="s">
        <v>209</v>
      </c>
      <c r="N38" s="71" t="s">
        <v>211</v>
      </c>
      <c r="O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0.0</v>
      </c>
      <c r="N39" s="19">
        <v>2.0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1.0</v>
      </c>
      <c r="L40" s="19">
        <v>0.0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2"/>
        <v>6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8"/>
      <c r="O42" s="13"/>
    </row>
    <row r="43" ht="12.75" customHeight="1">
      <c r="A43" s="44" t="s">
        <v>34</v>
      </c>
      <c r="B43" s="14" t="s">
        <v>35</v>
      </c>
      <c r="C43" s="15"/>
      <c r="D43" s="16"/>
      <c r="E43" s="71" t="s">
        <v>200</v>
      </c>
      <c r="F43" s="71" t="s">
        <v>201</v>
      </c>
      <c r="G43" s="71" t="s">
        <v>202</v>
      </c>
      <c r="H43" s="71" t="s">
        <v>203</v>
      </c>
      <c r="I43" s="71" t="s">
        <v>204</v>
      </c>
      <c r="J43" s="71" t="s">
        <v>205</v>
      </c>
      <c r="K43" s="71" t="s">
        <v>207</v>
      </c>
      <c r="L43" s="71" t="s">
        <v>208</v>
      </c>
      <c r="M43" s="71" t="s">
        <v>209</v>
      </c>
      <c r="N43" s="71" t="s">
        <v>211</v>
      </c>
      <c r="O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8"/>
      <c r="O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3.0</v>
      </c>
      <c r="F45" s="19">
        <v>12.0</v>
      </c>
      <c r="G45" s="19">
        <v>8.0</v>
      </c>
      <c r="H45" s="19">
        <v>5.0</v>
      </c>
      <c r="I45" s="19">
        <v>2.0</v>
      </c>
      <c r="J45" s="19">
        <v>2.0</v>
      </c>
      <c r="K45" s="19">
        <v>8.0</v>
      </c>
      <c r="L45" s="19">
        <v>3.0</v>
      </c>
      <c r="M45" s="19">
        <v>6.0</v>
      </c>
      <c r="N45" s="19">
        <v>6.0</v>
      </c>
      <c r="O45" s="13">
        <f t="shared" ref="O45:O55" si="14">SUM(E45:N45)</f>
        <v>55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30.0</v>
      </c>
      <c r="F46" s="19">
        <v>13.0</v>
      </c>
      <c r="G46" s="19">
        <v>47.0</v>
      </c>
      <c r="H46" s="19">
        <v>18.0</v>
      </c>
      <c r="I46" s="19">
        <v>8.0</v>
      </c>
      <c r="J46" s="19">
        <v>20.0</v>
      </c>
      <c r="K46" s="19">
        <v>19.0</v>
      </c>
      <c r="L46" s="19">
        <v>12.0</v>
      </c>
      <c r="M46" s="19">
        <v>11.0</v>
      </c>
      <c r="N46" s="19">
        <v>5.0</v>
      </c>
      <c r="O46" s="13">
        <f t="shared" si="14"/>
        <v>183</v>
      </c>
    </row>
    <row r="47" ht="12.75" customHeight="1">
      <c r="A47" s="18"/>
      <c r="B47" s="57">
        <v>2.0</v>
      </c>
      <c r="C47" s="52" t="s">
        <v>41</v>
      </c>
      <c r="D47" s="16"/>
      <c r="E47" s="19">
        <v>1.0</v>
      </c>
      <c r="F47" s="19">
        <v>1.0</v>
      </c>
      <c r="G47" s="19">
        <v>7.0</v>
      </c>
      <c r="H47" s="19">
        <v>0.0</v>
      </c>
      <c r="I47" s="19">
        <v>2.0</v>
      </c>
      <c r="J47" s="19">
        <v>0.0</v>
      </c>
      <c r="K47" s="19">
        <v>0.0</v>
      </c>
      <c r="L47" s="19">
        <v>2.0</v>
      </c>
      <c r="M47" s="19">
        <v>0.0</v>
      </c>
      <c r="N47" s="19">
        <v>2.0</v>
      </c>
      <c r="O47" s="13">
        <f t="shared" si="14"/>
        <v>15</v>
      </c>
    </row>
    <row r="48" ht="12.75" customHeight="1">
      <c r="A48" s="18"/>
      <c r="B48" s="57">
        <v>3.0</v>
      </c>
      <c r="C48" s="52" t="s">
        <v>42</v>
      </c>
      <c r="D48" s="16"/>
      <c r="E48" s="19">
        <v>0.0</v>
      </c>
      <c r="F48" s="19">
        <v>2.0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2.0</v>
      </c>
      <c r="M48" s="19">
        <v>0.0</v>
      </c>
      <c r="N48" s="19">
        <v>0.0</v>
      </c>
      <c r="O48" s="13">
        <f t="shared" si="14"/>
        <v>4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9">
        <v>0.0</v>
      </c>
      <c r="M49" s="19">
        <v>0.0</v>
      </c>
      <c r="N49" s="19">
        <v>1.0</v>
      </c>
      <c r="O49" s="13">
        <f t="shared" si="14"/>
        <v>3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1.0</v>
      </c>
      <c r="L50" s="19">
        <v>0.0</v>
      </c>
      <c r="M50" s="19">
        <v>0.0</v>
      </c>
      <c r="N50" s="19">
        <v>0.0</v>
      </c>
      <c r="O50" s="13">
        <f t="shared" si="14"/>
        <v>2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3">
        <f t="shared" si="14"/>
        <v>0</v>
      </c>
    </row>
    <row r="52" ht="12.75" customHeight="1">
      <c r="A52" s="18"/>
      <c r="B52" s="57">
        <v>7.0</v>
      </c>
      <c r="C52" s="52" t="s">
        <v>46</v>
      </c>
      <c r="D52" s="16"/>
      <c r="E52" s="19">
        <v>1.0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3">
        <f t="shared" si="14"/>
        <v>2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N55" si="15">SUM(E45:E52)</f>
        <v>35</v>
      </c>
      <c r="F55" s="13">
        <f t="shared" si="15"/>
        <v>29</v>
      </c>
      <c r="G55" s="13">
        <f t="shared" si="15"/>
        <v>62</v>
      </c>
      <c r="H55" s="13">
        <f t="shared" si="15"/>
        <v>23</v>
      </c>
      <c r="I55" s="13">
        <f t="shared" si="15"/>
        <v>12</v>
      </c>
      <c r="J55" s="13">
        <f t="shared" si="15"/>
        <v>24</v>
      </c>
      <c r="K55" s="13">
        <f t="shared" si="15"/>
        <v>29</v>
      </c>
      <c r="L55" s="13">
        <f t="shared" si="15"/>
        <v>19</v>
      </c>
      <c r="M55" s="13">
        <f t="shared" si="15"/>
        <v>17</v>
      </c>
      <c r="N55" s="13">
        <f t="shared" si="15"/>
        <v>14</v>
      </c>
      <c r="O55" s="13">
        <f t="shared" si="14"/>
        <v>264</v>
      </c>
    </row>
    <row r="56" ht="12.75" customHeight="1">
      <c r="A56" s="47"/>
      <c r="B56" s="46"/>
      <c r="C56" s="46"/>
      <c r="D56" s="46"/>
      <c r="E56" s="46"/>
      <c r="O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5.0</v>
      </c>
      <c r="F57" s="19">
        <v>15.0</v>
      </c>
      <c r="G57" s="19">
        <v>4.0</v>
      </c>
      <c r="H57" s="19">
        <v>15.0</v>
      </c>
      <c r="I57" s="19">
        <v>14.0</v>
      </c>
      <c r="J57" s="19">
        <v>10.0</v>
      </c>
      <c r="K57" s="19">
        <v>9.0</v>
      </c>
      <c r="L57" s="19">
        <v>13.0</v>
      </c>
      <c r="M57" s="19">
        <v>5.0</v>
      </c>
      <c r="N57" s="19">
        <v>10.0</v>
      </c>
      <c r="O57" s="13">
        <f t="shared" ref="O57:O67" si="16">SUM(E57:N57)</f>
        <v>100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36.0</v>
      </c>
      <c r="F58" s="19">
        <v>36.0</v>
      </c>
      <c r="G58" s="19">
        <v>26.0</v>
      </c>
      <c r="H58" s="19">
        <v>86.0</v>
      </c>
      <c r="I58" s="19">
        <v>24.0</v>
      </c>
      <c r="J58" s="19">
        <v>33.0</v>
      </c>
      <c r="K58" s="19">
        <v>41.0</v>
      </c>
      <c r="L58" s="19">
        <v>20.0</v>
      </c>
      <c r="M58" s="19">
        <v>29.0</v>
      </c>
      <c r="N58" s="19">
        <v>35.0</v>
      </c>
      <c r="O58" s="13">
        <f t="shared" si="16"/>
        <v>366</v>
      </c>
    </row>
    <row r="59" ht="12.75" customHeight="1">
      <c r="A59" s="18"/>
      <c r="B59" s="57">
        <v>2.0</v>
      </c>
      <c r="C59" s="52" t="s">
        <v>50</v>
      </c>
      <c r="D59" s="58"/>
      <c r="E59" s="19">
        <v>2.0</v>
      </c>
      <c r="F59" s="19">
        <v>2.0</v>
      </c>
      <c r="G59" s="19">
        <v>5.0</v>
      </c>
      <c r="H59" s="19">
        <v>2.0</v>
      </c>
      <c r="I59" s="19">
        <v>3.0</v>
      </c>
      <c r="J59" s="19">
        <v>4.0</v>
      </c>
      <c r="K59" s="19">
        <v>6.0</v>
      </c>
      <c r="L59" s="19">
        <v>5.0</v>
      </c>
      <c r="M59" s="19">
        <v>1.0</v>
      </c>
      <c r="N59" s="19">
        <v>5.0</v>
      </c>
      <c r="O59" s="13">
        <f t="shared" si="16"/>
        <v>35</v>
      </c>
    </row>
    <row r="60" ht="12.75" customHeight="1">
      <c r="A60" s="18"/>
      <c r="B60" s="57">
        <v>3.0</v>
      </c>
      <c r="C60" s="52" t="s">
        <v>51</v>
      </c>
      <c r="D60" s="58"/>
      <c r="E60" s="19">
        <v>0.0</v>
      </c>
      <c r="F60" s="19">
        <v>0.0</v>
      </c>
      <c r="G60" s="19">
        <v>3.0</v>
      </c>
      <c r="H60" s="19">
        <v>1.0</v>
      </c>
      <c r="I60" s="19">
        <v>1.0</v>
      </c>
      <c r="J60" s="19">
        <v>1.0</v>
      </c>
      <c r="K60" s="19">
        <v>0.0</v>
      </c>
      <c r="L60" s="19">
        <v>1.0</v>
      </c>
      <c r="M60" s="19">
        <v>0.0</v>
      </c>
      <c r="N60" s="19">
        <v>2.0</v>
      </c>
      <c r="O60" s="13">
        <f t="shared" si="16"/>
        <v>9</v>
      </c>
    </row>
    <row r="61" ht="12.75" customHeight="1">
      <c r="A61" s="18"/>
      <c r="B61" s="57">
        <v>4.0</v>
      </c>
      <c r="C61" s="52" t="s">
        <v>52</v>
      </c>
      <c r="D61" s="58"/>
      <c r="E61" s="19">
        <v>0.0</v>
      </c>
      <c r="F61" s="19">
        <v>1.0</v>
      </c>
      <c r="G61" s="19">
        <v>1.0</v>
      </c>
      <c r="H61" s="19">
        <v>1.0</v>
      </c>
      <c r="I61" s="19">
        <v>0.0</v>
      </c>
      <c r="J61" s="19">
        <v>1.0</v>
      </c>
      <c r="K61" s="19">
        <v>0.0</v>
      </c>
      <c r="L61" s="19">
        <v>1.0</v>
      </c>
      <c r="M61" s="19">
        <v>0.0</v>
      </c>
      <c r="N61" s="19">
        <v>0.0</v>
      </c>
      <c r="O61" s="13">
        <f t="shared" si="16"/>
        <v>5</v>
      </c>
    </row>
    <row r="62" ht="12.75" customHeight="1">
      <c r="A62" s="18"/>
      <c r="B62" s="57">
        <v>5.0</v>
      </c>
      <c r="C62" s="52" t="s">
        <v>53</v>
      </c>
      <c r="D62" s="58"/>
      <c r="E62" s="19">
        <v>0.0</v>
      </c>
      <c r="F62" s="19">
        <v>2.0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3">
        <f t="shared" si="16"/>
        <v>3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1.0</v>
      </c>
      <c r="N63" s="19">
        <v>0.0</v>
      </c>
      <c r="O63" s="13">
        <f t="shared" si="16"/>
        <v>2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2.0</v>
      </c>
      <c r="K64" s="19">
        <v>0.0</v>
      </c>
      <c r="L64" s="19">
        <v>0.0</v>
      </c>
      <c r="M64" s="19">
        <v>0.0</v>
      </c>
      <c r="N64" s="19">
        <v>0.0</v>
      </c>
      <c r="O64" s="13">
        <f t="shared" si="16"/>
        <v>2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N67" si="17">SUM(E57:E64)</f>
        <v>43</v>
      </c>
      <c r="F67" s="13">
        <f t="shared" si="17"/>
        <v>57</v>
      </c>
      <c r="G67" s="13">
        <f t="shared" si="17"/>
        <v>39</v>
      </c>
      <c r="H67" s="13">
        <f t="shared" si="17"/>
        <v>105</v>
      </c>
      <c r="I67" s="13">
        <f t="shared" si="17"/>
        <v>42</v>
      </c>
      <c r="J67" s="13">
        <f t="shared" si="17"/>
        <v>51</v>
      </c>
      <c r="K67" s="13">
        <f t="shared" si="17"/>
        <v>57</v>
      </c>
      <c r="L67" s="13">
        <f t="shared" si="17"/>
        <v>40</v>
      </c>
      <c r="M67" s="13">
        <f t="shared" si="17"/>
        <v>36</v>
      </c>
      <c r="N67" s="13">
        <f t="shared" si="17"/>
        <v>52</v>
      </c>
      <c r="O67" s="13">
        <f t="shared" si="16"/>
        <v>522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6.0</v>
      </c>
      <c r="F69" s="19">
        <v>6.0</v>
      </c>
      <c r="G69" s="19">
        <v>2.0</v>
      </c>
      <c r="H69" s="19">
        <v>4.0</v>
      </c>
      <c r="I69" s="19">
        <v>4.0</v>
      </c>
      <c r="J69" s="19">
        <v>2.0</v>
      </c>
      <c r="K69" s="19">
        <v>6.0</v>
      </c>
      <c r="L69" s="19">
        <v>9.0</v>
      </c>
      <c r="M69" s="19">
        <v>7.0</v>
      </c>
      <c r="N69" s="19">
        <v>1.0</v>
      </c>
      <c r="O69" s="13">
        <f t="shared" ref="O69:O79" si="18">SUM(E69:N69)</f>
        <v>47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5.0</v>
      </c>
      <c r="F70" s="19">
        <v>4.0</v>
      </c>
      <c r="G70" s="19">
        <v>6.0</v>
      </c>
      <c r="H70" s="19">
        <v>3.0</v>
      </c>
      <c r="I70" s="19">
        <v>7.0</v>
      </c>
      <c r="J70" s="19">
        <v>11.0</v>
      </c>
      <c r="K70" s="19">
        <v>10.0</v>
      </c>
      <c r="L70" s="19">
        <v>6.0</v>
      </c>
      <c r="M70" s="19">
        <v>8.0</v>
      </c>
      <c r="N70" s="19">
        <v>8.0</v>
      </c>
      <c r="O70" s="13">
        <f t="shared" si="18"/>
        <v>68</v>
      </c>
    </row>
    <row r="71" ht="12.75" customHeight="1">
      <c r="A71" s="18"/>
      <c r="B71" s="57">
        <v>2.0</v>
      </c>
      <c r="C71" s="52" t="s">
        <v>58</v>
      </c>
      <c r="D71" s="60"/>
      <c r="E71" s="19">
        <v>3.0</v>
      </c>
      <c r="F71" s="19">
        <v>7.0</v>
      </c>
      <c r="G71" s="19">
        <v>5.0</v>
      </c>
      <c r="H71" s="19">
        <v>2.0</v>
      </c>
      <c r="I71" s="19">
        <v>3.0</v>
      </c>
      <c r="J71" s="19">
        <v>4.0</v>
      </c>
      <c r="K71" s="19">
        <v>3.0</v>
      </c>
      <c r="L71" s="19">
        <v>4.0</v>
      </c>
      <c r="M71" s="19">
        <v>2.0</v>
      </c>
      <c r="N71" s="19">
        <v>2.0</v>
      </c>
      <c r="O71" s="13">
        <f t="shared" si="18"/>
        <v>35</v>
      </c>
    </row>
    <row r="72" ht="12.75" customHeight="1">
      <c r="A72" s="18"/>
      <c r="B72" s="57">
        <v>3.0</v>
      </c>
      <c r="C72" s="52" t="s">
        <v>59</v>
      </c>
      <c r="D72" s="60"/>
      <c r="E72" s="19">
        <v>1.0</v>
      </c>
      <c r="F72" s="19">
        <v>0.0</v>
      </c>
      <c r="G72" s="19">
        <v>2.0</v>
      </c>
      <c r="H72" s="19">
        <v>6.0</v>
      </c>
      <c r="I72" s="19">
        <v>7.0</v>
      </c>
      <c r="J72" s="19">
        <v>1.0</v>
      </c>
      <c r="K72" s="19">
        <v>2.0</v>
      </c>
      <c r="L72" s="19">
        <v>1.0</v>
      </c>
      <c r="M72" s="19">
        <v>3.0</v>
      </c>
      <c r="N72" s="19">
        <v>0.0</v>
      </c>
      <c r="O72" s="13">
        <f t="shared" si="18"/>
        <v>23</v>
      </c>
    </row>
    <row r="73" ht="12.75" customHeight="1">
      <c r="A73" s="18"/>
      <c r="B73" s="57">
        <v>4.0</v>
      </c>
      <c r="C73" s="52" t="s">
        <v>60</v>
      </c>
      <c r="D73" s="60"/>
      <c r="E73" s="19">
        <v>1.0</v>
      </c>
      <c r="F73" s="19">
        <v>3.0</v>
      </c>
      <c r="G73" s="19">
        <v>2.0</v>
      </c>
      <c r="H73" s="19">
        <v>0.0</v>
      </c>
      <c r="I73" s="19">
        <v>0.0</v>
      </c>
      <c r="J73" s="19">
        <v>2.0</v>
      </c>
      <c r="K73" s="19">
        <v>1.0</v>
      </c>
      <c r="L73" s="19">
        <v>3.0</v>
      </c>
      <c r="M73" s="19">
        <v>1.0</v>
      </c>
      <c r="N73" s="19">
        <v>1.0</v>
      </c>
      <c r="O73" s="13">
        <f t="shared" si="18"/>
        <v>14</v>
      </c>
    </row>
    <row r="74" ht="12.75" customHeight="1">
      <c r="A74" s="18"/>
      <c r="B74" s="57">
        <v>5.0</v>
      </c>
      <c r="C74" s="52" t="s">
        <v>61</v>
      </c>
      <c r="D74" s="60"/>
      <c r="E74" s="19">
        <v>1.0</v>
      </c>
      <c r="F74" s="19">
        <v>3.0</v>
      </c>
      <c r="G74" s="19">
        <v>2.0</v>
      </c>
      <c r="H74" s="19">
        <v>1.0</v>
      </c>
      <c r="I74" s="19">
        <v>3.0</v>
      </c>
      <c r="J74" s="19">
        <v>2.0</v>
      </c>
      <c r="K74" s="19">
        <v>0.0</v>
      </c>
      <c r="L74" s="19">
        <v>1.0</v>
      </c>
      <c r="M74" s="19">
        <v>2.0</v>
      </c>
      <c r="N74" s="19">
        <v>4.0</v>
      </c>
      <c r="O74" s="13">
        <f t="shared" si="18"/>
        <v>19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3">
        <f t="shared" si="18"/>
        <v>0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0.0</v>
      </c>
      <c r="G76" s="19">
        <v>0.0</v>
      </c>
      <c r="H76" s="19">
        <v>2.0</v>
      </c>
      <c r="I76" s="19">
        <v>0.0</v>
      </c>
      <c r="J76" s="19">
        <v>0.0</v>
      </c>
      <c r="K76" s="19">
        <v>1.0</v>
      </c>
      <c r="L76" s="19">
        <v>0.0</v>
      </c>
      <c r="M76" s="19">
        <v>0.0</v>
      </c>
      <c r="N76" s="19">
        <v>0.0</v>
      </c>
      <c r="O76" s="13">
        <f t="shared" si="18"/>
        <v>3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N79" si="19">SUM(E69:E76)</f>
        <v>17</v>
      </c>
      <c r="F79" s="13">
        <f t="shared" si="19"/>
        <v>23</v>
      </c>
      <c r="G79" s="13">
        <f t="shared" si="19"/>
        <v>19</v>
      </c>
      <c r="H79" s="13">
        <f t="shared" si="19"/>
        <v>18</v>
      </c>
      <c r="I79" s="13">
        <f t="shared" si="19"/>
        <v>24</v>
      </c>
      <c r="J79" s="13">
        <f t="shared" si="19"/>
        <v>22</v>
      </c>
      <c r="K79" s="13">
        <f t="shared" si="19"/>
        <v>23</v>
      </c>
      <c r="L79" s="13">
        <f t="shared" si="19"/>
        <v>24</v>
      </c>
      <c r="M79" s="13">
        <f t="shared" si="19"/>
        <v>23</v>
      </c>
      <c r="N79" s="13">
        <f t="shared" si="19"/>
        <v>16</v>
      </c>
      <c r="O79" s="13">
        <f t="shared" si="18"/>
        <v>209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3.0</v>
      </c>
      <c r="F81" s="19">
        <v>2.0</v>
      </c>
      <c r="G81" s="19">
        <v>2.0</v>
      </c>
      <c r="H81" s="19">
        <v>0.0</v>
      </c>
      <c r="I81" s="19">
        <v>6.0</v>
      </c>
      <c r="J81" s="19">
        <v>7.0</v>
      </c>
      <c r="K81" s="19">
        <v>3.0</v>
      </c>
      <c r="L81" s="19">
        <v>1.0</v>
      </c>
      <c r="M81" s="19">
        <v>1.0</v>
      </c>
      <c r="N81" s="19">
        <v>0.0</v>
      </c>
      <c r="O81" s="13">
        <f t="shared" ref="O81:O91" si="20">SUM(E81:N81)</f>
        <v>25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21.0</v>
      </c>
      <c r="F82" s="19">
        <v>10.0</v>
      </c>
      <c r="G82" s="19">
        <v>6.0</v>
      </c>
      <c r="H82" s="19">
        <v>11.0</v>
      </c>
      <c r="I82" s="19">
        <v>27.0</v>
      </c>
      <c r="J82" s="19">
        <v>19.0</v>
      </c>
      <c r="K82" s="19">
        <v>9.0</v>
      </c>
      <c r="L82" s="19">
        <v>1.0</v>
      </c>
      <c r="M82" s="19">
        <v>3.0</v>
      </c>
      <c r="N82" s="19">
        <v>15.0</v>
      </c>
      <c r="O82" s="13">
        <f t="shared" si="20"/>
        <v>122</v>
      </c>
    </row>
    <row r="83" ht="12.75" customHeight="1">
      <c r="A83" s="18"/>
      <c r="B83" s="57">
        <v>2.0</v>
      </c>
      <c r="C83" s="52" t="s">
        <v>66</v>
      </c>
      <c r="D83" s="60"/>
      <c r="E83" s="19">
        <v>1.0</v>
      </c>
      <c r="F83" s="19">
        <v>1.0</v>
      </c>
      <c r="G83" s="19">
        <v>2.0</v>
      </c>
      <c r="H83" s="19">
        <v>2.0</v>
      </c>
      <c r="I83" s="19">
        <v>4.0</v>
      </c>
      <c r="J83" s="19">
        <v>2.0</v>
      </c>
      <c r="K83" s="19">
        <v>0.0</v>
      </c>
      <c r="L83" s="19">
        <v>0.0</v>
      </c>
      <c r="M83" s="19">
        <v>2.0</v>
      </c>
      <c r="N83" s="19">
        <v>1.0</v>
      </c>
      <c r="O83" s="13">
        <f t="shared" si="20"/>
        <v>15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1.0</v>
      </c>
      <c r="M84" s="19">
        <v>0.0</v>
      </c>
      <c r="N84" s="19">
        <v>0.0</v>
      </c>
      <c r="O84" s="13">
        <f t="shared" si="20"/>
        <v>3</v>
      </c>
    </row>
    <row r="85" ht="12.75" customHeight="1">
      <c r="A85" s="18"/>
      <c r="B85" s="57">
        <v>4.0</v>
      </c>
      <c r="C85" s="52" t="s">
        <v>68</v>
      </c>
      <c r="D85" s="60"/>
      <c r="E85" s="19">
        <v>2.0</v>
      </c>
      <c r="F85" s="19">
        <v>1.0</v>
      </c>
      <c r="G85" s="19">
        <v>1.0</v>
      </c>
      <c r="H85" s="19">
        <v>1.0</v>
      </c>
      <c r="I85" s="19">
        <v>1.0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3">
        <f t="shared" si="20"/>
        <v>7</v>
      </c>
    </row>
    <row r="86" ht="12.75" customHeight="1">
      <c r="A86" s="18"/>
      <c r="B86" s="57">
        <v>5.0</v>
      </c>
      <c r="C86" s="52" t="s">
        <v>69</v>
      </c>
      <c r="D86" s="60"/>
      <c r="E86" s="19">
        <v>0.0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3">
        <f t="shared" si="20"/>
        <v>2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3">
        <f t="shared" si="20"/>
        <v>0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3">
        <f t="shared" si="20"/>
        <v>0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N91" si="21">SUM(E81:E88)</f>
        <v>27</v>
      </c>
      <c r="F91" s="13">
        <f t="shared" si="21"/>
        <v>14</v>
      </c>
      <c r="G91" s="13">
        <f t="shared" si="21"/>
        <v>11</v>
      </c>
      <c r="H91" s="13">
        <f t="shared" si="21"/>
        <v>16</v>
      </c>
      <c r="I91" s="13">
        <f t="shared" si="21"/>
        <v>39</v>
      </c>
      <c r="J91" s="13">
        <f t="shared" si="21"/>
        <v>28</v>
      </c>
      <c r="K91" s="13">
        <f t="shared" si="21"/>
        <v>13</v>
      </c>
      <c r="L91" s="13">
        <f t="shared" si="21"/>
        <v>3</v>
      </c>
      <c r="M91" s="13">
        <f t="shared" si="21"/>
        <v>7</v>
      </c>
      <c r="N91" s="13">
        <f t="shared" si="21"/>
        <v>16</v>
      </c>
      <c r="O91" s="13">
        <f t="shared" si="20"/>
        <v>174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0.0</v>
      </c>
      <c r="F93" s="19">
        <v>1.0</v>
      </c>
      <c r="G93" s="19">
        <v>0.0</v>
      </c>
      <c r="H93" s="19">
        <v>1.0</v>
      </c>
      <c r="I93" s="19">
        <v>1.0</v>
      </c>
      <c r="J93" s="19">
        <v>3.0</v>
      </c>
      <c r="K93" s="19">
        <v>2.0</v>
      </c>
      <c r="L93" s="19">
        <v>6.0</v>
      </c>
      <c r="M93" s="19">
        <v>4.0</v>
      </c>
      <c r="N93" s="19">
        <v>6.0</v>
      </c>
      <c r="O93" s="13">
        <f t="shared" ref="O93:O103" si="22">SUM(E93:N93)</f>
        <v>24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0.0</v>
      </c>
      <c r="F94" s="19">
        <v>3.0</v>
      </c>
      <c r="G94" s="19">
        <v>0.0</v>
      </c>
      <c r="H94" s="19">
        <v>0.0</v>
      </c>
      <c r="I94" s="19">
        <v>2.0</v>
      </c>
      <c r="J94" s="19">
        <v>0.0</v>
      </c>
      <c r="K94" s="19">
        <v>1.0</v>
      </c>
      <c r="L94" s="19">
        <v>2.0</v>
      </c>
      <c r="M94" s="19">
        <v>12.0</v>
      </c>
      <c r="N94" s="19">
        <v>3.0</v>
      </c>
      <c r="O94" s="13">
        <f t="shared" si="22"/>
        <v>23</v>
      </c>
    </row>
    <row r="95" ht="12.75" customHeight="1">
      <c r="A95" s="18"/>
      <c r="B95" s="57">
        <v>2.0</v>
      </c>
      <c r="C95" s="52" t="s">
        <v>75</v>
      </c>
      <c r="D95" s="60"/>
      <c r="E95" s="19">
        <v>4.0</v>
      </c>
      <c r="F95" s="19">
        <v>6.0</v>
      </c>
      <c r="G95" s="19">
        <v>5.0</v>
      </c>
      <c r="H95" s="19">
        <v>5.0</v>
      </c>
      <c r="I95" s="19">
        <v>9.0</v>
      </c>
      <c r="J95" s="19">
        <v>9.0</v>
      </c>
      <c r="K95" s="19">
        <v>4.0</v>
      </c>
      <c r="L95" s="19">
        <v>4.0</v>
      </c>
      <c r="M95" s="19">
        <v>7.0</v>
      </c>
      <c r="N95" s="19">
        <v>6.0</v>
      </c>
      <c r="O95" s="13">
        <f t="shared" si="22"/>
        <v>59</v>
      </c>
    </row>
    <row r="96" ht="12.75" customHeight="1">
      <c r="A96" s="18"/>
      <c r="B96" s="57">
        <v>3.0</v>
      </c>
      <c r="C96" s="52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3">
        <f t="shared" si="22"/>
        <v>1</v>
      </c>
    </row>
    <row r="97" ht="12.75" customHeight="1">
      <c r="A97" s="18"/>
      <c r="B97" s="57">
        <v>4.0</v>
      </c>
      <c r="C97" s="52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3.0</v>
      </c>
      <c r="K97" s="19">
        <v>0.0</v>
      </c>
      <c r="L97" s="19">
        <v>9.0</v>
      </c>
      <c r="M97" s="19">
        <v>7.0</v>
      </c>
      <c r="N97" s="19">
        <v>4.0</v>
      </c>
      <c r="O97" s="13">
        <f t="shared" si="22"/>
        <v>24</v>
      </c>
    </row>
    <row r="98" ht="12.75" customHeight="1">
      <c r="A98" s="18"/>
      <c r="B98" s="57">
        <v>5.0</v>
      </c>
      <c r="C98" s="52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1.0</v>
      </c>
      <c r="L98" s="19">
        <v>3.0</v>
      </c>
      <c r="M98" s="19">
        <v>1.0</v>
      </c>
      <c r="N98" s="19">
        <v>3.0</v>
      </c>
      <c r="O98" s="13">
        <f t="shared" si="22"/>
        <v>9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3">
        <f t="shared" si="22"/>
        <v>1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3">
        <f t="shared" si="22"/>
        <v>1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N103" si="23">SUM(E93:E100)</f>
        <v>4</v>
      </c>
      <c r="F103" s="13">
        <f t="shared" si="23"/>
        <v>11</v>
      </c>
      <c r="G103" s="13">
        <f t="shared" si="23"/>
        <v>6</v>
      </c>
      <c r="H103" s="13">
        <f t="shared" si="23"/>
        <v>6</v>
      </c>
      <c r="I103" s="13">
        <f t="shared" si="23"/>
        <v>12</v>
      </c>
      <c r="J103" s="13">
        <f t="shared" si="23"/>
        <v>17</v>
      </c>
      <c r="K103" s="13">
        <f t="shared" si="23"/>
        <v>8</v>
      </c>
      <c r="L103" s="13">
        <f t="shared" si="23"/>
        <v>24</v>
      </c>
      <c r="M103" s="13">
        <f t="shared" si="23"/>
        <v>31</v>
      </c>
      <c r="N103" s="13">
        <f t="shared" si="23"/>
        <v>23</v>
      </c>
      <c r="O103" s="13">
        <f t="shared" si="22"/>
        <v>142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  <c r="N104" s="76"/>
      <c r="O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3">
        <f t="shared" ref="O105:O115" si="24">SUM(E105:N105)</f>
        <v>1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3">
        <f t="shared" si="24"/>
        <v>0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3">
        <f t="shared" si="24"/>
        <v>1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N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4"/>
        <v>3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0.0</v>
      </c>
      <c r="F117" s="19">
        <v>4.0</v>
      </c>
      <c r="G117" s="19">
        <v>2.0</v>
      </c>
      <c r="H117" s="19">
        <v>0.0</v>
      </c>
      <c r="I117" s="19">
        <v>6.0</v>
      </c>
      <c r="J117" s="19">
        <v>2.0</v>
      </c>
      <c r="K117" s="19">
        <v>1.0</v>
      </c>
      <c r="L117" s="19">
        <v>1.0</v>
      </c>
      <c r="M117" s="19">
        <v>1.0</v>
      </c>
      <c r="N117" s="19">
        <v>0.0</v>
      </c>
      <c r="O117" s="13">
        <f t="shared" ref="O117:O127" si="26">SUM(E117:N117)</f>
        <v>17</v>
      </c>
      <c r="P117" s="5"/>
      <c r="Q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1.0</v>
      </c>
      <c r="F118" s="19">
        <v>0.0</v>
      </c>
      <c r="G118" s="19">
        <v>4.0</v>
      </c>
      <c r="H118" s="19">
        <v>2.0</v>
      </c>
      <c r="I118" s="19">
        <v>1.0</v>
      </c>
      <c r="J118" s="19">
        <v>1.0</v>
      </c>
      <c r="K118" s="19">
        <v>0.0</v>
      </c>
      <c r="L118" s="19">
        <v>0.0</v>
      </c>
      <c r="M118" s="19">
        <v>0.0</v>
      </c>
      <c r="N118" s="19">
        <v>1.0</v>
      </c>
      <c r="O118" s="13">
        <f t="shared" si="26"/>
        <v>10</v>
      </c>
      <c r="P118" s="5"/>
      <c r="Q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2.0</v>
      </c>
      <c r="G119" s="19">
        <v>1.0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9">
        <v>0.0</v>
      </c>
      <c r="O119" s="13">
        <f t="shared" si="26"/>
        <v>4</v>
      </c>
      <c r="P119" s="5"/>
      <c r="Q119" s="5"/>
    </row>
    <row r="120" ht="12.75" customHeight="1">
      <c r="A120" s="18"/>
      <c r="B120" s="57">
        <v>3.0</v>
      </c>
      <c r="C120" s="52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3">
        <f t="shared" si="26"/>
        <v>0</v>
      </c>
      <c r="P120" s="5"/>
      <c r="Q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9"/>
      <c r="N121" s="19"/>
      <c r="O121" s="13">
        <f t="shared" si="26"/>
        <v>0</v>
      </c>
      <c r="P121" s="5"/>
      <c r="Q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9"/>
      <c r="N122" s="19"/>
      <c r="O122" s="13">
        <f t="shared" si="26"/>
        <v>0</v>
      </c>
      <c r="P122" s="5"/>
      <c r="Q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13">
        <f t="shared" si="26"/>
        <v>0</v>
      </c>
      <c r="P123" s="5"/>
      <c r="Q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13">
        <f t="shared" si="26"/>
        <v>0</v>
      </c>
      <c r="P124" s="5"/>
      <c r="Q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13">
        <f t="shared" si="26"/>
        <v>0</v>
      </c>
      <c r="P125" s="5"/>
      <c r="Q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13">
        <f t="shared" si="26"/>
        <v>0</v>
      </c>
      <c r="P126" s="5"/>
      <c r="Q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N127" si="27">SUM(E117:E120)</f>
        <v>1</v>
      </c>
      <c r="F127" s="61">
        <f t="shared" si="27"/>
        <v>6</v>
      </c>
      <c r="G127" s="61">
        <f t="shared" si="27"/>
        <v>7</v>
      </c>
      <c r="H127" s="61">
        <f t="shared" si="27"/>
        <v>2</v>
      </c>
      <c r="I127" s="61">
        <f t="shared" si="27"/>
        <v>7</v>
      </c>
      <c r="J127" s="61">
        <f t="shared" si="27"/>
        <v>4</v>
      </c>
      <c r="K127" s="61">
        <f t="shared" si="27"/>
        <v>1</v>
      </c>
      <c r="L127" s="61">
        <f t="shared" si="27"/>
        <v>1</v>
      </c>
      <c r="M127" s="61">
        <f t="shared" si="27"/>
        <v>1</v>
      </c>
      <c r="N127" s="61">
        <f t="shared" si="27"/>
        <v>1</v>
      </c>
      <c r="O127" s="13">
        <f t="shared" si="26"/>
        <v>31</v>
      </c>
      <c r="P127" s="5"/>
      <c r="Q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5"/>
      <c r="Q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1.0</v>
      </c>
      <c r="F129" s="19">
        <v>1.0</v>
      </c>
      <c r="G129" s="19">
        <v>1.0</v>
      </c>
      <c r="H129" s="19">
        <v>0.0</v>
      </c>
      <c r="I129" s="19">
        <v>0.0</v>
      </c>
      <c r="J129" s="19">
        <v>0.0</v>
      </c>
      <c r="K129" s="19">
        <v>1.0</v>
      </c>
      <c r="L129" s="19">
        <v>0.0</v>
      </c>
      <c r="M129" s="19">
        <v>1.0</v>
      </c>
      <c r="N129" s="19">
        <v>2.0</v>
      </c>
      <c r="O129" s="13">
        <f t="shared" ref="O129:O139" si="28">SUM(E129:N129)</f>
        <v>7</v>
      </c>
      <c r="P129" s="5"/>
      <c r="Q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1.0</v>
      </c>
      <c r="F130" s="19">
        <v>0.0</v>
      </c>
      <c r="G130" s="19">
        <v>0.0</v>
      </c>
      <c r="H130" s="19">
        <v>0.0</v>
      </c>
      <c r="I130" s="19">
        <v>1.0</v>
      </c>
      <c r="J130" s="19">
        <v>7.0</v>
      </c>
      <c r="K130" s="19">
        <v>4.0</v>
      </c>
      <c r="L130" s="19">
        <v>0.0</v>
      </c>
      <c r="M130" s="19">
        <v>0.0</v>
      </c>
      <c r="N130" s="19">
        <v>0.0</v>
      </c>
      <c r="O130" s="13">
        <f t="shared" si="28"/>
        <v>13</v>
      </c>
      <c r="P130" s="1"/>
      <c r="Q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3">
        <f t="shared" si="28"/>
        <v>2</v>
      </c>
      <c r="P131" s="54"/>
      <c r="Q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3">
        <f t="shared" si="28"/>
        <v>2</v>
      </c>
      <c r="P132" s="5"/>
      <c r="Q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3">
        <f t="shared" si="28"/>
        <v>0</v>
      </c>
      <c r="P133" s="5"/>
      <c r="Q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3">
        <f t="shared" si="28"/>
        <v>0</v>
      </c>
      <c r="P134" s="5"/>
      <c r="Q134" s="5"/>
    </row>
    <row r="135" ht="12.75" customHeight="1">
      <c r="A135" s="18"/>
      <c r="B135" s="57">
        <v>6.0</v>
      </c>
      <c r="C135" s="52" t="s">
        <v>102</v>
      </c>
      <c r="D135" s="60"/>
      <c r="E135" s="19">
        <v>1.0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3">
        <f t="shared" si="28"/>
        <v>1</v>
      </c>
      <c r="P135" s="5"/>
      <c r="Q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3">
        <f t="shared" si="28"/>
        <v>0</v>
      </c>
      <c r="P136" s="5"/>
      <c r="Q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3">
        <f t="shared" si="28"/>
        <v>0</v>
      </c>
      <c r="P137" s="5"/>
      <c r="Q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3">
        <f t="shared" si="28"/>
        <v>0</v>
      </c>
      <c r="P138" s="5"/>
      <c r="Q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N139" si="29">SUM(E129:E136)</f>
        <v>4</v>
      </c>
      <c r="F139" s="13">
        <f t="shared" si="29"/>
        <v>1</v>
      </c>
      <c r="G139" s="13">
        <f t="shared" si="29"/>
        <v>1</v>
      </c>
      <c r="H139" s="13">
        <f t="shared" si="29"/>
        <v>0</v>
      </c>
      <c r="I139" s="13">
        <f t="shared" si="29"/>
        <v>2</v>
      </c>
      <c r="J139" s="13">
        <f t="shared" si="29"/>
        <v>8</v>
      </c>
      <c r="K139" s="13">
        <f t="shared" si="29"/>
        <v>5</v>
      </c>
      <c r="L139" s="13">
        <f t="shared" si="29"/>
        <v>1</v>
      </c>
      <c r="M139" s="13">
        <f t="shared" si="29"/>
        <v>1</v>
      </c>
      <c r="N139" s="13">
        <f t="shared" si="29"/>
        <v>2</v>
      </c>
      <c r="O139" s="13">
        <f t="shared" si="28"/>
        <v>25</v>
      </c>
      <c r="P139" s="5"/>
      <c r="Q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5"/>
      <c r="Q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3">
        <f t="shared" ref="O141:O151" si="30">SUM(E141:N141)</f>
        <v>1</v>
      </c>
      <c r="P141" s="1"/>
      <c r="Q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3">
        <f t="shared" si="30"/>
        <v>0</v>
      </c>
      <c r="P142" s="54"/>
      <c r="Q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3">
        <f t="shared" si="30"/>
        <v>0</v>
      </c>
      <c r="P143" s="5"/>
      <c r="Q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3">
        <f t="shared" si="30"/>
        <v>0</v>
      </c>
      <c r="P144" s="5"/>
      <c r="Q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3">
        <f t="shared" si="30"/>
        <v>0</v>
      </c>
      <c r="P145" s="5"/>
      <c r="Q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3">
        <f t="shared" si="30"/>
        <v>0</v>
      </c>
      <c r="P146" s="5"/>
      <c r="Q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3">
        <f t="shared" si="30"/>
        <v>0</v>
      </c>
      <c r="P147" s="5"/>
      <c r="Q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3">
        <f t="shared" si="30"/>
        <v>0</v>
      </c>
      <c r="P148" s="5"/>
      <c r="Q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3">
        <f t="shared" si="30"/>
        <v>0</v>
      </c>
      <c r="P149" s="5"/>
      <c r="Q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3">
        <f t="shared" si="30"/>
        <v>0</v>
      </c>
      <c r="P150" s="5"/>
      <c r="Q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0"/>
        <v>1</v>
      </c>
      <c r="P151" s="1"/>
      <c r="Q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13"/>
      <c r="P152" s="54"/>
      <c r="Q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2.0</v>
      </c>
      <c r="F153" s="19">
        <v>2.0</v>
      </c>
      <c r="G153" s="19">
        <v>1.0</v>
      </c>
      <c r="H153" s="19">
        <v>2.0</v>
      </c>
      <c r="I153" s="19">
        <v>0.0</v>
      </c>
      <c r="J153" s="19">
        <v>1.0</v>
      </c>
      <c r="K153" s="19">
        <v>0.0</v>
      </c>
      <c r="L153" s="19">
        <v>7.0</v>
      </c>
      <c r="M153" s="19">
        <v>4.0</v>
      </c>
      <c r="N153" s="19">
        <v>5.0</v>
      </c>
      <c r="O153" s="13">
        <f t="shared" ref="O153:O162" si="32">SUM(E153:N153)</f>
        <v>24</v>
      </c>
      <c r="P153" s="5"/>
      <c r="Q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2.0</v>
      </c>
      <c r="F154" s="19">
        <v>2.0</v>
      </c>
      <c r="G154" s="19">
        <v>8.0</v>
      </c>
      <c r="H154" s="19">
        <v>2.0</v>
      </c>
      <c r="I154" s="19">
        <v>2.0</v>
      </c>
      <c r="J154" s="19">
        <v>2.0</v>
      </c>
      <c r="K154" s="19">
        <v>3.0</v>
      </c>
      <c r="L154" s="19">
        <v>9.0</v>
      </c>
      <c r="M154" s="19">
        <v>7.0</v>
      </c>
      <c r="N154" s="19">
        <v>12.0</v>
      </c>
      <c r="O154" s="13">
        <f t="shared" si="32"/>
        <v>49</v>
      </c>
      <c r="P154" s="5"/>
      <c r="Q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1.0</v>
      </c>
      <c r="H155" s="19">
        <v>1.0</v>
      </c>
      <c r="I155" s="19">
        <v>0.0</v>
      </c>
      <c r="J155" s="19">
        <v>0.0</v>
      </c>
      <c r="K155" s="19">
        <v>1.0</v>
      </c>
      <c r="L155" s="19">
        <v>1.0</v>
      </c>
      <c r="M155" s="19">
        <v>2.0</v>
      </c>
      <c r="N155" s="19">
        <v>1.0</v>
      </c>
      <c r="O155" s="13">
        <f t="shared" si="32"/>
        <v>7</v>
      </c>
      <c r="P155" s="5"/>
      <c r="Q155" s="5"/>
    </row>
    <row r="156" ht="12.75" customHeight="1">
      <c r="A156" s="18"/>
      <c r="B156" s="57">
        <v>3.0</v>
      </c>
      <c r="C156" s="62" t="s">
        <v>117</v>
      </c>
      <c r="D156" s="60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3">
        <f t="shared" si="32"/>
        <v>0</v>
      </c>
      <c r="P156" s="5"/>
      <c r="Q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3">
        <f t="shared" si="32"/>
        <v>0</v>
      </c>
      <c r="P157" s="5"/>
      <c r="Q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3">
        <f t="shared" si="32"/>
        <v>0</v>
      </c>
      <c r="P158" s="5"/>
      <c r="Q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3">
        <f t="shared" si="32"/>
        <v>0</v>
      </c>
      <c r="P159" s="5"/>
      <c r="Q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3">
        <f t="shared" si="32"/>
        <v>0</v>
      </c>
      <c r="P160" s="5"/>
      <c r="Q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3">
        <f t="shared" si="32"/>
        <v>0</v>
      </c>
      <c r="P161" s="5"/>
      <c r="Q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3">
        <f t="shared" si="32"/>
        <v>0</v>
      </c>
      <c r="P162" s="5"/>
      <c r="Q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N163" si="33">SUM(E153:E157)</f>
        <v>4</v>
      </c>
      <c r="F163" s="13">
        <f t="shared" si="33"/>
        <v>4</v>
      </c>
      <c r="G163" s="13">
        <f t="shared" si="33"/>
        <v>10</v>
      </c>
      <c r="H163" s="13">
        <f t="shared" si="33"/>
        <v>5</v>
      </c>
      <c r="I163" s="13">
        <f t="shared" si="33"/>
        <v>2</v>
      </c>
      <c r="J163" s="13">
        <f t="shared" si="33"/>
        <v>3</v>
      </c>
      <c r="K163" s="13">
        <f t="shared" si="33"/>
        <v>4</v>
      </c>
      <c r="L163" s="13">
        <f t="shared" si="33"/>
        <v>17</v>
      </c>
      <c r="M163" s="13">
        <f t="shared" si="33"/>
        <v>13</v>
      </c>
      <c r="N163" s="13">
        <f t="shared" si="33"/>
        <v>18</v>
      </c>
      <c r="O163" s="13">
        <f>SUM(E164:N164)</f>
        <v>0</v>
      </c>
      <c r="P163" s="5"/>
      <c r="Q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5"/>
      <c r="Q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1.0</v>
      </c>
      <c r="F165" s="19">
        <v>0.0</v>
      </c>
      <c r="G165" s="19">
        <v>1.0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3">
        <f t="shared" ref="O165:O175" si="34">SUM(E165:N165)</f>
        <v>3</v>
      </c>
      <c r="P165" s="1"/>
      <c r="Q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1.0</v>
      </c>
      <c r="N166" s="19">
        <v>0.0</v>
      </c>
      <c r="O166" s="13">
        <f t="shared" si="34"/>
        <v>2</v>
      </c>
      <c r="P166" s="54"/>
      <c r="Q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3">
        <f t="shared" si="34"/>
        <v>1</v>
      </c>
      <c r="P167" s="5"/>
      <c r="Q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1.0</v>
      </c>
      <c r="I168" s="19">
        <v>0.0</v>
      </c>
      <c r="J168" s="19">
        <v>0.0</v>
      </c>
      <c r="K168" s="19">
        <v>1.0</v>
      </c>
      <c r="L168" s="19">
        <v>0.0</v>
      </c>
      <c r="M168" s="19">
        <v>0.0</v>
      </c>
      <c r="N168" s="19">
        <v>0.0</v>
      </c>
      <c r="O168" s="13">
        <f t="shared" si="34"/>
        <v>2</v>
      </c>
      <c r="P168" s="5"/>
      <c r="Q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3">
        <f t="shared" si="34"/>
        <v>0</v>
      </c>
      <c r="P169" s="5"/>
      <c r="Q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3">
        <f t="shared" si="34"/>
        <v>0</v>
      </c>
      <c r="P170" s="5"/>
      <c r="Q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3">
        <f t="shared" si="34"/>
        <v>0</v>
      </c>
      <c r="P171" s="5"/>
      <c r="Q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3">
        <f t="shared" si="34"/>
        <v>0</v>
      </c>
      <c r="P172" s="5"/>
      <c r="Q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3">
        <f t="shared" si="34"/>
        <v>0</v>
      </c>
      <c r="P173" s="5"/>
      <c r="Q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3">
        <f t="shared" si="34"/>
        <v>0</v>
      </c>
      <c r="P174" s="5"/>
      <c r="Q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N175" si="35">SUM(E165:E172)</f>
        <v>1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4"/>
        <v>8</v>
      </c>
      <c r="P175" s="5"/>
      <c r="Q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1"/>
      <c r="Q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2.0</v>
      </c>
      <c r="F177" s="19">
        <v>11.0</v>
      </c>
      <c r="G177" s="19">
        <v>2.0</v>
      </c>
      <c r="H177" s="19">
        <v>2.0</v>
      </c>
      <c r="I177" s="19">
        <v>1.0</v>
      </c>
      <c r="J177" s="19">
        <v>1.0</v>
      </c>
      <c r="K177" s="19">
        <v>2.0</v>
      </c>
      <c r="L177" s="19">
        <v>0.0</v>
      </c>
      <c r="M177" s="19">
        <v>2.0</v>
      </c>
      <c r="N177" s="19">
        <v>0.0</v>
      </c>
      <c r="O177" s="13">
        <f t="shared" ref="O177:O187" si="36">SUM(E177:N177)</f>
        <v>23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8.0</v>
      </c>
      <c r="F178" s="19">
        <v>15.0</v>
      </c>
      <c r="G178" s="19">
        <v>3.0</v>
      </c>
      <c r="H178" s="19">
        <v>2.0</v>
      </c>
      <c r="I178" s="19">
        <v>11.0</v>
      </c>
      <c r="J178" s="19">
        <v>3.0</v>
      </c>
      <c r="K178" s="19">
        <v>1.0</v>
      </c>
      <c r="L178" s="19">
        <v>0.0</v>
      </c>
      <c r="M178" s="19">
        <v>1.0</v>
      </c>
      <c r="N178" s="19">
        <v>0.0</v>
      </c>
      <c r="O178" s="13">
        <f t="shared" si="36"/>
        <v>44</v>
      </c>
      <c r="P178" s="5"/>
      <c r="Q178" s="5"/>
    </row>
    <row r="179" ht="12.75" customHeight="1">
      <c r="A179" s="18"/>
      <c r="B179" s="57">
        <v>2.0</v>
      </c>
      <c r="C179" s="52" t="s">
        <v>131</v>
      </c>
      <c r="D179" s="60"/>
      <c r="E179" s="19">
        <v>2.0</v>
      </c>
      <c r="F179" s="19">
        <v>1.0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3">
        <f t="shared" si="36"/>
        <v>5</v>
      </c>
      <c r="P179" s="5"/>
      <c r="Q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3">
        <f t="shared" si="36"/>
        <v>2</v>
      </c>
      <c r="P180" s="5"/>
      <c r="Q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3">
        <f t="shared" si="36"/>
        <v>0</v>
      </c>
      <c r="P181" s="5"/>
      <c r="Q181" s="5"/>
    </row>
    <row r="182" ht="12.75" customHeight="1">
      <c r="A182" s="18"/>
      <c r="B182" s="57">
        <v>5.0</v>
      </c>
      <c r="C182" s="52" t="s">
        <v>134</v>
      </c>
      <c r="D182" s="60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3">
        <f t="shared" si="36"/>
        <v>1</v>
      </c>
      <c r="P182" s="5"/>
      <c r="Q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3">
        <f t="shared" si="36"/>
        <v>0</v>
      </c>
      <c r="P183" s="5"/>
      <c r="Q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3">
        <f t="shared" si="36"/>
        <v>0</v>
      </c>
      <c r="P184" s="5"/>
      <c r="Q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3">
        <f t="shared" si="36"/>
        <v>0</v>
      </c>
      <c r="P185" s="5"/>
      <c r="Q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3">
        <f t="shared" si="36"/>
        <v>0</v>
      </c>
      <c r="P186" s="5"/>
      <c r="Q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N187" si="37">SUM(E177:E184)</f>
        <v>13</v>
      </c>
      <c r="F187" s="13">
        <f t="shared" si="37"/>
        <v>27</v>
      </c>
      <c r="G187" s="13">
        <f t="shared" si="37"/>
        <v>6</v>
      </c>
      <c r="H187" s="13">
        <f t="shared" si="37"/>
        <v>5</v>
      </c>
      <c r="I187" s="13">
        <f t="shared" si="37"/>
        <v>12</v>
      </c>
      <c r="J187" s="13">
        <f t="shared" si="37"/>
        <v>5</v>
      </c>
      <c r="K187" s="13">
        <f t="shared" si="37"/>
        <v>3</v>
      </c>
      <c r="L187" s="13">
        <f t="shared" si="37"/>
        <v>0</v>
      </c>
      <c r="M187" s="13">
        <f t="shared" si="37"/>
        <v>4</v>
      </c>
      <c r="N187" s="13">
        <f t="shared" si="37"/>
        <v>0</v>
      </c>
      <c r="O187" s="13">
        <f t="shared" si="36"/>
        <v>75</v>
      </c>
      <c r="P187" s="1"/>
      <c r="Q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3">
        <f t="shared" ref="O189:O199" si="38">SUM(E189:N189)</f>
        <v>1</v>
      </c>
      <c r="P189" s="5"/>
      <c r="Q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3">
        <f t="shared" si="38"/>
        <v>0</v>
      </c>
      <c r="P190" s="5"/>
      <c r="Q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3">
        <f t="shared" si="38"/>
        <v>0</v>
      </c>
      <c r="P191" s="5"/>
      <c r="Q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2.0</v>
      </c>
      <c r="L192" s="19">
        <v>0.0</v>
      </c>
      <c r="M192" s="19">
        <v>0.0</v>
      </c>
      <c r="N192" s="19">
        <v>0.0</v>
      </c>
      <c r="O192" s="13">
        <f t="shared" si="38"/>
        <v>2</v>
      </c>
      <c r="P192" s="5"/>
      <c r="Q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3">
        <f t="shared" si="38"/>
        <v>0</v>
      </c>
      <c r="P193" s="5"/>
      <c r="Q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3">
        <f t="shared" si="38"/>
        <v>0</v>
      </c>
      <c r="P194" s="5"/>
      <c r="Q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1.0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3">
        <f t="shared" si="38"/>
        <v>1</v>
      </c>
      <c r="P195" s="5"/>
      <c r="Q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3">
        <f t="shared" si="38"/>
        <v>0</v>
      </c>
      <c r="P196" s="1"/>
      <c r="Q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3">
        <f t="shared" si="38"/>
        <v>0</v>
      </c>
      <c r="P197" s="1"/>
      <c r="Q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3">
        <f t="shared" si="38"/>
        <v>0</v>
      </c>
      <c r="P198" s="1"/>
      <c r="Q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N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8"/>
        <v>4</v>
      </c>
      <c r="P199" s="54"/>
      <c r="Q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5"/>
      <c r="Q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2.0</v>
      </c>
      <c r="F201" s="19">
        <v>11.0</v>
      </c>
      <c r="G201" s="19">
        <v>3.0</v>
      </c>
      <c r="H201" s="19">
        <v>1.0</v>
      </c>
      <c r="I201" s="19">
        <v>0.0</v>
      </c>
      <c r="J201" s="19">
        <v>3.0</v>
      </c>
      <c r="K201" s="19">
        <v>1.0</v>
      </c>
      <c r="L201" s="19">
        <v>1.0</v>
      </c>
      <c r="M201" s="19">
        <v>2.0</v>
      </c>
      <c r="N201" s="19">
        <v>3.0</v>
      </c>
      <c r="O201" s="13">
        <f t="shared" ref="O201:O211" si="40">SUM(E201:N201)</f>
        <v>27</v>
      </c>
      <c r="P201" s="5"/>
      <c r="Q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1.0</v>
      </c>
      <c r="F202" s="19">
        <v>7.0</v>
      </c>
      <c r="G202" s="19">
        <v>3.0</v>
      </c>
      <c r="H202" s="19">
        <v>3.0</v>
      </c>
      <c r="I202" s="19">
        <v>3.0</v>
      </c>
      <c r="J202" s="19">
        <v>4.0</v>
      </c>
      <c r="K202" s="19">
        <v>2.0</v>
      </c>
      <c r="L202" s="19">
        <v>1.0</v>
      </c>
      <c r="M202" s="19">
        <v>2.0</v>
      </c>
      <c r="N202" s="19">
        <v>2.0</v>
      </c>
      <c r="O202" s="13">
        <f t="shared" si="40"/>
        <v>28</v>
      </c>
      <c r="P202" s="5"/>
      <c r="Q202" s="5"/>
    </row>
    <row r="203" ht="12.75" customHeight="1">
      <c r="A203" s="18"/>
      <c r="B203" s="57">
        <v>2.0</v>
      </c>
      <c r="C203" s="52" t="s">
        <v>149</v>
      </c>
      <c r="D203" s="60"/>
      <c r="E203" s="19">
        <v>1.0</v>
      </c>
      <c r="F203" s="19">
        <v>7.0</v>
      </c>
      <c r="G203" s="19">
        <v>8.0</v>
      </c>
      <c r="H203" s="19">
        <v>2.0</v>
      </c>
      <c r="I203" s="19">
        <v>2.0</v>
      </c>
      <c r="J203" s="19">
        <v>0.0</v>
      </c>
      <c r="K203" s="19">
        <v>5.0</v>
      </c>
      <c r="L203" s="19">
        <v>3.0</v>
      </c>
      <c r="M203" s="19">
        <v>2.0</v>
      </c>
      <c r="N203" s="19">
        <v>1.0</v>
      </c>
      <c r="O203" s="13">
        <f t="shared" si="40"/>
        <v>31</v>
      </c>
      <c r="P203" s="5"/>
      <c r="Q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3">
        <f t="shared" si="40"/>
        <v>2</v>
      </c>
      <c r="P204" s="5"/>
      <c r="Q204" s="5"/>
    </row>
    <row r="205" ht="12.75" customHeight="1">
      <c r="A205" s="18"/>
      <c r="B205" s="57">
        <v>4.0</v>
      </c>
      <c r="C205" s="52" t="s">
        <v>151</v>
      </c>
      <c r="D205" s="60"/>
      <c r="E205" s="19">
        <v>0.0</v>
      </c>
      <c r="F205" s="19">
        <v>0.0</v>
      </c>
      <c r="G205" s="19">
        <v>1.0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3">
        <f t="shared" si="40"/>
        <v>3</v>
      </c>
      <c r="P205" s="5"/>
      <c r="Q205" s="5"/>
    </row>
    <row r="206" ht="12.75" customHeight="1">
      <c r="A206" s="18"/>
      <c r="B206" s="57">
        <v>5.0</v>
      </c>
      <c r="C206" s="52" t="s">
        <v>152</v>
      </c>
      <c r="D206" s="60"/>
      <c r="E206" s="19">
        <v>1.0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3">
        <f t="shared" si="40"/>
        <v>2</v>
      </c>
      <c r="P206" s="5"/>
      <c r="Q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2.0</v>
      </c>
      <c r="G207" s="19">
        <v>0.0</v>
      </c>
      <c r="H207" s="19">
        <v>1.0</v>
      </c>
      <c r="I207" s="19">
        <v>0.0</v>
      </c>
      <c r="J207" s="19">
        <v>0.0</v>
      </c>
      <c r="K207" s="19">
        <v>1.0</v>
      </c>
      <c r="L207" s="19">
        <v>0.0</v>
      </c>
      <c r="M207" s="19">
        <v>0.0</v>
      </c>
      <c r="N207" s="19">
        <v>0.0</v>
      </c>
      <c r="O207" s="13">
        <f t="shared" si="40"/>
        <v>4</v>
      </c>
      <c r="P207" s="1"/>
      <c r="Q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1.0</v>
      </c>
      <c r="H208" s="19">
        <v>0.0</v>
      </c>
      <c r="I208" s="19">
        <v>1.0</v>
      </c>
      <c r="J208" s="19">
        <v>0.0</v>
      </c>
      <c r="K208" s="19">
        <v>1.0</v>
      </c>
      <c r="L208" s="19">
        <v>0.0</v>
      </c>
      <c r="M208" s="19">
        <v>0.0</v>
      </c>
      <c r="N208" s="19">
        <v>1.0</v>
      </c>
      <c r="O208" s="13">
        <f t="shared" si="40"/>
        <v>4</v>
      </c>
      <c r="P208" s="54"/>
      <c r="Q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3">
        <f t="shared" si="40"/>
        <v>0</v>
      </c>
      <c r="P209" s="54"/>
      <c r="Q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3">
        <f t="shared" si="40"/>
        <v>0</v>
      </c>
      <c r="P210" s="54"/>
      <c r="Q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N211" si="41">SUM(E201:E208)</f>
        <v>5</v>
      </c>
      <c r="F211" s="13">
        <f t="shared" si="41"/>
        <v>27</v>
      </c>
      <c r="G211" s="13">
        <f t="shared" si="41"/>
        <v>16</v>
      </c>
      <c r="H211" s="13">
        <f t="shared" si="41"/>
        <v>8</v>
      </c>
      <c r="I211" s="13">
        <f t="shared" si="41"/>
        <v>8</v>
      </c>
      <c r="J211" s="13">
        <f t="shared" si="41"/>
        <v>7</v>
      </c>
      <c r="K211" s="13">
        <f t="shared" si="41"/>
        <v>10</v>
      </c>
      <c r="L211" s="13">
        <f t="shared" si="41"/>
        <v>5</v>
      </c>
      <c r="M211" s="13">
        <f t="shared" si="41"/>
        <v>6</v>
      </c>
      <c r="N211" s="13">
        <f t="shared" si="41"/>
        <v>9</v>
      </c>
      <c r="O211" s="13">
        <f t="shared" si="40"/>
        <v>101</v>
      </c>
      <c r="P211" s="5"/>
      <c r="Q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5"/>
      <c r="Q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0.0</v>
      </c>
      <c r="F213" s="19">
        <v>2.0</v>
      </c>
      <c r="G213" s="19">
        <v>4.0</v>
      </c>
      <c r="H213" s="19">
        <v>0.0</v>
      </c>
      <c r="I213" s="19">
        <v>0.0</v>
      </c>
      <c r="J213" s="19">
        <v>0.0</v>
      </c>
      <c r="K213" s="19">
        <v>1.0</v>
      </c>
      <c r="L213" s="19">
        <v>0.0</v>
      </c>
      <c r="M213" s="19">
        <v>1.0</v>
      </c>
      <c r="N213" s="19">
        <v>1.0</v>
      </c>
      <c r="O213" s="13">
        <f t="shared" ref="O213:O223" si="42">SUM(E213:N213)</f>
        <v>9</v>
      </c>
      <c r="P213" s="5"/>
      <c r="Q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1.0</v>
      </c>
      <c r="K214" s="19">
        <v>1.0</v>
      </c>
      <c r="L214" s="19">
        <v>0.0</v>
      </c>
      <c r="M214" s="19">
        <v>0.0</v>
      </c>
      <c r="N214" s="19">
        <v>1.0</v>
      </c>
      <c r="O214" s="13">
        <f t="shared" si="42"/>
        <v>3</v>
      </c>
      <c r="P214" s="5"/>
      <c r="Q214" s="5"/>
    </row>
    <row r="215" ht="12.75" customHeight="1">
      <c r="A215" s="18"/>
      <c r="B215" s="57">
        <v>2.0</v>
      </c>
      <c r="C215" s="52" t="s">
        <v>158</v>
      </c>
      <c r="D215" s="58"/>
      <c r="E215" s="19">
        <v>0.0</v>
      </c>
      <c r="F215" s="19">
        <v>1.0</v>
      </c>
      <c r="G215" s="19">
        <v>0.0</v>
      </c>
      <c r="H215" s="19">
        <v>0.0</v>
      </c>
      <c r="I215" s="19">
        <v>1.0</v>
      </c>
      <c r="J215" s="19">
        <v>0.0</v>
      </c>
      <c r="K215" s="19">
        <v>0.0</v>
      </c>
      <c r="L215" s="19">
        <v>2.0</v>
      </c>
      <c r="M215" s="19">
        <v>3.0</v>
      </c>
      <c r="N215" s="19">
        <v>3.0</v>
      </c>
      <c r="O215" s="13">
        <f t="shared" si="42"/>
        <v>10</v>
      </c>
      <c r="P215" s="5"/>
      <c r="Q215" s="5"/>
    </row>
    <row r="216" ht="12.75" customHeight="1">
      <c r="A216" s="18"/>
      <c r="B216" s="57">
        <v>3.0</v>
      </c>
      <c r="C216" s="64" t="s">
        <v>159</v>
      </c>
      <c r="E216" s="19">
        <v>1.0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1.0</v>
      </c>
      <c r="M216" s="19">
        <v>0.0</v>
      </c>
      <c r="N216" s="19">
        <v>0.0</v>
      </c>
      <c r="O216" s="13">
        <f t="shared" si="42"/>
        <v>4</v>
      </c>
      <c r="P216" s="5"/>
      <c r="Q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3">
        <f t="shared" si="42"/>
        <v>0</v>
      </c>
      <c r="P217" s="5"/>
      <c r="Q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3">
        <f t="shared" si="42"/>
        <v>0</v>
      </c>
      <c r="P218" s="1"/>
      <c r="Q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3">
        <f t="shared" si="42"/>
        <v>1</v>
      </c>
      <c r="P219" s="54"/>
      <c r="Q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3">
        <f t="shared" si="42"/>
        <v>0</v>
      </c>
      <c r="P220" s="5"/>
      <c r="Q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3">
        <f t="shared" si="42"/>
        <v>0</v>
      </c>
      <c r="P221" s="5"/>
      <c r="Q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3">
        <f t="shared" si="42"/>
        <v>0</v>
      </c>
      <c r="P222" s="5"/>
      <c r="Q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N223" si="43">SUM(E213:E220)</f>
        <v>1</v>
      </c>
      <c r="F223" s="13">
        <f t="shared" si="43"/>
        <v>5</v>
      </c>
      <c r="G223" s="13">
        <f t="shared" si="43"/>
        <v>4</v>
      </c>
      <c r="H223" s="13">
        <f t="shared" si="43"/>
        <v>0</v>
      </c>
      <c r="I223" s="13">
        <f t="shared" si="43"/>
        <v>1</v>
      </c>
      <c r="J223" s="13">
        <f t="shared" si="43"/>
        <v>1</v>
      </c>
      <c r="K223" s="13">
        <f t="shared" si="43"/>
        <v>3</v>
      </c>
      <c r="L223" s="13">
        <f t="shared" si="43"/>
        <v>3</v>
      </c>
      <c r="M223" s="13">
        <f t="shared" si="43"/>
        <v>4</v>
      </c>
      <c r="N223" s="13">
        <f t="shared" si="43"/>
        <v>5</v>
      </c>
      <c r="O223" s="13">
        <f t="shared" si="42"/>
        <v>27</v>
      </c>
      <c r="P223" s="5"/>
      <c r="Q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5"/>
      <c r="Q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3">
        <f t="shared" ref="O225:O235" si="44">SUM(E225:N225)</f>
        <v>1</v>
      </c>
      <c r="P225" s="5"/>
      <c r="Q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3">
        <f t="shared" si="44"/>
        <v>1</v>
      </c>
      <c r="P226" s="5"/>
      <c r="Q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3">
        <f t="shared" si="44"/>
        <v>0</v>
      </c>
      <c r="P227" s="5"/>
      <c r="Q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3">
        <f t="shared" si="44"/>
        <v>0</v>
      </c>
      <c r="P228" s="5"/>
      <c r="Q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3">
        <f t="shared" si="44"/>
        <v>0</v>
      </c>
      <c r="P229" s="1"/>
      <c r="Q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3">
        <f t="shared" si="44"/>
        <v>0</v>
      </c>
      <c r="P230" s="54"/>
      <c r="Q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3">
        <f t="shared" si="44"/>
        <v>0</v>
      </c>
      <c r="P231" s="5"/>
      <c r="Q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3">
        <f t="shared" si="44"/>
        <v>0</v>
      </c>
      <c r="P232" s="5"/>
      <c r="Q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3">
        <f t="shared" si="44"/>
        <v>0</v>
      </c>
      <c r="P233" s="5"/>
      <c r="Q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3">
        <f t="shared" si="44"/>
        <v>0</v>
      </c>
      <c r="P234" s="5"/>
      <c r="Q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N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4"/>
        <v>2</v>
      </c>
      <c r="P235" s="5"/>
      <c r="Q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5"/>
      <c r="Q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1.0</v>
      </c>
      <c r="F237" s="19">
        <v>0.0</v>
      </c>
      <c r="G237" s="19">
        <v>3.0</v>
      </c>
      <c r="H237" s="19">
        <v>2.0</v>
      </c>
      <c r="I237" s="19">
        <v>2.0</v>
      </c>
      <c r="J237" s="19">
        <v>1.0</v>
      </c>
      <c r="K237" s="19">
        <v>4.0</v>
      </c>
      <c r="L237" s="19">
        <v>4.0</v>
      </c>
      <c r="M237" s="19">
        <v>7.0</v>
      </c>
      <c r="N237" s="19">
        <v>2.0</v>
      </c>
      <c r="O237" s="13">
        <f t="shared" ref="O237:O247" si="46">SUM(E237:N237)</f>
        <v>26</v>
      </c>
      <c r="P237" s="5"/>
      <c r="Q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4.0</v>
      </c>
      <c r="F238" s="19">
        <v>1.0</v>
      </c>
      <c r="G238" s="19">
        <v>4.0</v>
      </c>
      <c r="H238" s="19">
        <v>1.0</v>
      </c>
      <c r="I238" s="19">
        <v>0.0</v>
      </c>
      <c r="J238" s="19">
        <v>2.0</v>
      </c>
      <c r="K238" s="19">
        <v>3.0</v>
      </c>
      <c r="L238" s="19">
        <v>1.0</v>
      </c>
      <c r="M238" s="19">
        <v>0.0</v>
      </c>
      <c r="N238" s="19">
        <v>0.0</v>
      </c>
      <c r="O238" s="13">
        <f t="shared" si="46"/>
        <v>16</v>
      </c>
      <c r="P238" s="5"/>
      <c r="Q238" s="5"/>
    </row>
    <row r="239" ht="12.75" customHeight="1">
      <c r="A239" s="18"/>
      <c r="B239" s="57">
        <v>2.0</v>
      </c>
      <c r="C239" s="52" t="s">
        <v>176</v>
      </c>
      <c r="D239" s="60"/>
      <c r="E239" s="19">
        <v>38.0</v>
      </c>
      <c r="F239" s="19">
        <v>12.0</v>
      </c>
      <c r="G239" s="19">
        <v>19.0</v>
      </c>
      <c r="H239" s="19">
        <v>18.0</v>
      </c>
      <c r="I239" s="19">
        <v>28.0</v>
      </c>
      <c r="J239" s="19">
        <v>22.0</v>
      </c>
      <c r="K239" s="19">
        <v>23.0</v>
      </c>
      <c r="L239" s="19">
        <v>22.0</v>
      </c>
      <c r="M239" s="19">
        <v>38.0</v>
      </c>
      <c r="N239" s="19">
        <v>23.0</v>
      </c>
      <c r="O239" s="13">
        <f t="shared" si="46"/>
        <v>243</v>
      </c>
      <c r="P239" s="5"/>
      <c r="Q239" s="5"/>
    </row>
    <row r="240" ht="12.75" customHeight="1">
      <c r="A240" s="18"/>
      <c r="B240" s="57">
        <v>3.0</v>
      </c>
      <c r="C240" s="52" t="s">
        <v>177</v>
      </c>
      <c r="D240" s="60"/>
      <c r="E240" s="19">
        <v>2.0</v>
      </c>
      <c r="F240" s="19">
        <v>2.0</v>
      </c>
      <c r="G240" s="19">
        <v>4.0</v>
      </c>
      <c r="H240" s="19">
        <v>2.0</v>
      </c>
      <c r="I240" s="19">
        <v>3.0</v>
      </c>
      <c r="J240" s="19">
        <v>0.0</v>
      </c>
      <c r="K240" s="19">
        <v>1.0</v>
      </c>
      <c r="L240" s="19">
        <v>4.0</v>
      </c>
      <c r="M240" s="19">
        <v>4.0</v>
      </c>
      <c r="N240" s="19">
        <v>3.0</v>
      </c>
      <c r="O240" s="13">
        <f t="shared" si="46"/>
        <v>25</v>
      </c>
      <c r="P240" s="1"/>
      <c r="Q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3">
        <f t="shared" si="46"/>
        <v>1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1.0</v>
      </c>
      <c r="L242" s="19">
        <v>0.0</v>
      </c>
      <c r="M242" s="19">
        <v>0.0</v>
      </c>
      <c r="N242" s="19">
        <v>0.0</v>
      </c>
      <c r="O242" s="13">
        <f t="shared" si="46"/>
        <v>1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1.0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3">
        <f t="shared" si="46"/>
        <v>2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14.0</v>
      </c>
      <c r="F244" s="19">
        <v>5.0</v>
      </c>
      <c r="G244" s="19">
        <v>11.0</v>
      </c>
      <c r="H244" s="19">
        <v>7.0</v>
      </c>
      <c r="I244" s="19">
        <v>2.0</v>
      </c>
      <c r="J244" s="19">
        <v>22.0</v>
      </c>
      <c r="K244" s="19">
        <v>4.0</v>
      </c>
      <c r="L244" s="19">
        <v>0.0</v>
      </c>
      <c r="M244" s="19">
        <v>0.0</v>
      </c>
      <c r="N244" s="19">
        <v>1.0</v>
      </c>
      <c r="O244" s="13">
        <f t="shared" si="46"/>
        <v>66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N247" si="47">SUM(E237:E244)</f>
        <v>59</v>
      </c>
      <c r="F247" s="13">
        <f t="shared" si="47"/>
        <v>20</v>
      </c>
      <c r="G247" s="13">
        <f t="shared" si="47"/>
        <v>41</v>
      </c>
      <c r="H247" s="13">
        <f t="shared" si="47"/>
        <v>31</v>
      </c>
      <c r="I247" s="13">
        <f t="shared" si="47"/>
        <v>36</v>
      </c>
      <c r="J247" s="13">
        <f t="shared" si="47"/>
        <v>47</v>
      </c>
      <c r="K247" s="13">
        <f t="shared" si="47"/>
        <v>37</v>
      </c>
      <c r="L247" s="13">
        <f t="shared" si="47"/>
        <v>31</v>
      </c>
      <c r="M247" s="13">
        <f t="shared" si="47"/>
        <v>49</v>
      </c>
      <c r="N247" s="13">
        <f t="shared" si="47"/>
        <v>29</v>
      </c>
      <c r="O247" s="13">
        <f t="shared" si="46"/>
        <v>380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1.0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3">
        <f t="shared" ref="O249:O259" si="48">SUM(E249:N249)</f>
        <v>2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3">
        <f t="shared" si="48"/>
        <v>1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N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8"/>
        <v>3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71" t="s">
        <v>200</v>
      </c>
      <c r="F261" s="71" t="s">
        <v>201</v>
      </c>
      <c r="G261" s="71" t="s">
        <v>202</v>
      </c>
      <c r="H261" s="71" t="s">
        <v>203</v>
      </c>
      <c r="I261" s="71" t="s">
        <v>204</v>
      </c>
      <c r="J261" s="71" t="s">
        <v>205</v>
      </c>
      <c r="K261" s="71" t="s">
        <v>207</v>
      </c>
      <c r="L261" s="71" t="s">
        <v>208</v>
      </c>
      <c r="M261" s="71" t="s">
        <v>209</v>
      </c>
      <c r="N261" s="71" t="s">
        <v>211</v>
      </c>
      <c r="O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N262" si="50">E55+E67+E79+E91+E103+E115+E127+E139+E151+E163+E175+E187+E199+E211+E223+E235+E247+E259</f>
        <v>214</v>
      </c>
      <c r="F262" s="19">
        <f t="shared" si="50"/>
        <v>224</v>
      </c>
      <c r="G262" s="19">
        <f t="shared" si="50"/>
        <v>225</v>
      </c>
      <c r="H262" s="19">
        <f t="shared" si="50"/>
        <v>220</v>
      </c>
      <c r="I262" s="19">
        <f t="shared" si="50"/>
        <v>200</v>
      </c>
      <c r="J262" s="19">
        <f t="shared" si="50"/>
        <v>220</v>
      </c>
      <c r="K262" s="19">
        <f t="shared" si="50"/>
        <v>197</v>
      </c>
      <c r="L262" s="19">
        <f t="shared" si="50"/>
        <v>169</v>
      </c>
      <c r="M262" s="19">
        <f t="shared" si="50"/>
        <v>196</v>
      </c>
      <c r="N262" s="19">
        <f t="shared" si="50"/>
        <v>186</v>
      </c>
      <c r="O262" s="13">
        <f t="shared" ref="O262:O264" si="51">SUM(E262:N262)</f>
        <v>2051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29.0</v>
      </c>
      <c r="F263" s="19">
        <v>20.0</v>
      </c>
      <c r="G263" s="19">
        <v>19.0</v>
      </c>
      <c r="H263" s="19">
        <v>19.0</v>
      </c>
      <c r="I263" s="19">
        <v>49.0</v>
      </c>
      <c r="J263" s="19">
        <v>23.0</v>
      </c>
      <c r="K263" s="19">
        <v>33.0</v>
      </c>
      <c r="L263" s="19">
        <v>44.0</v>
      </c>
      <c r="M263" s="19">
        <v>30.0</v>
      </c>
      <c r="N263" s="19">
        <v>31.0</v>
      </c>
      <c r="O263" s="13">
        <f t="shared" si="51"/>
        <v>297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N264" si="52">SUM(E262:E263)</f>
        <v>243</v>
      </c>
      <c r="F264" s="13">
        <f t="shared" si="52"/>
        <v>244</v>
      </c>
      <c r="G264" s="13">
        <f t="shared" si="52"/>
        <v>244</v>
      </c>
      <c r="H264" s="13">
        <f t="shared" si="52"/>
        <v>239</v>
      </c>
      <c r="I264" s="13">
        <f t="shared" si="52"/>
        <v>249</v>
      </c>
      <c r="J264" s="13">
        <f t="shared" si="52"/>
        <v>243</v>
      </c>
      <c r="K264" s="13">
        <f t="shared" si="52"/>
        <v>230</v>
      </c>
      <c r="L264" s="13">
        <f t="shared" si="52"/>
        <v>213</v>
      </c>
      <c r="M264" s="13">
        <f t="shared" si="52"/>
        <v>226</v>
      </c>
      <c r="N264" s="13">
        <f t="shared" si="52"/>
        <v>217</v>
      </c>
      <c r="O264" s="13">
        <f t="shared" si="51"/>
        <v>2348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37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136.0</v>
      </c>
      <c r="G14" s="19">
        <v>137.0</v>
      </c>
      <c r="H14" s="19">
        <v>146.0</v>
      </c>
      <c r="I14" s="19">
        <v>133.0</v>
      </c>
      <c r="J14" s="19">
        <v>138.0</v>
      </c>
      <c r="K14" s="19">
        <v>141.0</v>
      </c>
      <c r="L14" s="19">
        <v>147.0</v>
      </c>
      <c r="M14" s="13">
        <f t="shared" ref="M14:M16" si="1">SUM(E14:L14)</f>
        <v>1124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156.0</v>
      </c>
      <c r="G15" s="19">
        <v>135.0</v>
      </c>
      <c r="H15" s="19">
        <v>135.0</v>
      </c>
      <c r="I15" s="19">
        <v>147.0</v>
      </c>
      <c r="J15" s="19">
        <v>144.0</v>
      </c>
      <c r="K15" s="19">
        <v>143.0</v>
      </c>
      <c r="L15" s="19">
        <v>144.0</v>
      </c>
      <c r="M15" s="13">
        <f t="shared" si="1"/>
        <v>1140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282</v>
      </c>
      <c r="F16" s="13">
        <f t="shared" si="2"/>
        <v>292</v>
      </c>
      <c r="G16" s="13">
        <f t="shared" si="2"/>
        <v>272</v>
      </c>
      <c r="H16" s="13">
        <f t="shared" si="2"/>
        <v>281</v>
      </c>
      <c r="I16" s="13">
        <f t="shared" si="2"/>
        <v>280</v>
      </c>
      <c r="J16" s="13">
        <f t="shared" si="2"/>
        <v>282</v>
      </c>
      <c r="K16" s="13">
        <f t="shared" si="2"/>
        <v>284</v>
      </c>
      <c r="L16" s="13">
        <f t="shared" si="2"/>
        <v>291</v>
      </c>
      <c r="M16" s="13">
        <f t="shared" si="1"/>
        <v>2264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7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102.0</v>
      </c>
      <c r="F19" s="19">
        <v>116.0</v>
      </c>
      <c r="G19" s="19">
        <v>91.0</v>
      </c>
      <c r="H19" s="19">
        <v>110.0</v>
      </c>
      <c r="I19" s="19">
        <v>103.0</v>
      </c>
      <c r="J19" s="19">
        <v>106.0</v>
      </c>
      <c r="K19" s="19">
        <v>112.0</v>
      </c>
      <c r="L19" s="19">
        <v>129.0</v>
      </c>
      <c r="M19" s="13">
        <f t="shared" ref="M19:M30" si="3">SUM(E19:L19)</f>
        <v>869</v>
      </c>
    </row>
    <row r="20" ht="12.75" customHeight="1">
      <c r="A20" s="34"/>
      <c r="B20" s="27"/>
      <c r="C20" s="35"/>
      <c r="D20" s="19" t="s">
        <v>13</v>
      </c>
      <c r="E20" s="19">
        <v>108.0</v>
      </c>
      <c r="F20" s="19">
        <v>116.0</v>
      </c>
      <c r="G20" s="19">
        <v>101.0</v>
      </c>
      <c r="H20" s="19">
        <v>115.0</v>
      </c>
      <c r="I20" s="19">
        <v>118.0</v>
      </c>
      <c r="J20" s="19">
        <v>126.0</v>
      </c>
      <c r="K20" s="19">
        <v>119.0</v>
      </c>
      <c r="L20" s="19">
        <v>115.0</v>
      </c>
      <c r="M20" s="13">
        <f t="shared" si="3"/>
        <v>918</v>
      </c>
    </row>
    <row r="21" ht="12.75" customHeight="1">
      <c r="A21" s="36"/>
      <c r="B21" s="28"/>
      <c r="C21" s="37"/>
      <c r="D21" s="13" t="s">
        <v>14</v>
      </c>
      <c r="E21" s="13">
        <f t="shared" ref="E21:L21" si="4">SUM(E19:E20)</f>
        <v>210</v>
      </c>
      <c r="F21" s="13">
        <f t="shared" si="4"/>
        <v>232</v>
      </c>
      <c r="G21" s="13">
        <f t="shared" si="4"/>
        <v>192</v>
      </c>
      <c r="H21" s="13">
        <f t="shared" si="4"/>
        <v>225</v>
      </c>
      <c r="I21" s="13">
        <f t="shared" si="4"/>
        <v>221</v>
      </c>
      <c r="J21" s="13">
        <f t="shared" si="4"/>
        <v>232</v>
      </c>
      <c r="K21" s="13">
        <f t="shared" si="4"/>
        <v>231</v>
      </c>
      <c r="L21" s="13">
        <f t="shared" si="4"/>
        <v>244</v>
      </c>
      <c r="M21" s="13">
        <f t="shared" si="3"/>
        <v>1787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L24" si="5">SUM(E22:E23)</f>
        <v>2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3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L28" si="7">SUM(E19,E22,E25)</f>
        <v>103</v>
      </c>
      <c r="F28" s="13">
        <f t="shared" si="7"/>
        <v>117</v>
      </c>
      <c r="G28" s="13">
        <f t="shared" si="7"/>
        <v>94</v>
      </c>
      <c r="H28" s="13">
        <f t="shared" si="7"/>
        <v>110</v>
      </c>
      <c r="I28" s="13">
        <f t="shared" si="7"/>
        <v>104</v>
      </c>
      <c r="J28" s="13">
        <f t="shared" si="7"/>
        <v>106</v>
      </c>
      <c r="K28" s="13">
        <f t="shared" si="7"/>
        <v>112</v>
      </c>
      <c r="L28" s="13">
        <f t="shared" si="7"/>
        <v>129</v>
      </c>
      <c r="M28" s="13">
        <f t="shared" si="3"/>
        <v>875</v>
      </c>
    </row>
    <row r="29" ht="12.75" customHeight="1">
      <c r="A29" s="36"/>
      <c r="B29" s="27"/>
      <c r="C29" s="35"/>
      <c r="D29" s="13" t="s">
        <v>13</v>
      </c>
      <c r="E29" s="13">
        <f t="shared" ref="E29:L29" si="8">SUM(E20,E23,E26)</f>
        <v>109</v>
      </c>
      <c r="F29" s="13">
        <f t="shared" si="8"/>
        <v>117</v>
      </c>
      <c r="G29" s="13">
        <f t="shared" si="8"/>
        <v>102</v>
      </c>
      <c r="H29" s="13">
        <f t="shared" si="8"/>
        <v>115</v>
      </c>
      <c r="I29" s="13">
        <f t="shared" si="8"/>
        <v>118</v>
      </c>
      <c r="J29" s="13">
        <f t="shared" si="8"/>
        <v>126</v>
      </c>
      <c r="K29" s="13">
        <f t="shared" si="8"/>
        <v>119</v>
      </c>
      <c r="L29" s="13">
        <f t="shared" si="8"/>
        <v>115</v>
      </c>
      <c r="M29" s="13">
        <f t="shared" si="3"/>
        <v>921</v>
      </c>
    </row>
    <row r="30" ht="12.75" customHeight="1">
      <c r="A30" s="36"/>
      <c r="B30" s="28"/>
      <c r="C30" s="37"/>
      <c r="D30" s="13" t="s">
        <v>14</v>
      </c>
      <c r="E30" s="13">
        <f t="shared" ref="E30:L30" si="9">SUM(E28:E29)</f>
        <v>212</v>
      </c>
      <c r="F30" s="13">
        <f t="shared" si="9"/>
        <v>234</v>
      </c>
      <c r="G30" s="13">
        <f t="shared" si="9"/>
        <v>196</v>
      </c>
      <c r="H30" s="13">
        <f t="shared" si="9"/>
        <v>225</v>
      </c>
      <c r="I30" s="13">
        <f t="shared" si="9"/>
        <v>222</v>
      </c>
      <c r="J30" s="13">
        <f t="shared" si="9"/>
        <v>232</v>
      </c>
      <c r="K30" s="13">
        <f t="shared" si="9"/>
        <v>231</v>
      </c>
      <c r="L30" s="13">
        <f t="shared" si="9"/>
        <v>244</v>
      </c>
      <c r="M30" s="13">
        <f t="shared" si="3"/>
        <v>1796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0"/>
    </row>
    <row r="32" ht="12.75" customHeight="1">
      <c r="A32" s="43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207</v>
      </c>
      <c r="L32" s="13" t="s">
        <v>208</v>
      </c>
      <c r="M32" s="70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298.0</v>
      </c>
      <c r="G33" s="19">
        <v>278.0</v>
      </c>
      <c r="H33" s="19">
        <v>287.0</v>
      </c>
      <c r="I33" s="19">
        <v>286.0</v>
      </c>
      <c r="J33" s="19">
        <v>288.0</v>
      </c>
      <c r="K33" s="19">
        <v>290.0</v>
      </c>
      <c r="L33" s="19">
        <v>298.0</v>
      </c>
      <c r="M33" s="13">
        <f t="shared" ref="M33:M36" si="10">SUM(E33:L33)</f>
        <v>2313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234.0</v>
      </c>
      <c r="G34" s="13">
        <v>196.0</v>
      </c>
      <c r="H34" s="13">
        <v>225.0</v>
      </c>
      <c r="I34" s="13">
        <v>222.0</v>
      </c>
      <c r="J34" s="13">
        <v>232.0</v>
      </c>
      <c r="K34" s="13">
        <v>231.0</v>
      </c>
      <c r="L34" s="13">
        <v>244.0</v>
      </c>
      <c r="M34" s="13">
        <f t="shared" si="10"/>
        <v>1796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2.0</v>
      </c>
      <c r="K35" s="19">
        <v>2.0</v>
      </c>
      <c r="L35" s="19">
        <v>0.0</v>
      </c>
      <c r="M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76</v>
      </c>
      <c r="F36" s="13">
        <f t="shared" si="11"/>
        <v>62</v>
      </c>
      <c r="G36" s="13">
        <f t="shared" si="11"/>
        <v>82</v>
      </c>
      <c r="H36" s="13">
        <f t="shared" si="11"/>
        <v>62</v>
      </c>
      <c r="I36" s="13">
        <f t="shared" si="11"/>
        <v>64</v>
      </c>
      <c r="J36" s="13">
        <f t="shared" si="11"/>
        <v>54</v>
      </c>
      <c r="K36" s="13">
        <f t="shared" si="11"/>
        <v>57</v>
      </c>
      <c r="L36" s="13">
        <f t="shared" si="11"/>
        <v>54</v>
      </c>
      <c r="M36" s="13">
        <f t="shared" si="10"/>
        <v>511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70"/>
    </row>
    <row r="38" ht="12.75" customHeight="1">
      <c r="A38" s="44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207</v>
      </c>
      <c r="L38" s="13" t="s">
        <v>208</v>
      </c>
      <c r="M38" s="70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2.0</v>
      </c>
      <c r="H39" s="19">
        <v>5.0</v>
      </c>
      <c r="I39" s="19">
        <v>0.0</v>
      </c>
      <c r="J39" s="19">
        <v>0.0</v>
      </c>
      <c r="K39" s="19">
        <v>0.0</v>
      </c>
      <c r="L39" s="19">
        <v>0.0</v>
      </c>
      <c r="M39" s="13">
        <f t="shared" ref="M39:M41" si="12">SUM(E39:L39)</f>
        <v>7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5.0</v>
      </c>
      <c r="H40" s="19">
        <v>10.0</v>
      </c>
      <c r="I40" s="19">
        <v>0.0</v>
      </c>
      <c r="J40" s="19">
        <v>0.0</v>
      </c>
      <c r="K40" s="19">
        <v>0.0</v>
      </c>
      <c r="L40" s="19">
        <v>0.0</v>
      </c>
      <c r="M40" s="13">
        <f t="shared" si="12"/>
        <v>15</v>
      </c>
    </row>
    <row r="41" ht="12.75" customHeight="1">
      <c r="A41" s="43"/>
      <c r="B41" s="46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15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22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4" t="s">
        <v>34</v>
      </c>
      <c r="B43" s="14" t="s">
        <v>35</v>
      </c>
      <c r="C43" s="15"/>
      <c r="D43" s="16"/>
      <c r="E43" s="13" t="s">
        <v>200</v>
      </c>
      <c r="F43" s="13" t="s">
        <v>201</v>
      </c>
      <c r="G43" s="13" t="s">
        <v>202</v>
      </c>
      <c r="H43" s="13" t="s">
        <v>203</v>
      </c>
      <c r="I43" s="13" t="s">
        <v>204</v>
      </c>
      <c r="J43" s="13" t="s">
        <v>205</v>
      </c>
      <c r="K43" s="13" t="s">
        <v>207</v>
      </c>
      <c r="L43" s="13" t="s">
        <v>208</v>
      </c>
      <c r="M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1" t="s">
        <v>37</v>
      </c>
      <c r="B45" s="49" t="s">
        <v>17</v>
      </c>
      <c r="C45" s="50" t="s">
        <v>38</v>
      </c>
      <c r="D45" s="16"/>
      <c r="E45" s="19">
        <v>2.0</v>
      </c>
      <c r="F45" s="19">
        <v>4.0</v>
      </c>
      <c r="G45" s="19">
        <v>7.0</v>
      </c>
      <c r="H45" s="19">
        <v>9.0</v>
      </c>
      <c r="I45" s="19">
        <v>5.0</v>
      </c>
      <c r="J45" s="19">
        <v>6.0</v>
      </c>
      <c r="K45" s="19">
        <v>5.0</v>
      </c>
      <c r="L45" s="19">
        <v>7.0</v>
      </c>
      <c r="M45" s="13">
        <f t="shared" ref="M45:M55" si="14">SUM(E45:L45)</f>
        <v>45</v>
      </c>
    </row>
    <row r="46" ht="12.75" customHeight="1">
      <c r="A46" s="31" t="s">
        <v>39</v>
      </c>
      <c r="B46" s="51">
        <v>1.0</v>
      </c>
      <c r="C46" s="52" t="s">
        <v>40</v>
      </c>
      <c r="D46" s="16"/>
      <c r="E46" s="19">
        <v>6.0</v>
      </c>
      <c r="F46" s="19">
        <v>21.0</v>
      </c>
      <c r="G46" s="19">
        <v>9.0</v>
      </c>
      <c r="H46" s="19">
        <v>8.0</v>
      </c>
      <c r="I46" s="19">
        <v>21.0</v>
      </c>
      <c r="J46" s="19">
        <v>13.0</v>
      </c>
      <c r="K46" s="19">
        <v>8.0</v>
      </c>
      <c r="L46" s="19">
        <v>7.0</v>
      </c>
      <c r="M46" s="13">
        <f t="shared" si="14"/>
        <v>93</v>
      </c>
    </row>
    <row r="47" ht="12.75" customHeight="1">
      <c r="A47" s="18"/>
      <c r="B47" s="57">
        <v>2.0</v>
      </c>
      <c r="C47" s="52" t="s">
        <v>41</v>
      </c>
      <c r="D47" s="16"/>
      <c r="E47" s="19">
        <v>3.0</v>
      </c>
      <c r="F47" s="19">
        <v>0.0</v>
      </c>
      <c r="G47" s="19">
        <v>3.0</v>
      </c>
      <c r="H47" s="19">
        <v>0.0</v>
      </c>
      <c r="I47" s="19">
        <v>2.0</v>
      </c>
      <c r="J47" s="19">
        <v>3.0</v>
      </c>
      <c r="K47" s="19">
        <v>3.0</v>
      </c>
      <c r="L47" s="19">
        <v>2.0</v>
      </c>
      <c r="M47" s="13">
        <f t="shared" si="14"/>
        <v>16</v>
      </c>
    </row>
    <row r="48" ht="12.75" customHeight="1">
      <c r="A48" s="18"/>
      <c r="B48" s="57">
        <v>3.0</v>
      </c>
      <c r="C48" s="52" t="s">
        <v>42</v>
      </c>
      <c r="D48" s="16"/>
      <c r="E48" s="19">
        <v>2.0</v>
      </c>
      <c r="F48" s="19">
        <v>0.0</v>
      </c>
      <c r="G48" s="19">
        <v>1.0</v>
      </c>
      <c r="H48" s="19">
        <v>2.0</v>
      </c>
      <c r="I48" s="19">
        <v>2.0</v>
      </c>
      <c r="J48" s="19">
        <v>1.0</v>
      </c>
      <c r="K48" s="19">
        <v>1.0</v>
      </c>
      <c r="L48" s="19">
        <v>1.0</v>
      </c>
      <c r="M48" s="13">
        <f t="shared" si="14"/>
        <v>10</v>
      </c>
    </row>
    <row r="49" ht="12.75" customHeight="1">
      <c r="A49" s="18"/>
      <c r="B49" s="57">
        <v>4.0</v>
      </c>
      <c r="C49" s="52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1.0</v>
      </c>
      <c r="J49" s="19">
        <v>2.0</v>
      </c>
      <c r="K49" s="19">
        <v>0.0</v>
      </c>
      <c r="L49" s="19">
        <v>0.0</v>
      </c>
      <c r="M49" s="13">
        <f t="shared" si="14"/>
        <v>4</v>
      </c>
    </row>
    <row r="50" ht="12.75" customHeight="1">
      <c r="A50" s="18"/>
      <c r="B50" s="57">
        <v>5.0</v>
      </c>
      <c r="C50" s="52" t="s">
        <v>44</v>
      </c>
      <c r="D50" s="16"/>
      <c r="E50" s="19">
        <v>0.0</v>
      </c>
      <c r="F50" s="19">
        <v>0.0</v>
      </c>
      <c r="G50" s="19">
        <v>2.0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3">
        <f t="shared" si="14"/>
        <v>2</v>
      </c>
    </row>
    <row r="51" ht="12.75" customHeight="1">
      <c r="A51" s="18"/>
      <c r="B51" s="57">
        <v>6.0</v>
      </c>
      <c r="C51" s="52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3">
        <f t="shared" si="14"/>
        <v>0</v>
      </c>
    </row>
    <row r="52" ht="12.75" customHeight="1">
      <c r="A52" s="18"/>
      <c r="B52" s="57">
        <v>7.0</v>
      </c>
      <c r="C52" s="52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3">
        <f t="shared" si="14"/>
        <v>0</v>
      </c>
    </row>
    <row r="53" ht="12.75" customHeight="1">
      <c r="A53" s="18"/>
      <c r="B53" s="72"/>
      <c r="C53" s="73"/>
      <c r="D53" s="74"/>
      <c r="E53" s="19"/>
      <c r="F53" s="19"/>
      <c r="G53" s="19"/>
      <c r="H53" s="19"/>
      <c r="I53" s="19"/>
      <c r="J53" s="19"/>
      <c r="K53" s="19"/>
      <c r="L53" s="19"/>
      <c r="M53" s="13">
        <f t="shared" si="14"/>
        <v>0</v>
      </c>
    </row>
    <row r="54" ht="12.75" customHeight="1">
      <c r="A54" s="18"/>
      <c r="B54" s="72"/>
      <c r="C54" s="73"/>
      <c r="D54" s="74"/>
      <c r="E54" s="19"/>
      <c r="F54" s="19"/>
      <c r="G54" s="19"/>
      <c r="H54" s="19"/>
      <c r="I54" s="19"/>
      <c r="J54" s="19"/>
      <c r="K54" s="19"/>
      <c r="L54" s="19"/>
      <c r="M54" s="13">
        <f t="shared" si="14"/>
        <v>0</v>
      </c>
    </row>
    <row r="55" ht="15.0" customHeight="1">
      <c r="A55" s="19" t="s">
        <v>15</v>
      </c>
      <c r="B55" s="49" t="s">
        <v>47</v>
      </c>
      <c r="C55" s="15"/>
      <c r="D55" s="16"/>
      <c r="E55" s="13">
        <f t="shared" ref="E55:L55" si="15">SUM(E45:E52)</f>
        <v>13</v>
      </c>
      <c r="F55" s="13">
        <f t="shared" si="15"/>
        <v>25</v>
      </c>
      <c r="G55" s="13">
        <f t="shared" si="15"/>
        <v>22</v>
      </c>
      <c r="H55" s="13">
        <f t="shared" si="15"/>
        <v>20</v>
      </c>
      <c r="I55" s="13">
        <f t="shared" si="15"/>
        <v>31</v>
      </c>
      <c r="J55" s="13">
        <f t="shared" si="15"/>
        <v>25</v>
      </c>
      <c r="K55" s="13">
        <f t="shared" si="15"/>
        <v>17</v>
      </c>
      <c r="L55" s="13">
        <f t="shared" si="15"/>
        <v>17</v>
      </c>
      <c r="M55" s="13">
        <f t="shared" si="14"/>
        <v>170</v>
      </c>
    </row>
    <row r="56" ht="12.75" customHeight="1">
      <c r="A56" s="47"/>
      <c r="B56" s="46"/>
      <c r="C56" s="46"/>
      <c r="D56" s="46"/>
      <c r="E56" s="46"/>
      <c r="M56" s="13"/>
    </row>
    <row r="57" ht="12.75" customHeight="1">
      <c r="A57" s="31" t="s">
        <v>37</v>
      </c>
      <c r="B57" s="49" t="s">
        <v>19</v>
      </c>
      <c r="C57" s="50" t="s">
        <v>48</v>
      </c>
      <c r="D57" s="16"/>
      <c r="E57" s="19">
        <v>13.0</v>
      </c>
      <c r="F57" s="19">
        <v>11.0</v>
      </c>
      <c r="G57" s="19">
        <v>8.0</v>
      </c>
      <c r="H57" s="19">
        <v>15.0</v>
      </c>
      <c r="I57" s="19">
        <v>12.0</v>
      </c>
      <c r="J57" s="19">
        <v>8.0</v>
      </c>
      <c r="K57" s="19">
        <v>17.0</v>
      </c>
      <c r="L57" s="19">
        <v>29.0</v>
      </c>
      <c r="M57" s="13">
        <f t="shared" ref="M57:M67" si="16">SUM(E57:L57)</f>
        <v>113</v>
      </c>
    </row>
    <row r="58" ht="12.75" customHeight="1">
      <c r="A58" s="31" t="s">
        <v>39</v>
      </c>
      <c r="B58" s="57">
        <v>1.0</v>
      </c>
      <c r="C58" s="52" t="s">
        <v>49</v>
      </c>
      <c r="D58" s="58"/>
      <c r="E58" s="19">
        <v>34.0</v>
      </c>
      <c r="F58" s="19">
        <v>26.0</v>
      </c>
      <c r="G58" s="19">
        <v>21.0</v>
      </c>
      <c r="H58" s="19">
        <v>22.0</v>
      </c>
      <c r="I58" s="19">
        <v>25.0</v>
      </c>
      <c r="J58" s="19">
        <v>25.0</v>
      </c>
      <c r="K58" s="19">
        <v>60.0</v>
      </c>
      <c r="L58" s="19">
        <v>30.0</v>
      </c>
      <c r="M58" s="13">
        <f t="shared" si="16"/>
        <v>243</v>
      </c>
    </row>
    <row r="59" ht="12.75" customHeight="1">
      <c r="A59" s="18"/>
      <c r="B59" s="57">
        <v>2.0</v>
      </c>
      <c r="C59" s="52" t="s">
        <v>50</v>
      </c>
      <c r="D59" s="58"/>
      <c r="E59" s="19">
        <v>3.0</v>
      </c>
      <c r="F59" s="19">
        <v>0.0</v>
      </c>
      <c r="G59" s="19">
        <v>3.0</v>
      </c>
      <c r="H59" s="19">
        <v>3.0</v>
      </c>
      <c r="I59" s="19">
        <v>2.0</v>
      </c>
      <c r="J59" s="19">
        <v>1.0</v>
      </c>
      <c r="K59" s="19">
        <v>2.0</v>
      </c>
      <c r="L59" s="19">
        <v>8.0</v>
      </c>
      <c r="M59" s="13">
        <f t="shared" si="16"/>
        <v>22</v>
      </c>
    </row>
    <row r="60" ht="12.75" customHeight="1">
      <c r="A60" s="18"/>
      <c r="B60" s="57">
        <v>3.0</v>
      </c>
      <c r="C60" s="52" t="s">
        <v>51</v>
      </c>
      <c r="D60" s="58"/>
      <c r="E60" s="19">
        <v>1.0</v>
      </c>
      <c r="F60" s="19">
        <v>0.0</v>
      </c>
      <c r="G60" s="19">
        <v>1.0</v>
      </c>
      <c r="H60" s="19">
        <v>1.0</v>
      </c>
      <c r="I60" s="19">
        <v>3.0</v>
      </c>
      <c r="J60" s="19">
        <v>2.0</v>
      </c>
      <c r="K60" s="19">
        <v>1.0</v>
      </c>
      <c r="L60" s="19">
        <v>2.0</v>
      </c>
      <c r="M60" s="13">
        <f t="shared" si="16"/>
        <v>11</v>
      </c>
    </row>
    <row r="61" ht="12.75" customHeight="1">
      <c r="A61" s="18"/>
      <c r="B61" s="57">
        <v>4.0</v>
      </c>
      <c r="C61" s="52" t="s">
        <v>52</v>
      </c>
      <c r="D61" s="58"/>
      <c r="E61" s="19">
        <v>1.0</v>
      </c>
      <c r="F61" s="19">
        <v>0.0</v>
      </c>
      <c r="G61" s="19">
        <v>2.0</v>
      </c>
      <c r="H61" s="19">
        <v>2.0</v>
      </c>
      <c r="I61" s="19">
        <v>0.0</v>
      </c>
      <c r="J61" s="19">
        <v>0.0</v>
      </c>
      <c r="K61" s="19">
        <v>1.0</v>
      </c>
      <c r="L61" s="19">
        <v>1.0</v>
      </c>
      <c r="M61" s="13">
        <f t="shared" si="16"/>
        <v>7</v>
      </c>
    </row>
    <row r="62" ht="12.75" customHeight="1">
      <c r="A62" s="18"/>
      <c r="B62" s="57">
        <v>5.0</v>
      </c>
      <c r="C62" s="52" t="s">
        <v>53</v>
      </c>
      <c r="D62" s="58"/>
      <c r="E62" s="19">
        <v>2.0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1.0</v>
      </c>
      <c r="M62" s="13">
        <f t="shared" si="16"/>
        <v>4</v>
      </c>
    </row>
    <row r="63" ht="12.75" customHeight="1">
      <c r="A63" s="18"/>
      <c r="B63" s="57">
        <v>6.0</v>
      </c>
      <c r="C63" s="52" t="s">
        <v>54</v>
      </c>
      <c r="D63" s="60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3">
        <f t="shared" si="16"/>
        <v>1</v>
      </c>
    </row>
    <row r="64" ht="12.75" customHeight="1">
      <c r="A64" s="18"/>
      <c r="B64" s="57">
        <v>7.0</v>
      </c>
      <c r="C64" s="52" t="s">
        <v>55</v>
      </c>
      <c r="D64" s="58"/>
      <c r="E64" s="19">
        <v>0.0</v>
      </c>
      <c r="F64" s="19">
        <v>1.0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3">
        <f t="shared" si="16"/>
        <v>2</v>
      </c>
    </row>
    <row r="65" ht="12.75" customHeight="1">
      <c r="A65" s="18"/>
      <c r="B65" s="72"/>
      <c r="C65" s="73"/>
      <c r="D65" s="74"/>
      <c r="E65" s="19"/>
      <c r="F65" s="19"/>
      <c r="G65" s="19"/>
      <c r="H65" s="19"/>
      <c r="I65" s="19"/>
      <c r="J65" s="19"/>
      <c r="K65" s="19"/>
      <c r="L65" s="19"/>
      <c r="M65" s="13">
        <f t="shared" si="16"/>
        <v>0</v>
      </c>
    </row>
    <row r="66" ht="12.75" customHeight="1">
      <c r="A66" s="18"/>
      <c r="B66" s="72"/>
      <c r="C66" s="73"/>
      <c r="D66" s="74"/>
      <c r="E66" s="19"/>
      <c r="F66" s="19"/>
      <c r="G66" s="19"/>
      <c r="H66" s="19"/>
      <c r="I66" s="19"/>
      <c r="J66" s="19"/>
      <c r="K66" s="19"/>
      <c r="L66" s="19"/>
      <c r="M66" s="13">
        <f t="shared" si="16"/>
        <v>0</v>
      </c>
    </row>
    <row r="67" ht="15.0" customHeight="1">
      <c r="A67" s="19" t="s">
        <v>15</v>
      </c>
      <c r="B67" s="49" t="s">
        <v>47</v>
      </c>
      <c r="C67" s="15"/>
      <c r="D67" s="16"/>
      <c r="E67" s="13">
        <f t="shared" ref="E67:L67" si="17">SUM(E57:E64)</f>
        <v>54</v>
      </c>
      <c r="F67" s="13">
        <f t="shared" si="17"/>
        <v>38</v>
      </c>
      <c r="G67" s="13">
        <f t="shared" si="17"/>
        <v>35</v>
      </c>
      <c r="H67" s="13">
        <f t="shared" si="17"/>
        <v>46</v>
      </c>
      <c r="I67" s="13">
        <f t="shared" si="17"/>
        <v>42</v>
      </c>
      <c r="J67" s="13">
        <f t="shared" si="17"/>
        <v>36</v>
      </c>
      <c r="K67" s="13">
        <f t="shared" si="17"/>
        <v>81</v>
      </c>
      <c r="L67" s="13">
        <f t="shared" si="17"/>
        <v>71</v>
      </c>
      <c r="M67" s="13">
        <f t="shared" si="16"/>
        <v>403</v>
      </c>
    </row>
    <row r="68" ht="12.75" customHeight="1">
      <c r="A68" s="47"/>
      <c r="B68" s="46"/>
      <c r="C68" s="46"/>
      <c r="D68" s="46"/>
      <c r="E68" s="46"/>
    </row>
    <row r="69" ht="12.75" customHeight="1">
      <c r="A69" s="31" t="s">
        <v>37</v>
      </c>
      <c r="B69" s="49" t="s">
        <v>21</v>
      </c>
      <c r="C69" s="50" t="s">
        <v>56</v>
      </c>
      <c r="D69" s="16"/>
      <c r="E69" s="19">
        <v>4.0</v>
      </c>
      <c r="F69" s="19">
        <v>5.0</v>
      </c>
      <c r="G69" s="19">
        <v>1.0</v>
      </c>
      <c r="H69" s="19">
        <v>2.0</v>
      </c>
      <c r="I69" s="19">
        <v>5.0</v>
      </c>
      <c r="J69" s="19">
        <v>2.0</v>
      </c>
      <c r="K69" s="19">
        <v>1.0</v>
      </c>
      <c r="L69" s="19">
        <v>4.0</v>
      </c>
      <c r="M69" s="13">
        <f t="shared" ref="M69:M79" si="18">SUM(E69:L69)</f>
        <v>24</v>
      </c>
    </row>
    <row r="70" ht="12.75" customHeight="1">
      <c r="A70" s="31" t="s">
        <v>39</v>
      </c>
      <c r="B70" s="57">
        <v>1.0</v>
      </c>
      <c r="C70" s="52" t="s">
        <v>57</v>
      </c>
      <c r="D70" s="60"/>
      <c r="E70" s="19">
        <v>3.0</v>
      </c>
      <c r="F70" s="19">
        <v>2.0</v>
      </c>
      <c r="G70" s="19">
        <v>0.0</v>
      </c>
      <c r="H70" s="19">
        <v>4.0</v>
      </c>
      <c r="I70" s="19">
        <v>4.0</v>
      </c>
      <c r="J70" s="19">
        <v>4.0</v>
      </c>
      <c r="K70" s="19">
        <v>0.0</v>
      </c>
      <c r="L70" s="19">
        <v>1.0</v>
      </c>
      <c r="M70" s="13">
        <f t="shared" si="18"/>
        <v>18</v>
      </c>
    </row>
    <row r="71" ht="12.75" customHeight="1">
      <c r="A71" s="18"/>
      <c r="B71" s="57">
        <v>2.0</v>
      </c>
      <c r="C71" s="52" t="s">
        <v>58</v>
      </c>
      <c r="D71" s="60"/>
      <c r="E71" s="19">
        <v>0.0</v>
      </c>
      <c r="F71" s="19">
        <v>2.0</v>
      </c>
      <c r="G71" s="19">
        <v>2.0</v>
      </c>
      <c r="H71" s="19">
        <v>2.0</v>
      </c>
      <c r="I71" s="19">
        <v>0.0</v>
      </c>
      <c r="J71" s="19">
        <v>0.0</v>
      </c>
      <c r="K71" s="19">
        <v>0.0</v>
      </c>
      <c r="L71" s="19">
        <v>1.0</v>
      </c>
      <c r="M71" s="13">
        <f t="shared" si="18"/>
        <v>7</v>
      </c>
    </row>
    <row r="72" ht="12.75" customHeight="1">
      <c r="A72" s="18"/>
      <c r="B72" s="57">
        <v>3.0</v>
      </c>
      <c r="C72" s="52" t="s">
        <v>59</v>
      </c>
      <c r="D72" s="60"/>
      <c r="E72" s="19">
        <v>3.0</v>
      </c>
      <c r="F72" s="19">
        <v>12.0</v>
      </c>
      <c r="G72" s="19">
        <v>5.0</v>
      </c>
      <c r="H72" s="19">
        <v>1.0</v>
      </c>
      <c r="I72" s="19">
        <v>0.0</v>
      </c>
      <c r="J72" s="19">
        <v>4.0</v>
      </c>
      <c r="K72" s="19">
        <v>0.0</v>
      </c>
      <c r="L72" s="19">
        <v>0.0</v>
      </c>
      <c r="M72" s="13">
        <f t="shared" si="18"/>
        <v>25</v>
      </c>
    </row>
    <row r="73" ht="12.75" customHeight="1">
      <c r="A73" s="18"/>
      <c r="B73" s="57">
        <v>4.0</v>
      </c>
      <c r="C73" s="52" t="s">
        <v>60</v>
      </c>
      <c r="D73" s="60"/>
      <c r="E73" s="19">
        <v>0.0</v>
      </c>
      <c r="F73" s="19">
        <v>0.0</v>
      </c>
      <c r="G73" s="19">
        <v>2.0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3">
        <f t="shared" si="18"/>
        <v>2</v>
      </c>
    </row>
    <row r="74" ht="12.75" customHeight="1">
      <c r="A74" s="18"/>
      <c r="B74" s="57">
        <v>5.0</v>
      </c>
      <c r="C74" s="52" t="s">
        <v>61</v>
      </c>
      <c r="D74" s="60"/>
      <c r="E74" s="19">
        <v>1.0</v>
      </c>
      <c r="F74" s="19">
        <v>3.0</v>
      </c>
      <c r="G74" s="19">
        <v>0.0</v>
      </c>
      <c r="H74" s="19">
        <v>1.0</v>
      </c>
      <c r="I74" s="19">
        <v>7.0</v>
      </c>
      <c r="J74" s="19">
        <v>1.0</v>
      </c>
      <c r="K74" s="19">
        <v>1.0</v>
      </c>
      <c r="L74" s="19">
        <v>0.0</v>
      </c>
      <c r="M74" s="13">
        <f t="shared" si="18"/>
        <v>14</v>
      </c>
    </row>
    <row r="75" ht="12.75" customHeight="1">
      <c r="A75" s="18"/>
      <c r="B75" s="57">
        <v>6.0</v>
      </c>
      <c r="C75" s="52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3">
        <f t="shared" si="18"/>
        <v>0</v>
      </c>
    </row>
    <row r="76" ht="12.75" customHeight="1">
      <c r="A76" s="18"/>
      <c r="B76" s="57">
        <v>7.0</v>
      </c>
      <c r="C76" s="52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2.0</v>
      </c>
      <c r="M76" s="13">
        <f t="shared" si="18"/>
        <v>2</v>
      </c>
    </row>
    <row r="77" ht="12.75" customHeight="1">
      <c r="A77" s="18"/>
      <c r="B77" s="72"/>
      <c r="C77" s="73"/>
      <c r="D77" s="75"/>
      <c r="E77" s="19"/>
      <c r="F77" s="19"/>
      <c r="G77" s="19"/>
      <c r="H77" s="19"/>
      <c r="I77" s="19"/>
      <c r="J77" s="19"/>
      <c r="K77" s="19"/>
      <c r="L77" s="19"/>
      <c r="M77" s="13">
        <f t="shared" si="18"/>
        <v>0</v>
      </c>
    </row>
    <row r="78" ht="12.75" customHeight="1">
      <c r="A78" s="18"/>
      <c r="B78" s="72"/>
      <c r="C78" s="73"/>
      <c r="D78" s="75"/>
      <c r="E78" s="19"/>
      <c r="F78" s="19"/>
      <c r="G78" s="19"/>
      <c r="H78" s="19"/>
      <c r="I78" s="19"/>
      <c r="J78" s="19"/>
      <c r="K78" s="19"/>
      <c r="L78" s="19"/>
      <c r="M78" s="13">
        <f t="shared" si="18"/>
        <v>0</v>
      </c>
    </row>
    <row r="79" ht="15.0" customHeight="1">
      <c r="A79" s="19" t="s">
        <v>15</v>
      </c>
      <c r="B79" s="49" t="s">
        <v>47</v>
      </c>
      <c r="C79" s="15"/>
      <c r="D79" s="16"/>
      <c r="E79" s="13">
        <f t="shared" ref="E79:L79" si="19">SUM(E69:E76)</f>
        <v>11</v>
      </c>
      <c r="F79" s="13">
        <f t="shared" si="19"/>
        <v>24</v>
      </c>
      <c r="G79" s="13">
        <f t="shared" si="19"/>
        <v>10</v>
      </c>
      <c r="H79" s="13">
        <f t="shared" si="19"/>
        <v>10</v>
      </c>
      <c r="I79" s="13">
        <f t="shared" si="19"/>
        <v>16</v>
      </c>
      <c r="J79" s="13">
        <f t="shared" si="19"/>
        <v>11</v>
      </c>
      <c r="K79" s="13">
        <f t="shared" si="19"/>
        <v>2</v>
      </c>
      <c r="L79" s="13">
        <f t="shared" si="19"/>
        <v>8</v>
      </c>
      <c r="M79" s="13">
        <f t="shared" si="18"/>
        <v>92</v>
      </c>
    </row>
    <row r="80" ht="12.75" customHeight="1">
      <c r="A80" s="47"/>
      <c r="B80" s="46"/>
      <c r="C80" s="46"/>
      <c r="D80" s="46"/>
      <c r="E80" s="46"/>
    </row>
    <row r="81" ht="12.75" customHeight="1">
      <c r="A81" s="31" t="s">
        <v>37</v>
      </c>
      <c r="B81" s="49" t="s">
        <v>23</v>
      </c>
      <c r="C81" s="50" t="s">
        <v>64</v>
      </c>
      <c r="D81" s="16"/>
      <c r="E81" s="19">
        <v>5.0</v>
      </c>
      <c r="F81" s="19">
        <v>2.0</v>
      </c>
      <c r="G81" s="19">
        <v>6.0</v>
      </c>
      <c r="H81" s="19">
        <v>11.0</v>
      </c>
      <c r="I81" s="19">
        <v>4.0</v>
      </c>
      <c r="J81" s="19">
        <v>6.0</v>
      </c>
      <c r="K81" s="19">
        <v>3.0</v>
      </c>
      <c r="L81" s="19">
        <v>10.0</v>
      </c>
      <c r="M81" s="13">
        <f t="shared" ref="M81:M91" si="20">SUM(E81:L81)</f>
        <v>47</v>
      </c>
    </row>
    <row r="82" ht="12.75" customHeight="1">
      <c r="A82" s="31" t="s">
        <v>39</v>
      </c>
      <c r="B82" s="57">
        <v>1.0</v>
      </c>
      <c r="C82" s="52" t="s">
        <v>65</v>
      </c>
      <c r="D82" s="60"/>
      <c r="E82" s="19">
        <v>21.0</v>
      </c>
      <c r="F82" s="19">
        <v>26.0</v>
      </c>
      <c r="G82" s="19">
        <v>16.0</v>
      </c>
      <c r="H82" s="19">
        <v>23.0</v>
      </c>
      <c r="I82" s="19">
        <v>32.0</v>
      </c>
      <c r="J82" s="19">
        <v>33.0</v>
      </c>
      <c r="K82" s="19">
        <v>12.0</v>
      </c>
      <c r="L82" s="19">
        <v>11.0</v>
      </c>
      <c r="M82" s="13">
        <f t="shared" si="20"/>
        <v>174</v>
      </c>
    </row>
    <row r="83" ht="12.75" customHeight="1">
      <c r="A83" s="18"/>
      <c r="B83" s="57">
        <v>2.0</v>
      </c>
      <c r="C83" s="52" t="s">
        <v>66</v>
      </c>
      <c r="D83" s="60"/>
      <c r="E83" s="19">
        <v>4.0</v>
      </c>
      <c r="F83" s="19">
        <v>4.0</v>
      </c>
      <c r="G83" s="19">
        <v>1.0</v>
      </c>
      <c r="H83" s="19">
        <v>2.0</v>
      </c>
      <c r="I83" s="19">
        <v>2.0</v>
      </c>
      <c r="J83" s="19">
        <v>1.0</v>
      </c>
      <c r="K83" s="19">
        <v>3.0</v>
      </c>
      <c r="L83" s="19">
        <v>2.0</v>
      </c>
      <c r="M83" s="13">
        <f t="shared" si="20"/>
        <v>19</v>
      </c>
    </row>
    <row r="84" ht="12.75" customHeight="1">
      <c r="A84" s="18"/>
      <c r="B84" s="57">
        <v>3.0</v>
      </c>
      <c r="C84" s="52" t="s">
        <v>67</v>
      </c>
      <c r="D84" s="60"/>
      <c r="E84" s="19">
        <v>0.0</v>
      </c>
      <c r="F84" s="19">
        <v>0.0</v>
      </c>
      <c r="G84" s="19">
        <v>2.0</v>
      </c>
      <c r="H84" s="19">
        <v>3.0</v>
      </c>
      <c r="I84" s="19">
        <v>0.0</v>
      </c>
      <c r="J84" s="19">
        <v>1.0</v>
      </c>
      <c r="K84" s="19">
        <v>0.0</v>
      </c>
      <c r="L84" s="19">
        <v>1.0</v>
      </c>
      <c r="M84" s="13">
        <f t="shared" si="20"/>
        <v>7</v>
      </c>
    </row>
    <row r="85" ht="12.75" customHeight="1">
      <c r="A85" s="18"/>
      <c r="B85" s="57">
        <v>4.0</v>
      </c>
      <c r="C85" s="52" t="s">
        <v>68</v>
      </c>
      <c r="D85" s="60"/>
      <c r="E85" s="19">
        <v>0.0</v>
      </c>
      <c r="F85" s="19">
        <v>1.0</v>
      </c>
      <c r="G85" s="19">
        <v>1.0</v>
      </c>
      <c r="H85" s="19">
        <v>2.0</v>
      </c>
      <c r="I85" s="19">
        <v>2.0</v>
      </c>
      <c r="J85" s="19">
        <v>1.0</v>
      </c>
      <c r="K85" s="19">
        <v>1.0</v>
      </c>
      <c r="L85" s="19">
        <v>2.0</v>
      </c>
      <c r="M85" s="13">
        <f t="shared" si="20"/>
        <v>10</v>
      </c>
    </row>
    <row r="86" ht="12.75" customHeight="1">
      <c r="A86" s="18"/>
      <c r="B86" s="57">
        <v>5.0</v>
      </c>
      <c r="C86" s="52" t="s">
        <v>69</v>
      </c>
      <c r="D86" s="60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3">
        <f t="shared" si="20"/>
        <v>1</v>
      </c>
    </row>
    <row r="87" ht="12.75" customHeight="1">
      <c r="A87" s="18"/>
      <c r="B87" s="57">
        <v>6.0</v>
      </c>
      <c r="C87" s="52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3">
        <f t="shared" si="20"/>
        <v>0</v>
      </c>
    </row>
    <row r="88" ht="12.75" customHeight="1">
      <c r="A88" s="18"/>
      <c r="B88" s="57">
        <v>7.0</v>
      </c>
      <c r="C88" s="52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3">
        <f t="shared" si="20"/>
        <v>0</v>
      </c>
    </row>
    <row r="89" ht="12.75" customHeight="1">
      <c r="A89" s="18"/>
      <c r="B89" s="72"/>
      <c r="C89" s="73"/>
      <c r="D89" s="75"/>
      <c r="E89" s="19"/>
      <c r="F89" s="19"/>
      <c r="G89" s="19"/>
      <c r="H89" s="19"/>
      <c r="I89" s="19"/>
      <c r="J89" s="19"/>
      <c r="K89" s="19"/>
      <c r="L89" s="19"/>
      <c r="M89" s="13">
        <f t="shared" si="20"/>
        <v>0</v>
      </c>
    </row>
    <row r="90" ht="12.75" customHeight="1">
      <c r="A90" s="18"/>
      <c r="B90" s="72"/>
      <c r="C90" s="73"/>
      <c r="D90" s="75"/>
      <c r="E90" s="19"/>
      <c r="F90" s="19"/>
      <c r="G90" s="19"/>
      <c r="H90" s="19"/>
      <c r="I90" s="19"/>
      <c r="J90" s="19"/>
      <c r="K90" s="19"/>
      <c r="L90" s="19"/>
      <c r="M90" s="13">
        <f t="shared" si="20"/>
        <v>0</v>
      </c>
    </row>
    <row r="91" ht="15.0" customHeight="1">
      <c r="A91" s="19" t="s">
        <v>15</v>
      </c>
      <c r="B91" s="49" t="s">
        <v>47</v>
      </c>
      <c r="C91" s="15"/>
      <c r="D91" s="16"/>
      <c r="E91" s="13">
        <f t="shared" ref="E91:L91" si="21">SUM(E81:E88)</f>
        <v>30</v>
      </c>
      <c r="F91" s="13">
        <f t="shared" si="21"/>
        <v>34</v>
      </c>
      <c r="G91" s="13">
        <f t="shared" si="21"/>
        <v>26</v>
      </c>
      <c r="H91" s="13">
        <f t="shared" si="21"/>
        <v>41</v>
      </c>
      <c r="I91" s="13">
        <f t="shared" si="21"/>
        <v>40</v>
      </c>
      <c r="J91" s="13">
        <f t="shared" si="21"/>
        <v>42</v>
      </c>
      <c r="K91" s="13">
        <f t="shared" si="21"/>
        <v>19</v>
      </c>
      <c r="L91" s="13">
        <f t="shared" si="21"/>
        <v>26</v>
      </c>
      <c r="M91" s="13">
        <f t="shared" si="20"/>
        <v>258</v>
      </c>
    </row>
    <row r="92" ht="12.75" customHeight="1">
      <c r="A92" s="47"/>
      <c r="B92" s="46"/>
      <c r="C92" s="46"/>
      <c r="D92" s="46"/>
      <c r="E92" s="46"/>
    </row>
    <row r="93" ht="12.75" customHeight="1">
      <c r="A93" s="31" t="s">
        <v>37</v>
      </c>
      <c r="B93" s="49" t="s">
        <v>72</v>
      </c>
      <c r="C93" s="50" t="s">
        <v>73</v>
      </c>
      <c r="D93" s="16"/>
      <c r="E93" s="19">
        <v>5.0</v>
      </c>
      <c r="F93" s="19">
        <v>0.0</v>
      </c>
      <c r="G93" s="19">
        <v>0.0</v>
      </c>
      <c r="H93" s="19">
        <v>3.0</v>
      </c>
      <c r="I93" s="19">
        <v>6.0</v>
      </c>
      <c r="J93" s="19">
        <v>6.0</v>
      </c>
      <c r="K93" s="19">
        <v>2.0</v>
      </c>
      <c r="L93" s="19">
        <v>1.0</v>
      </c>
      <c r="M93" s="13">
        <f t="shared" ref="M93:M103" si="22">SUM(E93:L93)</f>
        <v>23</v>
      </c>
    </row>
    <row r="94" ht="12.75" customHeight="1">
      <c r="A94" s="31" t="s">
        <v>39</v>
      </c>
      <c r="B94" s="57">
        <v>1.0</v>
      </c>
      <c r="C94" s="52" t="s">
        <v>74</v>
      </c>
      <c r="D94" s="60"/>
      <c r="E94" s="19">
        <v>3.0</v>
      </c>
      <c r="F94" s="19">
        <v>2.0</v>
      </c>
      <c r="G94" s="19">
        <v>2.0</v>
      </c>
      <c r="H94" s="19">
        <v>8.0</v>
      </c>
      <c r="I94" s="19">
        <v>9.0</v>
      </c>
      <c r="J94" s="19">
        <v>8.0</v>
      </c>
      <c r="K94" s="19">
        <v>4.0</v>
      </c>
      <c r="L94" s="19">
        <v>1.0</v>
      </c>
      <c r="M94" s="13">
        <f t="shared" si="22"/>
        <v>37</v>
      </c>
    </row>
    <row r="95" ht="12.75" customHeight="1">
      <c r="A95" s="18"/>
      <c r="B95" s="57">
        <v>2.0</v>
      </c>
      <c r="C95" s="52" t="s">
        <v>75</v>
      </c>
      <c r="D95" s="60"/>
      <c r="E95" s="19">
        <v>1.0</v>
      </c>
      <c r="F95" s="19">
        <v>2.0</v>
      </c>
      <c r="G95" s="19">
        <v>5.0</v>
      </c>
      <c r="H95" s="19">
        <v>2.0</v>
      </c>
      <c r="I95" s="19">
        <v>3.0</v>
      </c>
      <c r="J95" s="19">
        <v>3.0</v>
      </c>
      <c r="K95" s="19">
        <v>0.0</v>
      </c>
      <c r="L95" s="19">
        <v>1.0</v>
      </c>
      <c r="M95" s="13">
        <f t="shared" si="22"/>
        <v>17</v>
      </c>
    </row>
    <row r="96" ht="12.75" customHeight="1">
      <c r="A96" s="18"/>
      <c r="B96" s="57">
        <v>3.0</v>
      </c>
      <c r="C96" s="52" t="s">
        <v>76</v>
      </c>
      <c r="D96" s="60"/>
      <c r="E96" s="19">
        <v>1.0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3">
        <f t="shared" si="22"/>
        <v>2</v>
      </c>
    </row>
    <row r="97" ht="12.75" customHeight="1">
      <c r="A97" s="18"/>
      <c r="B97" s="57">
        <v>4.0</v>
      </c>
      <c r="C97" s="52" t="s">
        <v>77</v>
      </c>
      <c r="D97" s="60"/>
      <c r="E97" s="19">
        <v>1.0</v>
      </c>
      <c r="F97" s="19">
        <v>6.0</v>
      </c>
      <c r="G97" s="19">
        <v>5.0</v>
      </c>
      <c r="H97" s="19">
        <v>1.0</v>
      </c>
      <c r="I97" s="19">
        <v>0.0</v>
      </c>
      <c r="J97" s="19">
        <v>1.0</v>
      </c>
      <c r="K97" s="19">
        <v>0.0</v>
      </c>
      <c r="L97" s="19">
        <v>0.0</v>
      </c>
      <c r="M97" s="13">
        <f t="shared" si="22"/>
        <v>14</v>
      </c>
    </row>
    <row r="98" ht="12.75" customHeight="1">
      <c r="A98" s="18"/>
      <c r="B98" s="57">
        <v>5.0</v>
      </c>
      <c r="C98" s="52" t="s">
        <v>78</v>
      </c>
      <c r="D98" s="60"/>
      <c r="E98" s="19">
        <v>1.0</v>
      </c>
      <c r="F98" s="19">
        <v>2.0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3">
        <f t="shared" si="22"/>
        <v>3</v>
      </c>
    </row>
    <row r="99" ht="12.75" customHeight="1">
      <c r="A99" s="18"/>
      <c r="B99" s="57">
        <v>6.0</v>
      </c>
      <c r="C99" s="52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3">
        <f t="shared" si="22"/>
        <v>1</v>
      </c>
    </row>
    <row r="100" ht="12.75" customHeight="1">
      <c r="A100" s="18"/>
      <c r="B100" s="57">
        <v>7.0</v>
      </c>
      <c r="C100" s="52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3">
        <f t="shared" si="22"/>
        <v>0</v>
      </c>
    </row>
    <row r="101" ht="12.75" customHeight="1">
      <c r="A101" s="18"/>
      <c r="B101" s="72"/>
      <c r="C101" s="73"/>
      <c r="D101" s="75"/>
      <c r="E101" s="19"/>
      <c r="F101" s="19"/>
      <c r="G101" s="19"/>
      <c r="H101" s="19"/>
      <c r="I101" s="19"/>
      <c r="J101" s="19"/>
      <c r="K101" s="19"/>
      <c r="L101" s="19"/>
      <c r="M101" s="13">
        <f t="shared" si="22"/>
        <v>0</v>
      </c>
    </row>
    <row r="102" ht="12.75" customHeight="1">
      <c r="A102" s="18"/>
      <c r="B102" s="72"/>
      <c r="C102" s="73"/>
      <c r="D102" s="75"/>
      <c r="E102" s="19"/>
      <c r="F102" s="19"/>
      <c r="G102" s="19"/>
      <c r="H102" s="19"/>
      <c r="I102" s="19"/>
      <c r="J102" s="19"/>
      <c r="K102" s="19"/>
      <c r="L102" s="19"/>
      <c r="M102" s="13">
        <f t="shared" si="22"/>
        <v>0</v>
      </c>
    </row>
    <row r="103" ht="15.0" customHeight="1">
      <c r="A103" s="19" t="s">
        <v>15</v>
      </c>
      <c r="B103" s="49" t="s">
        <v>47</v>
      </c>
      <c r="C103" s="15"/>
      <c r="D103" s="16"/>
      <c r="E103" s="13">
        <f t="shared" ref="E103:L103" si="23">SUM(E93:E100)</f>
        <v>12</v>
      </c>
      <c r="F103" s="13">
        <f t="shared" si="23"/>
        <v>12</v>
      </c>
      <c r="G103" s="13">
        <f t="shared" si="23"/>
        <v>12</v>
      </c>
      <c r="H103" s="13">
        <f t="shared" si="23"/>
        <v>14</v>
      </c>
      <c r="I103" s="13">
        <f t="shared" si="23"/>
        <v>19</v>
      </c>
      <c r="J103" s="13">
        <f t="shared" si="23"/>
        <v>19</v>
      </c>
      <c r="K103" s="13">
        <f t="shared" si="23"/>
        <v>6</v>
      </c>
      <c r="L103" s="13">
        <f t="shared" si="23"/>
        <v>3</v>
      </c>
      <c r="M103" s="13">
        <f t="shared" si="22"/>
        <v>97</v>
      </c>
    </row>
    <row r="104" ht="12.75" customHeight="1">
      <c r="A104" s="47"/>
      <c r="B104" s="46"/>
      <c r="C104" s="46"/>
      <c r="D104" s="46"/>
      <c r="E104" s="46"/>
      <c r="F104" s="76"/>
      <c r="G104" s="76"/>
      <c r="H104" s="76"/>
      <c r="I104" s="76"/>
      <c r="J104" s="76"/>
      <c r="K104" s="76"/>
      <c r="L104" s="76"/>
      <c r="M104" s="76"/>
    </row>
    <row r="105" ht="12.75" customHeight="1">
      <c r="A105" s="31" t="s">
        <v>37</v>
      </c>
      <c r="B105" s="49" t="s">
        <v>81</v>
      </c>
      <c r="C105" s="50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0.0</v>
      </c>
      <c r="M105" s="13">
        <f t="shared" ref="M105:M115" si="24">SUM(E105:L105)</f>
        <v>1</v>
      </c>
    </row>
    <row r="106" ht="12.75" customHeight="1">
      <c r="A106" s="31" t="s">
        <v>39</v>
      </c>
      <c r="B106" s="57">
        <v>1.0</v>
      </c>
      <c r="C106" s="52" t="s">
        <v>83</v>
      </c>
      <c r="D106" s="60"/>
      <c r="E106" s="19">
        <v>1.0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3">
        <f t="shared" si="24"/>
        <v>2</v>
      </c>
    </row>
    <row r="107" ht="12.75" customHeight="1">
      <c r="A107" s="18"/>
      <c r="B107" s="57">
        <v>2.0</v>
      </c>
      <c r="C107" s="52" t="s">
        <v>84</v>
      </c>
      <c r="D107" s="60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3">
        <f t="shared" si="24"/>
        <v>1</v>
      </c>
    </row>
    <row r="108" ht="12.75" customHeight="1">
      <c r="A108" s="18"/>
      <c r="B108" s="57">
        <v>3.0</v>
      </c>
      <c r="C108" s="52" t="s">
        <v>85</v>
      </c>
      <c r="D108" s="60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3">
        <f t="shared" si="24"/>
        <v>0</v>
      </c>
    </row>
    <row r="109" ht="12.75" customHeight="1">
      <c r="A109" s="18"/>
      <c r="B109" s="57">
        <v>4.0</v>
      </c>
      <c r="C109" s="52" t="s">
        <v>86</v>
      </c>
      <c r="D109" s="60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3">
        <f t="shared" si="24"/>
        <v>0</v>
      </c>
    </row>
    <row r="110" ht="12.75" customHeight="1">
      <c r="A110" s="18"/>
      <c r="B110" s="57">
        <v>5.0</v>
      </c>
      <c r="C110" s="52" t="s">
        <v>87</v>
      </c>
      <c r="D110" s="60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3">
        <f t="shared" si="24"/>
        <v>0</v>
      </c>
    </row>
    <row r="111" ht="12.75" customHeight="1">
      <c r="A111" s="18"/>
      <c r="B111" s="57">
        <v>6.0</v>
      </c>
      <c r="C111" s="52" t="s">
        <v>88</v>
      </c>
      <c r="D111" s="60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3">
        <f t="shared" si="24"/>
        <v>0</v>
      </c>
    </row>
    <row r="112" ht="12.75" customHeight="1">
      <c r="A112" s="18"/>
      <c r="B112" s="57">
        <v>7.0</v>
      </c>
      <c r="C112" s="52" t="s">
        <v>89</v>
      </c>
      <c r="D112" s="60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3">
        <f t="shared" si="24"/>
        <v>0</v>
      </c>
    </row>
    <row r="113" ht="12.75" customHeight="1">
      <c r="A113" s="18"/>
      <c r="B113" s="72"/>
      <c r="C113" s="73"/>
      <c r="D113" s="75"/>
      <c r="E113" s="19"/>
      <c r="F113" s="19"/>
      <c r="G113" s="19"/>
      <c r="H113" s="19"/>
      <c r="I113" s="19"/>
      <c r="J113" s="19"/>
      <c r="K113" s="19"/>
      <c r="L113" s="19"/>
      <c r="M113" s="13">
        <f t="shared" si="24"/>
        <v>0</v>
      </c>
    </row>
    <row r="114" ht="12.75" customHeight="1">
      <c r="A114" s="18"/>
      <c r="B114" s="72"/>
      <c r="C114" s="73"/>
      <c r="D114" s="75"/>
      <c r="E114" s="19"/>
      <c r="F114" s="19"/>
      <c r="G114" s="19"/>
      <c r="H114" s="19"/>
      <c r="I114" s="19"/>
      <c r="J114" s="19"/>
      <c r="K114" s="19"/>
      <c r="L114" s="19"/>
      <c r="M114" s="13">
        <f t="shared" si="24"/>
        <v>0</v>
      </c>
    </row>
    <row r="115" ht="12.75" customHeight="1">
      <c r="A115" s="19" t="s">
        <v>15</v>
      </c>
      <c r="B115" s="49" t="s">
        <v>47</v>
      </c>
      <c r="C115" s="15"/>
      <c r="D115" s="16"/>
      <c r="E115" s="13">
        <f t="shared" ref="E115:L115" si="25">SUM(E105:E112)</f>
        <v>1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4"/>
        <v>4</v>
      </c>
    </row>
    <row r="116" ht="12.75" customHeight="1">
      <c r="A116" s="30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13"/>
    </row>
    <row r="117" ht="12.75" customHeight="1">
      <c r="A117" s="31" t="s">
        <v>37</v>
      </c>
      <c r="B117" s="49" t="s">
        <v>90</v>
      </c>
      <c r="C117" s="50" t="s">
        <v>91</v>
      </c>
      <c r="D117" s="16"/>
      <c r="E117" s="19">
        <v>1.0</v>
      </c>
      <c r="F117" s="19">
        <v>0.0</v>
      </c>
      <c r="G117" s="19">
        <v>4.0</v>
      </c>
      <c r="H117" s="19">
        <v>0.0</v>
      </c>
      <c r="I117" s="19">
        <v>1.0</v>
      </c>
      <c r="J117" s="19">
        <v>1.0</v>
      </c>
      <c r="K117" s="19">
        <v>1.0</v>
      </c>
      <c r="L117" s="19">
        <v>10.0</v>
      </c>
      <c r="M117" s="13">
        <f t="shared" ref="M117:M127" si="26">SUM(E117:L117)</f>
        <v>18</v>
      </c>
      <c r="N117" s="5"/>
      <c r="O117" s="5"/>
    </row>
    <row r="118" ht="12.75" customHeight="1">
      <c r="A118" s="31" t="s">
        <v>39</v>
      </c>
      <c r="B118" s="57">
        <v>1.0</v>
      </c>
      <c r="C118" s="52" t="s">
        <v>92</v>
      </c>
      <c r="D118" s="60"/>
      <c r="E118" s="19">
        <v>0.0</v>
      </c>
      <c r="F118" s="19">
        <v>0.0</v>
      </c>
      <c r="G118" s="19">
        <v>2.0</v>
      </c>
      <c r="H118" s="19">
        <v>0.0</v>
      </c>
      <c r="I118" s="19">
        <v>2.0</v>
      </c>
      <c r="J118" s="19">
        <v>1.0</v>
      </c>
      <c r="K118" s="19">
        <v>3.0</v>
      </c>
      <c r="L118" s="19">
        <v>9.0</v>
      </c>
      <c r="M118" s="13">
        <f t="shared" si="26"/>
        <v>17</v>
      </c>
      <c r="N118" s="5"/>
      <c r="O118" s="5"/>
    </row>
    <row r="119" ht="12.75" customHeight="1">
      <c r="A119" s="18"/>
      <c r="B119" s="57">
        <v>2.0</v>
      </c>
      <c r="C119" s="52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1.0</v>
      </c>
      <c r="L119" s="19">
        <v>1.0</v>
      </c>
      <c r="M119" s="13">
        <f t="shared" si="26"/>
        <v>3</v>
      </c>
      <c r="N119" s="5"/>
      <c r="O119" s="5"/>
    </row>
    <row r="120" ht="12.75" customHeight="1">
      <c r="A120" s="18"/>
      <c r="B120" s="57">
        <v>3.0</v>
      </c>
      <c r="C120" s="52" t="s">
        <v>94</v>
      </c>
      <c r="D120" s="60"/>
      <c r="E120" s="19">
        <v>1.0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3">
        <f t="shared" si="26"/>
        <v>3</v>
      </c>
      <c r="N120" s="5"/>
      <c r="O120" s="5"/>
    </row>
    <row r="121" ht="12.75" customHeight="1">
      <c r="A121" s="18"/>
      <c r="B121" s="72"/>
      <c r="C121" s="73"/>
      <c r="D121" s="75"/>
      <c r="E121" s="42"/>
      <c r="F121" s="19"/>
      <c r="G121" s="19"/>
      <c r="H121" s="19"/>
      <c r="I121" s="19"/>
      <c r="J121" s="19"/>
      <c r="K121" s="19"/>
      <c r="L121" s="19"/>
      <c r="M121" s="13">
        <f t="shared" si="26"/>
        <v>0</v>
      </c>
      <c r="N121" s="5"/>
      <c r="O121" s="5"/>
    </row>
    <row r="122" ht="12.75" customHeight="1">
      <c r="A122" s="18"/>
      <c r="B122" s="72"/>
      <c r="C122" s="73"/>
      <c r="D122" s="75"/>
      <c r="E122" s="42"/>
      <c r="F122" s="19"/>
      <c r="G122" s="19"/>
      <c r="H122" s="19"/>
      <c r="I122" s="19"/>
      <c r="J122" s="19"/>
      <c r="K122" s="19"/>
      <c r="L122" s="19"/>
      <c r="M122" s="13">
        <f t="shared" si="26"/>
        <v>0</v>
      </c>
      <c r="N122" s="5"/>
      <c r="O122" s="5"/>
    </row>
    <row r="123" ht="12.75" customHeight="1">
      <c r="A123" s="18"/>
      <c r="B123" s="72"/>
      <c r="C123" s="73"/>
      <c r="D123" s="75"/>
      <c r="E123" s="42"/>
      <c r="F123" s="42"/>
      <c r="G123" s="42"/>
      <c r="H123" s="42"/>
      <c r="I123" s="42"/>
      <c r="J123" s="42"/>
      <c r="K123" s="42"/>
      <c r="L123" s="42"/>
      <c r="M123" s="13">
        <f t="shared" si="26"/>
        <v>0</v>
      </c>
      <c r="N123" s="5"/>
      <c r="O123" s="5"/>
    </row>
    <row r="124" ht="12.75" customHeight="1">
      <c r="A124" s="18"/>
      <c r="B124" s="72"/>
      <c r="C124" s="73"/>
      <c r="D124" s="75"/>
      <c r="E124" s="42"/>
      <c r="F124" s="42"/>
      <c r="G124" s="42"/>
      <c r="H124" s="42"/>
      <c r="I124" s="42"/>
      <c r="J124" s="42"/>
      <c r="K124" s="42"/>
      <c r="L124" s="42"/>
      <c r="M124" s="13">
        <f t="shared" si="26"/>
        <v>0</v>
      </c>
      <c r="N124" s="5"/>
      <c r="O124" s="5"/>
    </row>
    <row r="125" ht="12.75" customHeight="1">
      <c r="A125" s="18"/>
      <c r="B125" s="72"/>
      <c r="C125" s="73"/>
      <c r="D125" s="75"/>
      <c r="E125" s="42"/>
      <c r="F125" s="42"/>
      <c r="G125" s="42"/>
      <c r="H125" s="42"/>
      <c r="I125" s="42"/>
      <c r="J125" s="42"/>
      <c r="K125" s="42"/>
      <c r="L125" s="42"/>
      <c r="M125" s="13">
        <f t="shared" si="26"/>
        <v>0</v>
      </c>
      <c r="N125" s="5"/>
      <c r="O125" s="5"/>
    </row>
    <row r="126" ht="12.75" customHeight="1">
      <c r="A126" s="18"/>
      <c r="B126" s="72"/>
      <c r="C126" s="73"/>
      <c r="D126" s="75"/>
      <c r="E126" s="42"/>
      <c r="F126" s="42"/>
      <c r="G126" s="42"/>
      <c r="H126" s="42"/>
      <c r="I126" s="42"/>
      <c r="J126" s="42"/>
      <c r="K126" s="42"/>
      <c r="L126" s="42"/>
      <c r="M126" s="13">
        <f t="shared" si="26"/>
        <v>0</v>
      </c>
      <c r="N126" s="5"/>
      <c r="O126" s="5"/>
    </row>
    <row r="127" ht="15.0" customHeight="1">
      <c r="A127" s="19" t="s">
        <v>15</v>
      </c>
      <c r="B127" s="49" t="s">
        <v>47</v>
      </c>
      <c r="C127" s="15"/>
      <c r="D127" s="16"/>
      <c r="E127" s="61">
        <f t="shared" ref="E127:L127" si="27">SUM(E117:E120)</f>
        <v>2</v>
      </c>
      <c r="F127" s="61">
        <f t="shared" si="27"/>
        <v>0</v>
      </c>
      <c r="G127" s="61">
        <f t="shared" si="27"/>
        <v>7</v>
      </c>
      <c r="H127" s="61">
        <f t="shared" si="27"/>
        <v>0</v>
      </c>
      <c r="I127" s="61">
        <f t="shared" si="27"/>
        <v>3</v>
      </c>
      <c r="J127" s="61">
        <f t="shared" si="27"/>
        <v>3</v>
      </c>
      <c r="K127" s="61">
        <f t="shared" si="27"/>
        <v>6</v>
      </c>
      <c r="L127" s="61">
        <f t="shared" si="27"/>
        <v>20</v>
      </c>
      <c r="M127" s="13">
        <f t="shared" si="26"/>
        <v>41</v>
      </c>
      <c r="N127" s="5"/>
      <c r="O127" s="5"/>
    </row>
    <row r="128" ht="12.75" customHeight="1">
      <c r="A128" s="30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5"/>
      <c r="O128" s="5"/>
    </row>
    <row r="129" ht="12.75" customHeight="1">
      <c r="A129" s="31" t="s">
        <v>37</v>
      </c>
      <c r="B129" s="49" t="s">
        <v>95</v>
      </c>
      <c r="C129" s="50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1.0</v>
      </c>
      <c r="L129" s="19">
        <v>0.0</v>
      </c>
      <c r="M129" s="13">
        <f t="shared" ref="M129:M139" si="28">SUM(E129:L129)</f>
        <v>2</v>
      </c>
      <c r="N129" s="5"/>
      <c r="O129" s="5"/>
    </row>
    <row r="130" ht="12.75" customHeight="1">
      <c r="A130" s="31" t="s">
        <v>39</v>
      </c>
      <c r="B130" s="57">
        <v>1.0</v>
      </c>
      <c r="C130" s="52" t="s">
        <v>97</v>
      </c>
      <c r="D130" s="58"/>
      <c r="E130" s="19">
        <v>1.0</v>
      </c>
      <c r="F130" s="19">
        <v>0.0</v>
      </c>
      <c r="G130" s="19">
        <v>0.0</v>
      </c>
      <c r="H130" s="19">
        <v>1.0</v>
      </c>
      <c r="I130" s="19">
        <v>0.0</v>
      </c>
      <c r="J130" s="19">
        <v>2.0</v>
      </c>
      <c r="K130" s="19">
        <v>1.0</v>
      </c>
      <c r="L130" s="19">
        <v>0.0</v>
      </c>
      <c r="M130" s="13">
        <f t="shared" si="28"/>
        <v>5</v>
      </c>
      <c r="N130" s="1"/>
      <c r="O130" s="1"/>
    </row>
    <row r="131" ht="12.75" customHeight="1">
      <c r="A131" s="18"/>
      <c r="B131" s="57">
        <v>2.0</v>
      </c>
      <c r="C131" s="52" t="s">
        <v>98</v>
      </c>
      <c r="D131" s="58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3">
        <f t="shared" si="28"/>
        <v>2</v>
      </c>
      <c r="N131" s="54"/>
      <c r="O131" s="54"/>
    </row>
    <row r="132" ht="12.75" customHeight="1">
      <c r="A132" s="18"/>
      <c r="B132" s="57">
        <v>3.0</v>
      </c>
      <c r="C132" s="52" t="s">
        <v>99</v>
      </c>
      <c r="D132" s="58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3">
        <f t="shared" si="28"/>
        <v>1</v>
      </c>
      <c r="N132" s="5"/>
      <c r="O132" s="5"/>
    </row>
    <row r="133" ht="12.75" customHeight="1">
      <c r="A133" s="18"/>
      <c r="B133" s="57">
        <v>4.0</v>
      </c>
      <c r="C133" s="52" t="s">
        <v>100</v>
      </c>
      <c r="D133" s="58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3">
        <f t="shared" si="28"/>
        <v>0</v>
      </c>
      <c r="N133" s="5"/>
      <c r="O133" s="5"/>
    </row>
    <row r="134" ht="12.75" customHeight="1">
      <c r="A134" s="18"/>
      <c r="B134" s="57">
        <v>5.0</v>
      </c>
      <c r="C134" s="52" t="s">
        <v>101</v>
      </c>
      <c r="D134" s="58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3">
        <f t="shared" si="28"/>
        <v>0</v>
      </c>
      <c r="N134" s="5"/>
      <c r="O134" s="5"/>
    </row>
    <row r="135" ht="12.75" customHeight="1">
      <c r="A135" s="18"/>
      <c r="B135" s="57">
        <v>6.0</v>
      </c>
      <c r="C135" s="52" t="s">
        <v>102</v>
      </c>
      <c r="D135" s="60"/>
      <c r="E135" s="19">
        <v>0.0</v>
      </c>
      <c r="F135" s="19">
        <v>0.0</v>
      </c>
      <c r="G135" s="19">
        <v>1.0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3">
        <f t="shared" si="28"/>
        <v>2</v>
      </c>
      <c r="N135" s="5"/>
      <c r="O135" s="5"/>
    </row>
    <row r="136" ht="12.75" customHeight="1">
      <c r="A136" s="18"/>
      <c r="B136" s="57">
        <v>7.0</v>
      </c>
      <c r="C136" s="52" t="s">
        <v>103</v>
      </c>
      <c r="D136" s="58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3">
        <f t="shared" si="28"/>
        <v>0</v>
      </c>
      <c r="N136" s="5"/>
      <c r="O136" s="5"/>
    </row>
    <row r="137" ht="12.75" customHeight="1">
      <c r="A137" s="18"/>
      <c r="B137" s="72"/>
      <c r="C137" s="73"/>
      <c r="D137" s="74"/>
      <c r="E137" s="19"/>
      <c r="F137" s="19"/>
      <c r="G137" s="19"/>
      <c r="H137" s="19"/>
      <c r="I137" s="19"/>
      <c r="J137" s="19"/>
      <c r="K137" s="19"/>
      <c r="L137" s="19"/>
      <c r="M137" s="13">
        <f t="shared" si="28"/>
        <v>0</v>
      </c>
      <c r="N137" s="5"/>
      <c r="O137" s="5"/>
    </row>
    <row r="138" ht="12.75" customHeight="1">
      <c r="A138" s="18"/>
      <c r="B138" s="72"/>
      <c r="C138" s="73"/>
      <c r="D138" s="74"/>
      <c r="E138" s="19"/>
      <c r="F138" s="19"/>
      <c r="G138" s="19"/>
      <c r="H138" s="19"/>
      <c r="I138" s="19"/>
      <c r="J138" s="19"/>
      <c r="K138" s="19"/>
      <c r="L138" s="19"/>
      <c r="M138" s="13">
        <f t="shared" si="28"/>
        <v>0</v>
      </c>
      <c r="N138" s="5"/>
      <c r="O138" s="5"/>
    </row>
    <row r="139" ht="15.0" customHeight="1">
      <c r="A139" s="19" t="s">
        <v>15</v>
      </c>
      <c r="B139" s="49" t="s">
        <v>47</v>
      </c>
      <c r="C139" s="15"/>
      <c r="D139" s="16"/>
      <c r="E139" s="13">
        <f t="shared" ref="E139:L139" si="29">SUM(E129:E136)</f>
        <v>2</v>
      </c>
      <c r="F139" s="13">
        <f t="shared" si="29"/>
        <v>0</v>
      </c>
      <c r="G139" s="13">
        <f t="shared" si="29"/>
        <v>2</v>
      </c>
      <c r="H139" s="13">
        <f t="shared" si="29"/>
        <v>1</v>
      </c>
      <c r="I139" s="13">
        <f t="shared" si="29"/>
        <v>0</v>
      </c>
      <c r="J139" s="13">
        <f t="shared" si="29"/>
        <v>3</v>
      </c>
      <c r="K139" s="13">
        <f t="shared" si="29"/>
        <v>3</v>
      </c>
      <c r="L139" s="13">
        <f t="shared" si="29"/>
        <v>1</v>
      </c>
      <c r="M139" s="13">
        <f t="shared" si="28"/>
        <v>12</v>
      </c>
      <c r="N139" s="5"/>
      <c r="O139" s="5"/>
    </row>
    <row r="140" ht="12.75" customHeight="1">
      <c r="A140" s="30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5"/>
      <c r="O140" s="5"/>
    </row>
    <row r="141" ht="12.75" customHeight="1">
      <c r="A141" s="31" t="s">
        <v>37</v>
      </c>
      <c r="B141" s="49" t="s">
        <v>104</v>
      </c>
      <c r="C141" s="50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51" si="30">SUM(E141:L141)</f>
        <v>0</v>
      </c>
      <c r="N141" s="1"/>
      <c r="O141" s="1"/>
    </row>
    <row r="142" ht="12.75" customHeight="1">
      <c r="A142" s="31" t="s">
        <v>39</v>
      </c>
      <c r="B142" s="57">
        <v>1.0</v>
      </c>
      <c r="C142" s="52" t="s">
        <v>106</v>
      </c>
      <c r="D142" s="60"/>
      <c r="E142" s="19">
        <v>0.0</v>
      </c>
      <c r="F142" s="19">
        <v>0.0</v>
      </c>
      <c r="G142" s="19">
        <v>0.0</v>
      </c>
      <c r="H142" s="19">
        <v>1.0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30"/>
        <v>1</v>
      </c>
      <c r="N142" s="54"/>
      <c r="O142" s="54"/>
    </row>
    <row r="143" ht="12.75" customHeight="1">
      <c r="A143" s="18"/>
      <c r="B143" s="57">
        <v>2.0</v>
      </c>
      <c r="C143" s="52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30"/>
        <v>0</v>
      </c>
      <c r="N143" s="5"/>
      <c r="O143" s="5"/>
    </row>
    <row r="144" ht="12.75" customHeight="1">
      <c r="A144" s="18"/>
      <c r="B144" s="57">
        <v>3.0</v>
      </c>
      <c r="C144" s="52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30"/>
        <v>0</v>
      </c>
      <c r="N144" s="5"/>
      <c r="O144" s="5"/>
    </row>
    <row r="145" ht="12.75" customHeight="1">
      <c r="A145" s="18"/>
      <c r="B145" s="57">
        <v>4.0</v>
      </c>
      <c r="C145" s="52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3">
        <f t="shared" si="30"/>
        <v>0</v>
      </c>
      <c r="N145" s="5"/>
      <c r="O145" s="5"/>
    </row>
    <row r="146" ht="12.75" customHeight="1">
      <c r="A146" s="18"/>
      <c r="B146" s="57">
        <v>5.0</v>
      </c>
      <c r="C146" s="52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3">
        <f t="shared" si="30"/>
        <v>0</v>
      </c>
      <c r="N146" s="5"/>
      <c r="O146" s="5"/>
    </row>
    <row r="147" ht="12.75" customHeight="1">
      <c r="A147" s="18"/>
      <c r="B147" s="57">
        <v>6.0</v>
      </c>
      <c r="C147" s="52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3">
        <f t="shared" si="30"/>
        <v>0</v>
      </c>
      <c r="N147" s="5"/>
      <c r="O147" s="5"/>
    </row>
    <row r="148" ht="12.75" customHeight="1">
      <c r="A148" s="18"/>
      <c r="B148" s="57">
        <v>7.0</v>
      </c>
      <c r="C148" s="52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3">
        <f t="shared" si="30"/>
        <v>0</v>
      </c>
      <c r="N148" s="5"/>
      <c r="O148" s="5"/>
    </row>
    <row r="149" ht="12.75" customHeight="1">
      <c r="A149" s="18"/>
      <c r="B149" s="72"/>
      <c r="C149" s="73"/>
      <c r="D149" s="75"/>
      <c r="E149" s="19"/>
      <c r="F149" s="19"/>
      <c r="G149" s="19"/>
      <c r="H149" s="19"/>
      <c r="I149" s="19"/>
      <c r="J149" s="19"/>
      <c r="K149" s="19"/>
      <c r="L149" s="19"/>
      <c r="M149" s="13">
        <f t="shared" si="30"/>
        <v>0</v>
      </c>
      <c r="N149" s="5"/>
      <c r="O149" s="5"/>
    </row>
    <row r="150" ht="12.75" customHeight="1">
      <c r="A150" s="18"/>
      <c r="B150" s="72"/>
      <c r="C150" s="73"/>
      <c r="D150" s="75"/>
      <c r="E150" s="19"/>
      <c r="F150" s="19"/>
      <c r="G150" s="19"/>
      <c r="H150" s="19"/>
      <c r="I150" s="19"/>
      <c r="J150" s="19"/>
      <c r="K150" s="19"/>
      <c r="L150" s="19"/>
      <c r="M150" s="13">
        <f t="shared" si="30"/>
        <v>0</v>
      </c>
      <c r="N150" s="5"/>
      <c r="O150" s="5"/>
    </row>
    <row r="151" ht="12.75" customHeight="1">
      <c r="A151" s="19" t="s">
        <v>15</v>
      </c>
      <c r="B151" s="49" t="s">
        <v>47</v>
      </c>
      <c r="C151" s="15"/>
      <c r="D151" s="16"/>
      <c r="E151" s="13">
        <f t="shared" ref="E151:L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0"/>
        <v>1</v>
      </c>
      <c r="N151" s="1"/>
      <c r="O151" s="1"/>
    </row>
    <row r="152" ht="12.75" customHeight="1">
      <c r="A152" s="30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13"/>
      <c r="N152" s="54"/>
      <c r="O152" s="54"/>
    </row>
    <row r="153" ht="12.75" customHeight="1">
      <c r="A153" s="31" t="s">
        <v>37</v>
      </c>
      <c r="B153" s="49" t="s">
        <v>113</v>
      </c>
      <c r="C153" s="50" t="s">
        <v>114</v>
      </c>
      <c r="D153" s="16"/>
      <c r="E153" s="19">
        <v>1.0</v>
      </c>
      <c r="F153" s="19">
        <v>0.0</v>
      </c>
      <c r="G153" s="19">
        <v>0.0</v>
      </c>
      <c r="H153" s="19">
        <v>2.0</v>
      </c>
      <c r="I153" s="19">
        <v>1.0</v>
      </c>
      <c r="J153" s="19">
        <v>2.0</v>
      </c>
      <c r="K153" s="19">
        <v>6.0</v>
      </c>
      <c r="L153" s="19">
        <v>5.0</v>
      </c>
      <c r="M153" s="13">
        <f t="shared" ref="M153:M162" si="32">SUM(E153:L153)</f>
        <v>17</v>
      </c>
      <c r="N153" s="5"/>
      <c r="O153" s="5"/>
    </row>
    <row r="154" ht="12.75" customHeight="1">
      <c r="A154" s="31" t="s">
        <v>39</v>
      </c>
      <c r="B154" s="57">
        <v>1.0</v>
      </c>
      <c r="C154" s="62" t="s">
        <v>115</v>
      </c>
      <c r="D154" s="60"/>
      <c r="E154" s="19">
        <v>1.0</v>
      </c>
      <c r="F154" s="19">
        <v>2.0</v>
      </c>
      <c r="G154" s="19">
        <v>2.0</v>
      </c>
      <c r="H154" s="19">
        <v>3.0</v>
      </c>
      <c r="I154" s="19">
        <v>0.0</v>
      </c>
      <c r="J154" s="19">
        <v>0.0</v>
      </c>
      <c r="K154" s="19">
        <v>5.0</v>
      </c>
      <c r="L154" s="19">
        <v>10.0</v>
      </c>
      <c r="M154" s="13">
        <f t="shared" si="32"/>
        <v>23</v>
      </c>
      <c r="N154" s="5"/>
      <c r="O154" s="5"/>
    </row>
    <row r="155" ht="12.75" customHeight="1">
      <c r="A155" s="18"/>
      <c r="B155" s="57">
        <v>2.0</v>
      </c>
      <c r="C155" s="62" t="s">
        <v>116</v>
      </c>
      <c r="D155" s="60"/>
      <c r="E155" s="19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1.0</v>
      </c>
      <c r="L155" s="19">
        <v>2.0</v>
      </c>
      <c r="M155" s="13">
        <f t="shared" si="32"/>
        <v>4</v>
      </c>
      <c r="N155" s="5"/>
      <c r="O155" s="5"/>
    </row>
    <row r="156" ht="12.75" customHeight="1">
      <c r="A156" s="18"/>
      <c r="B156" s="57">
        <v>3.0</v>
      </c>
      <c r="C156" s="62" t="s">
        <v>117</v>
      </c>
      <c r="D156" s="60"/>
      <c r="E156" s="19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1.0</v>
      </c>
      <c r="L156" s="19">
        <v>0.0</v>
      </c>
      <c r="M156" s="13">
        <f t="shared" si="32"/>
        <v>2</v>
      </c>
      <c r="N156" s="5"/>
      <c r="O156" s="5"/>
    </row>
    <row r="157" ht="12.75" customHeight="1">
      <c r="A157" s="18"/>
      <c r="B157" s="57">
        <v>4.0</v>
      </c>
      <c r="C157" s="62" t="s">
        <v>118</v>
      </c>
      <c r="D157" s="60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3">
        <f t="shared" si="32"/>
        <v>0</v>
      </c>
      <c r="N157" s="5"/>
      <c r="O157" s="5"/>
    </row>
    <row r="158" ht="12.75" customHeight="1">
      <c r="A158" s="18"/>
      <c r="B158" s="72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3">
        <f t="shared" si="32"/>
        <v>0</v>
      </c>
      <c r="N158" s="5"/>
      <c r="O158" s="5"/>
    </row>
    <row r="159" ht="12.75" customHeight="1">
      <c r="A159" s="18"/>
      <c r="B159" s="72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3">
        <f t="shared" si="32"/>
        <v>0</v>
      </c>
      <c r="N159" s="5"/>
      <c r="O159" s="5"/>
    </row>
    <row r="160" ht="12.75" customHeight="1">
      <c r="A160" s="18"/>
      <c r="B160" s="72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3">
        <f t="shared" si="32"/>
        <v>0</v>
      </c>
      <c r="N160" s="5"/>
      <c r="O160" s="5"/>
    </row>
    <row r="161" ht="12.75" customHeight="1">
      <c r="A161" s="18"/>
      <c r="B161" s="72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3">
        <f t="shared" si="32"/>
        <v>0</v>
      </c>
      <c r="N161" s="5"/>
      <c r="O161" s="5"/>
    </row>
    <row r="162" ht="12.75" customHeight="1">
      <c r="A162" s="18"/>
      <c r="B162" s="72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3">
        <f t="shared" si="32"/>
        <v>0</v>
      </c>
      <c r="N162" s="5"/>
      <c r="O162" s="5"/>
    </row>
    <row r="163" ht="15.0" customHeight="1">
      <c r="A163" s="19" t="s">
        <v>15</v>
      </c>
      <c r="B163" s="49" t="s">
        <v>47</v>
      </c>
      <c r="C163" s="15"/>
      <c r="D163" s="16"/>
      <c r="E163" s="13">
        <f t="shared" ref="E163:L163" si="33">SUM(E153:E157)</f>
        <v>3</v>
      </c>
      <c r="F163" s="13">
        <f t="shared" si="33"/>
        <v>2</v>
      </c>
      <c r="G163" s="13">
        <f t="shared" si="33"/>
        <v>2</v>
      </c>
      <c r="H163" s="13">
        <f t="shared" si="33"/>
        <v>6</v>
      </c>
      <c r="I163" s="13">
        <f t="shared" si="33"/>
        <v>1</v>
      </c>
      <c r="J163" s="13">
        <f t="shared" si="33"/>
        <v>2</v>
      </c>
      <c r="K163" s="13">
        <f t="shared" si="33"/>
        <v>13</v>
      </c>
      <c r="L163" s="13">
        <f t="shared" si="33"/>
        <v>17</v>
      </c>
      <c r="M163" s="13">
        <f>SUM(E164:L164)</f>
        <v>0</v>
      </c>
      <c r="N163" s="5"/>
      <c r="O163" s="5"/>
    </row>
    <row r="164" ht="12.75" customHeight="1">
      <c r="A164" s="30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5"/>
      <c r="O164" s="5"/>
    </row>
    <row r="165" ht="12.75" customHeight="1">
      <c r="A165" s="31" t="s">
        <v>37</v>
      </c>
      <c r="B165" s="49" t="s">
        <v>119</v>
      </c>
      <c r="C165" s="50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3">
        <f t="shared" ref="M165:M175" si="34">SUM(E165:L165)</f>
        <v>1</v>
      </c>
      <c r="N165" s="1"/>
      <c r="O165" s="1"/>
    </row>
    <row r="166" ht="12.75" customHeight="1">
      <c r="A166" s="31" t="s">
        <v>39</v>
      </c>
      <c r="B166" s="57">
        <v>1.0</v>
      </c>
      <c r="C166" s="52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3">
        <f t="shared" si="34"/>
        <v>0</v>
      </c>
      <c r="N166" s="54"/>
      <c r="O166" s="54"/>
    </row>
    <row r="167" ht="12.75" customHeight="1">
      <c r="A167" s="18"/>
      <c r="B167" s="57">
        <v>2.0</v>
      </c>
      <c r="C167" s="52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3">
        <f t="shared" si="34"/>
        <v>0</v>
      </c>
      <c r="N167" s="5"/>
      <c r="O167" s="5"/>
    </row>
    <row r="168" ht="12.75" customHeight="1">
      <c r="A168" s="18"/>
      <c r="B168" s="57">
        <v>3.0</v>
      </c>
      <c r="C168" s="52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3">
        <f t="shared" si="34"/>
        <v>0</v>
      </c>
      <c r="N168" s="5"/>
      <c r="O168" s="5"/>
    </row>
    <row r="169" ht="12.75" customHeight="1">
      <c r="A169" s="18"/>
      <c r="B169" s="57">
        <v>4.0</v>
      </c>
      <c r="C169" s="52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3">
        <f t="shared" si="34"/>
        <v>0</v>
      </c>
      <c r="N169" s="5"/>
      <c r="O169" s="5"/>
    </row>
    <row r="170" ht="12.75" customHeight="1">
      <c r="A170" s="18"/>
      <c r="B170" s="57">
        <v>5.0</v>
      </c>
      <c r="C170" s="52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3">
        <f t="shared" si="34"/>
        <v>0</v>
      </c>
      <c r="N170" s="5"/>
      <c r="O170" s="5"/>
    </row>
    <row r="171" ht="12.75" customHeight="1">
      <c r="A171" s="18"/>
      <c r="B171" s="57">
        <v>6.0</v>
      </c>
      <c r="C171" s="52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3">
        <f t="shared" si="34"/>
        <v>0</v>
      </c>
      <c r="N171" s="5"/>
      <c r="O171" s="5"/>
    </row>
    <row r="172" ht="12.75" customHeight="1">
      <c r="A172" s="18"/>
      <c r="B172" s="57">
        <v>7.0</v>
      </c>
      <c r="C172" s="52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3">
        <f t="shared" si="34"/>
        <v>0</v>
      </c>
      <c r="N172" s="5"/>
      <c r="O172" s="5"/>
    </row>
    <row r="173" ht="12.75" customHeight="1">
      <c r="A173" s="18"/>
      <c r="B173" s="72"/>
      <c r="C173" s="73"/>
      <c r="D173" s="75"/>
      <c r="E173" s="19"/>
      <c r="F173" s="19"/>
      <c r="G173" s="19"/>
      <c r="H173" s="19"/>
      <c r="I173" s="19"/>
      <c r="J173" s="19"/>
      <c r="K173" s="19"/>
      <c r="L173" s="19"/>
      <c r="M173" s="13">
        <f t="shared" si="34"/>
        <v>0</v>
      </c>
      <c r="N173" s="5"/>
      <c r="O173" s="5"/>
    </row>
    <row r="174" ht="12.75" customHeight="1">
      <c r="A174" s="18"/>
      <c r="B174" s="72"/>
      <c r="C174" s="73"/>
      <c r="D174" s="75"/>
      <c r="E174" s="19"/>
      <c r="F174" s="19"/>
      <c r="G174" s="19"/>
      <c r="H174" s="19"/>
      <c r="I174" s="19"/>
      <c r="J174" s="19"/>
      <c r="K174" s="19"/>
      <c r="L174" s="19"/>
      <c r="M174" s="13">
        <f t="shared" si="34"/>
        <v>0</v>
      </c>
      <c r="N174" s="5"/>
      <c r="O174" s="5"/>
    </row>
    <row r="175" ht="15.0" customHeight="1">
      <c r="A175" s="19" t="s">
        <v>15</v>
      </c>
      <c r="B175" s="49" t="s">
        <v>47</v>
      </c>
      <c r="C175" s="15"/>
      <c r="D175" s="16"/>
      <c r="E175" s="13">
        <f t="shared" ref="E175:L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4"/>
        <v>1</v>
      </c>
      <c r="N175" s="5"/>
      <c r="O175" s="5"/>
    </row>
    <row r="176" ht="12.75" customHeight="1">
      <c r="A176" s="30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1"/>
      <c r="O176" s="1"/>
    </row>
    <row r="177" ht="12.75" customHeight="1">
      <c r="A177" s="31" t="s">
        <v>37</v>
      </c>
      <c r="B177" s="49" t="s">
        <v>128</v>
      </c>
      <c r="C177" s="50" t="s">
        <v>129</v>
      </c>
      <c r="D177" s="16"/>
      <c r="E177" s="19">
        <v>0.0</v>
      </c>
      <c r="F177" s="19">
        <v>0.0</v>
      </c>
      <c r="G177" s="19">
        <v>2.0</v>
      </c>
      <c r="H177" s="19">
        <v>2.0</v>
      </c>
      <c r="I177" s="19">
        <v>0.0</v>
      </c>
      <c r="J177" s="19">
        <v>1.0</v>
      </c>
      <c r="K177" s="19">
        <v>1.0</v>
      </c>
      <c r="L177" s="19">
        <v>0.0</v>
      </c>
      <c r="M177" s="13">
        <f t="shared" ref="M177:M187" si="36">SUM(E177:L177)</f>
        <v>6</v>
      </c>
    </row>
    <row r="178" ht="12.75" customHeight="1">
      <c r="A178" s="31" t="s">
        <v>39</v>
      </c>
      <c r="B178" s="57">
        <v>1.0</v>
      </c>
      <c r="C178" s="52" t="s">
        <v>130</v>
      </c>
      <c r="D178" s="60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3">
        <f t="shared" si="36"/>
        <v>1</v>
      </c>
      <c r="N178" s="5"/>
      <c r="O178" s="5"/>
    </row>
    <row r="179" ht="12.75" customHeight="1">
      <c r="A179" s="18"/>
      <c r="B179" s="57">
        <v>2.0</v>
      </c>
      <c r="C179" s="52" t="s">
        <v>131</v>
      </c>
      <c r="D179" s="60"/>
      <c r="E179" s="19">
        <v>2.0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3">
        <f t="shared" si="36"/>
        <v>2</v>
      </c>
      <c r="N179" s="5"/>
      <c r="O179" s="5"/>
    </row>
    <row r="180" ht="12.75" customHeight="1">
      <c r="A180" s="18"/>
      <c r="B180" s="57">
        <v>3.0</v>
      </c>
      <c r="C180" s="52" t="s">
        <v>132</v>
      </c>
      <c r="D180" s="60"/>
      <c r="E180" s="19">
        <v>0.0</v>
      </c>
      <c r="F180" s="19">
        <v>1.0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3">
        <f t="shared" si="36"/>
        <v>1</v>
      </c>
      <c r="N180" s="5"/>
      <c r="O180" s="5"/>
    </row>
    <row r="181" ht="12.75" customHeight="1">
      <c r="A181" s="18"/>
      <c r="B181" s="57">
        <v>4.0</v>
      </c>
      <c r="C181" s="52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3">
        <f t="shared" si="36"/>
        <v>1</v>
      </c>
      <c r="N181" s="5"/>
      <c r="O181" s="5"/>
    </row>
    <row r="182" ht="12.75" customHeight="1">
      <c r="A182" s="18"/>
      <c r="B182" s="57">
        <v>5.0</v>
      </c>
      <c r="C182" s="52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3">
        <f t="shared" si="36"/>
        <v>0</v>
      </c>
      <c r="N182" s="5"/>
      <c r="O182" s="5"/>
    </row>
    <row r="183" ht="12.75" customHeight="1">
      <c r="A183" s="18"/>
      <c r="B183" s="57">
        <v>6.0</v>
      </c>
      <c r="C183" s="52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36"/>
        <v>0</v>
      </c>
      <c r="N183" s="5"/>
      <c r="O183" s="5"/>
    </row>
    <row r="184" ht="12.75" customHeight="1">
      <c r="A184" s="18"/>
      <c r="B184" s="57">
        <v>7.0</v>
      </c>
      <c r="C184" s="52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36"/>
        <v>0</v>
      </c>
      <c r="N184" s="5"/>
      <c r="O184" s="5"/>
    </row>
    <row r="185" ht="12.75" customHeight="1">
      <c r="A185" s="18"/>
      <c r="B185" s="72"/>
      <c r="C185" s="73"/>
      <c r="D185" s="75"/>
      <c r="E185" s="19"/>
      <c r="F185" s="19"/>
      <c r="G185" s="19"/>
      <c r="H185" s="19"/>
      <c r="I185" s="19"/>
      <c r="J185" s="19"/>
      <c r="K185" s="19"/>
      <c r="L185" s="19"/>
      <c r="M185" s="13">
        <f t="shared" si="36"/>
        <v>0</v>
      </c>
      <c r="N185" s="5"/>
      <c r="O185" s="5"/>
    </row>
    <row r="186" ht="12.75" customHeight="1">
      <c r="A186" s="18"/>
      <c r="B186" s="72"/>
      <c r="C186" s="73"/>
      <c r="D186" s="75"/>
      <c r="E186" s="19"/>
      <c r="F186" s="19"/>
      <c r="G186" s="19"/>
      <c r="H186" s="19"/>
      <c r="I186" s="19"/>
      <c r="J186" s="19"/>
      <c r="K186" s="19"/>
      <c r="L186" s="19"/>
      <c r="M186" s="13">
        <f t="shared" si="36"/>
        <v>0</v>
      </c>
      <c r="N186" s="5"/>
      <c r="O186" s="5"/>
    </row>
    <row r="187" ht="12.75" customHeight="1">
      <c r="A187" s="19" t="s">
        <v>15</v>
      </c>
      <c r="B187" s="49" t="s">
        <v>47</v>
      </c>
      <c r="C187" s="15"/>
      <c r="D187" s="16"/>
      <c r="E187" s="13">
        <f t="shared" ref="E187:L187" si="37">SUM(E177:E184)</f>
        <v>3</v>
      </c>
      <c r="F187" s="13">
        <f t="shared" si="37"/>
        <v>1</v>
      </c>
      <c r="G187" s="13">
        <f t="shared" si="37"/>
        <v>2</v>
      </c>
      <c r="H187" s="13">
        <f t="shared" si="37"/>
        <v>2</v>
      </c>
      <c r="I187" s="13">
        <f t="shared" si="37"/>
        <v>0</v>
      </c>
      <c r="J187" s="13">
        <f t="shared" si="37"/>
        <v>2</v>
      </c>
      <c r="K187" s="13">
        <f t="shared" si="37"/>
        <v>1</v>
      </c>
      <c r="L187" s="13">
        <f t="shared" si="37"/>
        <v>0</v>
      </c>
      <c r="M187" s="13">
        <f t="shared" si="36"/>
        <v>11</v>
      </c>
      <c r="N187" s="1"/>
      <c r="O187" s="1"/>
    </row>
    <row r="188" ht="12.75" customHeight="1">
      <c r="A188" s="30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13"/>
    </row>
    <row r="189" ht="12.75" customHeight="1">
      <c r="A189" s="31" t="s">
        <v>37</v>
      </c>
      <c r="B189" s="49" t="s">
        <v>137</v>
      </c>
      <c r="C189" s="50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3">
        <f t="shared" ref="M189:M199" si="38">SUM(E189:L189)</f>
        <v>2</v>
      </c>
      <c r="N189" s="5"/>
      <c r="O189" s="5"/>
    </row>
    <row r="190" ht="12.75" customHeight="1">
      <c r="A190" s="31" t="s">
        <v>39</v>
      </c>
      <c r="B190" s="57">
        <v>1.0</v>
      </c>
      <c r="C190" s="52" t="s">
        <v>139</v>
      </c>
      <c r="D190" s="60"/>
      <c r="E190" s="19">
        <v>1.0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3">
        <f t="shared" si="38"/>
        <v>2</v>
      </c>
      <c r="N190" s="5"/>
      <c r="O190" s="5"/>
    </row>
    <row r="191" ht="12.75" customHeight="1">
      <c r="A191" s="18"/>
      <c r="B191" s="57">
        <v>2.0</v>
      </c>
      <c r="C191" s="52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3">
        <f t="shared" si="38"/>
        <v>1</v>
      </c>
      <c r="N191" s="5"/>
      <c r="O191" s="5"/>
    </row>
    <row r="192" ht="12.75" customHeight="1">
      <c r="A192" s="18"/>
      <c r="B192" s="57">
        <v>3.0</v>
      </c>
      <c r="C192" s="52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38"/>
        <v>0</v>
      </c>
      <c r="N192" s="5"/>
      <c r="O192" s="5"/>
    </row>
    <row r="193" ht="12.75" customHeight="1">
      <c r="A193" s="18"/>
      <c r="B193" s="57">
        <v>4.0</v>
      </c>
      <c r="C193" s="52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8"/>
        <v>0</v>
      </c>
      <c r="N193" s="5"/>
      <c r="O193" s="5"/>
    </row>
    <row r="194" ht="12.75" customHeight="1">
      <c r="A194" s="18"/>
      <c r="B194" s="57">
        <v>5.0</v>
      </c>
      <c r="C194" s="52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38"/>
        <v>0</v>
      </c>
      <c r="N194" s="5"/>
      <c r="O194" s="5"/>
    </row>
    <row r="195" ht="12.75" customHeight="1">
      <c r="A195" s="18"/>
      <c r="B195" s="57">
        <v>6.0</v>
      </c>
      <c r="C195" s="52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38"/>
        <v>0</v>
      </c>
      <c r="N195" s="5"/>
      <c r="O195" s="5"/>
    </row>
    <row r="196" ht="12.75" customHeight="1">
      <c r="A196" s="18"/>
      <c r="B196" s="57">
        <v>7.0</v>
      </c>
      <c r="C196" s="52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3">
        <f t="shared" si="38"/>
        <v>0</v>
      </c>
      <c r="N196" s="1"/>
      <c r="O196" s="1"/>
    </row>
    <row r="197" ht="12.75" customHeight="1">
      <c r="A197" s="18"/>
      <c r="B197" s="72"/>
      <c r="C197" s="73"/>
      <c r="D197" s="75"/>
      <c r="E197" s="19"/>
      <c r="F197" s="19"/>
      <c r="G197" s="19"/>
      <c r="H197" s="19"/>
      <c r="I197" s="19"/>
      <c r="J197" s="19"/>
      <c r="K197" s="19"/>
      <c r="L197" s="19"/>
      <c r="M197" s="13">
        <f t="shared" si="38"/>
        <v>0</v>
      </c>
      <c r="N197" s="1"/>
      <c r="O197" s="1"/>
    </row>
    <row r="198" ht="12.75" customHeight="1">
      <c r="A198" s="18"/>
      <c r="B198" s="72"/>
      <c r="C198" s="73"/>
      <c r="D198" s="75"/>
      <c r="E198" s="19"/>
      <c r="F198" s="19"/>
      <c r="G198" s="19"/>
      <c r="H198" s="19"/>
      <c r="I198" s="19"/>
      <c r="J198" s="19"/>
      <c r="K198" s="19"/>
      <c r="L198" s="19"/>
      <c r="M198" s="13">
        <f t="shared" si="38"/>
        <v>0</v>
      </c>
      <c r="N198" s="1"/>
      <c r="O198" s="1"/>
    </row>
    <row r="199" ht="15.0" customHeight="1">
      <c r="A199" s="19" t="s">
        <v>15</v>
      </c>
      <c r="B199" s="49" t="s">
        <v>47</v>
      </c>
      <c r="C199" s="15"/>
      <c r="D199" s="16"/>
      <c r="E199" s="13">
        <f t="shared" ref="E199:L199" si="39">SUM(E189:E196)</f>
        <v>1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2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8"/>
        <v>5</v>
      </c>
      <c r="N199" s="54"/>
      <c r="O199" s="54"/>
    </row>
    <row r="200" ht="12.75" customHeight="1">
      <c r="A200" s="30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5"/>
      <c r="O200" s="5"/>
    </row>
    <row r="201" ht="12.75" customHeight="1">
      <c r="A201" s="31" t="s">
        <v>37</v>
      </c>
      <c r="B201" s="49" t="s">
        <v>146</v>
      </c>
      <c r="C201" s="50" t="s">
        <v>147</v>
      </c>
      <c r="D201" s="16"/>
      <c r="E201" s="19">
        <v>2.0</v>
      </c>
      <c r="F201" s="19">
        <v>3.0</v>
      </c>
      <c r="G201" s="19">
        <v>4.0</v>
      </c>
      <c r="H201" s="19">
        <v>13.0</v>
      </c>
      <c r="I201" s="19">
        <v>2.0</v>
      </c>
      <c r="J201" s="19">
        <v>2.0</v>
      </c>
      <c r="K201" s="19">
        <v>2.0</v>
      </c>
      <c r="L201" s="19">
        <v>1.0</v>
      </c>
      <c r="M201" s="13">
        <f t="shared" ref="M201:M211" si="40">SUM(E201:L201)</f>
        <v>29</v>
      </c>
      <c r="N201" s="5"/>
      <c r="O201" s="5"/>
    </row>
    <row r="202" ht="12.75" customHeight="1">
      <c r="A202" s="31" t="s">
        <v>39</v>
      </c>
      <c r="B202" s="57">
        <v>1.0</v>
      </c>
      <c r="C202" s="52" t="s">
        <v>148</v>
      </c>
      <c r="D202" s="60"/>
      <c r="E202" s="19">
        <v>9.0</v>
      </c>
      <c r="F202" s="19">
        <v>11.0</v>
      </c>
      <c r="G202" s="19">
        <v>5.0</v>
      </c>
      <c r="H202" s="19">
        <v>7.0</v>
      </c>
      <c r="I202" s="19">
        <v>6.0</v>
      </c>
      <c r="J202" s="19">
        <v>4.0</v>
      </c>
      <c r="K202" s="19">
        <v>9.0</v>
      </c>
      <c r="L202" s="19">
        <v>1.0</v>
      </c>
      <c r="M202" s="13">
        <f t="shared" si="40"/>
        <v>52</v>
      </c>
      <c r="N202" s="5"/>
      <c r="O202" s="5"/>
    </row>
    <row r="203" ht="12.75" customHeight="1">
      <c r="A203" s="18"/>
      <c r="B203" s="57">
        <v>2.0</v>
      </c>
      <c r="C203" s="52" t="s">
        <v>149</v>
      </c>
      <c r="D203" s="60"/>
      <c r="E203" s="19">
        <v>8.0</v>
      </c>
      <c r="F203" s="19">
        <v>2.0</v>
      </c>
      <c r="G203" s="19">
        <v>2.0</v>
      </c>
      <c r="H203" s="19">
        <v>3.0</v>
      </c>
      <c r="I203" s="19">
        <v>1.0</v>
      </c>
      <c r="J203" s="19">
        <v>7.0</v>
      </c>
      <c r="K203" s="19">
        <v>0.0</v>
      </c>
      <c r="L203" s="19">
        <v>0.0</v>
      </c>
      <c r="M203" s="13">
        <f t="shared" si="40"/>
        <v>23</v>
      </c>
      <c r="N203" s="5"/>
      <c r="O203" s="5"/>
    </row>
    <row r="204" ht="12.75" customHeight="1">
      <c r="A204" s="18"/>
      <c r="B204" s="57">
        <v>3.0</v>
      </c>
      <c r="C204" s="52" t="s">
        <v>150</v>
      </c>
      <c r="D204" s="60"/>
      <c r="E204" s="19">
        <v>0.0</v>
      </c>
      <c r="F204" s="19">
        <v>1.0</v>
      </c>
      <c r="G204" s="19">
        <v>1.0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3">
        <f t="shared" si="40"/>
        <v>3</v>
      </c>
      <c r="N204" s="5"/>
      <c r="O204" s="5"/>
    </row>
    <row r="205" ht="12.75" customHeight="1">
      <c r="A205" s="18"/>
      <c r="B205" s="57">
        <v>4.0</v>
      </c>
      <c r="C205" s="52" t="s">
        <v>151</v>
      </c>
      <c r="D205" s="60"/>
      <c r="E205" s="19">
        <v>1.0</v>
      </c>
      <c r="F205" s="19">
        <v>8.0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3">
        <f t="shared" si="40"/>
        <v>9</v>
      </c>
      <c r="N205" s="5"/>
      <c r="O205" s="5"/>
    </row>
    <row r="206" ht="12.75" customHeight="1">
      <c r="A206" s="18"/>
      <c r="B206" s="57">
        <v>5.0</v>
      </c>
      <c r="C206" s="52" t="s">
        <v>152</v>
      </c>
      <c r="D206" s="60"/>
      <c r="E206" s="19">
        <v>2.0</v>
      </c>
      <c r="F206" s="19">
        <v>0.0</v>
      </c>
      <c r="G206" s="19">
        <v>0.0</v>
      </c>
      <c r="H206" s="19">
        <v>1.0</v>
      </c>
      <c r="I206" s="19">
        <v>1.0</v>
      </c>
      <c r="J206" s="19">
        <v>0.0</v>
      </c>
      <c r="K206" s="19">
        <v>0.0</v>
      </c>
      <c r="L206" s="19">
        <v>0.0</v>
      </c>
      <c r="M206" s="13">
        <f t="shared" si="40"/>
        <v>4</v>
      </c>
      <c r="N206" s="5"/>
      <c r="O206" s="5"/>
    </row>
    <row r="207" ht="12.75" customHeight="1">
      <c r="A207" s="18"/>
      <c r="B207" s="57">
        <v>6.0</v>
      </c>
      <c r="C207" s="52" t="s">
        <v>153</v>
      </c>
      <c r="D207" s="60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3">
        <f t="shared" si="40"/>
        <v>1</v>
      </c>
      <c r="N207" s="1"/>
      <c r="O207" s="1"/>
    </row>
    <row r="208" ht="12.75" customHeight="1">
      <c r="A208" s="18"/>
      <c r="B208" s="57">
        <v>7.0</v>
      </c>
      <c r="C208" s="52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2.0</v>
      </c>
      <c r="L208" s="19">
        <v>1.0</v>
      </c>
      <c r="M208" s="13">
        <f t="shared" si="40"/>
        <v>4</v>
      </c>
      <c r="N208" s="54"/>
      <c r="O208" s="54"/>
    </row>
    <row r="209" ht="12.75" customHeight="1">
      <c r="A209" s="18"/>
      <c r="B209" s="72"/>
      <c r="C209" s="73"/>
      <c r="D209" s="75"/>
      <c r="E209" s="19"/>
      <c r="F209" s="19"/>
      <c r="G209" s="19"/>
      <c r="H209" s="19"/>
      <c r="I209" s="19"/>
      <c r="J209" s="19"/>
      <c r="K209" s="19"/>
      <c r="L209" s="19"/>
      <c r="M209" s="13">
        <f t="shared" si="40"/>
        <v>0</v>
      </c>
      <c r="N209" s="54"/>
      <c r="O209" s="54"/>
    </row>
    <row r="210" ht="12.75" customHeight="1">
      <c r="A210" s="18"/>
      <c r="B210" s="72"/>
      <c r="C210" s="73"/>
      <c r="D210" s="75"/>
      <c r="E210" s="19"/>
      <c r="F210" s="19"/>
      <c r="G210" s="19"/>
      <c r="H210" s="19"/>
      <c r="I210" s="19"/>
      <c r="J210" s="19"/>
      <c r="K210" s="19"/>
      <c r="L210" s="19"/>
      <c r="M210" s="13">
        <f t="shared" si="40"/>
        <v>0</v>
      </c>
      <c r="N210" s="54"/>
      <c r="O210" s="54"/>
    </row>
    <row r="211" ht="15.0" customHeight="1">
      <c r="A211" s="19" t="s">
        <v>15</v>
      </c>
      <c r="B211" s="49" t="s">
        <v>47</v>
      </c>
      <c r="C211" s="15"/>
      <c r="D211" s="16"/>
      <c r="E211" s="13">
        <f t="shared" ref="E211:L211" si="41">SUM(E201:E208)</f>
        <v>22</v>
      </c>
      <c r="F211" s="13">
        <f t="shared" si="41"/>
        <v>26</v>
      </c>
      <c r="G211" s="13">
        <f t="shared" si="41"/>
        <v>12</v>
      </c>
      <c r="H211" s="13">
        <f t="shared" si="41"/>
        <v>24</v>
      </c>
      <c r="I211" s="13">
        <f t="shared" si="41"/>
        <v>12</v>
      </c>
      <c r="J211" s="13">
        <f t="shared" si="41"/>
        <v>13</v>
      </c>
      <c r="K211" s="13">
        <f t="shared" si="41"/>
        <v>13</v>
      </c>
      <c r="L211" s="13">
        <f t="shared" si="41"/>
        <v>3</v>
      </c>
      <c r="M211" s="13">
        <f t="shared" si="40"/>
        <v>125</v>
      </c>
      <c r="N211" s="5"/>
      <c r="O211" s="5"/>
    </row>
    <row r="212" ht="12.75" customHeight="1">
      <c r="A212" s="30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5"/>
      <c r="O212" s="5"/>
    </row>
    <row r="213" ht="12.75" customHeight="1">
      <c r="A213" s="31" t="s">
        <v>37</v>
      </c>
      <c r="B213" s="49" t="s">
        <v>155</v>
      </c>
      <c r="C213" s="50" t="s">
        <v>156</v>
      </c>
      <c r="D213" s="16"/>
      <c r="E213" s="19">
        <v>2.0</v>
      </c>
      <c r="F213" s="19">
        <v>0.0</v>
      </c>
      <c r="G213" s="19">
        <v>1.0</v>
      </c>
      <c r="H213" s="19">
        <v>1.0</v>
      </c>
      <c r="I213" s="19">
        <v>1.0</v>
      </c>
      <c r="J213" s="19">
        <v>1.0</v>
      </c>
      <c r="K213" s="19">
        <v>0.0</v>
      </c>
      <c r="L213" s="19">
        <v>0.0</v>
      </c>
      <c r="M213" s="13">
        <f t="shared" ref="M213:M223" si="42">SUM(E213:L213)</f>
        <v>6</v>
      </c>
      <c r="N213" s="5"/>
      <c r="O213" s="5"/>
    </row>
    <row r="214" ht="12.75" customHeight="1">
      <c r="A214" s="31" t="s">
        <v>39</v>
      </c>
      <c r="B214" s="57">
        <v>1.0</v>
      </c>
      <c r="C214" s="52" t="s">
        <v>157</v>
      </c>
      <c r="D214" s="58"/>
      <c r="E214" s="19">
        <v>3.0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1.0</v>
      </c>
      <c r="M214" s="13">
        <f t="shared" si="42"/>
        <v>4</v>
      </c>
      <c r="N214" s="5"/>
      <c r="O214" s="5"/>
    </row>
    <row r="215" ht="12.75" customHeight="1">
      <c r="A215" s="18"/>
      <c r="B215" s="57">
        <v>2.0</v>
      </c>
      <c r="C215" s="52" t="s">
        <v>158</v>
      </c>
      <c r="D215" s="58"/>
      <c r="E215" s="19">
        <v>7.0</v>
      </c>
      <c r="F215" s="19">
        <v>1.0</v>
      </c>
      <c r="G215" s="19">
        <v>2.0</v>
      </c>
      <c r="H215" s="19">
        <v>1.0</v>
      </c>
      <c r="I215" s="19">
        <v>6.0</v>
      </c>
      <c r="J215" s="19">
        <v>3.0</v>
      </c>
      <c r="K215" s="19">
        <v>8.0</v>
      </c>
      <c r="L215" s="19">
        <v>3.0</v>
      </c>
      <c r="M215" s="13">
        <f t="shared" si="42"/>
        <v>31</v>
      </c>
      <c r="N215" s="5"/>
      <c r="O215" s="5"/>
    </row>
    <row r="216" ht="12.75" customHeight="1">
      <c r="A216" s="18"/>
      <c r="B216" s="57">
        <v>3.0</v>
      </c>
      <c r="C216" s="64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3">
        <f t="shared" si="42"/>
        <v>1</v>
      </c>
      <c r="N216" s="5"/>
      <c r="O216" s="5"/>
    </row>
    <row r="217" ht="12.75" customHeight="1">
      <c r="A217" s="18"/>
      <c r="B217" s="57">
        <v>4.0</v>
      </c>
      <c r="C217" s="52" t="s">
        <v>160</v>
      </c>
      <c r="D217" s="58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3">
        <f t="shared" si="42"/>
        <v>0</v>
      </c>
      <c r="N217" s="5"/>
      <c r="O217" s="5"/>
    </row>
    <row r="218" ht="12.75" customHeight="1">
      <c r="A218" s="18"/>
      <c r="B218" s="57">
        <v>5.0</v>
      </c>
      <c r="C218" s="52" t="s">
        <v>161</v>
      </c>
      <c r="D218" s="58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3">
        <f t="shared" si="42"/>
        <v>1</v>
      </c>
      <c r="N218" s="1"/>
      <c r="O218" s="1"/>
    </row>
    <row r="219" ht="12.75" customHeight="1">
      <c r="A219" s="18"/>
      <c r="B219" s="57">
        <v>6.0</v>
      </c>
      <c r="C219" s="52" t="s">
        <v>162</v>
      </c>
      <c r="D219" s="58"/>
      <c r="E219" s="19">
        <v>0.0</v>
      </c>
      <c r="F219" s="19">
        <v>1.0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3">
        <f t="shared" si="42"/>
        <v>2</v>
      </c>
      <c r="N219" s="54"/>
      <c r="O219" s="54"/>
    </row>
    <row r="220" ht="12.75" customHeight="1">
      <c r="A220" s="18"/>
      <c r="B220" s="57">
        <v>7.0</v>
      </c>
      <c r="C220" s="52" t="s">
        <v>163</v>
      </c>
      <c r="D220" s="58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3">
        <f t="shared" si="42"/>
        <v>0</v>
      </c>
      <c r="N220" s="5"/>
      <c r="O220" s="5"/>
    </row>
    <row r="221" ht="12.75" customHeight="1">
      <c r="A221" s="18"/>
      <c r="B221" s="72"/>
      <c r="C221" s="73"/>
      <c r="D221" s="74"/>
      <c r="E221" s="19"/>
      <c r="F221" s="19"/>
      <c r="G221" s="19"/>
      <c r="H221" s="19"/>
      <c r="I221" s="19"/>
      <c r="J221" s="19"/>
      <c r="K221" s="19"/>
      <c r="L221" s="19"/>
      <c r="M221" s="13">
        <f t="shared" si="42"/>
        <v>0</v>
      </c>
      <c r="N221" s="5"/>
      <c r="O221" s="5"/>
    </row>
    <row r="222" ht="12.75" customHeight="1">
      <c r="A222" s="18"/>
      <c r="B222" s="72"/>
      <c r="C222" s="73"/>
      <c r="D222" s="74"/>
      <c r="E222" s="19"/>
      <c r="F222" s="19"/>
      <c r="G222" s="19"/>
      <c r="H222" s="19"/>
      <c r="I222" s="19"/>
      <c r="J222" s="19"/>
      <c r="K222" s="19"/>
      <c r="L222" s="19"/>
      <c r="M222" s="13">
        <f t="shared" si="42"/>
        <v>0</v>
      </c>
      <c r="N222" s="5"/>
      <c r="O222" s="5"/>
    </row>
    <row r="223" ht="15.0" customHeight="1">
      <c r="A223" s="19" t="s">
        <v>15</v>
      </c>
      <c r="B223" s="49" t="s">
        <v>47</v>
      </c>
      <c r="C223" s="15"/>
      <c r="D223" s="16"/>
      <c r="E223" s="13">
        <f t="shared" ref="E223:L223" si="43">SUM(E213:E220)</f>
        <v>12</v>
      </c>
      <c r="F223" s="13">
        <f t="shared" si="43"/>
        <v>2</v>
      </c>
      <c r="G223" s="13">
        <f t="shared" si="43"/>
        <v>3</v>
      </c>
      <c r="H223" s="13">
        <f t="shared" si="43"/>
        <v>2</v>
      </c>
      <c r="I223" s="13">
        <f t="shared" si="43"/>
        <v>9</v>
      </c>
      <c r="J223" s="13">
        <f t="shared" si="43"/>
        <v>5</v>
      </c>
      <c r="K223" s="13">
        <f t="shared" si="43"/>
        <v>8</v>
      </c>
      <c r="L223" s="13">
        <f t="shared" si="43"/>
        <v>4</v>
      </c>
      <c r="M223" s="13">
        <f t="shared" si="42"/>
        <v>45</v>
      </c>
      <c r="N223" s="5"/>
      <c r="O223" s="5"/>
    </row>
    <row r="224" ht="12.75" customHeight="1">
      <c r="A224" s="30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5"/>
      <c r="O224" s="5"/>
    </row>
    <row r="225" ht="12.75" customHeight="1">
      <c r="A225" s="31" t="s">
        <v>37</v>
      </c>
      <c r="B225" s="49" t="s">
        <v>164</v>
      </c>
      <c r="C225" s="50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3">
        <f t="shared" ref="M225:M235" si="44">SUM(E225:L225)</f>
        <v>0</v>
      </c>
      <c r="N225" s="5"/>
      <c r="O225" s="5"/>
    </row>
    <row r="226" ht="12.75" customHeight="1">
      <c r="A226" s="31" t="s">
        <v>39</v>
      </c>
      <c r="B226" s="57">
        <v>1.0</v>
      </c>
      <c r="C226" s="52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3.0</v>
      </c>
      <c r="K226" s="19">
        <v>0.0</v>
      </c>
      <c r="L226" s="19">
        <v>0.0</v>
      </c>
      <c r="M226" s="13">
        <f t="shared" si="44"/>
        <v>4</v>
      </c>
      <c r="N226" s="5"/>
      <c r="O226" s="5"/>
    </row>
    <row r="227" ht="12.75" customHeight="1">
      <c r="A227" s="18"/>
      <c r="B227" s="57">
        <v>2.0</v>
      </c>
      <c r="C227" s="52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3">
        <f t="shared" si="44"/>
        <v>1</v>
      </c>
      <c r="N227" s="5"/>
      <c r="O227" s="5"/>
    </row>
    <row r="228" ht="12.75" customHeight="1">
      <c r="A228" s="18"/>
      <c r="B228" s="57">
        <v>3.0</v>
      </c>
      <c r="C228" s="52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4"/>
        <v>0</v>
      </c>
      <c r="N228" s="5"/>
      <c r="O228" s="5"/>
    </row>
    <row r="229" ht="12.75" customHeight="1">
      <c r="A229" s="18"/>
      <c r="B229" s="57">
        <v>4.0</v>
      </c>
      <c r="C229" s="52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3">
        <f t="shared" si="44"/>
        <v>0</v>
      </c>
      <c r="N229" s="1"/>
      <c r="O229" s="1"/>
    </row>
    <row r="230" ht="12.75" customHeight="1">
      <c r="A230" s="18"/>
      <c r="B230" s="57">
        <v>5.0</v>
      </c>
      <c r="C230" s="52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3">
        <f t="shared" si="44"/>
        <v>0</v>
      </c>
      <c r="N230" s="54"/>
      <c r="O230" s="54"/>
    </row>
    <row r="231" ht="12.75" customHeight="1">
      <c r="A231" s="18"/>
      <c r="B231" s="57">
        <v>6.0</v>
      </c>
      <c r="C231" s="52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3">
        <f t="shared" si="44"/>
        <v>0</v>
      </c>
      <c r="N231" s="5"/>
      <c r="O231" s="5"/>
    </row>
    <row r="232" ht="12.75" customHeight="1">
      <c r="A232" s="18"/>
      <c r="B232" s="57">
        <v>7.0</v>
      </c>
      <c r="C232" s="52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3">
        <f t="shared" si="44"/>
        <v>0</v>
      </c>
      <c r="N232" s="5"/>
      <c r="O232" s="5"/>
    </row>
    <row r="233" ht="12.75" customHeight="1">
      <c r="A233" s="18"/>
      <c r="B233" s="72"/>
      <c r="C233" s="73"/>
      <c r="D233" s="75"/>
      <c r="E233" s="19"/>
      <c r="F233" s="19"/>
      <c r="G233" s="19"/>
      <c r="H233" s="19"/>
      <c r="I233" s="19"/>
      <c r="J233" s="19"/>
      <c r="K233" s="19"/>
      <c r="L233" s="19"/>
      <c r="M233" s="13">
        <f t="shared" si="44"/>
        <v>0</v>
      </c>
      <c r="N233" s="5"/>
      <c r="O233" s="5"/>
    </row>
    <row r="234" ht="12.75" customHeight="1">
      <c r="A234" s="18"/>
      <c r="B234" s="72"/>
      <c r="C234" s="73"/>
      <c r="D234" s="75"/>
      <c r="E234" s="19"/>
      <c r="F234" s="19"/>
      <c r="G234" s="19"/>
      <c r="H234" s="19"/>
      <c r="I234" s="19"/>
      <c r="J234" s="19"/>
      <c r="K234" s="19"/>
      <c r="L234" s="19"/>
      <c r="M234" s="13">
        <f t="shared" si="44"/>
        <v>0</v>
      </c>
      <c r="N234" s="5"/>
      <c r="O234" s="5"/>
    </row>
    <row r="235" ht="15.0" customHeight="1">
      <c r="A235" s="19" t="s">
        <v>15</v>
      </c>
      <c r="B235" s="49" t="s">
        <v>47</v>
      </c>
      <c r="C235" s="15"/>
      <c r="D235" s="16"/>
      <c r="E235" s="13">
        <f t="shared" ref="E235:L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3</v>
      </c>
      <c r="K235" s="13">
        <f t="shared" si="45"/>
        <v>1</v>
      </c>
      <c r="L235" s="13">
        <f t="shared" si="45"/>
        <v>0</v>
      </c>
      <c r="M235" s="13">
        <f t="shared" si="44"/>
        <v>5</v>
      </c>
      <c r="N235" s="5"/>
      <c r="O235" s="5"/>
    </row>
    <row r="236" ht="12.75" customHeight="1">
      <c r="A236" s="30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5"/>
      <c r="O236" s="5"/>
    </row>
    <row r="237" ht="12.75" customHeight="1">
      <c r="A237" s="31" t="s">
        <v>37</v>
      </c>
      <c r="B237" s="49" t="s">
        <v>173</v>
      </c>
      <c r="C237" s="50" t="s">
        <v>174</v>
      </c>
      <c r="D237" s="16"/>
      <c r="E237" s="19">
        <v>4.0</v>
      </c>
      <c r="F237" s="19">
        <v>2.0</v>
      </c>
      <c r="G237" s="19">
        <v>4.0</v>
      </c>
      <c r="H237" s="19">
        <v>4.0</v>
      </c>
      <c r="I237" s="19">
        <v>5.0</v>
      </c>
      <c r="J237" s="19">
        <v>0.0</v>
      </c>
      <c r="K237" s="19">
        <v>5.0</v>
      </c>
      <c r="L237" s="19">
        <v>4.0</v>
      </c>
      <c r="M237" s="13">
        <f t="shared" ref="M237:M247" si="46">SUM(E237:L237)</f>
        <v>28</v>
      </c>
      <c r="N237" s="5"/>
      <c r="O237" s="5"/>
    </row>
    <row r="238" ht="12.75" customHeight="1">
      <c r="A238" s="31" t="s">
        <v>39</v>
      </c>
      <c r="B238" s="57">
        <v>1.0</v>
      </c>
      <c r="C238" s="52" t="s">
        <v>175</v>
      </c>
      <c r="D238" s="60"/>
      <c r="E238" s="19">
        <v>1.0</v>
      </c>
      <c r="F238" s="19">
        <v>4.0</v>
      </c>
      <c r="G238" s="19">
        <v>2.0</v>
      </c>
      <c r="H238" s="19">
        <v>3.0</v>
      </c>
      <c r="I238" s="19">
        <v>1.0</v>
      </c>
      <c r="J238" s="19">
        <v>3.0</v>
      </c>
      <c r="K238" s="19">
        <v>1.0</v>
      </c>
      <c r="L238" s="19">
        <v>2.0</v>
      </c>
      <c r="M238" s="13">
        <f t="shared" si="46"/>
        <v>17</v>
      </c>
      <c r="N238" s="5"/>
      <c r="O238" s="5"/>
    </row>
    <row r="239" ht="12.75" customHeight="1">
      <c r="A239" s="18"/>
      <c r="B239" s="57">
        <v>2.0</v>
      </c>
      <c r="C239" s="52" t="s">
        <v>176</v>
      </c>
      <c r="D239" s="60"/>
      <c r="E239" s="19">
        <v>24.0</v>
      </c>
      <c r="F239" s="19">
        <v>47.0</v>
      </c>
      <c r="G239" s="19">
        <v>35.0</v>
      </c>
      <c r="H239" s="19">
        <v>22.0</v>
      </c>
      <c r="I239" s="19">
        <v>16.0</v>
      </c>
      <c r="J239" s="19">
        <v>43.0</v>
      </c>
      <c r="K239" s="19">
        <v>29.0</v>
      </c>
      <c r="L239" s="19">
        <v>27.0</v>
      </c>
      <c r="M239" s="13">
        <f t="shared" si="46"/>
        <v>243</v>
      </c>
      <c r="N239" s="5"/>
      <c r="O239" s="5"/>
    </row>
    <row r="240" ht="12.75" customHeight="1">
      <c r="A240" s="18"/>
      <c r="B240" s="57">
        <v>3.0</v>
      </c>
      <c r="C240" s="52" t="s">
        <v>177</v>
      </c>
      <c r="D240" s="60"/>
      <c r="E240" s="19">
        <v>0.0</v>
      </c>
      <c r="F240" s="19">
        <v>0.0</v>
      </c>
      <c r="G240" s="19">
        <v>1.0</v>
      </c>
      <c r="H240" s="19">
        <v>1.0</v>
      </c>
      <c r="I240" s="19">
        <v>3.0</v>
      </c>
      <c r="J240" s="19">
        <v>0.0</v>
      </c>
      <c r="K240" s="19">
        <v>1.0</v>
      </c>
      <c r="L240" s="19">
        <v>3.0</v>
      </c>
      <c r="M240" s="13">
        <f t="shared" si="46"/>
        <v>9</v>
      </c>
      <c r="N240" s="1"/>
      <c r="O240" s="1"/>
    </row>
    <row r="241" ht="12.75" customHeight="1">
      <c r="A241" s="18"/>
      <c r="B241" s="57">
        <v>4.0</v>
      </c>
      <c r="C241" s="52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1.0</v>
      </c>
      <c r="K241" s="19">
        <v>0.0</v>
      </c>
      <c r="L241" s="19">
        <v>1.0</v>
      </c>
      <c r="M241" s="13">
        <f t="shared" si="46"/>
        <v>3</v>
      </c>
    </row>
    <row r="242" ht="12.75" customHeight="1">
      <c r="A242" s="18"/>
      <c r="B242" s="57">
        <v>5.0</v>
      </c>
      <c r="C242" s="52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3">
        <f t="shared" si="46"/>
        <v>0</v>
      </c>
    </row>
    <row r="243" ht="12.75" customHeight="1">
      <c r="A243" s="18"/>
      <c r="B243" s="57">
        <v>6.0</v>
      </c>
      <c r="C243" s="52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3">
        <f t="shared" si="46"/>
        <v>0</v>
      </c>
    </row>
    <row r="244" ht="12.75" customHeight="1">
      <c r="A244" s="18"/>
      <c r="B244" s="57">
        <v>7.0</v>
      </c>
      <c r="C244" s="52" t="s">
        <v>181</v>
      </c>
      <c r="D244" s="60"/>
      <c r="E244" s="19">
        <v>1.0</v>
      </c>
      <c r="F244" s="19">
        <v>0.0</v>
      </c>
      <c r="G244" s="19">
        <v>0.0</v>
      </c>
      <c r="H244" s="19">
        <v>1.0</v>
      </c>
      <c r="I244" s="19">
        <v>4.0</v>
      </c>
      <c r="J244" s="19">
        <v>4.0</v>
      </c>
      <c r="K244" s="19">
        <v>0.0</v>
      </c>
      <c r="L244" s="19">
        <v>0.0</v>
      </c>
      <c r="M244" s="13">
        <f t="shared" si="46"/>
        <v>10</v>
      </c>
    </row>
    <row r="245" ht="12.75" customHeight="1">
      <c r="A245" s="18"/>
      <c r="B245" s="72"/>
      <c r="C245" s="73"/>
      <c r="D245" s="75"/>
      <c r="E245" s="19"/>
      <c r="F245" s="19"/>
      <c r="G245" s="19"/>
      <c r="H245" s="19"/>
      <c r="I245" s="19"/>
      <c r="J245" s="19"/>
      <c r="K245" s="19"/>
      <c r="L245" s="19"/>
      <c r="M245" s="13">
        <f t="shared" si="46"/>
        <v>0</v>
      </c>
    </row>
    <row r="246" ht="12.75" customHeight="1">
      <c r="A246" s="18"/>
      <c r="B246" s="72"/>
      <c r="C246" s="73"/>
      <c r="D246" s="75"/>
      <c r="E246" s="19"/>
      <c r="F246" s="19"/>
      <c r="G246" s="19"/>
      <c r="H246" s="19"/>
      <c r="I246" s="19"/>
      <c r="J246" s="19"/>
      <c r="K246" s="19"/>
      <c r="L246" s="19"/>
      <c r="M246" s="13">
        <f t="shared" si="46"/>
        <v>0</v>
      </c>
    </row>
    <row r="247" ht="12.75" customHeight="1">
      <c r="A247" s="19" t="s">
        <v>15</v>
      </c>
      <c r="B247" s="49" t="s">
        <v>47</v>
      </c>
      <c r="C247" s="15"/>
      <c r="D247" s="16"/>
      <c r="E247" s="13">
        <f t="shared" ref="E247:L247" si="47">SUM(E237:E244)</f>
        <v>30</v>
      </c>
      <c r="F247" s="13">
        <f t="shared" si="47"/>
        <v>53</v>
      </c>
      <c r="G247" s="13">
        <f t="shared" si="47"/>
        <v>42</v>
      </c>
      <c r="H247" s="13">
        <f t="shared" si="47"/>
        <v>31</v>
      </c>
      <c r="I247" s="13">
        <f t="shared" si="47"/>
        <v>30</v>
      </c>
      <c r="J247" s="13">
        <f t="shared" si="47"/>
        <v>51</v>
      </c>
      <c r="K247" s="13">
        <f t="shared" si="47"/>
        <v>36</v>
      </c>
      <c r="L247" s="13">
        <f t="shared" si="47"/>
        <v>37</v>
      </c>
      <c r="M247" s="13">
        <f t="shared" si="46"/>
        <v>310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49" t="s">
        <v>182</v>
      </c>
      <c r="C249" s="50" t="s">
        <v>183</v>
      </c>
      <c r="D249" s="16"/>
      <c r="E249" s="19">
        <v>0.0</v>
      </c>
      <c r="F249" s="19">
        <v>0.0</v>
      </c>
      <c r="G249" s="19">
        <v>1.0</v>
      </c>
      <c r="H249" s="19">
        <v>1.0</v>
      </c>
      <c r="I249" s="19">
        <v>0.0</v>
      </c>
      <c r="J249" s="19">
        <v>0.0</v>
      </c>
      <c r="K249" s="19">
        <v>1.0</v>
      </c>
      <c r="L249" s="19">
        <v>0.0</v>
      </c>
      <c r="M249" s="13">
        <f t="shared" ref="M249:M259" si="48">SUM(E249:L249)</f>
        <v>3</v>
      </c>
    </row>
    <row r="250" ht="12.75" customHeight="1">
      <c r="A250" s="31" t="s">
        <v>39</v>
      </c>
      <c r="B250" s="57">
        <v>1.0</v>
      </c>
      <c r="C250" s="62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3">
        <f t="shared" si="48"/>
        <v>0</v>
      </c>
    </row>
    <row r="251" ht="12.75" customHeight="1">
      <c r="A251" s="18"/>
      <c r="B251" s="57">
        <v>2.0</v>
      </c>
      <c r="C251" s="62" t="s">
        <v>185</v>
      </c>
      <c r="D251" s="60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3">
        <f t="shared" si="48"/>
        <v>1</v>
      </c>
    </row>
    <row r="252" ht="12.75" customHeight="1">
      <c r="A252" s="18"/>
      <c r="B252" s="57">
        <v>3.0</v>
      </c>
      <c r="C252" s="62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3">
        <f t="shared" si="48"/>
        <v>0</v>
      </c>
    </row>
    <row r="253" ht="12.75" customHeight="1">
      <c r="A253" s="18"/>
      <c r="B253" s="57">
        <v>4.0</v>
      </c>
      <c r="C253" s="62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3">
        <f t="shared" si="48"/>
        <v>0</v>
      </c>
    </row>
    <row r="254" ht="12.75" customHeight="1">
      <c r="A254" s="18"/>
      <c r="B254" s="57">
        <v>5.0</v>
      </c>
      <c r="C254" s="62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3">
        <f t="shared" si="48"/>
        <v>0</v>
      </c>
    </row>
    <row r="255" ht="12.75" customHeight="1">
      <c r="A255" s="18"/>
      <c r="B255" s="57">
        <v>6.0</v>
      </c>
      <c r="C255" s="62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3">
        <f t="shared" si="48"/>
        <v>0</v>
      </c>
    </row>
    <row r="256" ht="12.75" customHeight="1">
      <c r="A256" s="18"/>
      <c r="B256" s="72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3">
        <f t="shared" si="48"/>
        <v>0</v>
      </c>
    </row>
    <row r="257" ht="12.75" customHeight="1">
      <c r="A257" s="18"/>
      <c r="B257" s="72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3">
        <f t="shared" si="48"/>
        <v>0</v>
      </c>
    </row>
    <row r="258" ht="12.75" customHeight="1">
      <c r="A258" s="18"/>
      <c r="B258" s="72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3">
        <f t="shared" si="48"/>
        <v>0</v>
      </c>
    </row>
    <row r="259" ht="15.0" customHeight="1">
      <c r="A259" s="19" t="s">
        <v>15</v>
      </c>
      <c r="B259" s="49" t="s">
        <v>47</v>
      </c>
      <c r="C259" s="15"/>
      <c r="D259" s="16"/>
      <c r="E259" s="13">
        <f t="shared" ref="E259:L259" si="49">SUM(E249:E255)</f>
        <v>0</v>
      </c>
      <c r="F259" s="13">
        <f t="shared" si="49"/>
        <v>0</v>
      </c>
      <c r="G259" s="13">
        <f t="shared" si="49"/>
        <v>2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8"/>
        <v>4</v>
      </c>
    </row>
    <row r="260" ht="12.75" customHeight="1"/>
    <row r="261" ht="12.75" customHeight="1">
      <c r="A261" s="44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207</v>
      </c>
      <c r="L261" s="13" t="s">
        <v>208</v>
      </c>
      <c r="M261" s="13"/>
    </row>
    <row r="262" ht="12.75" customHeight="1">
      <c r="A262" s="44"/>
      <c r="B262" s="65" t="s">
        <v>192</v>
      </c>
      <c r="C262" s="66" t="s">
        <v>193</v>
      </c>
      <c r="D262" s="16"/>
      <c r="E262" s="19">
        <f t="shared" ref="E262:L262" si="50">E55+E67+E79+E91+E103+E115+E127+E139+E151+E163+E175+E187+E199+E211+E223+E235+E247+E259</f>
        <v>196</v>
      </c>
      <c r="F262" s="19">
        <f t="shared" si="50"/>
        <v>218</v>
      </c>
      <c r="G262" s="19">
        <f t="shared" si="50"/>
        <v>179</v>
      </c>
      <c r="H262" s="19">
        <f t="shared" si="50"/>
        <v>200</v>
      </c>
      <c r="I262" s="19">
        <f t="shared" si="50"/>
        <v>206</v>
      </c>
      <c r="J262" s="19">
        <f t="shared" si="50"/>
        <v>215</v>
      </c>
      <c r="K262" s="19">
        <f t="shared" si="50"/>
        <v>208</v>
      </c>
      <c r="L262" s="19">
        <f t="shared" si="50"/>
        <v>208</v>
      </c>
      <c r="M262" s="13">
        <f t="shared" ref="M262:M264" si="51">SUM(E262:L262)</f>
        <v>1630</v>
      </c>
    </row>
    <row r="263" ht="12.75" customHeight="1">
      <c r="A263" s="36"/>
      <c r="B263" s="65" t="s">
        <v>194</v>
      </c>
      <c r="C263" s="66" t="s">
        <v>195</v>
      </c>
      <c r="D263" s="16"/>
      <c r="E263" s="19">
        <v>16.0</v>
      </c>
      <c r="F263" s="19">
        <v>16.0</v>
      </c>
      <c r="G263" s="19">
        <v>17.0</v>
      </c>
      <c r="H263" s="19">
        <v>25.0</v>
      </c>
      <c r="I263" s="19">
        <v>16.0</v>
      </c>
      <c r="J263" s="19">
        <v>17.0</v>
      </c>
      <c r="K263" s="19">
        <v>23.0</v>
      </c>
      <c r="L263" s="19">
        <v>36.0</v>
      </c>
      <c r="M263" s="13">
        <f t="shared" si="51"/>
        <v>166</v>
      </c>
    </row>
    <row r="264" ht="12.75" customHeight="1">
      <c r="A264" s="43"/>
      <c r="B264" s="65" t="s">
        <v>196</v>
      </c>
      <c r="C264" s="66" t="s">
        <v>197</v>
      </c>
      <c r="D264" s="16"/>
      <c r="E264" s="13">
        <f t="shared" ref="E264:L264" si="52">SUM(E262:E263)</f>
        <v>212</v>
      </c>
      <c r="F264" s="13">
        <f t="shared" si="52"/>
        <v>234</v>
      </c>
      <c r="G264" s="13">
        <f t="shared" si="52"/>
        <v>196</v>
      </c>
      <c r="H264" s="13">
        <f t="shared" si="52"/>
        <v>225</v>
      </c>
      <c r="I264" s="13">
        <f t="shared" si="52"/>
        <v>222</v>
      </c>
      <c r="J264" s="13">
        <f t="shared" si="52"/>
        <v>232</v>
      </c>
      <c r="K264" s="13">
        <f t="shared" si="52"/>
        <v>231</v>
      </c>
      <c r="L264" s="13">
        <f t="shared" si="52"/>
        <v>244</v>
      </c>
      <c r="M264" s="13">
        <f t="shared" si="51"/>
        <v>1796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